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rameters" sheetId="2" r:id="rId2"/>
    <sheet name="Calc_Formulas" sheetId="3" r:id="rId3"/>
    <sheet name="Results" sheetId="4" r:id="rId4"/>
    <sheet name="Python_Reference" sheetId="5" r:id="rId5"/>
    <sheet name="LTspice_Compare" sheetId="6" r:id="rId6"/>
  </sheets>
  <definedNames>
    <definedName name="C_THROUGH_C">Parameters!$B$10</definedName>
    <definedName name="C_THROUGH_ESL">Parameters!$B$12</definedName>
    <definedName name="C_THROUGH_ESR">Parameters!$B$11</definedName>
    <definedName name="CMC_CLINE">Parameters!$B$41</definedName>
    <definedName name="CMC_CPA">Parameters!$B$40</definedName>
    <definedName name="CMC_DCR">Parameters!$B$38</definedName>
    <definedName name="CMC_K">Parameters!$B$39</definedName>
    <definedName name="CMC_L">Parameters!$B$37</definedName>
    <definedName name="CX1_C">Parameters!$B$20</definedName>
    <definedName name="CX1_ESL">Parameters!$B$22</definedName>
    <definedName name="CX1_ESR">Parameters!$B$21</definedName>
    <definedName name="CX2_C">Parameters!$B$30</definedName>
    <definedName name="CX2_ESL">Parameters!$B$32</definedName>
    <definedName name="CX2_ESR">Parameters!$B$31</definedName>
    <definedName name="CY_C">Parameters!$B$42</definedName>
    <definedName name="CY_ESL">Parameters!$B$44</definedName>
    <definedName name="CY_ESR">Parameters!$B$43</definedName>
    <definedName name="DUMMY_R">Parameters!$B$45</definedName>
    <definedName name="DUMP1_C">Parameters!$B$23</definedName>
    <definedName name="DUMP1_ESL">Parameters!$B$25</definedName>
    <definedName name="DUMP1_ESR">Parameters!$B$24</definedName>
    <definedName name="DUMP1_R">Parameters!$B$26</definedName>
    <definedName name="DUMP2_C">Parameters!$B$33</definedName>
    <definedName name="DUMP2_ESL">Parameters!$B$35</definedName>
    <definedName name="DUMP2_ESR">Parameters!$B$34</definedName>
    <definedName name="DUMP2_R">Parameters!$B$36</definedName>
    <definedName name="F_START">Parameters!$B$2</definedName>
    <definedName name="F_STOP">Parameters!$B$3</definedName>
    <definedName name="I_DM_SOURCE">Parameters!$B$5</definedName>
    <definedName name="LDM1_CPA">Parameters!$B$19</definedName>
    <definedName name="LDM1_DCR">Parameters!$B$18</definedName>
    <definedName name="LDM1_L">Parameters!$B$17</definedName>
    <definedName name="LDM2_CPA">Parameters!$B$29</definedName>
    <definedName name="LDM2_DCR">Parameters!$B$28</definedName>
    <definedName name="LDM2_L">Parameters!$B$27</definedName>
    <definedName name="LINE_INPUT_CCHA">Parameters!$B$15</definedName>
    <definedName name="LINE_INPUT_CLINE">Parameters!$B$16</definedName>
    <definedName name="LINE_INPUT_DCR">Parameters!$B$14</definedName>
    <definedName name="LINE_INPUT_L">Parameters!$B$13</definedName>
    <definedName name="LINE_PS_CCHA">Parameters!$B$8</definedName>
    <definedName name="LINE_PS_CLINE">Parameters!$B$9</definedName>
    <definedName name="LINE_PS_DCR">Parameters!$B$7</definedName>
    <definedName name="LINE_PS_L">Parameters!$B$6</definedName>
    <definedName name="N_POINTS">Parameters!$B$4</definedName>
  </definedNames>
  <calcPr calcId="124519" fullCalcOnLoad="1"/>
</workbook>
</file>

<file path=xl/sharedStrings.xml><?xml version="1.0" encoding="utf-8"?>
<sst xmlns="http://schemas.openxmlformats.org/spreadsheetml/2006/main" count="217" uniqueCount="160">
  <si>
    <t>Normal-mode current source model</t>
  </si>
  <si>
    <t>Purpose</t>
  </si>
  <si>
    <t>DUMMY HOT-RTN間に振幅1 Aのノーマルモード電流源を置き、LDM1入力点のI_HOT, I_RTN, I_NMを計算します。</t>
  </si>
  <si>
    <t>Definition</t>
  </si>
  <si>
    <t>I_NM = (I_HOT - I_RTN) / 2. 対称回路では I_RTN = -I_HOT となります。</t>
  </si>
  <si>
    <t>Frequency range</t>
  </si>
  <si>
    <t>100 Hz to 100 MHz, 1201 logarithmic points.</t>
  </si>
  <si>
    <t>Main sheets</t>
  </si>
  <si>
    <t>Parameters: editable SI values. Calc_Formulas: Excel complex formulas. Results: graph with logarithmic x-axis. Python_Reference and LTspice_Compare: verification data.</t>
  </si>
  <si>
    <t>Name</t>
  </si>
  <si>
    <t>Value (SI)</t>
  </si>
  <si>
    <t>Unit</t>
  </si>
  <si>
    <t>Description</t>
  </si>
  <si>
    <t>F_START</t>
  </si>
  <si>
    <t>Hz</t>
  </si>
  <si>
    <t>Start frequency</t>
  </si>
  <si>
    <t>F_STOP</t>
  </si>
  <si>
    <t>Stop frequency</t>
  </si>
  <si>
    <t>N_POINTS</t>
  </si>
  <si>
    <t>-</t>
  </si>
  <si>
    <t>Number of logarithmic frequency points</t>
  </si>
  <si>
    <t>I_DM_SOURCE</t>
  </si>
  <si>
    <t>A</t>
  </si>
  <si>
    <t>Current source between DUMMY HOT and RTN</t>
  </si>
  <si>
    <t>LINE_PS_L</t>
  </si>
  <si>
    <t>H</t>
  </si>
  <si>
    <t>LINE_PS inductance per conductor</t>
  </si>
  <si>
    <t>LINE_PS_DCR</t>
  </si>
  <si>
    <t>ohm</t>
  </si>
  <si>
    <t>LINE_PS DCR per conductor</t>
  </si>
  <si>
    <t>LINE_PS_CCHA</t>
  </si>
  <si>
    <t>F</t>
  </si>
  <si>
    <t>LINE_PS capacitance from each line to chassis</t>
  </si>
  <si>
    <t>LINE_PS_CLINE</t>
  </si>
  <si>
    <t>LINE_PS line-to-line capacitance</t>
  </si>
  <si>
    <t>C_THROUGH_C</t>
  </si>
  <si>
    <t>Feedthrough capacitance per line to chassis</t>
  </si>
  <si>
    <t>C_THROUGH_ESR</t>
  </si>
  <si>
    <t>Feedthrough capacitor ESR</t>
  </si>
  <si>
    <t>C_THROUGH_ESL</t>
  </si>
  <si>
    <t>Feedthrough capacitor ESL</t>
  </si>
  <si>
    <t>LINE_INPUT_L</t>
  </si>
  <si>
    <t>LINE_INPUT inductance per conductor</t>
  </si>
  <si>
    <t>LINE_INPUT_DCR</t>
  </si>
  <si>
    <t>LINE_INPUT DCR per conductor</t>
  </si>
  <si>
    <t>LINE_INPUT_CCHA</t>
  </si>
  <si>
    <t>LINE_INPUT capacitance from each line to chassis</t>
  </si>
  <si>
    <t>LINE_INPUT_CLINE</t>
  </si>
  <si>
    <t>LINE_INPUT line-to-line capacitance</t>
  </si>
  <si>
    <t>LDM1_L</t>
  </si>
  <si>
    <t>LDM1 inductance per conductor</t>
  </si>
  <si>
    <t>LDM1_DCR</t>
  </si>
  <si>
    <t>LDM1 DCR per conductor</t>
  </si>
  <si>
    <t>LDM1_CPA</t>
  </si>
  <si>
    <t>LDM1 winding capacitance per conductor</t>
  </si>
  <si>
    <t>CX1_C</t>
  </si>
  <si>
    <t>CX1 capacitance</t>
  </si>
  <si>
    <t>CX1_ESR</t>
  </si>
  <si>
    <t>CX1 ESR</t>
  </si>
  <si>
    <t>CX1_ESL</t>
  </si>
  <si>
    <t>CX1 ESL</t>
  </si>
  <si>
    <t>DUMP1_C</t>
  </si>
  <si>
    <t>Damper 1 capacitance</t>
  </si>
  <si>
    <t>DUMP1_ESR</t>
  </si>
  <si>
    <t>Damper 1 capacitor ESR</t>
  </si>
  <si>
    <t>DUMP1_ESL</t>
  </si>
  <si>
    <t>Damper 1 capacitor ESL</t>
  </si>
  <si>
    <t>DUMP1_R</t>
  </si>
  <si>
    <t>Damper 1 series resistor</t>
  </si>
  <si>
    <t>LDM2_L</t>
  </si>
  <si>
    <t>LDM2 inductance per conductor</t>
  </si>
  <si>
    <t>LDM2_DCR</t>
  </si>
  <si>
    <t>LDM2 DCR per conductor</t>
  </si>
  <si>
    <t>LDM2_CPA</t>
  </si>
  <si>
    <t>LDM2 winding capacitance per conductor</t>
  </si>
  <si>
    <t>CX2_C</t>
  </si>
  <si>
    <t>CX2 capacitance</t>
  </si>
  <si>
    <t>CX2_ESR</t>
  </si>
  <si>
    <t>CX2 ESR</t>
  </si>
  <si>
    <t>CX2_ESL</t>
  </si>
  <si>
    <t>CX2 ESL</t>
  </si>
  <si>
    <t>DUMP2_C</t>
  </si>
  <si>
    <t>Damper 2 capacitance</t>
  </si>
  <si>
    <t>DUMP2_ESR</t>
  </si>
  <si>
    <t>Damper 2 capacitor ESR</t>
  </si>
  <si>
    <t>DUMP2_ESL</t>
  </si>
  <si>
    <t>Damper 2 capacitor ESL</t>
  </si>
  <si>
    <t>DUMP2_R</t>
  </si>
  <si>
    <t>Damper 2 series resistor</t>
  </si>
  <si>
    <t>CMC_L</t>
  </si>
  <si>
    <t>CMC self inductance per winding</t>
  </si>
  <si>
    <t>CMC_DCR</t>
  </si>
  <si>
    <t>CMC DCR per winding</t>
  </si>
  <si>
    <t>CMC_K</t>
  </si>
  <si>
    <t>CMC coupling coefficient</t>
  </si>
  <si>
    <t>CMC_CPA</t>
  </si>
  <si>
    <t>CMC winding capacitance per winding</t>
  </si>
  <si>
    <t>CMC_CLINE</t>
  </si>
  <si>
    <t>CMC HOT-RTN parasitic capacitance</t>
  </si>
  <si>
    <t>CY_C</t>
  </si>
  <si>
    <t>Y capacitance per line to chassis</t>
  </si>
  <si>
    <t>CY_ESR</t>
  </si>
  <si>
    <t>Y capacitor ESR</t>
  </si>
  <si>
    <t>CY_ESL</t>
  </si>
  <si>
    <t>Y capacitor ESL</t>
  </si>
  <si>
    <t>DUMMY_R</t>
  </si>
  <si>
    <t>DUMMY load resistance between HOT and RTN</t>
  </si>
  <si>
    <t>f_Hz</t>
  </si>
  <si>
    <t>omega</t>
  </si>
  <si>
    <t>Z_LINE_PS</t>
  </si>
  <si>
    <t>Y_SH1</t>
  </si>
  <si>
    <t>Z_LINE_INPUT</t>
  </si>
  <si>
    <t>Y_SH2</t>
  </si>
  <si>
    <t>Z_LDM1_DM</t>
  </si>
  <si>
    <t>Y_X1_DUMP1</t>
  </si>
  <si>
    <t>Z_LDM2_DM</t>
  </si>
  <si>
    <t>Y_X2_DUMP2</t>
  </si>
  <si>
    <t>Z_CMC_DM</t>
  </si>
  <si>
    <t>Y_SH5_LOAD</t>
  </si>
  <si>
    <t>YLEFT1</t>
  </si>
  <si>
    <t>YB2</t>
  </si>
  <si>
    <t>YLEFT2</t>
  </si>
  <si>
    <t>YB3</t>
  </si>
  <si>
    <t>YLEFT3</t>
  </si>
  <si>
    <t>YB4</t>
  </si>
  <si>
    <t>YLEFT4</t>
  </si>
  <si>
    <t>YB5</t>
  </si>
  <si>
    <t>YLEFT5</t>
  </si>
  <si>
    <t>VLOAD_DM</t>
  </si>
  <si>
    <t>I_CMC_DM</t>
  </si>
  <si>
    <t>V4</t>
  </si>
  <si>
    <t>I_LDM2_DM</t>
  </si>
  <si>
    <t>V3</t>
  </si>
  <si>
    <t>I_LDM1_DM</t>
  </si>
  <si>
    <t>I_HOT</t>
  </si>
  <si>
    <t>I_RTN</t>
  </si>
  <si>
    <t>I_NM</t>
  </si>
  <si>
    <t>I_HOT_abs_A</t>
  </si>
  <si>
    <t>I_RTN_abs_A</t>
  </si>
  <si>
    <t>I_NM_abs_A</t>
  </si>
  <si>
    <t>I_HOT_dBuA</t>
  </si>
  <si>
    <t>I_RTN_dBuA</t>
  </si>
  <si>
    <t>I_NM_dBuA</t>
  </si>
  <si>
    <t>I_HOT_phase_deg</t>
  </si>
  <si>
    <t>I_RTN_phase_deg</t>
  </si>
  <si>
    <t>I_NM_phase_deg</t>
  </si>
  <si>
    <t>Normal-mode current source result</t>
  </si>
  <si>
    <t>I_NM = (I_HOT - I_RTN) / 2</t>
  </si>
  <si>
    <t>LTspice vs Python comparison</t>
  </si>
  <si>
    <t>Max abs error [dB]</t>
  </si>
  <si>
    <t>RMS error [dB]</t>
  </si>
  <si>
    <t>Max error frequency [Hz]</t>
  </si>
  <si>
    <t>LT_I_HOT_abs_A</t>
  </si>
  <si>
    <t>LT_I_RTN_abs_A</t>
  </si>
  <si>
    <t>LT_I_NM_abs_A</t>
  </si>
  <si>
    <t>PY_I_NM_abs_A</t>
  </si>
  <si>
    <t>LT_I_NM_dBuA</t>
  </si>
  <si>
    <t>PY_I_NM_dBuA</t>
  </si>
  <si>
    <t>Error dB</t>
  </si>
  <si>
    <t>Error_dB</t>
  </si>
</sst>
</file>

<file path=xl/styles.xml><?xml version="1.0" encoding="utf-8"?>
<styleSheet xmlns="http://schemas.openxmlformats.org/spreadsheetml/2006/main">
  <numFmts count="3">
    <numFmt numFmtId="164" formatCode="0.000000E+00"/>
    <numFmt numFmtId="165" formatCode="0.000E+00"/>
    <numFmt numFmtId="166" formatCode="0.0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4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Normal-mode current at LDM1 input plane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I_HOT</c:v>
          </c:tx>
          <c:spPr>
            <a:ln w="19050"/>
          </c:spPr>
          <c:marker>
            <c:symbol val="none"/>
          </c:marker>
          <c:xVal>
            <c:numRef>
              <c:f>Results!$A$6:$A$1206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xVal>
          <c:yVal>
            <c:numRef>
              <c:f>Results!$B$6:$B$1206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yVal>
        </c:ser>
        <c:ser>
          <c:idx val="1"/>
          <c:order val="1"/>
          <c:tx>
            <c:v>I_RTN</c:v>
          </c:tx>
          <c:spPr>
            <a:ln w="19050"/>
          </c:spPr>
          <c:marker>
            <c:symbol val="none"/>
          </c:marker>
          <c:xVal>
            <c:numRef>
              <c:f>Results!$A$6:$A$1206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xVal>
          <c:yVal>
            <c:numRef>
              <c:f>Results!$C$6:$C$1206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yVal>
        </c:ser>
        <c:ser>
          <c:idx val="2"/>
          <c:order val="2"/>
          <c:tx>
            <c:v>I_NM</c:v>
          </c:tx>
          <c:spPr>
            <a:ln w="19050"/>
          </c:spPr>
          <c:marker>
            <c:symbol val="none"/>
          </c:marker>
          <c:xVal>
            <c:numRef>
              <c:f>Results!$A$6:$A$1206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xVal>
          <c:yVal>
            <c:numRef>
              <c:f>Results!$D$6:$D$1206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"/>
          <c:min val="10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[Hz]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[dBµA]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LTspice vs Python: I_NM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LTspice I_NM</c:v>
          </c:tx>
          <c:spPr>
            <a:ln w="19050"/>
          </c:spPr>
          <c:marker>
            <c:symbol val="none"/>
          </c:marker>
          <c:xVal>
            <c:numRef>
              <c:f>LTspice_Compare!$A$19:$A$1219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101.1579454259899</c:v>
                </c:pt>
                <c:pt idx="2">
                  <c:v>102.3292992280754</c:v>
                </c:pt>
                <c:pt idx="3">
                  <c:v>103.5142166679344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107.1519305237607</c:v>
                </c:pt>
                <c:pt idx="7">
                  <c:v>108.3926914021204</c:v>
                </c:pt>
                <c:pt idx="8">
                  <c:v>109.6478196143185</c:v>
                </c:pt>
                <c:pt idx="9">
                  <c:v>110.9174815262402</c:v>
                </c:pt>
                <c:pt idx="10">
                  <c:v>112.2018454301964</c:v>
                </c:pt>
                <c:pt idx="11">
                  <c:v>113.5010815672316</c:v>
                </c:pt>
                <c:pt idx="12">
                  <c:v>114.8153621496884</c:v>
                </c:pt>
                <c:pt idx="13">
                  <c:v>116.1448613840344</c:v>
                </c:pt>
                <c:pt idx="14">
                  <c:v>117.4897554939531</c:v>
                </c:pt>
                <c:pt idx="15">
                  <c:v>118.850222743702</c:v>
                </c:pt>
                <c:pt idx="16">
                  <c:v>120.2264434617414</c:v>
                </c:pt>
                <c:pt idx="17">
                  <c:v>121.6186000646369</c:v>
                </c:pt>
                <c:pt idx="18">
                  <c:v>123.0268770812383</c:v>
                </c:pt>
                <c:pt idx="19">
                  <c:v>124.4514611771387</c:v>
                </c:pt>
                <c:pt idx="20">
                  <c:v>125.8925411794169</c:v>
                </c:pt>
                <c:pt idx="21">
                  <c:v>127.3503081016663</c:v>
                </c:pt>
                <c:pt idx="22">
                  <c:v>128.8249551693136</c:v>
                </c:pt>
                <c:pt idx="23">
                  <c:v>130.3166778452301</c:v>
                </c:pt>
                <c:pt idx="24">
                  <c:v>131.8256738556409</c:v>
                </c:pt>
                <c:pt idx="25">
                  <c:v>133.3521432163326</c:v>
                </c:pt>
                <c:pt idx="26">
                  <c:v>134.8962882591656</c:v>
                </c:pt>
                <c:pt idx="27">
                  <c:v>136.4583136588927</c:v>
                </c:pt>
                <c:pt idx="28">
                  <c:v>138.0384264602887</c:v>
                </c:pt>
                <c:pt idx="29">
                  <c:v>139.636836105594</c:v>
                </c:pt>
                <c:pt idx="30">
                  <c:v>141.2537544622757</c:v>
                </c:pt>
                <c:pt idx="31">
                  <c:v>142.8893958511106</c:v>
                </c:pt>
                <c:pt idx="32">
                  <c:v>144.543977074593</c:v>
                </c:pt>
                <c:pt idx="33">
                  <c:v>146.2177174456721</c:v>
                </c:pt>
                <c:pt idx="34">
                  <c:v>147.9108388168211</c:v>
                </c:pt>
                <c:pt idx="35">
                  <c:v>149.6235656094437</c:v>
                </c:pt>
                <c:pt idx="36">
                  <c:v>151.3561248436212</c:v>
                </c:pt>
                <c:pt idx="37">
                  <c:v>153.1087461682034</c:v>
                </c:pt>
                <c:pt idx="38">
                  <c:v>154.8816618912485</c:v>
                </c:pt>
                <c:pt idx="39">
                  <c:v>156.6751070108153</c:v>
                </c:pt>
                <c:pt idx="40">
                  <c:v>158.4893192461118</c:v>
                </c:pt>
                <c:pt idx="41">
                  <c:v>160.3245390690046</c:v>
                </c:pt>
                <c:pt idx="42">
                  <c:v>162.1810097358934</c:v>
                </c:pt>
                <c:pt idx="43">
                  <c:v>164.0589773199544</c:v>
                </c:pt>
                <c:pt idx="44">
                  <c:v>165.9586907437566</c:v>
                </c:pt>
                <c:pt idx="45">
                  <c:v>167.8804018122565</c:v>
                </c:pt>
                <c:pt idx="46">
                  <c:v>169.8243652461749</c:v>
                </c:pt>
                <c:pt idx="47">
                  <c:v>171.7908387157593</c:v>
                </c:pt>
                <c:pt idx="48">
                  <c:v>173.7800828749381</c:v>
                </c:pt>
                <c:pt idx="49">
                  <c:v>175.7923613958698</c:v>
                </c:pt>
                <c:pt idx="50">
                  <c:v>177.8279410038929</c:v>
                </c:pt>
                <c:pt idx="51">
                  <c:v>179.8870915128794</c:v>
                </c:pt>
                <c:pt idx="52">
                  <c:v>181.970085860999</c:v>
                </c:pt>
                <c:pt idx="53">
                  <c:v>184.0772001468962</c:v>
                </c:pt>
                <c:pt idx="54">
                  <c:v>186.2087136662874</c:v>
                </c:pt>
                <c:pt idx="55">
                  <c:v>188.3649089489807</c:v>
                </c:pt>
                <c:pt idx="56">
                  <c:v>190.5460717963254</c:v>
                </c:pt>
                <c:pt idx="57">
                  <c:v>192.7524913190943</c:v>
                </c:pt>
                <c:pt idx="58">
                  <c:v>194.9844599758053</c:v>
                </c:pt>
                <c:pt idx="59">
                  <c:v>197.2422736114862</c:v>
                </c:pt>
                <c:pt idx="60">
                  <c:v>199.5262314968888</c:v>
                </c:pt>
                <c:pt idx="61">
                  <c:v>201.8366363681569</c:v>
                </c:pt>
                <c:pt idx="62">
                  <c:v>204.1737944669538</c:v>
                </c:pt>
                <c:pt idx="63">
                  <c:v>206.5380155810538</c:v>
                </c:pt>
                <c:pt idx="64">
                  <c:v>208.9296130854049</c:v>
                </c:pt>
                <c:pt idx="65">
                  <c:v>211.3489039836656</c:v>
                </c:pt>
                <c:pt idx="66">
                  <c:v>213.7962089502242</c:v>
                </c:pt>
                <c:pt idx="67">
                  <c:v>216.271852372703</c:v>
                </c:pt>
                <c:pt idx="68">
                  <c:v>218.7761623949562</c:v>
                </c:pt>
                <c:pt idx="69">
                  <c:v>221.3094709605648</c:v>
                </c:pt>
                <c:pt idx="70">
                  <c:v>223.872113856835</c:v>
                </c:pt>
                <c:pt idx="71">
                  <c:v>226.464430759307</c:v>
                </c:pt>
                <c:pt idx="72">
                  <c:v>229.0867652767784</c:v>
                </c:pt>
                <c:pt idx="73">
                  <c:v>231.739464996849</c:v>
                </c:pt>
                <c:pt idx="74">
                  <c:v>234.4228815319934</c:v>
                </c:pt>
                <c:pt idx="75">
                  <c:v>237.1373705661667</c:v>
                </c:pt>
                <c:pt idx="76">
                  <c:v>239.8832919019503</c:v>
                </c:pt>
                <c:pt idx="77">
                  <c:v>242.6610095082428</c:v>
                </c:pt>
                <c:pt idx="78">
                  <c:v>245.4708915685043</c:v>
                </c:pt>
                <c:pt idx="79">
                  <c:v>248.3133105295584</c:v>
                </c:pt>
                <c:pt idx="80">
                  <c:v>251.1886431509593</c:v>
                </c:pt>
                <c:pt idx="81">
                  <c:v>254.0972705549319</c:v>
                </c:pt>
                <c:pt idx="82">
                  <c:v>257.0395782768878</c:v>
                </c:pt>
                <c:pt idx="83">
                  <c:v>260.0159563165286</c:v>
                </c:pt>
                <c:pt idx="84">
                  <c:v>263.0267991895396</c:v>
                </c:pt>
                <c:pt idx="85">
                  <c:v>266.0725059798825</c:v>
                </c:pt>
                <c:pt idx="86">
                  <c:v>269.1534803926931</c:v>
                </c:pt>
                <c:pt idx="87">
                  <c:v>272.2701308077928</c:v>
                </c:pt>
                <c:pt idx="88">
                  <c:v>275.4228703338183</c:v>
                </c:pt>
                <c:pt idx="89">
                  <c:v>278.6121168629787</c:v>
                </c:pt>
                <c:pt idx="90">
                  <c:v>281.8382931264471</c:v>
                </c:pt>
                <c:pt idx="91">
                  <c:v>285.1018267503927</c:v>
                </c:pt>
                <c:pt idx="92">
                  <c:v>288.4031503126624</c:v>
                </c:pt>
                <c:pt idx="93">
                  <c:v>291.7427014001185</c:v>
                </c:pt>
                <c:pt idx="94">
                  <c:v>295.1209226666404</c:v>
                </c:pt>
                <c:pt idx="95">
                  <c:v>298.5382618917978</c:v>
                </c:pt>
                <c:pt idx="96">
                  <c:v>301.9951720402036</c:v>
                </c:pt>
                <c:pt idx="97">
                  <c:v>305.4921113215533</c:v>
                </c:pt>
                <c:pt idx="98">
                  <c:v>309.0295432513611</c:v>
                </c:pt>
                <c:pt idx="99">
                  <c:v>312.6079367123975</c:v>
                </c:pt>
                <c:pt idx="100">
                  <c:v>316.2277660168401</c:v>
                </c:pt>
                <c:pt idx="101">
                  <c:v>319.889510969142</c:v>
                </c:pt>
                <c:pt idx="102">
                  <c:v>323.5936569296305</c:v>
                </c:pt>
                <c:pt idx="103">
                  <c:v>327.3406948788405</c:v>
                </c:pt>
                <c:pt idx="104">
                  <c:v>331.1311214825934</c:v>
                </c:pt>
                <c:pt idx="105">
                  <c:v>334.96543915783</c:v>
                </c:pt>
                <c:pt idx="106">
                  <c:v>338.844156139205</c:v>
                </c:pt>
                <c:pt idx="107">
                  <c:v>342.7677865464528</c:v>
                </c:pt>
                <c:pt idx="108">
                  <c:v>346.7368504525341</c:v>
                </c:pt>
                <c:pt idx="109">
                  <c:v>350.7518739525705</c:v>
                </c:pt>
                <c:pt idx="110">
                  <c:v>354.8133892335781</c:v>
                </c:pt>
                <c:pt idx="111">
                  <c:v>358.9219346450079</c:v>
                </c:pt>
                <c:pt idx="112">
                  <c:v>363.0780547701041</c:v>
                </c:pt>
                <c:pt idx="113">
                  <c:v>367.2823004980874</c:v>
                </c:pt>
                <c:pt idx="114">
                  <c:v>371.5352290971754</c:v>
                </c:pt>
                <c:pt idx="115">
                  <c:v>375.837404288447</c:v>
                </c:pt>
                <c:pt idx="116">
                  <c:v>380.1893963205641</c:v>
                </c:pt>
                <c:pt idx="117">
                  <c:v>384.5917820453566</c:v>
                </c:pt>
                <c:pt idx="118">
                  <c:v>389.0451449942836</c:v>
                </c:pt>
                <c:pt idx="119">
                  <c:v>393.5500754557806</c:v>
                </c:pt>
                <c:pt idx="120">
                  <c:v>398.1071705535004</c:v>
                </c:pt>
                <c:pt idx="121">
                  <c:v>402.7170343254624</c:v>
                </c:pt>
                <c:pt idx="122">
                  <c:v>407.380277804116</c:v>
                </c:pt>
                <c:pt idx="123">
                  <c:v>412.0975190973335</c:v>
                </c:pt>
                <c:pt idx="124">
                  <c:v>416.8693834703388</c:v>
                </c:pt>
                <c:pt idx="125">
                  <c:v>421.6965034285858</c:v>
                </c:pt>
                <c:pt idx="126">
                  <c:v>426.5795188015962</c:v>
                </c:pt>
                <c:pt idx="127">
                  <c:v>431.5190768277689</c:v>
                </c:pt>
                <c:pt idx="128">
                  <c:v>436.5158322401696</c:v>
                </c:pt>
                <c:pt idx="129">
                  <c:v>441.5704473533163</c:v>
                </c:pt>
                <c:pt idx="130">
                  <c:v>446.683592150967</c:v>
                </c:pt>
                <c:pt idx="131">
                  <c:v>451.8559443749263</c:v>
                </c:pt>
                <c:pt idx="132">
                  <c:v>457.0881896148791</c:v>
                </c:pt>
                <c:pt idx="133">
                  <c:v>462.3810213992644</c:v>
                </c:pt>
                <c:pt idx="134">
                  <c:v>467.7351412872023</c:v>
                </c:pt>
                <c:pt idx="135">
                  <c:v>473.1512589614847</c:v>
                </c:pt>
                <c:pt idx="136">
                  <c:v>478.6300923226427</c:v>
                </c:pt>
                <c:pt idx="137">
                  <c:v>484.1723675841037</c:v>
                </c:pt>
                <c:pt idx="138">
                  <c:v>489.7788193684507</c:v>
                </c:pt>
                <c:pt idx="139">
                  <c:v>495.4501908047948</c:v>
                </c:pt>
                <c:pt idx="140">
                  <c:v>501.1872336272769</c:v>
                </c:pt>
                <c:pt idx="141">
                  <c:v>506.990708274709</c:v>
                </c:pt>
                <c:pt idx="142">
                  <c:v>512.8613839913697</c:v>
                </c:pt>
                <c:pt idx="143">
                  <c:v>518.800038928966</c:v>
                </c:pt>
                <c:pt idx="144">
                  <c:v>524.8074602497776</c:v>
                </c:pt>
                <c:pt idx="145">
                  <c:v>530.8844442309935</c:v>
                </c:pt>
                <c:pt idx="146">
                  <c:v>537.0317963702579</c:v>
                </c:pt>
                <c:pt idx="147">
                  <c:v>543.2503314924385</c:v>
                </c:pt>
                <c:pt idx="148">
                  <c:v>549.54087385763</c:v>
                </c:pt>
                <c:pt idx="149">
                  <c:v>555.9042572704091</c:v>
                </c:pt>
                <c:pt idx="150">
                  <c:v>562.3413251903547</c:v>
                </c:pt>
                <c:pt idx="151">
                  <c:v>568.8529308438472</c:v>
                </c:pt>
                <c:pt idx="152">
                  <c:v>575.4399373371627</c:v>
                </c:pt>
                <c:pt idx="153">
                  <c:v>582.1032177708773</c:v>
                </c:pt>
                <c:pt idx="154">
                  <c:v>588.843655355595</c:v>
                </c:pt>
                <c:pt idx="155">
                  <c:v>595.6621435290166</c:v>
                </c:pt>
                <c:pt idx="156">
                  <c:v>602.559586074364</c:v>
                </c:pt>
                <c:pt idx="157">
                  <c:v>609.5368972401756</c:v>
                </c:pt>
                <c:pt idx="158">
                  <c:v>616.5950018614886</c:v>
                </c:pt>
                <c:pt idx="159">
                  <c:v>623.7348354824259</c:v>
                </c:pt>
                <c:pt idx="160">
                  <c:v>630.9573444802</c:v>
                </c:pt>
                <c:pt idx="161">
                  <c:v>638.2634861905556</c:v>
                </c:pt>
                <c:pt idx="162">
                  <c:v>645.6542290346624</c:v>
                </c:pt>
                <c:pt idx="163">
                  <c:v>653.1305526474794</c:v>
                </c:pt>
                <c:pt idx="164">
                  <c:v>660.6934480076033</c:v>
                </c:pt>
                <c:pt idx="165">
                  <c:v>668.3439175686219</c:v>
                </c:pt>
                <c:pt idx="166">
                  <c:v>676.0829753919892</c:v>
                </c:pt>
                <c:pt idx="167">
                  <c:v>683.9116472814369</c:v>
                </c:pt>
                <c:pt idx="168">
                  <c:v>691.8309709189442</c:v>
                </c:pt>
                <c:pt idx="169">
                  <c:v>699.8419960022813</c:v>
                </c:pt>
                <c:pt idx="170">
                  <c:v>707.9457843841459</c:v>
                </c:pt>
                <c:pt idx="171">
                  <c:v>716.1434102129101</c:v>
                </c:pt>
                <c:pt idx="172">
                  <c:v>724.4359600749983</c:v>
                </c:pt>
                <c:pt idx="173">
                  <c:v>732.8245331389124</c:v>
                </c:pt>
                <c:pt idx="174">
                  <c:v>741.3102413009261</c:v>
                </c:pt>
                <c:pt idx="175">
                  <c:v>749.8942093324646</c:v>
                </c:pt>
                <c:pt idx="176">
                  <c:v>758.5775750291926</c:v>
                </c:pt>
                <c:pt idx="177">
                  <c:v>767.3614893618279</c:v>
                </c:pt>
                <c:pt idx="178">
                  <c:v>776.2471166287008</c:v>
                </c:pt>
                <c:pt idx="179">
                  <c:v>785.2356346100811</c:v>
                </c:pt>
                <c:pt idx="180">
                  <c:v>794.328234724291</c:v>
                </c:pt>
                <c:pt idx="181">
                  <c:v>803.5261221856268</c:v>
                </c:pt>
                <c:pt idx="182">
                  <c:v>812.8305161641091</c:v>
                </c:pt>
                <c:pt idx="183">
                  <c:v>822.2426499470812</c:v>
                </c:pt>
                <c:pt idx="184">
                  <c:v>831.7637711026812</c:v>
                </c:pt>
                <c:pt idx="185">
                  <c:v>841.3951416452054</c:v>
                </c:pt>
                <c:pt idx="186">
                  <c:v>851.138038202387</c:v>
                </c:pt>
                <c:pt idx="187">
                  <c:v>860.9937521846114</c:v>
                </c:pt>
                <c:pt idx="188">
                  <c:v>870.9635899560915</c:v>
                </c:pt>
                <c:pt idx="189">
                  <c:v>881.0488730080251</c:v>
                </c:pt>
                <c:pt idx="190">
                  <c:v>891.2509381337568</c:v>
                </c:pt>
                <c:pt idx="191">
                  <c:v>901.5711376059683</c:v>
                </c:pt>
                <c:pt idx="192">
                  <c:v>912.0108393559213</c:v>
                </c:pt>
                <c:pt idx="193">
                  <c:v>922.5714271547749</c:v>
                </c:pt>
                <c:pt idx="194">
                  <c:v>933.2543007970031</c:v>
                </c:pt>
                <c:pt idx="195">
                  <c:v>944.0608762859356</c:v>
                </c:pt>
                <c:pt idx="196">
                  <c:v>954.9925860214485</c:v>
                </c:pt>
                <c:pt idx="197">
                  <c:v>966.0508789898261</c:v>
                </c:pt>
                <c:pt idx="198">
                  <c:v>977.2372209558234</c:v>
                </c:pt>
                <c:pt idx="199">
                  <c:v>988.5530946569519</c:v>
                </c:pt>
                <c:pt idx="200">
                  <c:v>1000.000000000013</c:v>
                </c:pt>
                <c:pt idx="201">
                  <c:v>1011.579454259912</c:v>
                </c:pt>
                <c:pt idx="202">
                  <c:v>1023.292992280768</c:v>
                </c:pt>
                <c:pt idx="203">
                  <c:v>1035.142166679358</c:v>
                </c:pt>
                <c:pt idx="204">
                  <c:v>1047.128548050914</c:v>
                </c:pt>
                <c:pt idx="205">
                  <c:v>1059.253725177303</c:v>
                </c:pt>
                <c:pt idx="206">
                  <c:v>1071.519305237621</c:v>
                </c:pt>
                <c:pt idx="207">
                  <c:v>1083.926914021218</c:v>
                </c:pt>
                <c:pt idx="208">
                  <c:v>1096.4781961432</c:v>
                </c:pt>
                <c:pt idx="209">
                  <c:v>1109.174815262417</c:v>
                </c:pt>
                <c:pt idx="210">
                  <c:v>1122.018454301979</c:v>
                </c:pt>
                <c:pt idx="211">
                  <c:v>1135.010815672331</c:v>
                </c:pt>
                <c:pt idx="212">
                  <c:v>1148.153621496899</c:v>
                </c:pt>
                <c:pt idx="213">
                  <c:v>1161.448613840359</c:v>
                </c:pt>
                <c:pt idx="214">
                  <c:v>1174.897554939546</c:v>
                </c:pt>
                <c:pt idx="215">
                  <c:v>1188.502227437036</c:v>
                </c:pt>
                <c:pt idx="216">
                  <c:v>1202.26443461743</c:v>
                </c:pt>
                <c:pt idx="217">
                  <c:v>1216.186000646386</c:v>
                </c:pt>
                <c:pt idx="218">
                  <c:v>1230.268770812399</c:v>
                </c:pt>
                <c:pt idx="219">
                  <c:v>1244.514611771403</c:v>
                </c:pt>
                <c:pt idx="220">
                  <c:v>1258.925411794185</c:v>
                </c:pt>
                <c:pt idx="221">
                  <c:v>1273.50308101668</c:v>
                </c:pt>
                <c:pt idx="222">
                  <c:v>1288.249551693153</c:v>
                </c:pt>
                <c:pt idx="223">
                  <c:v>1303.166778452319</c:v>
                </c:pt>
                <c:pt idx="224">
                  <c:v>1318.256738556427</c:v>
                </c:pt>
                <c:pt idx="225">
                  <c:v>1333.521432163344</c:v>
                </c:pt>
                <c:pt idx="226">
                  <c:v>1348.962882591674</c:v>
                </c:pt>
                <c:pt idx="227">
                  <c:v>1364.583136588945</c:v>
                </c:pt>
                <c:pt idx="228">
                  <c:v>1380.384264602906</c:v>
                </c:pt>
                <c:pt idx="229">
                  <c:v>1396.368361055959</c:v>
                </c:pt>
                <c:pt idx="230">
                  <c:v>1412.537544622776</c:v>
                </c:pt>
                <c:pt idx="231">
                  <c:v>1428.893958511125</c:v>
                </c:pt>
                <c:pt idx="232">
                  <c:v>1445.43977074595</c:v>
                </c:pt>
                <c:pt idx="233">
                  <c:v>1462.177174456741</c:v>
                </c:pt>
                <c:pt idx="234">
                  <c:v>1479.10838816823</c:v>
                </c:pt>
                <c:pt idx="235">
                  <c:v>1496.235656094457</c:v>
                </c:pt>
                <c:pt idx="236">
                  <c:v>1513.561248436232</c:v>
                </c:pt>
                <c:pt idx="237">
                  <c:v>1531.087461682054</c:v>
                </c:pt>
                <c:pt idx="238">
                  <c:v>1548.816618912506</c:v>
                </c:pt>
                <c:pt idx="239">
                  <c:v>1566.751070108174</c:v>
                </c:pt>
                <c:pt idx="240">
                  <c:v>1584.893192461139</c:v>
                </c:pt>
                <c:pt idx="241">
                  <c:v>1603.245390690067</c:v>
                </c:pt>
                <c:pt idx="242">
                  <c:v>1621.810097358956</c:v>
                </c:pt>
                <c:pt idx="243">
                  <c:v>1640.589773199566</c:v>
                </c:pt>
                <c:pt idx="244">
                  <c:v>1659.586907437588</c:v>
                </c:pt>
                <c:pt idx="245">
                  <c:v>1678.804018122588</c:v>
                </c:pt>
                <c:pt idx="246">
                  <c:v>1698.243652461772</c:v>
                </c:pt>
                <c:pt idx="247">
                  <c:v>1717.908387157617</c:v>
                </c:pt>
                <c:pt idx="248">
                  <c:v>1737.800828749404</c:v>
                </c:pt>
                <c:pt idx="249">
                  <c:v>1757.923613958722</c:v>
                </c:pt>
                <c:pt idx="250">
                  <c:v>1778.279410038952</c:v>
                </c:pt>
                <c:pt idx="251">
                  <c:v>1798.870915128818</c:v>
                </c:pt>
                <c:pt idx="252">
                  <c:v>1819.700858610014</c:v>
                </c:pt>
                <c:pt idx="253">
                  <c:v>1840.772001468987</c:v>
                </c:pt>
                <c:pt idx="254">
                  <c:v>1862.087136662899</c:v>
                </c:pt>
                <c:pt idx="255">
                  <c:v>1883.649089489832</c:v>
                </c:pt>
                <c:pt idx="256">
                  <c:v>1905.46071796328</c:v>
                </c:pt>
                <c:pt idx="257">
                  <c:v>1927.524913190969</c:v>
                </c:pt>
                <c:pt idx="258">
                  <c:v>1949.844599758079</c:v>
                </c:pt>
                <c:pt idx="259">
                  <c:v>1972.422736114888</c:v>
                </c:pt>
                <c:pt idx="260">
                  <c:v>1995.262314968914</c:v>
                </c:pt>
                <c:pt idx="261">
                  <c:v>2018.366363681596</c:v>
                </c:pt>
                <c:pt idx="262">
                  <c:v>2041.737944669565</c:v>
                </c:pt>
                <c:pt idx="263">
                  <c:v>2065.380155810566</c:v>
                </c:pt>
                <c:pt idx="264">
                  <c:v>2089.296130854076</c:v>
                </c:pt>
                <c:pt idx="265">
                  <c:v>2113.489039836684</c:v>
                </c:pt>
                <c:pt idx="266">
                  <c:v>2137.96208950227</c:v>
                </c:pt>
                <c:pt idx="267">
                  <c:v>2162.718523727059</c:v>
                </c:pt>
                <c:pt idx="268">
                  <c:v>2187.761623949591</c:v>
                </c:pt>
                <c:pt idx="269">
                  <c:v>2213.094709605677</c:v>
                </c:pt>
                <c:pt idx="270">
                  <c:v>2238.72113856838</c:v>
                </c:pt>
                <c:pt idx="271">
                  <c:v>2264.6443075931</c:v>
                </c:pt>
                <c:pt idx="272">
                  <c:v>2290.867652767814</c:v>
                </c:pt>
                <c:pt idx="273">
                  <c:v>2317.394649968521</c:v>
                </c:pt>
                <c:pt idx="274">
                  <c:v>2344.228815319965</c:v>
                </c:pt>
                <c:pt idx="275">
                  <c:v>2371.373705661698</c:v>
                </c:pt>
                <c:pt idx="276">
                  <c:v>2398.832919019535</c:v>
                </c:pt>
                <c:pt idx="277">
                  <c:v>2426.61009508246</c:v>
                </c:pt>
                <c:pt idx="278">
                  <c:v>2454.708915685076</c:v>
                </c:pt>
                <c:pt idx="279">
                  <c:v>2483.133105295616</c:v>
                </c:pt>
                <c:pt idx="280">
                  <c:v>2511.886431509627</c:v>
                </c:pt>
                <c:pt idx="281">
                  <c:v>2540.972705549353</c:v>
                </c:pt>
                <c:pt idx="282">
                  <c:v>2570.395782768912</c:v>
                </c:pt>
                <c:pt idx="283">
                  <c:v>2600.159563165321</c:v>
                </c:pt>
                <c:pt idx="284">
                  <c:v>2630.267991895431</c:v>
                </c:pt>
                <c:pt idx="285">
                  <c:v>2660.72505979886</c:v>
                </c:pt>
                <c:pt idx="286">
                  <c:v>2691.534803926967</c:v>
                </c:pt>
                <c:pt idx="287">
                  <c:v>2722.701308077964</c:v>
                </c:pt>
                <c:pt idx="288">
                  <c:v>2754.228703338219</c:v>
                </c:pt>
                <c:pt idx="289">
                  <c:v>2786.121168629824</c:v>
                </c:pt>
                <c:pt idx="290">
                  <c:v>2818.382931264508</c:v>
                </c:pt>
                <c:pt idx="291">
                  <c:v>2851.018267503965</c:v>
                </c:pt>
                <c:pt idx="292">
                  <c:v>2884.031503126662</c:v>
                </c:pt>
                <c:pt idx="293">
                  <c:v>2917.427014001224</c:v>
                </c:pt>
                <c:pt idx="294">
                  <c:v>2951.209226666444</c:v>
                </c:pt>
                <c:pt idx="295">
                  <c:v>2985.382618918018</c:v>
                </c:pt>
                <c:pt idx="296">
                  <c:v>3019.951720402076</c:v>
                </c:pt>
                <c:pt idx="297">
                  <c:v>3054.921113215574</c:v>
                </c:pt>
                <c:pt idx="298">
                  <c:v>3090.295432513652</c:v>
                </c:pt>
                <c:pt idx="299">
                  <c:v>3126.079367124017</c:v>
                </c:pt>
                <c:pt idx="300">
                  <c:v>3162.277660168443</c:v>
                </c:pt>
                <c:pt idx="301">
                  <c:v>3198.895109691462</c:v>
                </c:pt>
                <c:pt idx="302">
                  <c:v>3235.936569296348</c:v>
                </c:pt>
                <c:pt idx="303">
                  <c:v>3273.406948788448</c:v>
                </c:pt>
                <c:pt idx="304">
                  <c:v>3311.311214825978</c:v>
                </c:pt>
                <c:pt idx="305">
                  <c:v>3349.654391578345</c:v>
                </c:pt>
                <c:pt idx="306">
                  <c:v>3388.441561392094</c:v>
                </c:pt>
                <c:pt idx="307">
                  <c:v>3427.677865464573</c:v>
                </c:pt>
                <c:pt idx="308">
                  <c:v>3467.368504525388</c:v>
                </c:pt>
                <c:pt idx="309">
                  <c:v>3507.518739525752</c:v>
                </c:pt>
                <c:pt idx="310">
                  <c:v>3548.133892335828</c:v>
                </c:pt>
                <c:pt idx="311">
                  <c:v>3589.219346450126</c:v>
                </c:pt>
                <c:pt idx="312">
                  <c:v>3630.780547701089</c:v>
                </c:pt>
                <c:pt idx="313">
                  <c:v>3672.823004980923</c:v>
                </c:pt>
                <c:pt idx="314">
                  <c:v>3715.352290971803</c:v>
                </c:pt>
                <c:pt idx="315">
                  <c:v>3758.37404288452</c:v>
                </c:pt>
                <c:pt idx="316">
                  <c:v>3801.893963205692</c:v>
                </c:pt>
                <c:pt idx="317">
                  <c:v>3845.917820453617</c:v>
                </c:pt>
                <c:pt idx="318">
                  <c:v>3890.451449942888</c:v>
                </c:pt>
                <c:pt idx="319">
                  <c:v>3935.500754557858</c:v>
                </c:pt>
                <c:pt idx="320">
                  <c:v>3981.071705535057</c:v>
                </c:pt>
                <c:pt idx="321">
                  <c:v>4027.170343254676</c:v>
                </c:pt>
                <c:pt idx="322">
                  <c:v>4073.802778041214</c:v>
                </c:pt>
                <c:pt idx="323">
                  <c:v>4120.97519097339</c:v>
                </c:pt>
                <c:pt idx="324">
                  <c:v>4168.693834703444</c:v>
                </c:pt>
                <c:pt idx="325">
                  <c:v>4216.965034285913</c:v>
                </c:pt>
                <c:pt idx="326">
                  <c:v>4265.795188016019</c:v>
                </c:pt>
                <c:pt idx="327">
                  <c:v>4315.190768277746</c:v>
                </c:pt>
                <c:pt idx="328">
                  <c:v>4365.158322401755</c:v>
                </c:pt>
                <c:pt idx="329">
                  <c:v>4415.704473533221</c:v>
                </c:pt>
                <c:pt idx="330">
                  <c:v>4466.835921509729</c:v>
                </c:pt>
                <c:pt idx="331">
                  <c:v>4518.559443749323</c:v>
                </c:pt>
                <c:pt idx="332">
                  <c:v>4570.881896148851</c:v>
                </c:pt>
                <c:pt idx="333">
                  <c:v>4623.810213992705</c:v>
                </c:pt>
                <c:pt idx="334">
                  <c:v>4677.351412872085</c:v>
                </c:pt>
                <c:pt idx="335">
                  <c:v>4731.51258961491</c:v>
                </c:pt>
                <c:pt idx="336">
                  <c:v>4786.30092322649</c:v>
                </c:pt>
                <c:pt idx="337">
                  <c:v>4841.723675841102</c:v>
                </c:pt>
                <c:pt idx="338">
                  <c:v>4897.788193684572</c:v>
                </c:pt>
                <c:pt idx="339">
                  <c:v>4954.501908048014</c:v>
                </c:pt>
                <c:pt idx="340">
                  <c:v>5011.872336272836</c:v>
                </c:pt>
                <c:pt idx="341">
                  <c:v>5069.907082747159</c:v>
                </c:pt>
                <c:pt idx="342">
                  <c:v>5128.613839913764</c:v>
                </c:pt>
                <c:pt idx="343">
                  <c:v>5188.000389289729</c:v>
                </c:pt>
                <c:pt idx="344">
                  <c:v>5248.074602497846</c:v>
                </c:pt>
                <c:pt idx="345">
                  <c:v>5308.844442310005</c:v>
                </c:pt>
                <c:pt idx="346">
                  <c:v>5370.317963702651</c:v>
                </c:pt>
                <c:pt idx="347">
                  <c:v>5432.503314924457</c:v>
                </c:pt>
                <c:pt idx="348">
                  <c:v>5495.408738576372</c:v>
                </c:pt>
                <c:pt idx="349">
                  <c:v>5559.042572704165</c:v>
                </c:pt>
                <c:pt idx="350">
                  <c:v>5623.413251903621</c:v>
                </c:pt>
                <c:pt idx="351">
                  <c:v>5688.529308438548</c:v>
                </c:pt>
                <c:pt idx="352">
                  <c:v>5754.399373371703</c:v>
                </c:pt>
                <c:pt idx="353">
                  <c:v>5821.032177708851</c:v>
                </c:pt>
                <c:pt idx="354">
                  <c:v>5888.436553556028</c:v>
                </c:pt>
                <c:pt idx="355">
                  <c:v>5956.621435290245</c:v>
                </c:pt>
                <c:pt idx="356">
                  <c:v>6025.59586074372</c:v>
                </c:pt>
                <c:pt idx="357">
                  <c:v>6095.368972401836</c:v>
                </c:pt>
                <c:pt idx="358">
                  <c:v>6165.950018614969</c:v>
                </c:pt>
                <c:pt idx="359">
                  <c:v>6237.348354824341</c:v>
                </c:pt>
                <c:pt idx="360">
                  <c:v>6309.573444802083</c:v>
                </c:pt>
                <c:pt idx="361">
                  <c:v>6382.63486190564</c:v>
                </c:pt>
                <c:pt idx="362">
                  <c:v>6456.542290346711</c:v>
                </c:pt>
                <c:pt idx="363">
                  <c:v>6531.305526474881</c:v>
                </c:pt>
                <c:pt idx="364">
                  <c:v>6606.93448007612</c:v>
                </c:pt>
                <c:pt idx="365">
                  <c:v>6683.439175686309</c:v>
                </c:pt>
                <c:pt idx="366">
                  <c:v>6760.829753919982</c:v>
                </c:pt>
                <c:pt idx="367">
                  <c:v>6839.11647281446</c:v>
                </c:pt>
                <c:pt idx="368">
                  <c:v>6918.309709189533</c:v>
                </c:pt>
                <c:pt idx="369">
                  <c:v>6998.419960022906</c:v>
                </c:pt>
                <c:pt idx="370">
                  <c:v>7079.457843841553</c:v>
                </c:pt>
                <c:pt idx="371">
                  <c:v>7161.434102129197</c:v>
                </c:pt>
                <c:pt idx="372">
                  <c:v>7244.35960075008</c:v>
                </c:pt>
                <c:pt idx="373">
                  <c:v>7328.245331389222</c:v>
                </c:pt>
                <c:pt idx="374">
                  <c:v>7413.102413009359</c:v>
                </c:pt>
                <c:pt idx="375">
                  <c:v>7498.942093324745</c:v>
                </c:pt>
                <c:pt idx="376">
                  <c:v>7585.775750292028</c:v>
                </c:pt>
                <c:pt idx="377">
                  <c:v>7673.614893618383</c:v>
                </c:pt>
                <c:pt idx="378">
                  <c:v>7762.471166287112</c:v>
                </c:pt>
                <c:pt idx="379">
                  <c:v>7852.356346100916</c:v>
                </c:pt>
                <c:pt idx="380">
                  <c:v>7943.282347243015</c:v>
                </c:pt>
                <c:pt idx="381">
                  <c:v>8035.261221856376</c:v>
                </c:pt>
                <c:pt idx="382">
                  <c:v>8128.305161641199</c:v>
                </c:pt>
                <c:pt idx="383">
                  <c:v>8222.426499470921</c:v>
                </c:pt>
                <c:pt idx="384">
                  <c:v>8317.637711026922</c:v>
                </c:pt>
                <c:pt idx="385">
                  <c:v>8413.951416452166</c:v>
                </c:pt>
                <c:pt idx="386">
                  <c:v>8511.380382023983</c:v>
                </c:pt>
                <c:pt idx="387">
                  <c:v>8609.937521846228</c:v>
                </c:pt>
                <c:pt idx="388">
                  <c:v>8709.635899561032</c:v>
                </c:pt>
                <c:pt idx="389">
                  <c:v>8810.488730080368</c:v>
                </c:pt>
                <c:pt idx="390">
                  <c:v>8912.509381337686</c:v>
                </c:pt>
                <c:pt idx="391">
                  <c:v>9015.711376059804</c:v>
                </c:pt>
                <c:pt idx="392">
                  <c:v>9120.108393559334</c:v>
                </c:pt>
                <c:pt idx="393">
                  <c:v>9225.714271547873</c:v>
                </c:pt>
                <c:pt idx="394">
                  <c:v>9332.543007970155</c:v>
                </c:pt>
                <c:pt idx="395">
                  <c:v>9440.608762859481</c:v>
                </c:pt>
                <c:pt idx="396">
                  <c:v>9549.925860214611</c:v>
                </c:pt>
                <c:pt idx="397">
                  <c:v>9660.508789898387</c:v>
                </c:pt>
                <c:pt idx="398">
                  <c:v>9772.372209558365</c:v>
                </c:pt>
                <c:pt idx="399">
                  <c:v>9885.53094656965</c:v>
                </c:pt>
                <c:pt idx="400">
                  <c:v>10000.00000000027</c:v>
                </c:pt>
                <c:pt idx="401">
                  <c:v>10115.79454259925</c:v>
                </c:pt>
                <c:pt idx="402">
                  <c:v>10232.92992280781</c:v>
                </c:pt>
                <c:pt idx="403">
                  <c:v>10351.42166679371</c:v>
                </c:pt>
                <c:pt idx="404">
                  <c:v>10471.28548050928</c:v>
                </c:pt>
                <c:pt idx="405">
                  <c:v>10592.53725177317</c:v>
                </c:pt>
                <c:pt idx="406">
                  <c:v>10715.19305237635</c:v>
                </c:pt>
                <c:pt idx="407">
                  <c:v>10839.26914021233</c:v>
                </c:pt>
                <c:pt idx="408">
                  <c:v>10964.78196143215</c:v>
                </c:pt>
                <c:pt idx="409">
                  <c:v>11091.74815262431</c:v>
                </c:pt>
                <c:pt idx="410">
                  <c:v>11220.18454301994</c:v>
                </c:pt>
                <c:pt idx="411">
                  <c:v>11350.10815672346</c:v>
                </c:pt>
                <c:pt idx="412">
                  <c:v>11481.53621496914</c:v>
                </c:pt>
                <c:pt idx="413">
                  <c:v>11614.48613840375</c:v>
                </c:pt>
                <c:pt idx="414">
                  <c:v>11748.97554939562</c:v>
                </c:pt>
                <c:pt idx="415">
                  <c:v>11885.02227437051</c:v>
                </c:pt>
                <c:pt idx="416">
                  <c:v>12022.64434617446</c:v>
                </c:pt>
                <c:pt idx="417">
                  <c:v>12161.86000646402</c:v>
                </c:pt>
                <c:pt idx="418">
                  <c:v>12302.68770812416</c:v>
                </c:pt>
                <c:pt idx="419">
                  <c:v>12445.1461177142</c:v>
                </c:pt>
                <c:pt idx="420">
                  <c:v>12589.25411794202</c:v>
                </c:pt>
                <c:pt idx="421">
                  <c:v>12735.03081016697</c:v>
                </c:pt>
                <c:pt idx="422">
                  <c:v>12882.4955169317</c:v>
                </c:pt>
                <c:pt idx="423">
                  <c:v>13031.66778452336</c:v>
                </c:pt>
                <c:pt idx="424">
                  <c:v>13182.56738556444</c:v>
                </c:pt>
                <c:pt idx="425">
                  <c:v>13335.21432163362</c:v>
                </c:pt>
                <c:pt idx="426">
                  <c:v>13489.62882591692</c:v>
                </c:pt>
                <c:pt idx="427">
                  <c:v>13645.83136588963</c:v>
                </c:pt>
                <c:pt idx="428">
                  <c:v>13803.84264602924</c:v>
                </c:pt>
                <c:pt idx="429">
                  <c:v>13963.68361055978</c:v>
                </c:pt>
                <c:pt idx="430">
                  <c:v>14125.37544622795</c:v>
                </c:pt>
                <c:pt idx="431">
                  <c:v>14288.93958511144</c:v>
                </c:pt>
                <c:pt idx="432">
                  <c:v>14454.39770745969</c:v>
                </c:pt>
                <c:pt idx="433">
                  <c:v>14621.7717445676</c:v>
                </c:pt>
                <c:pt idx="434">
                  <c:v>14791.0838816825</c:v>
                </c:pt>
                <c:pt idx="435">
                  <c:v>14962.35656094477</c:v>
                </c:pt>
                <c:pt idx="436">
                  <c:v>15135.61248436252</c:v>
                </c:pt>
                <c:pt idx="437">
                  <c:v>15310.87461682075</c:v>
                </c:pt>
                <c:pt idx="438">
                  <c:v>15488.16618912526</c:v>
                </c:pt>
                <c:pt idx="439">
                  <c:v>15667.51070108195</c:v>
                </c:pt>
                <c:pt idx="440">
                  <c:v>15848.9319246116</c:v>
                </c:pt>
                <c:pt idx="441">
                  <c:v>16032.45390690088</c:v>
                </c:pt>
                <c:pt idx="442">
                  <c:v>16218.10097358978</c:v>
                </c:pt>
                <c:pt idx="443">
                  <c:v>16405.89773199588</c:v>
                </c:pt>
                <c:pt idx="444">
                  <c:v>16595.8690743761</c:v>
                </c:pt>
                <c:pt idx="445">
                  <c:v>16788.0401812261</c:v>
                </c:pt>
                <c:pt idx="446">
                  <c:v>16982.43652461795</c:v>
                </c:pt>
                <c:pt idx="447">
                  <c:v>17179.08387157639</c:v>
                </c:pt>
                <c:pt idx="448">
                  <c:v>17378.00828749427</c:v>
                </c:pt>
                <c:pt idx="449">
                  <c:v>17579.23613958745</c:v>
                </c:pt>
                <c:pt idx="450">
                  <c:v>17782.79410038976</c:v>
                </c:pt>
                <c:pt idx="451">
                  <c:v>17988.70915128842</c:v>
                </c:pt>
                <c:pt idx="452">
                  <c:v>18197.00858610038</c:v>
                </c:pt>
                <c:pt idx="453">
                  <c:v>18407.72001469011</c:v>
                </c:pt>
                <c:pt idx="454">
                  <c:v>18620.87136662924</c:v>
                </c:pt>
                <c:pt idx="455">
                  <c:v>18836.49089489858</c:v>
                </c:pt>
                <c:pt idx="456">
                  <c:v>19054.60717963305</c:v>
                </c:pt>
                <c:pt idx="457">
                  <c:v>19275.24913190995</c:v>
                </c:pt>
                <c:pt idx="458">
                  <c:v>19498.44599758105</c:v>
                </c:pt>
                <c:pt idx="459">
                  <c:v>19724.22736114914</c:v>
                </c:pt>
                <c:pt idx="460">
                  <c:v>19952.62314968941</c:v>
                </c:pt>
                <c:pt idx="461">
                  <c:v>20183.66363681623</c:v>
                </c:pt>
                <c:pt idx="462">
                  <c:v>20417.37944669592</c:v>
                </c:pt>
                <c:pt idx="463">
                  <c:v>20653.80155810593</c:v>
                </c:pt>
                <c:pt idx="464">
                  <c:v>20892.96130854104</c:v>
                </c:pt>
                <c:pt idx="465">
                  <c:v>21134.89039836712</c:v>
                </c:pt>
                <c:pt idx="466">
                  <c:v>21379.62089502298</c:v>
                </c:pt>
                <c:pt idx="467">
                  <c:v>21627.18523727087</c:v>
                </c:pt>
                <c:pt idx="468">
                  <c:v>21877.6162394962</c:v>
                </c:pt>
                <c:pt idx="469">
                  <c:v>22130.94709605707</c:v>
                </c:pt>
                <c:pt idx="470">
                  <c:v>22387.2113856841</c:v>
                </c:pt>
                <c:pt idx="471">
                  <c:v>22646.4430759313</c:v>
                </c:pt>
                <c:pt idx="472">
                  <c:v>22908.67652767845</c:v>
                </c:pt>
                <c:pt idx="473">
                  <c:v>23173.94649968551</c:v>
                </c:pt>
                <c:pt idx="474">
                  <c:v>23442.28815319996</c:v>
                </c:pt>
                <c:pt idx="475">
                  <c:v>23713.7370566173</c:v>
                </c:pt>
                <c:pt idx="476">
                  <c:v>23988.32919019566</c:v>
                </c:pt>
                <c:pt idx="477">
                  <c:v>24266.10095082492</c:v>
                </c:pt>
                <c:pt idx="478">
                  <c:v>24547.08915685109</c:v>
                </c:pt>
                <c:pt idx="479">
                  <c:v>24831.3310529565</c:v>
                </c:pt>
                <c:pt idx="480">
                  <c:v>25118.8643150966</c:v>
                </c:pt>
                <c:pt idx="481">
                  <c:v>25409.72705549386</c:v>
                </c:pt>
                <c:pt idx="482">
                  <c:v>25703.95782768946</c:v>
                </c:pt>
                <c:pt idx="483">
                  <c:v>26001.59563165356</c:v>
                </c:pt>
                <c:pt idx="484">
                  <c:v>26302.67991895467</c:v>
                </c:pt>
                <c:pt idx="485">
                  <c:v>26607.25059798895</c:v>
                </c:pt>
                <c:pt idx="486">
                  <c:v>26915.34803927003</c:v>
                </c:pt>
                <c:pt idx="487">
                  <c:v>27227.01308078001</c:v>
                </c:pt>
                <c:pt idx="488">
                  <c:v>27542.28703338256</c:v>
                </c:pt>
                <c:pt idx="489">
                  <c:v>27861.21168629861</c:v>
                </c:pt>
                <c:pt idx="490">
                  <c:v>28183.82931264546</c:v>
                </c:pt>
                <c:pt idx="491">
                  <c:v>28510.18267504002</c:v>
                </c:pt>
                <c:pt idx="492">
                  <c:v>28840.315031267</c:v>
                </c:pt>
                <c:pt idx="493">
                  <c:v>29174.27014001262</c:v>
                </c:pt>
                <c:pt idx="494">
                  <c:v>29512.09226666483</c:v>
                </c:pt>
                <c:pt idx="495">
                  <c:v>29853.82618918058</c:v>
                </c:pt>
                <c:pt idx="496">
                  <c:v>30199.51720402116</c:v>
                </c:pt>
                <c:pt idx="497">
                  <c:v>30549.21113215614</c:v>
                </c:pt>
                <c:pt idx="498">
                  <c:v>30902.95432513693</c:v>
                </c:pt>
                <c:pt idx="499">
                  <c:v>31260.79367124059</c:v>
                </c:pt>
                <c:pt idx="500">
                  <c:v>31622.77660168484</c:v>
                </c:pt>
                <c:pt idx="501">
                  <c:v>31988.95109691505</c:v>
                </c:pt>
                <c:pt idx="502">
                  <c:v>32359.3656929639</c:v>
                </c:pt>
                <c:pt idx="503">
                  <c:v>32734.06948788491</c:v>
                </c:pt>
                <c:pt idx="504">
                  <c:v>33113.11214826022</c:v>
                </c:pt>
                <c:pt idx="505">
                  <c:v>33496.54391578389</c:v>
                </c:pt>
                <c:pt idx="506">
                  <c:v>33884.4156139214</c:v>
                </c:pt>
                <c:pt idx="507">
                  <c:v>34276.77865464619</c:v>
                </c:pt>
                <c:pt idx="508">
                  <c:v>34673.68504525434</c:v>
                </c:pt>
                <c:pt idx="509">
                  <c:v>35075.18739525798</c:v>
                </c:pt>
                <c:pt idx="510">
                  <c:v>35481.33892335875</c:v>
                </c:pt>
                <c:pt idx="511">
                  <c:v>35892.19346450174</c:v>
                </c:pt>
                <c:pt idx="512">
                  <c:v>36307.80547701137</c:v>
                </c:pt>
                <c:pt idx="513">
                  <c:v>36728.23004980972</c:v>
                </c:pt>
                <c:pt idx="514">
                  <c:v>37153.52290971852</c:v>
                </c:pt>
                <c:pt idx="515">
                  <c:v>37583.7404288457</c:v>
                </c:pt>
                <c:pt idx="516">
                  <c:v>38018.93963205742</c:v>
                </c:pt>
                <c:pt idx="517">
                  <c:v>38459.17820453668</c:v>
                </c:pt>
                <c:pt idx="518">
                  <c:v>38904.5144994294</c:v>
                </c:pt>
                <c:pt idx="519">
                  <c:v>39355.0075455791</c:v>
                </c:pt>
                <c:pt idx="520">
                  <c:v>39810.7170553511</c:v>
                </c:pt>
                <c:pt idx="521">
                  <c:v>40271.70343254731</c:v>
                </c:pt>
                <c:pt idx="522">
                  <c:v>40738.02778041269</c:v>
                </c:pt>
                <c:pt idx="523">
                  <c:v>41209.75190973446</c:v>
                </c:pt>
                <c:pt idx="524">
                  <c:v>41686.93834703499</c:v>
                </c:pt>
                <c:pt idx="525">
                  <c:v>42169.65034285969</c:v>
                </c:pt>
                <c:pt idx="526">
                  <c:v>42657.95188016076</c:v>
                </c:pt>
                <c:pt idx="527">
                  <c:v>43151.90768277804</c:v>
                </c:pt>
                <c:pt idx="528">
                  <c:v>43651.58322401813</c:v>
                </c:pt>
                <c:pt idx="529">
                  <c:v>44157.0447353328</c:v>
                </c:pt>
                <c:pt idx="530">
                  <c:v>44668.35921509788</c:v>
                </c:pt>
                <c:pt idx="531">
                  <c:v>45185.59443749383</c:v>
                </c:pt>
                <c:pt idx="532">
                  <c:v>45708.81896148912</c:v>
                </c:pt>
                <c:pt idx="533">
                  <c:v>46238.10213992767</c:v>
                </c:pt>
                <c:pt idx="534">
                  <c:v>46773.51412872148</c:v>
                </c:pt>
                <c:pt idx="535">
                  <c:v>47315.12589614973</c:v>
                </c:pt>
                <c:pt idx="536">
                  <c:v>47863.00923226554</c:v>
                </c:pt>
                <c:pt idx="537">
                  <c:v>48417.23675841166</c:v>
                </c:pt>
                <c:pt idx="538">
                  <c:v>48977.88193684637</c:v>
                </c:pt>
                <c:pt idx="539">
                  <c:v>49545.01908048079</c:v>
                </c:pt>
                <c:pt idx="540">
                  <c:v>50118.72336272903</c:v>
                </c:pt>
                <c:pt idx="541">
                  <c:v>50699.07082747226</c:v>
                </c:pt>
                <c:pt idx="542">
                  <c:v>51286.13839913834</c:v>
                </c:pt>
                <c:pt idx="543">
                  <c:v>51880.00389289798</c:v>
                </c:pt>
                <c:pt idx="544">
                  <c:v>52480.74602497915</c:v>
                </c:pt>
                <c:pt idx="545">
                  <c:v>53088.44442310076</c:v>
                </c:pt>
                <c:pt idx="546">
                  <c:v>53703.17963702722</c:v>
                </c:pt>
                <c:pt idx="547">
                  <c:v>54325.03314924529</c:v>
                </c:pt>
                <c:pt idx="548">
                  <c:v>54954.08738576445</c:v>
                </c:pt>
                <c:pt idx="549">
                  <c:v>55590.42572704238</c:v>
                </c:pt>
                <c:pt idx="550">
                  <c:v>56234.13251903696</c:v>
                </c:pt>
                <c:pt idx="551">
                  <c:v>56885.29308438623</c:v>
                </c:pt>
                <c:pt idx="552">
                  <c:v>57543.99373371781</c:v>
                </c:pt>
                <c:pt idx="553">
                  <c:v>58210.32177708928</c:v>
                </c:pt>
                <c:pt idx="554">
                  <c:v>58884.36553556106</c:v>
                </c:pt>
                <c:pt idx="555">
                  <c:v>59566.21435290324</c:v>
                </c:pt>
                <c:pt idx="556">
                  <c:v>60255.95860743801</c:v>
                </c:pt>
                <c:pt idx="557">
                  <c:v>60953.68972401917</c:v>
                </c:pt>
                <c:pt idx="558">
                  <c:v>61659.5001861505</c:v>
                </c:pt>
                <c:pt idx="559">
                  <c:v>62373.48354824424</c:v>
                </c:pt>
                <c:pt idx="560">
                  <c:v>63095.73444802168</c:v>
                </c:pt>
                <c:pt idx="561">
                  <c:v>63826.34861905725</c:v>
                </c:pt>
                <c:pt idx="562">
                  <c:v>64565.42290346796</c:v>
                </c:pt>
                <c:pt idx="563">
                  <c:v>65313.05526474967</c:v>
                </c:pt>
                <c:pt idx="564">
                  <c:v>66069.34480076208</c:v>
                </c:pt>
                <c:pt idx="565">
                  <c:v>66834.39175686396</c:v>
                </c:pt>
                <c:pt idx="566">
                  <c:v>67608.29753920072</c:v>
                </c:pt>
                <c:pt idx="567">
                  <c:v>68391.16472814551</c:v>
                </c:pt>
                <c:pt idx="568">
                  <c:v>69183.09709189627</c:v>
                </c:pt>
                <c:pt idx="569">
                  <c:v>69984.19960023</c:v>
                </c:pt>
                <c:pt idx="570">
                  <c:v>70794.57843841647</c:v>
                </c:pt>
                <c:pt idx="571">
                  <c:v>71614.34102129292</c:v>
                </c:pt>
                <c:pt idx="572">
                  <c:v>72443.59600750176</c:v>
                </c:pt>
                <c:pt idx="573">
                  <c:v>73282.4533138932</c:v>
                </c:pt>
                <c:pt idx="574">
                  <c:v>74131.02413009458</c:v>
                </c:pt>
                <c:pt idx="575">
                  <c:v>74989.42093324845</c:v>
                </c:pt>
                <c:pt idx="576">
                  <c:v>75857.75750292127</c:v>
                </c:pt>
                <c:pt idx="577">
                  <c:v>76736.14893618484</c:v>
                </c:pt>
                <c:pt idx="578">
                  <c:v>77624.71166287216</c:v>
                </c:pt>
                <c:pt idx="579">
                  <c:v>78523.5634610102</c:v>
                </c:pt>
                <c:pt idx="580">
                  <c:v>79432.82347243121</c:v>
                </c:pt>
                <c:pt idx="581">
                  <c:v>80352.61221856483</c:v>
                </c:pt>
                <c:pt idx="582">
                  <c:v>81283.05161641307</c:v>
                </c:pt>
                <c:pt idx="583">
                  <c:v>82224.26499471031</c:v>
                </c:pt>
                <c:pt idx="584">
                  <c:v>83176.37711027033</c:v>
                </c:pt>
                <c:pt idx="585">
                  <c:v>84139.51416452278</c:v>
                </c:pt>
                <c:pt idx="586">
                  <c:v>85113.80382024095</c:v>
                </c:pt>
                <c:pt idx="587">
                  <c:v>86099.37521846342</c:v>
                </c:pt>
                <c:pt idx="588">
                  <c:v>87096.35899561147</c:v>
                </c:pt>
                <c:pt idx="589">
                  <c:v>88104.88730080485</c:v>
                </c:pt>
                <c:pt idx="590">
                  <c:v>89125.09381337804</c:v>
                </c:pt>
                <c:pt idx="591">
                  <c:v>90157.11376059923</c:v>
                </c:pt>
                <c:pt idx="592">
                  <c:v>91201.08393559456</c:v>
                </c:pt>
                <c:pt idx="593">
                  <c:v>92257.14271547995</c:v>
                </c:pt>
                <c:pt idx="594">
                  <c:v>93325.43007970278</c:v>
                </c:pt>
                <c:pt idx="595">
                  <c:v>94406.08762859607</c:v>
                </c:pt>
                <c:pt idx="596">
                  <c:v>95499.25860214738</c:v>
                </c:pt>
                <c:pt idx="597">
                  <c:v>96605.08789898518</c:v>
                </c:pt>
                <c:pt idx="598">
                  <c:v>97723.72209558495</c:v>
                </c:pt>
                <c:pt idx="599">
                  <c:v>98855.30946569782</c:v>
                </c:pt>
                <c:pt idx="600">
                  <c:v>100000.000000004</c:v>
                </c:pt>
                <c:pt idx="601">
                  <c:v>101157.9454259939</c:v>
                </c:pt>
                <c:pt idx="602">
                  <c:v>102329.2992280795</c:v>
                </c:pt>
                <c:pt idx="603">
                  <c:v>103514.2166679385</c:v>
                </c:pt>
                <c:pt idx="604">
                  <c:v>104712.8548050942</c:v>
                </c:pt>
                <c:pt idx="605">
                  <c:v>105925.3725177332</c:v>
                </c:pt>
                <c:pt idx="606">
                  <c:v>107151.930523765</c:v>
                </c:pt>
                <c:pt idx="607">
                  <c:v>108392.6914021247</c:v>
                </c:pt>
                <c:pt idx="608">
                  <c:v>109647.8196143229</c:v>
                </c:pt>
                <c:pt idx="609">
                  <c:v>110917.4815262446</c:v>
                </c:pt>
                <c:pt idx="610">
                  <c:v>112201.8454302009</c:v>
                </c:pt>
                <c:pt idx="611">
                  <c:v>113501.0815672361</c:v>
                </c:pt>
                <c:pt idx="612">
                  <c:v>114815.3621496929</c:v>
                </c:pt>
                <c:pt idx="613">
                  <c:v>116144.861384039</c:v>
                </c:pt>
                <c:pt idx="614">
                  <c:v>117489.7554939578</c:v>
                </c:pt>
                <c:pt idx="615">
                  <c:v>118850.2227437067</c:v>
                </c:pt>
                <c:pt idx="616">
                  <c:v>120226.4434617462</c:v>
                </c:pt>
                <c:pt idx="617">
                  <c:v>121618.6000646418</c:v>
                </c:pt>
                <c:pt idx="618">
                  <c:v>123026.8770812432</c:v>
                </c:pt>
                <c:pt idx="619">
                  <c:v>124451.4611771436</c:v>
                </c:pt>
                <c:pt idx="620">
                  <c:v>125892.5411794219</c:v>
                </c:pt>
                <c:pt idx="621">
                  <c:v>127350.3081016714</c:v>
                </c:pt>
                <c:pt idx="622">
                  <c:v>128824.9551693187</c:v>
                </c:pt>
                <c:pt idx="623">
                  <c:v>130316.6778452353</c:v>
                </c:pt>
                <c:pt idx="624">
                  <c:v>131825.6738556462</c:v>
                </c:pt>
                <c:pt idx="625">
                  <c:v>133352.143216338</c:v>
                </c:pt>
                <c:pt idx="626">
                  <c:v>134896.288259171</c:v>
                </c:pt>
                <c:pt idx="627">
                  <c:v>136458.3136588981</c:v>
                </c:pt>
                <c:pt idx="628">
                  <c:v>138038.4264602943</c:v>
                </c:pt>
                <c:pt idx="629">
                  <c:v>139636.8361055996</c:v>
                </c:pt>
                <c:pt idx="630">
                  <c:v>141253.7544622813</c:v>
                </c:pt>
                <c:pt idx="631">
                  <c:v>142889.3958511163</c:v>
                </c:pt>
                <c:pt idx="632">
                  <c:v>144543.9770745988</c:v>
                </c:pt>
                <c:pt idx="633">
                  <c:v>146217.717445678</c:v>
                </c:pt>
                <c:pt idx="634">
                  <c:v>147910.838816827</c:v>
                </c:pt>
                <c:pt idx="635">
                  <c:v>149623.5656094497</c:v>
                </c:pt>
                <c:pt idx="636">
                  <c:v>151356.1248436272</c:v>
                </c:pt>
                <c:pt idx="637">
                  <c:v>153108.7461682095</c:v>
                </c:pt>
                <c:pt idx="638">
                  <c:v>154881.6618912547</c:v>
                </c:pt>
                <c:pt idx="639">
                  <c:v>156675.1070108215</c:v>
                </c:pt>
                <c:pt idx="640">
                  <c:v>158489.3192461181</c:v>
                </c:pt>
                <c:pt idx="641">
                  <c:v>160324.539069011</c:v>
                </c:pt>
                <c:pt idx="642">
                  <c:v>162181.0097358999</c:v>
                </c:pt>
                <c:pt idx="643">
                  <c:v>164058.9773199609</c:v>
                </c:pt>
                <c:pt idx="644">
                  <c:v>165958.6907437632</c:v>
                </c:pt>
                <c:pt idx="645">
                  <c:v>167880.4018122632</c:v>
                </c:pt>
                <c:pt idx="646">
                  <c:v>169824.3652461817</c:v>
                </c:pt>
                <c:pt idx="647">
                  <c:v>171790.8387157662</c:v>
                </c:pt>
                <c:pt idx="648">
                  <c:v>173780.082874945</c:v>
                </c:pt>
                <c:pt idx="649">
                  <c:v>175792.3613958768</c:v>
                </c:pt>
                <c:pt idx="650">
                  <c:v>177827.9410039</c:v>
                </c:pt>
                <c:pt idx="651">
                  <c:v>179887.0915128865</c:v>
                </c:pt>
                <c:pt idx="652">
                  <c:v>181970.0858610062</c:v>
                </c:pt>
                <c:pt idx="653">
                  <c:v>184077.2001469036</c:v>
                </c:pt>
                <c:pt idx="654">
                  <c:v>186208.7136662948</c:v>
                </c:pt>
                <c:pt idx="655">
                  <c:v>188364.9089489882</c:v>
                </c:pt>
                <c:pt idx="656">
                  <c:v>190546.071796333</c:v>
                </c:pt>
                <c:pt idx="657">
                  <c:v>192752.491319102</c:v>
                </c:pt>
                <c:pt idx="658">
                  <c:v>194984.4599758131</c:v>
                </c:pt>
                <c:pt idx="659">
                  <c:v>197242.273611494</c:v>
                </c:pt>
                <c:pt idx="660">
                  <c:v>199526.2314968967</c:v>
                </c:pt>
                <c:pt idx="661">
                  <c:v>201836.636368165</c:v>
                </c:pt>
                <c:pt idx="662">
                  <c:v>204173.7944669619</c:v>
                </c:pt>
                <c:pt idx="663">
                  <c:v>206538.015581062</c:v>
                </c:pt>
                <c:pt idx="664">
                  <c:v>208929.6130854132</c:v>
                </c:pt>
                <c:pt idx="665">
                  <c:v>211348.903983674</c:v>
                </c:pt>
                <c:pt idx="666">
                  <c:v>213796.2089502327</c:v>
                </c:pt>
                <c:pt idx="667">
                  <c:v>216271.8523727116</c:v>
                </c:pt>
                <c:pt idx="668">
                  <c:v>218776.162394965</c:v>
                </c:pt>
                <c:pt idx="669">
                  <c:v>221309.4709605736</c:v>
                </c:pt>
                <c:pt idx="670">
                  <c:v>223872.1138568439</c:v>
                </c:pt>
                <c:pt idx="671">
                  <c:v>226464.4307593161</c:v>
                </c:pt>
                <c:pt idx="672">
                  <c:v>229086.7652767875</c:v>
                </c:pt>
                <c:pt idx="673">
                  <c:v>231739.4649968582</c:v>
                </c:pt>
                <c:pt idx="674">
                  <c:v>234422.8815320027</c:v>
                </c:pt>
                <c:pt idx="675">
                  <c:v>237137.3705661762</c:v>
                </c:pt>
                <c:pt idx="676">
                  <c:v>239883.2919019598</c:v>
                </c:pt>
                <c:pt idx="677">
                  <c:v>242661.0095082525</c:v>
                </c:pt>
                <c:pt idx="678">
                  <c:v>245470.8915685141</c:v>
                </c:pt>
                <c:pt idx="679">
                  <c:v>248313.3105295683</c:v>
                </c:pt>
                <c:pt idx="680">
                  <c:v>251188.6431509694</c:v>
                </c:pt>
                <c:pt idx="681">
                  <c:v>254097.270554942</c:v>
                </c:pt>
                <c:pt idx="682">
                  <c:v>257039.578276898</c:v>
                </c:pt>
                <c:pt idx="683">
                  <c:v>260015.956316539</c:v>
                </c:pt>
                <c:pt idx="684">
                  <c:v>263026.7991895502</c:v>
                </c:pt>
                <c:pt idx="685">
                  <c:v>266072.5059798931</c:v>
                </c:pt>
                <c:pt idx="686">
                  <c:v>269153.4803927038</c:v>
                </c:pt>
                <c:pt idx="687">
                  <c:v>272270.1308078037</c:v>
                </c:pt>
                <c:pt idx="688">
                  <c:v>275422.8703338292</c:v>
                </c:pt>
                <c:pt idx="689">
                  <c:v>278612.1168629898</c:v>
                </c:pt>
                <c:pt idx="690">
                  <c:v>281838.2931264583</c:v>
                </c:pt>
                <c:pt idx="691">
                  <c:v>285101.826750404</c:v>
                </c:pt>
                <c:pt idx="692">
                  <c:v>288403.1503126739</c:v>
                </c:pt>
                <c:pt idx="693">
                  <c:v>291742.7014001301</c:v>
                </c:pt>
                <c:pt idx="694">
                  <c:v>295120.9226666522</c:v>
                </c:pt>
                <c:pt idx="695">
                  <c:v>298538.2618918098</c:v>
                </c:pt>
                <c:pt idx="696">
                  <c:v>301995.1720402156</c:v>
                </c:pt>
                <c:pt idx="697">
                  <c:v>305492.1113215655</c:v>
                </c:pt>
                <c:pt idx="698">
                  <c:v>309029.5432513734</c:v>
                </c:pt>
                <c:pt idx="699">
                  <c:v>312607.93671241</c:v>
                </c:pt>
                <c:pt idx="700">
                  <c:v>316227.7660168526</c:v>
                </c:pt>
                <c:pt idx="701">
                  <c:v>319889.5109691547</c:v>
                </c:pt>
                <c:pt idx="702">
                  <c:v>323593.6569296434</c:v>
                </c:pt>
                <c:pt idx="703">
                  <c:v>327340.6948788535</c:v>
                </c:pt>
                <c:pt idx="704">
                  <c:v>331131.1214826066</c:v>
                </c:pt>
                <c:pt idx="705">
                  <c:v>334965.4391578434</c:v>
                </c:pt>
                <c:pt idx="706">
                  <c:v>338844.1561392185</c:v>
                </c:pt>
                <c:pt idx="707">
                  <c:v>342767.7865464665</c:v>
                </c:pt>
                <c:pt idx="708">
                  <c:v>346736.850452548</c:v>
                </c:pt>
                <c:pt idx="709">
                  <c:v>350751.8739525845</c:v>
                </c:pt>
                <c:pt idx="710">
                  <c:v>354813.3892335922</c:v>
                </c:pt>
                <c:pt idx="711">
                  <c:v>358921.9346450221</c:v>
                </c:pt>
                <c:pt idx="712">
                  <c:v>363078.0547701185</c:v>
                </c:pt>
                <c:pt idx="713">
                  <c:v>367282.3004981021</c:v>
                </c:pt>
                <c:pt idx="714">
                  <c:v>371535.2290971902</c:v>
                </c:pt>
                <c:pt idx="715">
                  <c:v>375837.404288462</c:v>
                </c:pt>
                <c:pt idx="716">
                  <c:v>380189.3963205793</c:v>
                </c:pt>
                <c:pt idx="717">
                  <c:v>384591.7820453719</c:v>
                </c:pt>
                <c:pt idx="718">
                  <c:v>389045.1449942992</c:v>
                </c:pt>
                <c:pt idx="719">
                  <c:v>393550.0754557963</c:v>
                </c:pt>
                <c:pt idx="720">
                  <c:v>398107.1705535163</c:v>
                </c:pt>
                <c:pt idx="721">
                  <c:v>402717.0343254784</c:v>
                </c:pt>
                <c:pt idx="722">
                  <c:v>407380.2778041323</c:v>
                </c:pt>
                <c:pt idx="723">
                  <c:v>412097.5190973501</c:v>
                </c:pt>
                <c:pt idx="724">
                  <c:v>416869.3834703555</c:v>
                </c:pt>
                <c:pt idx="725">
                  <c:v>421696.5034286026</c:v>
                </c:pt>
                <c:pt idx="726">
                  <c:v>426579.5188016132</c:v>
                </c:pt>
                <c:pt idx="727">
                  <c:v>431519.0768277861</c:v>
                </c:pt>
                <c:pt idx="728">
                  <c:v>436515.832240187</c:v>
                </c:pt>
                <c:pt idx="729">
                  <c:v>441570.4473533339</c:v>
                </c:pt>
                <c:pt idx="730">
                  <c:v>446683.5921509848</c:v>
                </c:pt>
                <c:pt idx="731">
                  <c:v>451855.9443749443</c:v>
                </c:pt>
                <c:pt idx="732">
                  <c:v>457088.1896148972</c:v>
                </c:pt>
                <c:pt idx="733">
                  <c:v>462381.0213992828</c:v>
                </c:pt>
                <c:pt idx="734">
                  <c:v>467735.141287221</c:v>
                </c:pt>
                <c:pt idx="735">
                  <c:v>473151.2589615036</c:v>
                </c:pt>
                <c:pt idx="736">
                  <c:v>478630.0923226618</c:v>
                </c:pt>
                <c:pt idx="737">
                  <c:v>484172.3675841231</c:v>
                </c:pt>
                <c:pt idx="738">
                  <c:v>489778.8193684702</c:v>
                </c:pt>
                <c:pt idx="739">
                  <c:v>495450.1908048145</c:v>
                </c:pt>
                <c:pt idx="740">
                  <c:v>501187.233627297</c:v>
                </c:pt>
                <c:pt idx="741">
                  <c:v>506990.7082747293</c:v>
                </c:pt>
                <c:pt idx="742">
                  <c:v>512861.3839913902</c:v>
                </c:pt>
                <c:pt idx="743">
                  <c:v>518800.0389289868</c:v>
                </c:pt>
                <c:pt idx="744">
                  <c:v>524807.4602497985</c:v>
                </c:pt>
                <c:pt idx="745">
                  <c:v>530884.4442310147</c:v>
                </c:pt>
                <c:pt idx="746">
                  <c:v>537031.7963702793</c:v>
                </c:pt>
                <c:pt idx="747">
                  <c:v>543250.3314924602</c:v>
                </c:pt>
                <c:pt idx="748">
                  <c:v>549540.8738576518</c:v>
                </c:pt>
                <c:pt idx="749">
                  <c:v>555904.2572704313</c:v>
                </c:pt>
                <c:pt idx="750">
                  <c:v>562341.3251903771</c:v>
                </c:pt>
                <c:pt idx="751">
                  <c:v>568852.9308438698</c:v>
                </c:pt>
                <c:pt idx="752">
                  <c:v>575439.9373371857</c:v>
                </c:pt>
                <c:pt idx="753">
                  <c:v>582103.2177709006</c:v>
                </c:pt>
                <c:pt idx="754">
                  <c:v>588843.6553556185</c:v>
                </c:pt>
                <c:pt idx="755">
                  <c:v>595662.1435290404</c:v>
                </c:pt>
                <c:pt idx="756">
                  <c:v>602559.5860743881</c:v>
                </c:pt>
                <c:pt idx="757">
                  <c:v>609536.8972401998</c:v>
                </c:pt>
                <c:pt idx="758">
                  <c:v>616595.0018615132</c:v>
                </c:pt>
                <c:pt idx="759">
                  <c:v>623734.8354824507</c:v>
                </c:pt>
                <c:pt idx="760">
                  <c:v>630957.3444802251</c:v>
                </c:pt>
                <c:pt idx="761">
                  <c:v>638263.486190581</c:v>
                </c:pt>
                <c:pt idx="762">
                  <c:v>645654.2290346882</c:v>
                </c:pt>
                <c:pt idx="763">
                  <c:v>653130.5526475054</c:v>
                </c:pt>
                <c:pt idx="764">
                  <c:v>660693.4480076296</c:v>
                </c:pt>
                <c:pt idx="765">
                  <c:v>668343.9175686486</c:v>
                </c:pt>
                <c:pt idx="766">
                  <c:v>676082.9753920162</c:v>
                </c:pt>
                <c:pt idx="767">
                  <c:v>683911.6472814642</c:v>
                </c:pt>
                <c:pt idx="768">
                  <c:v>691830.9709189718</c:v>
                </c:pt>
                <c:pt idx="769">
                  <c:v>699841.9960023093</c:v>
                </c:pt>
                <c:pt idx="770">
                  <c:v>707945.7843841742</c:v>
                </c:pt>
                <c:pt idx="771">
                  <c:v>716143.4102129388</c:v>
                </c:pt>
                <c:pt idx="772">
                  <c:v>724435.9600750272</c:v>
                </c:pt>
                <c:pt idx="773">
                  <c:v>732824.5331389417</c:v>
                </c:pt>
                <c:pt idx="774">
                  <c:v>741310.2413009556</c:v>
                </c:pt>
                <c:pt idx="775">
                  <c:v>749894.2093324945</c:v>
                </c:pt>
                <c:pt idx="776">
                  <c:v>758577.5750292229</c:v>
                </c:pt>
                <c:pt idx="777">
                  <c:v>767361.4893618586</c:v>
                </c:pt>
                <c:pt idx="778">
                  <c:v>776247.1166287318</c:v>
                </c:pt>
                <c:pt idx="779">
                  <c:v>785235.6346101124</c:v>
                </c:pt>
                <c:pt idx="780">
                  <c:v>794328.2347243227</c:v>
                </c:pt>
                <c:pt idx="781">
                  <c:v>803526.122185659</c:v>
                </c:pt>
                <c:pt idx="782">
                  <c:v>812830.5161641415</c:v>
                </c:pt>
                <c:pt idx="783">
                  <c:v>822242.6499471139</c:v>
                </c:pt>
                <c:pt idx="784">
                  <c:v>831763.7711027145</c:v>
                </c:pt>
                <c:pt idx="785">
                  <c:v>841395.141645239</c:v>
                </c:pt>
                <c:pt idx="786">
                  <c:v>851138.038202421</c:v>
                </c:pt>
                <c:pt idx="787">
                  <c:v>860993.7521846457</c:v>
                </c:pt>
                <c:pt idx="788">
                  <c:v>870963.5899561263</c:v>
                </c:pt>
                <c:pt idx="789">
                  <c:v>881048.8730080603</c:v>
                </c:pt>
                <c:pt idx="790">
                  <c:v>891250.9381337923</c:v>
                </c:pt>
                <c:pt idx="791">
                  <c:v>901571.1376060043</c:v>
                </c:pt>
                <c:pt idx="792">
                  <c:v>912010.8393559578</c:v>
                </c:pt>
                <c:pt idx="793">
                  <c:v>922571.4271548119</c:v>
                </c:pt>
                <c:pt idx="794">
                  <c:v>933254.3007970403</c:v>
                </c:pt>
                <c:pt idx="795">
                  <c:v>944060.8762859732</c:v>
                </c:pt>
                <c:pt idx="796">
                  <c:v>954992.5860214864</c:v>
                </c:pt>
                <c:pt idx="797">
                  <c:v>966050.8789898646</c:v>
                </c:pt>
                <c:pt idx="798">
                  <c:v>977237.2209558625</c:v>
                </c:pt>
                <c:pt idx="799">
                  <c:v>988553.0946569914</c:v>
                </c:pt>
                <c:pt idx="800">
                  <c:v>1000000.000000053</c:v>
                </c:pt>
                <c:pt idx="801">
                  <c:v>1011579.454259952</c:v>
                </c:pt>
                <c:pt idx="802">
                  <c:v>1023292.992280809</c:v>
                </c:pt>
                <c:pt idx="803">
                  <c:v>1035142.166679399</c:v>
                </c:pt>
                <c:pt idx="804">
                  <c:v>1047128.548050956</c:v>
                </c:pt>
                <c:pt idx="805">
                  <c:v>1059253.725177346</c:v>
                </c:pt>
                <c:pt idx="806">
                  <c:v>1071519.305237664</c:v>
                </c:pt>
                <c:pt idx="807">
                  <c:v>1083926.914021262</c:v>
                </c:pt>
                <c:pt idx="808">
                  <c:v>1096478.196143244</c:v>
                </c:pt>
                <c:pt idx="809">
                  <c:v>1109174.815262461</c:v>
                </c:pt>
                <c:pt idx="810">
                  <c:v>1122018.454302024</c:v>
                </c:pt>
                <c:pt idx="811">
                  <c:v>1135010.815672376</c:v>
                </c:pt>
                <c:pt idx="812">
                  <c:v>1148153.621496945</c:v>
                </c:pt>
                <c:pt idx="813">
                  <c:v>1161448.613840406</c:v>
                </c:pt>
                <c:pt idx="814">
                  <c:v>1174897.554939593</c:v>
                </c:pt>
                <c:pt idx="815">
                  <c:v>1188502.227437083</c:v>
                </c:pt>
                <c:pt idx="816">
                  <c:v>1202264.434617478</c:v>
                </c:pt>
                <c:pt idx="817">
                  <c:v>1216186.000646434</c:v>
                </c:pt>
                <c:pt idx="818">
                  <c:v>1230268.770812448</c:v>
                </c:pt>
                <c:pt idx="819">
                  <c:v>1244514.611771453</c:v>
                </c:pt>
                <c:pt idx="820">
                  <c:v>1258925.411794236</c:v>
                </c:pt>
                <c:pt idx="821">
                  <c:v>1273503.081016731</c:v>
                </c:pt>
                <c:pt idx="822">
                  <c:v>1288249.551693204</c:v>
                </c:pt>
                <c:pt idx="823">
                  <c:v>1303166.778452371</c:v>
                </c:pt>
                <c:pt idx="824">
                  <c:v>1318256.738556479</c:v>
                </c:pt>
                <c:pt idx="825">
                  <c:v>1333521.432163397</c:v>
                </c:pt>
                <c:pt idx="826">
                  <c:v>1348962.882591728</c:v>
                </c:pt>
                <c:pt idx="827">
                  <c:v>1364583.136589</c:v>
                </c:pt>
                <c:pt idx="828">
                  <c:v>1380384.264602961</c:v>
                </c:pt>
                <c:pt idx="829">
                  <c:v>1396368.361056014</c:v>
                </c:pt>
                <c:pt idx="830">
                  <c:v>1412537.544622832</c:v>
                </c:pt>
                <c:pt idx="831">
                  <c:v>1428893.958511182</c:v>
                </c:pt>
                <c:pt idx="832">
                  <c:v>1445439.770746008</c:v>
                </c:pt>
                <c:pt idx="833">
                  <c:v>1462177.174456799</c:v>
                </c:pt>
                <c:pt idx="834">
                  <c:v>1479108.38816829</c:v>
                </c:pt>
                <c:pt idx="835">
                  <c:v>1496235.656094517</c:v>
                </c:pt>
                <c:pt idx="836">
                  <c:v>1513561.248436292</c:v>
                </c:pt>
                <c:pt idx="837">
                  <c:v>1531087.461682115</c:v>
                </c:pt>
                <c:pt idx="838">
                  <c:v>1548816.618912568</c:v>
                </c:pt>
                <c:pt idx="839">
                  <c:v>1566751.070108237</c:v>
                </c:pt>
                <c:pt idx="840">
                  <c:v>1584893.192461202</c:v>
                </c:pt>
                <c:pt idx="841">
                  <c:v>1603245.390690131</c:v>
                </c:pt>
                <c:pt idx="842">
                  <c:v>1621810.097359021</c:v>
                </c:pt>
                <c:pt idx="843">
                  <c:v>1640589.773199631</c:v>
                </c:pt>
                <c:pt idx="844">
                  <c:v>1659586.907437654</c:v>
                </c:pt>
                <c:pt idx="845">
                  <c:v>1678804.018122654</c:v>
                </c:pt>
                <c:pt idx="846">
                  <c:v>1698243.65246184</c:v>
                </c:pt>
                <c:pt idx="847">
                  <c:v>1717908.387157685</c:v>
                </c:pt>
                <c:pt idx="848">
                  <c:v>1737800.828749473</c:v>
                </c:pt>
                <c:pt idx="849">
                  <c:v>1757923.613958792</c:v>
                </c:pt>
                <c:pt idx="850">
                  <c:v>1778279.410039023</c:v>
                </c:pt>
                <c:pt idx="851">
                  <c:v>1798870.915128889</c:v>
                </c:pt>
                <c:pt idx="852">
                  <c:v>1819700.858610087</c:v>
                </c:pt>
                <c:pt idx="853">
                  <c:v>1840772.00146906</c:v>
                </c:pt>
                <c:pt idx="854">
                  <c:v>1862087.136662973</c:v>
                </c:pt>
                <c:pt idx="855">
                  <c:v>1883649.089489907</c:v>
                </c:pt>
                <c:pt idx="856">
                  <c:v>1905460.717963356</c:v>
                </c:pt>
                <c:pt idx="857">
                  <c:v>1927524.913191046</c:v>
                </c:pt>
                <c:pt idx="858">
                  <c:v>1949844.599758157</c:v>
                </c:pt>
                <c:pt idx="859">
                  <c:v>1972422.736114966</c:v>
                </c:pt>
                <c:pt idx="860">
                  <c:v>1995262.314968994</c:v>
                </c:pt>
                <c:pt idx="861">
                  <c:v>2018366.363681676</c:v>
                </c:pt>
                <c:pt idx="862">
                  <c:v>2041737.944669646</c:v>
                </c:pt>
                <c:pt idx="863">
                  <c:v>2065380.155810648</c:v>
                </c:pt>
                <c:pt idx="864">
                  <c:v>2089296.13085416</c:v>
                </c:pt>
                <c:pt idx="865">
                  <c:v>2113489.039836768</c:v>
                </c:pt>
                <c:pt idx="866">
                  <c:v>2137962.089502355</c:v>
                </c:pt>
                <c:pt idx="867">
                  <c:v>2162718.523727145</c:v>
                </c:pt>
                <c:pt idx="868">
                  <c:v>2187761.623949679</c:v>
                </c:pt>
                <c:pt idx="869">
                  <c:v>2213094.709605766</c:v>
                </c:pt>
                <c:pt idx="870">
                  <c:v>2238721.138568469</c:v>
                </c:pt>
                <c:pt idx="871">
                  <c:v>2264644.307593191</c:v>
                </c:pt>
                <c:pt idx="872">
                  <c:v>2290867.652767906</c:v>
                </c:pt>
                <c:pt idx="873">
                  <c:v>2317394.649968613</c:v>
                </c:pt>
                <c:pt idx="874">
                  <c:v>2344228.815320058</c:v>
                </c:pt>
                <c:pt idx="875">
                  <c:v>2371373.705661793</c:v>
                </c:pt>
                <c:pt idx="876">
                  <c:v>2398832.91901963</c:v>
                </c:pt>
                <c:pt idx="877">
                  <c:v>2426610.095082557</c:v>
                </c:pt>
                <c:pt idx="878">
                  <c:v>2454708.915685174</c:v>
                </c:pt>
                <c:pt idx="879">
                  <c:v>2483133.105295715</c:v>
                </c:pt>
                <c:pt idx="880">
                  <c:v>2511886.431509727</c:v>
                </c:pt>
                <c:pt idx="881">
                  <c:v>2540972.705549454</c:v>
                </c:pt>
                <c:pt idx="882">
                  <c:v>2570395.782769015</c:v>
                </c:pt>
                <c:pt idx="883">
                  <c:v>2600159.563165424</c:v>
                </c:pt>
                <c:pt idx="884">
                  <c:v>2630267.991895536</c:v>
                </c:pt>
                <c:pt idx="885">
                  <c:v>2660725.059798966</c:v>
                </c:pt>
                <c:pt idx="886">
                  <c:v>2691534.803927074</c:v>
                </c:pt>
                <c:pt idx="887">
                  <c:v>2722701.308078073</c:v>
                </c:pt>
                <c:pt idx="888">
                  <c:v>2754228.703338329</c:v>
                </c:pt>
                <c:pt idx="889">
                  <c:v>2786121.168629935</c:v>
                </c:pt>
                <c:pt idx="890">
                  <c:v>2818382.93126462</c:v>
                </c:pt>
                <c:pt idx="891">
                  <c:v>2851018.267504078</c:v>
                </c:pt>
                <c:pt idx="892">
                  <c:v>2884031.503126777</c:v>
                </c:pt>
                <c:pt idx="893">
                  <c:v>2917427.01400134</c:v>
                </c:pt>
                <c:pt idx="894">
                  <c:v>2951209.226666561</c:v>
                </c:pt>
                <c:pt idx="895">
                  <c:v>2985382.618918137</c:v>
                </c:pt>
                <c:pt idx="896">
                  <c:v>3019951.720402196</c:v>
                </c:pt>
                <c:pt idx="897">
                  <c:v>3054921.113215695</c:v>
                </c:pt>
                <c:pt idx="898">
                  <c:v>3090295.432513775</c:v>
                </c:pt>
                <c:pt idx="899">
                  <c:v>3126079.367124142</c:v>
                </c:pt>
                <c:pt idx="900">
                  <c:v>3162277.660168569</c:v>
                </c:pt>
                <c:pt idx="901">
                  <c:v>3198895.10969159</c:v>
                </c:pt>
                <c:pt idx="902">
                  <c:v>3235936.569296476</c:v>
                </c:pt>
                <c:pt idx="903">
                  <c:v>3273406.948788578</c:v>
                </c:pt>
                <c:pt idx="904">
                  <c:v>3311311.21482611</c:v>
                </c:pt>
                <c:pt idx="905">
                  <c:v>3349654.391578478</c:v>
                </c:pt>
                <c:pt idx="906">
                  <c:v>3388441.56139223</c:v>
                </c:pt>
                <c:pt idx="907">
                  <c:v>3427677.86546471</c:v>
                </c:pt>
                <c:pt idx="908">
                  <c:v>3467368.504525525</c:v>
                </c:pt>
                <c:pt idx="909">
                  <c:v>3507518.739525892</c:v>
                </c:pt>
                <c:pt idx="910">
                  <c:v>3548133.892335969</c:v>
                </c:pt>
                <c:pt idx="911">
                  <c:v>3589219.346450269</c:v>
                </c:pt>
                <c:pt idx="912">
                  <c:v>3630780.547701234</c:v>
                </c:pt>
                <c:pt idx="913">
                  <c:v>3672823.004981069</c:v>
                </c:pt>
                <c:pt idx="914">
                  <c:v>3715352.290971951</c:v>
                </c:pt>
                <c:pt idx="915">
                  <c:v>3758374.04288467</c:v>
                </c:pt>
                <c:pt idx="916">
                  <c:v>3801893.963205843</c:v>
                </c:pt>
                <c:pt idx="917">
                  <c:v>3845917.82045377</c:v>
                </c:pt>
                <c:pt idx="918">
                  <c:v>3890451.449943044</c:v>
                </c:pt>
                <c:pt idx="919">
                  <c:v>3935500.754558015</c:v>
                </c:pt>
                <c:pt idx="920">
                  <c:v>3981071.705535216</c:v>
                </c:pt>
                <c:pt idx="921">
                  <c:v>4027170.343254838</c:v>
                </c:pt>
                <c:pt idx="922">
                  <c:v>4073802.778041377</c:v>
                </c:pt>
                <c:pt idx="923">
                  <c:v>4120975.190973555</c:v>
                </c:pt>
                <c:pt idx="924">
                  <c:v>4168693.83470361</c:v>
                </c:pt>
                <c:pt idx="925">
                  <c:v>4216965.034286082</c:v>
                </c:pt>
                <c:pt idx="926">
                  <c:v>4265795.188016189</c:v>
                </c:pt>
                <c:pt idx="927">
                  <c:v>4315190.768277918</c:v>
                </c:pt>
                <c:pt idx="928">
                  <c:v>4365158.322401929</c:v>
                </c:pt>
                <c:pt idx="929">
                  <c:v>4415704.473533398</c:v>
                </c:pt>
                <c:pt idx="930">
                  <c:v>4466835.921509908</c:v>
                </c:pt>
                <c:pt idx="931">
                  <c:v>4518559.443749503</c:v>
                </c:pt>
                <c:pt idx="932">
                  <c:v>4570881.896149033</c:v>
                </c:pt>
                <c:pt idx="933">
                  <c:v>4623810.213992889</c:v>
                </c:pt>
                <c:pt idx="934">
                  <c:v>4677351.412872273</c:v>
                </c:pt>
                <c:pt idx="935">
                  <c:v>4731512.589615099</c:v>
                </c:pt>
                <c:pt idx="936">
                  <c:v>4786300.923226682</c:v>
                </c:pt>
                <c:pt idx="937">
                  <c:v>4841723.675841294</c:v>
                </c:pt>
                <c:pt idx="938">
                  <c:v>4897788.193684768</c:v>
                </c:pt>
                <c:pt idx="939">
                  <c:v>4954501.908048211</c:v>
                </c:pt>
                <c:pt idx="940">
                  <c:v>5011872.336273036</c:v>
                </c:pt>
                <c:pt idx="941">
                  <c:v>5069907.082747361</c:v>
                </c:pt>
                <c:pt idx="942">
                  <c:v>5128613.83991397</c:v>
                </c:pt>
                <c:pt idx="943">
                  <c:v>5188000.389289936</c:v>
                </c:pt>
                <c:pt idx="944">
                  <c:v>5248074.602498055</c:v>
                </c:pt>
                <c:pt idx="945">
                  <c:v>5308844.442310217</c:v>
                </c:pt>
                <c:pt idx="946">
                  <c:v>5370317.963702865</c:v>
                </c:pt>
                <c:pt idx="947">
                  <c:v>5432503.314924674</c:v>
                </c:pt>
                <c:pt idx="948">
                  <c:v>5495408.738576592</c:v>
                </c:pt>
                <c:pt idx="949">
                  <c:v>5559042.572704386</c:v>
                </c:pt>
                <c:pt idx="950">
                  <c:v>5623413.251903846</c:v>
                </c:pt>
                <c:pt idx="951">
                  <c:v>5688529.308438774</c:v>
                </c:pt>
                <c:pt idx="952">
                  <c:v>5754399.373371934</c:v>
                </c:pt>
                <c:pt idx="953">
                  <c:v>5821032.177709083</c:v>
                </c:pt>
                <c:pt idx="954">
                  <c:v>5888436.553556263</c:v>
                </c:pt>
                <c:pt idx="955">
                  <c:v>5956621.435290483</c:v>
                </c:pt>
                <c:pt idx="956">
                  <c:v>6025595.86074396</c:v>
                </c:pt>
                <c:pt idx="957">
                  <c:v>6095368.972402079</c:v>
                </c:pt>
                <c:pt idx="958">
                  <c:v>6165950.018615214</c:v>
                </c:pt>
                <c:pt idx="959">
                  <c:v>6237348.35482459</c:v>
                </c:pt>
                <c:pt idx="960">
                  <c:v>6309573.444802335</c:v>
                </c:pt>
                <c:pt idx="961">
                  <c:v>6382634.861905894</c:v>
                </c:pt>
                <c:pt idx="962">
                  <c:v>6456542.290346968</c:v>
                </c:pt>
                <c:pt idx="963">
                  <c:v>6531305.526475141</c:v>
                </c:pt>
                <c:pt idx="964">
                  <c:v>6606934.480076384</c:v>
                </c:pt>
                <c:pt idx="965">
                  <c:v>6683439.175686575</c:v>
                </c:pt>
                <c:pt idx="966">
                  <c:v>6760829.753920252</c:v>
                </c:pt>
                <c:pt idx="967">
                  <c:v>6839116.472814733</c:v>
                </c:pt>
                <c:pt idx="968">
                  <c:v>6918309.709189811</c:v>
                </c:pt>
                <c:pt idx="969">
                  <c:v>6998419.960023186</c:v>
                </c:pt>
                <c:pt idx="970">
                  <c:v>7079457.843841835</c:v>
                </c:pt>
                <c:pt idx="971">
                  <c:v>7161434.102129482</c:v>
                </c:pt>
                <c:pt idx="972">
                  <c:v>7244359.600750368</c:v>
                </c:pt>
                <c:pt idx="973">
                  <c:v>7328245.331389515</c:v>
                </c:pt>
                <c:pt idx="974">
                  <c:v>7413102.413009656</c:v>
                </c:pt>
                <c:pt idx="975">
                  <c:v>7498942.093325044</c:v>
                </c:pt>
                <c:pt idx="976">
                  <c:v>7585775.75029233</c:v>
                </c:pt>
                <c:pt idx="977">
                  <c:v>7673614.893618687</c:v>
                </c:pt>
                <c:pt idx="978">
                  <c:v>7762471.166287422</c:v>
                </c:pt>
                <c:pt idx="979">
                  <c:v>7852356.346101229</c:v>
                </c:pt>
                <c:pt idx="980">
                  <c:v>7943282.347243333</c:v>
                </c:pt>
                <c:pt idx="981">
                  <c:v>8035261.221856697</c:v>
                </c:pt>
                <c:pt idx="982">
                  <c:v>8128305.161641523</c:v>
                </c:pt>
                <c:pt idx="983">
                  <c:v>8222426.499471249</c:v>
                </c:pt>
                <c:pt idx="984">
                  <c:v>8317637.711027254</c:v>
                </c:pt>
                <c:pt idx="985">
                  <c:v>8413951.416452501</c:v>
                </c:pt>
                <c:pt idx="986">
                  <c:v>8511380.382024322</c:v>
                </c:pt>
                <c:pt idx="987">
                  <c:v>8609937.52184657</c:v>
                </c:pt>
                <c:pt idx="988">
                  <c:v>8709635.899561379</c:v>
                </c:pt>
                <c:pt idx="989">
                  <c:v>8810488.73008072</c:v>
                </c:pt>
                <c:pt idx="990">
                  <c:v>8912509.381338041</c:v>
                </c:pt>
                <c:pt idx="991">
                  <c:v>9015711.376060164</c:v>
                </c:pt>
                <c:pt idx="992">
                  <c:v>9120108.393559698</c:v>
                </c:pt>
                <c:pt idx="993">
                  <c:v>9225714.271548241</c:v>
                </c:pt>
                <c:pt idx="994">
                  <c:v>9332543.007970527</c:v>
                </c:pt>
                <c:pt idx="995">
                  <c:v>9440608.762859859</c:v>
                </c:pt>
                <c:pt idx="996">
                  <c:v>9549925.860214991</c:v>
                </c:pt>
                <c:pt idx="997">
                  <c:v>9660508.789898774</c:v>
                </c:pt>
                <c:pt idx="998">
                  <c:v>9772372.209558755</c:v>
                </c:pt>
                <c:pt idx="999">
                  <c:v>9885530.946570044</c:v>
                </c:pt>
                <c:pt idx="1000">
                  <c:v>10000000.00000066</c:v>
                </c:pt>
                <c:pt idx="1001">
                  <c:v>10115794.54259966</c:v>
                </c:pt>
                <c:pt idx="1002">
                  <c:v>10232929.92280822</c:v>
                </c:pt>
                <c:pt idx="1003">
                  <c:v>10351421.66679413</c:v>
                </c:pt>
                <c:pt idx="1004">
                  <c:v>10471285.48050969</c:v>
                </c:pt>
                <c:pt idx="1005">
                  <c:v>10592537.2517736</c:v>
                </c:pt>
                <c:pt idx="1006">
                  <c:v>10715193.05237678</c:v>
                </c:pt>
                <c:pt idx="1007">
                  <c:v>10839269.14021276</c:v>
                </c:pt>
                <c:pt idx="1008">
                  <c:v>10964781.96143259</c:v>
                </c:pt>
                <c:pt idx="1009">
                  <c:v>11091748.15262475</c:v>
                </c:pt>
                <c:pt idx="1010">
                  <c:v>11220184.54302039</c:v>
                </c:pt>
                <c:pt idx="1011">
                  <c:v>11350108.15672391</c:v>
                </c:pt>
                <c:pt idx="1012">
                  <c:v>11481536.2149696</c:v>
                </c:pt>
                <c:pt idx="1013">
                  <c:v>11614486.13840421</c:v>
                </c:pt>
                <c:pt idx="1014">
                  <c:v>11748975.54939609</c:v>
                </c:pt>
                <c:pt idx="1015">
                  <c:v>11885022.27437099</c:v>
                </c:pt>
                <c:pt idx="1016">
                  <c:v>12022644.34617494</c:v>
                </c:pt>
                <c:pt idx="1017">
                  <c:v>12161860.0064645</c:v>
                </c:pt>
                <c:pt idx="1018">
                  <c:v>12302687.70812465</c:v>
                </c:pt>
                <c:pt idx="1019">
                  <c:v>12445146.11771469</c:v>
                </c:pt>
                <c:pt idx="1020">
                  <c:v>12589254.11794253</c:v>
                </c:pt>
                <c:pt idx="1021">
                  <c:v>12735030.81016748</c:v>
                </c:pt>
                <c:pt idx="1022">
                  <c:v>12882495.51693221</c:v>
                </c:pt>
                <c:pt idx="1023">
                  <c:v>13031667.78452388</c:v>
                </c:pt>
                <c:pt idx="1024">
                  <c:v>13182567.38556497</c:v>
                </c:pt>
                <c:pt idx="1025">
                  <c:v>13335214.32163415</c:v>
                </c:pt>
                <c:pt idx="1026">
                  <c:v>13489628.82591746</c:v>
                </c:pt>
                <c:pt idx="1027">
                  <c:v>13645831.36589018</c:v>
                </c:pt>
                <c:pt idx="1028">
                  <c:v>13803842.64602979</c:v>
                </c:pt>
                <c:pt idx="1029">
                  <c:v>13963683.61056033</c:v>
                </c:pt>
                <c:pt idx="1030">
                  <c:v>14125375.44622851</c:v>
                </c:pt>
                <c:pt idx="1031">
                  <c:v>14288939.58511201</c:v>
                </c:pt>
                <c:pt idx="1032">
                  <c:v>14454397.70746027</c:v>
                </c:pt>
                <c:pt idx="1033">
                  <c:v>14621771.74456819</c:v>
                </c:pt>
                <c:pt idx="1034">
                  <c:v>14791083.88168309</c:v>
                </c:pt>
                <c:pt idx="1035">
                  <c:v>14962356.56094536</c:v>
                </c:pt>
                <c:pt idx="1036">
                  <c:v>15135612.48436312</c:v>
                </c:pt>
                <c:pt idx="1037">
                  <c:v>15310874.61682136</c:v>
                </c:pt>
                <c:pt idx="1038">
                  <c:v>15488166.18912588</c:v>
                </c:pt>
                <c:pt idx="1039">
                  <c:v>15667510.70108257</c:v>
                </c:pt>
                <c:pt idx="1040">
                  <c:v>15848931.92461223</c:v>
                </c:pt>
                <c:pt idx="1041">
                  <c:v>16032453.90690152</c:v>
                </c:pt>
                <c:pt idx="1042">
                  <c:v>16218100.97359042</c:v>
                </c:pt>
                <c:pt idx="1043">
                  <c:v>16405897.73199653</c:v>
                </c:pt>
                <c:pt idx="1044">
                  <c:v>16595869.07437676</c:v>
                </c:pt>
                <c:pt idx="1045">
                  <c:v>16788040.18122677</c:v>
                </c:pt>
                <c:pt idx="1046">
                  <c:v>16982436.52461862</c:v>
                </c:pt>
                <c:pt idx="1047">
                  <c:v>17179083.87157708</c:v>
                </c:pt>
                <c:pt idx="1048">
                  <c:v>17378008.28749496</c:v>
                </c:pt>
                <c:pt idx="1049">
                  <c:v>17579236.13958815</c:v>
                </c:pt>
                <c:pt idx="1050">
                  <c:v>17782794.10039047</c:v>
                </c:pt>
                <c:pt idx="1051">
                  <c:v>17988709.15128914</c:v>
                </c:pt>
                <c:pt idx="1052">
                  <c:v>18197008.58610111</c:v>
                </c:pt>
                <c:pt idx="1053">
                  <c:v>18407720.01469085</c:v>
                </c:pt>
                <c:pt idx="1054">
                  <c:v>18620871.36662998</c:v>
                </c:pt>
                <c:pt idx="1055">
                  <c:v>18836490.89489932</c:v>
                </c:pt>
                <c:pt idx="1056">
                  <c:v>19054607.17963381</c:v>
                </c:pt>
                <c:pt idx="1057">
                  <c:v>19275249.13191072</c:v>
                </c:pt>
                <c:pt idx="1058">
                  <c:v>19498445.99758182</c:v>
                </c:pt>
                <c:pt idx="1059">
                  <c:v>19724227.36114993</c:v>
                </c:pt>
                <c:pt idx="1060">
                  <c:v>19952623.1496902</c:v>
                </c:pt>
                <c:pt idx="1061">
                  <c:v>20183663.63681703</c:v>
                </c:pt>
                <c:pt idx="1062">
                  <c:v>20417379.44669674</c:v>
                </c:pt>
                <c:pt idx="1063">
                  <c:v>20653801.55810675</c:v>
                </c:pt>
                <c:pt idx="1064">
                  <c:v>20892961.30854188</c:v>
                </c:pt>
                <c:pt idx="1065">
                  <c:v>21134890.39836796</c:v>
                </c:pt>
                <c:pt idx="1066">
                  <c:v>21379620.89502384</c:v>
                </c:pt>
                <c:pt idx="1067">
                  <c:v>21627185.23727174</c:v>
                </c:pt>
                <c:pt idx="1068">
                  <c:v>21877616.23949708</c:v>
                </c:pt>
                <c:pt idx="1069">
                  <c:v>22130947.09605795</c:v>
                </c:pt>
                <c:pt idx="1070">
                  <c:v>22387211.38568499</c:v>
                </c:pt>
                <c:pt idx="1071">
                  <c:v>22646443.07593221</c:v>
                </c:pt>
                <c:pt idx="1072">
                  <c:v>22908676.52767936</c:v>
                </c:pt>
                <c:pt idx="1073">
                  <c:v>23173946.49968644</c:v>
                </c:pt>
                <c:pt idx="1074">
                  <c:v>23442288.15320089</c:v>
                </c:pt>
                <c:pt idx="1075">
                  <c:v>23713737.05661825</c:v>
                </c:pt>
                <c:pt idx="1076">
                  <c:v>23988329.19019662</c:v>
                </c:pt>
                <c:pt idx="1077">
                  <c:v>24266100.95082589</c:v>
                </c:pt>
                <c:pt idx="1078">
                  <c:v>24547089.15685206</c:v>
                </c:pt>
                <c:pt idx="1079">
                  <c:v>24831331.05295748</c:v>
                </c:pt>
                <c:pt idx="1080">
                  <c:v>25118864.3150976</c:v>
                </c:pt>
                <c:pt idx="1081">
                  <c:v>25409727.05549487</c:v>
                </c:pt>
                <c:pt idx="1082">
                  <c:v>25703957.82769049</c:v>
                </c:pt>
                <c:pt idx="1083">
                  <c:v>26001595.63165459</c:v>
                </c:pt>
                <c:pt idx="1084">
                  <c:v>26302679.91895571</c:v>
                </c:pt>
                <c:pt idx="1085">
                  <c:v>26607250.59799001</c:v>
                </c:pt>
                <c:pt idx="1086">
                  <c:v>26915348.0392711</c:v>
                </c:pt>
                <c:pt idx="1087">
                  <c:v>27227013.08078109</c:v>
                </c:pt>
                <c:pt idx="1088">
                  <c:v>27542287.03338366</c:v>
                </c:pt>
                <c:pt idx="1089">
                  <c:v>27861211.68629972</c:v>
                </c:pt>
                <c:pt idx="1090">
                  <c:v>28183829.31264658</c:v>
                </c:pt>
                <c:pt idx="1091">
                  <c:v>28510182.67504116</c:v>
                </c:pt>
                <c:pt idx="1092">
                  <c:v>28840315.03126815</c:v>
                </c:pt>
                <c:pt idx="1093">
                  <c:v>29174270.14001378</c:v>
                </c:pt>
                <c:pt idx="1094">
                  <c:v>29512092.266666</c:v>
                </c:pt>
                <c:pt idx="1095">
                  <c:v>29853826.18918177</c:v>
                </c:pt>
                <c:pt idx="1096">
                  <c:v>30199517.20402236</c:v>
                </c:pt>
                <c:pt idx="1097">
                  <c:v>30549211.13215736</c:v>
                </c:pt>
                <c:pt idx="1098">
                  <c:v>30902954.32513816</c:v>
                </c:pt>
                <c:pt idx="1099">
                  <c:v>31260793.67124183</c:v>
                </c:pt>
                <c:pt idx="1100">
                  <c:v>31622776.60168611</c:v>
                </c:pt>
                <c:pt idx="1101">
                  <c:v>31988951.09691632</c:v>
                </c:pt>
                <c:pt idx="1102">
                  <c:v>32359365.6929652</c:v>
                </c:pt>
                <c:pt idx="1103">
                  <c:v>32734069.48788622</c:v>
                </c:pt>
                <c:pt idx="1104">
                  <c:v>33113112.14826154</c:v>
                </c:pt>
                <c:pt idx="1105">
                  <c:v>33496543.91578523</c:v>
                </c:pt>
                <c:pt idx="1106">
                  <c:v>33884415.61392274</c:v>
                </c:pt>
                <c:pt idx="1107">
                  <c:v>34276778.65464756</c:v>
                </c:pt>
                <c:pt idx="1108">
                  <c:v>34673685.04525571</c:v>
                </c:pt>
                <c:pt idx="1109">
                  <c:v>35075187.39525938</c:v>
                </c:pt>
                <c:pt idx="1110">
                  <c:v>35481338.92336016</c:v>
                </c:pt>
                <c:pt idx="1111">
                  <c:v>35892193.46450317</c:v>
                </c:pt>
                <c:pt idx="1112">
                  <c:v>36307805.47701281</c:v>
                </c:pt>
                <c:pt idx="1113">
                  <c:v>36728230.04981118</c:v>
                </c:pt>
                <c:pt idx="1114">
                  <c:v>37153522.90972</c:v>
                </c:pt>
                <c:pt idx="1115">
                  <c:v>37583740.4288472</c:v>
                </c:pt>
                <c:pt idx="1116">
                  <c:v>38018939.63205894</c:v>
                </c:pt>
                <c:pt idx="1117">
                  <c:v>38459178.20453821</c:v>
                </c:pt>
                <c:pt idx="1118">
                  <c:v>38904514.49943095</c:v>
                </c:pt>
                <c:pt idx="1119">
                  <c:v>39355007.54558068</c:v>
                </c:pt>
                <c:pt idx="1120">
                  <c:v>39810717.05535269</c:v>
                </c:pt>
                <c:pt idx="1121">
                  <c:v>40271703.43254891</c:v>
                </c:pt>
                <c:pt idx="1122">
                  <c:v>40738027.78041431</c:v>
                </c:pt>
                <c:pt idx="1123">
                  <c:v>41209751.9097361</c:v>
                </c:pt>
                <c:pt idx="1124">
                  <c:v>41686938.34703665</c:v>
                </c:pt>
                <c:pt idx="1125">
                  <c:v>42169650.34286138</c:v>
                </c:pt>
                <c:pt idx="1126">
                  <c:v>42657951.88016246</c:v>
                </c:pt>
                <c:pt idx="1127">
                  <c:v>43151907.68277976</c:v>
                </c:pt>
                <c:pt idx="1128">
                  <c:v>43651583.22401987</c:v>
                </c:pt>
                <c:pt idx="1129">
                  <c:v>44157044.73533456</c:v>
                </c:pt>
                <c:pt idx="1130">
                  <c:v>44668359.21509967</c:v>
                </c:pt>
                <c:pt idx="1131">
                  <c:v>45185594.43749563</c:v>
                </c:pt>
                <c:pt idx="1132">
                  <c:v>45708818.96149094</c:v>
                </c:pt>
                <c:pt idx="1133">
                  <c:v>46238102.13992951</c:v>
                </c:pt>
                <c:pt idx="1134">
                  <c:v>46773514.12872335</c:v>
                </c:pt>
                <c:pt idx="1135">
                  <c:v>47315125.89615162</c:v>
                </c:pt>
                <c:pt idx="1136">
                  <c:v>47863009.23226745</c:v>
                </c:pt>
                <c:pt idx="1137">
                  <c:v>48417236.75841359</c:v>
                </c:pt>
                <c:pt idx="1138">
                  <c:v>48977881.93684833</c:v>
                </c:pt>
                <c:pt idx="1139">
                  <c:v>49545019.08048277</c:v>
                </c:pt>
                <c:pt idx="1140">
                  <c:v>50118723.36273102</c:v>
                </c:pt>
                <c:pt idx="1141">
                  <c:v>50699070.82747428</c:v>
                </c:pt>
                <c:pt idx="1142">
                  <c:v>51286138.39914038</c:v>
                </c:pt>
                <c:pt idx="1143">
                  <c:v>51880003.89290006</c:v>
                </c:pt>
                <c:pt idx="1144">
                  <c:v>52480746.02498125</c:v>
                </c:pt>
                <c:pt idx="1145">
                  <c:v>53088444.42310288</c:v>
                </c:pt>
                <c:pt idx="1146">
                  <c:v>53703179.63702936</c:v>
                </c:pt>
                <c:pt idx="1147">
                  <c:v>54325033.14924747</c:v>
                </c:pt>
                <c:pt idx="1148">
                  <c:v>54954087.38576665</c:v>
                </c:pt>
                <c:pt idx="1149">
                  <c:v>55590425.7270446</c:v>
                </c:pt>
                <c:pt idx="1150">
                  <c:v>56234132.51903921</c:v>
                </c:pt>
                <c:pt idx="1151">
                  <c:v>56885293.08438849</c:v>
                </c:pt>
                <c:pt idx="1152">
                  <c:v>57543993.73372009</c:v>
                </c:pt>
                <c:pt idx="1153">
                  <c:v>58210321.77709161</c:v>
                </c:pt>
                <c:pt idx="1154">
                  <c:v>58884365.53556342</c:v>
                </c:pt>
                <c:pt idx="1155">
                  <c:v>59566214.35290562</c:v>
                </c:pt>
                <c:pt idx="1156">
                  <c:v>60255958.6074404</c:v>
                </c:pt>
                <c:pt idx="1157">
                  <c:v>60953689.72402161</c:v>
                </c:pt>
                <c:pt idx="1158">
                  <c:v>61659500.18615296</c:v>
                </c:pt>
                <c:pt idx="1159">
                  <c:v>62373483.54824673</c:v>
                </c:pt>
                <c:pt idx="1160">
                  <c:v>63095734.44802419</c:v>
                </c:pt>
                <c:pt idx="1161">
                  <c:v>63826348.61905979</c:v>
                </c:pt>
                <c:pt idx="1162">
                  <c:v>64565422.90347055</c:v>
                </c:pt>
                <c:pt idx="1163">
                  <c:v>65313055.26475229</c:v>
                </c:pt>
                <c:pt idx="1164">
                  <c:v>66069344.80076471</c:v>
                </c:pt>
                <c:pt idx="1165">
                  <c:v>66834391.75686664</c:v>
                </c:pt>
                <c:pt idx="1166">
                  <c:v>67608297.53920342</c:v>
                </c:pt>
                <c:pt idx="1167">
                  <c:v>68391164.72814824</c:v>
                </c:pt>
                <c:pt idx="1168">
                  <c:v>69183097.09189902</c:v>
                </c:pt>
                <c:pt idx="1169">
                  <c:v>69984199.60023279</c:v>
                </c:pt>
                <c:pt idx="1170">
                  <c:v>70794578.4384193</c:v>
                </c:pt>
                <c:pt idx="1171">
                  <c:v>71614341.02129577</c:v>
                </c:pt>
                <c:pt idx="1172">
                  <c:v>72443596.00750466</c:v>
                </c:pt>
                <c:pt idx="1173">
                  <c:v>73282453.31389612</c:v>
                </c:pt>
                <c:pt idx="1174">
                  <c:v>74131024.13009754</c:v>
                </c:pt>
                <c:pt idx="1175">
                  <c:v>74989420.93325144</c:v>
                </c:pt>
                <c:pt idx="1176">
                  <c:v>75857757.50292431</c:v>
                </c:pt>
                <c:pt idx="1177">
                  <c:v>76736148.93618789</c:v>
                </c:pt>
                <c:pt idx="1178">
                  <c:v>77624711.66287525</c:v>
                </c:pt>
                <c:pt idx="1179">
                  <c:v>78523563.46101333</c:v>
                </c:pt>
                <c:pt idx="1180">
                  <c:v>79432823.47243437</c:v>
                </c:pt>
                <c:pt idx="1181">
                  <c:v>80352612.21856803</c:v>
                </c:pt>
                <c:pt idx="1182">
                  <c:v>81283051.61641631</c:v>
                </c:pt>
                <c:pt idx="1183">
                  <c:v>82224264.99471359</c:v>
                </c:pt>
                <c:pt idx="1184">
                  <c:v>83176377.11027364</c:v>
                </c:pt>
                <c:pt idx="1185">
                  <c:v>84139514.16452613</c:v>
                </c:pt>
                <c:pt idx="1186">
                  <c:v>85113803.82024436</c:v>
                </c:pt>
                <c:pt idx="1187">
                  <c:v>86099375.21846685</c:v>
                </c:pt>
                <c:pt idx="1188">
                  <c:v>87096358.99561495</c:v>
                </c:pt>
                <c:pt idx="1189">
                  <c:v>88104887.30080837</c:v>
                </c:pt>
                <c:pt idx="1190">
                  <c:v>89125093.8133816</c:v>
                </c:pt>
                <c:pt idx="1191">
                  <c:v>90157113.76060282</c:v>
                </c:pt>
                <c:pt idx="1192">
                  <c:v>91201083.93559821</c:v>
                </c:pt>
                <c:pt idx="1193">
                  <c:v>92257142.71548364</c:v>
                </c:pt>
                <c:pt idx="1194">
                  <c:v>93325430.07970652</c:v>
                </c:pt>
                <c:pt idx="1195">
                  <c:v>94406087.62859984</c:v>
                </c:pt>
                <c:pt idx="1196">
                  <c:v>95499258.60215119</c:v>
                </c:pt>
                <c:pt idx="1197">
                  <c:v>96605087.89898902</c:v>
                </c:pt>
                <c:pt idx="1198">
                  <c:v>97723722.09558885</c:v>
                </c:pt>
                <c:pt idx="1199">
                  <c:v>98855309.46570176</c:v>
                </c:pt>
                <c:pt idx="1200">
                  <c:v>100000000</c:v>
                </c:pt>
              </c:numCache>
            </c:numRef>
          </c:xVal>
          <c:yVal>
            <c:numRef>
              <c:f>LTspice_Compare!$B$19:$B$1219</c:f>
              <c:numCache>
                <c:formatCode>General</c:formatCode>
                <c:ptCount val="1201"/>
                <c:pt idx="0">
                  <c:v>119.8929236046129</c:v>
                </c:pt>
                <c:pt idx="1">
                  <c:v>119.8929471480622</c:v>
                </c:pt>
                <c:pt idx="2">
                  <c:v>119.8929712399303</c:v>
                </c:pt>
                <c:pt idx="3">
                  <c:v>119.8929958929926</c:v>
                </c:pt>
                <c:pt idx="4">
                  <c:v>119.8930211203218</c:v>
                </c:pt>
                <c:pt idx="5">
                  <c:v>119.8930469352962</c:v>
                </c:pt>
                <c:pt idx="6">
                  <c:v>119.8930733516038</c:v>
                </c:pt>
                <c:pt idx="7">
                  <c:v>119.8931003832538</c:v>
                </c:pt>
                <c:pt idx="8">
                  <c:v>119.8931280445801</c:v>
                </c:pt>
                <c:pt idx="9">
                  <c:v>119.893156350251</c:v>
                </c:pt>
                <c:pt idx="10">
                  <c:v>119.8931853152767</c:v>
                </c:pt>
                <c:pt idx="11">
                  <c:v>119.8932149550171</c:v>
                </c:pt>
                <c:pt idx="12">
                  <c:v>119.89324528519</c:v>
                </c:pt>
                <c:pt idx="13">
                  <c:v>119.8932763218789</c:v>
                </c:pt>
                <c:pt idx="14">
                  <c:v>119.8933080815424</c:v>
                </c:pt>
                <c:pt idx="15">
                  <c:v>119.8933405810225</c:v>
                </c:pt>
                <c:pt idx="16">
                  <c:v>119.8933738375541</c:v>
                </c:pt>
                <c:pt idx="17">
                  <c:v>119.8934078687724</c:v>
                </c:pt>
                <c:pt idx="18">
                  <c:v>119.8934426927248</c:v>
                </c:pt>
                <c:pt idx="19">
                  <c:v>119.8934783278779</c:v>
                </c:pt>
                <c:pt idx="20">
                  <c:v>119.8935147931299</c:v>
                </c:pt>
                <c:pt idx="21">
                  <c:v>119.8935521078179</c:v>
                </c:pt>
                <c:pt idx="22">
                  <c:v>119.893590291731</c:v>
                </c:pt>
                <c:pt idx="23">
                  <c:v>119.8936293651181</c:v>
                </c:pt>
                <c:pt idx="24">
                  <c:v>119.8936693487007</c:v>
                </c:pt>
                <c:pt idx="25">
                  <c:v>119.8937102636824</c:v>
                </c:pt>
                <c:pt idx="26">
                  <c:v>119.8937521317612</c:v>
                </c:pt>
                <c:pt idx="27">
                  <c:v>119.8937949751408</c:v>
                </c:pt>
                <c:pt idx="28">
                  <c:v>119.8938388165423</c:v>
                </c:pt>
                <c:pt idx="29">
                  <c:v>119.8938836792155</c:v>
                </c:pt>
                <c:pt idx="30">
                  <c:v>119.8939295869529</c:v>
                </c:pt>
                <c:pt idx="31">
                  <c:v>119.8939765641002</c:v>
                </c:pt>
                <c:pt idx="32">
                  <c:v>119.8940246355715</c:v>
                </c:pt>
                <c:pt idx="33">
                  <c:v>119.8940738268609</c:v>
                </c:pt>
                <c:pt idx="34">
                  <c:v>119.8941241640566</c:v>
                </c:pt>
                <c:pt idx="35">
                  <c:v>119.8941756738544</c:v>
                </c:pt>
                <c:pt idx="36">
                  <c:v>119.8942283835723</c:v>
                </c:pt>
                <c:pt idx="37">
                  <c:v>119.8942823211648</c:v>
                </c:pt>
                <c:pt idx="38">
                  <c:v>119.8943375152379</c:v>
                </c:pt>
                <c:pt idx="39">
                  <c:v>119.8943939950644</c:v>
                </c:pt>
                <c:pt idx="40">
                  <c:v>119.8944517905988</c:v>
                </c:pt>
                <c:pt idx="41">
                  <c:v>119.8945109324933</c:v>
                </c:pt>
                <c:pt idx="42">
                  <c:v>119.8945714521155</c:v>
                </c:pt>
                <c:pt idx="43">
                  <c:v>119.8946333815622</c:v>
                </c:pt>
                <c:pt idx="44">
                  <c:v>119.8946967536803</c:v>
                </c:pt>
                <c:pt idx="45">
                  <c:v>119.8947616020798</c:v>
                </c:pt>
                <c:pt idx="46">
                  <c:v>119.8948279611557</c:v>
                </c:pt>
                <c:pt idx="47">
                  <c:v>119.8948958661038</c:v>
                </c:pt>
                <c:pt idx="48">
                  <c:v>119.8949653529401</c:v>
                </c:pt>
                <c:pt idx="49">
                  <c:v>119.8950364585198</c:v>
                </c:pt>
                <c:pt idx="50">
                  <c:v>119.8951092205571</c:v>
                </c:pt>
                <c:pt idx="51">
                  <c:v>119.8951836776454</c:v>
                </c:pt>
                <c:pt idx="52">
                  <c:v>119.8952598692765</c:v>
                </c:pt>
                <c:pt idx="53">
                  <c:v>119.895337835864</c:v>
                </c:pt>
                <c:pt idx="54">
                  <c:v>119.8954176187621</c:v>
                </c:pt>
                <c:pt idx="55">
                  <c:v>119.8954992602889</c:v>
                </c:pt>
                <c:pt idx="56">
                  <c:v>119.8955828037496</c:v>
                </c:pt>
                <c:pt idx="57">
                  <c:v>119.8956682934582</c:v>
                </c:pt>
                <c:pt idx="58">
                  <c:v>119.8957557747612</c:v>
                </c:pt>
                <c:pt idx="59">
                  <c:v>119.8958452940617</c:v>
                </c:pt>
                <c:pt idx="60">
                  <c:v>119.895936898845</c:v>
                </c:pt>
                <c:pt idx="61">
                  <c:v>119.896030637703</c:v>
                </c:pt>
                <c:pt idx="62">
                  <c:v>119.8961265603601</c:v>
                </c:pt>
                <c:pt idx="63">
                  <c:v>119.8962247176994</c:v>
                </c:pt>
                <c:pt idx="64">
                  <c:v>119.8963251617901</c:v>
                </c:pt>
                <c:pt idx="65">
                  <c:v>119.8964279459148</c:v>
                </c:pt>
                <c:pt idx="66">
                  <c:v>119.8965331245986</c:v>
                </c:pt>
                <c:pt idx="67">
                  <c:v>119.8966407536372</c:v>
                </c:pt>
                <c:pt idx="68">
                  <c:v>119.8967508901273</c:v>
                </c:pt>
                <c:pt idx="69">
                  <c:v>119.8968635924951</c:v>
                </c:pt>
                <c:pt idx="70">
                  <c:v>119.8969789205309</c:v>
                </c:pt>
                <c:pt idx="71">
                  <c:v>119.8970969354166</c:v>
                </c:pt>
                <c:pt idx="72">
                  <c:v>119.8972176997614</c:v>
                </c:pt>
                <c:pt idx="73">
                  <c:v>119.8973412776341</c:v>
                </c:pt>
                <c:pt idx="74">
                  <c:v>119.8974677345964</c:v>
                </c:pt>
                <c:pt idx="75">
                  <c:v>119.8975971377395</c:v>
                </c:pt>
                <c:pt idx="76">
                  <c:v>119.8977295557173</c:v>
                </c:pt>
                <c:pt idx="77">
                  <c:v>119.8978650587851</c:v>
                </c:pt>
                <c:pt idx="78">
                  <c:v>119.8980037188355</c:v>
                </c:pt>
                <c:pt idx="79">
                  <c:v>119.8981456094377</c:v>
                </c:pt>
                <c:pt idx="80">
                  <c:v>119.8982908058767</c:v>
                </c:pt>
                <c:pt idx="81">
                  <c:v>119.898439385191</c:v>
                </c:pt>
                <c:pt idx="82">
                  <c:v>119.898591426217</c:v>
                </c:pt>
                <c:pt idx="83">
                  <c:v>119.8987470096285</c:v>
                </c:pt>
                <c:pt idx="84">
                  <c:v>119.8989062179798</c:v>
                </c:pt>
                <c:pt idx="85">
                  <c:v>119.8990691357515</c:v>
                </c:pt>
                <c:pt idx="86">
                  <c:v>119.8992358493931</c:v>
                </c:pt>
                <c:pt idx="87">
                  <c:v>119.8994064473698</c:v>
                </c:pt>
                <c:pt idx="88">
                  <c:v>119.8995810202105</c:v>
                </c:pt>
                <c:pt idx="89">
                  <c:v>119.8997596605542</c:v>
                </c:pt>
                <c:pt idx="90">
                  <c:v>119.8999424632011</c:v>
                </c:pt>
                <c:pt idx="91">
                  <c:v>119.900129525162</c:v>
                </c:pt>
                <c:pt idx="92">
                  <c:v>119.9003209457097</c:v>
                </c:pt>
                <c:pt idx="93">
                  <c:v>119.9005168264324</c:v>
                </c:pt>
                <c:pt idx="94">
                  <c:v>119.9007172712882</c:v>
                </c:pt>
                <c:pt idx="95">
                  <c:v>119.9009223866586</c:v>
                </c:pt>
                <c:pt idx="96">
                  <c:v>119.9011322814074</c:v>
                </c:pt>
                <c:pt idx="97">
                  <c:v>119.9013470669375</c:v>
                </c:pt>
                <c:pt idx="98">
                  <c:v>119.9015668572493</c:v>
                </c:pt>
                <c:pt idx="99">
                  <c:v>119.9017917690038</c:v>
                </c:pt>
                <c:pt idx="100">
                  <c:v>119.9020219215829</c:v>
                </c:pt>
                <c:pt idx="101">
                  <c:v>119.9022574371524</c:v>
                </c:pt>
                <c:pt idx="102">
                  <c:v>119.9024984407293</c:v>
                </c:pt>
                <c:pt idx="103">
                  <c:v>119.9027450602466</c:v>
                </c:pt>
                <c:pt idx="104">
                  <c:v>119.9029974266224</c:v>
                </c:pt>
                <c:pt idx="105">
                  <c:v>119.9032556738284</c:v>
                </c:pt>
                <c:pt idx="106">
                  <c:v>119.9035199389629</c:v>
                </c:pt>
                <c:pt idx="107">
                  <c:v>119.9037903623227</c:v>
                </c:pt>
                <c:pt idx="108">
                  <c:v>119.9040670874784</c:v>
                </c:pt>
                <c:pt idx="109">
                  <c:v>119.904350261351</c:v>
                </c:pt>
                <c:pt idx="110">
                  <c:v>119.9046400342891</c:v>
                </c:pt>
                <c:pt idx="111">
                  <c:v>119.9049365601511</c:v>
                </c:pt>
                <c:pt idx="112">
                  <c:v>119.9052399963851</c:v>
                </c:pt>
                <c:pt idx="113">
                  <c:v>119.9055505041143</c:v>
                </c:pt>
                <c:pt idx="114">
                  <c:v>119.9058682482228</c:v>
                </c:pt>
                <c:pt idx="115">
                  <c:v>119.9061933974424</c:v>
                </c:pt>
                <c:pt idx="116">
                  <c:v>119.9065261244434</c:v>
                </c:pt>
                <c:pt idx="117">
                  <c:v>119.9068666059281</c:v>
                </c:pt>
                <c:pt idx="118">
                  <c:v>119.9072150227223</c:v>
                </c:pt>
                <c:pt idx="119">
                  <c:v>119.9075715598735</c:v>
                </c:pt>
                <c:pt idx="120">
                  <c:v>119.9079364067501</c:v>
                </c:pt>
                <c:pt idx="121">
                  <c:v>119.9083097571412</c:v>
                </c:pt>
                <c:pt idx="122">
                  <c:v>119.9086918093604</c:v>
                </c:pt>
                <c:pt idx="123">
                  <c:v>119.9090827663527</c:v>
                </c:pt>
                <c:pt idx="124">
                  <c:v>119.9094828358023</c:v>
                </c:pt>
                <c:pt idx="125">
                  <c:v>119.9098922302426</c:v>
                </c:pt>
                <c:pt idx="126">
                  <c:v>119.9103111671711</c:v>
                </c:pt>
                <c:pt idx="127">
                  <c:v>119.9107398691652</c:v>
                </c:pt>
                <c:pt idx="128">
                  <c:v>119.9111785640005</c:v>
                </c:pt>
                <c:pt idx="129">
                  <c:v>119.9116274847737</c:v>
                </c:pt>
                <c:pt idx="130">
                  <c:v>119.912086870027</c:v>
                </c:pt>
                <c:pt idx="131">
                  <c:v>119.9125569638744</c:v>
                </c:pt>
                <c:pt idx="132">
                  <c:v>119.9130380161337</c:v>
                </c:pt>
                <c:pt idx="133">
                  <c:v>119.9135302824598</c:v>
                </c:pt>
                <c:pt idx="134">
                  <c:v>119.914034024481</c:v>
                </c:pt>
                <c:pt idx="135">
                  <c:v>119.9145495099401</c:v>
                </c:pt>
                <c:pt idx="136">
                  <c:v>119.9150770128359</c:v>
                </c:pt>
                <c:pt idx="137">
                  <c:v>119.9156168135721</c:v>
                </c:pt>
                <c:pt idx="138">
                  <c:v>119.916169199106</c:v>
                </c:pt>
                <c:pt idx="139">
                  <c:v>119.9167344631026</c:v>
                </c:pt>
                <c:pt idx="140">
                  <c:v>119.9173129060918</c:v>
                </c:pt>
                <c:pt idx="141">
                  <c:v>119.9179048356308</c:v>
                </c:pt>
                <c:pt idx="142">
                  <c:v>119.9185105664657</c:v>
                </c:pt>
                <c:pt idx="143">
                  <c:v>119.9191304207044</c:v>
                </c:pt>
                <c:pt idx="144">
                  <c:v>119.9197647279863</c:v>
                </c:pt>
                <c:pt idx="145">
                  <c:v>119.9204138256609</c:v>
                </c:pt>
                <c:pt idx="146">
                  <c:v>119.9210780589669</c:v>
                </c:pt>
                <c:pt idx="147">
                  <c:v>119.9217577812205</c:v>
                </c:pt>
                <c:pt idx="148">
                  <c:v>119.922453354002</c:v>
                </c:pt>
                <c:pt idx="149">
                  <c:v>119.9231651473519</c:v>
                </c:pt>
                <c:pt idx="150">
                  <c:v>119.9238935399691</c:v>
                </c:pt>
                <c:pt idx="151">
                  <c:v>119.9246389194143</c:v>
                </c:pt>
                <c:pt idx="152">
                  <c:v>119.9254016823183</c:v>
                </c:pt>
                <c:pt idx="153">
                  <c:v>119.9261822345963</c:v>
                </c:pt>
                <c:pt idx="154">
                  <c:v>119.9269809916648</c:v>
                </c:pt>
                <c:pt idx="155">
                  <c:v>119.9277983786655</c:v>
                </c:pt>
                <c:pt idx="156">
                  <c:v>119.9286348306945</c:v>
                </c:pt>
                <c:pt idx="157">
                  <c:v>119.9294907930368</c:v>
                </c:pt>
                <c:pt idx="158">
                  <c:v>119.9303667214055</c:v>
                </c:pt>
                <c:pt idx="159">
                  <c:v>119.9312630821875</c:v>
                </c:pt>
                <c:pt idx="160">
                  <c:v>119.9321803526947</c:v>
                </c:pt>
                <c:pt idx="161">
                  <c:v>119.9331190214226</c:v>
                </c:pt>
                <c:pt idx="162">
                  <c:v>119.9340795883113</c:v>
                </c:pt>
                <c:pt idx="163">
                  <c:v>119.935062565018</c:v>
                </c:pt>
                <c:pt idx="164">
                  <c:v>119.9360684751916</c:v>
                </c:pt>
                <c:pt idx="165">
                  <c:v>119.9370978547561</c:v>
                </c:pt>
                <c:pt idx="166">
                  <c:v>119.9381512521988</c:v>
                </c:pt>
                <c:pt idx="167">
                  <c:v>119.939229228869</c:v>
                </c:pt>
                <c:pt idx="168">
                  <c:v>119.9403323592792</c:v>
                </c:pt>
                <c:pt idx="169">
                  <c:v>119.9414612314185</c:v>
                </c:pt>
                <c:pt idx="170">
                  <c:v>119.9426164470674</c:v>
                </c:pt>
                <c:pt idx="171">
                  <c:v>119.9437986221268</c:v>
                </c:pt>
                <c:pt idx="172">
                  <c:v>119.9450083869503</c:v>
                </c:pt>
                <c:pt idx="173">
                  <c:v>119.9462463866853</c:v>
                </c:pt>
                <c:pt idx="174">
                  <c:v>119.9475132816225</c:v>
                </c:pt>
                <c:pt idx="175">
                  <c:v>119.9488097475565</c:v>
                </c:pt>
                <c:pt idx="176">
                  <c:v>119.9501364761502</c:v>
                </c:pt>
                <c:pt idx="177">
                  <c:v>119.9514941753095</c:v>
                </c:pt>
                <c:pt idx="178">
                  <c:v>119.9528835695721</c:v>
                </c:pt>
                <c:pt idx="179">
                  <c:v>119.9543054004966</c:v>
                </c:pt>
                <c:pt idx="180">
                  <c:v>119.9557604270685</c:v>
                </c:pt>
                <c:pt idx="181">
                  <c:v>119.9572494261127</c:v>
                </c:pt>
                <c:pt idx="182">
                  <c:v>119.9587731927158</c:v>
                </c:pt>
                <c:pt idx="183">
                  <c:v>119.9603325406597</c:v>
                </c:pt>
                <c:pt idx="184">
                  <c:v>119.9619283028649</c:v>
                </c:pt>
                <c:pt idx="185">
                  <c:v>119.9635613318469</c:v>
                </c:pt>
                <c:pt idx="186">
                  <c:v>119.9652325001758</c:v>
                </c:pt>
                <c:pt idx="187">
                  <c:v>119.9669427009601</c:v>
                </c:pt>
                <c:pt idx="188">
                  <c:v>119.9686928483294</c:v>
                </c:pt>
                <c:pt idx="189">
                  <c:v>119.9704838779361</c:v>
                </c:pt>
                <c:pt idx="190">
                  <c:v>119.9723167474681</c:v>
                </c:pt>
                <c:pt idx="191">
                  <c:v>119.9741924371704</c:v>
                </c:pt>
                <c:pt idx="192">
                  <c:v>119.9761119503847</c:v>
                </c:pt>
                <c:pt idx="193">
                  <c:v>119.9780763140992</c:v>
                </c:pt>
                <c:pt idx="194">
                  <c:v>119.9800865795112</c:v>
                </c:pt>
                <c:pt idx="195">
                  <c:v>119.9821438226035</c:v>
                </c:pt>
                <c:pt idx="196">
                  <c:v>119.9842491447382</c:v>
                </c:pt>
                <c:pt idx="197">
                  <c:v>119.9864036732589</c:v>
                </c:pt>
                <c:pt idx="198">
                  <c:v>119.9886085621134</c:v>
                </c:pt>
                <c:pt idx="199">
                  <c:v>119.9908649924889</c:v>
                </c:pt>
                <c:pt idx="200">
                  <c:v>119.993174173461</c:v>
                </c:pt>
                <c:pt idx="201">
                  <c:v>119.9955373426643</c:v>
                </c:pt>
                <c:pt idx="202">
                  <c:v>119.9979557669696</c:v>
                </c:pt>
                <c:pt idx="203">
                  <c:v>120.0004307431912</c:v>
                </c:pt>
                <c:pt idx="204">
                  <c:v>120.0029635987966</c:v>
                </c:pt>
                <c:pt idx="205">
                  <c:v>120.0055556926476</c:v>
                </c:pt>
                <c:pt idx="206">
                  <c:v>120.0082084157471</c:v>
                </c:pt>
                <c:pt idx="207">
                  <c:v>120.0109231920146</c:v>
                </c:pt>
                <c:pt idx="208">
                  <c:v>120.0137014790717</c:v>
                </c:pt>
                <c:pt idx="209">
                  <c:v>120.0165447690573</c:v>
                </c:pt>
                <c:pt idx="210">
                  <c:v>120.0194545894531</c:v>
                </c:pt>
                <c:pt idx="211">
                  <c:v>120.0224325039331</c:v>
                </c:pt>
                <c:pt idx="212">
                  <c:v>120.0254801132352</c:v>
                </c:pt>
                <c:pt idx="213">
                  <c:v>120.028599056055</c:v>
                </c:pt>
                <c:pt idx="214">
                  <c:v>120.0317910099574</c:v>
                </c:pt>
                <c:pt idx="215">
                  <c:v>120.0350576923162</c:v>
                </c:pt>
                <c:pt idx="216">
                  <c:v>120.0384008612704</c:v>
                </c:pt>
                <c:pt idx="217">
                  <c:v>120.041822316713</c:v>
                </c:pt>
                <c:pt idx="218">
                  <c:v>120.045323901295</c:v>
                </c:pt>
                <c:pt idx="219">
                  <c:v>120.0489075014621</c:v>
                </c:pt>
                <c:pt idx="220">
                  <c:v>120.052575048509</c:v>
                </c:pt>
                <c:pt idx="221">
                  <c:v>120.0563285196701</c:v>
                </c:pt>
                <c:pt idx="222">
                  <c:v>120.0601699392285</c:v>
                </c:pt>
                <c:pt idx="223">
                  <c:v>120.0641013796551</c:v>
                </c:pt>
                <c:pt idx="224">
                  <c:v>120.068124962782</c:v>
                </c:pt>
                <c:pt idx="225">
                  <c:v>120.0722428609935</c:v>
                </c:pt>
                <c:pt idx="226">
                  <c:v>120.0764572984584</c:v>
                </c:pt>
                <c:pt idx="227">
                  <c:v>120.0807705523856</c:v>
                </c:pt>
                <c:pt idx="228">
                  <c:v>120.0851849543128</c:v>
                </c:pt>
                <c:pt idx="229">
                  <c:v>120.0897028914334</c:v>
                </c:pt>
                <c:pt idx="230">
                  <c:v>120.0943268079448</c:v>
                </c:pt>
                <c:pt idx="231">
                  <c:v>120.0990592064417</c:v>
                </c:pt>
                <c:pt idx="232">
                  <c:v>120.1039026493372</c:v>
                </c:pt>
                <c:pt idx="233">
                  <c:v>120.1088597603248</c:v>
                </c:pt>
                <c:pt idx="234">
                  <c:v>120.1139332258734</c:v>
                </c:pt>
                <c:pt idx="235">
                  <c:v>120.1191257967584</c:v>
                </c:pt>
                <c:pt idx="236">
                  <c:v>120.1244402896368</c:v>
                </c:pt>
                <c:pt idx="237">
                  <c:v>120.1298795886568</c:v>
                </c:pt>
                <c:pt idx="238">
                  <c:v>120.1354466471142</c:v>
                </c:pt>
                <c:pt idx="239">
                  <c:v>120.1411444891438</c:v>
                </c:pt>
                <c:pt idx="240">
                  <c:v>120.146976211447</c:v>
                </c:pt>
                <c:pt idx="241">
                  <c:v>120.1529449850904</c:v>
                </c:pt>
                <c:pt idx="242">
                  <c:v>120.159054057312</c:v>
                </c:pt>
                <c:pt idx="243">
                  <c:v>120.1653067534044</c:v>
                </c:pt>
                <c:pt idx="244">
                  <c:v>120.171706478628</c:v>
                </c:pt>
                <c:pt idx="245">
                  <c:v>120.1782567201767</c:v>
                </c:pt>
                <c:pt idx="246">
                  <c:v>120.1849610491922</c:v>
                </c:pt>
                <c:pt idx="247">
                  <c:v>120.1918231228351</c:v>
                </c:pt>
                <c:pt idx="248">
                  <c:v>120.1988466864017</c:v>
                </c:pt>
                <c:pt idx="249">
                  <c:v>120.206035575487</c:v>
                </c:pt>
                <c:pt idx="250">
                  <c:v>120.213393718224</c:v>
                </c:pt>
                <c:pt idx="251">
                  <c:v>120.2209251375578</c:v>
                </c:pt>
                <c:pt idx="252">
                  <c:v>120.2286339535791</c:v>
                </c:pt>
                <c:pt idx="253">
                  <c:v>120.236524385934</c:v>
                </c:pt>
                <c:pt idx="254">
                  <c:v>120.2446007562699</c:v>
                </c:pt>
                <c:pt idx="255">
                  <c:v>120.2528674907586</c:v>
                </c:pt>
                <c:pt idx="256">
                  <c:v>120.2613291226777</c:v>
                </c:pt>
                <c:pt idx="257">
                  <c:v>120.2699902950536</c:v>
                </c:pt>
                <c:pt idx="258">
                  <c:v>120.2788557633675</c:v>
                </c:pt>
                <c:pt idx="259">
                  <c:v>120.2879303983437</c:v>
                </c:pt>
                <c:pt idx="260">
                  <c:v>120.2972191887812</c:v>
                </c:pt>
                <c:pt idx="261">
                  <c:v>120.3067272444788</c:v>
                </c:pt>
                <c:pt idx="262">
                  <c:v>120.3164597992174</c:v>
                </c:pt>
                <c:pt idx="263">
                  <c:v>120.3264222138145</c:v>
                </c:pt>
                <c:pt idx="264">
                  <c:v>120.3366199792607</c:v>
                </c:pt>
                <c:pt idx="265">
                  <c:v>120.3470587199341</c:v>
                </c:pt>
                <c:pt idx="266">
                  <c:v>120.3577441968663</c:v>
                </c:pt>
                <c:pt idx="267">
                  <c:v>120.3686823111228</c:v>
                </c:pt>
                <c:pt idx="268">
                  <c:v>120.3798791072323</c:v>
                </c:pt>
                <c:pt idx="269">
                  <c:v>120.391340776708</c:v>
                </c:pt>
                <c:pt idx="270">
                  <c:v>120.4030736616635</c:v>
                </c:pt>
                <c:pt idx="271">
                  <c:v>120.4150842584834</c:v>
                </c:pt>
                <c:pt idx="272">
                  <c:v>120.427379221597</c:v>
                </c:pt>
                <c:pt idx="273">
                  <c:v>120.4399653673334</c:v>
                </c:pt>
                <c:pt idx="274">
                  <c:v>120.4528496778562</c:v>
                </c:pt>
                <c:pt idx="275">
                  <c:v>120.4660393051886</c:v>
                </c:pt>
                <c:pt idx="276">
                  <c:v>120.4795415753325</c:v>
                </c:pt>
                <c:pt idx="277">
                  <c:v>120.4933639924386</c:v>
                </c:pt>
                <c:pt idx="278">
                  <c:v>120.5075142431197</c:v>
                </c:pt>
                <c:pt idx="279">
                  <c:v>120.5220002007945</c:v>
                </c:pt>
                <c:pt idx="280">
                  <c:v>120.5368299301585</c:v>
                </c:pt>
                <c:pt idx="281">
                  <c:v>120.5520116917133</c:v>
                </c:pt>
                <c:pt idx="282">
                  <c:v>120.5675539463918</c:v>
                </c:pt>
                <c:pt idx="283">
                  <c:v>120.583465360253</c:v>
                </c:pt>
                <c:pt idx="284">
                  <c:v>120.5997548092879</c:v>
                </c:pt>
                <c:pt idx="285">
                  <c:v>120.6164313842537</c:v>
                </c:pt>
                <c:pt idx="286">
                  <c:v>120.6335043956232</c:v>
                </c:pt>
                <c:pt idx="287">
                  <c:v>120.650983378599</c:v>
                </c:pt>
                <c:pt idx="288">
                  <c:v>120.6688780981695</c:v>
                </c:pt>
                <c:pt idx="289">
                  <c:v>120.6871985542526</c:v>
                </c:pt>
                <c:pt idx="290">
                  <c:v>120.7059549868733</c:v>
                </c:pt>
                <c:pt idx="291">
                  <c:v>120.7251578814106</c:v>
                </c:pt>
                <c:pt idx="292">
                  <c:v>120.7448179738819</c:v>
                </c:pt>
                <c:pt idx="293">
                  <c:v>120.7649462562174</c:v>
                </c:pt>
                <c:pt idx="294">
                  <c:v>120.7855539816067</c:v>
                </c:pt>
                <c:pt idx="295">
                  <c:v>120.8066526698387</c:v>
                </c:pt>
                <c:pt idx="296">
                  <c:v>120.8282541126063</c:v>
                </c:pt>
                <c:pt idx="297">
                  <c:v>120.8503703788205</c:v>
                </c:pt>
                <c:pt idx="298">
                  <c:v>120.8730138198703</c:v>
                </c:pt>
                <c:pt idx="299">
                  <c:v>120.8961970748233</c:v>
                </c:pt>
                <c:pt idx="300">
                  <c:v>120.9199330755378</c:v>
                </c:pt>
                <c:pt idx="301">
                  <c:v>120.9442350516681</c:v>
                </c:pt>
                <c:pt idx="302">
                  <c:v>120.9691165355337</c:v>
                </c:pt>
                <c:pt idx="303">
                  <c:v>120.9945913668191</c:v>
                </c:pt>
                <c:pt idx="304">
                  <c:v>121.02067369704</c:v>
                </c:pt>
                <c:pt idx="305">
                  <c:v>121.0473779937957</c:v>
                </c:pt>
                <c:pt idx="306">
                  <c:v>121.0747190446924</c:v>
                </c:pt>
                <c:pt idx="307">
                  <c:v>121.1027119609422</c:v>
                </c:pt>
                <c:pt idx="308">
                  <c:v>121.1313721805369</c:v>
                </c:pt>
                <c:pt idx="309">
                  <c:v>121.1607154709557</c:v>
                </c:pt>
                <c:pt idx="310">
                  <c:v>121.1907579313472</c:v>
                </c:pt>
                <c:pt idx="311">
                  <c:v>121.2215159940337</c:v>
                </c:pt>
                <c:pt idx="312">
                  <c:v>121.2530064253603</c:v>
                </c:pt>
                <c:pt idx="313">
                  <c:v>121.2852463257005</c:v>
                </c:pt>
                <c:pt idx="314">
                  <c:v>121.3182531285089</c:v>
                </c:pt>
                <c:pt idx="315">
                  <c:v>121.3520445983366</c:v>
                </c:pt>
                <c:pt idx="316">
                  <c:v>121.3866388276682</c:v>
                </c:pt>
                <c:pt idx="317">
                  <c:v>121.4220542323434</c:v>
                </c:pt>
                <c:pt idx="318">
                  <c:v>121.4583095455115</c:v>
                </c:pt>
                <c:pt idx="319">
                  <c:v>121.4954238098198</c:v>
                </c:pt>
                <c:pt idx="320">
                  <c:v>121.5334163676464</c:v>
                </c:pt>
                <c:pt idx="321">
                  <c:v>121.5723068491759</c:v>
                </c:pt>
                <c:pt idx="322">
                  <c:v>121.6121151579871</c:v>
                </c:pt>
                <c:pt idx="323">
                  <c:v>121.6528614538806</c:v>
                </c:pt>
                <c:pt idx="324">
                  <c:v>121.694566132601</c:v>
                </c:pt>
                <c:pt idx="325">
                  <c:v>121.7372498020637</c:v>
                </c:pt>
                <c:pt idx="326">
                  <c:v>121.7809332547269</c:v>
                </c:pt>
                <c:pt idx="327">
                  <c:v>121.8256374355271</c:v>
                </c:pt>
                <c:pt idx="328">
                  <c:v>121.8713834049633</c:v>
                </c:pt>
                <c:pt idx="329">
                  <c:v>121.918192296704</c:v>
                </c:pt>
                <c:pt idx="330">
                  <c:v>121.9660852690839</c:v>
                </c:pt>
                <c:pt idx="331">
                  <c:v>122.0150834496853</c:v>
                </c:pt>
                <c:pt idx="332">
                  <c:v>122.0652078723988</c:v>
                </c:pt>
                <c:pt idx="333">
                  <c:v>122.1164794058263</c:v>
                </c:pt>
                <c:pt idx="334">
                  <c:v>122.1689186722386</c:v>
                </c:pt>
                <c:pt idx="335">
                  <c:v>122.2225459558218</c:v>
                </c:pt>
                <c:pt idx="336">
                  <c:v>122.2773810991295</c:v>
                </c:pt>
                <c:pt idx="337">
                  <c:v>122.3334433862408</c:v>
                </c:pt>
                <c:pt idx="338">
                  <c:v>122.3907514112456</c:v>
                </c:pt>
                <c:pt idx="339">
                  <c:v>122.4493229302725</c:v>
                </c:pt>
                <c:pt idx="340">
                  <c:v>122.5091746952474</c:v>
                </c:pt>
                <c:pt idx="341">
                  <c:v>122.5703222673775</c:v>
                </c:pt>
                <c:pt idx="342">
                  <c:v>122.6327798080147</c:v>
                </c:pt>
                <c:pt idx="343">
                  <c:v>122.6965598445136</c:v>
                </c:pt>
                <c:pt idx="344">
                  <c:v>122.7616730082148</c:v>
                </c:pt>
                <c:pt idx="345">
                  <c:v>122.8281277416862</c:v>
                </c:pt>
                <c:pt idx="346">
                  <c:v>122.8959299718379</c:v>
                </c:pt>
                <c:pt idx="347">
                  <c:v>122.9650827455371</c:v>
                </c:pt>
                <c:pt idx="348">
                  <c:v>123.035585823416</c:v>
                </c:pt>
                <c:pt idx="349">
                  <c:v>123.1074352283707</c:v>
                </c:pt>
                <c:pt idx="350">
                  <c:v>123.1806227435648</c:v>
                </c:pt>
                <c:pt idx="351">
                  <c:v>123.2551353557036</c:v>
                </c:pt>
                <c:pt idx="352">
                  <c:v>123.3309546382247</c:v>
                </c:pt>
                <c:pt idx="353">
                  <c:v>123.4080560693516</c:v>
                </c:pt>
                <c:pt idx="354">
                  <c:v>123.4864082794499</c:v>
                </c:pt>
                <c:pt idx="355">
                  <c:v>123.5659722222963</c:v>
                </c:pt>
                <c:pt idx="356">
                  <c:v>123.6467002648521</c:v>
                </c:pt>
                <c:pt idx="357">
                  <c:v>123.7285351902711</c:v>
                </c:pt>
                <c:pt idx="358">
                  <c:v>123.8114091096471</c:v>
                </c:pt>
                <c:pt idx="359">
                  <c:v>123.8952422782538</c:v>
                </c:pt>
                <c:pt idx="360">
                  <c:v>123.979941813861</c:v>
                </c:pt>
                <c:pt idx="361">
                  <c:v>124.0654003155793</c:v>
                </c:pt>
                <c:pt idx="362">
                  <c:v>124.1514943844684</c:v>
                </c:pt>
                <c:pt idx="363">
                  <c:v>124.2380830495831</c:v>
                </c:pt>
                <c:pt idx="364">
                  <c:v>124.325006107233</c:v>
                </c:pt>
                <c:pt idx="365">
                  <c:v>124.4120823856481</c:v>
                </c:pt>
                <c:pt idx="366">
                  <c:v>124.4991079529152</c:v>
                </c:pt>
                <c:pt idx="367">
                  <c:v>124.5858542937129</c:v>
                </c:pt>
                <c:pt idx="368">
                  <c:v>124.6720664881715</c:v>
                </c:pt>
                <c:pt idx="369">
                  <c:v>124.7574614360786</c:v>
                </c:pt>
                <c:pt idx="370">
                  <c:v>124.8417261817097</c:v>
                </c:pt>
                <c:pt idx="371">
                  <c:v>124.9245164056847</c:v>
                </c:pt>
                <c:pt idx="372">
                  <c:v>125.0054551653734</c:v>
                </c:pt>
                <c:pt idx="373">
                  <c:v>125.0841319780934</c:v>
                </c:pt>
                <c:pt idx="374">
                  <c:v>125.1601023561773</c:v>
                </c:pt>
                <c:pt idx="375">
                  <c:v>125.2328879143701</c:v>
                </c:pt>
                <c:pt idx="376">
                  <c:v>125.3019771810712</c:v>
                </c:pt>
                <c:pt idx="377">
                  <c:v>125.3668272491649</c:v>
                </c:pt>
                <c:pt idx="378">
                  <c:v>125.426866401594</c:v>
                </c:pt>
                <c:pt idx="379">
                  <c:v>125.4814978367996</c:v>
                </c:pt>
                <c:pt idx="380">
                  <c:v>125.530104598697</c:v>
                </c:pt>
                <c:pt idx="381">
                  <c:v>125.5720557817659</c:v>
                </c:pt>
                <c:pt idx="382">
                  <c:v>125.6067140350322</c:v>
                </c:pt>
                <c:pt idx="383">
                  <c:v>125.6334443265261</c:v>
                </c:pt>
                <c:pt idx="384">
                  <c:v>125.6516238552682</c:v>
                </c:pt>
                <c:pt idx="385">
                  <c:v>125.660652915289</c:v>
                </c:pt>
                <c:pt idx="386">
                  <c:v>125.6599664267637</c:v>
                </c:pt>
                <c:pt idx="387">
                  <c:v>125.6490457672112</c:v>
                </c:pt>
                <c:pt idx="388">
                  <c:v>125.6274304625981</c:v>
                </c:pt>
                <c:pt idx="389">
                  <c:v>125.5947292490831</c:v>
                </c:pt>
                <c:pt idx="390">
                  <c:v>125.5506299966678</c:v>
                </c:pt>
                <c:pt idx="391">
                  <c:v>125.4949080025662</c:v>
                </c:pt>
                <c:pt idx="392">
                  <c:v>125.427432220053</c:v>
                </c:pt>
                <c:pt idx="393">
                  <c:v>125.3481690819251</c:v>
                </c:pt>
                <c:pt idx="394">
                  <c:v>125.257183704673</c:v>
                </c:pt>
                <c:pt idx="395">
                  <c:v>125.1546384045529</c:v>
                </c:pt>
                <c:pt idx="396">
                  <c:v>125.0407886102525</c:v>
                </c:pt>
                <c:pt idx="397">
                  <c:v>124.9159764009561</c:v>
                </c:pt>
                <c:pt idx="398">
                  <c:v>124.7806220217759</c:v>
                </c:pt>
                <c:pt idx="399">
                  <c:v>124.6352138192452</c:v>
                </c:pt>
                <c:pt idx="400">
                  <c:v>124.4802970923337</c:v>
                </c:pt>
                <c:pt idx="401">
                  <c:v>124.3164623673495</c:v>
                </c:pt>
                <c:pt idx="402">
                  <c:v>124.1443335823871</c:v>
                </c:pt>
                <c:pt idx="403">
                  <c:v>123.9645566142179</c:v>
                </c:pt>
                <c:pt idx="404">
                  <c:v>123.7777885067887</c:v>
                </c:pt>
                <c:pt idx="405">
                  <c:v>123.5846876764958</c:v>
                </c:pt>
                <c:pt idx="406">
                  <c:v>123.3859052808206</c:v>
                </c:pt>
                <c:pt idx="407">
                  <c:v>123.1820778551443</c:v>
                </c:pt>
                <c:pt idx="408">
                  <c:v>122.9738212483584</c:v>
                </c:pt>
                <c:pt idx="409">
                  <c:v>122.76172582843</c:v>
                </c:pt>
                <c:pt idx="410">
                  <c:v>122.5463528828451</c:v>
                </c:pt>
                <c:pt idx="411">
                  <c:v>122.3282321064404</c:v>
                </c:pt>
                <c:pt idx="412">
                  <c:v>122.1078600501738</c:v>
                </c:pt>
                <c:pt idx="413">
                  <c:v>121.8856993952163</c:v>
                </c:pt>
                <c:pt idx="414">
                  <c:v>121.6621789164682</c:v>
                </c:pt>
                <c:pt idx="415">
                  <c:v>121.43769400563</c:v>
                </c:pt>
                <c:pt idx="416">
                  <c:v>121.2126076337719</c:v>
                </c:pt>
                <c:pt idx="417">
                  <c:v>120.9872516465369</c:v>
                </c:pt>
                <c:pt idx="418">
                  <c:v>120.7619282982843</c:v>
                </c:pt>
                <c:pt idx="419">
                  <c:v>120.5369119462149</c:v>
                </c:pt>
                <c:pt idx="420">
                  <c:v>120.3124508385489</c:v>
                </c:pt>
                <c:pt idx="421">
                  <c:v>120.088768943163</c:v>
                </c:pt>
                <c:pt idx="422">
                  <c:v>119.8660677746917</c:v>
                </c:pt>
                <c:pt idx="423">
                  <c:v>119.6445281872416</c:v>
                </c:pt>
                <c:pt idx="424">
                  <c:v>119.4243121084524</c:v>
                </c:pt>
                <c:pt idx="425">
                  <c:v>119.2055641977029</c:v>
                </c:pt>
                <c:pt idx="426">
                  <c:v>118.9884134162381</c:v>
                </c:pt>
                <c:pt idx="427">
                  <c:v>118.7729745027248</c:v>
                </c:pt>
                <c:pt idx="428">
                  <c:v>118.5593493501419</c:v>
                </c:pt>
                <c:pt idx="429">
                  <c:v>118.3476282835331</c:v>
                </c:pt>
                <c:pt idx="430">
                  <c:v>118.1378912399046</c:v>
                </c:pt>
                <c:pt idx="431">
                  <c:v>117.9302088532585</c:v>
                </c:pt>
                <c:pt idx="432">
                  <c:v>117.7246434486753</c:v>
                </c:pt>
                <c:pt idx="433">
                  <c:v>117.5212499501295</c:v>
                </c:pt>
                <c:pt idx="434">
                  <c:v>117.3200767074323</c:v>
                </c:pt>
                <c:pt idx="435">
                  <c:v>117.1211662473392</c:v>
                </c:pt>
                <c:pt idx="436">
                  <c:v>116.9245559544862</c:v>
                </c:pt>
                <c:pt idx="437">
                  <c:v>116.7302786873417</c:v>
                </c:pt>
                <c:pt idx="438">
                  <c:v>116.5383633344014</c:v>
                </c:pt>
                <c:pt idx="439">
                  <c:v>116.3488353154395</c:v>
                </c:pt>
                <c:pt idx="440">
                  <c:v>116.161717032507</c:v>
                </c:pt>
                <c:pt idx="441">
                  <c:v>115.9770282749647</c:v>
                </c:pt>
                <c:pt idx="442">
                  <c:v>115.7947865824524</c:v>
                </c:pt>
                <c:pt idx="443">
                  <c:v>115.615007569599</c:v>
                </c:pt>
                <c:pt idx="444">
                  <c:v>115.4377052156242</c:v>
                </c:pt>
                <c:pt idx="445">
                  <c:v>115.2628921219453</c:v>
                </c:pt>
                <c:pt idx="446">
                  <c:v>115.0905797404147</c:v>
                </c:pt>
                <c:pt idx="447">
                  <c:v>114.9207785745786</c:v>
                </c:pt>
                <c:pt idx="448">
                  <c:v>114.753498356081</c:v>
                </c:pt>
                <c:pt idx="449">
                  <c:v>114.5887481979276</c:v>
                </c:pt>
                <c:pt idx="450">
                  <c:v>114.4265367262654</c:v>
                </c:pt>
                <c:pt idx="451">
                  <c:v>114.2668721918387</c:v>
                </c:pt>
                <c:pt idx="452">
                  <c:v>114.1097625622044</c:v>
                </c:pt>
                <c:pt idx="453">
                  <c:v>113.9552155954381</c:v>
                </c:pt>
                <c:pt idx="454">
                  <c:v>113.8032388958367</c:v>
                </c:pt>
                <c:pt idx="455">
                  <c:v>113.6538399519085</c:v>
                </c:pt>
                <c:pt idx="456">
                  <c:v>113.5070261566098</c:v>
                </c:pt>
                <c:pt idx="457">
                  <c:v>113.3628048095945</c:v>
                </c:pt>
                <c:pt idx="458">
                  <c:v>113.2211831009957</c:v>
                </c:pt>
                <c:pt idx="459">
                  <c:v>113.082168075779</c:v>
                </c:pt>
                <c:pt idx="460">
                  <c:v>112.9457665777706</c:v>
                </c:pt>
                <c:pt idx="461">
                  <c:v>112.8119851716805</c:v>
                </c:pt>
                <c:pt idx="462">
                  <c:v>112.6808300415396</c:v>
                </c:pt>
                <c:pt idx="463">
                  <c:v>112.5523068632096</c:v>
                </c:pt>
                <c:pt idx="464">
                  <c:v>112.4264206484975</c:v>
                </c:pt>
                <c:pt idx="465">
                  <c:v>112.303175557719</c:v>
                </c:pt>
                <c:pt idx="466">
                  <c:v>112.1825746772439</c:v>
                </c:pt>
                <c:pt idx="467">
                  <c:v>112.0646197577928</c:v>
                </c:pt>
                <c:pt idx="468">
                  <c:v>111.9493109088682</c:v>
                </c:pt>
                <c:pt idx="469">
                  <c:v>111.8366462437392</c:v>
                </c:pt>
                <c:pt idx="470">
                  <c:v>111.7266214689384</c:v>
                </c:pt>
                <c:pt idx="471">
                  <c:v>111.6192294110989</c:v>
                </c:pt>
                <c:pt idx="472">
                  <c:v>111.5144594733229</c:v>
                </c:pt>
                <c:pt idx="473">
                  <c:v>111.4122970120574</c:v>
                </c:pt>
                <c:pt idx="474">
                  <c:v>111.3127226244808</c:v>
                </c:pt>
                <c:pt idx="475">
                  <c:v>111.2157113353057</c:v>
                </c:pt>
                <c:pt idx="476">
                  <c:v>111.121231670564</c:v>
                </c:pt>
                <c:pt idx="477">
                  <c:v>111.0292446047905</c:v>
                </c:pt>
                <c:pt idx="478">
                  <c:v>110.9397023667981</c:v>
                </c:pt>
                <c:pt idx="479">
                  <c:v>110.852547087948</c:v>
                </c:pt>
                <c:pt idx="480">
                  <c:v>110.767709275798</c:v>
                </c:pt>
                <c:pt idx="481">
                  <c:v>110.6851060951612</c:v>
                </c:pt>
                <c:pt idx="482">
                  <c:v>110.6046394380243</c:v>
                </c:pt>
                <c:pt idx="483">
                  <c:v>110.5261937639044</c:v>
                </c:pt>
                <c:pt idx="484">
                  <c:v>110.449633692858</c:v>
                </c:pt>
                <c:pt idx="485">
                  <c:v>110.3748013353294</c:v>
                </c:pt>
                <c:pt idx="486">
                  <c:v>110.3015133462478</c:v>
                </c:pt>
                <c:pt idx="487">
                  <c:v>110.2295576959055</c:v>
                </c:pt>
                <c:pt idx="488">
                  <c:v>110.1586901579043</c:v>
                </c:pt>
                <c:pt idx="489">
                  <c:v>110.0886305251161</c:v>
                </c:pt>
                <c:pt idx="490">
                  <c:v>110.0190585792831</c:v>
                </c:pt>
                <c:pt idx="491">
                  <c:v>109.9496098591379</c:v>
                </c:pt>
                <c:pt idx="492">
                  <c:v>109.87987129679</c:v>
                </c:pt>
                <c:pt idx="493">
                  <c:v>109.8093768229699</c:v>
                </c:pt>
                <c:pt idx="494">
                  <c:v>109.737603079551</c:v>
                </c:pt>
                <c:pt idx="495">
                  <c:v>109.6639654221016</c:v>
                </c:pt>
                <c:pt idx="496">
                  <c:v>109.5878144458154</c:v>
                </c:pt>
                <c:pt idx="497">
                  <c:v>109.5084333229647</c:v>
                </c:pt>
                <c:pt idx="498">
                  <c:v>109.4250362962189</c:v>
                </c:pt>
                <c:pt idx="499">
                  <c:v>109.3367687241865</c:v>
                </c:pt>
                <c:pt idx="500">
                  <c:v>109.2427091167489</c:v>
                </c:pt>
                <c:pt idx="501">
                  <c:v>109.1418736180318</c:v>
                </c:pt>
                <c:pt idx="502">
                  <c:v>109.0332233833556</c:v>
                </c:pt>
                <c:pt idx="503">
                  <c:v>108.915675239854</c:v>
                </c:pt>
                <c:pt idx="504">
                  <c:v>108.788115907923</c:v>
                </c:pt>
                <c:pt idx="505">
                  <c:v>108.6494198823138</c:v>
                </c:pt>
                <c:pt idx="506">
                  <c:v>108.498470826774</c:v>
                </c:pt>
                <c:pt idx="507">
                  <c:v>108.3341860317067</c:v>
                </c:pt>
                <c:pt idx="508">
                  <c:v>108.1555431416745</c:v>
                </c:pt>
                <c:pt idx="509">
                  <c:v>107.9616080135482</c:v>
                </c:pt>
                <c:pt idx="510">
                  <c:v>107.751562262725</c:v>
                </c:pt>
                <c:pt idx="511">
                  <c:v>107.5247288469234</c:v>
                </c:pt>
                <c:pt idx="512">
                  <c:v>107.280593972932</c:v>
                </c:pt>
                <c:pt idx="513">
                  <c:v>107.0188237253979</c:v>
                </c:pt>
                <c:pt idx="514">
                  <c:v>106.7392741168943</c:v>
                </c:pt>
                <c:pt idx="515">
                  <c:v>106.4419937227889</c:v>
                </c:pt>
                <c:pt idx="516">
                  <c:v>106.1272186399353</c:v>
                </c:pt>
                <c:pt idx="517">
                  <c:v>105.7953601215208</c:v>
                </c:pt>
                <c:pt idx="518">
                  <c:v>105.4469858116483</c:v>
                </c:pt>
                <c:pt idx="519">
                  <c:v>105.0827959620177</c:v>
                </c:pt>
                <c:pt idx="520">
                  <c:v>104.7035963170005</c:v>
                </c:pt>
                <c:pt idx="521">
                  <c:v>104.3102694916655</c:v>
                </c:pt>
                <c:pt idx="522">
                  <c:v>103.9037466678742</c:v>
                </c:pt>
                <c:pt idx="523">
                  <c:v>103.4849813577603</c:v>
                </c:pt>
                <c:pt idx="524">
                  <c:v>103.0549269236201</c:v>
                </c:pt>
                <c:pt idx="525">
                  <c:v>102.614519622971</c:v>
                </c:pt>
                <c:pt idx="526">
                  <c:v>102.1646693371917</c:v>
                </c:pt>
                <c:pt idx="527">
                  <c:v>101.7062610887687</c:v>
                </c:pt>
                <c:pt idx="528">
                  <c:v>101.2401723401458</c:v>
                </c:pt>
                <c:pt idx="529">
                  <c:v>100.7673145103567</c:v>
                </c:pt>
                <c:pt idx="530">
                  <c:v>100.2887130950778</c:v>
                </c:pt>
                <c:pt idx="531">
                  <c:v>99.80565053540022</c:v>
                </c:pt>
                <c:pt idx="532">
                  <c:v>99.31991069316942</c:v>
                </c:pt>
                <c:pt idx="533">
                  <c:v>98.83418199651581</c:v>
                </c:pt>
                <c:pt idx="534">
                  <c:v>98.35268566855669</c:v>
                </c:pt>
                <c:pt idx="535">
                  <c:v>97.8820499924658</c:v>
                </c:pt>
                <c:pt idx="536">
                  <c:v>97.43222609711626</c:v>
                </c:pt>
                <c:pt idx="537">
                  <c:v>97.01660449533213</c:v>
                </c:pt>
                <c:pt idx="538">
                  <c:v>96.64937756899323</c:v>
                </c:pt>
                <c:pt idx="539">
                  <c:v>96.33786492979991</c:v>
                </c:pt>
                <c:pt idx="540">
                  <c:v>96.07164872230251</c:v>
                </c:pt>
                <c:pt idx="541">
                  <c:v>95.81923625017001</c:v>
                </c:pt>
                <c:pt idx="542">
                  <c:v>95.54206167166127</c:v>
                </c:pt>
                <c:pt idx="543">
                  <c:v>95.21539496182528</c:v>
                </c:pt>
                <c:pt idx="544">
                  <c:v>94.83588771423017</c:v>
                </c:pt>
                <c:pt idx="545">
                  <c:v>94.41396666615836</c:v>
                </c:pt>
                <c:pt idx="546">
                  <c:v>93.96353123797252</c:v>
                </c:pt>
                <c:pt idx="547">
                  <c:v>93.49631777423846</c:v>
                </c:pt>
                <c:pt idx="548">
                  <c:v>93.02052937555816</c:v>
                </c:pt>
                <c:pt idx="549">
                  <c:v>92.54135175526184</c:v>
                </c:pt>
                <c:pt idx="550">
                  <c:v>92.06186473854805</c:v>
                </c:pt>
                <c:pt idx="551">
                  <c:v>91.58380839576984</c:v>
                </c:pt>
                <c:pt idx="552">
                  <c:v>91.10811058156369</c:v>
                </c:pt>
                <c:pt idx="553">
                  <c:v>90.63522050846007</c:v>
                </c:pt>
                <c:pt idx="554">
                  <c:v>90.16531120412373</c:v>
                </c:pt>
                <c:pt idx="555">
                  <c:v>89.69839987885928</c:v>
                </c:pt>
                <c:pt idx="556">
                  <c:v>89.23441868206316</c:v>
                </c:pt>
                <c:pt idx="557">
                  <c:v>88.77325595597961</c:v>
                </c:pt>
                <c:pt idx="558">
                  <c:v>88.31478006362134</c:v>
                </c:pt>
                <c:pt idx="559">
                  <c:v>87.85885295104111</c:v>
                </c:pt>
                <c:pt idx="560">
                  <c:v>87.40533767208129</c:v>
                </c:pt>
                <c:pt idx="561">
                  <c:v>86.95410237292609</c:v>
                </c:pt>
                <c:pt idx="562">
                  <c:v>86.50502221442576</c:v>
                </c:pt>
                <c:pt idx="563">
                  <c:v>86.0579801085224</c:v>
                </c:pt>
                <c:pt idx="564">
                  <c:v>85.61286678864981</c:v>
                </c:pt>
                <c:pt idx="565">
                  <c:v>85.16958052188633</c:v>
                </c:pt>
                <c:pt idx="566">
                  <c:v>84.72802664384871</c:v>
                </c:pt>
                <c:pt idx="567">
                  <c:v>84.28811702143521</c:v>
                </c:pt>
                <c:pt idx="568">
                  <c:v>83.84976950299622</c:v>
                </c:pt>
                <c:pt idx="569">
                  <c:v>83.41290738832903</c:v>
                </c:pt>
                <c:pt idx="570">
                  <c:v>82.97745893472133</c:v>
                </c:pt>
                <c:pt idx="571">
                  <c:v>82.54335690588108</c:v>
                </c:pt>
                <c:pt idx="572">
                  <c:v>82.11053816509732</c:v>
                </c:pt>
                <c:pt idx="573">
                  <c:v>81.67894331110642</c:v>
                </c:pt>
                <c:pt idx="574">
                  <c:v>81.24851635356791</c:v>
                </c:pt>
                <c:pt idx="575">
                  <c:v>80.81920442446452</c:v>
                </c:pt>
                <c:pt idx="576">
                  <c:v>80.39095752158494</c:v>
                </c:pt>
                <c:pt idx="577">
                  <c:v>79.96372828036633</c:v>
                </c:pt>
                <c:pt idx="578">
                  <c:v>79.53747177067994</c:v>
                </c:pt>
                <c:pt idx="579">
                  <c:v>79.11214531543706</c:v>
                </c:pt>
                <c:pt idx="580">
                  <c:v>78.68770832827109</c:v>
                </c:pt>
                <c:pt idx="581">
                  <c:v>78.26412216786609</c:v>
                </c:pt>
                <c:pt idx="582">
                  <c:v>77.84135000683078</c:v>
                </c:pt>
                <c:pt idx="583">
                  <c:v>77.41935671325349</c:v>
                </c:pt>
                <c:pt idx="584">
                  <c:v>76.99810874340081</c:v>
                </c:pt>
                <c:pt idx="585">
                  <c:v>76.5775740441387</c:v>
                </c:pt>
                <c:pt idx="586">
                  <c:v>76.15772196394406</c:v>
                </c:pt>
                <c:pt idx="587">
                  <c:v>75.73852317143756</c:v>
                </c:pt>
                <c:pt idx="588">
                  <c:v>75.31994958060505</c:v>
                </c:pt>
                <c:pt idx="589">
                  <c:v>74.90197428192185</c:v>
                </c:pt>
                <c:pt idx="590">
                  <c:v>74.48457147872021</c:v>
                </c:pt>
                <c:pt idx="591">
                  <c:v>74.06771642825056</c:v>
                </c:pt>
                <c:pt idx="592">
                  <c:v>73.6513853869283</c:v>
                </c:pt>
                <c:pt idx="593">
                  <c:v>73.23555555933697</c:v>
                </c:pt>
                <c:pt idx="594">
                  <c:v>72.82020505062195</c:v>
                </c:pt>
                <c:pt idx="595">
                  <c:v>72.40531282193528</c:v>
                </c:pt>
                <c:pt idx="596">
                  <c:v>71.99085864866105</c:v>
                </c:pt>
                <c:pt idx="597">
                  <c:v>71.57682308114934</c:v>
                </c:pt>
                <c:pt idx="598">
                  <c:v>71.16318740775714</c:v>
                </c:pt>
                <c:pt idx="599">
                  <c:v>70.74993361998727</c:v>
                </c:pt>
                <c:pt idx="600">
                  <c:v>70.33704437955377</c:v>
                </c:pt>
                <c:pt idx="601">
                  <c:v>69.92450298722252</c:v>
                </c:pt>
                <c:pt idx="602">
                  <c:v>69.51229335328803</c:v>
                </c:pt>
                <c:pt idx="603">
                  <c:v>69.10039996956789</c:v>
                </c:pt>
                <c:pt idx="604">
                  <c:v>68.68880788278996</c:v>
                </c:pt>
                <c:pt idx="605">
                  <c:v>68.27750266929358</c:v>
                </c:pt>
                <c:pt idx="606">
                  <c:v>67.86647041094139</c:v>
                </c:pt>
                <c:pt idx="607">
                  <c:v>67.45569767216398</c:v>
                </c:pt>
                <c:pt idx="608">
                  <c:v>67.04517147806121</c:v>
                </c:pt>
                <c:pt idx="609">
                  <c:v>66.63487929351146</c:v>
                </c:pt>
                <c:pt idx="610">
                  <c:v>66.22480900319397</c:v>
                </c:pt>
                <c:pt idx="611">
                  <c:v>65.81494889249646</c:v>
                </c:pt>
                <c:pt idx="612">
                  <c:v>65.40528762925624</c:v>
                </c:pt>
                <c:pt idx="613">
                  <c:v>64.9958142462615</c:v>
                </c:pt>
                <c:pt idx="614">
                  <c:v>64.5865181245038</c:v>
                </c:pt>
                <c:pt idx="615">
                  <c:v>64.17738897711533</c:v>
                </c:pt>
                <c:pt idx="616">
                  <c:v>63.76841683396384</c:v>
                </c:pt>
                <c:pt idx="617">
                  <c:v>63.35959202688053</c:v>
                </c:pt>
                <c:pt idx="618">
                  <c:v>62.95090517545823</c:v>
                </c:pt>
                <c:pt idx="619">
                  <c:v>62.54234717343029</c:v>
                </c:pt>
                <c:pt idx="620">
                  <c:v>62.13390917556812</c:v>
                </c:pt>
                <c:pt idx="621">
                  <c:v>61.72558258508946</c:v>
                </c:pt>
                <c:pt idx="622">
                  <c:v>61.31735904154542</c:v>
                </c:pt>
                <c:pt idx="623">
                  <c:v>60.90923040916788</c:v>
                </c:pt>
                <c:pt idx="624">
                  <c:v>60.5011887656471</c:v>
                </c:pt>
                <c:pt idx="625">
                  <c:v>60.09322639133046</c:v>
                </c:pt>
                <c:pt idx="626">
                  <c:v>59.68533575881231</c:v>
                </c:pt>
                <c:pt idx="627">
                  <c:v>59.2775095229014</c:v>
                </c:pt>
                <c:pt idx="628">
                  <c:v>58.86974051094852</c:v>
                </c:pt>
                <c:pt idx="629">
                  <c:v>58.46202171351544</c:v>
                </c:pt>
                <c:pt idx="630">
                  <c:v>58.05434627537412</c:v>
                </c:pt>
                <c:pt idx="631">
                  <c:v>57.64670748681317</c:v>
                </c:pt>
                <c:pt idx="632">
                  <c:v>57.23909877524495</c:v>
                </c:pt>
                <c:pt idx="633">
                  <c:v>56.83151369709773</c:v>
                </c:pt>
                <c:pt idx="634">
                  <c:v>56.42394592997501</c:v>
                </c:pt>
                <c:pt idx="635">
                  <c:v>56.01638926507987</c:v>
                </c:pt>
                <c:pt idx="636">
                  <c:v>55.60883759987976</c:v>
                </c:pt>
                <c:pt idx="637">
                  <c:v>55.20128493101442</c:v>
                </c:pt>
                <c:pt idx="638">
                  <c:v>54.7937253474216</c:v>
                </c:pt>
                <c:pt idx="639">
                  <c:v>54.38615302368309</c:v>
                </c:pt>
                <c:pt idx="640">
                  <c:v>53.97856221357529</c:v>
                </c:pt>
                <c:pt idx="641">
                  <c:v>53.57094724381051</c:v>
                </c:pt>
                <c:pt idx="642">
                  <c:v>53.16330250797397</c:v>
                </c:pt>
                <c:pt idx="643">
                  <c:v>52.75562246062977</c:v>
                </c:pt>
                <c:pt idx="644">
                  <c:v>52.34790161160294</c:v>
                </c:pt>
                <c:pt idx="645">
                  <c:v>51.94013452041975</c:v>
                </c:pt>
                <c:pt idx="646">
                  <c:v>51.53231579090411</c:v>
                </c:pt>
                <c:pt idx="647">
                  <c:v>51.12444006592173</c:v>
                </c:pt>
                <c:pt idx="648">
                  <c:v>50.7165020222606</c:v>
                </c:pt>
                <c:pt idx="649">
                  <c:v>50.30849636565043</c:v>
                </c:pt>
                <c:pt idx="650">
                  <c:v>49.90041782590301</c:v>
                </c:pt>
                <c:pt idx="651">
                  <c:v>49.49226115217684</c:v>
                </c:pt>
                <c:pt idx="652">
                  <c:v>49.08402110835678</c:v>
                </c:pt>
                <c:pt idx="653">
                  <c:v>48.67569246853875</c:v>
                </c:pt>
                <c:pt idx="654">
                  <c:v>48.26727001262377</c:v>
                </c:pt>
                <c:pt idx="655">
                  <c:v>47.85874852200359</c:v>
                </c:pt>
                <c:pt idx="656">
                  <c:v>47.4501227753457</c:v>
                </c:pt>
                <c:pt idx="657">
                  <c:v>47.04138754446214</c:v>
                </c:pt>
                <c:pt idx="658">
                  <c:v>46.63253759026368</c:v>
                </c:pt>
                <c:pt idx="659">
                  <c:v>46.22356765879235</c:v>
                </c:pt>
                <c:pt idx="660">
                  <c:v>45.81447247733004</c:v>
                </c:pt>
                <c:pt idx="661">
                  <c:v>45.4052467505759</c:v>
                </c:pt>
                <c:pt idx="662">
                  <c:v>44.99588515689096</c:v>
                </c:pt>
                <c:pt idx="663">
                  <c:v>44.58638234460699</c:v>
                </c:pt>
                <c:pt idx="664">
                  <c:v>44.1767329283907</c:v>
                </c:pt>
                <c:pt idx="665">
                  <c:v>43.76693148566653</c:v>
                </c:pt>
                <c:pt idx="666">
                  <c:v>43.35697255309105</c:v>
                </c:pt>
                <c:pt idx="667">
                  <c:v>42.94685062307465</c:v>
                </c:pt>
                <c:pt idx="668">
                  <c:v>42.53656014035016</c:v>
                </c:pt>
                <c:pt idx="669">
                  <c:v>42.126095498582</c:v>
                </c:pt>
                <c:pt idx="670">
                  <c:v>41.71545103701866</c:v>
                </c:pt>
                <c:pt idx="671">
                  <c:v>41.30462103717719</c:v>
                </c:pt>
                <c:pt idx="672">
                  <c:v>40.89359971956422</c:v>
                </c:pt>
                <c:pt idx="673">
                  <c:v>40.48238124042928</c:v>
                </c:pt>
                <c:pt idx="674">
                  <c:v>40.07095968854436</c:v>
                </c:pt>
                <c:pt idx="675">
                  <c:v>39.65932908201222</c:v>
                </c:pt>
                <c:pt idx="676">
                  <c:v>39.24748336509747</c:v>
                </c:pt>
                <c:pt idx="677">
                  <c:v>38.83541640507907</c:v>
                </c:pt>
                <c:pt idx="678">
                  <c:v>38.42312198912425</c:v>
                </c:pt>
                <c:pt idx="679">
                  <c:v>38.01059382117744</c:v>
                </c:pt>
                <c:pt idx="680">
                  <c:v>37.59782551886772</c:v>
                </c:pt>
                <c:pt idx="681">
                  <c:v>37.18481061042591</c:v>
                </c:pt>
                <c:pt idx="682">
                  <c:v>36.77154253161694</c:v>
                </c:pt>
                <c:pt idx="683">
                  <c:v>36.35801462268005</c:v>
                </c:pt>
                <c:pt idx="684">
                  <c:v>35.94422012527607</c:v>
                </c:pt>
                <c:pt idx="685">
                  <c:v>35.53015217944285</c:v>
                </c:pt>
                <c:pt idx="686">
                  <c:v>35.11580382055377</c:v>
                </c:pt>
                <c:pt idx="687">
                  <c:v>34.70116797627934</c:v>
                </c:pt>
                <c:pt idx="688">
                  <c:v>34.28623746354957</c:v>
                </c:pt>
                <c:pt idx="689">
                  <c:v>33.87100498551598</c:v>
                </c:pt>
                <c:pt idx="690">
                  <c:v>33.45546312851254</c:v>
                </c:pt>
                <c:pt idx="691">
                  <c:v>33.03960435901076</c:v>
                </c:pt>
                <c:pt idx="692">
                  <c:v>32.62342102057072</c:v>
                </c:pt>
                <c:pt idx="693">
                  <c:v>32.20690533078603</c:v>
                </c:pt>
                <c:pt idx="694">
                  <c:v>31.79004937821917</c:v>
                </c:pt>
                <c:pt idx="695">
                  <c:v>31.37284511932767</c:v>
                </c:pt>
                <c:pt idx="696">
                  <c:v>30.95528437537732</c:v>
                </c:pt>
                <c:pt idx="697">
                  <c:v>30.53735882934464</c:v>
                </c:pt>
                <c:pt idx="698">
                  <c:v>30.11906002280318</c:v>
                </c:pt>
                <c:pt idx="699">
                  <c:v>29.70037935279453</c:v>
                </c:pt>
                <c:pt idx="700">
                  <c:v>29.28130806867864</c:v>
                </c:pt>
                <c:pt idx="701">
                  <c:v>28.86183726896907</c:v>
                </c:pt>
                <c:pt idx="702">
                  <c:v>28.44195789814261</c:v>
                </c:pt>
                <c:pt idx="703">
                  <c:v>28.02166074342757</c:v>
                </c:pt>
                <c:pt idx="704">
                  <c:v>27.60093643156717</c:v>
                </c:pt>
                <c:pt idx="705">
                  <c:v>27.17977542555431</c:v>
                </c:pt>
                <c:pt idx="706">
                  <c:v>26.75816802133909</c:v>
                </c:pt>
                <c:pt idx="707">
                  <c:v>26.33610434450316</c:v>
                </c:pt>
                <c:pt idx="708">
                  <c:v>25.91357434690223</c:v>
                </c:pt>
                <c:pt idx="709">
                  <c:v>25.49056780327041</c:v>
                </c:pt>
                <c:pt idx="710">
                  <c:v>25.0670743077888</c:v>
                </c:pt>
                <c:pt idx="711">
                  <c:v>24.64308327061062</c:v>
                </c:pt>
                <c:pt idx="712">
                  <c:v>24.2185839143435</c:v>
                </c:pt>
                <c:pt idx="713">
                  <c:v>23.79356527048511</c:v>
                </c:pt>
                <c:pt idx="714">
                  <c:v>23.3680161758077</c:v>
                </c:pt>
                <c:pt idx="715">
                  <c:v>22.941925268691</c:v>
                </c:pt>
                <c:pt idx="716">
                  <c:v>22.51528098539607</c:v>
                </c:pt>
                <c:pt idx="717">
                  <c:v>22.08807155627987</c:v>
                </c:pt>
                <c:pt idx="718">
                  <c:v>21.66028500194557</c:v>
                </c:pt>
                <c:pt idx="719">
                  <c:v>21.23190912932208</c:v>
                </c:pt>
                <c:pt idx="720">
                  <c:v>20.80293152767306</c:v>
                </c:pt>
                <c:pt idx="721">
                  <c:v>20.37333956452397</c:v>
                </c:pt>
                <c:pt idx="722">
                  <c:v>19.94312038150801</c:v>
                </c:pt>
                <c:pt idx="723">
                  <c:v>19.51226089012356</c:v>
                </c:pt>
                <c:pt idx="724">
                  <c:v>19.08074776739565</c:v>
                </c:pt>
                <c:pt idx="725">
                  <c:v>18.6485674514363</c:v>
                </c:pt>
                <c:pt idx="726">
                  <c:v>18.21570613689892</c:v>
                </c:pt>
                <c:pt idx="727">
                  <c:v>17.78214977031757</c:v>
                </c:pt>
                <c:pt idx="728">
                  <c:v>17.34788404532295</c:v>
                </c:pt>
                <c:pt idx="729">
                  <c:v>16.91289439773081</c:v>
                </c:pt>
                <c:pt idx="730">
                  <c:v>16.47716600048987</c:v>
                </c:pt>
                <c:pt idx="731">
                  <c:v>16.04068375848506</c:v>
                </c:pt>
                <c:pt idx="732">
                  <c:v>15.60343230318228</c:v>
                </c:pt>
                <c:pt idx="733">
                  <c:v>15.16539598710677</c:v>
                </c:pt>
                <c:pt idx="734">
                  <c:v>14.72655887814373</c:v>
                </c:pt>
                <c:pt idx="735">
                  <c:v>14.28690475365243</c:v>
                </c:pt>
                <c:pt idx="736">
                  <c:v>13.84641709437686</c:v>
                </c:pt>
                <c:pt idx="737">
                  <c:v>13.40507907814392</c:v>
                </c:pt>
                <c:pt idx="738">
                  <c:v>12.96287357333506</c:v>
                </c:pt>
                <c:pt idx="739">
                  <c:v>12.51978313211866</c:v>
                </c:pt>
                <c:pt idx="740">
                  <c:v>12.0757899834201</c:v>
                </c:pt>
                <c:pt idx="741">
                  <c:v>11.63087602562785</c:v>
                </c:pt>
                <c:pt idx="742">
                  <c:v>11.1850228190039</c:v>
                </c:pt>
                <c:pt idx="743">
                  <c:v>10.7382115777892</c:v>
                </c:pt>
                <c:pt idx="744">
                  <c:v>10.29042316198527</c:v>
                </c:pt>
                <c:pt idx="745">
                  <c:v>9.841638068787793</c:v>
                </c:pt>
                <c:pt idx="746">
                  <c:v>9.391836423650936</c:v>
                </c:pt>
                <c:pt idx="747">
                  <c:v>8.940997970970685</c:v>
                </c:pt>
                <c:pt idx="748">
                  <c:v>8.489102064344719</c:v>
                </c:pt>
                <c:pt idx="749">
                  <c:v>8.036127656401904</c:v>
                </c:pt>
                <c:pt idx="750">
                  <c:v>7.582053288168035</c:v>
                </c:pt>
                <c:pt idx="751">
                  <c:v>7.126857077933098</c:v>
                </c:pt>
                <c:pt idx="752">
                  <c:v>6.67051670960729</c:v>
                </c:pt>
                <c:pt idx="753">
                  <c:v>6.213009420517171</c:v>
                </c:pt>
                <c:pt idx="754">
                  <c:v>5.754311988623021</c:v>
                </c:pt>
                <c:pt idx="755">
                  <c:v>5.294400719115418</c:v>
                </c:pt>
                <c:pt idx="756">
                  <c:v>4.833251430356154</c:v>
                </c:pt>
                <c:pt idx="757">
                  <c:v>4.370839439128613</c:v>
                </c:pt>
                <c:pt idx="758">
                  <c:v>3.907139545148241</c:v>
                </c:pt>
                <c:pt idx="759">
                  <c:v>3.44212601480973</c:v>
                </c:pt>
                <c:pt idx="760">
                  <c:v>2.975772564096162</c:v>
                </c:pt>
                <c:pt idx="761">
                  <c:v>2.508052340630047</c:v>
                </c:pt>
                <c:pt idx="762">
                  <c:v>2.038937904804408</c:v>
                </c:pt>
                <c:pt idx="763">
                  <c:v>1.568401209935963</c:v>
                </c:pt>
                <c:pt idx="764">
                  <c:v>1.096413581393532</c:v>
                </c:pt>
                <c:pt idx="765">
                  <c:v>0.6229456946388363</c:v>
                </c:pt>
                <c:pt idx="766">
                  <c:v>0.1479675521107493</c:v>
                </c:pt>
                <c:pt idx="767">
                  <c:v>-0.3285515410997206</c:v>
                </c:pt>
                <c:pt idx="768">
                  <c:v>-0.8066430028731814</c:v>
                </c:pt>
                <c:pt idx="769">
                  <c:v>-1.286339001040747</c:v>
                </c:pt>
                <c:pt idx="770">
                  <c:v>-1.767672481808032</c:v>
                </c:pt>
                <c:pt idx="771">
                  <c:v>-2.250677199707182</c:v>
                </c:pt>
                <c:pt idx="772">
                  <c:v>-2.735387749162802</c:v>
                </c:pt>
                <c:pt idx="773">
                  <c:v>-3.221839597772598</c:v>
                </c:pt>
                <c:pt idx="774">
                  <c:v>-3.710069121394858</c:v>
                </c:pt>
                <c:pt idx="775">
                  <c:v>-4.200113641156377</c:v>
                </c:pt>
                <c:pt idx="776">
                  <c:v>-4.692011462494602</c:v>
                </c:pt>
                <c:pt idx="777">
                  <c:v>-5.185801916360502</c:v>
                </c:pt>
                <c:pt idx="778">
                  <c:v>-5.681525402691415</c:v>
                </c:pt>
                <c:pt idx="779">
                  <c:v>-6.17922343632304</c:v>
                </c:pt>
                <c:pt idx="780">
                  <c:v>-6.678938695463436</c:v>
                </c:pt>
                <c:pt idx="781">
                  <c:v>-7.180715072900164</c:v>
                </c:pt>
                <c:pt idx="782">
                  <c:v>-7.684597730102343</c:v>
                </c:pt>
                <c:pt idx="783">
                  <c:v>-8.190633154411653</c:v>
                </c:pt>
                <c:pt idx="784">
                  <c:v>-8.698869219491588</c:v>
                </c:pt>
                <c:pt idx="785">
                  <c:v>-9.209355249279174</c:v>
                </c:pt>
                <c:pt idx="786">
                  <c:v>-9.722142085625476</c:v>
                </c:pt>
                <c:pt idx="787">
                  <c:v>-10.23728215989477</c:v>
                </c:pt>
                <c:pt idx="788">
                  <c:v>-10.75482956876519</c:v>
                </c:pt>
                <c:pt idx="789">
                  <c:v>-11.27484015451353</c:v>
                </c:pt>
                <c:pt idx="790">
                  <c:v>-11.79737159009139</c:v>
                </c:pt>
                <c:pt idx="791">
                  <c:v>-12.32248346930186</c:v>
                </c:pt>
                <c:pt idx="792">
                  <c:v>-12.85023740244846</c:v>
                </c:pt>
                <c:pt idx="793">
                  <c:v>-13.38069711781305</c:v>
                </c:pt>
                <c:pt idx="794">
                  <c:v>-13.91392856939754</c:v>
                </c:pt>
                <c:pt idx="795">
                  <c:v>-14.45000005134063</c:v>
                </c:pt>
                <c:pt idx="796">
                  <c:v>-14.98898231953876</c:v>
                </c:pt>
                <c:pt idx="797">
                  <c:v>-15.530948720943</c:v>
                </c:pt>
                <c:pt idx="798">
                  <c:v>-16.07597533114241</c:v>
                </c:pt>
                <c:pt idx="799">
                  <c:v>-16.62414110083549</c:v>
                </c:pt>
                <c:pt idx="800">
                  <c:v>-17.1755280118614</c:v>
                </c:pt>
                <c:pt idx="801">
                  <c:v>-17.73022124354111</c:v>
                </c:pt>
                <c:pt idx="802">
                  <c:v>-18.28830935012239</c:v>
                </c:pt>
                <c:pt idx="803">
                  <c:v>-18.8498844501997</c:v>
                </c:pt>
                <c:pt idx="804">
                  <c:v>-19.41504242909603</c:v>
                </c:pt>
                <c:pt idx="805">
                  <c:v>-19.98388315522794</c:v>
                </c:pt>
                <c:pt idx="806">
                  <c:v>-20.5565107116335</c:v>
                </c:pt>
                <c:pt idx="807">
                  <c:v>-21.13303364391622</c:v>
                </c:pt>
                <c:pt idx="808">
                  <c:v>-21.7135652260038</c:v>
                </c:pt>
                <c:pt idx="809">
                  <c:v>-22.29822374526089</c:v>
                </c:pt>
                <c:pt idx="810">
                  <c:v>-22.88713280862202</c:v>
                </c:pt>
                <c:pt idx="811">
                  <c:v>-23.48042167166057</c:v>
                </c:pt>
                <c:pt idx="812">
                  <c:v>-24.07822559258094</c:v>
                </c:pt>
                <c:pt idx="813">
                  <c:v>-24.68068621347821</c:v>
                </c:pt>
                <c:pt idx="814">
                  <c:v>-25.28795197134798</c:v>
                </c:pt>
                <c:pt idx="815">
                  <c:v>-25.90017854166096</c:v>
                </c:pt>
                <c:pt idx="816">
                  <c:v>-26.51752931760641</c:v>
                </c:pt>
                <c:pt idx="817">
                  <c:v>-27.14017592844031</c:v>
                </c:pt>
                <c:pt idx="818">
                  <c:v>-27.76829880081304</c:v>
                </c:pt>
                <c:pt idx="819">
                  <c:v>-28.40208776733915</c:v>
                </c:pt>
                <c:pt idx="820">
                  <c:v>-29.04174272720221</c:v>
                </c:pt>
                <c:pt idx="821">
                  <c:v>-29.68747436414828</c:v>
                </c:pt>
                <c:pt idx="822">
                  <c:v>-30.33950492784998</c:v>
                </c:pt>
                <c:pt idx="823">
                  <c:v>-30.99806908535874</c:v>
                </c:pt>
                <c:pt idx="824">
                  <c:v>-31.66341485019686</c:v>
                </c:pt>
                <c:pt idx="825">
                  <c:v>-32.33580459754422</c:v>
                </c:pt>
                <c:pt idx="826">
                  <c:v>-33.0155161750714</c:v>
                </c:pt>
                <c:pt idx="827">
                  <c:v>-33.70284412020676</c:v>
                </c:pt>
                <c:pt idx="828">
                  <c:v>-34.39810099593446</c:v>
                </c:pt>
                <c:pt idx="829">
                  <c:v>-35.10161885890965</c:v>
                </c:pt>
                <c:pt idx="830">
                  <c:v>-35.8137508754027</c:v>
                </c:pt>
                <c:pt idx="831">
                  <c:v>-36.53487310270104</c:v>
                </c:pt>
                <c:pt idx="832">
                  <c:v>-37.26538645595502</c:v>
                </c:pt>
                <c:pt idx="833">
                  <c:v>-38.00571888315486</c:v>
                </c:pt>
                <c:pt idx="834">
                  <c:v>-38.75632777402351</c:v>
                </c:pt>
                <c:pt idx="835">
                  <c:v>-39.51770263212389</c:v>
                </c:pt>
                <c:pt idx="836">
                  <c:v>-40.29036804352714</c:v>
                </c:pt>
                <c:pt idx="837">
                  <c:v>-41.07488697990548</c:v>
                </c:pt>
                <c:pt idx="838">
                  <c:v>-41.871864479043</c:v>
                </c:pt>
                <c:pt idx="839">
                  <c:v>-42.68195175161636</c:v>
                </c:pt>
                <c:pt idx="840">
                  <c:v>-43.50585076933183</c:v>
                </c:pt>
                <c:pt idx="841">
                  <c:v>-44.3443193966747</c:v>
                </c:pt>
                <c:pt idx="842">
                  <c:v>-45.19817713587733</c:v>
                </c:pt>
                <c:pt idx="843">
                  <c:v>-46.06831156251451</c:v>
                </c:pt>
                <c:pt idx="844">
                  <c:v>-46.95568553667059</c:v>
                </c:pt>
                <c:pt idx="845">
                  <c:v>-47.86134528120922</c:v>
                </c:pt>
                <c:pt idx="846">
                  <c:v>-48.7864294230404</c:v>
                </c:pt>
                <c:pt idx="847">
                  <c:v>-49.73217909329205</c:v>
                </c:pt>
                <c:pt idx="848">
                  <c:v>-50.69994917453105</c:v>
                </c:pt>
                <c:pt idx="849">
                  <c:v>-51.69122076228434</c:v>
                </c:pt>
                <c:pt idx="850">
                  <c:v>-52.70761486515668</c:v>
                </c:pt>
                <c:pt idx="851">
                  <c:v>-53.75090728918135</c:v>
                </c:pt>
                <c:pt idx="852">
                  <c:v>-54.82304451511004</c:v>
                </c:pt>
                <c:pt idx="853">
                  <c:v>-55.92616014683877</c:v>
                </c:pt>
                <c:pt idx="854">
                  <c:v>-57.06259112749456</c:v>
                </c:pt>
                <c:pt idx="855">
                  <c:v>-58.23489229445597</c:v>
                </c:pt>
                <c:pt idx="856">
                  <c:v>-59.44584682554652</c:v>
                </c:pt>
                <c:pt idx="857">
                  <c:v>-60.69846847076914</c:v>
                </c:pt>
                <c:pt idx="858">
                  <c:v>-61.9959887670305</c:v>
                </c:pt>
                <c:pt idx="859">
                  <c:v>-63.34181804137995</c:v>
                </c:pt>
                <c:pt idx="860">
                  <c:v>-64.73946185167974</c:v>
                </c:pt>
                <c:pt idx="861">
                  <c:v>-66.19236286476294</c:v>
                </c:pt>
                <c:pt idx="862">
                  <c:v>-67.70361930911366</c:v>
                </c:pt>
                <c:pt idx="863">
                  <c:v>-69.2755009890631</c:v>
                </c:pt>
                <c:pt idx="864">
                  <c:v>-70.90863698073854</c:v>
                </c:pt>
                <c:pt idx="865">
                  <c:v>-72.60068037192616</c:v>
                </c:pt>
                <c:pt idx="866">
                  <c:v>-74.34416671695335</c:v>
                </c:pt>
                <c:pt idx="867">
                  <c:v>-76.12320455531524</c:v>
                </c:pt>
                <c:pt idx="868">
                  <c:v>-77.9086803471865</c:v>
                </c:pt>
                <c:pt idx="869">
                  <c:v>-79.65212178194582</c:v>
                </c:pt>
                <c:pt idx="870">
                  <c:v>-81.27980581274667</c:v>
                </c:pt>
                <c:pt idx="871">
                  <c:v>-82.69161804424778</c:v>
                </c:pt>
                <c:pt idx="872">
                  <c:v>-83.77232729680426</c:v>
                </c:pt>
                <c:pt idx="873">
                  <c:v>-84.42074561193118</c:v>
                </c:pt>
                <c:pt idx="874">
                  <c:v>-84.58824071958992</c:v>
                </c:pt>
                <c:pt idx="875">
                  <c:v>-84.30123510252601</c:v>
                </c:pt>
                <c:pt idx="876">
                  <c:v>-83.64868252934697</c:v>
                </c:pt>
                <c:pt idx="877">
                  <c:v>-82.74541365597415</c:v>
                </c:pt>
                <c:pt idx="878">
                  <c:v>-81.69823849033153</c:v>
                </c:pt>
                <c:pt idx="879">
                  <c:v>-80.58934027688437</c:v>
                </c:pt>
                <c:pt idx="880">
                  <c:v>-79.47448297034171</c:v>
                </c:pt>
                <c:pt idx="881">
                  <c:v>-78.38808953795196</c:v>
                </c:pt>
                <c:pt idx="882">
                  <c:v>-77.34957810615855</c:v>
                </c:pt>
                <c:pt idx="883">
                  <c:v>-76.36862773959378</c:v>
                </c:pt>
                <c:pt idx="884">
                  <c:v>-75.44892160552534</c:v>
                </c:pt>
                <c:pt idx="885">
                  <c:v>-74.59060821072062</c:v>
                </c:pt>
                <c:pt idx="886">
                  <c:v>-73.79185081261011</c:v>
                </c:pt>
                <c:pt idx="887">
                  <c:v>-73.04977648576093</c:v>
                </c:pt>
                <c:pt idx="888">
                  <c:v>-72.36104525752383</c:v>
                </c:pt>
                <c:pt idx="889">
                  <c:v>-71.72218391050367</c:v>
                </c:pt>
                <c:pt idx="890">
                  <c:v>-71.12977586362072</c:v>
                </c:pt>
                <c:pt idx="891">
                  <c:v>-70.5805638617185</c:v>
                </c:pt>
                <c:pt idx="892">
                  <c:v>-70.07150036297506</c:v>
                </c:pt>
                <c:pt idx="893">
                  <c:v>-69.59976698606761</c:v>
                </c:pt>
                <c:pt idx="894">
                  <c:v>-69.16277605968924</c:v>
                </c:pt>
                <c:pt idx="895">
                  <c:v>-68.7581622113559</c:v>
                </c:pt>
                <c:pt idx="896">
                  <c:v>-68.38376879802607</c:v>
                </c:pt>
                <c:pt idx="897">
                  <c:v>-68.03763205488083</c:v>
                </c:pt>
                <c:pt idx="898">
                  <c:v>-67.71796465433445</c:v>
                </c:pt>
                <c:pt idx="899">
                  <c:v>-67.42313964024139</c:v>
                </c:pt>
                <c:pt idx="900">
                  <c:v>-67.15167525740246</c:v>
                </c:pt>
                <c:pt idx="901">
                  <c:v>-66.90222092679453</c:v>
                </c:pt>
                <c:pt idx="902">
                  <c:v>-66.67354445580435</c:v>
                </c:pt>
                <c:pt idx="903">
                  <c:v>-66.46452047888667</c:v>
                </c:pt>
                <c:pt idx="904">
                  <c:v>-66.27412007207447</c:v>
                </c:pt>
                <c:pt idx="905">
                  <c:v>-66.10140145805859</c:v>
                </c:pt>
                <c:pt idx="906">
                  <c:v>-65.9455017075349</c:v>
                </c:pt>
                <c:pt idx="907">
                  <c:v>-65.80562934059876</c:v>
                </c:pt>
                <c:pt idx="908">
                  <c:v>-65.6810577352403</c:v>
                </c:pt>
                <c:pt idx="909">
                  <c:v>-65.57111925610955</c:v>
                </c:pt>
                <c:pt idx="910">
                  <c:v>-65.47520002410997</c:v>
                </c:pt>
                <c:pt idx="911">
                  <c:v>-65.39273525510664</c:v>
                </c:pt>
                <c:pt idx="912">
                  <c:v>-65.32320510370349</c:v>
                </c:pt>
                <c:pt idx="913">
                  <c:v>-65.26613095521496</c:v>
                </c:pt>
                <c:pt idx="914">
                  <c:v>-65.22107211556315</c:v>
                </c:pt>
                <c:pt idx="915">
                  <c:v>-65.18762285488592</c:v>
                </c:pt>
                <c:pt idx="916">
                  <c:v>-65.16540976595732</c:v>
                </c:pt>
                <c:pt idx="917">
                  <c:v>-65.1540894033143</c:v>
                </c:pt>
                <c:pt idx="918">
                  <c:v>-65.15334617329155</c:v>
                </c:pt>
                <c:pt idx="919">
                  <c:v>-65.16289044874162</c:v>
                </c:pt>
                <c:pt idx="920">
                  <c:v>-65.18245688568028</c:v>
                </c:pt>
                <c:pt idx="921">
                  <c:v>-65.21180292187522</c:v>
                </c:pt>
                <c:pt idx="922">
                  <c:v>-65.2507074399945</c:v>
                </c:pt>
                <c:pt idx="923">
                  <c:v>-65.29896958020495</c:v>
                </c:pt>
                <c:pt idx="924">
                  <c:v>-65.35640768904395</c:v>
                </c:pt>
                <c:pt idx="925">
                  <c:v>-65.42285839326675</c:v>
                </c:pt>
                <c:pt idx="926">
                  <c:v>-65.4981757888327</c:v>
                </c:pt>
                <c:pt idx="927">
                  <c:v>-65.58223073673722</c:v>
                </c:pt>
                <c:pt idx="928">
                  <c:v>-65.67491025857693</c:v>
                </c:pt>
                <c:pt idx="929">
                  <c:v>-65.77611702602709</c:v>
                </c:pt>
                <c:pt idx="930">
                  <c:v>-65.8857689394014</c:v>
                </c:pt>
                <c:pt idx="931">
                  <c:v>-66.00379879150641</c:v>
                </c:pt>
                <c:pt idx="932">
                  <c:v>-66.13015401405366</c:v>
                </c:pt>
                <c:pt idx="933">
                  <c:v>-66.26479650465392</c:v>
                </c:pt>
                <c:pt idx="934">
                  <c:v>-66.40770253351187</c:v>
                </c:pt>
                <c:pt idx="935">
                  <c:v>-66.55886272972039</c:v>
                </c:pt>
                <c:pt idx="936">
                  <c:v>-66.7182821480455</c:v>
                </c:pt>
                <c:pt idx="937">
                  <c:v>-66.88598041806773</c:v>
                </c:pt>
                <c:pt idx="938">
                  <c:v>-67.06199197849661</c:v>
                </c:pt>
                <c:pt idx="939">
                  <c:v>-67.24636640067162</c:v>
                </c:pt>
                <c:pt idx="940">
                  <c:v>-67.43916880640471</c:v>
                </c:pt>
                <c:pt idx="941">
                  <c:v>-67.64048038666589</c:v>
                </c:pt>
                <c:pt idx="942">
                  <c:v>-67.85039902916525</c:v>
                </c:pt>
                <c:pt idx="943">
                  <c:v>-68.06904006453779</c:v>
                </c:pt>
                <c:pt idx="944">
                  <c:v>-68.29653714287861</c:v>
                </c:pt>
                <c:pt idx="945">
                  <c:v>-68.53304325467204</c:v>
                </c:pt>
                <c:pt idx="946">
                  <c:v>-68.77873191279747</c:v>
                </c:pt>
                <c:pt idx="947">
                  <c:v>-69.03379851557345</c:v>
                </c:pt>
                <c:pt idx="948">
                  <c:v>-69.29846191454791</c:v>
                </c:pt>
                <c:pt idx="949">
                  <c:v>-69.5729662152563</c:v>
                </c:pt>
                <c:pt idx="950">
                  <c:v>-69.85758284471133</c:v>
                </c:pt>
                <c:pt idx="951">
                  <c:v>-70.1526129259579</c:v>
                </c:pt>
                <c:pt idx="952">
                  <c:v>-70.45839000813518</c:v>
                </c:pt>
                <c:pt idx="953">
                  <c:v>-70.77528321043053</c:v>
                </c:pt>
                <c:pt idx="954">
                  <c:v>-71.10370085050074</c:v>
                </c:pt>
                <c:pt idx="955">
                  <c:v>-71.44409464321082</c:v>
                </c:pt>
                <c:pt idx="956">
                  <c:v>-71.79696457453623</c:v>
                </c:pt>
                <c:pt idx="957">
                  <c:v>-72.16286457939715</c:v>
                </c:pt>
                <c:pt idx="958">
                  <c:v>-72.54240918262775</c:v>
                </c:pt>
                <c:pt idx="959">
                  <c:v>-72.93628130102842</c:v>
                </c:pt>
                <c:pt idx="960">
                  <c:v>-73.34524145447448</c:v>
                </c:pt>
                <c:pt idx="961">
                  <c:v>-73.77013869890958</c:v>
                </c:pt>
                <c:pt idx="962">
                  <c:v>-74.21192367921898</c:v>
                </c:pt>
                <c:pt idx="963">
                  <c:v>-74.67166431250391</c:v>
                </c:pt>
                <c:pt idx="964">
                  <c:v>-75.15056476287855</c:v>
                </c:pt>
                <c:pt idx="965">
                  <c:v>-75.64998857251399</c:v>
                </c:pt>
                <c:pt idx="966">
                  <c:v>-76.17148709221284</c:v>
                </c:pt>
                <c:pt idx="967">
                  <c:v>-76.71683474110648</c:v>
                </c:pt>
                <c:pt idx="968">
                  <c:v>-77.28807316813317</c:v>
                </c:pt>
                <c:pt idx="969">
                  <c:v>-77.88756716351466</c:v>
                </c:pt>
                <c:pt idx="970">
                  <c:v>-78.51807629468107</c:v>
                </c:pt>
                <c:pt idx="971">
                  <c:v>-79.18284790724501</c:v>
                </c:pt>
                <c:pt idx="972">
                  <c:v>-79.88573964786144</c:v>
                </c:pt>
                <c:pt idx="973">
                  <c:v>-80.63138355307295</c:v>
                </c:pt>
                <c:pt idx="974">
                  <c:v>-81.42540990976144</c:v>
                </c:pt>
                <c:pt idx="975">
                  <c:v>-82.2747591439628</c:v>
                </c:pt>
                <c:pt idx="976">
                  <c:v>-83.18812693688312</c:v>
                </c:pt>
                <c:pt idx="977">
                  <c:v>-84.17661741837422</c:v>
                </c:pt>
                <c:pt idx="978">
                  <c:v>-85.25473349446261</c:v>
                </c:pt>
                <c:pt idx="979">
                  <c:v>-86.4419376749629</c:v>
                </c:pt>
                <c:pt idx="980">
                  <c:v>-87.76523016603768</c:v>
                </c:pt>
                <c:pt idx="981">
                  <c:v>-89.26366140567127</c:v>
                </c:pt>
                <c:pt idx="982">
                  <c:v>-90.99683462973006</c:v>
                </c:pt>
                <c:pt idx="983">
                  <c:v>-93.06256265703598</c:v>
                </c:pt>
                <c:pt idx="984">
                  <c:v>-95.63884546724381</c:v>
                </c:pt>
                <c:pt idx="985">
                  <c:v>-99.10628831564347</c:v>
                </c:pt>
                <c:pt idx="986">
                  <c:v>-104.5596652776648</c:v>
                </c:pt>
                <c:pt idx="987">
                  <c:v>-119.8147422042359</c:v>
                </c:pt>
                <c:pt idx="988">
                  <c:v>-108.883675255562</c:v>
                </c:pt>
                <c:pt idx="989">
                  <c:v>-102.0104070853782</c:v>
                </c:pt>
                <c:pt idx="990">
                  <c:v>-98.42429394979888</c:v>
                </c:pt>
                <c:pt idx="991">
                  <c:v>-96.0492803453198</c:v>
                </c:pt>
                <c:pt idx="992">
                  <c:v>-94.31500876108102</c:v>
                </c:pt>
                <c:pt idx="993">
                  <c:v>-92.98149505597786</c:v>
                </c:pt>
                <c:pt idx="994">
                  <c:v>-91.92517889834322</c:v>
                </c:pt>
                <c:pt idx="995">
                  <c:v>-91.07430726540656</c:v>
                </c:pt>
                <c:pt idx="996">
                  <c:v>-90.38378170822561</c:v>
                </c:pt>
                <c:pt idx="997">
                  <c:v>-89.8236823506884</c:v>
                </c:pt>
                <c:pt idx="998">
                  <c:v>-89.37342554002649</c:v>
                </c:pt>
                <c:pt idx="999">
                  <c:v>-89.01854437386064</c:v>
                </c:pt>
                <c:pt idx="1000">
                  <c:v>-88.74880998500075</c:v>
                </c:pt>
                <c:pt idx="1001">
                  <c:v>-88.55709285600835</c:v>
                </c:pt>
                <c:pt idx="1002">
                  <c:v>-88.43866204035484</c:v>
                </c:pt>
                <c:pt idx="1003">
                  <c:v>-88.39076309868565</c:v>
                </c:pt>
                <c:pt idx="1004">
                  <c:v>-88.41239000764446</c:v>
                </c:pt>
                <c:pt idx="1005">
                  <c:v>-88.50420928603371</c:v>
                </c:pt>
                <c:pt idx="1006">
                  <c:v>-88.66862368825707</c:v>
                </c:pt>
                <c:pt idx="1007">
                  <c:v>-88.90998808547218</c:v>
                </c:pt>
                <c:pt idx="1008">
                  <c:v>-89.23501974469917</c:v>
                </c:pt>
                <c:pt idx="1009">
                  <c:v>-89.65348960321717</c:v>
                </c:pt>
                <c:pt idx="1010">
                  <c:v>-90.17935919883087</c:v>
                </c:pt>
                <c:pt idx="1011">
                  <c:v>-90.83268029126602</c:v>
                </c:pt>
                <c:pt idx="1012">
                  <c:v>-91.6428986645555</c:v>
                </c:pt>
                <c:pt idx="1013">
                  <c:v>-92.65496099752369</c:v>
                </c:pt>
                <c:pt idx="1014">
                  <c:v>-93.94159968068169</c:v>
                </c:pt>
                <c:pt idx="1015">
                  <c:v>-95.63113236692911</c:v>
                </c:pt>
                <c:pt idx="1016">
                  <c:v>-97.98218645311131</c:v>
                </c:pt>
                <c:pt idx="1017">
                  <c:v>-101.6496017984386</c:v>
                </c:pt>
                <c:pt idx="1018">
                  <c:v>-109.4036987351828</c:v>
                </c:pt>
                <c:pt idx="1019">
                  <c:v>-112.6343253438851</c:v>
                </c:pt>
                <c:pt idx="1020">
                  <c:v>-100.0145126171989</c:v>
                </c:pt>
                <c:pt idx="1021">
                  <c:v>-90.83727511294362</c:v>
                </c:pt>
                <c:pt idx="1022">
                  <c:v>-98.40042766062837</c:v>
                </c:pt>
                <c:pt idx="1023">
                  <c:v>-99.55112609824434</c:v>
                </c:pt>
                <c:pt idx="1024">
                  <c:v>-94.20050425674208</c:v>
                </c:pt>
                <c:pt idx="1025">
                  <c:v>-91.41055923189225</c:v>
                </c:pt>
                <c:pt idx="1026">
                  <c:v>-89.39198677948045</c:v>
                </c:pt>
                <c:pt idx="1027">
                  <c:v>-87.76096897431081</c:v>
                </c:pt>
                <c:pt idx="1028">
                  <c:v>-86.37152624519388</c:v>
                </c:pt>
                <c:pt idx="1029">
                  <c:v>-85.15116731376298</c:v>
                </c:pt>
                <c:pt idx="1030">
                  <c:v>-84.05784306751775</c:v>
                </c:pt>
                <c:pt idx="1031">
                  <c:v>-83.06459218720072</c:v>
                </c:pt>
                <c:pt idx="1032">
                  <c:v>-82.15289138740579</c:v>
                </c:pt>
                <c:pt idx="1033">
                  <c:v>-81.30936140909722</c:v>
                </c:pt>
                <c:pt idx="1034">
                  <c:v>-80.52396678577441</c:v>
                </c:pt>
                <c:pt idx="1035">
                  <c:v>-79.78895571791494</c:v>
                </c:pt>
                <c:pt idx="1036">
                  <c:v>-79.09819826851147</c:v>
                </c:pt>
                <c:pt idx="1037">
                  <c:v>-78.44675347179378</c:v>
                </c:pt>
                <c:pt idx="1038">
                  <c:v>-77.83057518064771</c:v>
                </c:pt>
                <c:pt idx="1039">
                  <c:v>-77.24630576861669</c:v>
                </c:pt>
                <c:pt idx="1040">
                  <c:v>-76.69112754486807</c:v>
                </c:pt>
                <c:pt idx="1041">
                  <c:v>-76.16265328132108</c:v>
                </c:pt>
                <c:pt idx="1042">
                  <c:v>-75.65884396509739</c:v>
                </c:pt>
                <c:pt idx="1043">
                  <c:v>-75.17794594769693</c:v>
                </c:pt>
                <c:pt idx="1044">
                  <c:v>-74.71844219812735</c:v>
                </c:pt>
                <c:pt idx="1045">
                  <c:v>-74.2790139984286</c:v>
                </c:pt>
                <c:pt idx="1046">
                  <c:v>-73.85851049652493</c:v>
                </c:pt>
                <c:pt idx="1047">
                  <c:v>-73.45592425806925</c:v>
                </c:pt>
                <c:pt idx="1048">
                  <c:v>-73.07037145975143</c:v>
                </c:pt>
                <c:pt idx="1049">
                  <c:v>-72.70107571784597</c:v>
                </c:pt>
                <c:pt idx="1050">
                  <c:v>-72.34735479651833</c:v>
                </c:pt>
                <c:pt idx="1051">
                  <c:v>-72.00860962200905</c:v>
                </c:pt>
                <c:pt idx="1052">
                  <c:v>-71.68431516226853</c:v>
                </c:pt>
                <c:pt idx="1053">
                  <c:v>-71.3740128308107</c:v>
                </c:pt>
                <c:pt idx="1054">
                  <c:v>-71.07730414844292</c:v>
                </c:pt>
                <c:pt idx="1055">
                  <c:v>-70.79384545351525</c:v>
                </c:pt>
                <c:pt idx="1056">
                  <c:v>-70.52334349528361</c:v>
                </c:pt>
                <c:pt idx="1057">
                  <c:v>-70.26555177931775</c:v>
                </c:pt>
                <c:pt idx="1058">
                  <c:v>-70.02026756088343</c:v>
                </c:pt>
                <c:pt idx="1059">
                  <c:v>-69.78732940393184</c:v>
                </c:pt>
                <c:pt idx="1060">
                  <c:v>-69.56661524084015</c:v>
                </c:pt>
                <c:pt idx="1061">
                  <c:v>-69.35804088252738</c:v>
                </c:pt>
                <c:pt idx="1062">
                  <c:v>-69.16155894067167</c:v>
                </c:pt>
                <c:pt idx="1063">
                  <c:v>-68.97715813431022</c:v>
                </c:pt>
                <c:pt idx="1064">
                  <c:v>-68.80486296216283</c:v>
                </c:pt>
                <c:pt idx="1065">
                  <c:v>-68.64473373061885</c:v>
                </c:pt>
                <c:pt idx="1066">
                  <c:v>-68.49686693512787</c:v>
                </c:pt>
                <c:pt idx="1067">
                  <c:v>-68.36139600058954</c:v>
                </c:pt>
                <c:pt idx="1068">
                  <c:v>-68.23849239426872</c:v>
                </c:pt>
                <c:pt idx="1069">
                  <c:v>-68.12836713320209</c:v>
                </c:pt>
                <c:pt idx="1070">
                  <c:v>-68.03127271724838</c:v>
                </c:pt>
                <c:pt idx="1071">
                  <c:v>-67.94750552935731</c:v>
                </c:pt>
                <c:pt idx="1072">
                  <c:v>-67.87740875667129</c:v>
                </c:pt>
                <c:pt idx="1073">
                  <c:v>-67.82137590039389</c:v>
                </c:pt>
                <c:pt idx="1074">
                  <c:v>-67.77985495945323</c:v>
                </c:pt>
                <c:pt idx="1075">
                  <c:v>-67.75335339408427</c:v>
                </c:pt>
                <c:pt idx="1076">
                  <c:v>-67.74244400141748</c:v>
                </c:pt>
                <c:pt idx="1077">
                  <c:v>-67.74777186780553</c:v>
                </c:pt>
                <c:pt idx="1078">
                  <c:v>-67.77006260392155</c:v>
                </c:pt>
                <c:pt idx="1079">
                  <c:v>-67.81013212147604</c:v>
                </c:pt>
                <c:pt idx="1080">
                  <c:v>-67.86889827872527</c:v>
                </c:pt>
                <c:pt idx="1081">
                  <c:v>-67.9473948110717</c:v>
                </c:pt>
                <c:pt idx="1082">
                  <c:v>-68.04678808067987</c:v>
                </c:pt>
                <c:pt idx="1083">
                  <c:v>-68.16839733585464</c:v>
                </c:pt>
                <c:pt idx="1084">
                  <c:v>-68.31371938253702</c:v>
                </c:pt>
                <c:pt idx="1085">
                  <c:v>-68.48445885933239</c:v>
                </c:pt>
                <c:pt idx="1086">
                  <c:v>-68.68256570743382</c:v>
                </c:pt>
                <c:pt idx="1087">
                  <c:v>-68.91028198854954</c:v>
                </c:pt>
                <c:pt idx="1088">
                  <c:v>-69.1702010048659</c:v>
                </c:pt>
                <c:pt idx="1089">
                  <c:v>-69.4653428369158</c:v>
                </c:pt>
                <c:pt idx="1090">
                  <c:v>-69.79925213243216</c:v>
                </c:pt>
                <c:pt idx="1091">
                  <c:v>-70.17612656972136</c:v>
                </c:pt>
                <c:pt idx="1092">
                  <c:v>-70.60098841834271</c:v>
                </c:pt>
                <c:pt idx="1093">
                  <c:v>-71.07991795277189</c:v>
                </c:pt>
                <c:pt idx="1094">
                  <c:v>-71.62037779715799</c:v>
                </c:pt>
                <c:pt idx="1095">
                  <c:v>-72.2316746619238</c:v>
                </c:pt>
                <c:pt idx="1096">
                  <c:v>-72.92563531895289</c:v>
                </c:pt>
                <c:pt idx="1097">
                  <c:v>-73.71762912368615</c:v>
                </c:pt>
                <c:pt idx="1098">
                  <c:v>-74.62817587163228</c:v>
                </c:pt>
                <c:pt idx="1099">
                  <c:v>-75.68559485881538</c:v>
                </c:pt>
                <c:pt idx="1100">
                  <c:v>-76.93062691498993</c:v>
                </c:pt>
                <c:pt idx="1101">
                  <c:v>-78.42510239271196</c:v>
                </c:pt>
                <c:pt idx="1102">
                  <c:v>-80.2697947515077</c:v>
                </c:pt>
                <c:pt idx="1103">
                  <c:v>-82.64616725204596</c:v>
                </c:pt>
                <c:pt idx="1104">
                  <c:v>-85.93326323613796</c:v>
                </c:pt>
                <c:pt idx="1105">
                  <c:v>-91.13076754179446</c:v>
                </c:pt>
                <c:pt idx="1106">
                  <c:v>-100.1655144732573</c:v>
                </c:pt>
                <c:pt idx="1107">
                  <c:v>-93.12134147579943</c:v>
                </c:pt>
                <c:pt idx="1108">
                  <c:v>-87.30357295752</c:v>
                </c:pt>
                <c:pt idx="1109">
                  <c:v>-83.8884076027734</c:v>
                </c:pt>
                <c:pt idx="1110">
                  <c:v>-81.56222133696913</c:v>
                </c:pt>
                <c:pt idx="1111">
                  <c:v>-79.86674568709705</c:v>
                </c:pt>
                <c:pt idx="1112">
                  <c:v>-78.59969927090529</c:v>
                </c:pt>
                <c:pt idx="1113">
                  <c:v>-77.65991382007302</c:v>
                </c:pt>
                <c:pt idx="1114">
                  <c:v>-76.99596799464162</c:v>
                </c:pt>
                <c:pt idx="1115">
                  <c:v>-76.58650687489028</c:v>
                </c:pt>
                <c:pt idx="1116">
                  <c:v>-76.43334116617396</c:v>
                </c:pt>
                <c:pt idx="1117">
                  <c:v>-76.56210079420947</c:v>
                </c:pt>
                <c:pt idx="1118">
                  <c:v>-77.0309795633183</c:v>
                </c:pt>
                <c:pt idx="1119">
                  <c:v>-77.9547453540342</c:v>
                </c:pt>
                <c:pt idx="1120">
                  <c:v>-79.57024456135305</c:v>
                </c:pt>
                <c:pt idx="1121">
                  <c:v>-82.45839755934318</c:v>
                </c:pt>
                <c:pt idx="1122">
                  <c:v>-88.79614673136906</c:v>
                </c:pt>
                <c:pt idx="1123">
                  <c:v>-97.61051814958805</c:v>
                </c:pt>
                <c:pt idx="1124">
                  <c:v>-82.57172896005085</c:v>
                </c:pt>
                <c:pt idx="1125">
                  <c:v>-76.55488136445213</c:v>
                </c:pt>
                <c:pt idx="1126">
                  <c:v>-72.48341577752502</c:v>
                </c:pt>
                <c:pt idx="1127">
                  <c:v>-69.3008348000685</c:v>
                </c:pt>
                <c:pt idx="1128">
                  <c:v>-66.63430409463983</c:v>
                </c:pt>
                <c:pt idx="1129">
                  <c:v>-64.30775683478238</c:v>
                </c:pt>
                <c:pt idx="1130">
                  <c:v>-62.22363773319597</c:v>
                </c:pt>
                <c:pt idx="1131">
                  <c:v>-60.32203045865888</c:v>
                </c:pt>
                <c:pt idx="1132">
                  <c:v>-58.56337202132448</c:v>
                </c:pt>
                <c:pt idx="1133">
                  <c:v>-56.92009286083249</c:v>
                </c:pt>
                <c:pt idx="1134">
                  <c:v>-55.37216304900273</c:v>
                </c:pt>
                <c:pt idx="1135">
                  <c:v>-53.904538544854</c:v>
                </c:pt>
                <c:pt idx="1136">
                  <c:v>-52.50560957325494</c:v>
                </c:pt>
                <c:pt idx="1137">
                  <c:v>-51.16621256418583</c:v>
                </c:pt>
                <c:pt idx="1138">
                  <c:v>-49.87897602303357</c:v>
                </c:pt>
                <c:pt idx="1139">
                  <c:v>-48.63787305846303</c:v>
                </c:pt>
                <c:pt idx="1140">
                  <c:v>-47.43790659334547</c:v>
                </c:pt>
                <c:pt idx="1141">
                  <c:v>-46.27488249314915</c:v>
                </c:pt>
                <c:pt idx="1142">
                  <c:v>-45.14524256565594</c:v>
                </c:pt>
                <c:pt idx="1143">
                  <c:v>-44.04593932220651</c:v>
                </c:pt>
                <c:pt idx="1144">
                  <c:v>-42.97434049231028</c:v>
                </c:pt>
                <c:pt idx="1145">
                  <c:v>-41.92815514002848</c:v>
                </c:pt>
                <c:pt idx="1146">
                  <c:v>-40.90537573129821</c:v>
                </c:pt>
                <c:pt idx="1147">
                  <c:v>-39.90423216031281</c:v>
                </c:pt>
                <c:pt idx="1148">
                  <c:v>-38.92315486687946</c:v>
                </c:pt>
                <c:pt idx="1149">
                  <c:v>-37.96074495166989</c:v>
                </c:pt>
                <c:pt idx="1150">
                  <c:v>-37.01574974061042</c:v>
                </c:pt>
                <c:pt idx="1151">
                  <c:v>-36.08704263719423</c:v>
                </c:pt>
                <c:pt idx="1152">
                  <c:v>-35.17360638192132</c:v>
                </c:pt>
                <c:pt idx="1153">
                  <c:v>-34.27451904332702</c:v>
                </c:pt>
                <c:pt idx="1154">
                  <c:v>-33.38894221723173</c:v>
                </c:pt>
                <c:pt idx="1155">
                  <c:v>-32.51611102496409</c:v>
                </c:pt>
                <c:pt idx="1156">
                  <c:v>-31.65532558764699</c:v>
                </c:pt>
                <c:pt idx="1157">
                  <c:v>-30.8059437198232</c:v>
                </c:pt>
                <c:pt idx="1158">
                  <c:v>-29.96737463653778</c:v>
                </c:pt>
                <c:pt idx="1159">
                  <c:v>-29.13907350789384</c:v>
                </c:pt>
                <c:pt idx="1160">
                  <c:v>-28.32053672603099</c:v>
                </c:pt>
                <c:pt idx="1161">
                  <c:v>-27.51129777421106</c:v>
                </c:pt>
                <c:pt idx="1162">
                  <c:v>-26.71092360726619</c:v>
                </c:pt>
                <c:pt idx="1163">
                  <c:v>-25.91901146829842</c:v>
                </c:pt>
                <c:pt idx="1164">
                  <c:v>-25.13518607922267</c:v>
                </c:pt>
                <c:pt idx="1165">
                  <c:v>-24.35909715298861</c:v>
                </c:pt>
                <c:pt idx="1166">
                  <c:v>-23.59041718371294</c:v>
                </c:pt>
                <c:pt idx="1167">
                  <c:v>-22.82883947770478</c:v>
                </c:pt>
                <c:pt idx="1168">
                  <c:v>-22.07407639420487</c:v>
                </c:pt>
                <c:pt idx="1169">
                  <c:v>-21.32585776912396</c:v>
                </c:pt>
                <c:pt idx="1170">
                  <c:v>-20.58392949916047</c:v>
                </c:pt>
                <c:pt idx="1171">
                  <c:v>-19.84805226677201</c:v>
                </c:pt>
                <c:pt idx="1172">
                  <c:v>-19.11800038928067</c:v>
                </c:pt>
                <c:pt idx="1173">
                  <c:v>-18.39356077769561</c:v>
                </c:pt>
                <c:pt idx="1174">
                  <c:v>-17.67453199273102</c:v>
                </c:pt>
                <c:pt idx="1175">
                  <c:v>-16.96072338718535</c:v>
                </c:pt>
                <c:pt idx="1176">
                  <c:v>-16.251954325232</c:v>
                </c:pt>
                <c:pt idx="1177">
                  <c:v>-15.5480534703855</c:v>
                </c:pt>
                <c:pt idx="1178">
                  <c:v>-14.8488581348951</c:v>
                </c:pt>
                <c:pt idx="1179">
                  <c:v>-14.15421368427914</c:v>
                </c:pt>
                <c:pt idx="1180">
                  <c:v>-13.46397299137413</c:v>
                </c:pt>
                <c:pt idx="1181">
                  <c:v>-12.77799593501874</c:v>
                </c:pt>
                <c:pt idx="1182">
                  <c:v>-12.09614893900805</c:v>
                </c:pt>
                <c:pt idx="1183">
                  <c:v>-11.41830454748942</c:v>
                </c:pt>
                <c:pt idx="1184">
                  <c:v>-10.74434103334537</c:v>
                </c:pt>
                <c:pt idx="1185">
                  <c:v>-10.07414203657098</c:v>
                </c:pt>
                <c:pt idx="1186">
                  <c:v>-9.407596229911732</c:v>
                </c:pt>
                <c:pt idx="1187">
                  <c:v>-8.74459700933587</c:v>
                </c:pt>
                <c:pt idx="1188">
                  <c:v>-8.085042207218278</c:v>
                </c:pt>
                <c:pt idx="1189">
                  <c:v>-7.42883382623906</c:v>
                </c:pt>
                <c:pt idx="1190">
                  <c:v>-6.775877792325148</c:v>
                </c:pt>
                <c:pt idx="1191">
                  <c:v>-6.126083725012044</c:v>
                </c:pt>
                <c:pt idx="1192">
                  <c:v>-5.479364723857524</c:v>
                </c:pt>
                <c:pt idx="1193">
                  <c:v>-4.835637169627859</c:v>
                </c:pt>
                <c:pt idx="1194">
                  <c:v>-4.194820539099586</c:v>
                </c:pt>
                <c:pt idx="1195">
                  <c:v>-3.556837232448537</c:v>
                </c:pt>
                <c:pt idx="1196">
                  <c:v>-2.921612412280894</c:v>
                </c:pt>
                <c:pt idx="1197">
                  <c:v>-2.289073853470811</c:v>
                </c:pt>
                <c:pt idx="1198">
                  <c:v>-1.659151802969517</c:v>
                </c:pt>
                <c:pt idx="1199">
                  <c:v>-1.0317788489385</c:v>
                </c:pt>
                <c:pt idx="1200">
                  <c:v>-0.4068897985353321</c:v>
                </c:pt>
              </c:numCache>
            </c:numRef>
          </c:yVal>
        </c:ser>
        <c:ser>
          <c:idx val="1"/>
          <c:order val="1"/>
          <c:tx>
            <c:v>Python I_NM</c:v>
          </c:tx>
          <c:spPr>
            <a:ln w="19050"/>
          </c:spPr>
          <c:marker>
            <c:symbol val="none"/>
          </c:marker>
          <c:xVal>
            <c:numRef>
              <c:f>LTspice_Compare!$A$19:$A$1219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101.1579454259899</c:v>
                </c:pt>
                <c:pt idx="2">
                  <c:v>102.3292992280754</c:v>
                </c:pt>
                <c:pt idx="3">
                  <c:v>103.5142166679344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107.1519305237607</c:v>
                </c:pt>
                <c:pt idx="7">
                  <c:v>108.3926914021204</c:v>
                </c:pt>
                <c:pt idx="8">
                  <c:v>109.6478196143185</c:v>
                </c:pt>
                <c:pt idx="9">
                  <c:v>110.9174815262402</c:v>
                </c:pt>
                <c:pt idx="10">
                  <c:v>112.2018454301964</c:v>
                </c:pt>
                <c:pt idx="11">
                  <c:v>113.5010815672316</c:v>
                </c:pt>
                <c:pt idx="12">
                  <c:v>114.8153621496884</c:v>
                </c:pt>
                <c:pt idx="13">
                  <c:v>116.1448613840344</c:v>
                </c:pt>
                <c:pt idx="14">
                  <c:v>117.4897554939531</c:v>
                </c:pt>
                <c:pt idx="15">
                  <c:v>118.850222743702</c:v>
                </c:pt>
                <c:pt idx="16">
                  <c:v>120.2264434617414</c:v>
                </c:pt>
                <c:pt idx="17">
                  <c:v>121.6186000646369</c:v>
                </c:pt>
                <c:pt idx="18">
                  <c:v>123.0268770812383</c:v>
                </c:pt>
                <c:pt idx="19">
                  <c:v>124.4514611771387</c:v>
                </c:pt>
                <c:pt idx="20">
                  <c:v>125.8925411794169</c:v>
                </c:pt>
                <c:pt idx="21">
                  <c:v>127.3503081016663</c:v>
                </c:pt>
                <c:pt idx="22">
                  <c:v>128.8249551693136</c:v>
                </c:pt>
                <c:pt idx="23">
                  <c:v>130.3166778452301</c:v>
                </c:pt>
                <c:pt idx="24">
                  <c:v>131.8256738556409</c:v>
                </c:pt>
                <c:pt idx="25">
                  <c:v>133.3521432163326</c:v>
                </c:pt>
                <c:pt idx="26">
                  <c:v>134.8962882591656</c:v>
                </c:pt>
                <c:pt idx="27">
                  <c:v>136.4583136588927</c:v>
                </c:pt>
                <c:pt idx="28">
                  <c:v>138.0384264602887</c:v>
                </c:pt>
                <c:pt idx="29">
                  <c:v>139.636836105594</c:v>
                </c:pt>
                <c:pt idx="30">
                  <c:v>141.2537544622757</c:v>
                </c:pt>
                <c:pt idx="31">
                  <c:v>142.8893958511106</c:v>
                </c:pt>
                <c:pt idx="32">
                  <c:v>144.543977074593</c:v>
                </c:pt>
                <c:pt idx="33">
                  <c:v>146.2177174456721</c:v>
                </c:pt>
                <c:pt idx="34">
                  <c:v>147.9108388168211</c:v>
                </c:pt>
                <c:pt idx="35">
                  <c:v>149.6235656094437</c:v>
                </c:pt>
                <c:pt idx="36">
                  <c:v>151.3561248436212</c:v>
                </c:pt>
                <c:pt idx="37">
                  <c:v>153.1087461682034</c:v>
                </c:pt>
                <c:pt idx="38">
                  <c:v>154.8816618912485</c:v>
                </c:pt>
                <c:pt idx="39">
                  <c:v>156.6751070108153</c:v>
                </c:pt>
                <c:pt idx="40">
                  <c:v>158.4893192461118</c:v>
                </c:pt>
                <c:pt idx="41">
                  <c:v>160.3245390690046</c:v>
                </c:pt>
                <c:pt idx="42">
                  <c:v>162.1810097358934</c:v>
                </c:pt>
                <c:pt idx="43">
                  <c:v>164.0589773199544</c:v>
                </c:pt>
                <c:pt idx="44">
                  <c:v>165.9586907437566</c:v>
                </c:pt>
                <c:pt idx="45">
                  <c:v>167.8804018122565</c:v>
                </c:pt>
                <c:pt idx="46">
                  <c:v>169.8243652461749</c:v>
                </c:pt>
                <c:pt idx="47">
                  <c:v>171.7908387157593</c:v>
                </c:pt>
                <c:pt idx="48">
                  <c:v>173.7800828749381</c:v>
                </c:pt>
                <c:pt idx="49">
                  <c:v>175.7923613958698</c:v>
                </c:pt>
                <c:pt idx="50">
                  <c:v>177.8279410038929</c:v>
                </c:pt>
                <c:pt idx="51">
                  <c:v>179.8870915128794</c:v>
                </c:pt>
                <c:pt idx="52">
                  <c:v>181.970085860999</c:v>
                </c:pt>
                <c:pt idx="53">
                  <c:v>184.0772001468962</c:v>
                </c:pt>
                <c:pt idx="54">
                  <c:v>186.2087136662874</c:v>
                </c:pt>
                <c:pt idx="55">
                  <c:v>188.3649089489807</c:v>
                </c:pt>
                <c:pt idx="56">
                  <c:v>190.5460717963254</c:v>
                </c:pt>
                <c:pt idx="57">
                  <c:v>192.7524913190943</c:v>
                </c:pt>
                <c:pt idx="58">
                  <c:v>194.9844599758053</c:v>
                </c:pt>
                <c:pt idx="59">
                  <c:v>197.2422736114862</c:v>
                </c:pt>
                <c:pt idx="60">
                  <c:v>199.5262314968888</c:v>
                </c:pt>
                <c:pt idx="61">
                  <c:v>201.8366363681569</c:v>
                </c:pt>
                <c:pt idx="62">
                  <c:v>204.1737944669538</c:v>
                </c:pt>
                <c:pt idx="63">
                  <c:v>206.5380155810538</c:v>
                </c:pt>
                <c:pt idx="64">
                  <c:v>208.9296130854049</c:v>
                </c:pt>
                <c:pt idx="65">
                  <c:v>211.3489039836656</c:v>
                </c:pt>
                <c:pt idx="66">
                  <c:v>213.7962089502242</c:v>
                </c:pt>
                <c:pt idx="67">
                  <c:v>216.271852372703</c:v>
                </c:pt>
                <c:pt idx="68">
                  <c:v>218.7761623949562</c:v>
                </c:pt>
                <c:pt idx="69">
                  <c:v>221.3094709605648</c:v>
                </c:pt>
                <c:pt idx="70">
                  <c:v>223.872113856835</c:v>
                </c:pt>
                <c:pt idx="71">
                  <c:v>226.464430759307</c:v>
                </c:pt>
                <c:pt idx="72">
                  <c:v>229.0867652767784</c:v>
                </c:pt>
                <c:pt idx="73">
                  <c:v>231.739464996849</c:v>
                </c:pt>
                <c:pt idx="74">
                  <c:v>234.4228815319934</c:v>
                </c:pt>
                <c:pt idx="75">
                  <c:v>237.1373705661667</c:v>
                </c:pt>
                <c:pt idx="76">
                  <c:v>239.8832919019503</c:v>
                </c:pt>
                <c:pt idx="77">
                  <c:v>242.6610095082428</c:v>
                </c:pt>
                <c:pt idx="78">
                  <c:v>245.4708915685043</c:v>
                </c:pt>
                <c:pt idx="79">
                  <c:v>248.3133105295584</c:v>
                </c:pt>
                <c:pt idx="80">
                  <c:v>251.1886431509593</c:v>
                </c:pt>
                <c:pt idx="81">
                  <c:v>254.0972705549319</c:v>
                </c:pt>
                <c:pt idx="82">
                  <c:v>257.0395782768878</c:v>
                </c:pt>
                <c:pt idx="83">
                  <c:v>260.0159563165286</c:v>
                </c:pt>
                <c:pt idx="84">
                  <c:v>263.0267991895396</c:v>
                </c:pt>
                <c:pt idx="85">
                  <c:v>266.0725059798825</c:v>
                </c:pt>
                <c:pt idx="86">
                  <c:v>269.1534803926931</c:v>
                </c:pt>
                <c:pt idx="87">
                  <c:v>272.2701308077928</c:v>
                </c:pt>
                <c:pt idx="88">
                  <c:v>275.4228703338183</c:v>
                </c:pt>
                <c:pt idx="89">
                  <c:v>278.6121168629787</c:v>
                </c:pt>
                <c:pt idx="90">
                  <c:v>281.8382931264471</c:v>
                </c:pt>
                <c:pt idx="91">
                  <c:v>285.1018267503927</c:v>
                </c:pt>
                <c:pt idx="92">
                  <c:v>288.4031503126624</c:v>
                </c:pt>
                <c:pt idx="93">
                  <c:v>291.7427014001185</c:v>
                </c:pt>
                <c:pt idx="94">
                  <c:v>295.1209226666404</c:v>
                </c:pt>
                <c:pt idx="95">
                  <c:v>298.5382618917978</c:v>
                </c:pt>
                <c:pt idx="96">
                  <c:v>301.9951720402036</c:v>
                </c:pt>
                <c:pt idx="97">
                  <c:v>305.4921113215533</c:v>
                </c:pt>
                <c:pt idx="98">
                  <c:v>309.0295432513611</c:v>
                </c:pt>
                <c:pt idx="99">
                  <c:v>312.6079367123975</c:v>
                </c:pt>
                <c:pt idx="100">
                  <c:v>316.2277660168401</c:v>
                </c:pt>
                <c:pt idx="101">
                  <c:v>319.889510969142</c:v>
                </c:pt>
                <c:pt idx="102">
                  <c:v>323.5936569296305</c:v>
                </c:pt>
                <c:pt idx="103">
                  <c:v>327.3406948788405</c:v>
                </c:pt>
                <c:pt idx="104">
                  <c:v>331.1311214825934</c:v>
                </c:pt>
                <c:pt idx="105">
                  <c:v>334.96543915783</c:v>
                </c:pt>
                <c:pt idx="106">
                  <c:v>338.844156139205</c:v>
                </c:pt>
                <c:pt idx="107">
                  <c:v>342.7677865464528</c:v>
                </c:pt>
                <c:pt idx="108">
                  <c:v>346.7368504525341</c:v>
                </c:pt>
                <c:pt idx="109">
                  <c:v>350.7518739525705</c:v>
                </c:pt>
                <c:pt idx="110">
                  <c:v>354.8133892335781</c:v>
                </c:pt>
                <c:pt idx="111">
                  <c:v>358.9219346450079</c:v>
                </c:pt>
                <c:pt idx="112">
                  <c:v>363.0780547701041</c:v>
                </c:pt>
                <c:pt idx="113">
                  <c:v>367.2823004980874</c:v>
                </c:pt>
                <c:pt idx="114">
                  <c:v>371.5352290971754</c:v>
                </c:pt>
                <c:pt idx="115">
                  <c:v>375.837404288447</c:v>
                </c:pt>
                <c:pt idx="116">
                  <c:v>380.1893963205641</c:v>
                </c:pt>
                <c:pt idx="117">
                  <c:v>384.5917820453566</c:v>
                </c:pt>
                <c:pt idx="118">
                  <c:v>389.0451449942836</c:v>
                </c:pt>
                <c:pt idx="119">
                  <c:v>393.5500754557806</c:v>
                </c:pt>
                <c:pt idx="120">
                  <c:v>398.1071705535004</c:v>
                </c:pt>
                <c:pt idx="121">
                  <c:v>402.7170343254624</c:v>
                </c:pt>
                <c:pt idx="122">
                  <c:v>407.380277804116</c:v>
                </c:pt>
                <c:pt idx="123">
                  <c:v>412.0975190973335</c:v>
                </c:pt>
                <c:pt idx="124">
                  <c:v>416.8693834703388</c:v>
                </c:pt>
                <c:pt idx="125">
                  <c:v>421.6965034285858</c:v>
                </c:pt>
                <c:pt idx="126">
                  <c:v>426.5795188015962</c:v>
                </c:pt>
                <c:pt idx="127">
                  <c:v>431.5190768277689</c:v>
                </c:pt>
                <c:pt idx="128">
                  <c:v>436.5158322401696</c:v>
                </c:pt>
                <c:pt idx="129">
                  <c:v>441.5704473533163</c:v>
                </c:pt>
                <c:pt idx="130">
                  <c:v>446.683592150967</c:v>
                </c:pt>
                <c:pt idx="131">
                  <c:v>451.8559443749263</c:v>
                </c:pt>
                <c:pt idx="132">
                  <c:v>457.0881896148791</c:v>
                </c:pt>
                <c:pt idx="133">
                  <c:v>462.3810213992644</c:v>
                </c:pt>
                <c:pt idx="134">
                  <c:v>467.7351412872023</c:v>
                </c:pt>
                <c:pt idx="135">
                  <c:v>473.1512589614847</c:v>
                </c:pt>
                <c:pt idx="136">
                  <c:v>478.6300923226427</c:v>
                </c:pt>
                <c:pt idx="137">
                  <c:v>484.1723675841037</c:v>
                </c:pt>
                <c:pt idx="138">
                  <c:v>489.7788193684507</c:v>
                </c:pt>
                <c:pt idx="139">
                  <c:v>495.4501908047948</c:v>
                </c:pt>
                <c:pt idx="140">
                  <c:v>501.1872336272769</c:v>
                </c:pt>
                <c:pt idx="141">
                  <c:v>506.990708274709</c:v>
                </c:pt>
                <c:pt idx="142">
                  <c:v>512.8613839913697</c:v>
                </c:pt>
                <c:pt idx="143">
                  <c:v>518.800038928966</c:v>
                </c:pt>
                <c:pt idx="144">
                  <c:v>524.8074602497776</c:v>
                </c:pt>
                <c:pt idx="145">
                  <c:v>530.8844442309935</c:v>
                </c:pt>
                <c:pt idx="146">
                  <c:v>537.0317963702579</c:v>
                </c:pt>
                <c:pt idx="147">
                  <c:v>543.2503314924385</c:v>
                </c:pt>
                <c:pt idx="148">
                  <c:v>549.54087385763</c:v>
                </c:pt>
                <c:pt idx="149">
                  <c:v>555.9042572704091</c:v>
                </c:pt>
                <c:pt idx="150">
                  <c:v>562.3413251903547</c:v>
                </c:pt>
                <c:pt idx="151">
                  <c:v>568.8529308438472</c:v>
                </c:pt>
                <c:pt idx="152">
                  <c:v>575.4399373371627</c:v>
                </c:pt>
                <c:pt idx="153">
                  <c:v>582.1032177708773</c:v>
                </c:pt>
                <c:pt idx="154">
                  <c:v>588.843655355595</c:v>
                </c:pt>
                <c:pt idx="155">
                  <c:v>595.6621435290166</c:v>
                </c:pt>
                <c:pt idx="156">
                  <c:v>602.559586074364</c:v>
                </c:pt>
                <c:pt idx="157">
                  <c:v>609.5368972401756</c:v>
                </c:pt>
                <c:pt idx="158">
                  <c:v>616.5950018614886</c:v>
                </c:pt>
                <c:pt idx="159">
                  <c:v>623.7348354824259</c:v>
                </c:pt>
                <c:pt idx="160">
                  <c:v>630.9573444802</c:v>
                </c:pt>
                <c:pt idx="161">
                  <c:v>638.2634861905556</c:v>
                </c:pt>
                <c:pt idx="162">
                  <c:v>645.6542290346624</c:v>
                </c:pt>
                <c:pt idx="163">
                  <c:v>653.1305526474794</c:v>
                </c:pt>
                <c:pt idx="164">
                  <c:v>660.6934480076033</c:v>
                </c:pt>
                <c:pt idx="165">
                  <c:v>668.3439175686219</c:v>
                </c:pt>
                <c:pt idx="166">
                  <c:v>676.0829753919892</c:v>
                </c:pt>
                <c:pt idx="167">
                  <c:v>683.9116472814369</c:v>
                </c:pt>
                <c:pt idx="168">
                  <c:v>691.8309709189442</c:v>
                </c:pt>
                <c:pt idx="169">
                  <c:v>699.8419960022813</c:v>
                </c:pt>
                <c:pt idx="170">
                  <c:v>707.9457843841459</c:v>
                </c:pt>
                <c:pt idx="171">
                  <c:v>716.1434102129101</c:v>
                </c:pt>
                <c:pt idx="172">
                  <c:v>724.4359600749983</c:v>
                </c:pt>
                <c:pt idx="173">
                  <c:v>732.8245331389124</c:v>
                </c:pt>
                <c:pt idx="174">
                  <c:v>741.3102413009261</c:v>
                </c:pt>
                <c:pt idx="175">
                  <c:v>749.8942093324646</c:v>
                </c:pt>
                <c:pt idx="176">
                  <c:v>758.5775750291926</c:v>
                </c:pt>
                <c:pt idx="177">
                  <c:v>767.3614893618279</c:v>
                </c:pt>
                <c:pt idx="178">
                  <c:v>776.2471166287008</c:v>
                </c:pt>
                <c:pt idx="179">
                  <c:v>785.2356346100811</c:v>
                </c:pt>
                <c:pt idx="180">
                  <c:v>794.328234724291</c:v>
                </c:pt>
                <c:pt idx="181">
                  <c:v>803.5261221856268</c:v>
                </c:pt>
                <c:pt idx="182">
                  <c:v>812.8305161641091</c:v>
                </c:pt>
                <c:pt idx="183">
                  <c:v>822.2426499470812</c:v>
                </c:pt>
                <c:pt idx="184">
                  <c:v>831.7637711026812</c:v>
                </c:pt>
                <c:pt idx="185">
                  <c:v>841.3951416452054</c:v>
                </c:pt>
                <c:pt idx="186">
                  <c:v>851.138038202387</c:v>
                </c:pt>
                <c:pt idx="187">
                  <c:v>860.9937521846114</c:v>
                </c:pt>
                <c:pt idx="188">
                  <c:v>870.9635899560915</c:v>
                </c:pt>
                <c:pt idx="189">
                  <c:v>881.0488730080251</c:v>
                </c:pt>
                <c:pt idx="190">
                  <c:v>891.2509381337568</c:v>
                </c:pt>
                <c:pt idx="191">
                  <c:v>901.5711376059683</c:v>
                </c:pt>
                <c:pt idx="192">
                  <c:v>912.0108393559213</c:v>
                </c:pt>
                <c:pt idx="193">
                  <c:v>922.5714271547749</c:v>
                </c:pt>
                <c:pt idx="194">
                  <c:v>933.2543007970031</c:v>
                </c:pt>
                <c:pt idx="195">
                  <c:v>944.0608762859356</c:v>
                </c:pt>
                <c:pt idx="196">
                  <c:v>954.9925860214485</c:v>
                </c:pt>
                <c:pt idx="197">
                  <c:v>966.0508789898261</c:v>
                </c:pt>
                <c:pt idx="198">
                  <c:v>977.2372209558234</c:v>
                </c:pt>
                <c:pt idx="199">
                  <c:v>988.5530946569519</c:v>
                </c:pt>
                <c:pt idx="200">
                  <c:v>1000.000000000013</c:v>
                </c:pt>
                <c:pt idx="201">
                  <c:v>1011.579454259912</c:v>
                </c:pt>
                <c:pt idx="202">
                  <c:v>1023.292992280768</c:v>
                </c:pt>
                <c:pt idx="203">
                  <c:v>1035.142166679358</c:v>
                </c:pt>
                <c:pt idx="204">
                  <c:v>1047.128548050914</c:v>
                </c:pt>
                <c:pt idx="205">
                  <c:v>1059.253725177303</c:v>
                </c:pt>
                <c:pt idx="206">
                  <c:v>1071.519305237621</c:v>
                </c:pt>
                <c:pt idx="207">
                  <c:v>1083.926914021218</c:v>
                </c:pt>
                <c:pt idx="208">
                  <c:v>1096.4781961432</c:v>
                </c:pt>
                <c:pt idx="209">
                  <c:v>1109.174815262417</c:v>
                </c:pt>
                <c:pt idx="210">
                  <c:v>1122.018454301979</c:v>
                </c:pt>
                <c:pt idx="211">
                  <c:v>1135.010815672331</c:v>
                </c:pt>
                <c:pt idx="212">
                  <c:v>1148.153621496899</c:v>
                </c:pt>
                <c:pt idx="213">
                  <c:v>1161.448613840359</c:v>
                </c:pt>
                <c:pt idx="214">
                  <c:v>1174.897554939546</c:v>
                </c:pt>
                <c:pt idx="215">
                  <c:v>1188.502227437036</c:v>
                </c:pt>
                <c:pt idx="216">
                  <c:v>1202.26443461743</c:v>
                </c:pt>
                <c:pt idx="217">
                  <c:v>1216.186000646386</c:v>
                </c:pt>
                <c:pt idx="218">
                  <c:v>1230.268770812399</c:v>
                </c:pt>
                <c:pt idx="219">
                  <c:v>1244.514611771403</c:v>
                </c:pt>
                <c:pt idx="220">
                  <c:v>1258.925411794185</c:v>
                </c:pt>
                <c:pt idx="221">
                  <c:v>1273.50308101668</c:v>
                </c:pt>
                <c:pt idx="222">
                  <c:v>1288.249551693153</c:v>
                </c:pt>
                <c:pt idx="223">
                  <c:v>1303.166778452319</c:v>
                </c:pt>
                <c:pt idx="224">
                  <c:v>1318.256738556427</c:v>
                </c:pt>
                <c:pt idx="225">
                  <c:v>1333.521432163344</c:v>
                </c:pt>
                <c:pt idx="226">
                  <c:v>1348.962882591674</c:v>
                </c:pt>
                <c:pt idx="227">
                  <c:v>1364.583136588945</c:v>
                </c:pt>
                <c:pt idx="228">
                  <c:v>1380.384264602906</c:v>
                </c:pt>
                <c:pt idx="229">
                  <c:v>1396.368361055959</c:v>
                </c:pt>
                <c:pt idx="230">
                  <c:v>1412.537544622776</c:v>
                </c:pt>
                <c:pt idx="231">
                  <c:v>1428.893958511125</c:v>
                </c:pt>
                <c:pt idx="232">
                  <c:v>1445.43977074595</c:v>
                </c:pt>
                <c:pt idx="233">
                  <c:v>1462.177174456741</c:v>
                </c:pt>
                <c:pt idx="234">
                  <c:v>1479.10838816823</c:v>
                </c:pt>
                <c:pt idx="235">
                  <c:v>1496.235656094457</c:v>
                </c:pt>
                <c:pt idx="236">
                  <c:v>1513.561248436232</c:v>
                </c:pt>
                <c:pt idx="237">
                  <c:v>1531.087461682054</c:v>
                </c:pt>
                <c:pt idx="238">
                  <c:v>1548.816618912506</c:v>
                </c:pt>
                <c:pt idx="239">
                  <c:v>1566.751070108174</c:v>
                </c:pt>
                <c:pt idx="240">
                  <c:v>1584.893192461139</c:v>
                </c:pt>
                <c:pt idx="241">
                  <c:v>1603.245390690067</c:v>
                </c:pt>
                <c:pt idx="242">
                  <c:v>1621.810097358956</c:v>
                </c:pt>
                <c:pt idx="243">
                  <c:v>1640.589773199566</c:v>
                </c:pt>
                <c:pt idx="244">
                  <c:v>1659.586907437588</c:v>
                </c:pt>
                <c:pt idx="245">
                  <c:v>1678.804018122588</c:v>
                </c:pt>
                <c:pt idx="246">
                  <c:v>1698.243652461772</c:v>
                </c:pt>
                <c:pt idx="247">
                  <c:v>1717.908387157617</c:v>
                </c:pt>
                <c:pt idx="248">
                  <c:v>1737.800828749404</c:v>
                </c:pt>
                <c:pt idx="249">
                  <c:v>1757.923613958722</c:v>
                </c:pt>
                <c:pt idx="250">
                  <c:v>1778.279410038952</c:v>
                </c:pt>
                <c:pt idx="251">
                  <c:v>1798.870915128818</c:v>
                </c:pt>
                <c:pt idx="252">
                  <c:v>1819.700858610014</c:v>
                </c:pt>
                <c:pt idx="253">
                  <c:v>1840.772001468987</c:v>
                </c:pt>
                <c:pt idx="254">
                  <c:v>1862.087136662899</c:v>
                </c:pt>
                <c:pt idx="255">
                  <c:v>1883.649089489832</c:v>
                </c:pt>
                <c:pt idx="256">
                  <c:v>1905.46071796328</c:v>
                </c:pt>
                <c:pt idx="257">
                  <c:v>1927.524913190969</c:v>
                </c:pt>
                <c:pt idx="258">
                  <c:v>1949.844599758079</c:v>
                </c:pt>
                <c:pt idx="259">
                  <c:v>1972.422736114888</c:v>
                </c:pt>
                <c:pt idx="260">
                  <c:v>1995.262314968914</c:v>
                </c:pt>
                <c:pt idx="261">
                  <c:v>2018.366363681596</c:v>
                </c:pt>
                <c:pt idx="262">
                  <c:v>2041.737944669565</c:v>
                </c:pt>
                <c:pt idx="263">
                  <c:v>2065.380155810566</c:v>
                </c:pt>
                <c:pt idx="264">
                  <c:v>2089.296130854076</c:v>
                </c:pt>
                <c:pt idx="265">
                  <c:v>2113.489039836684</c:v>
                </c:pt>
                <c:pt idx="266">
                  <c:v>2137.96208950227</c:v>
                </c:pt>
                <c:pt idx="267">
                  <c:v>2162.718523727059</c:v>
                </c:pt>
                <c:pt idx="268">
                  <c:v>2187.761623949591</c:v>
                </c:pt>
                <c:pt idx="269">
                  <c:v>2213.094709605677</c:v>
                </c:pt>
                <c:pt idx="270">
                  <c:v>2238.72113856838</c:v>
                </c:pt>
                <c:pt idx="271">
                  <c:v>2264.6443075931</c:v>
                </c:pt>
                <c:pt idx="272">
                  <c:v>2290.867652767814</c:v>
                </c:pt>
                <c:pt idx="273">
                  <c:v>2317.394649968521</c:v>
                </c:pt>
                <c:pt idx="274">
                  <c:v>2344.228815319965</c:v>
                </c:pt>
                <c:pt idx="275">
                  <c:v>2371.373705661698</c:v>
                </c:pt>
                <c:pt idx="276">
                  <c:v>2398.832919019535</c:v>
                </c:pt>
                <c:pt idx="277">
                  <c:v>2426.61009508246</c:v>
                </c:pt>
                <c:pt idx="278">
                  <c:v>2454.708915685076</c:v>
                </c:pt>
                <c:pt idx="279">
                  <c:v>2483.133105295616</c:v>
                </c:pt>
                <c:pt idx="280">
                  <c:v>2511.886431509627</c:v>
                </c:pt>
                <c:pt idx="281">
                  <c:v>2540.972705549353</c:v>
                </c:pt>
                <c:pt idx="282">
                  <c:v>2570.395782768912</c:v>
                </c:pt>
                <c:pt idx="283">
                  <c:v>2600.159563165321</c:v>
                </c:pt>
                <c:pt idx="284">
                  <c:v>2630.267991895431</c:v>
                </c:pt>
                <c:pt idx="285">
                  <c:v>2660.72505979886</c:v>
                </c:pt>
                <c:pt idx="286">
                  <c:v>2691.534803926967</c:v>
                </c:pt>
                <c:pt idx="287">
                  <c:v>2722.701308077964</c:v>
                </c:pt>
                <c:pt idx="288">
                  <c:v>2754.228703338219</c:v>
                </c:pt>
                <c:pt idx="289">
                  <c:v>2786.121168629824</c:v>
                </c:pt>
                <c:pt idx="290">
                  <c:v>2818.382931264508</c:v>
                </c:pt>
                <c:pt idx="291">
                  <c:v>2851.018267503965</c:v>
                </c:pt>
                <c:pt idx="292">
                  <c:v>2884.031503126662</c:v>
                </c:pt>
                <c:pt idx="293">
                  <c:v>2917.427014001224</c:v>
                </c:pt>
                <c:pt idx="294">
                  <c:v>2951.209226666444</c:v>
                </c:pt>
                <c:pt idx="295">
                  <c:v>2985.382618918018</c:v>
                </c:pt>
                <c:pt idx="296">
                  <c:v>3019.951720402076</c:v>
                </c:pt>
                <c:pt idx="297">
                  <c:v>3054.921113215574</c:v>
                </c:pt>
                <c:pt idx="298">
                  <c:v>3090.295432513652</c:v>
                </c:pt>
                <c:pt idx="299">
                  <c:v>3126.079367124017</c:v>
                </c:pt>
                <c:pt idx="300">
                  <c:v>3162.277660168443</c:v>
                </c:pt>
                <c:pt idx="301">
                  <c:v>3198.895109691462</c:v>
                </c:pt>
                <c:pt idx="302">
                  <c:v>3235.936569296348</c:v>
                </c:pt>
                <c:pt idx="303">
                  <c:v>3273.406948788448</c:v>
                </c:pt>
                <c:pt idx="304">
                  <c:v>3311.311214825978</c:v>
                </c:pt>
                <c:pt idx="305">
                  <c:v>3349.654391578345</c:v>
                </c:pt>
                <c:pt idx="306">
                  <c:v>3388.441561392094</c:v>
                </c:pt>
                <c:pt idx="307">
                  <c:v>3427.677865464573</c:v>
                </c:pt>
                <c:pt idx="308">
                  <c:v>3467.368504525388</c:v>
                </c:pt>
                <c:pt idx="309">
                  <c:v>3507.518739525752</c:v>
                </c:pt>
                <c:pt idx="310">
                  <c:v>3548.133892335828</c:v>
                </c:pt>
                <c:pt idx="311">
                  <c:v>3589.219346450126</c:v>
                </c:pt>
                <c:pt idx="312">
                  <c:v>3630.780547701089</c:v>
                </c:pt>
                <c:pt idx="313">
                  <c:v>3672.823004980923</c:v>
                </c:pt>
                <c:pt idx="314">
                  <c:v>3715.352290971803</c:v>
                </c:pt>
                <c:pt idx="315">
                  <c:v>3758.37404288452</c:v>
                </c:pt>
                <c:pt idx="316">
                  <c:v>3801.893963205692</c:v>
                </c:pt>
                <c:pt idx="317">
                  <c:v>3845.917820453617</c:v>
                </c:pt>
                <c:pt idx="318">
                  <c:v>3890.451449942888</c:v>
                </c:pt>
                <c:pt idx="319">
                  <c:v>3935.500754557858</c:v>
                </c:pt>
                <c:pt idx="320">
                  <c:v>3981.071705535057</c:v>
                </c:pt>
                <c:pt idx="321">
                  <c:v>4027.170343254676</c:v>
                </c:pt>
                <c:pt idx="322">
                  <c:v>4073.802778041214</c:v>
                </c:pt>
                <c:pt idx="323">
                  <c:v>4120.97519097339</c:v>
                </c:pt>
                <c:pt idx="324">
                  <c:v>4168.693834703444</c:v>
                </c:pt>
                <c:pt idx="325">
                  <c:v>4216.965034285913</c:v>
                </c:pt>
                <c:pt idx="326">
                  <c:v>4265.795188016019</c:v>
                </c:pt>
                <c:pt idx="327">
                  <c:v>4315.190768277746</c:v>
                </c:pt>
                <c:pt idx="328">
                  <c:v>4365.158322401755</c:v>
                </c:pt>
                <c:pt idx="329">
                  <c:v>4415.704473533221</c:v>
                </c:pt>
                <c:pt idx="330">
                  <c:v>4466.835921509729</c:v>
                </c:pt>
                <c:pt idx="331">
                  <c:v>4518.559443749323</c:v>
                </c:pt>
                <c:pt idx="332">
                  <c:v>4570.881896148851</c:v>
                </c:pt>
                <c:pt idx="333">
                  <c:v>4623.810213992705</c:v>
                </c:pt>
                <c:pt idx="334">
                  <c:v>4677.351412872085</c:v>
                </c:pt>
                <c:pt idx="335">
                  <c:v>4731.51258961491</c:v>
                </c:pt>
                <c:pt idx="336">
                  <c:v>4786.30092322649</c:v>
                </c:pt>
                <c:pt idx="337">
                  <c:v>4841.723675841102</c:v>
                </c:pt>
                <c:pt idx="338">
                  <c:v>4897.788193684572</c:v>
                </c:pt>
                <c:pt idx="339">
                  <c:v>4954.501908048014</c:v>
                </c:pt>
                <c:pt idx="340">
                  <c:v>5011.872336272836</c:v>
                </c:pt>
                <c:pt idx="341">
                  <c:v>5069.907082747159</c:v>
                </c:pt>
                <c:pt idx="342">
                  <c:v>5128.613839913764</c:v>
                </c:pt>
                <c:pt idx="343">
                  <c:v>5188.000389289729</c:v>
                </c:pt>
                <c:pt idx="344">
                  <c:v>5248.074602497846</c:v>
                </c:pt>
                <c:pt idx="345">
                  <c:v>5308.844442310005</c:v>
                </c:pt>
                <c:pt idx="346">
                  <c:v>5370.317963702651</c:v>
                </c:pt>
                <c:pt idx="347">
                  <c:v>5432.503314924457</c:v>
                </c:pt>
                <c:pt idx="348">
                  <c:v>5495.408738576372</c:v>
                </c:pt>
                <c:pt idx="349">
                  <c:v>5559.042572704165</c:v>
                </c:pt>
                <c:pt idx="350">
                  <c:v>5623.413251903621</c:v>
                </c:pt>
                <c:pt idx="351">
                  <c:v>5688.529308438548</c:v>
                </c:pt>
                <c:pt idx="352">
                  <c:v>5754.399373371703</c:v>
                </c:pt>
                <c:pt idx="353">
                  <c:v>5821.032177708851</c:v>
                </c:pt>
                <c:pt idx="354">
                  <c:v>5888.436553556028</c:v>
                </c:pt>
                <c:pt idx="355">
                  <c:v>5956.621435290245</c:v>
                </c:pt>
                <c:pt idx="356">
                  <c:v>6025.59586074372</c:v>
                </c:pt>
                <c:pt idx="357">
                  <c:v>6095.368972401836</c:v>
                </c:pt>
                <c:pt idx="358">
                  <c:v>6165.950018614969</c:v>
                </c:pt>
                <c:pt idx="359">
                  <c:v>6237.348354824341</c:v>
                </c:pt>
                <c:pt idx="360">
                  <c:v>6309.573444802083</c:v>
                </c:pt>
                <c:pt idx="361">
                  <c:v>6382.63486190564</c:v>
                </c:pt>
                <c:pt idx="362">
                  <c:v>6456.542290346711</c:v>
                </c:pt>
                <c:pt idx="363">
                  <c:v>6531.305526474881</c:v>
                </c:pt>
                <c:pt idx="364">
                  <c:v>6606.93448007612</c:v>
                </c:pt>
                <c:pt idx="365">
                  <c:v>6683.439175686309</c:v>
                </c:pt>
                <c:pt idx="366">
                  <c:v>6760.829753919982</c:v>
                </c:pt>
                <c:pt idx="367">
                  <c:v>6839.11647281446</c:v>
                </c:pt>
                <c:pt idx="368">
                  <c:v>6918.309709189533</c:v>
                </c:pt>
                <c:pt idx="369">
                  <c:v>6998.419960022906</c:v>
                </c:pt>
                <c:pt idx="370">
                  <c:v>7079.457843841553</c:v>
                </c:pt>
                <c:pt idx="371">
                  <c:v>7161.434102129197</c:v>
                </c:pt>
                <c:pt idx="372">
                  <c:v>7244.35960075008</c:v>
                </c:pt>
                <c:pt idx="373">
                  <c:v>7328.245331389222</c:v>
                </c:pt>
                <c:pt idx="374">
                  <c:v>7413.102413009359</c:v>
                </c:pt>
                <c:pt idx="375">
                  <c:v>7498.942093324745</c:v>
                </c:pt>
                <c:pt idx="376">
                  <c:v>7585.775750292028</c:v>
                </c:pt>
                <c:pt idx="377">
                  <c:v>7673.614893618383</c:v>
                </c:pt>
                <c:pt idx="378">
                  <c:v>7762.471166287112</c:v>
                </c:pt>
                <c:pt idx="379">
                  <c:v>7852.356346100916</c:v>
                </c:pt>
                <c:pt idx="380">
                  <c:v>7943.282347243015</c:v>
                </c:pt>
                <c:pt idx="381">
                  <c:v>8035.261221856376</c:v>
                </c:pt>
                <c:pt idx="382">
                  <c:v>8128.305161641199</c:v>
                </c:pt>
                <c:pt idx="383">
                  <c:v>8222.426499470921</c:v>
                </c:pt>
                <c:pt idx="384">
                  <c:v>8317.637711026922</c:v>
                </c:pt>
                <c:pt idx="385">
                  <c:v>8413.951416452166</c:v>
                </c:pt>
                <c:pt idx="386">
                  <c:v>8511.380382023983</c:v>
                </c:pt>
                <c:pt idx="387">
                  <c:v>8609.937521846228</c:v>
                </c:pt>
                <c:pt idx="388">
                  <c:v>8709.635899561032</c:v>
                </c:pt>
                <c:pt idx="389">
                  <c:v>8810.488730080368</c:v>
                </c:pt>
                <c:pt idx="390">
                  <c:v>8912.509381337686</c:v>
                </c:pt>
                <c:pt idx="391">
                  <c:v>9015.711376059804</c:v>
                </c:pt>
                <c:pt idx="392">
                  <c:v>9120.108393559334</c:v>
                </c:pt>
                <c:pt idx="393">
                  <c:v>9225.714271547873</c:v>
                </c:pt>
                <c:pt idx="394">
                  <c:v>9332.543007970155</c:v>
                </c:pt>
                <c:pt idx="395">
                  <c:v>9440.608762859481</c:v>
                </c:pt>
                <c:pt idx="396">
                  <c:v>9549.925860214611</c:v>
                </c:pt>
                <c:pt idx="397">
                  <c:v>9660.508789898387</c:v>
                </c:pt>
                <c:pt idx="398">
                  <c:v>9772.372209558365</c:v>
                </c:pt>
                <c:pt idx="399">
                  <c:v>9885.53094656965</c:v>
                </c:pt>
                <c:pt idx="400">
                  <c:v>10000.00000000027</c:v>
                </c:pt>
                <c:pt idx="401">
                  <c:v>10115.79454259925</c:v>
                </c:pt>
                <c:pt idx="402">
                  <c:v>10232.92992280781</c:v>
                </c:pt>
                <c:pt idx="403">
                  <c:v>10351.42166679371</c:v>
                </c:pt>
                <c:pt idx="404">
                  <c:v>10471.28548050928</c:v>
                </c:pt>
                <c:pt idx="405">
                  <c:v>10592.53725177317</c:v>
                </c:pt>
                <c:pt idx="406">
                  <c:v>10715.19305237635</c:v>
                </c:pt>
                <c:pt idx="407">
                  <c:v>10839.26914021233</c:v>
                </c:pt>
                <c:pt idx="408">
                  <c:v>10964.78196143215</c:v>
                </c:pt>
                <c:pt idx="409">
                  <c:v>11091.74815262431</c:v>
                </c:pt>
                <c:pt idx="410">
                  <c:v>11220.18454301994</c:v>
                </c:pt>
                <c:pt idx="411">
                  <c:v>11350.10815672346</c:v>
                </c:pt>
                <c:pt idx="412">
                  <c:v>11481.53621496914</c:v>
                </c:pt>
                <c:pt idx="413">
                  <c:v>11614.48613840375</c:v>
                </c:pt>
                <c:pt idx="414">
                  <c:v>11748.97554939562</c:v>
                </c:pt>
                <c:pt idx="415">
                  <c:v>11885.02227437051</c:v>
                </c:pt>
                <c:pt idx="416">
                  <c:v>12022.64434617446</c:v>
                </c:pt>
                <c:pt idx="417">
                  <c:v>12161.86000646402</c:v>
                </c:pt>
                <c:pt idx="418">
                  <c:v>12302.68770812416</c:v>
                </c:pt>
                <c:pt idx="419">
                  <c:v>12445.1461177142</c:v>
                </c:pt>
                <c:pt idx="420">
                  <c:v>12589.25411794202</c:v>
                </c:pt>
                <c:pt idx="421">
                  <c:v>12735.03081016697</c:v>
                </c:pt>
                <c:pt idx="422">
                  <c:v>12882.4955169317</c:v>
                </c:pt>
                <c:pt idx="423">
                  <c:v>13031.66778452336</c:v>
                </c:pt>
                <c:pt idx="424">
                  <c:v>13182.56738556444</c:v>
                </c:pt>
                <c:pt idx="425">
                  <c:v>13335.21432163362</c:v>
                </c:pt>
                <c:pt idx="426">
                  <c:v>13489.62882591692</c:v>
                </c:pt>
                <c:pt idx="427">
                  <c:v>13645.83136588963</c:v>
                </c:pt>
                <c:pt idx="428">
                  <c:v>13803.84264602924</c:v>
                </c:pt>
                <c:pt idx="429">
                  <c:v>13963.68361055978</c:v>
                </c:pt>
                <c:pt idx="430">
                  <c:v>14125.37544622795</c:v>
                </c:pt>
                <c:pt idx="431">
                  <c:v>14288.93958511144</c:v>
                </c:pt>
                <c:pt idx="432">
                  <c:v>14454.39770745969</c:v>
                </c:pt>
                <c:pt idx="433">
                  <c:v>14621.7717445676</c:v>
                </c:pt>
                <c:pt idx="434">
                  <c:v>14791.0838816825</c:v>
                </c:pt>
                <c:pt idx="435">
                  <c:v>14962.35656094477</c:v>
                </c:pt>
                <c:pt idx="436">
                  <c:v>15135.61248436252</c:v>
                </c:pt>
                <c:pt idx="437">
                  <c:v>15310.87461682075</c:v>
                </c:pt>
                <c:pt idx="438">
                  <c:v>15488.16618912526</c:v>
                </c:pt>
                <c:pt idx="439">
                  <c:v>15667.51070108195</c:v>
                </c:pt>
                <c:pt idx="440">
                  <c:v>15848.9319246116</c:v>
                </c:pt>
                <c:pt idx="441">
                  <c:v>16032.45390690088</c:v>
                </c:pt>
                <c:pt idx="442">
                  <c:v>16218.10097358978</c:v>
                </c:pt>
                <c:pt idx="443">
                  <c:v>16405.89773199588</c:v>
                </c:pt>
                <c:pt idx="444">
                  <c:v>16595.8690743761</c:v>
                </c:pt>
                <c:pt idx="445">
                  <c:v>16788.0401812261</c:v>
                </c:pt>
                <c:pt idx="446">
                  <c:v>16982.43652461795</c:v>
                </c:pt>
                <c:pt idx="447">
                  <c:v>17179.08387157639</c:v>
                </c:pt>
                <c:pt idx="448">
                  <c:v>17378.00828749427</c:v>
                </c:pt>
                <c:pt idx="449">
                  <c:v>17579.23613958745</c:v>
                </c:pt>
                <c:pt idx="450">
                  <c:v>17782.79410038976</c:v>
                </c:pt>
                <c:pt idx="451">
                  <c:v>17988.70915128842</c:v>
                </c:pt>
                <c:pt idx="452">
                  <c:v>18197.00858610038</c:v>
                </c:pt>
                <c:pt idx="453">
                  <c:v>18407.72001469011</c:v>
                </c:pt>
                <c:pt idx="454">
                  <c:v>18620.87136662924</c:v>
                </c:pt>
                <c:pt idx="455">
                  <c:v>18836.49089489858</c:v>
                </c:pt>
                <c:pt idx="456">
                  <c:v>19054.60717963305</c:v>
                </c:pt>
                <c:pt idx="457">
                  <c:v>19275.24913190995</c:v>
                </c:pt>
                <c:pt idx="458">
                  <c:v>19498.44599758105</c:v>
                </c:pt>
                <c:pt idx="459">
                  <c:v>19724.22736114914</c:v>
                </c:pt>
                <c:pt idx="460">
                  <c:v>19952.62314968941</c:v>
                </c:pt>
                <c:pt idx="461">
                  <c:v>20183.66363681623</c:v>
                </c:pt>
                <c:pt idx="462">
                  <c:v>20417.37944669592</c:v>
                </c:pt>
                <c:pt idx="463">
                  <c:v>20653.80155810593</c:v>
                </c:pt>
                <c:pt idx="464">
                  <c:v>20892.96130854104</c:v>
                </c:pt>
                <c:pt idx="465">
                  <c:v>21134.89039836712</c:v>
                </c:pt>
                <c:pt idx="466">
                  <c:v>21379.62089502298</c:v>
                </c:pt>
                <c:pt idx="467">
                  <c:v>21627.18523727087</c:v>
                </c:pt>
                <c:pt idx="468">
                  <c:v>21877.6162394962</c:v>
                </c:pt>
                <c:pt idx="469">
                  <c:v>22130.94709605707</c:v>
                </c:pt>
                <c:pt idx="470">
                  <c:v>22387.2113856841</c:v>
                </c:pt>
                <c:pt idx="471">
                  <c:v>22646.4430759313</c:v>
                </c:pt>
                <c:pt idx="472">
                  <c:v>22908.67652767845</c:v>
                </c:pt>
                <c:pt idx="473">
                  <c:v>23173.94649968551</c:v>
                </c:pt>
                <c:pt idx="474">
                  <c:v>23442.28815319996</c:v>
                </c:pt>
                <c:pt idx="475">
                  <c:v>23713.7370566173</c:v>
                </c:pt>
                <c:pt idx="476">
                  <c:v>23988.32919019566</c:v>
                </c:pt>
                <c:pt idx="477">
                  <c:v>24266.10095082492</c:v>
                </c:pt>
                <c:pt idx="478">
                  <c:v>24547.08915685109</c:v>
                </c:pt>
                <c:pt idx="479">
                  <c:v>24831.3310529565</c:v>
                </c:pt>
                <c:pt idx="480">
                  <c:v>25118.8643150966</c:v>
                </c:pt>
                <c:pt idx="481">
                  <c:v>25409.72705549386</c:v>
                </c:pt>
                <c:pt idx="482">
                  <c:v>25703.95782768946</c:v>
                </c:pt>
                <c:pt idx="483">
                  <c:v>26001.59563165356</c:v>
                </c:pt>
                <c:pt idx="484">
                  <c:v>26302.67991895467</c:v>
                </c:pt>
                <c:pt idx="485">
                  <c:v>26607.25059798895</c:v>
                </c:pt>
                <c:pt idx="486">
                  <c:v>26915.34803927003</c:v>
                </c:pt>
                <c:pt idx="487">
                  <c:v>27227.01308078001</c:v>
                </c:pt>
                <c:pt idx="488">
                  <c:v>27542.28703338256</c:v>
                </c:pt>
                <c:pt idx="489">
                  <c:v>27861.21168629861</c:v>
                </c:pt>
                <c:pt idx="490">
                  <c:v>28183.82931264546</c:v>
                </c:pt>
                <c:pt idx="491">
                  <c:v>28510.18267504002</c:v>
                </c:pt>
                <c:pt idx="492">
                  <c:v>28840.315031267</c:v>
                </c:pt>
                <c:pt idx="493">
                  <c:v>29174.27014001262</c:v>
                </c:pt>
                <c:pt idx="494">
                  <c:v>29512.09226666483</c:v>
                </c:pt>
                <c:pt idx="495">
                  <c:v>29853.82618918058</c:v>
                </c:pt>
                <c:pt idx="496">
                  <c:v>30199.51720402116</c:v>
                </c:pt>
                <c:pt idx="497">
                  <c:v>30549.21113215614</c:v>
                </c:pt>
                <c:pt idx="498">
                  <c:v>30902.95432513693</c:v>
                </c:pt>
                <c:pt idx="499">
                  <c:v>31260.79367124059</c:v>
                </c:pt>
                <c:pt idx="500">
                  <c:v>31622.77660168484</c:v>
                </c:pt>
                <c:pt idx="501">
                  <c:v>31988.95109691505</c:v>
                </c:pt>
                <c:pt idx="502">
                  <c:v>32359.3656929639</c:v>
                </c:pt>
                <c:pt idx="503">
                  <c:v>32734.06948788491</c:v>
                </c:pt>
                <c:pt idx="504">
                  <c:v>33113.11214826022</c:v>
                </c:pt>
                <c:pt idx="505">
                  <c:v>33496.54391578389</c:v>
                </c:pt>
                <c:pt idx="506">
                  <c:v>33884.4156139214</c:v>
                </c:pt>
                <c:pt idx="507">
                  <c:v>34276.77865464619</c:v>
                </c:pt>
                <c:pt idx="508">
                  <c:v>34673.68504525434</c:v>
                </c:pt>
                <c:pt idx="509">
                  <c:v>35075.18739525798</c:v>
                </c:pt>
                <c:pt idx="510">
                  <c:v>35481.33892335875</c:v>
                </c:pt>
                <c:pt idx="511">
                  <c:v>35892.19346450174</c:v>
                </c:pt>
                <c:pt idx="512">
                  <c:v>36307.80547701137</c:v>
                </c:pt>
                <c:pt idx="513">
                  <c:v>36728.23004980972</c:v>
                </c:pt>
                <c:pt idx="514">
                  <c:v>37153.52290971852</c:v>
                </c:pt>
                <c:pt idx="515">
                  <c:v>37583.7404288457</c:v>
                </c:pt>
                <c:pt idx="516">
                  <c:v>38018.93963205742</c:v>
                </c:pt>
                <c:pt idx="517">
                  <c:v>38459.17820453668</c:v>
                </c:pt>
                <c:pt idx="518">
                  <c:v>38904.5144994294</c:v>
                </c:pt>
                <c:pt idx="519">
                  <c:v>39355.0075455791</c:v>
                </c:pt>
                <c:pt idx="520">
                  <c:v>39810.7170553511</c:v>
                </c:pt>
                <c:pt idx="521">
                  <c:v>40271.70343254731</c:v>
                </c:pt>
                <c:pt idx="522">
                  <c:v>40738.02778041269</c:v>
                </c:pt>
                <c:pt idx="523">
                  <c:v>41209.75190973446</c:v>
                </c:pt>
                <c:pt idx="524">
                  <c:v>41686.93834703499</c:v>
                </c:pt>
                <c:pt idx="525">
                  <c:v>42169.65034285969</c:v>
                </c:pt>
                <c:pt idx="526">
                  <c:v>42657.95188016076</c:v>
                </c:pt>
                <c:pt idx="527">
                  <c:v>43151.90768277804</c:v>
                </c:pt>
                <c:pt idx="528">
                  <c:v>43651.58322401813</c:v>
                </c:pt>
                <c:pt idx="529">
                  <c:v>44157.0447353328</c:v>
                </c:pt>
                <c:pt idx="530">
                  <c:v>44668.35921509788</c:v>
                </c:pt>
                <c:pt idx="531">
                  <c:v>45185.59443749383</c:v>
                </c:pt>
                <c:pt idx="532">
                  <c:v>45708.81896148912</c:v>
                </c:pt>
                <c:pt idx="533">
                  <c:v>46238.10213992767</c:v>
                </c:pt>
                <c:pt idx="534">
                  <c:v>46773.51412872148</c:v>
                </c:pt>
                <c:pt idx="535">
                  <c:v>47315.12589614973</c:v>
                </c:pt>
                <c:pt idx="536">
                  <c:v>47863.00923226554</c:v>
                </c:pt>
                <c:pt idx="537">
                  <c:v>48417.23675841166</c:v>
                </c:pt>
                <c:pt idx="538">
                  <c:v>48977.88193684637</c:v>
                </c:pt>
                <c:pt idx="539">
                  <c:v>49545.01908048079</c:v>
                </c:pt>
                <c:pt idx="540">
                  <c:v>50118.72336272903</c:v>
                </c:pt>
                <c:pt idx="541">
                  <c:v>50699.07082747226</c:v>
                </c:pt>
                <c:pt idx="542">
                  <c:v>51286.13839913834</c:v>
                </c:pt>
                <c:pt idx="543">
                  <c:v>51880.00389289798</c:v>
                </c:pt>
                <c:pt idx="544">
                  <c:v>52480.74602497915</c:v>
                </c:pt>
                <c:pt idx="545">
                  <c:v>53088.44442310076</c:v>
                </c:pt>
                <c:pt idx="546">
                  <c:v>53703.17963702722</c:v>
                </c:pt>
                <c:pt idx="547">
                  <c:v>54325.03314924529</c:v>
                </c:pt>
                <c:pt idx="548">
                  <c:v>54954.08738576445</c:v>
                </c:pt>
                <c:pt idx="549">
                  <c:v>55590.42572704238</c:v>
                </c:pt>
                <c:pt idx="550">
                  <c:v>56234.13251903696</c:v>
                </c:pt>
                <c:pt idx="551">
                  <c:v>56885.29308438623</c:v>
                </c:pt>
                <c:pt idx="552">
                  <c:v>57543.99373371781</c:v>
                </c:pt>
                <c:pt idx="553">
                  <c:v>58210.32177708928</c:v>
                </c:pt>
                <c:pt idx="554">
                  <c:v>58884.36553556106</c:v>
                </c:pt>
                <c:pt idx="555">
                  <c:v>59566.21435290324</c:v>
                </c:pt>
                <c:pt idx="556">
                  <c:v>60255.95860743801</c:v>
                </c:pt>
                <c:pt idx="557">
                  <c:v>60953.68972401917</c:v>
                </c:pt>
                <c:pt idx="558">
                  <c:v>61659.5001861505</c:v>
                </c:pt>
                <c:pt idx="559">
                  <c:v>62373.48354824424</c:v>
                </c:pt>
                <c:pt idx="560">
                  <c:v>63095.73444802168</c:v>
                </c:pt>
                <c:pt idx="561">
                  <c:v>63826.34861905725</c:v>
                </c:pt>
                <c:pt idx="562">
                  <c:v>64565.42290346796</c:v>
                </c:pt>
                <c:pt idx="563">
                  <c:v>65313.05526474967</c:v>
                </c:pt>
                <c:pt idx="564">
                  <c:v>66069.34480076208</c:v>
                </c:pt>
                <c:pt idx="565">
                  <c:v>66834.39175686396</c:v>
                </c:pt>
                <c:pt idx="566">
                  <c:v>67608.29753920072</c:v>
                </c:pt>
                <c:pt idx="567">
                  <c:v>68391.16472814551</c:v>
                </c:pt>
                <c:pt idx="568">
                  <c:v>69183.09709189627</c:v>
                </c:pt>
                <c:pt idx="569">
                  <c:v>69984.19960023</c:v>
                </c:pt>
                <c:pt idx="570">
                  <c:v>70794.57843841647</c:v>
                </c:pt>
                <c:pt idx="571">
                  <c:v>71614.34102129292</c:v>
                </c:pt>
                <c:pt idx="572">
                  <c:v>72443.59600750176</c:v>
                </c:pt>
                <c:pt idx="573">
                  <c:v>73282.4533138932</c:v>
                </c:pt>
                <c:pt idx="574">
                  <c:v>74131.02413009458</c:v>
                </c:pt>
                <c:pt idx="575">
                  <c:v>74989.42093324845</c:v>
                </c:pt>
                <c:pt idx="576">
                  <c:v>75857.75750292127</c:v>
                </c:pt>
                <c:pt idx="577">
                  <c:v>76736.14893618484</c:v>
                </c:pt>
                <c:pt idx="578">
                  <c:v>77624.71166287216</c:v>
                </c:pt>
                <c:pt idx="579">
                  <c:v>78523.5634610102</c:v>
                </c:pt>
                <c:pt idx="580">
                  <c:v>79432.82347243121</c:v>
                </c:pt>
                <c:pt idx="581">
                  <c:v>80352.61221856483</c:v>
                </c:pt>
                <c:pt idx="582">
                  <c:v>81283.05161641307</c:v>
                </c:pt>
                <c:pt idx="583">
                  <c:v>82224.26499471031</c:v>
                </c:pt>
                <c:pt idx="584">
                  <c:v>83176.37711027033</c:v>
                </c:pt>
                <c:pt idx="585">
                  <c:v>84139.51416452278</c:v>
                </c:pt>
                <c:pt idx="586">
                  <c:v>85113.80382024095</c:v>
                </c:pt>
                <c:pt idx="587">
                  <c:v>86099.37521846342</c:v>
                </c:pt>
                <c:pt idx="588">
                  <c:v>87096.35899561147</c:v>
                </c:pt>
                <c:pt idx="589">
                  <c:v>88104.88730080485</c:v>
                </c:pt>
                <c:pt idx="590">
                  <c:v>89125.09381337804</c:v>
                </c:pt>
                <c:pt idx="591">
                  <c:v>90157.11376059923</c:v>
                </c:pt>
                <c:pt idx="592">
                  <c:v>91201.08393559456</c:v>
                </c:pt>
                <c:pt idx="593">
                  <c:v>92257.14271547995</c:v>
                </c:pt>
                <c:pt idx="594">
                  <c:v>93325.43007970278</c:v>
                </c:pt>
                <c:pt idx="595">
                  <c:v>94406.08762859607</c:v>
                </c:pt>
                <c:pt idx="596">
                  <c:v>95499.25860214738</c:v>
                </c:pt>
                <c:pt idx="597">
                  <c:v>96605.08789898518</c:v>
                </c:pt>
                <c:pt idx="598">
                  <c:v>97723.72209558495</c:v>
                </c:pt>
                <c:pt idx="599">
                  <c:v>98855.30946569782</c:v>
                </c:pt>
                <c:pt idx="600">
                  <c:v>100000.000000004</c:v>
                </c:pt>
                <c:pt idx="601">
                  <c:v>101157.9454259939</c:v>
                </c:pt>
                <c:pt idx="602">
                  <c:v>102329.2992280795</c:v>
                </c:pt>
                <c:pt idx="603">
                  <c:v>103514.2166679385</c:v>
                </c:pt>
                <c:pt idx="604">
                  <c:v>104712.8548050942</c:v>
                </c:pt>
                <c:pt idx="605">
                  <c:v>105925.3725177332</c:v>
                </c:pt>
                <c:pt idx="606">
                  <c:v>107151.930523765</c:v>
                </c:pt>
                <c:pt idx="607">
                  <c:v>108392.6914021247</c:v>
                </c:pt>
                <c:pt idx="608">
                  <c:v>109647.8196143229</c:v>
                </c:pt>
                <c:pt idx="609">
                  <c:v>110917.4815262446</c:v>
                </c:pt>
                <c:pt idx="610">
                  <c:v>112201.8454302009</c:v>
                </c:pt>
                <c:pt idx="611">
                  <c:v>113501.0815672361</c:v>
                </c:pt>
                <c:pt idx="612">
                  <c:v>114815.3621496929</c:v>
                </c:pt>
                <c:pt idx="613">
                  <c:v>116144.861384039</c:v>
                </c:pt>
                <c:pt idx="614">
                  <c:v>117489.7554939578</c:v>
                </c:pt>
                <c:pt idx="615">
                  <c:v>118850.2227437067</c:v>
                </c:pt>
                <c:pt idx="616">
                  <c:v>120226.4434617462</c:v>
                </c:pt>
                <c:pt idx="617">
                  <c:v>121618.6000646418</c:v>
                </c:pt>
                <c:pt idx="618">
                  <c:v>123026.8770812432</c:v>
                </c:pt>
                <c:pt idx="619">
                  <c:v>124451.4611771436</c:v>
                </c:pt>
                <c:pt idx="620">
                  <c:v>125892.5411794219</c:v>
                </c:pt>
                <c:pt idx="621">
                  <c:v>127350.3081016714</c:v>
                </c:pt>
                <c:pt idx="622">
                  <c:v>128824.9551693187</c:v>
                </c:pt>
                <c:pt idx="623">
                  <c:v>130316.6778452353</c:v>
                </c:pt>
                <c:pt idx="624">
                  <c:v>131825.6738556462</c:v>
                </c:pt>
                <c:pt idx="625">
                  <c:v>133352.143216338</c:v>
                </c:pt>
                <c:pt idx="626">
                  <c:v>134896.288259171</c:v>
                </c:pt>
                <c:pt idx="627">
                  <c:v>136458.3136588981</c:v>
                </c:pt>
                <c:pt idx="628">
                  <c:v>138038.4264602943</c:v>
                </c:pt>
                <c:pt idx="629">
                  <c:v>139636.8361055996</c:v>
                </c:pt>
                <c:pt idx="630">
                  <c:v>141253.7544622813</c:v>
                </c:pt>
                <c:pt idx="631">
                  <c:v>142889.3958511163</c:v>
                </c:pt>
                <c:pt idx="632">
                  <c:v>144543.9770745988</c:v>
                </c:pt>
                <c:pt idx="633">
                  <c:v>146217.717445678</c:v>
                </c:pt>
                <c:pt idx="634">
                  <c:v>147910.838816827</c:v>
                </c:pt>
                <c:pt idx="635">
                  <c:v>149623.5656094497</c:v>
                </c:pt>
                <c:pt idx="636">
                  <c:v>151356.1248436272</c:v>
                </c:pt>
                <c:pt idx="637">
                  <c:v>153108.7461682095</c:v>
                </c:pt>
                <c:pt idx="638">
                  <c:v>154881.6618912547</c:v>
                </c:pt>
                <c:pt idx="639">
                  <c:v>156675.1070108215</c:v>
                </c:pt>
                <c:pt idx="640">
                  <c:v>158489.3192461181</c:v>
                </c:pt>
                <c:pt idx="641">
                  <c:v>160324.539069011</c:v>
                </c:pt>
                <c:pt idx="642">
                  <c:v>162181.0097358999</c:v>
                </c:pt>
                <c:pt idx="643">
                  <c:v>164058.9773199609</c:v>
                </c:pt>
                <c:pt idx="644">
                  <c:v>165958.6907437632</c:v>
                </c:pt>
                <c:pt idx="645">
                  <c:v>167880.4018122632</c:v>
                </c:pt>
                <c:pt idx="646">
                  <c:v>169824.3652461817</c:v>
                </c:pt>
                <c:pt idx="647">
                  <c:v>171790.8387157662</c:v>
                </c:pt>
                <c:pt idx="648">
                  <c:v>173780.082874945</c:v>
                </c:pt>
                <c:pt idx="649">
                  <c:v>175792.3613958768</c:v>
                </c:pt>
                <c:pt idx="650">
                  <c:v>177827.9410039</c:v>
                </c:pt>
                <c:pt idx="651">
                  <c:v>179887.0915128865</c:v>
                </c:pt>
                <c:pt idx="652">
                  <c:v>181970.0858610062</c:v>
                </c:pt>
                <c:pt idx="653">
                  <c:v>184077.2001469036</c:v>
                </c:pt>
                <c:pt idx="654">
                  <c:v>186208.7136662948</c:v>
                </c:pt>
                <c:pt idx="655">
                  <c:v>188364.9089489882</c:v>
                </c:pt>
                <c:pt idx="656">
                  <c:v>190546.071796333</c:v>
                </c:pt>
                <c:pt idx="657">
                  <c:v>192752.491319102</c:v>
                </c:pt>
                <c:pt idx="658">
                  <c:v>194984.4599758131</c:v>
                </c:pt>
                <c:pt idx="659">
                  <c:v>197242.273611494</c:v>
                </c:pt>
                <c:pt idx="660">
                  <c:v>199526.2314968967</c:v>
                </c:pt>
                <c:pt idx="661">
                  <c:v>201836.636368165</c:v>
                </c:pt>
                <c:pt idx="662">
                  <c:v>204173.7944669619</c:v>
                </c:pt>
                <c:pt idx="663">
                  <c:v>206538.015581062</c:v>
                </c:pt>
                <c:pt idx="664">
                  <c:v>208929.6130854132</c:v>
                </c:pt>
                <c:pt idx="665">
                  <c:v>211348.903983674</c:v>
                </c:pt>
                <c:pt idx="666">
                  <c:v>213796.2089502327</c:v>
                </c:pt>
                <c:pt idx="667">
                  <c:v>216271.8523727116</c:v>
                </c:pt>
                <c:pt idx="668">
                  <c:v>218776.162394965</c:v>
                </c:pt>
                <c:pt idx="669">
                  <c:v>221309.4709605736</c:v>
                </c:pt>
                <c:pt idx="670">
                  <c:v>223872.1138568439</c:v>
                </c:pt>
                <c:pt idx="671">
                  <c:v>226464.4307593161</c:v>
                </c:pt>
                <c:pt idx="672">
                  <c:v>229086.7652767875</c:v>
                </c:pt>
                <c:pt idx="673">
                  <c:v>231739.4649968582</c:v>
                </c:pt>
                <c:pt idx="674">
                  <c:v>234422.8815320027</c:v>
                </c:pt>
                <c:pt idx="675">
                  <c:v>237137.3705661762</c:v>
                </c:pt>
                <c:pt idx="676">
                  <c:v>239883.2919019598</c:v>
                </c:pt>
                <c:pt idx="677">
                  <c:v>242661.0095082525</c:v>
                </c:pt>
                <c:pt idx="678">
                  <c:v>245470.8915685141</c:v>
                </c:pt>
                <c:pt idx="679">
                  <c:v>248313.3105295683</c:v>
                </c:pt>
                <c:pt idx="680">
                  <c:v>251188.6431509694</c:v>
                </c:pt>
                <c:pt idx="681">
                  <c:v>254097.270554942</c:v>
                </c:pt>
                <c:pt idx="682">
                  <c:v>257039.578276898</c:v>
                </c:pt>
                <c:pt idx="683">
                  <c:v>260015.956316539</c:v>
                </c:pt>
                <c:pt idx="684">
                  <c:v>263026.7991895502</c:v>
                </c:pt>
                <c:pt idx="685">
                  <c:v>266072.5059798931</c:v>
                </c:pt>
                <c:pt idx="686">
                  <c:v>269153.4803927038</c:v>
                </c:pt>
                <c:pt idx="687">
                  <c:v>272270.1308078037</c:v>
                </c:pt>
                <c:pt idx="688">
                  <c:v>275422.8703338292</c:v>
                </c:pt>
                <c:pt idx="689">
                  <c:v>278612.1168629898</c:v>
                </c:pt>
                <c:pt idx="690">
                  <c:v>281838.2931264583</c:v>
                </c:pt>
                <c:pt idx="691">
                  <c:v>285101.826750404</c:v>
                </c:pt>
                <c:pt idx="692">
                  <c:v>288403.1503126739</c:v>
                </c:pt>
                <c:pt idx="693">
                  <c:v>291742.7014001301</c:v>
                </c:pt>
                <c:pt idx="694">
                  <c:v>295120.9226666522</c:v>
                </c:pt>
                <c:pt idx="695">
                  <c:v>298538.2618918098</c:v>
                </c:pt>
                <c:pt idx="696">
                  <c:v>301995.1720402156</c:v>
                </c:pt>
                <c:pt idx="697">
                  <c:v>305492.1113215655</c:v>
                </c:pt>
                <c:pt idx="698">
                  <c:v>309029.5432513734</c:v>
                </c:pt>
                <c:pt idx="699">
                  <c:v>312607.93671241</c:v>
                </c:pt>
                <c:pt idx="700">
                  <c:v>316227.7660168526</c:v>
                </c:pt>
                <c:pt idx="701">
                  <c:v>319889.5109691547</c:v>
                </c:pt>
                <c:pt idx="702">
                  <c:v>323593.6569296434</c:v>
                </c:pt>
                <c:pt idx="703">
                  <c:v>327340.6948788535</c:v>
                </c:pt>
                <c:pt idx="704">
                  <c:v>331131.1214826066</c:v>
                </c:pt>
                <c:pt idx="705">
                  <c:v>334965.4391578434</c:v>
                </c:pt>
                <c:pt idx="706">
                  <c:v>338844.1561392185</c:v>
                </c:pt>
                <c:pt idx="707">
                  <c:v>342767.7865464665</c:v>
                </c:pt>
                <c:pt idx="708">
                  <c:v>346736.850452548</c:v>
                </c:pt>
                <c:pt idx="709">
                  <c:v>350751.8739525845</c:v>
                </c:pt>
                <c:pt idx="710">
                  <c:v>354813.3892335922</c:v>
                </c:pt>
                <c:pt idx="711">
                  <c:v>358921.9346450221</c:v>
                </c:pt>
                <c:pt idx="712">
                  <c:v>363078.0547701185</c:v>
                </c:pt>
                <c:pt idx="713">
                  <c:v>367282.3004981021</c:v>
                </c:pt>
                <c:pt idx="714">
                  <c:v>371535.2290971902</c:v>
                </c:pt>
                <c:pt idx="715">
                  <c:v>375837.404288462</c:v>
                </c:pt>
                <c:pt idx="716">
                  <c:v>380189.3963205793</c:v>
                </c:pt>
                <c:pt idx="717">
                  <c:v>384591.7820453719</c:v>
                </c:pt>
                <c:pt idx="718">
                  <c:v>389045.1449942992</c:v>
                </c:pt>
                <c:pt idx="719">
                  <c:v>393550.0754557963</c:v>
                </c:pt>
                <c:pt idx="720">
                  <c:v>398107.1705535163</c:v>
                </c:pt>
                <c:pt idx="721">
                  <c:v>402717.0343254784</c:v>
                </c:pt>
                <c:pt idx="722">
                  <c:v>407380.2778041323</c:v>
                </c:pt>
                <c:pt idx="723">
                  <c:v>412097.5190973501</c:v>
                </c:pt>
                <c:pt idx="724">
                  <c:v>416869.3834703555</c:v>
                </c:pt>
                <c:pt idx="725">
                  <c:v>421696.5034286026</c:v>
                </c:pt>
                <c:pt idx="726">
                  <c:v>426579.5188016132</c:v>
                </c:pt>
                <c:pt idx="727">
                  <c:v>431519.0768277861</c:v>
                </c:pt>
                <c:pt idx="728">
                  <c:v>436515.832240187</c:v>
                </c:pt>
                <c:pt idx="729">
                  <c:v>441570.4473533339</c:v>
                </c:pt>
                <c:pt idx="730">
                  <c:v>446683.5921509848</c:v>
                </c:pt>
                <c:pt idx="731">
                  <c:v>451855.9443749443</c:v>
                </c:pt>
                <c:pt idx="732">
                  <c:v>457088.1896148972</c:v>
                </c:pt>
                <c:pt idx="733">
                  <c:v>462381.0213992828</c:v>
                </c:pt>
                <c:pt idx="734">
                  <c:v>467735.141287221</c:v>
                </c:pt>
                <c:pt idx="735">
                  <c:v>473151.2589615036</c:v>
                </c:pt>
                <c:pt idx="736">
                  <c:v>478630.0923226618</c:v>
                </c:pt>
                <c:pt idx="737">
                  <c:v>484172.3675841231</c:v>
                </c:pt>
                <c:pt idx="738">
                  <c:v>489778.8193684702</c:v>
                </c:pt>
                <c:pt idx="739">
                  <c:v>495450.1908048145</c:v>
                </c:pt>
                <c:pt idx="740">
                  <c:v>501187.233627297</c:v>
                </c:pt>
                <c:pt idx="741">
                  <c:v>506990.7082747293</c:v>
                </c:pt>
                <c:pt idx="742">
                  <c:v>512861.3839913902</c:v>
                </c:pt>
                <c:pt idx="743">
                  <c:v>518800.0389289868</c:v>
                </c:pt>
                <c:pt idx="744">
                  <c:v>524807.4602497985</c:v>
                </c:pt>
                <c:pt idx="745">
                  <c:v>530884.4442310147</c:v>
                </c:pt>
                <c:pt idx="746">
                  <c:v>537031.7963702793</c:v>
                </c:pt>
                <c:pt idx="747">
                  <c:v>543250.3314924602</c:v>
                </c:pt>
                <c:pt idx="748">
                  <c:v>549540.8738576518</c:v>
                </c:pt>
                <c:pt idx="749">
                  <c:v>555904.2572704313</c:v>
                </c:pt>
                <c:pt idx="750">
                  <c:v>562341.3251903771</c:v>
                </c:pt>
                <c:pt idx="751">
                  <c:v>568852.9308438698</c:v>
                </c:pt>
                <c:pt idx="752">
                  <c:v>575439.9373371857</c:v>
                </c:pt>
                <c:pt idx="753">
                  <c:v>582103.2177709006</c:v>
                </c:pt>
                <c:pt idx="754">
                  <c:v>588843.6553556185</c:v>
                </c:pt>
                <c:pt idx="755">
                  <c:v>595662.1435290404</c:v>
                </c:pt>
                <c:pt idx="756">
                  <c:v>602559.5860743881</c:v>
                </c:pt>
                <c:pt idx="757">
                  <c:v>609536.8972401998</c:v>
                </c:pt>
                <c:pt idx="758">
                  <c:v>616595.0018615132</c:v>
                </c:pt>
                <c:pt idx="759">
                  <c:v>623734.8354824507</c:v>
                </c:pt>
                <c:pt idx="760">
                  <c:v>630957.3444802251</c:v>
                </c:pt>
                <c:pt idx="761">
                  <c:v>638263.486190581</c:v>
                </c:pt>
                <c:pt idx="762">
                  <c:v>645654.2290346882</c:v>
                </c:pt>
                <c:pt idx="763">
                  <c:v>653130.5526475054</c:v>
                </c:pt>
                <c:pt idx="764">
                  <c:v>660693.4480076296</c:v>
                </c:pt>
                <c:pt idx="765">
                  <c:v>668343.9175686486</c:v>
                </c:pt>
                <c:pt idx="766">
                  <c:v>676082.9753920162</c:v>
                </c:pt>
                <c:pt idx="767">
                  <c:v>683911.6472814642</c:v>
                </c:pt>
                <c:pt idx="768">
                  <c:v>691830.9709189718</c:v>
                </c:pt>
                <c:pt idx="769">
                  <c:v>699841.9960023093</c:v>
                </c:pt>
                <c:pt idx="770">
                  <c:v>707945.7843841742</c:v>
                </c:pt>
                <c:pt idx="771">
                  <c:v>716143.4102129388</c:v>
                </c:pt>
                <c:pt idx="772">
                  <c:v>724435.9600750272</c:v>
                </c:pt>
                <c:pt idx="773">
                  <c:v>732824.5331389417</c:v>
                </c:pt>
                <c:pt idx="774">
                  <c:v>741310.2413009556</c:v>
                </c:pt>
                <c:pt idx="775">
                  <c:v>749894.2093324945</c:v>
                </c:pt>
                <c:pt idx="776">
                  <c:v>758577.5750292229</c:v>
                </c:pt>
                <c:pt idx="777">
                  <c:v>767361.4893618586</c:v>
                </c:pt>
                <c:pt idx="778">
                  <c:v>776247.1166287318</c:v>
                </c:pt>
                <c:pt idx="779">
                  <c:v>785235.6346101124</c:v>
                </c:pt>
                <c:pt idx="780">
                  <c:v>794328.2347243227</c:v>
                </c:pt>
                <c:pt idx="781">
                  <c:v>803526.122185659</c:v>
                </c:pt>
                <c:pt idx="782">
                  <c:v>812830.5161641415</c:v>
                </c:pt>
                <c:pt idx="783">
                  <c:v>822242.6499471139</c:v>
                </c:pt>
                <c:pt idx="784">
                  <c:v>831763.7711027145</c:v>
                </c:pt>
                <c:pt idx="785">
                  <c:v>841395.141645239</c:v>
                </c:pt>
                <c:pt idx="786">
                  <c:v>851138.038202421</c:v>
                </c:pt>
                <c:pt idx="787">
                  <c:v>860993.7521846457</c:v>
                </c:pt>
                <c:pt idx="788">
                  <c:v>870963.5899561263</c:v>
                </c:pt>
                <c:pt idx="789">
                  <c:v>881048.8730080603</c:v>
                </c:pt>
                <c:pt idx="790">
                  <c:v>891250.9381337923</c:v>
                </c:pt>
                <c:pt idx="791">
                  <c:v>901571.1376060043</c:v>
                </c:pt>
                <c:pt idx="792">
                  <c:v>912010.8393559578</c:v>
                </c:pt>
                <c:pt idx="793">
                  <c:v>922571.4271548119</c:v>
                </c:pt>
                <c:pt idx="794">
                  <c:v>933254.3007970403</c:v>
                </c:pt>
                <c:pt idx="795">
                  <c:v>944060.8762859732</c:v>
                </c:pt>
                <c:pt idx="796">
                  <c:v>954992.5860214864</c:v>
                </c:pt>
                <c:pt idx="797">
                  <c:v>966050.8789898646</c:v>
                </c:pt>
                <c:pt idx="798">
                  <c:v>977237.2209558625</c:v>
                </c:pt>
                <c:pt idx="799">
                  <c:v>988553.0946569914</c:v>
                </c:pt>
                <c:pt idx="800">
                  <c:v>1000000.000000053</c:v>
                </c:pt>
                <c:pt idx="801">
                  <c:v>1011579.454259952</c:v>
                </c:pt>
                <c:pt idx="802">
                  <c:v>1023292.992280809</c:v>
                </c:pt>
                <c:pt idx="803">
                  <c:v>1035142.166679399</c:v>
                </c:pt>
                <c:pt idx="804">
                  <c:v>1047128.548050956</c:v>
                </c:pt>
                <c:pt idx="805">
                  <c:v>1059253.725177346</c:v>
                </c:pt>
                <c:pt idx="806">
                  <c:v>1071519.305237664</c:v>
                </c:pt>
                <c:pt idx="807">
                  <c:v>1083926.914021262</c:v>
                </c:pt>
                <c:pt idx="808">
                  <c:v>1096478.196143244</c:v>
                </c:pt>
                <c:pt idx="809">
                  <c:v>1109174.815262461</c:v>
                </c:pt>
                <c:pt idx="810">
                  <c:v>1122018.454302024</c:v>
                </c:pt>
                <c:pt idx="811">
                  <c:v>1135010.815672376</c:v>
                </c:pt>
                <c:pt idx="812">
                  <c:v>1148153.621496945</c:v>
                </c:pt>
                <c:pt idx="813">
                  <c:v>1161448.613840406</c:v>
                </c:pt>
                <c:pt idx="814">
                  <c:v>1174897.554939593</c:v>
                </c:pt>
                <c:pt idx="815">
                  <c:v>1188502.227437083</c:v>
                </c:pt>
                <c:pt idx="816">
                  <c:v>1202264.434617478</c:v>
                </c:pt>
                <c:pt idx="817">
                  <c:v>1216186.000646434</c:v>
                </c:pt>
                <c:pt idx="818">
                  <c:v>1230268.770812448</c:v>
                </c:pt>
                <c:pt idx="819">
                  <c:v>1244514.611771453</c:v>
                </c:pt>
                <c:pt idx="820">
                  <c:v>1258925.411794236</c:v>
                </c:pt>
                <c:pt idx="821">
                  <c:v>1273503.081016731</c:v>
                </c:pt>
                <c:pt idx="822">
                  <c:v>1288249.551693204</c:v>
                </c:pt>
                <c:pt idx="823">
                  <c:v>1303166.778452371</c:v>
                </c:pt>
                <c:pt idx="824">
                  <c:v>1318256.738556479</c:v>
                </c:pt>
                <c:pt idx="825">
                  <c:v>1333521.432163397</c:v>
                </c:pt>
                <c:pt idx="826">
                  <c:v>1348962.882591728</c:v>
                </c:pt>
                <c:pt idx="827">
                  <c:v>1364583.136589</c:v>
                </c:pt>
                <c:pt idx="828">
                  <c:v>1380384.264602961</c:v>
                </c:pt>
                <c:pt idx="829">
                  <c:v>1396368.361056014</c:v>
                </c:pt>
                <c:pt idx="830">
                  <c:v>1412537.544622832</c:v>
                </c:pt>
                <c:pt idx="831">
                  <c:v>1428893.958511182</c:v>
                </c:pt>
                <c:pt idx="832">
                  <c:v>1445439.770746008</c:v>
                </c:pt>
                <c:pt idx="833">
                  <c:v>1462177.174456799</c:v>
                </c:pt>
                <c:pt idx="834">
                  <c:v>1479108.38816829</c:v>
                </c:pt>
                <c:pt idx="835">
                  <c:v>1496235.656094517</c:v>
                </c:pt>
                <c:pt idx="836">
                  <c:v>1513561.248436292</c:v>
                </c:pt>
                <c:pt idx="837">
                  <c:v>1531087.461682115</c:v>
                </c:pt>
                <c:pt idx="838">
                  <c:v>1548816.618912568</c:v>
                </c:pt>
                <c:pt idx="839">
                  <c:v>1566751.070108237</c:v>
                </c:pt>
                <c:pt idx="840">
                  <c:v>1584893.192461202</c:v>
                </c:pt>
                <c:pt idx="841">
                  <c:v>1603245.390690131</c:v>
                </c:pt>
                <c:pt idx="842">
                  <c:v>1621810.097359021</c:v>
                </c:pt>
                <c:pt idx="843">
                  <c:v>1640589.773199631</c:v>
                </c:pt>
                <c:pt idx="844">
                  <c:v>1659586.907437654</c:v>
                </c:pt>
                <c:pt idx="845">
                  <c:v>1678804.018122654</c:v>
                </c:pt>
                <c:pt idx="846">
                  <c:v>1698243.65246184</c:v>
                </c:pt>
                <c:pt idx="847">
                  <c:v>1717908.387157685</c:v>
                </c:pt>
                <c:pt idx="848">
                  <c:v>1737800.828749473</c:v>
                </c:pt>
                <c:pt idx="849">
                  <c:v>1757923.613958792</c:v>
                </c:pt>
                <c:pt idx="850">
                  <c:v>1778279.410039023</c:v>
                </c:pt>
                <c:pt idx="851">
                  <c:v>1798870.915128889</c:v>
                </c:pt>
                <c:pt idx="852">
                  <c:v>1819700.858610087</c:v>
                </c:pt>
                <c:pt idx="853">
                  <c:v>1840772.00146906</c:v>
                </c:pt>
                <c:pt idx="854">
                  <c:v>1862087.136662973</c:v>
                </c:pt>
                <c:pt idx="855">
                  <c:v>1883649.089489907</c:v>
                </c:pt>
                <c:pt idx="856">
                  <c:v>1905460.717963356</c:v>
                </c:pt>
                <c:pt idx="857">
                  <c:v>1927524.913191046</c:v>
                </c:pt>
                <c:pt idx="858">
                  <c:v>1949844.599758157</c:v>
                </c:pt>
                <c:pt idx="859">
                  <c:v>1972422.736114966</c:v>
                </c:pt>
                <c:pt idx="860">
                  <c:v>1995262.314968994</c:v>
                </c:pt>
                <c:pt idx="861">
                  <c:v>2018366.363681676</c:v>
                </c:pt>
                <c:pt idx="862">
                  <c:v>2041737.944669646</c:v>
                </c:pt>
                <c:pt idx="863">
                  <c:v>2065380.155810648</c:v>
                </c:pt>
                <c:pt idx="864">
                  <c:v>2089296.13085416</c:v>
                </c:pt>
                <c:pt idx="865">
                  <c:v>2113489.039836768</c:v>
                </c:pt>
                <c:pt idx="866">
                  <c:v>2137962.089502355</c:v>
                </c:pt>
                <c:pt idx="867">
                  <c:v>2162718.523727145</c:v>
                </c:pt>
                <c:pt idx="868">
                  <c:v>2187761.623949679</c:v>
                </c:pt>
                <c:pt idx="869">
                  <c:v>2213094.709605766</c:v>
                </c:pt>
                <c:pt idx="870">
                  <c:v>2238721.138568469</c:v>
                </c:pt>
                <c:pt idx="871">
                  <c:v>2264644.307593191</c:v>
                </c:pt>
                <c:pt idx="872">
                  <c:v>2290867.652767906</c:v>
                </c:pt>
                <c:pt idx="873">
                  <c:v>2317394.649968613</c:v>
                </c:pt>
                <c:pt idx="874">
                  <c:v>2344228.815320058</c:v>
                </c:pt>
                <c:pt idx="875">
                  <c:v>2371373.705661793</c:v>
                </c:pt>
                <c:pt idx="876">
                  <c:v>2398832.91901963</c:v>
                </c:pt>
                <c:pt idx="877">
                  <c:v>2426610.095082557</c:v>
                </c:pt>
                <c:pt idx="878">
                  <c:v>2454708.915685174</c:v>
                </c:pt>
                <c:pt idx="879">
                  <c:v>2483133.105295715</c:v>
                </c:pt>
                <c:pt idx="880">
                  <c:v>2511886.431509727</c:v>
                </c:pt>
                <c:pt idx="881">
                  <c:v>2540972.705549454</c:v>
                </c:pt>
                <c:pt idx="882">
                  <c:v>2570395.782769015</c:v>
                </c:pt>
                <c:pt idx="883">
                  <c:v>2600159.563165424</c:v>
                </c:pt>
                <c:pt idx="884">
                  <c:v>2630267.991895536</c:v>
                </c:pt>
                <c:pt idx="885">
                  <c:v>2660725.059798966</c:v>
                </c:pt>
                <c:pt idx="886">
                  <c:v>2691534.803927074</c:v>
                </c:pt>
                <c:pt idx="887">
                  <c:v>2722701.308078073</c:v>
                </c:pt>
                <c:pt idx="888">
                  <c:v>2754228.703338329</c:v>
                </c:pt>
                <c:pt idx="889">
                  <c:v>2786121.168629935</c:v>
                </c:pt>
                <c:pt idx="890">
                  <c:v>2818382.93126462</c:v>
                </c:pt>
                <c:pt idx="891">
                  <c:v>2851018.267504078</c:v>
                </c:pt>
                <c:pt idx="892">
                  <c:v>2884031.503126777</c:v>
                </c:pt>
                <c:pt idx="893">
                  <c:v>2917427.01400134</c:v>
                </c:pt>
                <c:pt idx="894">
                  <c:v>2951209.226666561</c:v>
                </c:pt>
                <c:pt idx="895">
                  <c:v>2985382.618918137</c:v>
                </c:pt>
                <c:pt idx="896">
                  <c:v>3019951.720402196</c:v>
                </c:pt>
                <c:pt idx="897">
                  <c:v>3054921.113215695</c:v>
                </c:pt>
                <c:pt idx="898">
                  <c:v>3090295.432513775</c:v>
                </c:pt>
                <c:pt idx="899">
                  <c:v>3126079.367124142</c:v>
                </c:pt>
                <c:pt idx="900">
                  <c:v>3162277.660168569</c:v>
                </c:pt>
                <c:pt idx="901">
                  <c:v>3198895.10969159</c:v>
                </c:pt>
                <c:pt idx="902">
                  <c:v>3235936.569296476</c:v>
                </c:pt>
                <c:pt idx="903">
                  <c:v>3273406.948788578</c:v>
                </c:pt>
                <c:pt idx="904">
                  <c:v>3311311.21482611</c:v>
                </c:pt>
                <c:pt idx="905">
                  <c:v>3349654.391578478</c:v>
                </c:pt>
                <c:pt idx="906">
                  <c:v>3388441.56139223</c:v>
                </c:pt>
                <c:pt idx="907">
                  <c:v>3427677.86546471</c:v>
                </c:pt>
                <c:pt idx="908">
                  <c:v>3467368.504525525</c:v>
                </c:pt>
                <c:pt idx="909">
                  <c:v>3507518.739525892</c:v>
                </c:pt>
                <c:pt idx="910">
                  <c:v>3548133.892335969</c:v>
                </c:pt>
                <c:pt idx="911">
                  <c:v>3589219.346450269</c:v>
                </c:pt>
                <c:pt idx="912">
                  <c:v>3630780.547701234</c:v>
                </c:pt>
                <c:pt idx="913">
                  <c:v>3672823.004981069</c:v>
                </c:pt>
                <c:pt idx="914">
                  <c:v>3715352.290971951</c:v>
                </c:pt>
                <c:pt idx="915">
                  <c:v>3758374.04288467</c:v>
                </c:pt>
                <c:pt idx="916">
                  <c:v>3801893.963205843</c:v>
                </c:pt>
                <c:pt idx="917">
                  <c:v>3845917.82045377</c:v>
                </c:pt>
                <c:pt idx="918">
                  <c:v>3890451.449943044</c:v>
                </c:pt>
                <c:pt idx="919">
                  <c:v>3935500.754558015</c:v>
                </c:pt>
                <c:pt idx="920">
                  <c:v>3981071.705535216</c:v>
                </c:pt>
                <c:pt idx="921">
                  <c:v>4027170.343254838</c:v>
                </c:pt>
                <c:pt idx="922">
                  <c:v>4073802.778041377</c:v>
                </c:pt>
                <c:pt idx="923">
                  <c:v>4120975.190973555</c:v>
                </c:pt>
                <c:pt idx="924">
                  <c:v>4168693.83470361</c:v>
                </c:pt>
                <c:pt idx="925">
                  <c:v>4216965.034286082</c:v>
                </c:pt>
                <c:pt idx="926">
                  <c:v>4265795.188016189</c:v>
                </c:pt>
                <c:pt idx="927">
                  <c:v>4315190.768277918</c:v>
                </c:pt>
                <c:pt idx="928">
                  <c:v>4365158.322401929</c:v>
                </c:pt>
                <c:pt idx="929">
                  <c:v>4415704.473533398</c:v>
                </c:pt>
                <c:pt idx="930">
                  <c:v>4466835.921509908</c:v>
                </c:pt>
                <c:pt idx="931">
                  <c:v>4518559.443749503</c:v>
                </c:pt>
                <c:pt idx="932">
                  <c:v>4570881.896149033</c:v>
                </c:pt>
                <c:pt idx="933">
                  <c:v>4623810.213992889</c:v>
                </c:pt>
                <c:pt idx="934">
                  <c:v>4677351.412872273</c:v>
                </c:pt>
                <c:pt idx="935">
                  <c:v>4731512.589615099</c:v>
                </c:pt>
                <c:pt idx="936">
                  <c:v>4786300.923226682</c:v>
                </c:pt>
                <c:pt idx="937">
                  <c:v>4841723.675841294</c:v>
                </c:pt>
                <c:pt idx="938">
                  <c:v>4897788.193684768</c:v>
                </c:pt>
                <c:pt idx="939">
                  <c:v>4954501.908048211</c:v>
                </c:pt>
                <c:pt idx="940">
                  <c:v>5011872.336273036</c:v>
                </c:pt>
                <c:pt idx="941">
                  <c:v>5069907.082747361</c:v>
                </c:pt>
                <c:pt idx="942">
                  <c:v>5128613.83991397</c:v>
                </c:pt>
                <c:pt idx="943">
                  <c:v>5188000.389289936</c:v>
                </c:pt>
                <c:pt idx="944">
                  <c:v>5248074.602498055</c:v>
                </c:pt>
                <c:pt idx="945">
                  <c:v>5308844.442310217</c:v>
                </c:pt>
                <c:pt idx="946">
                  <c:v>5370317.963702865</c:v>
                </c:pt>
                <c:pt idx="947">
                  <c:v>5432503.314924674</c:v>
                </c:pt>
                <c:pt idx="948">
                  <c:v>5495408.738576592</c:v>
                </c:pt>
                <c:pt idx="949">
                  <c:v>5559042.572704386</c:v>
                </c:pt>
                <c:pt idx="950">
                  <c:v>5623413.251903846</c:v>
                </c:pt>
                <c:pt idx="951">
                  <c:v>5688529.308438774</c:v>
                </c:pt>
                <c:pt idx="952">
                  <c:v>5754399.373371934</c:v>
                </c:pt>
                <c:pt idx="953">
                  <c:v>5821032.177709083</c:v>
                </c:pt>
                <c:pt idx="954">
                  <c:v>5888436.553556263</c:v>
                </c:pt>
                <c:pt idx="955">
                  <c:v>5956621.435290483</c:v>
                </c:pt>
                <c:pt idx="956">
                  <c:v>6025595.86074396</c:v>
                </c:pt>
                <c:pt idx="957">
                  <c:v>6095368.972402079</c:v>
                </c:pt>
                <c:pt idx="958">
                  <c:v>6165950.018615214</c:v>
                </c:pt>
                <c:pt idx="959">
                  <c:v>6237348.35482459</c:v>
                </c:pt>
                <c:pt idx="960">
                  <c:v>6309573.444802335</c:v>
                </c:pt>
                <c:pt idx="961">
                  <c:v>6382634.861905894</c:v>
                </c:pt>
                <c:pt idx="962">
                  <c:v>6456542.290346968</c:v>
                </c:pt>
                <c:pt idx="963">
                  <c:v>6531305.526475141</c:v>
                </c:pt>
                <c:pt idx="964">
                  <c:v>6606934.480076384</c:v>
                </c:pt>
                <c:pt idx="965">
                  <c:v>6683439.175686575</c:v>
                </c:pt>
                <c:pt idx="966">
                  <c:v>6760829.753920252</c:v>
                </c:pt>
                <c:pt idx="967">
                  <c:v>6839116.472814733</c:v>
                </c:pt>
                <c:pt idx="968">
                  <c:v>6918309.709189811</c:v>
                </c:pt>
                <c:pt idx="969">
                  <c:v>6998419.960023186</c:v>
                </c:pt>
                <c:pt idx="970">
                  <c:v>7079457.843841835</c:v>
                </c:pt>
                <c:pt idx="971">
                  <c:v>7161434.102129482</c:v>
                </c:pt>
                <c:pt idx="972">
                  <c:v>7244359.600750368</c:v>
                </c:pt>
                <c:pt idx="973">
                  <c:v>7328245.331389515</c:v>
                </c:pt>
                <c:pt idx="974">
                  <c:v>7413102.413009656</c:v>
                </c:pt>
                <c:pt idx="975">
                  <c:v>7498942.093325044</c:v>
                </c:pt>
                <c:pt idx="976">
                  <c:v>7585775.75029233</c:v>
                </c:pt>
                <c:pt idx="977">
                  <c:v>7673614.893618687</c:v>
                </c:pt>
                <c:pt idx="978">
                  <c:v>7762471.166287422</c:v>
                </c:pt>
                <c:pt idx="979">
                  <c:v>7852356.346101229</c:v>
                </c:pt>
                <c:pt idx="980">
                  <c:v>7943282.347243333</c:v>
                </c:pt>
                <c:pt idx="981">
                  <c:v>8035261.221856697</c:v>
                </c:pt>
                <c:pt idx="982">
                  <c:v>8128305.161641523</c:v>
                </c:pt>
                <c:pt idx="983">
                  <c:v>8222426.499471249</c:v>
                </c:pt>
                <c:pt idx="984">
                  <c:v>8317637.711027254</c:v>
                </c:pt>
                <c:pt idx="985">
                  <c:v>8413951.416452501</c:v>
                </c:pt>
                <c:pt idx="986">
                  <c:v>8511380.382024322</c:v>
                </c:pt>
                <c:pt idx="987">
                  <c:v>8609937.52184657</c:v>
                </c:pt>
                <c:pt idx="988">
                  <c:v>8709635.899561379</c:v>
                </c:pt>
                <c:pt idx="989">
                  <c:v>8810488.73008072</c:v>
                </c:pt>
                <c:pt idx="990">
                  <c:v>8912509.381338041</c:v>
                </c:pt>
                <c:pt idx="991">
                  <c:v>9015711.376060164</c:v>
                </c:pt>
                <c:pt idx="992">
                  <c:v>9120108.393559698</c:v>
                </c:pt>
                <c:pt idx="993">
                  <c:v>9225714.271548241</c:v>
                </c:pt>
                <c:pt idx="994">
                  <c:v>9332543.007970527</c:v>
                </c:pt>
                <c:pt idx="995">
                  <c:v>9440608.762859859</c:v>
                </c:pt>
                <c:pt idx="996">
                  <c:v>9549925.860214991</c:v>
                </c:pt>
                <c:pt idx="997">
                  <c:v>9660508.789898774</c:v>
                </c:pt>
                <c:pt idx="998">
                  <c:v>9772372.209558755</c:v>
                </c:pt>
                <c:pt idx="999">
                  <c:v>9885530.946570044</c:v>
                </c:pt>
                <c:pt idx="1000">
                  <c:v>10000000.00000066</c:v>
                </c:pt>
                <c:pt idx="1001">
                  <c:v>10115794.54259966</c:v>
                </c:pt>
                <c:pt idx="1002">
                  <c:v>10232929.92280822</c:v>
                </c:pt>
                <c:pt idx="1003">
                  <c:v>10351421.66679413</c:v>
                </c:pt>
                <c:pt idx="1004">
                  <c:v>10471285.48050969</c:v>
                </c:pt>
                <c:pt idx="1005">
                  <c:v>10592537.2517736</c:v>
                </c:pt>
                <c:pt idx="1006">
                  <c:v>10715193.05237678</c:v>
                </c:pt>
                <c:pt idx="1007">
                  <c:v>10839269.14021276</c:v>
                </c:pt>
                <c:pt idx="1008">
                  <c:v>10964781.96143259</c:v>
                </c:pt>
                <c:pt idx="1009">
                  <c:v>11091748.15262475</c:v>
                </c:pt>
                <c:pt idx="1010">
                  <c:v>11220184.54302039</c:v>
                </c:pt>
                <c:pt idx="1011">
                  <c:v>11350108.15672391</c:v>
                </c:pt>
                <c:pt idx="1012">
                  <c:v>11481536.2149696</c:v>
                </c:pt>
                <c:pt idx="1013">
                  <c:v>11614486.13840421</c:v>
                </c:pt>
                <c:pt idx="1014">
                  <c:v>11748975.54939609</c:v>
                </c:pt>
                <c:pt idx="1015">
                  <c:v>11885022.27437099</c:v>
                </c:pt>
                <c:pt idx="1016">
                  <c:v>12022644.34617494</c:v>
                </c:pt>
                <c:pt idx="1017">
                  <c:v>12161860.0064645</c:v>
                </c:pt>
                <c:pt idx="1018">
                  <c:v>12302687.70812465</c:v>
                </c:pt>
                <c:pt idx="1019">
                  <c:v>12445146.11771469</c:v>
                </c:pt>
                <c:pt idx="1020">
                  <c:v>12589254.11794253</c:v>
                </c:pt>
                <c:pt idx="1021">
                  <c:v>12735030.81016748</c:v>
                </c:pt>
                <c:pt idx="1022">
                  <c:v>12882495.51693221</c:v>
                </c:pt>
                <c:pt idx="1023">
                  <c:v>13031667.78452388</c:v>
                </c:pt>
                <c:pt idx="1024">
                  <c:v>13182567.38556497</c:v>
                </c:pt>
                <c:pt idx="1025">
                  <c:v>13335214.32163415</c:v>
                </c:pt>
                <c:pt idx="1026">
                  <c:v>13489628.82591746</c:v>
                </c:pt>
                <c:pt idx="1027">
                  <c:v>13645831.36589018</c:v>
                </c:pt>
                <c:pt idx="1028">
                  <c:v>13803842.64602979</c:v>
                </c:pt>
                <c:pt idx="1029">
                  <c:v>13963683.61056033</c:v>
                </c:pt>
                <c:pt idx="1030">
                  <c:v>14125375.44622851</c:v>
                </c:pt>
                <c:pt idx="1031">
                  <c:v>14288939.58511201</c:v>
                </c:pt>
                <c:pt idx="1032">
                  <c:v>14454397.70746027</c:v>
                </c:pt>
                <c:pt idx="1033">
                  <c:v>14621771.74456819</c:v>
                </c:pt>
                <c:pt idx="1034">
                  <c:v>14791083.88168309</c:v>
                </c:pt>
                <c:pt idx="1035">
                  <c:v>14962356.56094536</c:v>
                </c:pt>
                <c:pt idx="1036">
                  <c:v>15135612.48436312</c:v>
                </c:pt>
                <c:pt idx="1037">
                  <c:v>15310874.61682136</c:v>
                </c:pt>
                <c:pt idx="1038">
                  <c:v>15488166.18912588</c:v>
                </c:pt>
                <c:pt idx="1039">
                  <c:v>15667510.70108257</c:v>
                </c:pt>
                <c:pt idx="1040">
                  <c:v>15848931.92461223</c:v>
                </c:pt>
                <c:pt idx="1041">
                  <c:v>16032453.90690152</c:v>
                </c:pt>
                <c:pt idx="1042">
                  <c:v>16218100.97359042</c:v>
                </c:pt>
                <c:pt idx="1043">
                  <c:v>16405897.73199653</c:v>
                </c:pt>
                <c:pt idx="1044">
                  <c:v>16595869.07437676</c:v>
                </c:pt>
                <c:pt idx="1045">
                  <c:v>16788040.18122677</c:v>
                </c:pt>
                <c:pt idx="1046">
                  <c:v>16982436.52461862</c:v>
                </c:pt>
                <c:pt idx="1047">
                  <c:v>17179083.87157708</c:v>
                </c:pt>
                <c:pt idx="1048">
                  <c:v>17378008.28749496</c:v>
                </c:pt>
                <c:pt idx="1049">
                  <c:v>17579236.13958815</c:v>
                </c:pt>
                <c:pt idx="1050">
                  <c:v>17782794.10039047</c:v>
                </c:pt>
                <c:pt idx="1051">
                  <c:v>17988709.15128914</c:v>
                </c:pt>
                <c:pt idx="1052">
                  <c:v>18197008.58610111</c:v>
                </c:pt>
                <c:pt idx="1053">
                  <c:v>18407720.01469085</c:v>
                </c:pt>
                <c:pt idx="1054">
                  <c:v>18620871.36662998</c:v>
                </c:pt>
                <c:pt idx="1055">
                  <c:v>18836490.89489932</c:v>
                </c:pt>
                <c:pt idx="1056">
                  <c:v>19054607.17963381</c:v>
                </c:pt>
                <c:pt idx="1057">
                  <c:v>19275249.13191072</c:v>
                </c:pt>
                <c:pt idx="1058">
                  <c:v>19498445.99758182</c:v>
                </c:pt>
                <c:pt idx="1059">
                  <c:v>19724227.36114993</c:v>
                </c:pt>
                <c:pt idx="1060">
                  <c:v>19952623.1496902</c:v>
                </c:pt>
                <c:pt idx="1061">
                  <c:v>20183663.63681703</c:v>
                </c:pt>
                <c:pt idx="1062">
                  <c:v>20417379.44669674</c:v>
                </c:pt>
                <c:pt idx="1063">
                  <c:v>20653801.55810675</c:v>
                </c:pt>
                <c:pt idx="1064">
                  <c:v>20892961.30854188</c:v>
                </c:pt>
                <c:pt idx="1065">
                  <c:v>21134890.39836796</c:v>
                </c:pt>
                <c:pt idx="1066">
                  <c:v>21379620.89502384</c:v>
                </c:pt>
                <c:pt idx="1067">
                  <c:v>21627185.23727174</c:v>
                </c:pt>
                <c:pt idx="1068">
                  <c:v>21877616.23949708</c:v>
                </c:pt>
                <c:pt idx="1069">
                  <c:v>22130947.09605795</c:v>
                </c:pt>
                <c:pt idx="1070">
                  <c:v>22387211.38568499</c:v>
                </c:pt>
                <c:pt idx="1071">
                  <c:v>22646443.07593221</c:v>
                </c:pt>
                <c:pt idx="1072">
                  <c:v>22908676.52767936</c:v>
                </c:pt>
                <c:pt idx="1073">
                  <c:v>23173946.49968644</c:v>
                </c:pt>
                <c:pt idx="1074">
                  <c:v>23442288.15320089</c:v>
                </c:pt>
                <c:pt idx="1075">
                  <c:v>23713737.05661825</c:v>
                </c:pt>
                <c:pt idx="1076">
                  <c:v>23988329.19019662</c:v>
                </c:pt>
                <c:pt idx="1077">
                  <c:v>24266100.95082589</c:v>
                </c:pt>
                <c:pt idx="1078">
                  <c:v>24547089.15685206</c:v>
                </c:pt>
                <c:pt idx="1079">
                  <c:v>24831331.05295748</c:v>
                </c:pt>
                <c:pt idx="1080">
                  <c:v>25118864.3150976</c:v>
                </c:pt>
                <c:pt idx="1081">
                  <c:v>25409727.05549487</c:v>
                </c:pt>
                <c:pt idx="1082">
                  <c:v>25703957.82769049</c:v>
                </c:pt>
                <c:pt idx="1083">
                  <c:v>26001595.63165459</c:v>
                </c:pt>
                <c:pt idx="1084">
                  <c:v>26302679.91895571</c:v>
                </c:pt>
                <c:pt idx="1085">
                  <c:v>26607250.59799001</c:v>
                </c:pt>
                <c:pt idx="1086">
                  <c:v>26915348.0392711</c:v>
                </c:pt>
                <c:pt idx="1087">
                  <c:v>27227013.08078109</c:v>
                </c:pt>
                <c:pt idx="1088">
                  <c:v>27542287.03338366</c:v>
                </c:pt>
                <c:pt idx="1089">
                  <c:v>27861211.68629972</c:v>
                </c:pt>
                <c:pt idx="1090">
                  <c:v>28183829.31264658</c:v>
                </c:pt>
                <c:pt idx="1091">
                  <c:v>28510182.67504116</c:v>
                </c:pt>
                <c:pt idx="1092">
                  <c:v>28840315.03126815</c:v>
                </c:pt>
                <c:pt idx="1093">
                  <c:v>29174270.14001378</c:v>
                </c:pt>
                <c:pt idx="1094">
                  <c:v>29512092.266666</c:v>
                </c:pt>
                <c:pt idx="1095">
                  <c:v>29853826.18918177</c:v>
                </c:pt>
                <c:pt idx="1096">
                  <c:v>30199517.20402236</c:v>
                </c:pt>
                <c:pt idx="1097">
                  <c:v>30549211.13215736</c:v>
                </c:pt>
                <c:pt idx="1098">
                  <c:v>30902954.32513816</c:v>
                </c:pt>
                <c:pt idx="1099">
                  <c:v>31260793.67124183</c:v>
                </c:pt>
                <c:pt idx="1100">
                  <c:v>31622776.60168611</c:v>
                </c:pt>
                <c:pt idx="1101">
                  <c:v>31988951.09691632</c:v>
                </c:pt>
                <c:pt idx="1102">
                  <c:v>32359365.6929652</c:v>
                </c:pt>
                <c:pt idx="1103">
                  <c:v>32734069.48788622</c:v>
                </c:pt>
                <c:pt idx="1104">
                  <c:v>33113112.14826154</c:v>
                </c:pt>
                <c:pt idx="1105">
                  <c:v>33496543.91578523</c:v>
                </c:pt>
                <c:pt idx="1106">
                  <c:v>33884415.61392274</c:v>
                </c:pt>
                <c:pt idx="1107">
                  <c:v>34276778.65464756</c:v>
                </c:pt>
                <c:pt idx="1108">
                  <c:v>34673685.04525571</c:v>
                </c:pt>
                <c:pt idx="1109">
                  <c:v>35075187.39525938</c:v>
                </c:pt>
                <c:pt idx="1110">
                  <c:v>35481338.92336016</c:v>
                </c:pt>
                <c:pt idx="1111">
                  <c:v>35892193.46450317</c:v>
                </c:pt>
                <c:pt idx="1112">
                  <c:v>36307805.47701281</c:v>
                </c:pt>
                <c:pt idx="1113">
                  <c:v>36728230.04981118</c:v>
                </c:pt>
                <c:pt idx="1114">
                  <c:v>37153522.90972</c:v>
                </c:pt>
                <c:pt idx="1115">
                  <c:v>37583740.4288472</c:v>
                </c:pt>
                <c:pt idx="1116">
                  <c:v>38018939.63205894</c:v>
                </c:pt>
                <c:pt idx="1117">
                  <c:v>38459178.20453821</c:v>
                </c:pt>
                <c:pt idx="1118">
                  <c:v>38904514.49943095</c:v>
                </c:pt>
                <c:pt idx="1119">
                  <c:v>39355007.54558068</c:v>
                </c:pt>
                <c:pt idx="1120">
                  <c:v>39810717.05535269</c:v>
                </c:pt>
                <c:pt idx="1121">
                  <c:v>40271703.43254891</c:v>
                </c:pt>
                <c:pt idx="1122">
                  <c:v>40738027.78041431</c:v>
                </c:pt>
                <c:pt idx="1123">
                  <c:v>41209751.9097361</c:v>
                </c:pt>
                <c:pt idx="1124">
                  <c:v>41686938.34703665</c:v>
                </c:pt>
                <c:pt idx="1125">
                  <c:v>42169650.34286138</c:v>
                </c:pt>
                <c:pt idx="1126">
                  <c:v>42657951.88016246</c:v>
                </c:pt>
                <c:pt idx="1127">
                  <c:v>43151907.68277976</c:v>
                </c:pt>
                <c:pt idx="1128">
                  <c:v>43651583.22401987</c:v>
                </c:pt>
                <c:pt idx="1129">
                  <c:v>44157044.73533456</c:v>
                </c:pt>
                <c:pt idx="1130">
                  <c:v>44668359.21509967</c:v>
                </c:pt>
                <c:pt idx="1131">
                  <c:v>45185594.43749563</c:v>
                </c:pt>
                <c:pt idx="1132">
                  <c:v>45708818.96149094</c:v>
                </c:pt>
                <c:pt idx="1133">
                  <c:v>46238102.13992951</c:v>
                </c:pt>
                <c:pt idx="1134">
                  <c:v>46773514.12872335</c:v>
                </c:pt>
                <c:pt idx="1135">
                  <c:v>47315125.89615162</c:v>
                </c:pt>
                <c:pt idx="1136">
                  <c:v>47863009.23226745</c:v>
                </c:pt>
                <c:pt idx="1137">
                  <c:v>48417236.75841359</c:v>
                </c:pt>
                <c:pt idx="1138">
                  <c:v>48977881.93684833</c:v>
                </c:pt>
                <c:pt idx="1139">
                  <c:v>49545019.08048277</c:v>
                </c:pt>
                <c:pt idx="1140">
                  <c:v>50118723.36273102</c:v>
                </c:pt>
                <c:pt idx="1141">
                  <c:v>50699070.82747428</c:v>
                </c:pt>
                <c:pt idx="1142">
                  <c:v>51286138.39914038</c:v>
                </c:pt>
                <c:pt idx="1143">
                  <c:v>51880003.89290006</c:v>
                </c:pt>
                <c:pt idx="1144">
                  <c:v>52480746.02498125</c:v>
                </c:pt>
                <c:pt idx="1145">
                  <c:v>53088444.42310288</c:v>
                </c:pt>
                <c:pt idx="1146">
                  <c:v>53703179.63702936</c:v>
                </c:pt>
                <c:pt idx="1147">
                  <c:v>54325033.14924747</c:v>
                </c:pt>
                <c:pt idx="1148">
                  <c:v>54954087.38576665</c:v>
                </c:pt>
                <c:pt idx="1149">
                  <c:v>55590425.7270446</c:v>
                </c:pt>
                <c:pt idx="1150">
                  <c:v>56234132.51903921</c:v>
                </c:pt>
                <c:pt idx="1151">
                  <c:v>56885293.08438849</c:v>
                </c:pt>
                <c:pt idx="1152">
                  <c:v>57543993.73372009</c:v>
                </c:pt>
                <c:pt idx="1153">
                  <c:v>58210321.77709161</c:v>
                </c:pt>
                <c:pt idx="1154">
                  <c:v>58884365.53556342</c:v>
                </c:pt>
                <c:pt idx="1155">
                  <c:v>59566214.35290562</c:v>
                </c:pt>
                <c:pt idx="1156">
                  <c:v>60255958.6074404</c:v>
                </c:pt>
                <c:pt idx="1157">
                  <c:v>60953689.72402161</c:v>
                </c:pt>
                <c:pt idx="1158">
                  <c:v>61659500.18615296</c:v>
                </c:pt>
                <c:pt idx="1159">
                  <c:v>62373483.54824673</c:v>
                </c:pt>
                <c:pt idx="1160">
                  <c:v>63095734.44802419</c:v>
                </c:pt>
                <c:pt idx="1161">
                  <c:v>63826348.61905979</c:v>
                </c:pt>
                <c:pt idx="1162">
                  <c:v>64565422.90347055</c:v>
                </c:pt>
                <c:pt idx="1163">
                  <c:v>65313055.26475229</c:v>
                </c:pt>
                <c:pt idx="1164">
                  <c:v>66069344.80076471</c:v>
                </c:pt>
                <c:pt idx="1165">
                  <c:v>66834391.75686664</c:v>
                </c:pt>
                <c:pt idx="1166">
                  <c:v>67608297.53920342</c:v>
                </c:pt>
                <c:pt idx="1167">
                  <c:v>68391164.72814824</c:v>
                </c:pt>
                <c:pt idx="1168">
                  <c:v>69183097.09189902</c:v>
                </c:pt>
                <c:pt idx="1169">
                  <c:v>69984199.60023279</c:v>
                </c:pt>
                <c:pt idx="1170">
                  <c:v>70794578.4384193</c:v>
                </c:pt>
                <c:pt idx="1171">
                  <c:v>71614341.02129577</c:v>
                </c:pt>
                <c:pt idx="1172">
                  <c:v>72443596.00750466</c:v>
                </c:pt>
                <c:pt idx="1173">
                  <c:v>73282453.31389612</c:v>
                </c:pt>
                <c:pt idx="1174">
                  <c:v>74131024.13009754</c:v>
                </c:pt>
                <c:pt idx="1175">
                  <c:v>74989420.93325144</c:v>
                </c:pt>
                <c:pt idx="1176">
                  <c:v>75857757.50292431</c:v>
                </c:pt>
                <c:pt idx="1177">
                  <c:v>76736148.93618789</c:v>
                </c:pt>
                <c:pt idx="1178">
                  <c:v>77624711.66287525</c:v>
                </c:pt>
                <c:pt idx="1179">
                  <c:v>78523563.46101333</c:v>
                </c:pt>
                <c:pt idx="1180">
                  <c:v>79432823.47243437</c:v>
                </c:pt>
                <c:pt idx="1181">
                  <c:v>80352612.21856803</c:v>
                </c:pt>
                <c:pt idx="1182">
                  <c:v>81283051.61641631</c:v>
                </c:pt>
                <c:pt idx="1183">
                  <c:v>82224264.99471359</c:v>
                </c:pt>
                <c:pt idx="1184">
                  <c:v>83176377.11027364</c:v>
                </c:pt>
                <c:pt idx="1185">
                  <c:v>84139514.16452613</c:v>
                </c:pt>
                <c:pt idx="1186">
                  <c:v>85113803.82024436</c:v>
                </c:pt>
                <c:pt idx="1187">
                  <c:v>86099375.21846685</c:v>
                </c:pt>
                <c:pt idx="1188">
                  <c:v>87096358.99561495</c:v>
                </c:pt>
                <c:pt idx="1189">
                  <c:v>88104887.30080837</c:v>
                </c:pt>
                <c:pt idx="1190">
                  <c:v>89125093.8133816</c:v>
                </c:pt>
                <c:pt idx="1191">
                  <c:v>90157113.76060282</c:v>
                </c:pt>
                <c:pt idx="1192">
                  <c:v>91201083.93559821</c:v>
                </c:pt>
                <c:pt idx="1193">
                  <c:v>92257142.71548364</c:v>
                </c:pt>
                <c:pt idx="1194">
                  <c:v>93325430.07970652</c:v>
                </c:pt>
                <c:pt idx="1195">
                  <c:v>94406087.62859984</c:v>
                </c:pt>
                <c:pt idx="1196">
                  <c:v>95499258.60215119</c:v>
                </c:pt>
                <c:pt idx="1197">
                  <c:v>96605087.89898902</c:v>
                </c:pt>
                <c:pt idx="1198">
                  <c:v>97723722.09558885</c:v>
                </c:pt>
                <c:pt idx="1199">
                  <c:v>98855309.46570176</c:v>
                </c:pt>
                <c:pt idx="1200">
                  <c:v>100000000</c:v>
                </c:pt>
              </c:numCache>
            </c:numRef>
          </c:xVal>
          <c:yVal>
            <c:numRef>
              <c:f>LTspice_Compare!$C$19:$C$1219</c:f>
              <c:numCache>
                <c:formatCode>General</c:formatCode>
                <c:ptCount val="1201"/>
                <c:pt idx="0">
                  <c:v>119.8929236046129</c:v>
                </c:pt>
                <c:pt idx="1">
                  <c:v>119.8929471480621</c:v>
                </c:pt>
                <c:pt idx="2">
                  <c:v>119.8929712399302</c:v>
                </c:pt>
                <c:pt idx="3">
                  <c:v>119.8929958929925</c:v>
                </c:pt>
                <c:pt idx="4">
                  <c:v>119.8930211203219</c:v>
                </c:pt>
                <c:pt idx="5">
                  <c:v>119.893046935296</c:v>
                </c:pt>
                <c:pt idx="6">
                  <c:v>119.8930733516039</c:v>
                </c:pt>
                <c:pt idx="7">
                  <c:v>119.8931003832538</c:v>
                </c:pt>
                <c:pt idx="8">
                  <c:v>119.89312804458</c:v>
                </c:pt>
                <c:pt idx="9">
                  <c:v>119.8931563502509</c:v>
                </c:pt>
                <c:pt idx="10">
                  <c:v>119.8931853152767</c:v>
                </c:pt>
                <c:pt idx="11">
                  <c:v>119.8932149550171</c:v>
                </c:pt>
                <c:pt idx="12">
                  <c:v>119.8932452851898</c:v>
                </c:pt>
                <c:pt idx="13">
                  <c:v>119.8932763218787</c:v>
                </c:pt>
                <c:pt idx="14">
                  <c:v>119.8933080815423</c:v>
                </c:pt>
                <c:pt idx="15">
                  <c:v>119.8933405810226</c:v>
                </c:pt>
                <c:pt idx="16">
                  <c:v>119.893373837554</c:v>
                </c:pt>
                <c:pt idx="17">
                  <c:v>119.8934078687724</c:v>
                </c:pt>
                <c:pt idx="18">
                  <c:v>119.8934426927246</c:v>
                </c:pt>
                <c:pt idx="19">
                  <c:v>119.8934783278779</c:v>
                </c:pt>
                <c:pt idx="20">
                  <c:v>119.8935147931298</c:v>
                </c:pt>
                <c:pt idx="21">
                  <c:v>119.893552107818</c:v>
                </c:pt>
                <c:pt idx="22">
                  <c:v>119.893590291731</c:v>
                </c:pt>
                <c:pt idx="23">
                  <c:v>119.8936293651181</c:v>
                </c:pt>
                <c:pt idx="24">
                  <c:v>119.8936693487005</c:v>
                </c:pt>
                <c:pt idx="25">
                  <c:v>119.8937102636822</c:v>
                </c:pt>
                <c:pt idx="26">
                  <c:v>119.8937521317611</c:v>
                </c:pt>
                <c:pt idx="27">
                  <c:v>119.8937949751408</c:v>
                </c:pt>
                <c:pt idx="28">
                  <c:v>119.8938388165421</c:v>
                </c:pt>
                <c:pt idx="29">
                  <c:v>119.8938836792155</c:v>
                </c:pt>
                <c:pt idx="30">
                  <c:v>119.8939295869527</c:v>
                </c:pt>
                <c:pt idx="31">
                  <c:v>119.8939765641002</c:v>
                </c:pt>
                <c:pt idx="32">
                  <c:v>119.8940246355716</c:v>
                </c:pt>
                <c:pt idx="33">
                  <c:v>119.894073826861</c:v>
                </c:pt>
                <c:pt idx="34">
                  <c:v>119.8941241640566</c:v>
                </c:pt>
                <c:pt idx="35">
                  <c:v>119.8941756738542</c:v>
                </c:pt>
                <c:pt idx="36">
                  <c:v>119.8942283835721</c:v>
                </c:pt>
                <c:pt idx="37">
                  <c:v>119.8942823211646</c:v>
                </c:pt>
                <c:pt idx="38">
                  <c:v>119.8943375152379</c:v>
                </c:pt>
                <c:pt idx="39">
                  <c:v>119.8943939950644</c:v>
                </c:pt>
                <c:pt idx="40">
                  <c:v>119.8944517905987</c:v>
                </c:pt>
                <c:pt idx="41">
                  <c:v>119.8945109324934</c:v>
                </c:pt>
                <c:pt idx="42">
                  <c:v>119.8945714521153</c:v>
                </c:pt>
                <c:pt idx="43">
                  <c:v>119.8946333815624</c:v>
                </c:pt>
                <c:pt idx="44">
                  <c:v>119.8946967536802</c:v>
                </c:pt>
                <c:pt idx="45">
                  <c:v>119.8947616020799</c:v>
                </c:pt>
                <c:pt idx="46">
                  <c:v>119.8948279611558</c:v>
                </c:pt>
                <c:pt idx="47">
                  <c:v>119.8948958661039</c:v>
                </c:pt>
                <c:pt idx="48">
                  <c:v>119.8949653529401</c:v>
                </c:pt>
                <c:pt idx="49">
                  <c:v>119.8950364585198</c:v>
                </c:pt>
                <c:pt idx="50">
                  <c:v>119.8951092205571</c:v>
                </c:pt>
                <c:pt idx="51">
                  <c:v>119.8951836776452</c:v>
                </c:pt>
                <c:pt idx="52">
                  <c:v>119.8952598692765</c:v>
                </c:pt>
                <c:pt idx="53">
                  <c:v>119.8953378358638</c:v>
                </c:pt>
                <c:pt idx="54">
                  <c:v>119.8954176187618</c:v>
                </c:pt>
                <c:pt idx="55">
                  <c:v>119.8954992602889</c:v>
                </c:pt>
                <c:pt idx="56">
                  <c:v>119.8955828037497</c:v>
                </c:pt>
                <c:pt idx="57">
                  <c:v>119.8956682934582</c:v>
                </c:pt>
                <c:pt idx="58">
                  <c:v>119.8957557747609</c:v>
                </c:pt>
                <c:pt idx="59">
                  <c:v>119.8958452940615</c:v>
                </c:pt>
                <c:pt idx="60">
                  <c:v>119.895936898845</c:v>
                </c:pt>
                <c:pt idx="61">
                  <c:v>119.8960306377031</c:v>
                </c:pt>
                <c:pt idx="62">
                  <c:v>119.8961265603601</c:v>
                </c:pt>
                <c:pt idx="63">
                  <c:v>119.8962247176993</c:v>
                </c:pt>
                <c:pt idx="64">
                  <c:v>119.8963251617899</c:v>
                </c:pt>
                <c:pt idx="65">
                  <c:v>119.8964279459147</c:v>
                </c:pt>
                <c:pt idx="66">
                  <c:v>119.8965331245987</c:v>
                </c:pt>
                <c:pt idx="67">
                  <c:v>119.8966407536374</c:v>
                </c:pt>
                <c:pt idx="68">
                  <c:v>119.8967508901272</c:v>
                </c:pt>
                <c:pt idx="69">
                  <c:v>119.8968635924953</c:v>
                </c:pt>
                <c:pt idx="70">
                  <c:v>119.8969789205308</c:v>
                </c:pt>
                <c:pt idx="71">
                  <c:v>119.8970969354164</c:v>
                </c:pt>
                <c:pt idx="72">
                  <c:v>119.8972176997613</c:v>
                </c:pt>
                <c:pt idx="73">
                  <c:v>119.897341277634</c:v>
                </c:pt>
                <c:pt idx="74">
                  <c:v>119.8974677345965</c:v>
                </c:pt>
                <c:pt idx="75">
                  <c:v>119.8975971377394</c:v>
                </c:pt>
                <c:pt idx="76">
                  <c:v>119.8977295557171</c:v>
                </c:pt>
                <c:pt idx="77">
                  <c:v>119.8978650587848</c:v>
                </c:pt>
                <c:pt idx="78">
                  <c:v>119.8980037188353</c:v>
                </c:pt>
                <c:pt idx="79">
                  <c:v>119.8981456094378</c:v>
                </c:pt>
                <c:pt idx="80">
                  <c:v>119.8982908058765</c:v>
                </c:pt>
                <c:pt idx="81">
                  <c:v>119.898439385191</c:v>
                </c:pt>
                <c:pt idx="82">
                  <c:v>119.898591426217</c:v>
                </c:pt>
                <c:pt idx="83">
                  <c:v>119.8987470096283</c:v>
                </c:pt>
                <c:pt idx="84">
                  <c:v>119.8989062179798</c:v>
                </c:pt>
                <c:pt idx="85">
                  <c:v>119.8990691357515</c:v>
                </c:pt>
                <c:pt idx="86">
                  <c:v>119.8992358493929</c:v>
                </c:pt>
                <c:pt idx="87">
                  <c:v>119.8994064473697</c:v>
                </c:pt>
                <c:pt idx="88">
                  <c:v>119.8995810202103</c:v>
                </c:pt>
                <c:pt idx="89">
                  <c:v>119.8997596605542</c:v>
                </c:pt>
                <c:pt idx="90">
                  <c:v>119.8999424632012</c:v>
                </c:pt>
                <c:pt idx="91">
                  <c:v>119.900129525162</c:v>
                </c:pt>
                <c:pt idx="92">
                  <c:v>119.9003209457097</c:v>
                </c:pt>
                <c:pt idx="93">
                  <c:v>119.9005168264326</c:v>
                </c:pt>
                <c:pt idx="94">
                  <c:v>119.9007172712881</c:v>
                </c:pt>
                <c:pt idx="95">
                  <c:v>119.9009223866586</c:v>
                </c:pt>
                <c:pt idx="96">
                  <c:v>119.9011322814074</c:v>
                </c:pt>
                <c:pt idx="97">
                  <c:v>119.9013470669372</c:v>
                </c:pt>
                <c:pt idx="98">
                  <c:v>119.9015668572493</c:v>
                </c:pt>
                <c:pt idx="99">
                  <c:v>119.9017917690039</c:v>
                </c:pt>
                <c:pt idx="100">
                  <c:v>119.9020219215827</c:v>
                </c:pt>
                <c:pt idx="101">
                  <c:v>119.9022574371523</c:v>
                </c:pt>
                <c:pt idx="102">
                  <c:v>119.9024984407293</c:v>
                </c:pt>
                <c:pt idx="103">
                  <c:v>119.9027450602467</c:v>
                </c:pt>
                <c:pt idx="104">
                  <c:v>119.9029974266223</c:v>
                </c:pt>
                <c:pt idx="105">
                  <c:v>119.9032556738283</c:v>
                </c:pt>
                <c:pt idx="106">
                  <c:v>119.9035199389628</c:v>
                </c:pt>
                <c:pt idx="107">
                  <c:v>119.9037903623227</c:v>
                </c:pt>
                <c:pt idx="108">
                  <c:v>119.9040670874784</c:v>
                </c:pt>
                <c:pt idx="109">
                  <c:v>119.9043502613508</c:v>
                </c:pt>
                <c:pt idx="110">
                  <c:v>119.9046400342891</c:v>
                </c:pt>
                <c:pt idx="111">
                  <c:v>119.904936560151</c:v>
                </c:pt>
                <c:pt idx="112">
                  <c:v>119.905239996385</c:v>
                </c:pt>
                <c:pt idx="113">
                  <c:v>119.9055505041144</c:v>
                </c:pt>
                <c:pt idx="114">
                  <c:v>119.9058682482227</c:v>
                </c:pt>
                <c:pt idx="115">
                  <c:v>119.9061933974422</c:v>
                </c:pt>
                <c:pt idx="116">
                  <c:v>119.9065261244436</c:v>
                </c:pt>
                <c:pt idx="117">
                  <c:v>119.9068666059282</c:v>
                </c:pt>
                <c:pt idx="118">
                  <c:v>119.9072150227222</c:v>
                </c:pt>
                <c:pt idx="119">
                  <c:v>119.9075715598735</c:v>
                </c:pt>
                <c:pt idx="120">
                  <c:v>119.90793640675</c:v>
                </c:pt>
                <c:pt idx="121">
                  <c:v>119.9083097571409</c:v>
                </c:pt>
                <c:pt idx="122">
                  <c:v>119.9086918093602</c:v>
                </c:pt>
                <c:pt idx="123">
                  <c:v>119.9090827663527</c:v>
                </c:pt>
                <c:pt idx="124">
                  <c:v>119.9094828358022</c:v>
                </c:pt>
                <c:pt idx="125">
                  <c:v>119.9098922302424</c:v>
                </c:pt>
                <c:pt idx="126">
                  <c:v>119.9103111671709</c:v>
                </c:pt>
                <c:pt idx="127">
                  <c:v>119.9107398691649</c:v>
                </c:pt>
                <c:pt idx="128">
                  <c:v>119.9111785640003</c:v>
                </c:pt>
                <c:pt idx="129">
                  <c:v>119.9116274847737</c:v>
                </c:pt>
                <c:pt idx="130">
                  <c:v>119.9120868700269</c:v>
                </c:pt>
                <c:pt idx="131">
                  <c:v>119.9125569638743</c:v>
                </c:pt>
                <c:pt idx="132">
                  <c:v>119.9130380161336</c:v>
                </c:pt>
                <c:pt idx="133">
                  <c:v>119.9135302824597</c:v>
                </c:pt>
                <c:pt idx="134">
                  <c:v>119.914034024481</c:v>
                </c:pt>
                <c:pt idx="135">
                  <c:v>119.9145495099399</c:v>
                </c:pt>
                <c:pt idx="136">
                  <c:v>119.9150770128359</c:v>
                </c:pt>
                <c:pt idx="137">
                  <c:v>119.9156168135721</c:v>
                </c:pt>
                <c:pt idx="138">
                  <c:v>119.916169199106</c:v>
                </c:pt>
                <c:pt idx="139">
                  <c:v>119.9167344631026</c:v>
                </c:pt>
                <c:pt idx="140">
                  <c:v>119.9173129060921</c:v>
                </c:pt>
                <c:pt idx="141">
                  <c:v>119.9179048356306</c:v>
                </c:pt>
                <c:pt idx="142">
                  <c:v>119.9185105664657</c:v>
                </c:pt>
                <c:pt idx="143">
                  <c:v>119.9191304207043</c:v>
                </c:pt>
                <c:pt idx="144">
                  <c:v>119.9197647279863</c:v>
                </c:pt>
                <c:pt idx="145">
                  <c:v>119.9204138256607</c:v>
                </c:pt>
                <c:pt idx="146">
                  <c:v>119.921078058967</c:v>
                </c:pt>
                <c:pt idx="147">
                  <c:v>119.9217577812205</c:v>
                </c:pt>
                <c:pt idx="148">
                  <c:v>119.922453354002</c:v>
                </c:pt>
                <c:pt idx="149">
                  <c:v>119.9231651473519</c:v>
                </c:pt>
                <c:pt idx="150">
                  <c:v>119.923893539969</c:v>
                </c:pt>
                <c:pt idx="151">
                  <c:v>119.9246389194141</c:v>
                </c:pt>
                <c:pt idx="152">
                  <c:v>119.9254016823183</c:v>
                </c:pt>
                <c:pt idx="153">
                  <c:v>119.9261822345963</c:v>
                </c:pt>
                <c:pt idx="154">
                  <c:v>119.9269809916646</c:v>
                </c:pt>
                <c:pt idx="155">
                  <c:v>119.9277983786652</c:v>
                </c:pt>
                <c:pt idx="156">
                  <c:v>119.9286348306943</c:v>
                </c:pt>
                <c:pt idx="157">
                  <c:v>119.9294907930366</c:v>
                </c:pt>
                <c:pt idx="158">
                  <c:v>119.9303667214053</c:v>
                </c:pt>
                <c:pt idx="159">
                  <c:v>119.9312630821873</c:v>
                </c:pt>
                <c:pt idx="160">
                  <c:v>119.9321803526947</c:v>
                </c:pt>
                <c:pt idx="161">
                  <c:v>119.9331190214224</c:v>
                </c:pt>
                <c:pt idx="162">
                  <c:v>119.9340795883113</c:v>
                </c:pt>
                <c:pt idx="163">
                  <c:v>119.9350625650182</c:v>
                </c:pt>
                <c:pt idx="164">
                  <c:v>119.9360684751919</c:v>
                </c:pt>
                <c:pt idx="165">
                  <c:v>119.9370978547561</c:v>
                </c:pt>
                <c:pt idx="166">
                  <c:v>119.9381512521988</c:v>
                </c:pt>
                <c:pt idx="167">
                  <c:v>119.9392292288687</c:v>
                </c:pt>
                <c:pt idx="168">
                  <c:v>119.9403323592791</c:v>
                </c:pt>
                <c:pt idx="169">
                  <c:v>119.9414612314181</c:v>
                </c:pt>
                <c:pt idx="170">
                  <c:v>119.9426164470671</c:v>
                </c:pt>
                <c:pt idx="171">
                  <c:v>119.9437986221267</c:v>
                </c:pt>
                <c:pt idx="172">
                  <c:v>119.9450083869501</c:v>
                </c:pt>
                <c:pt idx="173">
                  <c:v>119.9462463866848</c:v>
                </c:pt>
                <c:pt idx="174">
                  <c:v>119.9475132816223</c:v>
                </c:pt>
                <c:pt idx="175">
                  <c:v>119.9488097475563</c:v>
                </c:pt>
                <c:pt idx="176">
                  <c:v>119.9501364761496</c:v>
                </c:pt>
                <c:pt idx="177">
                  <c:v>119.9514941753094</c:v>
                </c:pt>
                <c:pt idx="178">
                  <c:v>119.9528835695719</c:v>
                </c:pt>
                <c:pt idx="179">
                  <c:v>119.9543054004965</c:v>
                </c:pt>
                <c:pt idx="180">
                  <c:v>119.9557604270685</c:v>
                </c:pt>
                <c:pt idx="181">
                  <c:v>119.9572494261126</c:v>
                </c:pt>
                <c:pt idx="182">
                  <c:v>119.9587731927156</c:v>
                </c:pt>
                <c:pt idx="183">
                  <c:v>119.9603325406595</c:v>
                </c:pt>
                <c:pt idx="184">
                  <c:v>119.9619283028651</c:v>
                </c:pt>
                <c:pt idx="185">
                  <c:v>119.9635613318464</c:v>
                </c:pt>
                <c:pt idx="186">
                  <c:v>119.9652325001757</c:v>
                </c:pt>
                <c:pt idx="187">
                  <c:v>119.96694270096</c:v>
                </c:pt>
                <c:pt idx="188">
                  <c:v>119.9686928483294</c:v>
                </c:pt>
                <c:pt idx="189">
                  <c:v>119.9704838779363</c:v>
                </c:pt>
                <c:pt idx="190">
                  <c:v>119.9723167474679</c:v>
                </c:pt>
                <c:pt idx="191">
                  <c:v>119.97419243717</c:v>
                </c:pt>
                <c:pt idx="192">
                  <c:v>119.9761119503846</c:v>
                </c:pt>
                <c:pt idx="193">
                  <c:v>119.9780763140992</c:v>
                </c:pt>
                <c:pt idx="194">
                  <c:v>119.980086579511</c:v>
                </c:pt>
                <c:pt idx="195">
                  <c:v>119.9821438226036</c:v>
                </c:pt>
                <c:pt idx="196">
                  <c:v>119.984249144738</c:v>
                </c:pt>
                <c:pt idx="197">
                  <c:v>119.9864036732587</c:v>
                </c:pt>
                <c:pt idx="198">
                  <c:v>119.9886085621134</c:v>
                </c:pt>
                <c:pt idx="199">
                  <c:v>119.9908649924887</c:v>
                </c:pt>
                <c:pt idx="200">
                  <c:v>119.9931741734612</c:v>
                </c:pt>
                <c:pt idx="201">
                  <c:v>119.9955373426639</c:v>
                </c:pt>
                <c:pt idx="202">
                  <c:v>119.9979557669697</c:v>
                </c:pt>
                <c:pt idx="203">
                  <c:v>120.000430743191</c:v>
                </c:pt>
                <c:pt idx="204">
                  <c:v>120.002963598797</c:v>
                </c:pt>
                <c:pt idx="205">
                  <c:v>120.0055556926477</c:v>
                </c:pt>
                <c:pt idx="206">
                  <c:v>120.0082084157471</c:v>
                </c:pt>
                <c:pt idx="207">
                  <c:v>120.0109231920139</c:v>
                </c:pt>
                <c:pt idx="208">
                  <c:v>120.0137014790716</c:v>
                </c:pt>
                <c:pt idx="209">
                  <c:v>120.0165447690576</c:v>
                </c:pt>
                <c:pt idx="210">
                  <c:v>120.0194545894532</c:v>
                </c:pt>
                <c:pt idx="211">
                  <c:v>120.0224325039329</c:v>
                </c:pt>
                <c:pt idx="212">
                  <c:v>120.0254801132352</c:v>
                </c:pt>
                <c:pt idx="213">
                  <c:v>120.0285990560549</c:v>
                </c:pt>
                <c:pt idx="214">
                  <c:v>120.0317910099574</c:v>
                </c:pt>
                <c:pt idx="215">
                  <c:v>120.0350576923158</c:v>
                </c:pt>
                <c:pt idx="216">
                  <c:v>120.0384008612703</c:v>
                </c:pt>
                <c:pt idx="217">
                  <c:v>120.041822316713</c:v>
                </c:pt>
                <c:pt idx="218">
                  <c:v>120.0453239012954</c:v>
                </c:pt>
                <c:pt idx="219">
                  <c:v>120.0489075014619</c:v>
                </c:pt>
                <c:pt idx="220">
                  <c:v>120.0525750485089</c:v>
                </c:pt>
                <c:pt idx="221">
                  <c:v>120.0563285196699</c:v>
                </c:pt>
                <c:pt idx="222">
                  <c:v>120.060169939228</c:v>
                </c:pt>
                <c:pt idx="223">
                  <c:v>120.0641013796554</c:v>
                </c:pt>
                <c:pt idx="224">
                  <c:v>120.0681249627822</c:v>
                </c:pt>
                <c:pt idx="225">
                  <c:v>120.0722428609939</c:v>
                </c:pt>
                <c:pt idx="226">
                  <c:v>120.0764572984586</c:v>
                </c:pt>
                <c:pt idx="227">
                  <c:v>120.0807705523852</c:v>
                </c:pt>
                <c:pt idx="228">
                  <c:v>120.0851849543129</c:v>
                </c:pt>
                <c:pt idx="229">
                  <c:v>120.0897028914331</c:v>
                </c:pt>
                <c:pt idx="230">
                  <c:v>120.0943268079444</c:v>
                </c:pt>
                <c:pt idx="231">
                  <c:v>120.099059206441</c:v>
                </c:pt>
                <c:pt idx="232">
                  <c:v>120.1039026493369</c:v>
                </c:pt>
                <c:pt idx="233">
                  <c:v>120.108859760325</c:v>
                </c:pt>
                <c:pt idx="234">
                  <c:v>120.113933225873</c:v>
                </c:pt>
                <c:pt idx="235">
                  <c:v>120.1191257967575</c:v>
                </c:pt>
                <c:pt idx="236">
                  <c:v>120.1244402896356</c:v>
                </c:pt>
                <c:pt idx="237">
                  <c:v>120.1298795886568</c:v>
                </c:pt>
                <c:pt idx="238">
                  <c:v>120.1354466471152</c:v>
                </c:pt>
                <c:pt idx="239">
                  <c:v>120.1411444891431</c:v>
                </c:pt>
                <c:pt idx="240">
                  <c:v>120.1469762114476</c:v>
                </c:pt>
                <c:pt idx="241">
                  <c:v>120.1529449850901</c:v>
                </c:pt>
                <c:pt idx="242">
                  <c:v>120.1590540573121</c:v>
                </c:pt>
                <c:pt idx="243">
                  <c:v>120.1653067534049</c:v>
                </c:pt>
                <c:pt idx="244">
                  <c:v>120.1717064786283</c:v>
                </c:pt>
                <c:pt idx="245">
                  <c:v>120.178256720176</c:v>
                </c:pt>
                <c:pt idx="246">
                  <c:v>120.1849610491919</c:v>
                </c:pt>
                <c:pt idx="247">
                  <c:v>120.1918231228356</c:v>
                </c:pt>
                <c:pt idx="248">
                  <c:v>120.1988466864009</c:v>
                </c:pt>
                <c:pt idx="249">
                  <c:v>120.2060355754872</c:v>
                </c:pt>
                <c:pt idx="250">
                  <c:v>120.2133937182249</c:v>
                </c:pt>
                <c:pt idx="251">
                  <c:v>120.2209251375573</c:v>
                </c:pt>
                <c:pt idx="252">
                  <c:v>120.2286339535791</c:v>
                </c:pt>
                <c:pt idx="253">
                  <c:v>120.2365243859335</c:v>
                </c:pt>
                <c:pt idx="254">
                  <c:v>120.2446007562693</c:v>
                </c:pt>
                <c:pt idx="255">
                  <c:v>120.2528674907585</c:v>
                </c:pt>
                <c:pt idx="256">
                  <c:v>120.2613291226778</c:v>
                </c:pt>
                <c:pt idx="257">
                  <c:v>120.2699902950527</c:v>
                </c:pt>
                <c:pt idx="258">
                  <c:v>120.2788557633676</c:v>
                </c:pt>
                <c:pt idx="259">
                  <c:v>120.2879303983432</c:v>
                </c:pt>
                <c:pt idx="260">
                  <c:v>120.2972191887811</c:v>
                </c:pt>
                <c:pt idx="261">
                  <c:v>120.3067272444789</c:v>
                </c:pt>
                <c:pt idx="262">
                  <c:v>120.3164597992163</c:v>
                </c:pt>
                <c:pt idx="263">
                  <c:v>120.3264222138131</c:v>
                </c:pt>
                <c:pt idx="264">
                  <c:v>120.3366199792615</c:v>
                </c:pt>
                <c:pt idx="265">
                  <c:v>120.3470587199339</c:v>
                </c:pt>
                <c:pt idx="266">
                  <c:v>120.3577441968667</c:v>
                </c:pt>
                <c:pt idx="267">
                  <c:v>120.3686823111223</c:v>
                </c:pt>
                <c:pt idx="268">
                  <c:v>120.3798791072299</c:v>
                </c:pt>
                <c:pt idx="269">
                  <c:v>120.3913407767073</c:v>
                </c:pt>
                <c:pt idx="270">
                  <c:v>120.4030736616631</c:v>
                </c:pt>
                <c:pt idx="271">
                  <c:v>120.4150842584826</c:v>
                </c:pt>
                <c:pt idx="272">
                  <c:v>120.4273792215962</c:v>
                </c:pt>
                <c:pt idx="273">
                  <c:v>120.4399653673322</c:v>
                </c:pt>
                <c:pt idx="274">
                  <c:v>120.4528496778554</c:v>
                </c:pt>
                <c:pt idx="275">
                  <c:v>120.4660393051903</c:v>
                </c:pt>
                <c:pt idx="276">
                  <c:v>120.4795415753312</c:v>
                </c:pt>
                <c:pt idx="277">
                  <c:v>120.4933639924376</c:v>
                </c:pt>
                <c:pt idx="278">
                  <c:v>120.5075142431171</c:v>
                </c:pt>
                <c:pt idx="279">
                  <c:v>120.522000200793</c:v>
                </c:pt>
                <c:pt idx="280">
                  <c:v>120.5368299301581</c:v>
                </c:pt>
                <c:pt idx="281">
                  <c:v>120.5520116917136</c:v>
                </c:pt>
                <c:pt idx="282">
                  <c:v>120.5675539463907</c:v>
                </c:pt>
                <c:pt idx="283">
                  <c:v>120.5834653602544</c:v>
                </c:pt>
                <c:pt idx="284">
                  <c:v>120.5997548092875</c:v>
                </c:pt>
                <c:pt idx="285">
                  <c:v>120.6164313842519</c:v>
                </c:pt>
                <c:pt idx="286">
                  <c:v>120.6335043956237</c:v>
                </c:pt>
                <c:pt idx="287">
                  <c:v>120.6509833786</c:v>
                </c:pt>
                <c:pt idx="288">
                  <c:v>120.6688780981705</c:v>
                </c:pt>
                <c:pt idx="289">
                  <c:v>120.6871985542511</c:v>
                </c:pt>
                <c:pt idx="290">
                  <c:v>120.7059549868722</c:v>
                </c:pt>
                <c:pt idx="291">
                  <c:v>120.7251578814141</c:v>
                </c:pt>
                <c:pt idx="292">
                  <c:v>120.7448179738831</c:v>
                </c:pt>
                <c:pt idx="293">
                  <c:v>120.7649462562163</c:v>
                </c:pt>
                <c:pt idx="294">
                  <c:v>120.7855539816076</c:v>
                </c:pt>
                <c:pt idx="295">
                  <c:v>120.8066526698391</c:v>
                </c:pt>
                <c:pt idx="296">
                  <c:v>120.8282541126064</c:v>
                </c:pt>
                <c:pt idx="297">
                  <c:v>120.8503703788211</c:v>
                </c:pt>
                <c:pt idx="298">
                  <c:v>120.8730138198718</c:v>
                </c:pt>
                <c:pt idx="299">
                  <c:v>120.8961970748242</c:v>
                </c:pt>
                <c:pt idx="300">
                  <c:v>120.919933075537</c:v>
                </c:pt>
                <c:pt idx="301">
                  <c:v>120.9442350516669</c:v>
                </c:pt>
                <c:pt idx="302">
                  <c:v>120.9691165355348</c:v>
                </c:pt>
                <c:pt idx="303">
                  <c:v>120.9945913668192</c:v>
                </c:pt>
                <c:pt idx="304">
                  <c:v>121.0206736970405</c:v>
                </c:pt>
                <c:pt idx="305">
                  <c:v>121.0473779937952</c:v>
                </c:pt>
                <c:pt idx="306">
                  <c:v>121.0747190446923</c:v>
                </c:pt>
                <c:pt idx="307">
                  <c:v>121.1027119609418</c:v>
                </c:pt>
                <c:pt idx="308">
                  <c:v>121.1313721805357</c:v>
                </c:pt>
                <c:pt idx="309">
                  <c:v>121.1607154709571</c:v>
                </c:pt>
                <c:pt idx="310">
                  <c:v>121.1907579313443</c:v>
                </c:pt>
                <c:pt idx="311">
                  <c:v>121.2215159940295</c:v>
                </c:pt>
                <c:pt idx="312">
                  <c:v>121.25300642536</c:v>
                </c:pt>
                <c:pt idx="313">
                  <c:v>121.2852463257013</c:v>
                </c:pt>
                <c:pt idx="314">
                  <c:v>121.3182531285082</c:v>
                </c:pt>
                <c:pt idx="315">
                  <c:v>121.3520445983388</c:v>
                </c:pt>
                <c:pt idx="316">
                  <c:v>121.3866388276678</c:v>
                </c:pt>
                <c:pt idx="317">
                  <c:v>121.4220542323436</c:v>
                </c:pt>
                <c:pt idx="318">
                  <c:v>121.4583095455137</c:v>
                </c:pt>
                <c:pt idx="319">
                  <c:v>121.4954238098193</c:v>
                </c:pt>
                <c:pt idx="320">
                  <c:v>121.5334163676449</c:v>
                </c:pt>
                <c:pt idx="321">
                  <c:v>121.5723068491748</c:v>
                </c:pt>
                <c:pt idx="322">
                  <c:v>121.6121151579869</c:v>
                </c:pt>
                <c:pt idx="323">
                  <c:v>121.6528614538803</c:v>
                </c:pt>
                <c:pt idx="324">
                  <c:v>121.6945661325971</c:v>
                </c:pt>
                <c:pt idx="325">
                  <c:v>121.7372498020632</c:v>
                </c:pt>
                <c:pt idx="326">
                  <c:v>121.7809332547265</c:v>
                </c:pt>
                <c:pt idx="327">
                  <c:v>121.8256374355249</c:v>
                </c:pt>
                <c:pt idx="328">
                  <c:v>121.8713834049616</c:v>
                </c:pt>
                <c:pt idx="329">
                  <c:v>121.9181922967074</c:v>
                </c:pt>
                <c:pt idx="330">
                  <c:v>121.9660852690802</c:v>
                </c:pt>
                <c:pt idx="331">
                  <c:v>122.015083449683</c:v>
                </c:pt>
                <c:pt idx="332">
                  <c:v>122.0652078723957</c:v>
                </c:pt>
                <c:pt idx="333">
                  <c:v>122.1164794058283</c:v>
                </c:pt>
                <c:pt idx="334">
                  <c:v>122.1689186722408</c:v>
                </c:pt>
                <c:pt idx="335">
                  <c:v>122.222545955827</c:v>
                </c:pt>
                <c:pt idx="336">
                  <c:v>122.2773810991321</c:v>
                </c:pt>
                <c:pt idx="337">
                  <c:v>122.3334433862451</c:v>
                </c:pt>
                <c:pt idx="338">
                  <c:v>122.3907514112512</c:v>
                </c:pt>
                <c:pt idx="339">
                  <c:v>122.449322930273</c:v>
                </c:pt>
                <c:pt idx="340">
                  <c:v>122.5091746952443</c:v>
                </c:pt>
                <c:pt idx="341">
                  <c:v>122.5703222673705</c:v>
                </c:pt>
                <c:pt idx="342">
                  <c:v>122.6327798080141</c:v>
                </c:pt>
                <c:pt idx="343">
                  <c:v>122.6965598445157</c:v>
                </c:pt>
                <c:pt idx="344">
                  <c:v>122.7616730082162</c:v>
                </c:pt>
                <c:pt idx="345">
                  <c:v>122.8281277416808</c:v>
                </c:pt>
                <c:pt idx="346">
                  <c:v>122.8959299718473</c:v>
                </c:pt>
                <c:pt idx="347">
                  <c:v>122.9650827455315</c:v>
                </c:pt>
                <c:pt idx="348">
                  <c:v>123.03558582342</c:v>
                </c:pt>
                <c:pt idx="349">
                  <c:v>123.1074352283745</c:v>
                </c:pt>
                <c:pt idx="350">
                  <c:v>123.1806227435711</c:v>
                </c:pt>
                <c:pt idx="351">
                  <c:v>123.2551353557042</c:v>
                </c:pt>
                <c:pt idx="352">
                  <c:v>123.3309546382237</c:v>
                </c:pt>
                <c:pt idx="353">
                  <c:v>123.4080560693485</c:v>
                </c:pt>
                <c:pt idx="354">
                  <c:v>123.4864082794456</c:v>
                </c:pt>
                <c:pt idx="355">
                  <c:v>123.5659722222976</c:v>
                </c:pt>
                <c:pt idx="356">
                  <c:v>123.6467002648518</c:v>
                </c:pt>
                <c:pt idx="357">
                  <c:v>123.7285351902794</c:v>
                </c:pt>
                <c:pt idx="358">
                  <c:v>123.8114091096458</c:v>
                </c:pt>
                <c:pt idx="359">
                  <c:v>123.8952422782538</c:v>
                </c:pt>
                <c:pt idx="360">
                  <c:v>123.9799418138627</c:v>
                </c:pt>
                <c:pt idx="361">
                  <c:v>124.0654003155877</c:v>
                </c:pt>
                <c:pt idx="362">
                  <c:v>124.151494384469</c:v>
                </c:pt>
                <c:pt idx="363">
                  <c:v>124.2380830495784</c:v>
                </c:pt>
                <c:pt idx="364">
                  <c:v>124.3250061072424</c:v>
                </c:pt>
                <c:pt idx="365">
                  <c:v>124.4120823856485</c:v>
                </c:pt>
                <c:pt idx="366">
                  <c:v>124.49910795291</c:v>
                </c:pt>
                <c:pt idx="367">
                  <c:v>124.5858542937211</c:v>
                </c:pt>
                <c:pt idx="368">
                  <c:v>124.6720664881666</c:v>
                </c:pt>
                <c:pt idx="369">
                  <c:v>124.7574614360927</c:v>
                </c:pt>
                <c:pt idx="370">
                  <c:v>124.841726181716</c:v>
                </c:pt>
                <c:pt idx="371">
                  <c:v>124.924516405686</c:v>
                </c:pt>
                <c:pt idx="372">
                  <c:v>125.0054551653613</c:v>
                </c:pt>
                <c:pt idx="373">
                  <c:v>125.0841319781035</c:v>
                </c:pt>
                <c:pt idx="374">
                  <c:v>125.1601023561827</c:v>
                </c:pt>
                <c:pt idx="375">
                  <c:v>125.2328879143718</c:v>
                </c:pt>
                <c:pt idx="376">
                  <c:v>125.3019771810765</c:v>
                </c:pt>
                <c:pt idx="377">
                  <c:v>125.3668272491753</c:v>
                </c:pt>
                <c:pt idx="378">
                  <c:v>125.4268664015942</c:v>
                </c:pt>
                <c:pt idx="379">
                  <c:v>125.4814978368023</c:v>
                </c:pt>
                <c:pt idx="380">
                  <c:v>125.5301045986877</c:v>
                </c:pt>
                <c:pt idx="381">
                  <c:v>125.5720557817546</c:v>
                </c:pt>
                <c:pt idx="382">
                  <c:v>125.6067140350442</c:v>
                </c:pt>
                <c:pt idx="383">
                  <c:v>125.6334443265173</c:v>
                </c:pt>
                <c:pt idx="384">
                  <c:v>125.6516238552727</c:v>
                </c:pt>
                <c:pt idx="385">
                  <c:v>125.6606529152843</c:v>
                </c:pt>
                <c:pt idx="386">
                  <c:v>125.6599664267647</c:v>
                </c:pt>
                <c:pt idx="387">
                  <c:v>125.6490457672166</c:v>
                </c:pt>
                <c:pt idx="388">
                  <c:v>125.6274304625895</c:v>
                </c:pt>
                <c:pt idx="389">
                  <c:v>125.5947292490851</c:v>
                </c:pt>
                <c:pt idx="390">
                  <c:v>125.5506299966632</c:v>
                </c:pt>
                <c:pt idx="391">
                  <c:v>125.4949080025731</c:v>
                </c:pt>
                <c:pt idx="392">
                  <c:v>125.4274322200513</c:v>
                </c:pt>
                <c:pt idx="393">
                  <c:v>125.3481690819274</c:v>
                </c:pt>
                <c:pt idx="394">
                  <c:v>125.2571837046724</c:v>
                </c:pt>
                <c:pt idx="395">
                  <c:v>125.15463840455</c:v>
                </c:pt>
                <c:pt idx="396">
                  <c:v>125.0407886102472</c:v>
                </c:pt>
                <c:pt idx="397">
                  <c:v>124.9159764009501</c:v>
                </c:pt>
                <c:pt idx="398">
                  <c:v>124.7806220217687</c:v>
                </c:pt>
                <c:pt idx="399">
                  <c:v>124.6352138192493</c:v>
                </c:pt>
                <c:pt idx="400">
                  <c:v>124.4802970923386</c:v>
                </c:pt>
                <c:pt idx="401">
                  <c:v>124.3164623673469</c:v>
                </c:pt>
                <c:pt idx="402">
                  <c:v>124.1443335823941</c:v>
                </c:pt>
                <c:pt idx="403">
                  <c:v>123.9645566142146</c:v>
                </c:pt>
                <c:pt idx="404">
                  <c:v>123.7777885067941</c:v>
                </c:pt>
                <c:pt idx="405">
                  <c:v>123.5846876764932</c:v>
                </c:pt>
                <c:pt idx="406">
                  <c:v>123.3859052808288</c:v>
                </c:pt>
                <c:pt idx="407">
                  <c:v>123.1820778551564</c:v>
                </c:pt>
                <c:pt idx="408">
                  <c:v>122.9738212483585</c:v>
                </c:pt>
                <c:pt idx="409">
                  <c:v>122.7617258284324</c:v>
                </c:pt>
                <c:pt idx="410">
                  <c:v>122.5463528828456</c:v>
                </c:pt>
                <c:pt idx="411">
                  <c:v>122.328232106438</c:v>
                </c:pt>
                <c:pt idx="412">
                  <c:v>122.1078600501706</c:v>
                </c:pt>
                <c:pt idx="413">
                  <c:v>121.8856993952085</c:v>
                </c:pt>
                <c:pt idx="414">
                  <c:v>121.6621789164655</c:v>
                </c:pt>
                <c:pt idx="415">
                  <c:v>121.4376940056238</c:v>
                </c:pt>
                <c:pt idx="416">
                  <c:v>121.2126076337802</c:v>
                </c:pt>
                <c:pt idx="417">
                  <c:v>120.9872516465448</c:v>
                </c:pt>
                <c:pt idx="418">
                  <c:v>120.7619282982837</c:v>
                </c:pt>
                <c:pt idx="419">
                  <c:v>120.5369119462176</c:v>
                </c:pt>
                <c:pt idx="420">
                  <c:v>120.3124508385427</c:v>
                </c:pt>
                <c:pt idx="421">
                  <c:v>120.0887689431559</c:v>
                </c:pt>
                <c:pt idx="422">
                  <c:v>119.8660677746869</c:v>
                </c:pt>
                <c:pt idx="423">
                  <c:v>119.6445281872317</c:v>
                </c:pt>
                <c:pt idx="424">
                  <c:v>119.4243121084618</c:v>
                </c:pt>
                <c:pt idx="425">
                  <c:v>119.2055641976997</c:v>
                </c:pt>
                <c:pt idx="426">
                  <c:v>118.988413416235</c:v>
                </c:pt>
                <c:pt idx="427">
                  <c:v>118.7729745027254</c:v>
                </c:pt>
                <c:pt idx="428">
                  <c:v>118.5593493501444</c:v>
                </c:pt>
                <c:pt idx="429">
                  <c:v>118.34762828353</c:v>
                </c:pt>
                <c:pt idx="430">
                  <c:v>118.1378912399026</c:v>
                </c:pt>
                <c:pt idx="431">
                  <c:v>117.9302088532626</c:v>
                </c:pt>
                <c:pt idx="432">
                  <c:v>117.7246434486702</c:v>
                </c:pt>
                <c:pt idx="433">
                  <c:v>117.5212499501295</c:v>
                </c:pt>
                <c:pt idx="434">
                  <c:v>117.3200767074344</c:v>
                </c:pt>
                <c:pt idx="435">
                  <c:v>117.1211662473425</c:v>
                </c:pt>
                <c:pt idx="436">
                  <c:v>116.9245559544865</c:v>
                </c:pt>
                <c:pt idx="437">
                  <c:v>116.7302786873425</c:v>
                </c:pt>
                <c:pt idx="438">
                  <c:v>116.5383633344008</c:v>
                </c:pt>
                <c:pt idx="439">
                  <c:v>116.3488353154385</c:v>
                </c:pt>
                <c:pt idx="440">
                  <c:v>116.1617170325108</c:v>
                </c:pt>
                <c:pt idx="441">
                  <c:v>115.9770282749646</c:v>
                </c:pt>
                <c:pt idx="442">
                  <c:v>115.7947865824533</c:v>
                </c:pt>
                <c:pt idx="443">
                  <c:v>115.6150075695993</c:v>
                </c:pt>
                <c:pt idx="444">
                  <c:v>115.4377052156246</c:v>
                </c:pt>
                <c:pt idx="445">
                  <c:v>115.2628921219455</c:v>
                </c:pt>
                <c:pt idx="446">
                  <c:v>115.090579740413</c:v>
                </c:pt>
                <c:pt idx="447">
                  <c:v>114.9207785745799</c:v>
                </c:pt>
                <c:pt idx="448">
                  <c:v>114.75349835608</c:v>
                </c:pt>
                <c:pt idx="449">
                  <c:v>114.5887481979269</c:v>
                </c:pt>
                <c:pt idx="450">
                  <c:v>114.426536726264</c:v>
                </c:pt>
                <c:pt idx="451">
                  <c:v>114.2668721918373</c:v>
                </c:pt>
                <c:pt idx="452">
                  <c:v>114.109762562204</c:v>
                </c:pt>
                <c:pt idx="453">
                  <c:v>113.9552155954374</c:v>
                </c:pt>
                <c:pt idx="454">
                  <c:v>113.8032388958378</c:v>
                </c:pt>
                <c:pt idx="455">
                  <c:v>113.6538399519096</c:v>
                </c:pt>
                <c:pt idx="456">
                  <c:v>113.5070261566078</c:v>
                </c:pt>
                <c:pt idx="457">
                  <c:v>113.3628048095969</c:v>
                </c:pt>
                <c:pt idx="458">
                  <c:v>113.2211831009938</c:v>
                </c:pt>
                <c:pt idx="459">
                  <c:v>113.0821680757804</c:v>
                </c:pt>
                <c:pt idx="460">
                  <c:v>112.9457665777693</c:v>
                </c:pt>
                <c:pt idx="461">
                  <c:v>112.8119851716807</c:v>
                </c:pt>
                <c:pt idx="462">
                  <c:v>112.6808300415385</c:v>
                </c:pt>
                <c:pt idx="463">
                  <c:v>112.5523068632103</c:v>
                </c:pt>
                <c:pt idx="464">
                  <c:v>112.4264206484972</c:v>
                </c:pt>
                <c:pt idx="465">
                  <c:v>112.3031755577207</c:v>
                </c:pt>
                <c:pt idx="466">
                  <c:v>112.1825746772424</c:v>
                </c:pt>
                <c:pt idx="467">
                  <c:v>112.0646197577934</c:v>
                </c:pt>
                <c:pt idx="468">
                  <c:v>111.949310908867</c:v>
                </c:pt>
                <c:pt idx="469">
                  <c:v>111.8366462437409</c:v>
                </c:pt>
                <c:pt idx="470">
                  <c:v>111.7266214689381</c:v>
                </c:pt>
                <c:pt idx="471">
                  <c:v>111.6192294110989</c:v>
                </c:pt>
                <c:pt idx="472">
                  <c:v>111.5144594733243</c:v>
                </c:pt>
                <c:pt idx="473">
                  <c:v>111.4122970120553</c:v>
                </c:pt>
                <c:pt idx="474">
                  <c:v>111.3127226244789</c:v>
                </c:pt>
                <c:pt idx="475">
                  <c:v>111.2157113353063</c:v>
                </c:pt>
                <c:pt idx="476">
                  <c:v>111.1212316705633</c:v>
                </c:pt>
                <c:pt idx="477">
                  <c:v>111.0292446047895</c:v>
                </c:pt>
                <c:pt idx="478">
                  <c:v>110.9397023667981</c:v>
                </c:pt>
                <c:pt idx="479">
                  <c:v>110.8525470879476</c:v>
                </c:pt>
                <c:pt idx="480">
                  <c:v>110.7677092757983</c:v>
                </c:pt>
                <c:pt idx="481">
                  <c:v>110.6851060951596</c:v>
                </c:pt>
                <c:pt idx="482">
                  <c:v>110.6046394380246</c:v>
                </c:pt>
                <c:pt idx="483">
                  <c:v>110.5261937639049</c:v>
                </c:pt>
                <c:pt idx="484">
                  <c:v>110.4496336928566</c:v>
                </c:pt>
                <c:pt idx="485">
                  <c:v>110.3748013353297</c:v>
                </c:pt>
                <c:pt idx="486">
                  <c:v>110.301513346248</c:v>
                </c:pt>
                <c:pt idx="487">
                  <c:v>110.2295576959057</c:v>
                </c:pt>
                <c:pt idx="488">
                  <c:v>110.158690157905</c:v>
                </c:pt>
                <c:pt idx="489">
                  <c:v>110.0886305251177</c:v>
                </c:pt>
                <c:pt idx="490">
                  <c:v>110.0190585792817</c:v>
                </c:pt>
                <c:pt idx="491">
                  <c:v>109.9496098591374</c:v>
                </c:pt>
                <c:pt idx="492">
                  <c:v>109.8798712967898</c:v>
                </c:pt>
                <c:pt idx="493">
                  <c:v>109.8093768229702</c:v>
                </c:pt>
                <c:pt idx="494">
                  <c:v>109.7376030795506</c:v>
                </c:pt>
                <c:pt idx="495">
                  <c:v>109.6639654221025</c:v>
                </c:pt>
                <c:pt idx="496">
                  <c:v>109.5878144458133</c:v>
                </c:pt>
                <c:pt idx="497">
                  <c:v>109.5084333229625</c:v>
                </c:pt>
                <c:pt idx="498">
                  <c:v>109.4250362962167</c:v>
                </c:pt>
                <c:pt idx="499">
                  <c:v>109.3367687241869</c:v>
                </c:pt>
                <c:pt idx="500">
                  <c:v>109.2427091167464</c:v>
                </c:pt>
                <c:pt idx="501">
                  <c:v>109.1418736180329</c:v>
                </c:pt>
                <c:pt idx="502">
                  <c:v>109.0332233833543</c:v>
                </c:pt>
                <c:pt idx="503">
                  <c:v>108.9156752398555</c:v>
                </c:pt>
                <c:pt idx="504">
                  <c:v>108.7881159079247</c:v>
                </c:pt>
                <c:pt idx="505">
                  <c:v>108.6494198823126</c:v>
                </c:pt>
                <c:pt idx="506">
                  <c:v>108.4984708267732</c:v>
                </c:pt>
                <c:pt idx="507">
                  <c:v>108.3341860317056</c:v>
                </c:pt>
                <c:pt idx="508">
                  <c:v>108.1555431416762</c:v>
                </c:pt>
                <c:pt idx="509">
                  <c:v>107.9616080135505</c:v>
                </c:pt>
                <c:pt idx="510">
                  <c:v>107.7515622627246</c:v>
                </c:pt>
                <c:pt idx="511">
                  <c:v>107.5247288469212</c:v>
                </c:pt>
                <c:pt idx="512">
                  <c:v>107.2805939729309</c:v>
                </c:pt>
                <c:pt idx="513">
                  <c:v>107.0188237253932</c:v>
                </c:pt>
                <c:pt idx="514">
                  <c:v>106.7392741168892</c:v>
                </c:pt>
                <c:pt idx="515">
                  <c:v>106.4419937227905</c:v>
                </c:pt>
                <c:pt idx="516">
                  <c:v>106.1272186399321</c:v>
                </c:pt>
                <c:pt idx="517">
                  <c:v>105.7953601215204</c:v>
                </c:pt>
                <c:pt idx="518">
                  <c:v>105.4469858116486</c:v>
                </c:pt>
                <c:pt idx="519">
                  <c:v>105.082795962016</c:v>
                </c:pt>
                <c:pt idx="520">
                  <c:v>104.7035963170003</c:v>
                </c:pt>
                <c:pt idx="521">
                  <c:v>104.3102694916664</c:v>
                </c:pt>
                <c:pt idx="522">
                  <c:v>103.9037466678739</c:v>
                </c:pt>
                <c:pt idx="523">
                  <c:v>103.4849813577603</c:v>
                </c:pt>
                <c:pt idx="524">
                  <c:v>103.0549269236191</c:v>
                </c:pt>
                <c:pt idx="525">
                  <c:v>102.6145196229687</c:v>
                </c:pt>
                <c:pt idx="526">
                  <c:v>102.1646693371915</c:v>
                </c:pt>
                <c:pt idx="527">
                  <c:v>101.7062610887676</c:v>
                </c:pt>
                <c:pt idx="528">
                  <c:v>101.2401723401454</c:v>
                </c:pt>
                <c:pt idx="529">
                  <c:v>100.7673145103564</c:v>
                </c:pt>
                <c:pt idx="530">
                  <c:v>100.2887130950775</c:v>
                </c:pt>
                <c:pt idx="531">
                  <c:v>99.80565053539829</c:v>
                </c:pt>
                <c:pt idx="532">
                  <c:v>99.31991069316766</c:v>
                </c:pt>
                <c:pt idx="533">
                  <c:v>98.83418199651518</c:v>
                </c:pt>
                <c:pt idx="534">
                  <c:v>98.35268566855525</c:v>
                </c:pt>
                <c:pt idx="535">
                  <c:v>97.88204999246662</c:v>
                </c:pt>
                <c:pt idx="536">
                  <c:v>97.43222609711617</c:v>
                </c:pt>
                <c:pt idx="537">
                  <c:v>97.01660449533304</c:v>
                </c:pt>
                <c:pt idx="538">
                  <c:v>96.64937756899266</c:v>
                </c:pt>
                <c:pt idx="539">
                  <c:v>96.33786492979938</c:v>
                </c:pt>
                <c:pt idx="540">
                  <c:v>96.07164872230209</c:v>
                </c:pt>
                <c:pt idx="541">
                  <c:v>95.81923625016934</c:v>
                </c:pt>
                <c:pt idx="542">
                  <c:v>95.54206167166183</c:v>
                </c:pt>
                <c:pt idx="543">
                  <c:v>95.21539496182486</c:v>
                </c:pt>
                <c:pt idx="544">
                  <c:v>94.8358877142314</c:v>
                </c:pt>
                <c:pt idx="545">
                  <c:v>94.41396666615702</c:v>
                </c:pt>
                <c:pt idx="546">
                  <c:v>93.96353123797282</c:v>
                </c:pt>
                <c:pt idx="547">
                  <c:v>93.49631777423855</c:v>
                </c:pt>
                <c:pt idx="548">
                  <c:v>93.02052937555882</c:v>
                </c:pt>
                <c:pt idx="549">
                  <c:v>92.54135175525852</c:v>
                </c:pt>
                <c:pt idx="550">
                  <c:v>92.06186473854913</c:v>
                </c:pt>
                <c:pt idx="551">
                  <c:v>91.58380839577043</c:v>
                </c:pt>
                <c:pt idx="552">
                  <c:v>91.10811058156534</c:v>
                </c:pt>
                <c:pt idx="553">
                  <c:v>90.6352205084616</c:v>
                </c:pt>
                <c:pt idx="554">
                  <c:v>90.1653112041223</c:v>
                </c:pt>
                <c:pt idx="555">
                  <c:v>89.69839987886044</c:v>
                </c:pt>
                <c:pt idx="556">
                  <c:v>89.23441868206322</c:v>
                </c:pt>
                <c:pt idx="557">
                  <c:v>88.77325595597878</c:v>
                </c:pt>
                <c:pt idx="558">
                  <c:v>88.31478006362063</c:v>
                </c:pt>
                <c:pt idx="559">
                  <c:v>87.85885295104188</c:v>
                </c:pt>
                <c:pt idx="560">
                  <c:v>87.4053376720818</c:v>
                </c:pt>
                <c:pt idx="561">
                  <c:v>86.9541023729255</c:v>
                </c:pt>
                <c:pt idx="562">
                  <c:v>86.50502221442551</c:v>
                </c:pt>
                <c:pt idx="563">
                  <c:v>86.05798010852223</c:v>
                </c:pt>
                <c:pt idx="564">
                  <c:v>85.61286678865056</c:v>
                </c:pt>
                <c:pt idx="565">
                  <c:v>85.16958052188696</c:v>
                </c:pt>
                <c:pt idx="566">
                  <c:v>84.72802664384878</c:v>
                </c:pt>
                <c:pt idx="567">
                  <c:v>84.28811702143518</c:v>
                </c:pt>
                <c:pt idx="568">
                  <c:v>83.8497695029976</c:v>
                </c:pt>
                <c:pt idx="569">
                  <c:v>83.41290738832947</c:v>
                </c:pt>
                <c:pt idx="570">
                  <c:v>82.97745893472195</c:v>
                </c:pt>
                <c:pt idx="571">
                  <c:v>82.54335690588077</c:v>
                </c:pt>
                <c:pt idx="572">
                  <c:v>82.11053816509725</c:v>
                </c:pt>
                <c:pt idx="573">
                  <c:v>81.67894331110652</c:v>
                </c:pt>
                <c:pt idx="574">
                  <c:v>81.24851635356777</c:v>
                </c:pt>
                <c:pt idx="575">
                  <c:v>80.81920442446486</c:v>
                </c:pt>
                <c:pt idx="576">
                  <c:v>80.39095752158499</c:v>
                </c:pt>
                <c:pt idx="577">
                  <c:v>79.96372828036667</c:v>
                </c:pt>
                <c:pt idx="578">
                  <c:v>79.53747177068006</c:v>
                </c:pt>
                <c:pt idx="579">
                  <c:v>79.11214531543661</c:v>
                </c:pt>
                <c:pt idx="580">
                  <c:v>78.68770832827009</c:v>
                </c:pt>
                <c:pt idx="581">
                  <c:v>78.26412216786663</c:v>
                </c:pt>
                <c:pt idx="582">
                  <c:v>77.84135000683068</c:v>
                </c:pt>
                <c:pt idx="583">
                  <c:v>77.41935671325388</c:v>
                </c:pt>
                <c:pt idx="584">
                  <c:v>76.99810874340028</c:v>
                </c:pt>
                <c:pt idx="585">
                  <c:v>76.57757404413914</c:v>
                </c:pt>
                <c:pt idx="586">
                  <c:v>76.15772196394363</c:v>
                </c:pt>
                <c:pt idx="587">
                  <c:v>75.73852317143673</c:v>
                </c:pt>
                <c:pt idx="588">
                  <c:v>75.3199495806051</c:v>
                </c:pt>
                <c:pt idx="589">
                  <c:v>74.90197428192167</c:v>
                </c:pt>
                <c:pt idx="590">
                  <c:v>74.48457147871976</c:v>
                </c:pt>
                <c:pt idx="591">
                  <c:v>74.06771642825031</c:v>
                </c:pt>
                <c:pt idx="592">
                  <c:v>73.65138538692803</c:v>
                </c:pt>
                <c:pt idx="593">
                  <c:v>73.235555559337</c:v>
                </c:pt>
                <c:pt idx="594">
                  <c:v>72.82020505062162</c:v>
                </c:pt>
                <c:pt idx="595">
                  <c:v>72.40531282193534</c:v>
                </c:pt>
                <c:pt idx="596">
                  <c:v>71.99085864866069</c:v>
                </c:pt>
                <c:pt idx="597">
                  <c:v>71.57682308114894</c:v>
                </c:pt>
                <c:pt idx="598">
                  <c:v>71.16318740775722</c:v>
                </c:pt>
                <c:pt idx="599">
                  <c:v>70.74993361998754</c:v>
                </c:pt>
                <c:pt idx="600">
                  <c:v>70.33704437955365</c:v>
                </c:pt>
                <c:pt idx="601">
                  <c:v>69.92450298722187</c:v>
                </c:pt>
                <c:pt idx="602">
                  <c:v>69.51229335328799</c:v>
                </c:pt>
                <c:pt idx="603">
                  <c:v>69.10039996956768</c:v>
                </c:pt>
                <c:pt idx="604">
                  <c:v>68.68880788278986</c:v>
                </c:pt>
                <c:pt idx="605">
                  <c:v>68.27750266929397</c:v>
                </c:pt>
                <c:pt idx="606">
                  <c:v>67.86647041094187</c:v>
                </c:pt>
                <c:pt idx="607">
                  <c:v>67.45569767216332</c:v>
                </c:pt>
                <c:pt idx="608">
                  <c:v>67.04517147806152</c:v>
                </c:pt>
                <c:pt idx="609">
                  <c:v>66.63487929351191</c:v>
                </c:pt>
                <c:pt idx="610">
                  <c:v>66.22480900319358</c:v>
                </c:pt>
                <c:pt idx="611">
                  <c:v>65.81494889249686</c:v>
                </c:pt>
                <c:pt idx="612">
                  <c:v>65.40528762925626</c:v>
                </c:pt>
                <c:pt idx="613">
                  <c:v>64.99581424626166</c:v>
                </c:pt>
                <c:pt idx="614">
                  <c:v>64.58651812450385</c:v>
                </c:pt>
                <c:pt idx="615">
                  <c:v>64.17738897711473</c:v>
                </c:pt>
                <c:pt idx="616">
                  <c:v>63.76841683396428</c:v>
                </c:pt>
                <c:pt idx="617">
                  <c:v>63.35959202688031</c:v>
                </c:pt>
                <c:pt idx="618">
                  <c:v>62.9509051754581</c:v>
                </c:pt>
                <c:pt idx="619">
                  <c:v>62.54234717343017</c:v>
                </c:pt>
                <c:pt idx="620">
                  <c:v>62.13390917556804</c:v>
                </c:pt>
                <c:pt idx="621">
                  <c:v>61.72558258508928</c:v>
                </c:pt>
                <c:pt idx="622">
                  <c:v>61.31735904154552</c:v>
                </c:pt>
                <c:pt idx="623">
                  <c:v>60.90923040916767</c:v>
                </c:pt>
                <c:pt idx="624">
                  <c:v>60.50118876564697</c:v>
                </c:pt>
                <c:pt idx="625">
                  <c:v>60.09322639133049</c:v>
                </c:pt>
                <c:pt idx="626">
                  <c:v>59.68533575881231</c:v>
                </c:pt>
                <c:pt idx="627">
                  <c:v>59.27750952290125</c:v>
                </c:pt>
                <c:pt idx="628">
                  <c:v>58.86974051094805</c:v>
                </c:pt>
                <c:pt idx="629">
                  <c:v>58.46202171351528</c:v>
                </c:pt>
                <c:pt idx="630">
                  <c:v>58.05434627537409</c:v>
                </c:pt>
                <c:pt idx="631">
                  <c:v>57.64670748681315</c:v>
                </c:pt>
                <c:pt idx="632">
                  <c:v>57.23909877524515</c:v>
                </c:pt>
                <c:pt idx="633">
                  <c:v>56.83151369709762</c:v>
                </c:pt>
                <c:pt idx="634">
                  <c:v>56.42394592997501</c:v>
                </c:pt>
                <c:pt idx="635">
                  <c:v>56.01638926507967</c:v>
                </c:pt>
                <c:pt idx="636">
                  <c:v>55.60883759987998</c:v>
                </c:pt>
                <c:pt idx="637">
                  <c:v>55.20128493101457</c:v>
                </c:pt>
                <c:pt idx="638">
                  <c:v>54.79372534742168</c:v>
                </c:pt>
                <c:pt idx="639">
                  <c:v>54.38615302368335</c:v>
                </c:pt>
                <c:pt idx="640">
                  <c:v>53.97856221357499</c:v>
                </c:pt>
                <c:pt idx="641">
                  <c:v>53.57094724381044</c:v>
                </c:pt>
                <c:pt idx="642">
                  <c:v>53.1633025079739</c:v>
                </c:pt>
                <c:pt idx="643">
                  <c:v>52.75562246062987</c:v>
                </c:pt>
                <c:pt idx="644">
                  <c:v>52.34790161160299</c:v>
                </c:pt>
                <c:pt idx="645">
                  <c:v>51.9401345204197</c:v>
                </c:pt>
                <c:pt idx="646">
                  <c:v>51.53231579090423</c:v>
                </c:pt>
                <c:pt idx="647">
                  <c:v>51.12444006592164</c:v>
                </c:pt>
                <c:pt idx="648">
                  <c:v>50.7165020222608</c:v>
                </c:pt>
                <c:pt idx="649">
                  <c:v>50.30849636565057</c:v>
                </c:pt>
                <c:pt idx="650">
                  <c:v>49.90041782590298</c:v>
                </c:pt>
                <c:pt idx="651">
                  <c:v>49.49226115217697</c:v>
                </c:pt>
                <c:pt idx="652">
                  <c:v>49.08402110835666</c:v>
                </c:pt>
                <c:pt idx="653">
                  <c:v>48.67569246853879</c:v>
                </c:pt>
                <c:pt idx="654">
                  <c:v>48.26727001262356</c:v>
                </c:pt>
                <c:pt idx="655">
                  <c:v>47.85874852200351</c:v>
                </c:pt>
                <c:pt idx="656">
                  <c:v>47.45012277534573</c:v>
                </c:pt>
                <c:pt idx="657">
                  <c:v>47.0413875444622</c:v>
                </c:pt>
                <c:pt idx="658">
                  <c:v>46.6325375902636</c:v>
                </c:pt>
                <c:pt idx="659">
                  <c:v>46.22356765879231</c:v>
                </c:pt>
                <c:pt idx="660">
                  <c:v>45.81447247732999</c:v>
                </c:pt>
                <c:pt idx="661">
                  <c:v>45.40524675057586</c:v>
                </c:pt>
                <c:pt idx="662">
                  <c:v>44.99588515689126</c:v>
                </c:pt>
                <c:pt idx="663">
                  <c:v>44.58638234460722</c:v>
                </c:pt>
                <c:pt idx="664">
                  <c:v>44.1767329283907</c:v>
                </c:pt>
                <c:pt idx="665">
                  <c:v>43.7669314856665</c:v>
                </c:pt>
                <c:pt idx="666">
                  <c:v>43.35697255309098</c:v>
                </c:pt>
                <c:pt idx="667">
                  <c:v>42.94685062307462</c:v>
                </c:pt>
                <c:pt idx="668">
                  <c:v>42.53656014034995</c:v>
                </c:pt>
                <c:pt idx="669">
                  <c:v>42.12609549858211</c:v>
                </c:pt>
                <c:pt idx="670">
                  <c:v>41.71545103701882</c:v>
                </c:pt>
                <c:pt idx="671">
                  <c:v>41.30462103717712</c:v>
                </c:pt>
                <c:pt idx="672">
                  <c:v>40.89359971956416</c:v>
                </c:pt>
                <c:pt idx="673">
                  <c:v>40.48238124042913</c:v>
                </c:pt>
                <c:pt idx="674">
                  <c:v>40.07095968854432</c:v>
                </c:pt>
                <c:pt idx="675">
                  <c:v>39.65932908201233</c:v>
                </c:pt>
                <c:pt idx="676">
                  <c:v>39.24748336509753</c:v>
                </c:pt>
                <c:pt idx="677">
                  <c:v>38.83541640507919</c:v>
                </c:pt>
                <c:pt idx="678">
                  <c:v>38.42312198912423</c:v>
                </c:pt>
                <c:pt idx="679">
                  <c:v>38.01059382117752</c:v>
                </c:pt>
                <c:pt idx="680">
                  <c:v>37.59782551886761</c:v>
                </c:pt>
                <c:pt idx="681">
                  <c:v>37.1848106104258</c:v>
                </c:pt>
                <c:pt idx="682">
                  <c:v>36.77154253161699</c:v>
                </c:pt>
                <c:pt idx="683">
                  <c:v>36.35801462268003</c:v>
                </c:pt>
                <c:pt idx="684">
                  <c:v>35.94422012527606</c:v>
                </c:pt>
                <c:pt idx="685">
                  <c:v>35.53015217944289</c:v>
                </c:pt>
                <c:pt idx="686">
                  <c:v>35.11580382055385</c:v>
                </c:pt>
                <c:pt idx="687">
                  <c:v>34.70116797627934</c:v>
                </c:pt>
                <c:pt idx="688">
                  <c:v>34.28623746354943</c:v>
                </c:pt>
                <c:pt idx="689">
                  <c:v>33.87100498551596</c:v>
                </c:pt>
                <c:pt idx="690">
                  <c:v>33.45546312851249</c:v>
                </c:pt>
                <c:pt idx="691">
                  <c:v>33.03960435901055</c:v>
                </c:pt>
                <c:pt idx="692">
                  <c:v>32.62342102057054</c:v>
                </c:pt>
                <c:pt idx="693">
                  <c:v>32.20690533078604</c:v>
                </c:pt>
                <c:pt idx="694">
                  <c:v>31.7900493782194</c:v>
                </c:pt>
                <c:pt idx="695">
                  <c:v>31.37284511932774</c:v>
                </c:pt>
                <c:pt idx="696">
                  <c:v>30.95528437537728</c:v>
                </c:pt>
                <c:pt idx="697">
                  <c:v>30.5373588293446</c:v>
                </c:pt>
                <c:pt idx="698">
                  <c:v>30.11906002280331</c:v>
                </c:pt>
                <c:pt idx="699">
                  <c:v>29.70037935279441</c:v>
                </c:pt>
                <c:pt idx="700">
                  <c:v>29.28130806867862</c:v>
                </c:pt>
                <c:pt idx="701">
                  <c:v>28.86183726896907</c:v>
                </c:pt>
                <c:pt idx="702">
                  <c:v>28.44195789814256</c:v>
                </c:pt>
                <c:pt idx="703">
                  <c:v>28.0216607434276</c:v>
                </c:pt>
                <c:pt idx="704">
                  <c:v>27.60093643156713</c:v>
                </c:pt>
                <c:pt idx="705">
                  <c:v>27.17977542555431</c:v>
                </c:pt>
                <c:pt idx="706">
                  <c:v>26.75816802133908</c:v>
                </c:pt>
                <c:pt idx="707">
                  <c:v>26.33610434450327</c:v>
                </c:pt>
                <c:pt idx="708">
                  <c:v>25.91357434690218</c:v>
                </c:pt>
                <c:pt idx="709">
                  <c:v>25.4905678032704</c:v>
                </c:pt>
                <c:pt idx="710">
                  <c:v>25.06707430778878</c:v>
                </c:pt>
                <c:pt idx="711">
                  <c:v>24.64308327061054</c:v>
                </c:pt>
                <c:pt idx="712">
                  <c:v>24.21858391434348</c:v>
                </c:pt>
                <c:pt idx="713">
                  <c:v>23.79356527048507</c:v>
                </c:pt>
                <c:pt idx="714">
                  <c:v>23.36801617580782</c:v>
                </c:pt>
                <c:pt idx="715">
                  <c:v>22.94192526869108</c:v>
                </c:pt>
                <c:pt idx="716">
                  <c:v>22.51528098539595</c:v>
                </c:pt>
                <c:pt idx="717">
                  <c:v>22.08807155627972</c:v>
                </c:pt>
                <c:pt idx="718">
                  <c:v>21.66028500194533</c:v>
                </c:pt>
                <c:pt idx="719">
                  <c:v>21.23190912932214</c:v>
                </c:pt>
                <c:pt idx="720">
                  <c:v>20.80293152767315</c:v>
                </c:pt>
                <c:pt idx="721">
                  <c:v>20.37333956452389</c:v>
                </c:pt>
                <c:pt idx="722">
                  <c:v>19.94312038150795</c:v>
                </c:pt>
                <c:pt idx="723">
                  <c:v>19.51226089012355</c:v>
                </c:pt>
                <c:pt idx="724">
                  <c:v>19.08074776739552</c:v>
                </c:pt>
                <c:pt idx="725">
                  <c:v>18.6485674514362</c:v>
                </c:pt>
                <c:pt idx="726">
                  <c:v>18.21570613689906</c:v>
                </c:pt>
                <c:pt idx="727">
                  <c:v>17.78214977031772</c:v>
                </c:pt>
                <c:pt idx="728">
                  <c:v>17.34788404532312</c:v>
                </c:pt>
                <c:pt idx="729">
                  <c:v>16.91289439773074</c:v>
                </c:pt>
                <c:pt idx="730">
                  <c:v>16.47716600048982</c:v>
                </c:pt>
                <c:pt idx="731">
                  <c:v>16.04068375848516</c:v>
                </c:pt>
                <c:pt idx="732">
                  <c:v>15.60343230318241</c:v>
                </c:pt>
                <c:pt idx="733">
                  <c:v>15.16539598710669</c:v>
                </c:pt>
                <c:pt idx="734">
                  <c:v>14.72655887814375</c:v>
                </c:pt>
                <c:pt idx="735">
                  <c:v>14.28690475365246</c:v>
                </c:pt>
                <c:pt idx="736">
                  <c:v>13.84641709437663</c:v>
                </c:pt>
                <c:pt idx="737">
                  <c:v>13.40507907814345</c:v>
                </c:pt>
                <c:pt idx="738">
                  <c:v>12.96287357333491</c:v>
                </c:pt>
                <c:pt idx="739">
                  <c:v>12.51978313211825</c:v>
                </c:pt>
                <c:pt idx="740">
                  <c:v>12.07578998341996</c:v>
                </c:pt>
                <c:pt idx="741">
                  <c:v>11.63087602562788</c:v>
                </c:pt>
                <c:pt idx="742">
                  <c:v>11.18502281900375</c:v>
                </c:pt>
                <c:pt idx="743">
                  <c:v>10.73821157778918</c:v>
                </c:pt>
                <c:pt idx="744">
                  <c:v>10.29042316198539</c:v>
                </c:pt>
                <c:pt idx="745">
                  <c:v>9.841638068787358</c:v>
                </c:pt>
                <c:pt idx="746">
                  <c:v>9.39183642365091</c:v>
                </c:pt>
                <c:pt idx="747">
                  <c:v>8.940997970970479</c:v>
                </c:pt>
                <c:pt idx="748">
                  <c:v>8.489102064344365</c:v>
                </c:pt>
                <c:pt idx="749">
                  <c:v>8.036127656402039</c:v>
                </c:pt>
                <c:pt idx="750">
                  <c:v>7.582053288167854</c:v>
                </c:pt>
                <c:pt idx="751">
                  <c:v>7.12685707793304</c:v>
                </c:pt>
                <c:pt idx="752">
                  <c:v>6.670516709606998</c:v>
                </c:pt>
                <c:pt idx="753">
                  <c:v>6.213009420516906</c:v>
                </c:pt>
                <c:pt idx="754">
                  <c:v>5.754311988623041</c:v>
                </c:pt>
                <c:pt idx="755">
                  <c:v>5.294400719115583</c:v>
                </c:pt>
                <c:pt idx="756">
                  <c:v>4.833251430356486</c:v>
                </c:pt>
                <c:pt idx="757">
                  <c:v>4.370839439128195</c:v>
                </c:pt>
                <c:pt idx="758">
                  <c:v>3.907139545148639</c:v>
                </c:pt>
                <c:pt idx="759">
                  <c:v>3.442126014809999</c:v>
                </c:pt>
                <c:pt idx="760">
                  <c:v>2.975772564095964</c:v>
                </c:pt>
                <c:pt idx="761">
                  <c:v>2.508052340630026</c:v>
                </c:pt>
                <c:pt idx="762">
                  <c:v>2.038937904804275</c:v>
                </c:pt>
                <c:pt idx="763">
                  <c:v>1.568401209935683</c:v>
                </c:pt>
                <c:pt idx="764">
                  <c:v>1.096413581393554</c:v>
                </c:pt>
                <c:pt idx="765">
                  <c:v>0.622945694638664</c:v>
                </c:pt>
                <c:pt idx="766">
                  <c:v>0.1479675521111266</c:v>
                </c:pt>
                <c:pt idx="767">
                  <c:v>-0.3285515410996486</c:v>
                </c:pt>
                <c:pt idx="768">
                  <c:v>-0.8066430028734152</c:v>
                </c:pt>
                <c:pt idx="769">
                  <c:v>-1.286339001040858</c:v>
                </c:pt>
                <c:pt idx="770">
                  <c:v>-1.767672481807907</c:v>
                </c:pt>
                <c:pt idx="771">
                  <c:v>-2.250677199706747</c:v>
                </c:pt>
                <c:pt idx="772">
                  <c:v>-2.735387749162889</c:v>
                </c:pt>
                <c:pt idx="773">
                  <c:v>-3.221839597773059</c:v>
                </c:pt>
                <c:pt idx="774">
                  <c:v>-3.710069121394905</c:v>
                </c:pt>
                <c:pt idx="775">
                  <c:v>-4.200113641155829</c:v>
                </c:pt>
                <c:pt idx="776">
                  <c:v>-4.692011462494967</c:v>
                </c:pt>
                <c:pt idx="777">
                  <c:v>-5.185801916360528</c:v>
                </c:pt>
                <c:pt idx="778">
                  <c:v>-5.681525402691502</c:v>
                </c:pt>
                <c:pt idx="779">
                  <c:v>-6.179223436323195</c:v>
                </c:pt>
                <c:pt idx="780">
                  <c:v>-6.678938695463704</c:v>
                </c:pt>
                <c:pt idx="781">
                  <c:v>-7.180715072900067</c:v>
                </c:pt>
                <c:pt idx="782">
                  <c:v>-7.684597730102933</c:v>
                </c:pt>
                <c:pt idx="783">
                  <c:v>-8.190633154411374</c:v>
                </c:pt>
                <c:pt idx="784">
                  <c:v>-8.698869219491669</c:v>
                </c:pt>
                <c:pt idx="785">
                  <c:v>-9.209355249278921</c:v>
                </c:pt>
                <c:pt idx="786">
                  <c:v>-9.72214208562518</c:v>
                </c:pt>
                <c:pt idx="787">
                  <c:v>-10.2372821598946</c:v>
                </c:pt>
                <c:pt idx="788">
                  <c:v>-10.75482956876496</c:v>
                </c:pt>
                <c:pt idx="789">
                  <c:v>-11.27484015451398</c:v>
                </c:pt>
                <c:pt idx="790">
                  <c:v>-11.79737159009156</c:v>
                </c:pt>
                <c:pt idx="791">
                  <c:v>-12.3224834693022</c:v>
                </c:pt>
                <c:pt idx="792">
                  <c:v>-12.85023740244836</c:v>
                </c:pt>
                <c:pt idx="793">
                  <c:v>-13.3806971178137</c:v>
                </c:pt>
                <c:pt idx="794">
                  <c:v>-13.91392856939697</c:v>
                </c:pt>
                <c:pt idx="795">
                  <c:v>-14.45000005134091</c:v>
                </c:pt>
                <c:pt idx="796">
                  <c:v>-14.98898231953885</c:v>
                </c:pt>
                <c:pt idx="797">
                  <c:v>-15.53094872094274</c:v>
                </c:pt>
                <c:pt idx="798">
                  <c:v>-16.07597533114237</c:v>
                </c:pt>
                <c:pt idx="799">
                  <c:v>-16.62414110083503</c:v>
                </c:pt>
                <c:pt idx="800">
                  <c:v>-17.17552801186118</c:v>
                </c:pt>
                <c:pt idx="801">
                  <c:v>-17.73022124354199</c:v>
                </c:pt>
                <c:pt idx="802">
                  <c:v>-18.28830935012272</c:v>
                </c:pt>
                <c:pt idx="803">
                  <c:v>-18.84988445020021</c:v>
                </c:pt>
                <c:pt idx="804">
                  <c:v>-19.41504242909604</c:v>
                </c:pt>
                <c:pt idx="805">
                  <c:v>-19.98388315522771</c:v>
                </c:pt>
                <c:pt idx="806">
                  <c:v>-20.55651071163311</c:v>
                </c:pt>
                <c:pt idx="807">
                  <c:v>-21.13303364391566</c:v>
                </c:pt>
                <c:pt idx="808">
                  <c:v>-21.71356522600395</c:v>
                </c:pt>
                <c:pt idx="809">
                  <c:v>-22.29822374525952</c:v>
                </c:pt>
                <c:pt idx="810">
                  <c:v>-22.88713280862278</c:v>
                </c:pt>
                <c:pt idx="811">
                  <c:v>-23.48042167166151</c:v>
                </c:pt>
                <c:pt idx="812">
                  <c:v>-24.07822559258164</c:v>
                </c:pt>
                <c:pt idx="813">
                  <c:v>-24.68068621347795</c:v>
                </c:pt>
                <c:pt idx="814">
                  <c:v>-25.28795197134725</c:v>
                </c:pt>
                <c:pt idx="815">
                  <c:v>-25.90017854166154</c:v>
                </c:pt>
                <c:pt idx="816">
                  <c:v>-26.51752931760678</c:v>
                </c:pt>
                <c:pt idx="817">
                  <c:v>-27.14017592844053</c:v>
                </c:pt>
                <c:pt idx="818">
                  <c:v>-27.76829880081317</c:v>
                </c:pt>
                <c:pt idx="819">
                  <c:v>-28.40208776733902</c:v>
                </c:pt>
                <c:pt idx="820">
                  <c:v>-29.04174272720233</c:v>
                </c:pt>
                <c:pt idx="821">
                  <c:v>-29.68747436414843</c:v>
                </c:pt>
                <c:pt idx="822">
                  <c:v>-30.33950492784941</c:v>
                </c:pt>
                <c:pt idx="823">
                  <c:v>-30.99806908535924</c:v>
                </c:pt>
                <c:pt idx="824">
                  <c:v>-31.66341485019844</c:v>
                </c:pt>
                <c:pt idx="825">
                  <c:v>-32.33580459754442</c:v>
                </c:pt>
                <c:pt idx="826">
                  <c:v>-33.01551617507234</c:v>
                </c:pt>
                <c:pt idx="827">
                  <c:v>-33.70284412020694</c:v>
                </c:pt>
                <c:pt idx="828">
                  <c:v>-34.39810099593462</c:v>
                </c:pt>
                <c:pt idx="829">
                  <c:v>-35.10161885891001</c:v>
                </c:pt>
                <c:pt idx="830">
                  <c:v>-35.81375087540275</c:v>
                </c:pt>
                <c:pt idx="831">
                  <c:v>-36.53487310270078</c:v>
                </c:pt>
                <c:pt idx="832">
                  <c:v>-37.265386455955</c:v>
                </c:pt>
                <c:pt idx="833">
                  <c:v>-38.00571888315565</c:v>
                </c:pt>
                <c:pt idx="834">
                  <c:v>-38.75632777402325</c:v>
                </c:pt>
                <c:pt idx="835">
                  <c:v>-39.51770263212329</c:v>
                </c:pt>
                <c:pt idx="836">
                  <c:v>-40.29036804352839</c:v>
                </c:pt>
                <c:pt idx="837">
                  <c:v>-41.07488697990513</c:v>
                </c:pt>
                <c:pt idx="838">
                  <c:v>-41.87186447904436</c:v>
                </c:pt>
                <c:pt idx="839">
                  <c:v>-42.68195175161669</c:v>
                </c:pt>
                <c:pt idx="840">
                  <c:v>-43.50585076933187</c:v>
                </c:pt>
                <c:pt idx="841">
                  <c:v>-44.34431939667522</c:v>
                </c:pt>
                <c:pt idx="842">
                  <c:v>-45.19817713587799</c:v>
                </c:pt>
                <c:pt idx="843">
                  <c:v>-46.06831156251492</c:v>
                </c:pt>
                <c:pt idx="844">
                  <c:v>-46.95568553667033</c:v>
                </c:pt>
                <c:pt idx="845">
                  <c:v>-47.86134528120854</c:v>
                </c:pt>
                <c:pt idx="846">
                  <c:v>-48.78642942304099</c:v>
                </c:pt>
                <c:pt idx="847">
                  <c:v>-49.73217909329243</c:v>
                </c:pt>
                <c:pt idx="848">
                  <c:v>-50.69994917453169</c:v>
                </c:pt>
                <c:pt idx="849">
                  <c:v>-51.69122076228363</c:v>
                </c:pt>
                <c:pt idx="850">
                  <c:v>-52.70761486515675</c:v>
                </c:pt>
                <c:pt idx="851">
                  <c:v>-53.75090728918165</c:v>
                </c:pt>
                <c:pt idx="852">
                  <c:v>-54.82304451511002</c:v>
                </c:pt>
                <c:pt idx="853">
                  <c:v>-55.92616014683906</c:v>
                </c:pt>
                <c:pt idx="854">
                  <c:v>-57.06259112749403</c:v>
                </c:pt>
                <c:pt idx="855">
                  <c:v>-58.2348922944566</c:v>
                </c:pt>
                <c:pt idx="856">
                  <c:v>-59.44584682554652</c:v>
                </c:pt>
                <c:pt idx="857">
                  <c:v>-60.69846847076843</c:v>
                </c:pt>
                <c:pt idx="858">
                  <c:v>-61.99598876702976</c:v>
                </c:pt>
                <c:pt idx="859">
                  <c:v>-63.34181804137963</c:v>
                </c:pt>
                <c:pt idx="860">
                  <c:v>-64.73946185168138</c:v>
                </c:pt>
                <c:pt idx="861">
                  <c:v>-66.19236286476414</c:v>
                </c:pt>
                <c:pt idx="862">
                  <c:v>-67.70361930911287</c:v>
                </c:pt>
                <c:pt idx="863">
                  <c:v>-69.27550098906379</c:v>
                </c:pt>
                <c:pt idx="864">
                  <c:v>-70.90863698073862</c:v>
                </c:pt>
                <c:pt idx="865">
                  <c:v>-72.60068037192706</c:v>
                </c:pt>
                <c:pt idx="866">
                  <c:v>-74.34416671695375</c:v>
                </c:pt>
                <c:pt idx="867">
                  <c:v>-76.12320455531605</c:v>
                </c:pt>
                <c:pt idx="868">
                  <c:v>-77.90868034718673</c:v>
                </c:pt>
                <c:pt idx="869">
                  <c:v>-79.65212178194554</c:v>
                </c:pt>
                <c:pt idx="870">
                  <c:v>-81.27980581274726</c:v>
                </c:pt>
                <c:pt idx="871">
                  <c:v>-82.69161804424841</c:v>
                </c:pt>
                <c:pt idx="872">
                  <c:v>-83.77232729680379</c:v>
                </c:pt>
                <c:pt idx="873">
                  <c:v>-84.42074561193145</c:v>
                </c:pt>
                <c:pt idx="874">
                  <c:v>-84.58824071958988</c:v>
                </c:pt>
                <c:pt idx="875">
                  <c:v>-84.30123510252658</c:v>
                </c:pt>
                <c:pt idx="876">
                  <c:v>-83.64868252934673</c:v>
                </c:pt>
                <c:pt idx="877">
                  <c:v>-82.74541365597285</c:v>
                </c:pt>
                <c:pt idx="878">
                  <c:v>-81.69823849033178</c:v>
                </c:pt>
                <c:pt idx="879">
                  <c:v>-80.58934027688503</c:v>
                </c:pt>
                <c:pt idx="880">
                  <c:v>-79.47448297034379</c:v>
                </c:pt>
                <c:pt idx="881">
                  <c:v>-78.3880895379522</c:v>
                </c:pt>
                <c:pt idx="882">
                  <c:v>-77.34957810615761</c:v>
                </c:pt>
                <c:pt idx="883">
                  <c:v>-76.36862773959396</c:v>
                </c:pt>
                <c:pt idx="884">
                  <c:v>-75.44892160552514</c:v>
                </c:pt>
                <c:pt idx="885">
                  <c:v>-74.59060821071959</c:v>
                </c:pt>
                <c:pt idx="886">
                  <c:v>-73.79185081261068</c:v>
                </c:pt>
                <c:pt idx="887">
                  <c:v>-73.04977648576138</c:v>
                </c:pt>
                <c:pt idx="888">
                  <c:v>-72.36104525752462</c:v>
                </c:pt>
                <c:pt idx="889">
                  <c:v>-71.72218391050335</c:v>
                </c:pt>
                <c:pt idx="890">
                  <c:v>-71.12977586362109</c:v>
                </c:pt>
                <c:pt idx="891">
                  <c:v>-70.5805638617181</c:v>
                </c:pt>
                <c:pt idx="892">
                  <c:v>-70.07150036297463</c:v>
                </c:pt>
                <c:pt idx="893">
                  <c:v>-69.59976698606818</c:v>
                </c:pt>
                <c:pt idx="894">
                  <c:v>-69.16277605968963</c:v>
                </c:pt>
                <c:pt idx="895">
                  <c:v>-68.75816221135459</c:v>
                </c:pt>
                <c:pt idx="896">
                  <c:v>-68.3837687980254</c:v>
                </c:pt>
                <c:pt idx="897">
                  <c:v>-68.03763205487944</c:v>
                </c:pt>
                <c:pt idx="898">
                  <c:v>-67.71796465433432</c:v>
                </c:pt>
                <c:pt idx="899">
                  <c:v>-67.42313964024207</c:v>
                </c:pt>
                <c:pt idx="900">
                  <c:v>-67.15167525740216</c:v>
                </c:pt>
                <c:pt idx="901">
                  <c:v>-66.90222092679618</c:v>
                </c:pt>
                <c:pt idx="902">
                  <c:v>-66.6735444558043</c:v>
                </c:pt>
                <c:pt idx="903">
                  <c:v>-66.46452047888621</c:v>
                </c:pt>
                <c:pt idx="904">
                  <c:v>-66.27412007207492</c:v>
                </c:pt>
                <c:pt idx="905">
                  <c:v>-66.1014014580586</c:v>
                </c:pt>
                <c:pt idx="906">
                  <c:v>-65.94550170753473</c:v>
                </c:pt>
                <c:pt idx="907">
                  <c:v>-65.80562934059876</c:v>
                </c:pt>
                <c:pt idx="908">
                  <c:v>-65.68105773523999</c:v>
                </c:pt>
                <c:pt idx="909">
                  <c:v>-65.57111925611014</c:v>
                </c:pt>
                <c:pt idx="910">
                  <c:v>-65.47520002411045</c:v>
                </c:pt>
                <c:pt idx="911">
                  <c:v>-65.39273525510639</c:v>
                </c:pt>
                <c:pt idx="912">
                  <c:v>-65.32320510370386</c:v>
                </c:pt>
                <c:pt idx="913">
                  <c:v>-65.26613095521466</c:v>
                </c:pt>
                <c:pt idx="914">
                  <c:v>-65.22107211556354</c:v>
                </c:pt>
                <c:pt idx="915">
                  <c:v>-65.18762285488781</c:v>
                </c:pt>
                <c:pt idx="916">
                  <c:v>-65.1654097659564</c:v>
                </c:pt>
                <c:pt idx="917">
                  <c:v>-65.15408940331447</c:v>
                </c:pt>
                <c:pt idx="918">
                  <c:v>-65.15334617329115</c:v>
                </c:pt>
                <c:pt idx="919">
                  <c:v>-65.16289044874108</c:v>
                </c:pt>
                <c:pt idx="920">
                  <c:v>-65.18245688568035</c:v>
                </c:pt>
                <c:pt idx="921">
                  <c:v>-65.2118029218751</c:v>
                </c:pt>
                <c:pt idx="922">
                  <c:v>-65.25070743999555</c:v>
                </c:pt>
                <c:pt idx="923">
                  <c:v>-65.29896958020397</c:v>
                </c:pt>
                <c:pt idx="924">
                  <c:v>-65.35640768904304</c:v>
                </c:pt>
                <c:pt idx="925">
                  <c:v>-65.42285839326566</c:v>
                </c:pt>
                <c:pt idx="926">
                  <c:v>-65.49817578883366</c:v>
                </c:pt>
                <c:pt idx="927">
                  <c:v>-65.58223073673722</c:v>
                </c:pt>
                <c:pt idx="928">
                  <c:v>-65.67491025857679</c:v>
                </c:pt>
                <c:pt idx="929">
                  <c:v>-65.77611702602832</c:v>
                </c:pt>
                <c:pt idx="930">
                  <c:v>-65.88576893939978</c:v>
                </c:pt>
                <c:pt idx="931">
                  <c:v>-66.00379879150603</c:v>
                </c:pt>
                <c:pt idx="932">
                  <c:v>-66.13015401405301</c:v>
                </c:pt>
                <c:pt idx="933">
                  <c:v>-66.26479650465383</c:v>
                </c:pt>
                <c:pt idx="934">
                  <c:v>-66.40770253351194</c:v>
                </c:pt>
                <c:pt idx="935">
                  <c:v>-66.55886272971914</c:v>
                </c:pt>
                <c:pt idx="936">
                  <c:v>-66.71828214804609</c:v>
                </c:pt>
                <c:pt idx="937">
                  <c:v>-66.88598041806895</c:v>
                </c:pt>
                <c:pt idx="938">
                  <c:v>-67.06199197849757</c:v>
                </c:pt>
                <c:pt idx="939">
                  <c:v>-67.24636640067268</c:v>
                </c:pt>
                <c:pt idx="940">
                  <c:v>-67.43916880640455</c:v>
                </c:pt>
                <c:pt idx="941">
                  <c:v>-67.64048038666647</c:v>
                </c:pt>
                <c:pt idx="942">
                  <c:v>-67.85039902916591</c:v>
                </c:pt>
                <c:pt idx="943">
                  <c:v>-68.06904006453696</c:v>
                </c:pt>
                <c:pt idx="944">
                  <c:v>-68.29653714287934</c:v>
                </c:pt>
                <c:pt idx="945">
                  <c:v>-68.5330432546728</c:v>
                </c:pt>
                <c:pt idx="946">
                  <c:v>-68.77873191279673</c:v>
                </c:pt>
                <c:pt idx="947">
                  <c:v>-69.03379851557344</c:v>
                </c:pt>
                <c:pt idx="948">
                  <c:v>-69.2984619145477</c:v>
                </c:pt>
                <c:pt idx="949">
                  <c:v>-69.57296621525627</c:v>
                </c:pt>
                <c:pt idx="950">
                  <c:v>-69.85758284471186</c:v>
                </c:pt>
                <c:pt idx="951">
                  <c:v>-70.15261292595778</c:v>
                </c:pt>
                <c:pt idx="952">
                  <c:v>-70.45839000813604</c:v>
                </c:pt>
                <c:pt idx="953">
                  <c:v>-70.77528321043121</c:v>
                </c:pt>
                <c:pt idx="954">
                  <c:v>-71.10370085050035</c:v>
                </c:pt>
                <c:pt idx="955">
                  <c:v>-71.44409464321149</c:v>
                </c:pt>
                <c:pt idx="956">
                  <c:v>-71.79696457453676</c:v>
                </c:pt>
                <c:pt idx="957">
                  <c:v>-72.16286457939717</c:v>
                </c:pt>
                <c:pt idx="958">
                  <c:v>-72.54240918262674</c:v>
                </c:pt>
                <c:pt idx="959">
                  <c:v>-72.93628130102887</c:v>
                </c:pt>
                <c:pt idx="960">
                  <c:v>-73.34524145447473</c:v>
                </c:pt>
                <c:pt idx="961">
                  <c:v>-73.77013869890999</c:v>
                </c:pt>
                <c:pt idx="962">
                  <c:v>-74.21192367921991</c:v>
                </c:pt>
                <c:pt idx="963">
                  <c:v>-74.67166431250409</c:v>
                </c:pt>
                <c:pt idx="964">
                  <c:v>-75.15056476287897</c:v>
                </c:pt>
                <c:pt idx="965">
                  <c:v>-75.64998857251402</c:v>
                </c:pt>
                <c:pt idx="966">
                  <c:v>-76.1714870922131</c:v>
                </c:pt>
                <c:pt idx="967">
                  <c:v>-76.71683474110665</c:v>
                </c:pt>
                <c:pt idx="968">
                  <c:v>-77.2880731681331</c:v>
                </c:pt>
                <c:pt idx="969">
                  <c:v>-77.88756716351588</c:v>
                </c:pt>
                <c:pt idx="970">
                  <c:v>-78.51807629468033</c:v>
                </c:pt>
                <c:pt idx="971">
                  <c:v>-79.18284790724546</c:v>
                </c:pt>
                <c:pt idx="972">
                  <c:v>-79.88573964786315</c:v>
                </c:pt>
                <c:pt idx="973">
                  <c:v>-80.63138355307225</c:v>
                </c:pt>
                <c:pt idx="974">
                  <c:v>-81.42540990976124</c:v>
                </c:pt>
                <c:pt idx="975">
                  <c:v>-82.2747591439613</c:v>
                </c:pt>
                <c:pt idx="976">
                  <c:v>-83.18812693688422</c:v>
                </c:pt>
                <c:pt idx="977">
                  <c:v>-84.17661741837422</c:v>
                </c:pt>
                <c:pt idx="978">
                  <c:v>-85.25473349446328</c:v>
                </c:pt>
                <c:pt idx="979">
                  <c:v>-86.4419376749633</c:v>
                </c:pt>
                <c:pt idx="980">
                  <c:v>-87.7652301660377</c:v>
                </c:pt>
                <c:pt idx="981">
                  <c:v>-89.26366140567174</c:v>
                </c:pt>
                <c:pt idx="982">
                  <c:v>-90.9968346297288</c:v>
                </c:pt>
                <c:pt idx="983">
                  <c:v>-93.06256265703649</c:v>
                </c:pt>
                <c:pt idx="984">
                  <c:v>-95.63884546724465</c:v>
                </c:pt>
                <c:pt idx="985">
                  <c:v>-99.10628831564381</c:v>
                </c:pt>
                <c:pt idx="986">
                  <c:v>-104.559665277664</c:v>
                </c:pt>
                <c:pt idx="987">
                  <c:v>-119.8147422042362</c:v>
                </c:pt>
                <c:pt idx="988">
                  <c:v>-108.8836752555628</c:v>
                </c:pt>
                <c:pt idx="989">
                  <c:v>-102.0104070853776</c:v>
                </c:pt>
                <c:pt idx="990">
                  <c:v>-98.42429394979975</c:v>
                </c:pt>
                <c:pt idx="991">
                  <c:v>-96.04928034531987</c:v>
                </c:pt>
                <c:pt idx="992">
                  <c:v>-94.31500876108161</c:v>
                </c:pt>
                <c:pt idx="993">
                  <c:v>-92.98149505597804</c:v>
                </c:pt>
                <c:pt idx="994">
                  <c:v>-91.9251788983447</c:v>
                </c:pt>
                <c:pt idx="995">
                  <c:v>-91.07430726540635</c:v>
                </c:pt>
                <c:pt idx="996">
                  <c:v>-90.38378170822563</c:v>
                </c:pt>
                <c:pt idx="997">
                  <c:v>-89.82368235068891</c:v>
                </c:pt>
                <c:pt idx="998">
                  <c:v>-89.3734255400271</c:v>
                </c:pt>
                <c:pt idx="999">
                  <c:v>-89.01854437386061</c:v>
                </c:pt>
                <c:pt idx="1000">
                  <c:v>-88.74880998500223</c:v>
                </c:pt>
                <c:pt idx="1001">
                  <c:v>-88.55709285600733</c:v>
                </c:pt>
                <c:pt idx="1002">
                  <c:v>-88.43866204035493</c:v>
                </c:pt>
                <c:pt idx="1003">
                  <c:v>-88.39076309868561</c:v>
                </c:pt>
                <c:pt idx="1004">
                  <c:v>-88.41239000764418</c:v>
                </c:pt>
                <c:pt idx="1005">
                  <c:v>-88.50420928603427</c:v>
                </c:pt>
                <c:pt idx="1006">
                  <c:v>-88.66862368825686</c:v>
                </c:pt>
                <c:pt idx="1007">
                  <c:v>-88.90998808547336</c:v>
                </c:pt>
                <c:pt idx="1008">
                  <c:v>-89.23501974469917</c:v>
                </c:pt>
                <c:pt idx="1009">
                  <c:v>-89.65348960321825</c:v>
                </c:pt>
                <c:pt idx="1010">
                  <c:v>-90.17935919883038</c:v>
                </c:pt>
                <c:pt idx="1011">
                  <c:v>-90.83268029126577</c:v>
                </c:pt>
                <c:pt idx="1012">
                  <c:v>-91.64289866455502</c:v>
                </c:pt>
                <c:pt idx="1013">
                  <c:v>-92.65496099752369</c:v>
                </c:pt>
                <c:pt idx="1014">
                  <c:v>-93.94159968068202</c:v>
                </c:pt>
                <c:pt idx="1015">
                  <c:v>-95.63113236692928</c:v>
                </c:pt>
                <c:pt idx="1016">
                  <c:v>-97.98218645311087</c:v>
                </c:pt>
                <c:pt idx="1017">
                  <c:v>-101.6496017984394</c:v>
                </c:pt>
                <c:pt idx="1018">
                  <c:v>-109.4036987351824</c:v>
                </c:pt>
                <c:pt idx="1019">
                  <c:v>-112.6343253438831</c:v>
                </c:pt>
                <c:pt idx="1020">
                  <c:v>-100.0145126171973</c:v>
                </c:pt>
                <c:pt idx="1021">
                  <c:v>-90.83727511294055</c:v>
                </c:pt>
                <c:pt idx="1022">
                  <c:v>-98.40042766062984</c:v>
                </c:pt>
                <c:pt idx="1023">
                  <c:v>-99.55112609823777</c:v>
                </c:pt>
                <c:pt idx="1024">
                  <c:v>-94.20050425674182</c:v>
                </c:pt>
                <c:pt idx="1025">
                  <c:v>-91.41055923189165</c:v>
                </c:pt>
                <c:pt idx="1026">
                  <c:v>-89.39198677948002</c:v>
                </c:pt>
                <c:pt idx="1027">
                  <c:v>-87.76096897431161</c:v>
                </c:pt>
                <c:pt idx="1028">
                  <c:v>-86.37152624519337</c:v>
                </c:pt>
                <c:pt idx="1029">
                  <c:v>-85.15116731376337</c:v>
                </c:pt>
                <c:pt idx="1030">
                  <c:v>-84.05784306751974</c:v>
                </c:pt>
                <c:pt idx="1031">
                  <c:v>-83.06459218720096</c:v>
                </c:pt>
                <c:pt idx="1032">
                  <c:v>-82.15289138740799</c:v>
                </c:pt>
                <c:pt idx="1033">
                  <c:v>-81.30936140909722</c:v>
                </c:pt>
                <c:pt idx="1034">
                  <c:v>-80.5239667857745</c:v>
                </c:pt>
                <c:pt idx="1035">
                  <c:v>-79.78895571791465</c:v>
                </c:pt>
                <c:pt idx="1036">
                  <c:v>-79.09819826851226</c:v>
                </c:pt>
                <c:pt idx="1037">
                  <c:v>-78.44675347179506</c:v>
                </c:pt>
                <c:pt idx="1038">
                  <c:v>-77.83057518064763</c:v>
                </c:pt>
                <c:pt idx="1039">
                  <c:v>-77.24630576861627</c:v>
                </c:pt>
                <c:pt idx="1040">
                  <c:v>-76.69112754486763</c:v>
                </c:pt>
                <c:pt idx="1041">
                  <c:v>-76.16265328132098</c:v>
                </c:pt>
                <c:pt idx="1042">
                  <c:v>-75.6588439650981</c:v>
                </c:pt>
                <c:pt idx="1043">
                  <c:v>-75.17794594769757</c:v>
                </c:pt>
                <c:pt idx="1044">
                  <c:v>-74.71844219812765</c:v>
                </c:pt>
                <c:pt idx="1045">
                  <c:v>-74.2790139984302</c:v>
                </c:pt>
                <c:pt idx="1046">
                  <c:v>-73.85851049652524</c:v>
                </c:pt>
                <c:pt idx="1047">
                  <c:v>-73.45592425806905</c:v>
                </c:pt>
                <c:pt idx="1048">
                  <c:v>-73.07037145975247</c:v>
                </c:pt>
                <c:pt idx="1049">
                  <c:v>-72.70107571784781</c:v>
                </c:pt>
                <c:pt idx="1050">
                  <c:v>-72.34735479651731</c:v>
                </c:pt>
                <c:pt idx="1051">
                  <c:v>-72.00860962200798</c:v>
                </c:pt>
                <c:pt idx="1052">
                  <c:v>-71.68431516226843</c:v>
                </c:pt>
                <c:pt idx="1053">
                  <c:v>-71.37401283081103</c:v>
                </c:pt>
                <c:pt idx="1054">
                  <c:v>-71.07730414844333</c:v>
                </c:pt>
                <c:pt idx="1055">
                  <c:v>-70.79384545351415</c:v>
                </c:pt>
                <c:pt idx="1056">
                  <c:v>-70.52334349528351</c:v>
                </c:pt>
                <c:pt idx="1057">
                  <c:v>-70.26555177931871</c:v>
                </c:pt>
                <c:pt idx="1058">
                  <c:v>-70.02026756088418</c:v>
                </c:pt>
                <c:pt idx="1059">
                  <c:v>-69.78732940393144</c:v>
                </c:pt>
                <c:pt idx="1060">
                  <c:v>-69.56661524084046</c:v>
                </c:pt>
                <c:pt idx="1061">
                  <c:v>-69.35804088252611</c:v>
                </c:pt>
                <c:pt idx="1062">
                  <c:v>-69.16155894067315</c:v>
                </c:pt>
                <c:pt idx="1063">
                  <c:v>-68.9771581343106</c:v>
                </c:pt>
                <c:pt idx="1064">
                  <c:v>-68.80486296216179</c:v>
                </c:pt>
                <c:pt idx="1065">
                  <c:v>-68.64473373061833</c:v>
                </c:pt>
                <c:pt idx="1066">
                  <c:v>-68.49686693512916</c:v>
                </c:pt>
                <c:pt idx="1067">
                  <c:v>-68.36139600059062</c:v>
                </c:pt>
                <c:pt idx="1068">
                  <c:v>-68.23849239426876</c:v>
                </c:pt>
                <c:pt idx="1069">
                  <c:v>-68.12836713320222</c:v>
                </c:pt>
                <c:pt idx="1070">
                  <c:v>-68.03127271724991</c:v>
                </c:pt>
                <c:pt idx="1071">
                  <c:v>-67.94750552935747</c:v>
                </c:pt>
                <c:pt idx="1072">
                  <c:v>-67.87740875667122</c:v>
                </c:pt>
                <c:pt idx="1073">
                  <c:v>-67.82137590039298</c:v>
                </c:pt>
                <c:pt idx="1074">
                  <c:v>-67.77985495945256</c:v>
                </c:pt>
                <c:pt idx="1075">
                  <c:v>-67.75335339408383</c:v>
                </c:pt>
                <c:pt idx="1076">
                  <c:v>-67.74244400141633</c:v>
                </c:pt>
                <c:pt idx="1077">
                  <c:v>-67.7477718678049</c:v>
                </c:pt>
                <c:pt idx="1078">
                  <c:v>-67.77006260392136</c:v>
                </c:pt>
                <c:pt idx="1079">
                  <c:v>-67.81013212147575</c:v>
                </c:pt>
                <c:pt idx="1080">
                  <c:v>-67.86889827872405</c:v>
                </c:pt>
                <c:pt idx="1081">
                  <c:v>-67.94739481107078</c:v>
                </c:pt>
                <c:pt idx="1082">
                  <c:v>-68.0467880806802</c:v>
                </c:pt>
                <c:pt idx="1083">
                  <c:v>-68.16839733585434</c:v>
                </c:pt>
                <c:pt idx="1084">
                  <c:v>-68.31371938253787</c:v>
                </c:pt>
                <c:pt idx="1085">
                  <c:v>-68.48445885933302</c:v>
                </c:pt>
                <c:pt idx="1086">
                  <c:v>-68.68256570743404</c:v>
                </c:pt>
                <c:pt idx="1087">
                  <c:v>-68.91028198855112</c:v>
                </c:pt>
                <c:pt idx="1088">
                  <c:v>-69.17020100486636</c:v>
                </c:pt>
                <c:pt idx="1089">
                  <c:v>-69.46534283691891</c:v>
                </c:pt>
                <c:pt idx="1090">
                  <c:v>-69.79925213243217</c:v>
                </c:pt>
                <c:pt idx="1091">
                  <c:v>-70.17612656972051</c:v>
                </c:pt>
                <c:pt idx="1092">
                  <c:v>-70.60098841834444</c:v>
                </c:pt>
                <c:pt idx="1093">
                  <c:v>-71.07991795277512</c:v>
                </c:pt>
                <c:pt idx="1094">
                  <c:v>-71.62037779716131</c:v>
                </c:pt>
                <c:pt idx="1095">
                  <c:v>-72.23167466192106</c:v>
                </c:pt>
                <c:pt idx="1096">
                  <c:v>-72.92563531895237</c:v>
                </c:pt>
                <c:pt idx="1097">
                  <c:v>-73.71762912368736</c:v>
                </c:pt>
                <c:pt idx="1098">
                  <c:v>-74.62817587163559</c:v>
                </c:pt>
                <c:pt idx="1099">
                  <c:v>-75.68559485881079</c:v>
                </c:pt>
                <c:pt idx="1100">
                  <c:v>-76.93062691499028</c:v>
                </c:pt>
                <c:pt idx="1101">
                  <c:v>-78.42510239271225</c:v>
                </c:pt>
                <c:pt idx="1102">
                  <c:v>-80.26979475150809</c:v>
                </c:pt>
                <c:pt idx="1103">
                  <c:v>-82.64616725204533</c:v>
                </c:pt>
                <c:pt idx="1104">
                  <c:v>-85.93326323613985</c:v>
                </c:pt>
                <c:pt idx="1105">
                  <c:v>-91.13076754179018</c:v>
                </c:pt>
                <c:pt idx="1106">
                  <c:v>-100.1655144732598</c:v>
                </c:pt>
                <c:pt idx="1107">
                  <c:v>-93.12134147580088</c:v>
                </c:pt>
                <c:pt idx="1108">
                  <c:v>-87.30357295752468</c:v>
                </c:pt>
                <c:pt idx="1109">
                  <c:v>-83.88840760277402</c:v>
                </c:pt>
                <c:pt idx="1110">
                  <c:v>-81.56222133697547</c:v>
                </c:pt>
                <c:pt idx="1111">
                  <c:v>-79.86674568709437</c:v>
                </c:pt>
                <c:pt idx="1112">
                  <c:v>-78.59969927090125</c:v>
                </c:pt>
                <c:pt idx="1113">
                  <c:v>-77.65991382007809</c:v>
                </c:pt>
                <c:pt idx="1114">
                  <c:v>-76.99596799464118</c:v>
                </c:pt>
                <c:pt idx="1115">
                  <c:v>-76.58650687489248</c:v>
                </c:pt>
                <c:pt idx="1116">
                  <c:v>-76.43334116618342</c:v>
                </c:pt>
                <c:pt idx="1117">
                  <c:v>-76.56210079421805</c:v>
                </c:pt>
                <c:pt idx="1118">
                  <c:v>-77.03097956332778</c:v>
                </c:pt>
                <c:pt idx="1119">
                  <c:v>-77.95474535403351</c:v>
                </c:pt>
                <c:pt idx="1120">
                  <c:v>-79.5702445613571</c:v>
                </c:pt>
                <c:pt idx="1121">
                  <c:v>-82.45839755932509</c:v>
                </c:pt>
                <c:pt idx="1122">
                  <c:v>-88.79614673134456</c:v>
                </c:pt>
                <c:pt idx="1123">
                  <c:v>-97.61051814956014</c:v>
                </c:pt>
                <c:pt idx="1124">
                  <c:v>-82.57172896005331</c:v>
                </c:pt>
                <c:pt idx="1125">
                  <c:v>-76.55488136444237</c:v>
                </c:pt>
                <c:pt idx="1126">
                  <c:v>-72.48341577752156</c:v>
                </c:pt>
                <c:pt idx="1127">
                  <c:v>-69.30083480006815</c:v>
                </c:pt>
                <c:pt idx="1128">
                  <c:v>-66.6343040946476</c:v>
                </c:pt>
                <c:pt idx="1129">
                  <c:v>-64.30775683478315</c:v>
                </c:pt>
                <c:pt idx="1130">
                  <c:v>-62.22363773319194</c:v>
                </c:pt>
                <c:pt idx="1131">
                  <c:v>-60.32203045865815</c:v>
                </c:pt>
                <c:pt idx="1132">
                  <c:v>-58.56337202132707</c:v>
                </c:pt>
                <c:pt idx="1133">
                  <c:v>-56.92009286083123</c:v>
                </c:pt>
                <c:pt idx="1134">
                  <c:v>-55.37216304900071</c:v>
                </c:pt>
                <c:pt idx="1135">
                  <c:v>-53.90453854485342</c:v>
                </c:pt>
                <c:pt idx="1136">
                  <c:v>-52.50560957325345</c:v>
                </c:pt>
                <c:pt idx="1137">
                  <c:v>-51.16621256418785</c:v>
                </c:pt>
                <c:pt idx="1138">
                  <c:v>-49.87897602303335</c:v>
                </c:pt>
                <c:pt idx="1139">
                  <c:v>-48.63787305846208</c:v>
                </c:pt>
                <c:pt idx="1140">
                  <c:v>-47.4379065933466</c:v>
                </c:pt>
                <c:pt idx="1141">
                  <c:v>-46.27488249315004</c:v>
                </c:pt>
                <c:pt idx="1142">
                  <c:v>-45.14524256565655</c:v>
                </c:pt>
                <c:pt idx="1143">
                  <c:v>-44.04593932220774</c:v>
                </c:pt>
                <c:pt idx="1144">
                  <c:v>-42.97434049231033</c:v>
                </c:pt>
                <c:pt idx="1145">
                  <c:v>-41.92815514003037</c:v>
                </c:pt>
                <c:pt idx="1146">
                  <c:v>-40.90537573129716</c:v>
                </c:pt>
                <c:pt idx="1147">
                  <c:v>-39.90423216031446</c:v>
                </c:pt>
                <c:pt idx="1148">
                  <c:v>-38.92315486687944</c:v>
                </c:pt>
                <c:pt idx="1149">
                  <c:v>-37.960744951669</c:v>
                </c:pt>
                <c:pt idx="1150">
                  <c:v>-37.01574974060905</c:v>
                </c:pt>
                <c:pt idx="1151">
                  <c:v>-36.08704263719306</c:v>
                </c:pt>
                <c:pt idx="1152">
                  <c:v>-35.17360638192154</c:v>
                </c:pt>
                <c:pt idx="1153">
                  <c:v>-34.27451904332717</c:v>
                </c:pt>
                <c:pt idx="1154">
                  <c:v>-33.38894221723238</c:v>
                </c:pt>
                <c:pt idx="1155">
                  <c:v>-32.5161110249629</c:v>
                </c:pt>
                <c:pt idx="1156">
                  <c:v>-31.65532558764826</c:v>
                </c:pt>
                <c:pt idx="1157">
                  <c:v>-30.80594371982251</c:v>
                </c:pt>
                <c:pt idx="1158">
                  <c:v>-29.96737463653781</c:v>
                </c:pt>
                <c:pt idx="1159">
                  <c:v>-29.1390735078948</c:v>
                </c:pt>
                <c:pt idx="1160">
                  <c:v>-28.32053672603012</c:v>
                </c:pt>
                <c:pt idx="1161">
                  <c:v>-27.51129777421034</c:v>
                </c:pt>
                <c:pt idx="1162">
                  <c:v>-26.71092360726693</c:v>
                </c:pt>
                <c:pt idx="1163">
                  <c:v>-25.91901146829922</c:v>
                </c:pt>
                <c:pt idx="1164">
                  <c:v>-25.13518607922129</c:v>
                </c:pt>
                <c:pt idx="1165">
                  <c:v>-24.35909715298952</c:v>
                </c:pt>
                <c:pt idx="1166">
                  <c:v>-23.5904171837127</c:v>
                </c:pt>
                <c:pt idx="1167">
                  <c:v>-22.82883947770628</c:v>
                </c:pt>
                <c:pt idx="1168">
                  <c:v>-22.07407639420438</c:v>
                </c:pt>
                <c:pt idx="1169">
                  <c:v>-21.32585776912313</c:v>
                </c:pt>
                <c:pt idx="1170">
                  <c:v>-20.58392949916068</c:v>
                </c:pt>
                <c:pt idx="1171">
                  <c:v>-19.84805226677146</c:v>
                </c:pt>
                <c:pt idx="1172">
                  <c:v>-19.11800038927972</c:v>
                </c:pt>
                <c:pt idx="1173">
                  <c:v>-18.3935607776944</c:v>
                </c:pt>
                <c:pt idx="1174">
                  <c:v>-17.67453199272981</c:v>
                </c:pt>
                <c:pt idx="1175">
                  <c:v>-16.9607233871845</c:v>
                </c:pt>
                <c:pt idx="1176">
                  <c:v>-16.25195432523319</c:v>
                </c:pt>
                <c:pt idx="1177">
                  <c:v>-15.54805347038601</c:v>
                </c:pt>
                <c:pt idx="1178">
                  <c:v>-14.8488581348961</c:v>
                </c:pt>
                <c:pt idx="1179">
                  <c:v>-14.15421368427957</c:v>
                </c:pt>
                <c:pt idx="1180">
                  <c:v>-13.46397299137376</c:v>
                </c:pt>
                <c:pt idx="1181">
                  <c:v>-12.77799593501757</c:v>
                </c:pt>
                <c:pt idx="1182">
                  <c:v>-12.09614893900899</c:v>
                </c:pt>
                <c:pt idx="1183">
                  <c:v>-11.41830454749051</c:v>
                </c:pt>
                <c:pt idx="1184">
                  <c:v>-10.74434103334634</c:v>
                </c:pt>
                <c:pt idx="1185">
                  <c:v>-10.07414203657247</c:v>
                </c:pt>
                <c:pt idx="1186">
                  <c:v>-9.407596229911782</c:v>
                </c:pt>
                <c:pt idx="1187">
                  <c:v>-8.744597009336871</c:v>
                </c:pt>
                <c:pt idx="1188">
                  <c:v>-8.085042207218013</c:v>
                </c:pt>
                <c:pt idx="1189">
                  <c:v>-7.428833826239483</c:v>
                </c:pt>
                <c:pt idx="1190">
                  <c:v>-6.77587779232518</c:v>
                </c:pt>
                <c:pt idx="1191">
                  <c:v>-6.126083725011073</c:v>
                </c:pt>
                <c:pt idx="1192">
                  <c:v>-5.479364723856851</c:v>
                </c:pt>
                <c:pt idx="1193">
                  <c:v>-4.835637169627677</c:v>
                </c:pt>
                <c:pt idx="1194">
                  <c:v>-4.194820539099055</c:v>
                </c:pt>
                <c:pt idx="1195">
                  <c:v>-3.556837232447018</c:v>
                </c:pt>
                <c:pt idx="1196">
                  <c:v>-2.921612412282026</c:v>
                </c:pt>
                <c:pt idx="1197">
                  <c:v>-2.289073853471228</c:v>
                </c:pt>
                <c:pt idx="1198">
                  <c:v>-1.659151802968739</c:v>
                </c:pt>
                <c:pt idx="1199">
                  <c:v>-1.031778848940984</c:v>
                </c:pt>
                <c:pt idx="1200">
                  <c:v>-0.4068897985355271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"/>
          <c:min val="1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[Hz]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[dBµA]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I_NM difference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Python - LTspice</c:v>
          </c:tx>
          <c:spPr>
            <a:ln w="19050"/>
          </c:spPr>
          <c:marker>
            <c:symbol val="none"/>
          </c:marker>
          <c:xVal>
            <c:numRef>
              <c:f>LTspice_Compare!$A$19:$A$1219</c:f>
              <c:numCache>
                <c:formatCode>General</c:formatCode>
                <c:ptCount val="1201"/>
                <c:pt idx="0">
                  <c:v>100</c:v>
                </c:pt>
                <c:pt idx="1">
                  <c:v>101.1579454259899</c:v>
                </c:pt>
                <c:pt idx="2">
                  <c:v>102.3292992280754</c:v>
                </c:pt>
                <c:pt idx="3">
                  <c:v>103.5142166679344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107.1519305237607</c:v>
                </c:pt>
                <c:pt idx="7">
                  <c:v>108.3926914021204</c:v>
                </c:pt>
                <c:pt idx="8">
                  <c:v>109.6478196143185</c:v>
                </c:pt>
                <c:pt idx="9">
                  <c:v>110.9174815262402</c:v>
                </c:pt>
                <c:pt idx="10">
                  <c:v>112.2018454301964</c:v>
                </c:pt>
                <c:pt idx="11">
                  <c:v>113.5010815672316</c:v>
                </c:pt>
                <c:pt idx="12">
                  <c:v>114.8153621496884</c:v>
                </c:pt>
                <c:pt idx="13">
                  <c:v>116.1448613840344</c:v>
                </c:pt>
                <c:pt idx="14">
                  <c:v>117.4897554939531</c:v>
                </c:pt>
                <c:pt idx="15">
                  <c:v>118.850222743702</c:v>
                </c:pt>
                <c:pt idx="16">
                  <c:v>120.2264434617414</c:v>
                </c:pt>
                <c:pt idx="17">
                  <c:v>121.6186000646369</c:v>
                </c:pt>
                <c:pt idx="18">
                  <c:v>123.0268770812383</c:v>
                </c:pt>
                <c:pt idx="19">
                  <c:v>124.4514611771387</c:v>
                </c:pt>
                <c:pt idx="20">
                  <c:v>125.8925411794169</c:v>
                </c:pt>
                <c:pt idx="21">
                  <c:v>127.3503081016663</c:v>
                </c:pt>
                <c:pt idx="22">
                  <c:v>128.8249551693136</c:v>
                </c:pt>
                <c:pt idx="23">
                  <c:v>130.3166778452301</c:v>
                </c:pt>
                <c:pt idx="24">
                  <c:v>131.8256738556409</c:v>
                </c:pt>
                <c:pt idx="25">
                  <c:v>133.3521432163326</c:v>
                </c:pt>
                <c:pt idx="26">
                  <c:v>134.8962882591656</c:v>
                </c:pt>
                <c:pt idx="27">
                  <c:v>136.4583136588927</c:v>
                </c:pt>
                <c:pt idx="28">
                  <c:v>138.0384264602887</c:v>
                </c:pt>
                <c:pt idx="29">
                  <c:v>139.636836105594</c:v>
                </c:pt>
                <c:pt idx="30">
                  <c:v>141.2537544622757</c:v>
                </c:pt>
                <c:pt idx="31">
                  <c:v>142.8893958511106</c:v>
                </c:pt>
                <c:pt idx="32">
                  <c:v>144.543977074593</c:v>
                </c:pt>
                <c:pt idx="33">
                  <c:v>146.2177174456721</c:v>
                </c:pt>
                <c:pt idx="34">
                  <c:v>147.9108388168211</c:v>
                </c:pt>
                <c:pt idx="35">
                  <c:v>149.6235656094437</c:v>
                </c:pt>
                <c:pt idx="36">
                  <c:v>151.3561248436212</c:v>
                </c:pt>
                <c:pt idx="37">
                  <c:v>153.1087461682034</c:v>
                </c:pt>
                <c:pt idx="38">
                  <c:v>154.8816618912485</c:v>
                </c:pt>
                <c:pt idx="39">
                  <c:v>156.6751070108153</c:v>
                </c:pt>
                <c:pt idx="40">
                  <c:v>158.4893192461118</c:v>
                </c:pt>
                <c:pt idx="41">
                  <c:v>160.3245390690046</c:v>
                </c:pt>
                <c:pt idx="42">
                  <c:v>162.1810097358934</c:v>
                </c:pt>
                <c:pt idx="43">
                  <c:v>164.0589773199544</c:v>
                </c:pt>
                <c:pt idx="44">
                  <c:v>165.9586907437566</c:v>
                </c:pt>
                <c:pt idx="45">
                  <c:v>167.8804018122565</c:v>
                </c:pt>
                <c:pt idx="46">
                  <c:v>169.8243652461749</c:v>
                </c:pt>
                <c:pt idx="47">
                  <c:v>171.7908387157593</c:v>
                </c:pt>
                <c:pt idx="48">
                  <c:v>173.7800828749381</c:v>
                </c:pt>
                <c:pt idx="49">
                  <c:v>175.7923613958698</c:v>
                </c:pt>
                <c:pt idx="50">
                  <c:v>177.8279410038929</c:v>
                </c:pt>
                <c:pt idx="51">
                  <c:v>179.8870915128794</c:v>
                </c:pt>
                <c:pt idx="52">
                  <c:v>181.970085860999</c:v>
                </c:pt>
                <c:pt idx="53">
                  <c:v>184.0772001468962</c:v>
                </c:pt>
                <c:pt idx="54">
                  <c:v>186.2087136662874</c:v>
                </c:pt>
                <c:pt idx="55">
                  <c:v>188.3649089489807</c:v>
                </c:pt>
                <c:pt idx="56">
                  <c:v>190.5460717963254</c:v>
                </c:pt>
                <c:pt idx="57">
                  <c:v>192.7524913190943</c:v>
                </c:pt>
                <c:pt idx="58">
                  <c:v>194.9844599758053</c:v>
                </c:pt>
                <c:pt idx="59">
                  <c:v>197.2422736114862</c:v>
                </c:pt>
                <c:pt idx="60">
                  <c:v>199.5262314968888</c:v>
                </c:pt>
                <c:pt idx="61">
                  <c:v>201.8366363681569</c:v>
                </c:pt>
                <c:pt idx="62">
                  <c:v>204.1737944669538</c:v>
                </c:pt>
                <c:pt idx="63">
                  <c:v>206.5380155810538</c:v>
                </c:pt>
                <c:pt idx="64">
                  <c:v>208.9296130854049</c:v>
                </c:pt>
                <c:pt idx="65">
                  <c:v>211.3489039836656</c:v>
                </c:pt>
                <c:pt idx="66">
                  <c:v>213.7962089502242</c:v>
                </c:pt>
                <c:pt idx="67">
                  <c:v>216.271852372703</c:v>
                </c:pt>
                <c:pt idx="68">
                  <c:v>218.7761623949562</c:v>
                </c:pt>
                <c:pt idx="69">
                  <c:v>221.3094709605648</c:v>
                </c:pt>
                <c:pt idx="70">
                  <c:v>223.872113856835</c:v>
                </c:pt>
                <c:pt idx="71">
                  <c:v>226.464430759307</c:v>
                </c:pt>
                <c:pt idx="72">
                  <c:v>229.0867652767784</c:v>
                </c:pt>
                <c:pt idx="73">
                  <c:v>231.739464996849</c:v>
                </c:pt>
                <c:pt idx="74">
                  <c:v>234.4228815319934</c:v>
                </c:pt>
                <c:pt idx="75">
                  <c:v>237.1373705661667</c:v>
                </c:pt>
                <c:pt idx="76">
                  <c:v>239.8832919019503</c:v>
                </c:pt>
                <c:pt idx="77">
                  <c:v>242.6610095082428</c:v>
                </c:pt>
                <c:pt idx="78">
                  <c:v>245.4708915685043</c:v>
                </c:pt>
                <c:pt idx="79">
                  <c:v>248.3133105295584</c:v>
                </c:pt>
                <c:pt idx="80">
                  <c:v>251.1886431509593</c:v>
                </c:pt>
                <c:pt idx="81">
                  <c:v>254.0972705549319</c:v>
                </c:pt>
                <c:pt idx="82">
                  <c:v>257.0395782768878</c:v>
                </c:pt>
                <c:pt idx="83">
                  <c:v>260.0159563165286</c:v>
                </c:pt>
                <c:pt idx="84">
                  <c:v>263.0267991895396</c:v>
                </c:pt>
                <c:pt idx="85">
                  <c:v>266.0725059798825</c:v>
                </c:pt>
                <c:pt idx="86">
                  <c:v>269.1534803926931</c:v>
                </c:pt>
                <c:pt idx="87">
                  <c:v>272.2701308077928</c:v>
                </c:pt>
                <c:pt idx="88">
                  <c:v>275.4228703338183</c:v>
                </c:pt>
                <c:pt idx="89">
                  <c:v>278.6121168629787</c:v>
                </c:pt>
                <c:pt idx="90">
                  <c:v>281.8382931264471</c:v>
                </c:pt>
                <c:pt idx="91">
                  <c:v>285.1018267503927</c:v>
                </c:pt>
                <c:pt idx="92">
                  <c:v>288.4031503126624</c:v>
                </c:pt>
                <c:pt idx="93">
                  <c:v>291.7427014001185</c:v>
                </c:pt>
                <c:pt idx="94">
                  <c:v>295.1209226666404</c:v>
                </c:pt>
                <c:pt idx="95">
                  <c:v>298.5382618917978</c:v>
                </c:pt>
                <c:pt idx="96">
                  <c:v>301.9951720402036</c:v>
                </c:pt>
                <c:pt idx="97">
                  <c:v>305.4921113215533</c:v>
                </c:pt>
                <c:pt idx="98">
                  <c:v>309.0295432513611</c:v>
                </c:pt>
                <c:pt idx="99">
                  <c:v>312.6079367123975</c:v>
                </c:pt>
                <c:pt idx="100">
                  <c:v>316.2277660168401</c:v>
                </c:pt>
                <c:pt idx="101">
                  <c:v>319.889510969142</c:v>
                </c:pt>
                <c:pt idx="102">
                  <c:v>323.5936569296305</c:v>
                </c:pt>
                <c:pt idx="103">
                  <c:v>327.3406948788405</c:v>
                </c:pt>
                <c:pt idx="104">
                  <c:v>331.1311214825934</c:v>
                </c:pt>
                <c:pt idx="105">
                  <c:v>334.96543915783</c:v>
                </c:pt>
                <c:pt idx="106">
                  <c:v>338.844156139205</c:v>
                </c:pt>
                <c:pt idx="107">
                  <c:v>342.7677865464528</c:v>
                </c:pt>
                <c:pt idx="108">
                  <c:v>346.7368504525341</c:v>
                </c:pt>
                <c:pt idx="109">
                  <c:v>350.7518739525705</c:v>
                </c:pt>
                <c:pt idx="110">
                  <c:v>354.8133892335781</c:v>
                </c:pt>
                <c:pt idx="111">
                  <c:v>358.9219346450079</c:v>
                </c:pt>
                <c:pt idx="112">
                  <c:v>363.0780547701041</c:v>
                </c:pt>
                <c:pt idx="113">
                  <c:v>367.2823004980874</c:v>
                </c:pt>
                <c:pt idx="114">
                  <c:v>371.5352290971754</c:v>
                </c:pt>
                <c:pt idx="115">
                  <c:v>375.837404288447</c:v>
                </c:pt>
                <c:pt idx="116">
                  <c:v>380.1893963205641</c:v>
                </c:pt>
                <c:pt idx="117">
                  <c:v>384.5917820453566</c:v>
                </c:pt>
                <c:pt idx="118">
                  <c:v>389.0451449942836</c:v>
                </c:pt>
                <c:pt idx="119">
                  <c:v>393.5500754557806</c:v>
                </c:pt>
                <c:pt idx="120">
                  <c:v>398.1071705535004</c:v>
                </c:pt>
                <c:pt idx="121">
                  <c:v>402.7170343254624</c:v>
                </c:pt>
                <c:pt idx="122">
                  <c:v>407.380277804116</c:v>
                </c:pt>
                <c:pt idx="123">
                  <c:v>412.0975190973335</c:v>
                </c:pt>
                <c:pt idx="124">
                  <c:v>416.8693834703388</c:v>
                </c:pt>
                <c:pt idx="125">
                  <c:v>421.6965034285858</c:v>
                </c:pt>
                <c:pt idx="126">
                  <c:v>426.5795188015962</c:v>
                </c:pt>
                <c:pt idx="127">
                  <c:v>431.5190768277689</c:v>
                </c:pt>
                <c:pt idx="128">
                  <c:v>436.5158322401696</c:v>
                </c:pt>
                <c:pt idx="129">
                  <c:v>441.5704473533163</c:v>
                </c:pt>
                <c:pt idx="130">
                  <c:v>446.683592150967</c:v>
                </c:pt>
                <c:pt idx="131">
                  <c:v>451.8559443749263</c:v>
                </c:pt>
                <c:pt idx="132">
                  <c:v>457.0881896148791</c:v>
                </c:pt>
                <c:pt idx="133">
                  <c:v>462.3810213992644</c:v>
                </c:pt>
                <c:pt idx="134">
                  <c:v>467.7351412872023</c:v>
                </c:pt>
                <c:pt idx="135">
                  <c:v>473.1512589614847</c:v>
                </c:pt>
                <c:pt idx="136">
                  <c:v>478.6300923226427</c:v>
                </c:pt>
                <c:pt idx="137">
                  <c:v>484.1723675841037</c:v>
                </c:pt>
                <c:pt idx="138">
                  <c:v>489.7788193684507</c:v>
                </c:pt>
                <c:pt idx="139">
                  <c:v>495.4501908047948</c:v>
                </c:pt>
                <c:pt idx="140">
                  <c:v>501.1872336272769</c:v>
                </c:pt>
                <c:pt idx="141">
                  <c:v>506.990708274709</c:v>
                </c:pt>
                <c:pt idx="142">
                  <c:v>512.8613839913697</c:v>
                </c:pt>
                <c:pt idx="143">
                  <c:v>518.800038928966</c:v>
                </c:pt>
                <c:pt idx="144">
                  <c:v>524.8074602497776</c:v>
                </c:pt>
                <c:pt idx="145">
                  <c:v>530.8844442309935</c:v>
                </c:pt>
                <c:pt idx="146">
                  <c:v>537.0317963702579</c:v>
                </c:pt>
                <c:pt idx="147">
                  <c:v>543.2503314924385</c:v>
                </c:pt>
                <c:pt idx="148">
                  <c:v>549.54087385763</c:v>
                </c:pt>
                <c:pt idx="149">
                  <c:v>555.9042572704091</c:v>
                </c:pt>
                <c:pt idx="150">
                  <c:v>562.3413251903547</c:v>
                </c:pt>
                <c:pt idx="151">
                  <c:v>568.8529308438472</c:v>
                </c:pt>
                <c:pt idx="152">
                  <c:v>575.4399373371627</c:v>
                </c:pt>
                <c:pt idx="153">
                  <c:v>582.1032177708773</c:v>
                </c:pt>
                <c:pt idx="154">
                  <c:v>588.843655355595</c:v>
                </c:pt>
                <c:pt idx="155">
                  <c:v>595.6621435290166</c:v>
                </c:pt>
                <c:pt idx="156">
                  <c:v>602.559586074364</c:v>
                </c:pt>
                <c:pt idx="157">
                  <c:v>609.5368972401756</c:v>
                </c:pt>
                <c:pt idx="158">
                  <c:v>616.5950018614886</c:v>
                </c:pt>
                <c:pt idx="159">
                  <c:v>623.7348354824259</c:v>
                </c:pt>
                <c:pt idx="160">
                  <c:v>630.9573444802</c:v>
                </c:pt>
                <c:pt idx="161">
                  <c:v>638.2634861905556</c:v>
                </c:pt>
                <c:pt idx="162">
                  <c:v>645.6542290346624</c:v>
                </c:pt>
                <c:pt idx="163">
                  <c:v>653.1305526474794</c:v>
                </c:pt>
                <c:pt idx="164">
                  <c:v>660.6934480076033</c:v>
                </c:pt>
                <c:pt idx="165">
                  <c:v>668.3439175686219</c:v>
                </c:pt>
                <c:pt idx="166">
                  <c:v>676.0829753919892</c:v>
                </c:pt>
                <c:pt idx="167">
                  <c:v>683.9116472814369</c:v>
                </c:pt>
                <c:pt idx="168">
                  <c:v>691.8309709189442</c:v>
                </c:pt>
                <c:pt idx="169">
                  <c:v>699.8419960022813</c:v>
                </c:pt>
                <c:pt idx="170">
                  <c:v>707.9457843841459</c:v>
                </c:pt>
                <c:pt idx="171">
                  <c:v>716.1434102129101</c:v>
                </c:pt>
                <c:pt idx="172">
                  <c:v>724.4359600749983</c:v>
                </c:pt>
                <c:pt idx="173">
                  <c:v>732.8245331389124</c:v>
                </c:pt>
                <c:pt idx="174">
                  <c:v>741.3102413009261</c:v>
                </c:pt>
                <c:pt idx="175">
                  <c:v>749.8942093324646</c:v>
                </c:pt>
                <c:pt idx="176">
                  <c:v>758.5775750291926</c:v>
                </c:pt>
                <c:pt idx="177">
                  <c:v>767.3614893618279</c:v>
                </c:pt>
                <c:pt idx="178">
                  <c:v>776.2471166287008</c:v>
                </c:pt>
                <c:pt idx="179">
                  <c:v>785.2356346100811</c:v>
                </c:pt>
                <c:pt idx="180">
                  <c:v>794.328234724291</c:v>
                </c:pt>
                <c:pt idx="181">
                  <c:v>803.5261221856268</c:v>
                </c:pt>
                <c:pt idx="182">
                  <c:v>812.8305161641091</c:v>
                </c:pt>
                <c:pt idx="183">
                  <c:v>822.2426499470812</c:v>
                </c:pt>
                <c:pt idx="184">
                  <c:v>831.7637711026812</c:v>
                </c:pt>
                <c:pt idx="185">
                  <c:v>841.3951416452054</c:v>
                </c:pt>
                <c:pt idx="186">
                  <c:v>851.138038202387</c:v>
                </c:pt>
                <c:pt idx="187">
                  <c:v>860.9937521846114</c:v>
                </c:pt>
                <c:pt idx="188">
                  <c:v>870.9635899560915</c:v>
                </c:pt>
                <c:pt idx="189">
                  <c:v>881.0488730080251</c:v>
                </c:pt>
                <c:pt idx="190">
                  <c:v>891.2509381337568</c:v>
                </c:pt>
                <c:pt idx="191">
                  <c:v>901.5711376059683</c:v>
                </c:pt>
                <c:pt idx="192">
                  <c:v>912.0108393559213</c:v>
                </c:pt>
                <c:pt idx="193">
                  <c:v>922.5714271547749</c:v>
                </c:pt>
                <c:pt idx="194">
                  <c:v>933.2543007970031</c:v>
                </c:pt>
                <c:pt idx="195">
                  <c:v>944.0608762859356</c:v>
                </c:pt>
                <c:pt idx="196">
                  <c:v>954.9925860214485</c:v>
                </c:pt>
                <c:pt idx="197">
                  <c:v>966.0508789898261</c:v>
                </c:pt>
                <c:pt idx="198">
                  <c:v>977.2372209558234</c:v>
                </c:pt>
                <c:pt idx="199">
                  <c:v>988.5530946569519</c:v>
                </c:pt>
                <c:pt idx="200">
                  <c:v>1000.000000000013</c:v>
                </c:pt>
                <c:pt idx="201">
                  <c:v>1011.579454259912</c:v>
                </c:pt>
                <c:pt idx="202">
                  <c:v>1023.292992280768</c:v>
                </c:pt>
                <c:pt idx="203">
                  <c:v>1035.142166679358</c:v>
                </c:pt>
                <c:pt idx="204">
                  <c:v>1047.128548050914</c:v>
                </c:pt>
                <c:pt idx="205">
                  <c:v>1059.253725177303</c:v>
                </c:pt>
                <c:pt idx="206">
                  <c:v>1071.519305237621</c:v>
                </c:pt>
                <c:pt idx="207">
                  <c:v>1083.926914021218</c:v>
                </c:pt>
                <c:pt idx="208">
                  <c:v>1096.4781961432</c:v>
                </c:pt>
                <c:pt idx="209">
                  <c:v>1109.174815262417</c:v>
                </c:pt>
                <c:pt idx="210">
                  <c:v>1122.018454301979</c:v>
                </c:pt>
                <c:pt idx="211">
                  <c:v>1135.010815672331</c:v>
                </c:pt>
                <c:pt idx="212">
                  <c:v>1148.153621496899</c:v>
                </c:pt>
                <c:pt idx="213">
                  <c:v>1161.448613840359</c:v>
                </c:pt>
                <c:pt idx="214">
                  <c:v>1174.897554939546</c:v>
                </c:pt>
                <c:pt idx="215">
                  <c:v>1188.502227437036</c:v>
                </c:pt>
                <c:pt idx="216">
                  <c:v>1202.26443461743</c:v>
                </c:pt>
                <c:pt idx="217">
                  <c:v>1216.186000646386</c:v>
                </c:pt>
                <c:pt idx="218">
                  <c:v>1230.268770812399</c:v>
                </c:pt>
                <c:pt idx="219">
                  <c:v>1244.514611771403</c:v>
                </c:pt>
                <c:pt idx="220">
                  <c:v>1258.925411794185</c:v>
                </c:pt>
                <c:pt idx="221">
                  <c:v>1273.50308101668</c:v>
                </c:pt>
                <c:pt idx="222">
                  <c:v>1288.249551693153</c:v>
                </c:pt>
                <c:pt idx="223">
                  <c:v>1303.166778452319</c:v>
                </c:pt>
                <c:pt idx="224">
                  <c:v>1318.256738556427</c:v>
                </c:pt>
                <c:pt idx="225">
                  <c:v>1333.521432163344</c:v>
                </c:pt>
                <c:pt idx="226">
                  <c:v>1348.962882591674</c:v>
                </c:pt>
                <c:pt idx="227">
                  <c:v>1364.583136588945</c:v>
                </c:pt>
                <c:pt idx="228">
                  <c:v>1380.384264602906</c:v>
                </c:pt>
                <c:pt idx="229">
                  <c:v>1396.368361055959</c:v>
                </c:pt>
                <c:pt idx="230">
                  <c:v>1412.537544622776</c:v>
                </c:pt>
                <c:pt idx="231">
                  <c:v>1428.893958511125</c:v>
                </c:pt>
                <c:pt idx="232">
                  <c:v>1445.43977074595</c:v>
                </c:pt>
                <c:pt idx="233">
                  <c:v>1462.177174456741</c:v>
                </c:pt>
                <c:pt idx="234">
                  <c:v>1479.10838816823</c:v>
                </c:pt>
                <c:pt idx="235">
                  <c:v>1496.235656094457</c:v>
                </c:pt>
                <c:pt idx="236">
                  <c:v>1513.561248436232</c:v>
                </c:pt>
                <c:pt idx="237">
                  <c:v>1531.087461682054</c:v>
                </c:pt>
                <c:pt idx="238">
                  <c:v>1548.816618912506</c:v>
                </c:pt>
                <c:pt idx="239">
                  <c:v>1566.751070108174</c:v>
                </c:pt>
                <c:pt idx="240">
                  <c:v>1584.893192461139</c:v>
                </c:pt>
                <c:pt idx="241">
                  <c:v>1603.245390690067</c:v>
                </c:pt>
                <c:pt idx="242">
                  <c:v>1621.810097358956</c:v>
                </c:pt>
                <c:pt idx="243">
                  <c:v>1640.589773199566</c:v>
                </c:pt>
                <c:pt idx="244">
                  <c:v>1659.586907437588</c:v>
                </c:pt>
                <c:pt idx="245">
                  <c:v>1678.804018122588</c:v>
                </c:pt>
                <c:pt idx="246">
                  <c:v>1698.243652461772</c:v>
                </c:pt>
                <c:pt idx="247">
                  <c:v>1717.908387157617</c:v>
                </c:pt>
                <c:pt idx="248">
                  <c:v>1737.800828749404</c:v>
                </c:pt>
                <c:pt idx="249">
                  <c:v>1757.923613958722</c:v>
                </c:pt>
                <c:pt idx="250">
                  <c:v>1778.279410038952</c:v>
                </c:pt>
                <c:pt idx="251">
                  <c:v>1798.870915128818</c:v>
                </c:pt>
                <c:pt idx="252">
                  <c:v>1819.700858610014</c:v>
                </c:pt>
                <c:pt idx="253">
                  <c:v>1840.772001468987</c:v>
                </c:pt>
                <c:pt idx="254">
                  <c:v>1862.087136662899</c:v>
                </c:pt>
                <c:pt idx="255">
                  <c:v>1883.649089489832</c:v>
                </c:pt>
                <c:pt idx="256">
                  <c:v>1905.46071796328</c:v>
                </c:pt>
                <c:pt idx="257">
                  <c:v>1927.524913190969</c:v>
                </c:pt>
                <c:pt idx="258">
                  <c:v>1949.844599758079</c:v>
                </c:pt>
                <c:pt idx="259">
                  <c:v>1972.422736114888</c:v>
                </c:pt>
                <c:pt idx="260">
                  <c:v>1995.262314968914</c:v>
                </c:pt>
                <c:pt idx="261">
                  <c:v>2018.366363681596</c:v>
                </c:pt>
                <c:pt idx="262">
                  <c:v>2041.737944669565</c:v>
                </c:pt>
                <c:pt idx="263">
                  <c:v>2065.380155810566</c:v>
                </c:pt>
                <c:pt idx="264">
                  <c:v>2089.296130854076</c:v>
                </c:pt>
                <c:pt idx="265">
                  <c:v>2113.489039836684</c:v>
                </c:pt>
                <c:pt idx="266">
                  <c:v>2137.96208950227</c:v>
                </c:pt>
                <c:pt idx="267">
                  <c:v>2162.718523727059</c:v>
                </c:pt>
                <c:pt idx="268">
                  <c:v>2187.761623949591</c:v>
                </c:pt>
                <c:pt idx="269">
                  <c:v>2213.094709605677</c:v>
                </c:pt>
                <c:pt idx="270">
                  <c:v>2238.72113856838</c:v>
                </c:pt>
                <c:pt idx="271">
                  <c:v>2264.6443075931</c:v>
                </c:pt>
                <c:pt idx="272">
                  <c:v>2290.867652767814</c:v>
                </c:pt>
                <c:pt idx="273">
                  <c:v>2317.394649968521</c:v>
                </c:pt>
                <c:pt idx="274">
                  <c:v>2344.228815319965</c:v>
                </c:pt>
                <c:pt idx="275">
                  <c:v>2371.373705661698</c:v>
                </c:pt>
                <c:pt idx="276">
                  <c:v>2398.832919019535</c:v>
                </c:pt>
                <c:pt idx="277">
                  <c:v>2426.61009508246</c:v>
                </c:pt>
                <c:pt idx="278">
                  <c:v>2454.708915685076</c:v>
                </c:pt>
                <c:pt idx="279">
                  <c:v>2483.133105295616</c:v>
                </c:pt>
                <c:pt idx="280">
                  <c:v>2511.886431509627</c:v>
                </c:pt>
                <c:pt idx="281">
                  <c:v>2540.972705549353</c:v>
                </c:pt>
                <c:pt idx="282">
                  <c:v>2570.395782768912</c:v>
                </c:pt>
                <c:pt idx="283">
                  <c:v>2600.159563165321</c:v>
                </c:pt>
                <c:pt idx="284">
                  <c:v>2630.267991895431</c:v>
                </c:pt>
                <c:pt idx="285">
                  <c:v>2660.72505979886</c:v>
                </c:pt>
                <c:pt idx="286">
                  <c:v>2691.534803926967</c:v>
                </c:pt>
                <c:pt idx="287">
                  <c:v>2722.701308077964</c:v>
                </c:pt>
                <c:pt idx="288">
                  <c:v>2754.228703338219</c:v>
                </c:pt>
                <c:pt idx="289">
                  <c:v>2786.121168629824</c:v>
                </c:pt>
                <c:pt idx="290">
                  <c:v>2818.382931264508</c:v>
                </c:pt>
                <c:pt idx="291">
                  <c:v>2851.018267503965</c:v>
                </c:pt>
                <c:pt idx="292">
                  <c:v>2884.031503126662</c:v>
                </c:pt>
                <c:pt idx="293">
                  <c:v>2917.427014001224</c:v>
                </c:pt>
                <c:pt idx="294">
                  <c:v>2951.209226666444</c:v>
                </c:pt>
                <c:pt idx="295">
                  <c:v>2985.382618918018</c:v>
                </c:pt>
                <c:pt idx="296">
                  <c:v>3019.951720402076</c:v>
                </c:pt>
                <c:pt idx="297">
                  <c:v>3054.921113215574</c:v>
                </c:pt>
                <c:pt idx="298">
                  <c:v>3090.295432513652</c:v>
                </c:pt>
                <c:pt idx="299">
                  <c:v>3126.079367124017</c:v>
                </c:pt>
                <c:pt idx="300">
                  <c:v>3162.277660168443</c:v>
                </c:pt>
                <c:pt idx="301">
                  <c:v>3198.895109691462</c:v>
                </c:pt>
                <c:pt idx="302">
                  <c:v>3235.936569296348</c:v>
                </c:pt>
                <c:pt idx="303">
                  <c:v>3273.406948788448</c:v>
                </c:pt>
                <c:pt idx="304">
                  <c:v>3311.311214825978</c:v>
                </c:pt>
                <c:pt idx="305">
                  <c:v>3349.654391578345</c:v>
                </c:pt>
                <c:pt idx="306">
                  <c:v>3388.441561392094</c:v>
                </c:pt>
                <c:pt idx="307">
                  <c:v>3427.677865464573</c:v>
                </c:pt>
                <c:pt idx="308">
                  <c:v>3467.368504525388</c:v>
                </c:pt>
                <c:pt idx="309">
                  <c:v>3507.518739525752</c:v>
                </c:pt>
                <c:pt idx="310">
                  <c:v>3548.133892335828</c:v>
                </c:pt>
                <c:pt idx="311">
                  <c:v>3589.219346450126</c:v>
                </c:pt>
                <c:pt idx="312">
                  <c:v>3630.780547701089</c:v>
                </c:pt>
                <c:pt idx="313">
                  <c:v>3672.823004980923</c:v>
                </c:pt>
                <c:pt idx="314">
                  <c:v>3715.352290971803</c:v>
                </c:pt>
                <c:pt idx="315">
                  <c:v>3758.37404288452</c:v>
                </c:pt>
                <c:pt idx="316">
                  <c:v>3801.893963205692</c:v>
                </c:pt>
                <c:pt idx="317">
                  <c:v>3845.917820453617</c:v>
                </c:pt>
                <c:pt idx="318">
                  <c:v>3890.451449942888</c:v>
                </c:pt>
                <c:pt idx="319">
                  <c:v>3935.500754557858</c:v>
                </c:pt>
                <c:pt idx="320">
                  <c:v>3981.071705535057</c:v>
                </c:pt>
                <c:pt idx="321">
                  <c:v>4027.170343254676</c:v>
                </c:pt>
                <c:pt idx="322">
                  <c:v>4073.802778041214</c:v>
                </c:pt>
                <c:pt idx="323">
                  <c:v>4120.97519097339</c:v>
                </c:pt>
                <c:pt idx="324">
                  <c:v>4168.693834703444</c:v>
                </c:pt>
                <c:pt idx="325">
                  <c:v>4216.965034285913</c:v>
                </c:pt>
                <c:pt idx="326">
                  <c:v>4265.795188016019</c:v>
                </c:pt>
                <c:pt idx="327">
                  <c:v>4315.190768277746</c:v>
                </c:pt>
                <c:pt idx="328">
                  <c:v>4365.158322401755</c:v>
                </c:pt>
                <c:pt idx="329">
                  <c:v>4415.704473533221</c:v>
                </c:pt>
                <c:pt idx="330">
                  <c:v>4466.835921509729</c:v>
                </c:pt>
                <c:pt idx="331">
                  <c:v>4518.559443749323</c:v>
                </c:pt>
                <c:pt idx="332">
                  <c:v>4570.881896148851</c:v>
                </c:pt>
                <c:pt idx="333">
                  <c:v>4623.810213992705</c:v>
                </c:pt>
                <c:pt idx="334">
                  <c:v>4677.351412872085</c:v>
                </c:pt>
                <c:pt idx="335">
                  <c:v>4731.51258961491</c:v>
                </c:pt>
                <c:pt idx="336">
                  <c:v>4786.30092322649</c:v>
                </c:pt>
                <c:pt idx="337">
                  <c:v>4841.723675841102</c:v>
                </c:pt>
                <c:pt idx="338">
                  <c:v>4897.788193684572</c:v>
                </c:pt>
                <c:pt idx="339">
                  <c:v>4954.501908048014</c:v>
                </c:pt>
                <c:pt idx="340">
                  <c:v>5011.872336272836</c:v>
                </c:pt>
                <c:pt idx="341">
                  <c:v>5069.907082747159</c:v>
                </c:pt>
                <c:pt idx="342">
                  <c:v>5128.613839913764</c:v>
                </c:pt>
                <c:pt idx="343">
                  <c:v>5188.000389289729</c:v>
                </c:pt>
                <c:pt idx="344">
                  <c:v>5248.074602497846</c:v>
                </c:pt>
                <c:pt idx="345">
                  <c:v>5308.844442310005</c:v>
                </c:pt>
                <c:pt idx="346">
                  <c:v>5370.317963702651</c:v>
                </c:pt>
                <c:pt idx="347">
                  <c:v>5432.503314924457</c:v>
                </c:pt>
                <c:pt idx="348">
                  <c:v>5495.408738576372</c:v>
                </c:pt>
                <c:pt idx="349">
                  <c:v>5559.042572704165</c:v>
                </c:pt>
                <c:pt idx="350">
                  <c:v>5623.413251903621</c:v>
                </c:pt>
                <c:pt idx="351">
                  <c:v>5688.529308438548</c:v>
                </c:pt>
                <c:pt idx="352">
                  <c:v>5754.399373371703</c:v>
                </c:pt>
                <c:pt idx="353">
                  <c:v>5821.032177708851</c:v>
                </c:pt>
                <c:pt idx="354">
                  <c:v>5888.436553556028</c:v>
                </c:pt>
                <c:pt idx="355">
                  <c:v>5956.621435290245</c:v>
                </c:pt>
                <c:pt idx="356">
                  <c:v>6025.59586074372</c:v>
                </c:pt>
                <c:pt idx="357">
                  <c:v>6095.368972401836</c:v>
                </c:pt>
                <c:pt idx="358">
                  <c:v>6165.950018614969</c:v>
                </c:pt>
                <c:pt idx="359">
                  <c:v>6237.348354824341</c:v>
                </c:pt>
                <c:pt idx="360">
                  <c:v>6309.573444802083</c:v>
                </c:pt>
                <c:pt idx="361">
                  <c:v>6382.63486190564</c:v>
                </c:pt>
                <c:pt idx="362">
                  <c:v>6456.542290346711</c:v>
                </c:pt>
                <c:pt idx="363">
                  <c:v>6531.305526474881</c:v>
                </c:pt>
                <c:pt idx="364">
                  <c:v>6606.93448007612</c:v>
                </c:pt>
                <c:pt idx="365">
                  <c:v>6683.439175686309</c:v>
                </c:pt>
                <c:pt idx="366">
                  <c:v>6760.829753919982</c:v>
                </c:pt>
                <c:pt idx="367">
                  <c:v>6839.11647281446</c:v>
                </c:pt>
                <c:pt idx="368">
                  <c:v>6918.309709189533</c:v>
                </c:pt>
                <c:pt idx="369">
                  <c:v>6998.419960022906</c:v>
                </c:pt>
                <c:pt idx="370">
                  <c:v>7079.457843841553</c:v>
                </c:pt>
                <c:pt idx="371">
                  <c:v>7161.434102129197</c:v>
                </c:pt>
                <c:pt idx="372">
                  <c:v>7244.35960075008</c:v>
                </c:pt>
                <c:pt idx="373">
                  <c:v>7328.245331389222</c:v>
                </c:pt>
                <c:pt idx="374">
                  <c:v>7413.102413009359</c:v>
                </c:pt>
                <c:pt idx="375">
                  <c:v>7498.942093324745</c:v>
                </c:pt>
                <c:pt idx="376">
                  <c:v>7585.775750292028</c:v>
                </c:pt>
                <c:pt idx="377">
                  <c:v>7673.614893618383</c:v>
                </c:pt>
                <c:pt idx="378">
                  <c:v>7762.471166287112</c:v>
                </c:pt>
                <c:pt idx="379">
                  <c:v>7852.356346100916</c:v>
                </c:pt>
                <c:pt idx="380">
                  <c:v>7943.282347243015</c:v>
                </c:pt>
                <c:pt idx="381">
                  <c:v>8035.261221856376</c:v>
                </c:pt>
                <c:pt idx="382">
                  <c:v>8128.305161641199</c:v>
                </c:pt>
                <c:pt idx="383">
                  <c:v>8222.426499470921</c:v>
                </c:pt>
                <c:pt idx="384">
                  <c:v>8317.637711026922</c:v>
                </c:pt>
                <c:pt idx="385">
                  <c:v>8413.951416452166</c:v>
                </c:pt>
                <c:pt idx="386">
                  <c:v>8511.380382023983</c:v>
                </c:pt>
                <c:pt idx="387">
                  <c:v>8609.937521846228</c:v>
                </c:pt>
                <c:pt idx="388">
                  <c:v>8709.635899561032</c:v>
                </c:pt>
                <c:pt idx="389">
                  <c:v>8810.488730080368</c:v>
                </c:pt>
                <c:pt idx="390">
                  <c:v>8912.509381337686</c:v>
                </c:pt>
                <c:pt idx="391">
                  <c:v>9015.711376059804</c:v>
                </c:pt>
                <c:pt idx="392">
                  <c:v>9120.108393559334</c:v>
                </c:pt>
                <c:pt idx="393">
                  <c:v>9225.714271547873</c:v>
                </c:pt>
                <c:pt idx="394">
                  <c:v>9332.543007970155</c:v>
                </c:pt>
                <c:pt idx="395">
                  <c:v>9440.608762859481</c:v>
                </c:pt>
                <c:pt idx="396">
                  <c:v>9549.925860214611</c:v>
                </c:pt>
                <c:pt idx="397">
                  <c:v>9660.508789898387</c:v>
                </c:pt>
                <c:pt idx="398">
                  <c:v>9772.372209558365</c:v>
                </c:pt>
                <c:pt idx="399">
                  <c:v>9885.53094656965</c:v>
                </c:pt>
                <c:pt idx="400">
                  <c:v>10000.00000000027</c:v>
                </c:pt>
                <c:pt idx="401">
                  <c:v>10115.79454259925</c:v>
                </c:pt>
                <c:pt idx="402">
                  <c:v>10232.92992280781</c:v>
                </c:pt>
                <c:pt idx="403">
                  <c:v>10351.42166679371</c:v>
                </c:pt>
                <c:pt idx="404">
                  <c:v>10471.28548050928</c:v>
                </c:pt>
                <c:pt idx="405">
                  <c:v>10592.53725177317</c:v>
                </c:pt>
                <c:pt idx="406">
                  <c:v>10715.19305237635</c:v>
                </c:pt>
                <c:pt idx="407">
                  <c:v>10839.26914021233</c:v>
                </c:pt>
                <c:pt idx="408">
                  <c:v>10964.78196143215</c:v>
                </c:pt>
                <c:pt idx="409">
                  <c:v>11091.74815262431</c:v>
                </c:pt>
                <c:pt idx="410">
                  <c:v>11220.18454301994</c:v>
                </c:pt>
                <c:pt idx="411">
                  <c:v>11350.10815672346</c:v>
                </c:pt>
                <c:pt idx="412">
                  <c:v>11481.53621496914</c:v>
                </c:pt>
                <c:pt idx="413">
                  <c:v>11614.48613840375</c:v>
                </c:pt>
                <c:pt idx="414">
                  <c:v>11748.97554939562</c:v>
                </c:pt>
                <c:pt idx="415">
                  <c:v>11885.02227437051</c:v>
                </c:pt>
                <c:pt idx="416">
                  <c:v>12022.64434617446</c:v>
                </c:pt>
                <c:pt idx="417">
                  <c:v>12161.86000646402</c:v>
                </c:pt>
                <c:pt idx="418">
                  <c:v>12302.68770812416</c:v>
                </c:pt>
                <c:pt idx="419">
                  <c:v>12445.1461177142</c:v>
                </c:pt>
                <c:pt idx="420">
                  <c:v>12589.25411794202</c:v>
                </c:pt>
                <c:pt idx="421">
                  <c:v>12735.03081016697</c:v>
                </c:pt>
                <c:pt idx="422">
                  <c:v>12882.4955169317</c:v>
                </c:pt>
                <c:pt idx="423">
                  <c:v>13031.66778452336</c:v>
                </c:pt>
                <c:pt idx="424">
                  <c:v>13182.56738556444</c:v>
                </c:pt>
                <c:pt idx="425">
                  <c:v>13335.21432163362</c:v>
                </c:pt>
                <c:pt idx="426">
                  <c:v>13489.62882591692</c:v>
                </c:pt>
                <c:pt idx="427">
                  <c:v>13645.83136588963</c:v>
                </c:pt>
                <c:pt idx="428">
                  <c:v>13803.84264602924</c:v>
                </c:pt>
                <c:pt idx="429">
                  <c:v>13963.68361055978</c:v>
                </c:pt>
                <c:pt idx="430">
                  <c:v>14125.37544622795</c:v>
                </c:pt>
                <c:pt idx="431">
                  <c:v>14288.93958511144</c:v>
                </c:pt>
                <c:pt idx="432">
                  <c:v>14454.39770745969</c:v>
                </c:pt>
                <c:pt idx="433">
                  <c:v>14621.7717445676</c:v>
                </c:pt>
                <c:pt idx="434">
                  <c:v>14791.0838816825</c:v>
                </c:pt>
                <c:pt idx="435">
                  <c:v>14962.35656094477</c:v>
                </c:pt>
                <c:pt idx="436">
                  <c:v>15135.61248436252</c:v>
                </c:pt>
                <c:pt idx="437">
                  <c:v>15310.87461682075</c:v>
                </c:pt>
                <c:pt idx="438">
                  <c:v>15488.16618912526</c:v>
                </c:pt>
                <c:pt idx="439">
                  <c:v>15667.51070108195</c:v>
                </c:pt>
                <c:pt idx="440">
                  <c:v>15848.9319246116</c:v>
                </c:pt>
                <c:pt idx="441">
                  <c:v>16032.45390690088</c:v>
                </c:pt>
                <c:pt idx="442">
                  <c:v>16218.10097358978</c:v>
                </c:pt>
                <c:pt idx="443">
                  <c:v>16405.89773199588</c:v>
                </c:pt>
                <c:pt idx="444">
                  <c:v>16595.8690743761</c:v>
                </c:pt>
                <c:pt idx="445">
                  <c:v>16788.0401812261</c:v>
                </c:pt>
                <c:pt idx="446">
                  <c:v>16982.43652461795</c:v>
                </c:pt>
                <c:pt idx="447">
                  <c:v>17179.08387157639</c:v>
                </c:pt>
                <c:pt idx="448">
                  <c:v>17378.00828749427</c:v>
                </c:pt>
                <c:pt idx="449">
                  <c:v>17579.23613958745</c:v>
                </c:pt>
                <c:pt idx="450">
                  <c:v>17782.79410038976</c:v>
                </c:pt>
                <c:pt idx="451">
                  <c:v>17988.70915128842</c:v>
                </c:pt>
                <c:pt idx="452">
                  <c:v>18197.00858610038</c:v>
                </c:pt>
                <c:pt idx="453">
                  <c:v>18407.72001469011</c:v>
                </c:pt>
                <c:pt idx="454">
                  <c:v>18620.87136662924</c:v>
                </c:pt>
                <c:pt idx="455">
                  <c:v>18836.49089489858</c:v>
                </c:pt>
                <c:pt idx="456">
                  <c:v>19054.60717963305</c:v>
                </c:pt>
                <c:pt idx="457">
                  <c:v>19275.24913190995</c:v>
                </c:pt>
                <c:pt idx="458">
                  <c:v>19498.44599758105</c:v>
                </c:pt>
                <c:pt idx="459">
                  <c:v>19724.22736114914</c:v>
                </c:pt>
                <c:pt idx="460">
                  <c:v>19952.62314968941</c:v>
                </c:pt>
                <c:pt idx="461">
                  <c:v>20183.66363681623</c:v>
                </c:pt>
                <c:pt idx="462">
                  <c:v>20417.37944669592</c:v>
                </c:pt>
                <c:pt idx="463">
                  <c:v>20653.80155810593</c:v>
                </c:pt>
                <c:pt idx="464">
                  <c:v>20892.96130854104</c:v>
                </c:pt>
                <c:pt idx="465">
                  <c:v>21134.89039836712</c:v>
                </c:pt>
                <c:pt idx="466">
                  <c:v>21379.62089502298</c:v>
                </c:pt>
                <c:pt idx="467">
                  <c:v>21627.18523727087</c:v>
                </c:pt>
                <c:pt idx="468">
                  <c:v>21877.6162394962</c:v>
                </c:pt>
                <c:pt idx="469">
                  <c:v>22130.94709605707</c:v>
                </c:pt>
                <c:pt idx="470">
                  <c:v>22387.2113856841</c:v>
                </c:pt>
                <c:pt idx="471">
                  <c:v>22646.4430759313</c:v>
                </c:pt>
                <c:pt idx="472">
                  <c:v>22908.67652767845</c:v>
                </c:pt>
                <c:pt idx="473">
                  <c:v>23173.94649968551</c:v>
                </c:pt>
                <c:pt idx="474">
                  <c:v>23442.28815319996</c:v>
                </c:pt>
                <c:pt idx="475">
                  <c:v>23713.7370566173</c:v>
                </c:pt>
                <c:pt idx="476">
                  <c:v>23988.32919019566</c:v>
                </c:pt>
                <c:pt idx="477">
                  <c:v>24266.10095082492</c:v>
                </c:pt>
                <c:pt idx="478">
                  <c:v>24547.08915685109</c:v>
                </c:pt>
                <c:pt idx="479">
                  <c:v>24831.3310529565</c:v>
                </c:pt>
                <c:pt idx="480">
                  <c:v>25118.8643150966</c:v>
                </c:pt>
                <c:pt idx="481">
                  <c:v>25409.72705549386</c:v>
                </c:pt>
                <c:pt idx="482">
                  <c:v>25703.95782768946</c:v>
                </c:pt>
                <c:pt idx="483">
                  <c:v>26001.59563165356</c:v>
                </c:pt>
                <c:pt idx="484">
                  <c:v>26302.67991895467</c:v>
                </c:pt>
                <c:pt idx="485">
                  <c:v>26607.25059798895</c:v>
                </c:pt>
                <c:pt idx="486">
                  <c:v>26915.34803927003</c:v>
                </c:pt>
                <c:pt idx="487">
                  <c:v>27227.01308078001</c:v>
                </c:pt>
                <c:pt idx="488">
                  <c:v>27542.28703338256</c:v>
                </c:pt>
                <c:pt idx="489">
                  <c:v>27861.21168629861</c:v>
                </c:pt>
                <c:pt idx="490">
                  <c:v>28183.82931264546</c:v>
                </c:pt>
                <c:pt idx="491">
                  <c:v>28510.18267504002</c:v>
                </c:pt>
                <c:pt idx="492">
                  <c:v>28840.315031267</c:v>
                </c:pt>
                <c:pt idx="493">
                  <c:v>29174.27014001262</c:v>
                </c:pt>
                <c:pt idx="494">
                  <c:v>29512.09226666483</c:v>
                </c:pt>
                <c:pt idx="495">
                  <c:v>29853.82618918058</c:v>
                </c:pt>
                <c:pt idx="496">
                  <c:v>30199.51720402116</c:v>
                </c:pt>
                <c:pt idx="497">
                  <c:v>30549.21113215614</c:v>
                </c:pt>
                <c:pt idx="498">
                  <c:v>30902.95432513693</c:v>
                </c:pt>
                <c:pt idx="499">
                  <c:v>31260.79367124059</c:v>
                </c:pt>
                <c:pt idx="500">
                  <c:v>31622.77660168484</c:v>
                </c:pt>
                <c:pt idx="501">
                  <c:v>31988.95109691505</c:v>
                </c:pt>
                <c:pt idx="502">
                  <c:v>32359.3656929639</c:v>
                </c:pt>
                <c:pt idx="503">
                  <c:v>32734.06948788491</c:v>
                </c:pt>
                <c:pt idx="504">
                  <c:v>33113.11214826022</c:v>
                </c:pt>
                <c:pt idx="505">
                  <c:v>33496.54391578389</c:v>
                </c:pt>
                <c:pt idx="506">
                  <c:v>33884.4156139214</c:v>
                </c:pt>
                <c:pt idx="507">
                  <c:v>34276.77865464619</c:v>
                </c:pt>
                <c:pt idx="508">
                  <c:v>34673.68504525434</c:v>
                </c:pt>
                <c:pt idx="509">
                  <c:v>35075.18739525798</c:v>
                </c:pt>
                <c:pt idx="510">
                  <c:v>35481.33892335875</c:v>
                </c:pt>
                <c:pt idx="511">
                  <c:v>35892.19346450174</c:v>
                </c:pt>
                <c:pt idx="512">
                  <c:v>36307.80547701137</c:v>
                </c:pt>
                <c:pt idx="513">
                  <c:v>36728.23004980972</c:v>
                </c:pt>
                <c:pt idx="514">
                  <c:v>37153.52290971852</c:v>
                </c:pt>
                <c:pt idx="515">
                  <c:v>37583.7404288457</c:v>
                </c:pt>
                <c:pt idx="516">
                  <c:v>38018.93963205742</c:v>
                </c:pt>
                <c:pt idx="517">
                  <c:v>38459.17820453668</c:v>
                </c:pt>
                <c:pt idx="518">
                  <c:v>38904.5144994294</c:v>
                </c:pt>
                <c:pt idx="519">
                  <c:v>39355.0075455791</c:v>
                </c:pt>
                <c:pt idx="520">
                  <c:v>39810.7170553511</c:v>
                </c:pt>
                <c:pt idx="521">
                  <c:v>40271.70343254731</c:v>
                </c:pt>
                <c:pt idx="522">
                  <c:v>40738.02778041269</c:v>
                </c:pt>
                <c:pt idx="523">
                  <c:v>41209.75190973446</c:v>
                </c:pt>
                <c:pt idx="524">
                  <c:v>41686.93834703499</c:v>
                </c:pt>
                <c:pt idx="525">
                  <c:v>42169.65034285969</c:v>
                </c:pt>
                <c:pt idx="526">
                  <c:v>42657.95188016076</c:v>
                </c:pt>
                <c:pt idx="527">
                  <c:v>43151.90768277804</c:v>
                </c:pt>
                <c:pt idx="528">
                  <c:v>43651.58322401813</c:v>
                </c:pt>
                <c:pt idx="529">
                  <c:v>44157.0447353328</c:v>
                </c:pt>
                <c:pt idx="530">
                  <c:v>44668.35921509788</c:v>
                </c:pt>
                <c:pt idx="531">
                  <c:v>45185.59443749383</c:v>
                </c:pt>
                <c:pt idx="532">
                  <c:v>45708.81896148912</c:v>
                </c:pt>
                <c:pt idx="533">
                  <c:v>46238.10213992767</c:v>
                </c:pt>
                <c:pt idx="534">
                  <c:v>46773.51412872148</c:v>
                </c:pt>
                <c:pt idx="535">
                  <c:v>47315.12589614973</c:v>
                </c:pt>
                <c:pt idx="536">
                  <c:v>47863.00923226554</c:v>
                </c:pt>
                <c:pt idx="537">
                  <c:v>48417.23675841166</c:v>
                </c:pt>
                <c:pt idx="538">
                  <c:v>48977.88193684637</c:v>
                </c:pt>
                <c:pt idx="539">
                  <c:v>49545.01908048079</c:v>
                </c:pt>
                <c:pt idx="540">
                  <c:v>50118.72336272903</c:v>
                </c:pt>
                <c:pt idx="541">
                  <c:v>50699.07082747226</c:v>
                </c:pt>
                <c:pt idx="542">
                  <c:v>51286.13839913834</c:v>
                </c:pt>
                <c:pt idx="543">
                  <c:v>51880.00389289798</c:v>
                </c:pt>
                <c:pt idx="544">
                  <c:v>52480.74602497915</c:v>
                </c:pt>
                <c:pt idx="545">
                  <c:v>53088.44442310076</c:v>
                </c:pt>
                <c:pt idx="546">
                  <c:v>53703.17963702722</c:v>
                </c:pt>
                <c:pt idx="547">
                  <c:v>54325.03314924529</c:v>
                </c:pt>
                <c:pt idx="548">
                  <c:v>54954.08738576445</c:v>
                </c:pt>
                <c:pt idx="549">
                  <c:v>55590.42572704238</c:v>
                </c:pt>
                <c:pt idx="550">
                  <c:v>56234.13251903696</c:v>
                </c:pt>
                <c:pt idx="551">
                  <c:v>56885.29308438623</c:v>
                </c:pt>
                <c:pt idx="552">
                  <c:v>57543.99373371781</c:v>
                </c:pt>
                <c:pt idx="553">
                  <c:v>58210.32177708928</c:v>
                </c:pt>
                <c:pt idx="554">
                  <c:v>58884.36553556106</c:v>
                </c:pt>
                <c:pt idx="555">
                  <c:v>59566.21435290324</c:v>
                </c:pt>
                <c:pt idx="556">
                  <c:v>60255.95860743801</c:v>
                </c:pt>
                <c:pt idx="557">
                  <c:v>60953.68972401917</c:v>
                </c:pt>
                <c:pt idx="558">
                  <c:v>61659.5001861505</c:v>
                </c:pt>
                <c:pt idx="559">
                  <c:v>62373.48354824424</c:v>
                </c:pt>
                <c:pt idx="560">
                  <c:v>63095.73444802168</c:v>
                </c:pt>
                <c:pt idx="561">
                  <c:v>63826.34861905725</c:v>
                </c:pt>
                <c:pt idx="562">
                  <c:v>64565.42290346796</c:v>
                </c:pt>
                <c:pt idx="563">
                  <c:v>65313.05526474967</c:v>
                </c:pt>
                <c:pt idx="564">
                  <c:v>66069.34480076208</c:v>
                </c:pt>
                <c:pt idx="565">
                  <c:v>66834.39175686396</c:v>
                </c:pt>
                <c:pt idx="566">
                  <c:v>67608.29753920072</c:v>
                </c:pt>
                <c:pt idx="567">
                  <c:v>68391.16472814551</c:v>
                </c:pt>
                <c:pt idx="568">
                  <c:v>69183.09709189627</c:v>
                </c:pt>
                <c:pt idx="569">
                  <c:v>69984.19960023</c:v>
                </c:pt>
                <c:pt idx="570">
                  <c:v>70794.57843841647</c:v>
                </c:pt>
                <c:pt idx="571">
                  <c:v>71614.34102129292</c:v>
                </c:pt>
                <c:pt idx="572">
                  <c:v>72443.59600750176</c:v>
                </c:pt>
                <c:pt idx="573">
                  <c:v>73282.4533138932</c:v>
                </c:pt>
                <c:pt idx="574">
                  <c:v>74131.02413009458</c:v>
                </c:pt>
                <c:pt idx="575">
                  <c:v>74989.42093324845</c:v>
                </c:pt>
                <c:pt idx="576">
                  <c:v>75857.75750292127</c:v>
                </c:pt>
                <c:pt idx="577">
                  <c:v>76736.14893618484</c:v>
                </c:pt>
                <c:pt idx="578">
                  <c:v>77624.71166287216</c:v>
                </c:pt>
                <c:pt idx="579">
                  <c:v>78523.5634610102</c:v>
                </c:pt>
                <c:pt idx="580">
                  <c:v>79432.82347243121</c:v>
                </c:pt>
                <c:pt idx="581">
                  <c:v>80352.61221856483</c:v>
                </c:pt>
                <c:pt idx="582">
                  <c:v>81283.05161641307</c:v>
                </c:pt>
                <c:pt idx="583">
                  <c:v>82224.26499471031</c:v>
                </c:pt>
                <c:pt idx="584">
                  <c:v>83176.37711027033</c:v>
                </c:pt>
                <c:pt idx="585">
                  <c:v>84139.51416452278</c:v>
                </c:pt>
                <c:pt idx="586">
                  <c:v>85113.80382024095</c:v>
                </c:pt>
                <c:pt idx="587">
                  <c:v>86099.37521846342</c:v>
                </c:pt>
                <c:pt idx="588">
                  <c:v>87096.35899561147</c:v>
                </c:pt>
                <c:pt idx="589">
                  <c:v>88104.88730080485</c:v>
                </c:pt>
                <c:pt idx="590">
                  <c:v>89125.09381337804</c:v>
                </c:pt>
                <c:pt idx="591">
                  <c:v>90157.11376059923</c:v>
                </c:pt>
                <c:pt idx="592">
                  <c:v>91201.08393559456</c:v>
                </c:pt>
                <c:pt idx="593">
                  <c:v>92257.14271547995</c:v>
                </c:pt>
                <c:pt idx="594">
                  <c:v>93325.43007970278</c:v>
                </c:pt>
                <c:pt idx="595">
                  <c:v>94406.08762859607</c:v>
                </c:pt>
                <c:pt idx="596">
                  <c:v>95499.25860214738</c:v>
                </c:pt>
                <c:pt idx="597">
                  <c:v>96605.08789898518</c:v>
                </c:pt>
                <c:pt idx="598">
                  <c:v>97723.72209558495</c:v>
                </c:pt>
                <c:pt idx="599">
                  <c:v>98855.30946569782</c:v>
                </c:pt>
                <c:pt idx="600">
                  <c:v>100000.000000004</c:v>
                </c:pt>
                <c:pt idx="601">
                  <c:v>101157.9454259939</c:v>
                </c:pt>
                <c:pt idx="602">
                  <c:v>102329.2992280795</c:v>
                </c:pt>
                <c:pt idx="603">
                  <c:v>103514.2166679385</c:v>
                </c:pt>
                <c:pt idx="604">
                  <c:v>104712.8548050942</c:v>
                </c:pt>
                <c:pt idx="605">
                  <c:v>105925.3725177332</c:v>
                </c:pt>
                <c:pt idx="606">
                  <c:v>107151.930523765</c:v>
                </c:pt>
                <c:pt idx="607">
                  <c:v>108392.6914021247</c:v>
                </c:pt>
                <c:pt idx="608">
                  <c:v>109647.8196143229</c:v>
                </c:pt>
                <c:pt idx="609">
                  <c:v>110917.4815262446</c:v>
                </c:pt>
                <c:pt idx="610">
                  <c:v>112201.8454302009</c:v>
                </c:pt>
                <c:pt idx="611">
                  <c:v>113501.0815672361</c:v>
                </c:pt>
                <c:pt idx="612">
                  <c:v>114815.3621496929</c:v>
                </c:pt>
                <c:pt idx="613">
                  <c:v>116144.861384039</c:v>
                </c:pt>
                <c:pt idx="614">
                  <c:v>117489.7554939578</c:v>
                </c:pt>
                <c:pt idx="615">
                  <c:v>118850.2227437067</c:v>
                </c:pt>
                <c:pt idx="616">
                  <c:v>120226.4434617462</c:v>
                </c:pt>
                <c:pt idx="617">
                  <c:v>121618.6000646418</c:v>
                </c:pt>
                <c:pt idx="618">
                  <c:v>123026.8770812432</c:v>
                </c:pt>
                <c:pt idx="619">
                  <c:v>124451.4611771436</c:v>
                </c:pt>
                <c:pt idx="620">
                  <c:v>125892.5411794219</c:v>
                </c:pt>
                <c:pt idx="621">
                  <c:v>127350.3081016714</c:v>
                </c:pt>
                <c:pt idx="622">
                  <c:v>128824.9551693187</c:v>
                </c:pt>
                <c:pt idx="623">
                  <c:v>130316.6778452353</c:v>
                </c:pt>
                <c:pt idx="624">
                  <c:v>131825.6738556462</c:v>
                </c:pt>
                <c:pt idx="625">
                  <c:v>133352.143216338</c:v>
                </c:pt>
                <c:pt idx="626">
                  <c:v>134896.288259171</c:v>
                </c:pt>
                <c:pt idx="627">
                  <c:v>136458.3136588981</c:v>
                </c:pt>
                <c:pt idx="628">
                  <c:v>138038.4264602943</c:v>
                </c:pt>
                <c:pt idx="629">
                  <c:v>139636.8361055996</c:v>
                </c:pt>
                <c:pt idx="630">
                  <c:v>141253.7544622813</c:v>
                </c:pt>
                <c:pt idx="631">
                  <c:v>142889.3958511163</c:v>
                </c:pt>
                <c:pt idx="632">
                  <c:v>144543.9770745988</c:v>
                </c:pt>
                <c:pt idx="633">
                  <c:v>146217.717445678</c:v>
                </c:pt>
                <c:pt idx="634">
                  <c:v>147910.838816827</c:v>
                </c:pt>
                <c:pt idx="635">
                  <c:v>149623.5656094497</c:v>
                </c:pt>
                <c:pt idx="636">
                  <c:v>151356.1248436272</c:v>
                </c:pt>
                <c:pt idx="637">
                  <c:v>153108.7461682095</c:v>
                </c:pt>
                <c:pt idx="638">
                  <c:v>154881.6618912547</c:v>
                </c:pt>
                <c:pt idx="639">
                  <c:v>156675.1070108215</c:v>
                </c:pt>
                <c:pt idx="640">
                  <c:v>158489.3192461181</c:v>
                </c:pt>
                <c:pt idx="641">
                  <c:v>160324.539069011</c:v>
                </c:pt>
                <c:pt idx="642">
                  <c:v>162181.0097358999</c:v>
                </c:pt>
                <c:pt idx="643">
                  <c:v>164058.9773199609</c:v>
                </c:pt>
                <c:pt idx="644">
                  <c:v>165958.6907437632</c:v>
                </c:pt>
                <c:pt idx="645">
                  <c:v>167880.4018122632</c:v>
                </c:pt>
                <c:pt idx="646">
                  <c:v>169824.3652461817</c:v>
                </c:pt>
                <c:pt idx="647">
                  <c:v>171790.8387157662</c:v>
                </c:pt>
                <c:pt idx="648">
                  <c:v>173780.082874945</c:v>
                </c:pt>
                <c:pt idx="649">
                  <c:v>175792.3613958768</c:v>
                </c:pt>
                <c:pt idx="650">
                  <c:v>177827.9410039</c:v>
                </c:pt>
                <c:pt idx="651">
                  <c:v>179887.0915128865</c:v>
                </c:pt>
                <c:pt idx="652">
                  <c:v>181970.0858610062</c:v>
                </c:pt>
                <c:pt idx="653">
                  <c:v>184077.2001469036</c:v>
                </c:pt>
                <c:pt idx="654">
                  <c:v>186208.7136662948</c:v>
                </c:pt>
                <c:pt idx="655">
                  <c:v>188364.9089489882</c:v>
                </c:pt>
                <c:pt idx="656">
                  <c:v>190546.071796333</c:v>
                </c:pt>
                <c:pt idx="657">
                  <c:v>192752.491319102</c:v>
                </c:pt>
                <c:pt idx="658">
                  <c:v>194984.4599758131</c:v>
                </c:pt>
                <c:pt idx="659">
                  <c:v>197242.273611494</c:v>
                </c:pt>
                <c:pt idx="660">
                  <c:v>199526.2314968967</c:v>
                </c:pt>
                <c:pt idx="661">
                  <c:v>201836.636368165</c:v>
                </c:pt>
                <c:pt idx="662">
                  <c:v>204173.7944669619</c:v>
                </c:pt>
                <c:pt idx="663">
                  <c:v>206538.015581062</c:v>
                </c:pt>
                <c:pt idx="664">
                  <c:v>208929.6130854132</c:v>
                </c:pt>
                <c:pt idx="665">
                  <c:v>211348.903983674</c:v>
                </c:pt>
                <c:pt idx="666">
                  <c:v>213796.2089502327</c:v>
                </c:pt>
                <c:pt idx="667">
                  <c:v>216271.8523727116</c:v>
                </c:pt>
                <c:pt idx="668">
                  <c:v>218776.162394965</c:v>
                </c:pt>
                <c:pt idx="669">
                  <c:v>221309.4709605736</c:v>
                </c:pt>
                <c:pt idx="670">
                  <c:v>223872.1138568439</c:v>
                </c:pt>
                <c:pt idx="671">
                  <c:v>226464.4307593161</c:v>
                </c:pt>
                <c:pt idx="672">
                  <c:v>229086.7652767875</c:v>
                </c:pt>
                <c:pt idx="673">
                  <c:v>231739.4649968582</c:v>
                </c:pt>
                <c:pt idx="674">
                  <c:v>234422.8815320027</c:v>
                </c:pt>
                <c:pt idx="675">
                  <c:v>237137.3705661762</c:v>
                </c:pt>
                <c:pt idx="676">
                  <c:v>239883.2919019598</c:v>
                </c:pt>
                <c:pt idx="677">
                  <c:v>242661.0095082525</c:v>
                </c:pt>
                <c:pt idx="678">
                  <c:v>245470.8915685141</c:v>
                </c:pt>
                <c:pt idx="679">
                  <c:v>248313.3105295683</c:v>
                </c:pt>
                <c:pt idx="680">
                  <c:v>251188.6431509694</c:v>
                </c:pt>
                <c:pt idx="681">
                  <c:v>254097.270554942</c:v>
                </c:pt>
                <c:pt idx="682">
                  <c:v>257039.578276898</c:v>
                </c:pt>
                <c:pt idx="683">
                  <c:v>260015.956316539</c:v>
                </c:pt>
                <c:pt idx="684">
                  <c:v>263026.7991895502</c:v>
                </c:pt>
                <c:pt idx="685">
                  <c:v>266072.5059798931</c:v>
                </c:pt>
                <c:pt idx="686">
                  <c:v>269153.4803927038</c:v>
                </c:pt>
                <c:pt idx="687">
                  <c:v>272270.1308078037</c:v>
                </c:pt>
                <c:pt idx="688">
                  <c:v>275422.8703338292</c:v>
                </c:pt>
                <c:pt idx="689">
                  <c:v>278612.1168629898</c:v>
                </c:pt>
                <c:pt idx="690">
                  <c:v>281838.2931264583</c:v>
                </c:pt>
                <c:pt idx="691">
                  <c:v>285101.826750404</c:v>
                </c:pt>
                <c:pt idx="692">
                  <c:v>288403.1503126739</c:v>
                </c:pt>
                <c:pt idx="693">
                  <c:v>291742.7014001301</c:v>
                </c:pt>
                <c:pt idx="694">
                  <c:v>295120.9226666522</c:v>
                </c:pt>
                <c:pt idx="695">
                  <c:v>298538.2618918098</c:v>
                </c:pt>
                <c:pt idx="696">
                  <c:v>301995.1720402156</c:v>
                </c:pt>
                <c:pt idx="697">
                  <c:v>305492.1113215655</c:v>
                </c:pt>
                <c:pt idx="698">
                  <c:v>309029.5432513734</c:v>
                </c:pt>
                <c:pt idx="699">
                  <c:v>312607.93671241</c:v>
                </c:pt>
                <c:pt idx="700">
                  <c:v>316227.7660168526</c:v>
                </c:pt>
                <c:pt idx="701">
                  <c:v>319889.5109691547</c:v>
                </c:pt>
                <c:pt idx="702">
                  <c:v>323593.6569296434</c:v>
                </c:pt>
                <c:pt idx="703">
                  <c:v>327340.6948788535</c:v>
                </c:pt>
                <c:pt idx="704">
                  <c:v>331131.1214826066</c:v>
                </c:pt>
                <c:pt idx="705">
                  <c:v>334965.4391578434</c:v>
                </c:pt>
                <c:pt idx="706">
                  <c:v>338844.1561392185</c:v>
                </c:pt>
                <c:pt idx="707">
                  <c:v>342767.7865464665</c:v>
                </c:pt>
                <c:pt idx="708">
                  <c:v>346736.850452548</c:v>
                </c:pt>
                <c:pt idx="709">
                  <c:v>350751.8739525845</c:v>
                </c:pt>
                <c:pt idx="710">
                  <c:v>354813.3892335922</c:v>
                </c:pt>
                <c:pt idx="711">
                  <c:v>358921.9346450221</c:v>
                </c:pt>
                <c:pt idx="712">
                  <c:v>363078.0547701185</c:v>
                </c:pt>
                <c:pt idx="713">
                  <c:v>367282.3004981021</c:v>
                </c:pt>
                <c:pt idx="714">
                  <c:v>371535.2290971902</c:v>
                </c:pt>
                <c:pt idx="715">
                  <c:v>375837.404288462</c:v>
                </c:pt>
                <c:pt idx="716">
                  <c:v>380189.3963205793</c:v>
                </c:pt>
                <c:pt idx="717">
                  <c:v>384591.7820453719</c:v>
                </c:pt>
                <c:pt idx="718">
                  <c:v>389045.1449942992</c:v>
                </c:pt>
                <c:pt idx="719">
                  <c:v>393550.0754557963</c:v>
                </c:pt>
                <c:pt idx="720">
                  <c:v>398107.1705535163</c:v>
                </c:pt>
                <c:pt idx="721">
                  <c:v>402717.0343254784</c:v>
                </c:pt>
                <c:pt idx="722">
                  <c:v>407380.2778041323</c:v>
                </c:pt>
                <c:pt idx="723">
                  <c:v>412097.5190973501</c:v>
                </c:pt>
                <c:pt idx="724">
                  <c:v>416869.3834703555</c:v>
                </c:pt>
                <c:pt idx="725">
                  <c:v>421696.5034286026</c:v>
                </c:pt>
                <c:pt idx="726">
                  <c:v>426579.5188016132</c:v>
                </c:pt>
                <c:pt idx="727">
                  <c:v>431519.0768277861</c:v>
                </c:pt>
                <c:pt idx="728">
                  <c:v>436515.832240187</c:v>
                </c:pt>
                <c:pt idx="729">
                  <c:v>441570.4473533339</c:v>
                </c:pt>
                <c:pt idx="730">
                  <c:v>446683.5921509848</c:v>
                </c:pt>
                <c:pt idx="731">
                  <c:v>451855.9443749443</c:v>
                </c:pt>
                <c:pt idx="732">
                  <c:v>457088.1896148972</c:v>
                </c:pt>
                <c:pt idx="733">
                  <c:v>462381.0213992828</c:v>
                </c:pt>
                <c:pt idx="734">
                  <c:v>467735.141287221</c:v>
                </c:pt>
                <c:pt idx="735">
                  <c:v>473151.2589615036</c:v>
                </c:pt>
                <c:pt idx="736">
                  <c:v>478630.0923226618</c:v>
                </c:pt>
                <c:pt idx="737">
                  <c:v>484172.3675841231</c:v>
                </c:pt>
                <c:pt idx="738">
                  <c:v>489778.8193684702</c:v>
                </c:pt>
                <c:pt idx="739">
                  <c:v>495450.1908048145</c:v>
                </c:pt>
                <c:pt idx="740">
                  <c:v>501187.233627297</c:v>
                </c:pt>
                <c:pt idx="741">
                  <c:v>506990.7082747293</c:v>
                </c:pt>
                <c:pt idx="742">
                  <c:v>512861.3839913902</c:v>
                </c:pt>
                <c:pt idx="743">
                  <c:v>518800.0389289868</c:v>
                </c:pt>
                <c:pt idx="744">
                  <c:v>524807.4602497985</c:v>
                </c:pt>
                <c:pt idx="745">
                  <c:v>530884.4442310147</c:v>
                </c:pt>
                <c:pt idx="746">
                  <c:v>537031.7963702793</c:v>
                </c:pt>
                <c:pt idx="747">
                  <c:v>543250.3314924602</c:v>
                </c:pt>
                <c:pt idx="748">
                  <c:v>549540.8738576518</c:v>
                </c:pt>
                <c:pt idx="749">
                  <c:v>555904.2572704313</c:v>
                </c:pt>
                <c:pt idx="750">
                  <c:v>562341.3251903771</c:v>
                </c:pt>
                <c:pt idx="751">
                  <c:v>568852.9308438698</c:v>
                </c:pt>
                <c:pt idx="752">
                  <c:v>575439.9373371857</c:v>
                </c:pt>
                <c:pt idx="753">
                  <c:v>582103.2177709006</c:v>
                </c:pt>
                <c:pt idx="754">
                  <c:v>588843.6553556185</c:v>
                </c:pt>
                <c:pt idx="755">
                  <c:v>595662.1435290404</c:v>
                </c:pt>
                <c:pt idx="756">
                  <c:v>602559.5860743881</c:v>
                </c:pt>
                <c:pt idx="757">
                  <c:v>609536.8972401998</c:v>
                </c:pt>
                <c:pt idx="758">
                  <c:v>616595.0018615132</c:v>
                </c:pt>
                <c:pt idx="759">
                  <c:v>623734.8354824507</c:v>
                </c:pt>
                <c:pt idx="760">
                  <c:v>630957.3444802251</c:v>
                </c:pt>
                <c:pt idx="761">
                  <c:v>638263.486190581</c:v>
                </c:pt>
                <c:pt idx="762">
                  <c:v>645654.2290346882</c:v>
                </c:pt>
                <c:pt idx="763">
                  <c:v>653130.5526475054</c:v>
                </c:pt>
                <c:pt idx="764">
                  <c:v>660693.4480076296</c:v>
                </c:pt>
                <c:pt idx="765">
                  <c:v>668343.9175686486</c:v>
                </c:pt>
                <c:pt idx="766">
                  <c:v>676082.9753920162</c:v>
                </c:pt>
                <c:pt idx="767">
                  <c:v>683911.6472814642</c:v>
                </c:pt>
                <c:pt idx="768">
                  <c:v>691830.9709189718</c:v>
                </c:pt>
                <c:pt idx="769">
                  <c:v>699841.9960023093</c:v>
                </c:pt>
                <c:pt idx="770">
                  <c:v>707945.7843841742</c:v>
                </c:pt>
                <c:pt idx="771">
                  <c:v>716143.4102129388</c:v>
                </c:pt>
                <c:pt idx="772">
                  <c:v>724435.9600750272</c:v>
                </c:pt>
                <c:pt idx="773">
                  <c:v>732824.5331389417</c:v>
                </c:pt>
                <c:pt idx="774">
                  <c:v>741310.2413009556</c:v>
                </c:pt>
                <c:pt idx="775">
                  <c:v>749894.2093324945</c:v>
                </c:pt>
                <c:pt idx="776">
                  <c:v>758577.5750292229</c:v>
                </c:pt>
                <c:pt idx="777">
                  <c:v>767361.4893618586</c:v>
                </c:pt>
                <c:pt idx="778">
                  <c:v>776247.1166287318</c:v>
                </c:pt>
                <c:pt idx="779">
                  <c:v>785235.6346101124</c:v>
                </c:pt>
                <c:pt idx="780">
                  <c:v>794328.2347243227</c:v>
                </c:pt>
                <c:pt idx="781">
                  <c:v>803526.122185659</c:v>
                </c:pt>
                <c:pt idx="782">
                  <c:v>812830.5161641415</c:v>
                </c:pt>
                <c:pt idx="783">
                  <c:v>822242.6499471139</c:v>
                </c:pt>
                <c:pt idx="784">
                  <c:v>831763.7711027145</c:v>
                </c:pt>
                <c:pt idx="785">
                  <c:v>841395.141645239</c:v>
                </c:pt>
                <c:pt idx="786">
                  <c:v>851138.038202421</c:v>
                </c:pt>
                <c:pt idx="787">
                  <c:v>860993.7521846457</c:v>
                </c:pt>
                <c:pt idx="788">
                  <c:v>870963.5899561263</c:v>
                </c:pt>
                <c:pt idx="789">
                  <c:v>881048.8730080603</c:v>
                </c:pt>
                <c:pt idx="790">
                  <c:v>891250.9381337923</c:v>
                </c:pt>
                <c:pt idx="791">
                  <c:v>901571.1376060043</c:v>
                </c:pt>
                <c:pt idx="792">
                  <c:v>912010.8393559578</c:v>
                </c:pt>
                <c:pt idx="793">
                  <c:v>922571.4271548119</c:v>
                </c:pt>
                <c:pt idx="794">
                  <c:v>933254.3007970403</c:v>
                </c:pt>
                <c:pt idx="795">
                  <c:v>944060.8762859732</c:v>
                </c:pt>
                <c:pt idx="796">
                  <c:v>954992.5860214864</c:v>
                </c:pt>
                <c:pt idx="797">
                  <c:v>966050.8789898646</c:v>
                </c:pt>
                <c:pt idx="798">
                  <c:v>977237.2209558625</c:v>
                </c:pt>
                <c:pt idx="799">
                  <c:v>988553.0946569914</c:v>
                </c:pt>
                <c:pt idx="800">
                  <c:v>1000000.000000053</c:v>
                </c:pt>
                <c:pt idx="801">
                  <c:v>1011579.454259952</c:v>
                </c:pt>
                <c:pt idx="802">
                  <c:v>1023292.992280809</c:v>
                </c:pt>
                <c:pt idx="803">
                  <c:v>1035142.166679399</c:v>
                </c:pt>
                <c:pt idx="804">
                  <c:v>1047128.548050956</c:v>
                </c:pt>
                <c:pt idx="805">
                  <c:v>1059253.725177346</c:v>
                </c:pt>
                <c:pt idx="806">
                  <c:v>1071519.305237664</c:v>
                </c:pt>
                <c:pt idx="807">
                  <c:v>1083926.914021262</c:v>
                </c:pt>
                <c:pt idx="808">
                  <c:v>1096478.196143244</c:v>
                </c:pt>
                <c:pt idx="809">
                  <c:v>1109174.815262461</c:v>
                </c:pt>
                <c:pt idx="810">
                  <c:v>1122018.454302024</c:v>
                </c:pt>
                <c:pt idx="811">
                  <c:v>1135010.815672376</c:v>
                </c:pt>
                <c:pt idx="812">
                  <c:v>1148153.621496945</c:v>
                </c:pt>
                <c:pt idx="813">
                  <c:v>1161448.613840406</c:v>
                </c:pt>
                <c:pt idx="814">
                  <c:v>1174897.554939593</c:v>
                </c:pt>
                <c:pt idx="815">
                  <c:v>1188502.227437083</c:v>
                </c:pt>
                <c:pt idx="816">
                  <c:v>1202264.434617478</c:v>
                </c:pt>
                <c:pt idx="817">
                  <c:v>1216186.000646434</c:v>
                </c:pt>
                <c:pt idx="818">
                  <c:v>1230268.770812448</c:v>
                </c:pt>
                <c:pt idx="819">
                  <c:v>1244514.611771453</c:v>
                </c:pt>
                <c:pt idx="820">
                  <c:v>1258925.411794236</c:v>
                </c:pt>
                <c:pt idx="821">
                  <c:v>1273503.081016731</c:v>
                </c:pt>
                <c:pt idx="822">
                  <c:v>1288249.551693204</c:v>
                </c:pt>
                <c:pt idx="823">
                  <c:v>1303166.778452371</c:v>
                </c:pt>
                <c:pt idx="824">
                  <c:v>1318256.738556479</c:v>
                </c:pt>
                <c:pt idx="825">
                  <c:v>1333521.432163397</c:v>
                </c:pt>
                <c:pt idx="826">
                  <c:v>1348962.882591728</c:v>
                </c:pt>
                <c:pt idx="827">
                  <c:v>1364583.136589</c:v>
                </c:pt>
                <c:pt idx="828">
                  <c:v>1380384.264602961</c:v>
                </c:pt>
                <c:pt idx="829">
                  <c:v>1396368.361056014</c:v>
                </c:pt>
                <c:pt idx="830">
                  <c:v>1412537.544622832</c:v>
                </c:pt>
                <c:pt idx="831">
                  <c:v>1428893.958511182</c:v>
                </c:pt>
                <c:pt idx="832">
                  <c:v>1445439.770746008</c:v>
                </c:pt>
                <c:pt idx="833">
                  <c:v>1462177.174456799</c:v>
                </c:pt>
                <c:pt idx="834">
                  <c:v>1479108.38816829</c:v>
                </c:pt>
                <c:pt idx="835">
                  <c:v>1496235.656094517</c:v>
                </c:pt>
                <c:pt idx="836">
                  <c:v>1513561.248436292</c:v>
                </c:pt>
                <c:pt idx="837">
                  <c:v>1531087.461682115</c:v>
                </c:pt>
                <c:pt idx="838">
                  <c:v>1548816.618912568</c:v>
                </c:pt>
                <c:pt idx="839">
                  <c:v>1566751.070108237</c:v>
                </c:pt>
                <c:pt idx="840">
                  <c:v>1584893.192461202</c:v>
                </c:pt>
                <c:pt idx="841">
                  <c:v>1603245.390690131</c:v>
                </c:pt>
                <c:pt idx="842">
                  <c:v>1621810.097359021</c:v>
                </c:pt>
                <c:pt idx="843">
                  <c:v>1640589.773199631</c:v>
                </c:pt>
                <c:pt idx="844">
                  <c:v>1659586.907437654</c:v>
                </c:pt>
                <c:pt idx="845">
                  <c:v>1678804.018122654</c:v>
                </c:pt>
                <c:pt idx="846">
                  <c:v>1698243.65246184</c:v>
                </c:pt>
                <c:pt idx="847">
                  <c:v>1717908.387157685</c:v>
                </c:pt>
                <c:pt idx="848">
                  <c:v>1737800.828749473</c:v>
                </c:pt>
                <c:pt idx="849">
                  <c:v>1757923.613958792</c:v>
                </c:pt>
                <c:pt idx="850">
                  <c:v>1778279.410039023</c:v>
                </c:pt>
                <c:pt idx="851">
                  <c:v>1798870.915128889</c:v>
                </c:pt>
                <c:pt idx="852">
                  <c:v>1819700.858610087</c:v>
                </c:pt>
                <c:pt idx="853">
                  <c:v>1840772.00146906</c:v>
                </c:pt>
                <c:pt idx="854">
                  <c:v>1862087.136662973</c:v>
                </c:pt>
                <c:pt idx="855">
                  <c:v>1883649.089489907</c:v>
                </c:pt>
                <c:pt idx="856">
                  <c:v>1905460.717963356</c:v>
                </c:pt>
                <c:pt idx="857">
                  <c:v>1927524.913191046</c:v>
                </c:pt>
                <c:pt idx="858">
                  <c:v>1949844.599758157</c:v>
                </c:pt>
                <c:pt idx="859">
                  <c:v>1972422.736114966</c:v>
                </c:pt>
                <c:pt idx="860">
                  <c:v>1995262.314968994</c:v>
                </c:pt>
                <c:pt idx="861">
                  <c:v>2018366.363681676</c:v>
                </c:pt>
                <c:pt idx="862">
                  <c:v>2041737.944669646</c:v>
                </c:pt>
                <c:pt idx="863">
                  <c:v>2065380.155810648</c:v>
                </c:pt>
                <c:pt idx="864">
                  <c:v>2089296.13085416</c:v>
                </c:pt>
                <c:pt idx="865">
                  <c:v>2113489.039836768</c:v>
                </c:pt>
                <c:pt idx="866">
                  <c:v>2137962.089502355</c:v>
                </c:pt>
                <c:pt idx="867">
                  <c:v>2162718.523727145</c:v>
                </c:pt>
                <c:pt idx="868">
                  <c:v>2187761.623949679</c:v>
                </c:pt>
                <c:pt idx="869">
                  <c:v>2213094.709605766</c:v>
                </c:pt>
                <c:pt idx="870">
                  <c:v>2238721.138568469</c:v>
                </c:pt>
                <c:pt idx="871">
                  <c:v>2264644.307593191</c:v>
                </c:pt>
                <c:pt idx="872">
                  <c:v>2290867.652767906</c:v>
                </c:pt>
                <c:pt idx="873">
                  <c:v>2317394.649968613</c:v>
                </c:pt>
                <c:pt idx="874">
                  <c:v>2344228.815320058</c:v>
                </c:pt>
                <c:pt idx="875">
                  <c:v>2371373.705661793</c:v>
                </c:pt>
                <c:pt idx="876">
                  <c:v>2398832.91901963</c:v>
                </c:pt>
                <c:pt idx="877">
                  <c:v>2426610.095082557</c:v>
                </c:pt>
                <c:pt idx="878">
                  <c:v>2454708.915685174</c:v>
                </c:pt>
                <c:pt idx="879">
                  <c:v>2483133.105295715</c:v>
                </c:pt>
                <c:pt idx="880">
                  <c:v>2511886.431509727</c:v>
                </c:pt>
                <c:pt idx="881">
                  <c:v>2540972.705549454</c:v>
                </c:pt>
                <c:pt idx="882">
                  <c:v>2570395.782769015</c:v>
                </c:pt>
                <c:pt idx="883">
                  <c:v>2600159.563165424</c:v>
                </c:pt>
                <c:pt idx="884">
                  <c:v>2630267.991895536</c:v>
                </c:pt>
                <c:pt idx="885">
                  <c:v>2660725.059798966</c:v>
                </c:pt>
                <c:pt idx="886">
                  <c:v>2691534.803927074</c:v>
                </c:pt>
                <c:pt idx="887">
                  <c:v>2722701.308078073</c:v>
                </c:pt>
                <c:pt idx="888">
                  <c:v>2754228.703338329</c:v>
                </c:pt>
                <c:pt idx="889">
                  <c:v>2786121.168629935</c:v>
                </c:pt>
                <c:pt idx="890">
                  <c:v>2818382.93126462</c:v>
                </c:pt>
                <c:pt idx="891">
                  <c:v>2851018.267504078</c:v>
                </c:pt>
                <c:pt idx="892">
                  <c:v>2884031.503126777</c:v>
                </c:pt>
                <c:pt idx="893">
                  <c:v>2917427.01400134</c:v>
                </c:pt>
                <c:pt idx="894">
                  <c:v>2951209.226666561</c:v>
                </c:pt>
                <c:pt idx="895">
                  <c:v>2985382.618918137</c:v>
                </c:pt>
                <c:pt idx="896">
                  <c:v>3019951.720402196</c:v>
                </c:pt>
                <c:pt idx="897">
                  <c:v>3054921.113215695</c:v>
                </c:pt>
                <c:pt idx="898">
                  <c:v>3090295.432513775</c:v>
                </c:pt>
                <c:pt idx="899">
                  <c:v>3126079.367124142</c:v>
                </c:pt>
                <c:pt idx="900">
                  <c:v>3162277.660168569</c:v>
                </c:pt>
                <c:pt idx="901">
                  <c:v>3198895.10969159</c:v>
                </c:pt>
                <c:pt idx="902">
                  <c:v>3235936.569296476</c:v>
                </c:pt>
                <c:pt idx="903">
                  <c:v>3273406.948788578</c:v>
                </c:pt>
                <c:pt idx="904">
                  <c:v>3311311.21482611</c:v>
                </c:pt>
                <c:pt idx="905">
                  <c:v>3349654.391578478</c:v>
                </c:pt>
                <c:pt idx="906">
                  <c:v>3388441.56139223</c:v>
                </c:pt>
                <c:pt idx="907">
                  <c:v>3427677.86546471</c:v>
                </c:pt>
                <c:pt idx="908">
                  <c:v>3467368.504525525</c:v>
                </c:pt>
                <c:pt idx="909">
                  <c:v>3507518.739525892</c:v>
                </c:pt>
                <c:pt idx="910">
                  <c:v>3548133.892335969</c:v>
                </c:pt>
                <c:pt idx="911">
                  <c:v>3589219.346450269</c:v>
                </c:pt>
                <c:pt idx="912">
                  <c:v>3630780.547701234</c:v>
                </c:pt>
                <c:pt idx="913">
                  <c:v>3672823.004981069</c:v>
                </c:pt>
                <c:pt idx="914">
                  <c:v>3715352.290971951</c:v>
                </c:pt>
                <c:pt idx="915">
                  <c:v>3758374.04288467</c:v>
                </c:pt>
                <c:pt idx="916">
                  <c:v>3801893.963205843</c:v>
                </c:pt>
                <c:pt idx="917">
                  <c:v>3845917.82045377</c:v>
                </c:pt>
                <c:pt idx="918">
                  <c:v>3890451.449943044</c:v>
                </c:pt>
                <c:pt idx="919">
                  <c:v>3935500.754558015</c:v>
                </c:pt>
                <c:pt idx="920">
                  <c:v>3981071.705535216</c:v>
                </c:pt>
                <c:pt idx="921">
                  <c:v>4027170.343254838</c:v>
                </c:pt>
                <c:pt idx="922">
                  <c:v>4073802.778041377</c:v>
                </c:pt>
                <c:pt idx="923">
                  <c:v>4120975.190973555</c:v>
                </c:pt>
                <c:pt idx="924">
                  <c:v>4168693.83470361</c:v>
                </c:pt>
                <c:pt idx="925">
                  <c:v>4216965.034286082</c:v>
                </c:pt>
                <c:pt idx="926">
                  <c:v>4265795.188016189</c:v>
                </c:pt>
                <c:pt idx="927">
                  <c:v>4315190.768277918</c:v>
                </c:pt>
                <c:pt idx="928">
                  <c:v>4365158.322401929</c:v>
                </c:pt>
                <c:pt idx="929">
                  <c:v>4415704.473533398</c:v>
                </c:pt>
                <c:pt idx="930">
                  <c:v>4466835.921509908</c:v>
                </c:pt>
                <c:pt idx="931">
                  <c:v>4518559.443749503</c:v>
                </c:pt>
                <c:pt idx="932">
                  <c:v>4570881.896149033</c:v>
                </c:pt>
                <c:pt idx="933">
                  <c:v>4623810.213992889</c:v>
                </c:pt>
                <c:pt idx="934">
                  <c:v>4677351.412872273</c:v>
                </c:pt>
                <c:pt idx="935">
                  <c:v>4731512.589615099</c:v>
                </c:pt>
                <c:pt idx="936">
                  <c:v>4786300.923226682</c:v>
                </c:pt>
                <c:pt idx="937">
                  <c:v>4841723.675841294</c:v>
                </c:pt>
                <c:pt idx="938">
                  <c:v>4897788.193684768</c:v>
                </c:pt>
                <c:pt idx="939">
                  <c:v>4954501.908048211</c:v>
                </c:pt>
                <c:pt idx="940">
                  <c:v>5011872.336273036</c:v>
                </c:pt>
                <c:pt idx="941">
                  <c:v>5069907.082747361</c:v>
                </c:pt>
                <c:pt idx="942">
                  <c:v>5128613.83991397</c:v>
                </c:pt>
                <c:pt idx="943">
                  <c:v>5188000.389289936</c:v>
                </c:pt>
                <c:pt idx="944">
                  <c:v>5248074.602498055</c:v>
                </c:pt>
                <c:pt idx="945">
                  <c:v>5308844.442310217</c:v>
                </c:pt>
                <c:pt idx="946">
                  <c:v>5370317.963702865</c:v>
                </c:pt>
                <c:pt idx="947">
                  <c:v>5432503.314924674</c:v>
                </c:pt>
                <c:pt idx="948">
                  <c:v>5495408.738576592</c:v>
                </c:pt>
                <c:pt idx="949">
                  <c:v>5559042.572704386</c:v>
                </c:pt>
                <c:pt idx="950">
                  <c:v>5623413.251903846</c:v>
                </c:pt>
                <c:pt idx="951">
                  <c:v>5688529.308438774</c:v>
                </c:pt>
                <c:pt idx="952">
                  <c:v>5754399.373371934</c:v>
                </c:pt>
                <c:pt idx="953">
                  <c:v>5821032.177709083</c:v>
                </c:pt>
                <c:pt idx="954">
                  <c:v>5888436.553556263</c:v>
                </c:pt>
                <c:pt idx="955">
                  <c:v>5956621.435290483</c:v>
                </c:pt>
                <c:pt idx="956">
                  <c:v>6025595.86074396</c:v>
                </c:pt>
                <c:pt idx="957">
                  <c:v>6095368.972402079</c:v>
                </c:pt>
                <c:pt idx="958">
                  <c:v>6165950.018615214</c:v>
                </c:pt>
                <c:pt idx="959">
                  <c:v>6237348.35482459</c:v>
                </c:pt>
                <c:pt idx="960">
                  <c:v>6309573.444802335</c:v>
                </c:pt>
                <c:pt idx="961">
                  <c:v>6382634.861905894</c:v>
                </c:pt>
                <c:pt idx="962">
                  <c:v>6456542.290346968</c:v>
                </c:pt>
                <c:pt idx="963">
                  <c:v>6531305.526475141</c:v>
                </c:pt>
                <c:pt idx="964">
                  <c:v>6606934.480076384</c:v>
                </c:pt>
                <c:pt idx="965">
                  <c:v>6683439.175686575</c:v>
                </c:pt>
                <c:pt idx="966">
                  <c:v>6760829.753920252</c:v>
                </c:pt>
                <c:pt idx="967">
                  <c:v>6839116.472814733</c:v>
                </c:pt>
                <c:pt idx="968">
                  <c:v>6918309.709189811</c:v>
                </c:pt>
                <c:pt idx="969">
                  <c:v>6998419.960023186</c:v>
                </c:pt>
                <c:pt idx="970">
                  <c:v>7079457.843841835</c:v>
                </c:pt>
                <c:pt idx="971">
                  <c:v>7161434.102129482</c:v>
                </c:pt>
                <c:pt idx="972">
                  <c:v>7244359.600750368</c:v>
                </c:pt>
                <c:pt idx="973">
                  <c:v>7328245.331389515</c:v>
                </c:pt>
                <c:pt idx="974">
                  <c:v>7413102.413009656</c:v>
                </c:pt>
                <c:pt idx="975">
                  <c:v>7498942.093325044</c:v>
                </c:pt>
                <c:pt idx="976">
                  <c:v>7585775.75029233</c:v>
                </c:pt>
                <c:pt idx="977">
                  <c:v>7673614.893618687</c:v>
                </c:pt>
                <c:pt idx="978">
                  <c:v>7762471.166287422</c:v>
                </c:pt>
                <c:pt idx="979">
                  <c:v>7852356.346101229</c:v>
                </c:pt>
                <c:pt idx="980">
                  <c:v>7943282.347243333</c:v>
                </c:pt>
                <c:pt idx="981">
                  <c:v>8035261.221856697</c:v>
                </c:pt>
                <c:pt idx="982">
                  <c:v>8128305.161641523</c:v>
                </c:pt>
                <c:pt idx="983">
                  <c:v>8222426.499471249</c:v>
                </c:pt>
                <c:pt idx="984">
                  <c:v>8317637.711027254</c:v>
                </c:pt>
                <c:pt idx="985">
                  <c:v>8413951.416452501</c:v>
                </c:pt>
                <c:pt idx="986">
                  <c:v>8511380.382024322</c:v>
                </c:pt>
                <c:pt idx="987">
                  <c:v>8609937.52184657</c:v>
                </c:pt>
                <c:pt idx="988">
                  <c:v>8709635.899561379</c:v>
                </c:pt>
                <c:pt idx="989">
                  <c:v>8810488.73008072</c:v>
                </c:pt>
                <c:pt idx="990">
                  <c:v>8912509.381338041</c:v>
                </c:pt>
                <c:pt idx="991">
                  <c:v>9015711.376060164</c:v>
                </c:pt>
                <c:pt idx="992">
                  <c:v>9120108.393559698</c:v>
                </c:pt>
                <c:pt idx="993">
                  <c:v>9225714.271548241</c:v>
                </c:pt>
                <c:pt idx="994">
                  <c:v>9332543.007970527</c:v>
                </c:pt>
                <c:pt idx="995">
                  <c:v>9440608.762859859</c:v>
                </c:pt>
                <c:pt idx="996">
                  <c:v>9549925.860214991</c:v>
                </c:pt>
                <c:pt idx="997">
                  <c:v>9660508.789898774</c:v>
                </c:pt>
                <c:pt idx="998">
                  <c:v>9772372.209558755</c:v>
                </c:pt>
                <c:pt idx="999">
                  <c:v>9885530.946570044</c:v>
                </c:pt>
                <c:pt idx="1000">
                  <c:v>10000000.00000066</c:v>
                </c:pt>
                <c:pt idx="1001">
                  <c:v>10115794.54259966</c:v>
                </c:pt>
                <c:pt idx="1002">
                  <c:v>10232929.92280822</c:v>
                </c:pt>
                <c:pt idx="1003">
                  <c:v>10351421.66679413</c:v>
                </c:pt>
                <c:pt idx="1004">
                  <c:v>10471285.48050969</c:v>
                </c:pt>
                <c:pt idx="1005">
                  <c:v>10592537.2517736</c:v>
                </c:pt>
                <c:pt idx="1006">
                  <c:v>10715193.05237678</c:v>
                </c:pt>
                <c:pt idx="1007">
                  <c:v>10839269.14021276</c:v>
                </c:pt>
                <c:pt idx="1008">
                  <c:v>10964781.96143259</c:v>
                </c:pt>
                <c:pt idx="1009">
                  <c:v>11091748.15262475</c:v>
                </c:pt>
                <c:pt idx="1010">
                  <c:v>11220184.54302039</c:v>
                </c:pt>
                <c:pt idx="1011">
                  <c:v>11350108.15672391</c:v>
                </c:pt>
                <c:pt idx="1012">
                  <c:v>11481536.2149696</c:v>
                </c:pt>
                <c:pt idx="1013">
                  <c:v>11614486.13840421</c:v>
                </c:pt>
                <c:pt idx="1014">
                  <c:v>11748975.54939609</c:v>
                </c:pt>
                <c:pt idx="1015">
                  <c:v>11885022.27437099</c:v>
                </c:pt>
                <c:pt idx="1016">
                  <c:v>12022644.34617494</c:v>
                </c:pt>
                <c:pt idx="1017">
                  <c:v>12161860.0064645</c:v>
                </c:pt>
                <c:pt idx="1018">
                  <c:v>12302687.70812465</c:v>
                </c:pt>
                <c:pt idx="1019">
                  <c:v>12445146.11771469</c:v>
                </c:pt>
                <c:pt idx="1020">
                  <c:v>12589254.11794253</c:v>
                </c:pt>
                <c:pt idx="1021">
                  <c:v>12735030.81016748</c:v>
                </c:pt>
                <c:pt idx="1022">
                  <c:v>12882495.51693221</c:v>
                </c:pt>
                <c:pt idx="1023">
                  <c:v>13031667.78452388</c:v>
                </c:pt>
                <c:pt idx="1024">
                  <c:v>13182567.38556497</c:v>
                </c:pt>
                <c:pt idx="1025">
                  <c:v>13335214.32163415</c:v>
                </c:pt>
                <c:pt idx="1026">
                  <c:v>13489628.82591746</c:v>
                </c:pt>
                <c:pt idx="1027">
                  <c:v>13645831.36589018</c:v>
                </c:pt>
                <c:pt idx="1028">
                  <c:v>13803842.64602979</c:v>
                </c:pt>
                <c:pt idx="1029">
                  <c:v>13963683.61056033</c:v>
                </c:pt>
                <c:pt idx="1030">
                  <c:v>14125375.44622851</c:v>
                </c:pt>
                <c:pt idx="1031">
                  <c:v>14288939.58511201</c:v>
                </c:pt>
                <c:pt idx="1032">
                  <c:v>14454397.70746027</c:v>
                </c:pt>
                <c:pt idx="1033">
                  <c:v>14621771.74456819</c:v>
                </c:pt>
                <c:pt idx="1034">
                  <c:v>14791083.88168309</c:v>
                </c:pt>
                <c:pt idx="1035">
                  <c:v>14962356.56094536</c:v>
                </c:pt>
                <c:pt idx="1036">
                  <c:v>15135612.48436312</c:v>
                </c:pt>
                <c:pt idx="1037">
                  <c:v>15310874.61682136</c:v>
                </c:pt>
                <c:pt idx="1038">
                  <c:v>15488166.18912588</c:v>
                </c:pt>
                <c:pt idx="1039">
                  <c:v>15667510.70108257</c:v>
                </c:pt>
                <c:pt idx="1040">
                  <c:v>15848931.92461223</c:v>
                </c:pt>
                <c:pt idx="1041">
                  <c:v>16032453.90690152</c:v>
                </c:pt>
                <c:pt idx="1042">
                  <c:v>16218100.97359042</c:v>
                </c:pt>
                <c:pt idx="1043">
                  <c:v>16405897.73199653</c:v>
                </c:pt>
                <c:pt idx="1044">
                  <c:v>16595869.07437676</c:v>
                </c:pt>
                <c:pt idx="1045">
                  <c:v>16788040.18122677</c:v>
                </c:pt>
                <c:pt idx="1046">
                  <c:v>16982436.52461862</c:v>
                </c:pt>
                <c:pt idx="1047">
                  <c:v>17179083.87157708</c:v>
                </c:pt>
                <c:pt idx="1048">
                  <c:v>17378008.28749496</c:v>
                </c:pt>
                <c:pt idx="1049">
                  <c:v>17579236.13958815</c:v>
                </c:pt>
                <c:pt idx="1050">
                  <c:v>17782794.10039047</c:v>
                </c:pt>
                <c:pt idx="1051">
                  <c:v>17988709.15128914</c:v>
                </c:pt>
                <c:pt idx="1052">
                  <c:v>18197008.58610111</c:v>
                </c:pt>
                <c:pt idx="1053">
                  <c:v>18407720.01469085</c:v>
                </c:pt>
                <c:pt idx="1054">
                  <c:v>18620871.36662998</c:v>
                </c:pt>
                <c:pt idx="1055">
                  <c:v>18836490.89489932</c:v>
                </c:pt>
                <c:pt idx="1056">
                  <c:v>19054607.17963381</c:v>
                </c:pt>
                <c:pt idx="1057">
                  <c:v>19275249.13191072</c:v>
                </c:pt>
                <c:pt idx="1058">
                  <c:v>19498445.99758182</c:v>
                </c:pt>
                <c:pt idx="1059">
                  <c:v>19724227.36114993</c:v>
                </c:pt>
                <c:pt idx="1060">
                  <c:v>19952623.1496902</c:v>
                </c:pt>
                <c:pt idx="1061">
                  <c:v>20183663.63681703</c:v>
                </c:pt>
                <c:pt idx="1062">
                  <c:v>20417379.44669674</c:v>
                </c:pt>
                <c:pt idx="1063">
                  <c:v>20653801.55810675</c:v>
                </c:pt>
                <c:pt idx="1064">
                  <c:v>20892961.30854188</c:v>
                </c:pt>
                <c:pt idx="1065">
                  <c:v>21134890.39836796</c:v>
                </c:pt>
                <c:pt idx="1066">
                  <c:v>21379620.89502384</c:v>
                </c:pt>
                <c:pt idx="1067">
                  <c:v>21627185.23727174</c:v>
                </c:pt>
                <c:pt idx="1068">
                  <c:v>21877616.23949708</c:v>
                </c:pt>
                <c:pt idx="1069">
                  <c:v>22130947.09605795</c:v>
                </c:pt>
                <c:pt idx="1070">
                  <c:v>22387211.38568499</c:v>
                </c:pt>
                <c:pt idx="1071">
                  <c:v>22646443.07593221</c:v>
                </c:pt>
                <c:pt idx="1072">
                  <c:v>22908676.52767936</c:v>
                </c:pt>
                <c:pt idx="1073">
                  <c:v>23173946.49968644</c:v>
                </c:pt>
                <c:pt idx="1074">
                  <c:v>23442288.15320089</c:v>
                </c:pt>
                <c:pt idx="1075">
                  <c:v>23713737.05661825</c:v>
                </c:pt>
                <c:pt idx="1076">
                  <c:v>23988329.19019662</c:v>
                </c:pt>
                <c:pt idx="1077">
                  <c:v>24266100.95082589</c:v>
                </c:pt>
                <c:pt idx="1078">
                  <c:v>24547089.15685206</c:v>
                </c:pt>
                <c:pt idx="1079">
                  <c:v>24831331.05295748</c:v>
                </c:pt>
                <c:pt idx="1080">
                  <c:v>25118864.3150976</c:v>
                </c:pt>
                <c:pt idx="1081">
                  <c:v>25409727.05549487</c:v>
                </c:pt>
                <c:pt idx="1082">
                  <c:v>25703957.82769049</c:v>
                </c:pt>
                <c:pt idx="1083">
                  <c:v>26001595.63165459</c:v>
                </c:pt>
                <c:pt idx="1084">
                  <c:v>26302679.91895571</c:v>
                </c:pt>
                <c:pt idx="1085">
                  <c:v>26607250.59799001</c:v>
                </c:pt>
                <c:pt idx="1086">
                  <c:v>26915348.0392711</c:v>
                </c:pt>
                <c:pt idx="1087">
                  <c:v>27227013.08078109</c:v>
                </c:pt>
                <c:pt idx="1088">
                  <c:v>27542287.03338366</c:v>
                </c:pt>
                <c:pt idx="1089">
                  <c:v>27861211.68629972</c:v>
                </c:pt>
                <c:pt idx="1090">
                  <c:v>28183829.31264658</c:v>
                </c:pt>
                <c:pt idx="1091">
                  <c:v>28510182.67504116</c:v>
                </c:pt>
                <c:pt idx="1092">
                  <c:v>28840315.03126815</c:v>
                </c:pt>
                <c:pt idx="1093">
                  <c:v>29174270.14001378</c:v>
                </c:pt>
                <c:pt idx="1094">
                  <c:v>29512092.266666</c:v>
                </c:pt>
                <c:pt idx="1095">
                  <c:v>29853826.18918177</c:v>
                </c:pt>
                <c:pt idx="1096">
                  <c:v>30199517.20402236</c:v>
                </c:pt>
                <c:pt idx="1097">
                  <c:v>30549211.13215736</c:v>
                </c:pt>
                <c:pt idx="1098">
                  <c:v>30902954.32513816</c:v>
                </c:pt>
                <c:pt idx="1099">
                  <c:v>31260793.67124183</c:v>
                </c:pt>
                <c:pt idx="1100">
                  <c:v>31622776.60168611</c:v>
                </c:pt>
                <c:pt idx="1101">
                  <c:v>31988951.09691632</c:v>
                </c:pt>
                <c:pt idx="1102">
                  <c:v>32359365.6929652</c:v>
                </c:pt>
                <c:pt idx="1103">
                  <c:v>32734069.48788622</c:v>
                </c:pt>
                <c:pt idx="1104">
                  <c:v>33113112.14826154</c:v>
                </c:pt>
                <c:pt idx="1105">
                  <c:v>33496543.91578523</c:v>
                </c:pt>
                <c:pt idx="1106">
                  <c:v>33884415.61392274</c:v>
                </c:pt>
                <c:pt idx="1107">
                  <c:v>34276778.65464756</c:v>
                </c:pt>
                <c:pt idx="1108">
                  <c:v>34673685.04525571</c:v>
                </c:pt>
                <c:pt idx="1109">
                  <c:v>35075187.39525938</c:v>
                </c:pt>
                <c:pt idx="1110">
                  <c:v>35481338.92336016</c:v>
                </c:pt>
                <c:pt idx="1111">
                  <c:v>35892193.46450317</c:v>
                </c:pt>
                <c:pt idx="1112">
                  <c:v>36307805.47701281</c:v>
                </c:pt>
                <c:pt idx="1113">
                  <c:v>36728230.04981118</c:v>
                </c:pt>
                <c:pt idx="1114">
                  <c:v>37153522.90972</c:v>
                </c:pt>
                <c:pt idx="1115">
                  <c:v>37583740.4288472</c:v>
                </c:pt>
                <c:pt idx="1116">
                  <c:v>38018939.63205894</c:v>
                </c:pt>
                <c:pt idx="1117">
                  <c:v>38459178.20453821</c:v>
                </c:pt>
                <c:pt idx="1118">
                  <c:v>38904514.49943095</c:v>
                </c:pt>
                <c:pt idx="1119">
                  <c:v>39355007.54558068</c:v>
                </c:pt>
                <c:pt idx="1120">
                  <c:v>39810717.05535269</c:v>
                </c:pt>
                <c:pt idx="1121">
                  <c:v>40271703.43254891</c:v>
                </c:pt>
                <c:pt idx="1122">
                  <c:v>40738027.78041431</c:v>
                </c:pt>
                <c:pt idx="1123">
                  <c:v>41209751.9097361</c:v>
                </c:pt>
                <c:pt idx="1124">
                  <c:v>41686938.34703665</c:v>
                </c:pt>
                <c:pt idx="1125">
                  <c:v>42169650.34286138</c:v>
                </c:pt>
                <c:pt idx="1126">
                  <c:v>42657951.88016246</c:v>
                </c:pt>
                <c:pt idx="1127">
                  <c:v>43151907.68277976</c:v>
                </c:pt>
                <c:pt idx="1128">
                  <c:v>43651583.22401987</c:v>
                </c:pt>
                <c:pt idx="1129">
                  <c:v>44157044.73533456</c:v>
                </c:pt>
                <c:pt idx="1130">
                  <c:v>44668359.21509967</c:v>
                </c:pt>
                <c:pt idx="1131">
                  <c:v>45185594.43749563</c:v>
                </c:pt>
                <c:pt idx="1132">
                  <c:v>45708818.96149094</c:v>
                </c:pt>
                <c:pt idx="1133">
                  <c:v>46238102.13992951</c:v>
                </c:pt>
                <c:pt idx="1134">
                  <c:v>46773514.12872335</c:v>
                </c:pt>
                <c:pt idx="1135">
                  <c:v>47315125.89615162</c:v>
                </c:pt>
                <c:pt idx="1136">
                  <c:v>47863009.23226745</c:v>
                </c:pt>
                <c:pt idx="1137">
                  <c:v>48417236.75841359</c:v>
                </c:pt>
                <c:pt idx="1138">
                  <c:v>48977881.93684833</c:v>
                </c:pt>
                <c:pt idx="1139">
                  <c:v>49545019.08048277</c:v>
                </c:pt>
                <c:pt idx="1140">
                  <c:v>50118723.36273102</c:v>
                </c:pt>
                <c:pt idx="1141">
                  <c:v>50699070.82747428</c:v>
                </c:pt>
                <c:pt idx="1142">
                  <c:v>51286138.39914038</c:v>
                </c:pt>
                <c:pt idx="1143">
                  <c:v>51880003.89290006</c:v>
                </c:pt>
                <c:pt idx="1144">
                  <c:v>52480746.02498125</c:v>
                </c:pt>
                <c:pt idx="1145">
                  <c:v>53088444.42310288</c:v>
                </c:pt>
                <c:pt idx="1146">
                  <c:v>53703179.63702936</c:v>
                </c:pt>
                <c:pt idx="1147">
                  <c:v>54325033.14924747</c:v>
                </c:pt>
                <c:pt idx="1148">
                  <c:v>54954087.38576665</c:v>
                </c:pt>
                <c:pt idx="1149">
                  <c:v>55590425.7270446</c:v>
                </c:pt>
                <c:pt idx="1150">
                  <c:v>56234132.51903921</c:v>
                </c:pt>
                <c:pt idx="1151">
                  <c:v>56885293.08438849</c:v>
                </c:pt>
                <c:pt idx="1152">
                  <c:v>57543993.73372009</c:v>
                </c:pt>
                <c:pt idx="1153">
                  <c:v>58210321.77709161</c:v>
                </c:pt>
                <c:pt idx="1154">
                  <c:v>58884365.53556342</c:v>
                </c:pt>
                <c:pt idx="1155">
                  <c:v>59566214.35290562</c:v>
                </c:pt>
                <c:pt idx="1156">
                  <c:v>60255958.6074404</c:v>
                </c:pt>
                <c:pt idx="1157">
                  <c:v>60953689.72402161</c:v>
                </c:pt>
                <c:pt idx="1158">
                  <c:v>61659500.18615296</c:v>
                </c:pt>
                <c:pt idx="1159">
                  <c:v>62373483.54824673</c:v>
                </c:pt>
                <c:pt idx="1160">
                  <c:v>63095734.44802419</c:v>
                </c:pt>
                <c:pt idx="1161">
                  <c:v>63826348.61905979</c:v>
                </c:pt>
                <c:pt idx="1162">
                  <c:v>64565422.90347055</c:v>
                </c:pt>
                <c:pt idx="1163">
                  <c:v>65313055.26475229</c:v>
                </c:pt>
                <c:pt idx="1164">
                  <c:v>66069344.80076471</c:v>
                </c:pt>
                <c:pt idx="1165">
                  <c:v>66834391.75686664</c:v>
                </c:pt>
                <c:pt idx="1166">
                  <c:v>67608297.53920342</c:v>
                </c:pt>
                <c:pt idx="1167">
                  <c:v>68391164.72814824</c:v>
                </c:pt>
                <c:pt idx="1168">
                  <c:v>69183097.09189902</c:v>
                </c:pt>
                <c:pt idx="1169">
                  <c:v>69984199.60023279</c:v>
                </c:pt>
                <c:pt idx="1170">
                  <c:v>70794578.4384193</c:v>
                </c:pt>
                <c:pt idx="1171">
                  <c:v>71614341.02129577</c:v>
                </c:pt>
                <c:pt idx="1172">
                  <c:v>72443596.00750466</c:v>
                </c:pt>
                <c:pt idx="1173">
                  <c:v>73282453.31389612</c:v>
                </c:pt>
                <c:pt idx="1174">
                  <c:v>74131024.13009754</c:v>
                </c:pt>
                <c:pt idx="1175">
                  <c:v>74989420.93325144</c:v>
                </c:pt>
                <c:pt idx="1176">
                  <c:v>75857757.50292431</c:v>
                </c:pt>
                <c:pt idx="1177">
                  <c:v>76736148.93618789</c:v>
                </c:pt>
                <c:pt idx="1178">
                  <c:v>77624711.66287525</c:v>
                </c:pt>
                <c:pt idx="1179">
                  <c:v>78523563.46101333</c:v>
                </c:pt>
                <c:pt idx="1180">
                  <c:v>79432823.47243437</c:v>
                </c:pt>
                <c:pt idx="1181">
                  <c:v>80352612.21856803</c:v>
                </c:pt>
                <c:pt idx="1182">
                  <c:v>81283051.61641631</c:v>
                </c:pt>
                <c:pt idx="1183">
                  <c:v>82224264.99471359</c:v>
                </c:pt>
                <c:pt idx="1184">
                  <c:v>83176377.11027364</c:v>
                </c:pt>
                <c:pt idx="1185">
                  <c:v>84139514.16452613</c:v>
                </c:pt>
                <c:pt idx="1186">
                  <c:v>85113803.82024436</c:v>
                </c:pt>
                <c:pt idx="1187">
                  <c:v>86099375.21846685</c:v>
                </c:pt>
                <c:pt idx="1188">
                  <c:v>87096358.99561495</c:v>
                </c:pt>
                <c:pt idx="1189">
                  <c:v>88104887.30080837</c:v>
                </c:pt>
                <c:pt idx="1190">
                  <c:v>89125093.8133816</c:v>
                </c:pt>
                <c:pt idx="1191">
                  <c:v>90157113.76060282</c:v>
                </c:pt>
                <c:pt idx="1192">
                  <c:v>91201083.93559821</c:v>
                </c:pt>
                <c:pt idx="1193">
                  <c:v>92257142.71548364</c:v>
                </c:pt>
                <c:pt idx="1194">
                  <c:v>93325430.07970652</c:v>
                </c:pt>
                <c:pt idx="1195">
                  <c:v>94406087.62859984</c:v>
                </c:pt>
                <c:pt idx="1196">
                  <c:v>95499258.60215119</c:v>
                </c:pt>
                <c:pt idx="1197">
                  <c:v>96605087.89898902</c:v>
                </c:pt>
                <c:pt idx="1198">
                  <c:v>97723722.09558885</c:v>
                </c:pt>
                <c:pt idx="1199">
                  <c:v>98855309.46570176</c:v>
                </c:pt>
                <c:pt idx="1200">
                  <c:v>100000000</c:v>
                </c:pt>
              </c:numCache>
            </c:numRef>
          </c:xVal>
          <c:yVal>
            <c:numRef>
              <c:f>LTspice_Compare!$D$19:$D$1219</c:f>
              <c:numCache>
                <c:formatCode>General</c:formatCode>
                <c:ptCount val="1201"/>
                <c:pt idx="0">
                  <c:v>0</c:v>
                </c:pt>
                <c:pt idx="1">
                  <c:v>-7.105427357601002e-14</c:v>
                </c:pt>
                <c:pt idx="2">
                  <c:v>-7.105427357601002e-14</c:v>
                </c:pt>
                <c:pt idx="3">
                  <c:v>-9.947598300641403e-14</c:v>
                </c:pt>
                <c:pt idx="4">
                  <c:v>7.105427357601002e-14</c:v>
                </c:pt>
                <c:pt idx="5">
                  <c:v>-1.56319401867222e-13</c:v>
                </c:pt>
                <c:pt idx="6">
                  <c:v>9.947598300641403e-14</c:v>
                </c:pt>
                <c:pt idx="7">
                  <c:v>0</c:v>
                </c:pt>
                <c:pt idx="8">
                  <c:v>-5.684341886080801e-14</c:v>
                </c:pt>
                <c:pt idx="9">
                  <c:v>-1.13686837721616e-13</c:v>
                </c:pt>
                <c:pt idx="10">
                  <c:v>4.263256414560601e-14</c:v>
                </c:pt>
                <c:pt idx="11">
                  <c:v>1.4210854715202e-14</c:v>
                </c:pt>
                <c:pt idx="12">
                  <c:v>-1.27897692436818e-13</c:v>
                </c:pt>
                <c:pt idx="13">
                  <c:v>-1.84741111297626e-13</c:v>
                </c:pt>
                <c:pt idx="14">
                  <c:v>-1.27897692436818e-13</c:v>
                </c:pt>
                <c:pt idx="15">
                  <c:v>1.27897692436818e-13</c:v>
                </c:pt>
                <c:pt idx="16">
                  <c:v>-5.684341886080801e-14</c:v>
                </c:pt>
                <c:pt idx="17">
                  <c:v>-4.263256414560601e-14</c:v>
                </c:pt>
                <c:pt idx="18">
                  <c:v>-1.4210854715202e-13</c:v>
                </c:pt>
                <c:pt idx="19">
                  <c:v>-5.684341886080801e-14</c:v>
                </c:pt>
                <c:pt idx="20">
                  <c:v>-1.70530256582424e-13</c:v>
                </c:pt>
                <c:pt idx="21">
                  <c:v>8.526512829121202e-14</c:v>
                </c:pt>
                <c:pt idx="22">
                  <c:v>-4.263256414560601e-14</c:v>
                </c:pt>
                <c:pt idx="23">
                  <c:v>1.4210854715202e-14</c:v>
                </c:pt>
                <c:pt idx="24">
                  <c:v>-1.989519660128281e-13</c:v>
                </c:pt>
                <c:pt idx="25">
                  <c:v>-2.842170943040401e-13</c:v>
                </c:pt>
                <c:pt idx="26">
                  <c:v>-9.947598300641403e-14</c:v>
                </c:pt>
                <c:pt idx="27">
                  <c:v>-8.526512829121202e-14</c:v>
                </c:pt>
                <c:pt idx="28">
                  <c:v>-1.13686837721616e-13</c:v>
                </c:pt>
                <c:pt idx="29">
                  <c:v>-2.842170943040401e-14</c:v>
                </c:pt>
                <c:pt idx="30">
                  <c:v>-2.273736754432321e-13</c:v>
                </c:pt>
                <c:pt idx="31">
                  <c:v>0</c:v>
                </c:pt>
                <c:pt idx="32">
                  <c:v>9.947598300641403e-14</c:v>
                </c:pt>
                <c:pt idx="33">
                  <c:v>9.947598300641403e-14</c:v>
                </c:pt>
                <c:pt idx="34">
                  <c:v>0</c:v>
                </c:pt>
                <c:pt idx="35">
                  <c:v>-1.4210854715202e-13</c:v>
                </c:pt>
                <c:pt idx="36">
                  <c:v>-1.989519660128281e-13</c:v>
                </c:pt>
                <c:pt idx="37">
                  <c:v>-1.989519660128281e-13</c:v>
                </c:pt>
                <c:pt idx="38">
                  <c:v>-2.842170943040401e-14</c:v>
                </c:pt>
                <c:pt idx="39">
                  <c:v>-2.842170943040401e-14</c:v>
                </c:pt>
                <c:pt idx="40">
                  <c:v>-9.947598300641403e-14</c:v>
                </c:pt>
                <c:pt idx="41">
                  <c:v>4.263256414560601e-14</c:v>
                </c:pt>
                <c:pt idx="42">
                  <c:v>-1.56319401867222e-13</c:v>
                </c:pt>
                <c:pt idx="43">
                  <c:v>1.989519660128281e-13</c:v>
                </c:pt>
                <c:pt idx="44">
                  <c:v>-1.56319401867222e-13</c:v>
                </c:pt>
                <c:pt idx="45">
                  <c:v>8.526512829121202e-14</c:v>
                </c:pt>
                <c:pt idx="46">
                  <c:v>1.27897692436818e-13</c:v>
                </c:pt>
                <c:pt idx="47">
                  <c:v>1.27897692436818e-13</c:v>
                </c:pt>
                <c:pt idx="48">
                  <c:v>0</c:v>
                </c:pt>
                <c:pt idx="49">
                  <c:v>-7.105427357601002e-14</c:v>
                </c:pt>
                <c:pt idx="50">
                  <c:v>-1.4210854715202e-14</c:v>
                </c:pt>
                <c:pt idx="51">
                  <c:v>-1.989519660128281e-13</c:v>
                </c:pt>
                <c:pt idx="52">
                  <c:v>-4.263256414560601e-14</c:v>
                </c:pt>
                <c:pt idx="53">
                  <c:v>-2.131628207280301e-13</c:v>
                </c:pt>
                <c:pt idx="54">
                  <c:v>-2.273736754432321e-13</c:v>
                </c:pt>
                <c:pt idx="55">
                  <c:v>5.684341886080801e-14</c:v>
                </c:pt>
                <c:pt idx="56">
                  <c:v>8.526512829121202e-14</c:v>
                </c:pt>
                <c:pt idx="57">
                  <c:v>2.842170943040401e-14</c:v>
                </c:pt>
                <c:pt idx="58">
                  <c:v>-2.842170943040401e-13</c:v>
                </c:pt>
                <c:pt idx="59">
                  <c:v>-1.989519660128281e-13</c:v>
                </c:pt>
                <c:pt idx="60">
                  <c:v>4.263256414560601e-14</c:v>
                </c:pt>
                <c:pt idx="61">
                  <c:v>2.842170943040401e-14</c:v>
                </c:pt>
                <c:pt idx="62">
                  <c:v>-4.263256414560601e-14</c:v>
                </c:pt>
                <c:pt idx="63">
                  <c:v>-1.4210854715202e-13</c:v>
                </c:pt>
                <c:pt idx="64">
                  <c:v>-2.842170943040401e-13</c:v>
                </c:pt>
                <c:pt idx="65">
                  <c:v>-8.526512829121202e-14</c:v>
                </c:pt>
                <c:pt idx="66">
                  <c:v>2.842170943040401e-14</c:v>
                </c:pt>
                <c:pt idx="67">
                  <c:v>1.84741111297626e-13</c:v>
                </c:pt>
                <c:pt idx="68">
                  <c:v>-9.947598300641403e-14</c:v>
                </c:pt>
                <c:pt idx="69">
                  <c:v>1.989519660128281e-13</c:v>
                </c:pt>
                <c:pt idx="70">
                  <c:v>-1.4210854715202e-13</c:v>
                </c:pt>
                <c:pt idx="71">
                  <c:v>-1.84741111297626e-13</c:v>
                </c:pt>
                <c:pt idx="72">
                  <c:v>-8.526512829121202e-14</c:v>
                </c:pt>
                <c:pt idx="73">
                  <c:v>-1.4210854715202e-13</c:v>
                </c:pt>
                <c:pt idx="74">
                  <c:v>7.105427357601002e-14</c:v>
                </c:pt>
                <c:pt idx="75">
                  <c:v>-9.947598300641403e-14</c:v>
                </c:pt>
                <c:pt idx="76">
                  <c:v>-1.70530256582424e-13</c:v>
                </c:pt>
                <c:pt idx="77">
                  <c:v>-3.268496584496461e-13</c:v>
                </c:pt>
                <c:pt idx="78">
                  <c:v>-1.989519660128281e-13</c:v>
                </c:pt>
                <c:pt idx="79">
                  <c:v>1.27897692436818e-13</c:v>
                </c:pt>
                <c:pt idx="80">
                  <c:v>-1.70530256582424e-13</c:v>
                </c:pt>
                <c:pt idx="81">
                  <c:v>0</c:v>
                </c:pt>
                <c:pt idx="82">
                  <c:v>-8.526512829121202e-14</c:v>
                </c:pt>
                <c:pt idx="83">
                  <c:v>-2.415845301584341e-13</c:v>
                </c:pt>
                <c:pt idx="84">
                  <c:v>0</c:v>
                </c:pt>
                <c:pt idx="85">
                  <c:v>1.4210854715202e-14</c:v>
                </c:pt>
                <c:pt idx="86">
                  <c:v>-1.84741111297626e-13</c:v>
                </c:pt>
                <c:pt idx="87">
                  <c:v>-2.842170943040401e-14</c:v>
                </c:pt>
                <c:pt idx="88">
                  <c:v>-1.989519660128281e-13</c:v>
                </c:pt>
                <c:pt idx="89">
                  <c:v>-4.263256414560601e-14</c:v>
                </c:pt>
                <c:pt idx="90">
                  <c:v>1.4210854715202e-13</c:v>
                </c:pt>
                <c:pt idx="91">
                  <c:v>-1.4210854715202e-14</c:v>
                </c:pt>
                <c:pt idx="92">
                  <c:v>1.4210854715202e-14</c:v>
                </c:pt>
                <c:pt idx="93">
                  <c:v>1.4210854715202e-13</c:v>
                </c:pt>
                <c:pt idx="94">
                  <c:v>-1.56319401867222e-13</c:v>
                </c:pt>
                <c:pt idx="95">
                  <c:v>-5.684341886080801e-14</c:v>
                </c:pt>
                <c:pt idx="96">
                  <c:v>0</c:v>
                </c:pt>
                <c:pt idx="97">
                  <c:v>-2.842170943040401e-13</c:v>
                </c:pt>
                <c:pt idx="98">
                  <c:v>-4.263256414560601e-14</c:v>
                </c:pt>
                <c:pt idx="99">
                  <c:v>5.684341886080801e-14</c:v>
                </c:pt>
                <c:pt idx="100">
                  <c:v>-1.84741111297626e-13</c:v>
                </c:pt>
                <c:pt idx="101">
                  <c:v>-8.526512829121202e-14</c:v>
                </c:pt>
                <c:pt idx="102">
                  <c:v>-1.4210854715202e-14</c:v>
                </c:pt>
                <c:pt idx="103">
                  <c:v>1.4210854715202e-13</c:v>
                </c:pt>
                <c:pt idx="104">
                  <c:v>-1.27897692436818e-13</c:v>
                </c:pt>
                <c:pt idx="105">
                  <c:v>-4.263256414560601e-14</c:v>
                </c:pt>
                <c:pt idx="106">
                  <c:v>-7.105427357601002e-14</c:v>
                </c:pt>
                <c:pt idx="107">
                  <c:v>-5.684341886080801e-14</c:v>
                </c:pt>
                <c:pt idx="108">
                  <c:v>0</c:v>
                </c:pt>
                <c:pt idx="109">
                  <c:v>-2.131628207280301e-13</c:v>
                </c:pt>
                <c:pt idx="110">
                  <c:v>-8.526512829121202e-14</c:v>
                </c:pt>
                <c:pt idx="111">
                  <c:v>-1.13686837721616e-13</c:v>
                </c:pt>
                <c:pt idx="112">
                  <c:v>-5.684341886080801e-14</c:v>
                </c:pt>
                <c:pt idx="113">
                  <c:v>5.684341886080801e-14</c:v>
                </c:pt>
                <c:pt idx="114">
                  <c:v>-2.842170943040401e-14</c:v>
                </c:pt>
                <c:pt idx="115">
                  <c:v>-2.131628207280301e-13</c:v>
                </c:pt>
                <c:pt idx="116">
                  <c:v>1.4210854715202e-13</c:v>
                </c:pt>
                <c:pt idx="117">
                  <c:v>4.263256414560601e-14</c:v>
                </c:pt>
                <c:pt idx="118">
                  <c:v>-8.526512829121202e-14</c:v>
                </c:pt>
                <c:pt idx="119">
                  <c:v>-2.842170943040401e-14</c:v>
                </c:pt>
                <c:pt idx="120">
                  <c:v>-1.4210854715202e-13</c:v>
                </c:pt>
                <c:pt idx="121">
                  <c:v>-3.126388037344441e-13</c:v>
                </c:pt>
                <c:pt idx="122">
                  <c:v>-2.131628207280301e-13</c:v>
                </c:pt>
                <c:pt idx="123">
                  <c:v>-1.4210854715202e-14</c:v>
                </c:pt>
                <c:pt idx="124">
                  <c:v>-1.56319401867222e-13</c:v>
                </c:pt>
                <c:pt idx="125">
                  <c:v>-1.56319401867222e-13</c:v>
                </c:pt>
                <c:pt idx="126">
                  <c:v>-1.989519660128281e-13</c:v>
                </c:pt>
                <c:pt idx="127">
                  <c:v>-3.410605131648481e-13</c:v>
                </c:pt>
                <c:pt idx="128">
                  <c:v>-1.4210854715202e-13</c:v>
                </c:pt>
                <c:pt idx="129">
                  <c:v>1.4210854715202e-14</c:v>
                </c:pt>
                <c:pt idx="130">
                  <c:v>-8.526512829121202e-14</c:v>
                </c:pt>
                <c:pt idx="131">
                  <c:v>-1.27897692436818e-13</c:v>
                </c:pt>
                <c:pt idx="132">
                  <c:v>-9.947598300641403e-14</c:v>
                </c:pt>
                <c:pt idx="133">
                  <c:v>-9.947598300641403e-14</c:v>
                </c:pt>
                <c:pt idx="134">
                  <c:v>-1.4210854715202e-14</c:v>
                </c:pt>
                <c:pt idx="135">
                  <c:v>-2.273736754432321e-13</c:v>
                </c:pt>
                <c:pt idx="136">
                  <c:v>-5.684341886080801e-14</c:v>
                </c:pt>
                <c:pt idx="137">
                  <c:v>0</c:v>
                </c:pt>
                <c:pt idx="138">
                  <c:v>0</c:v>
                </c:pt>
                <c:pt idx="139">
                  <c:v>-2.842170943040401e-14</c:v>
                </c:pt>
                <c:pt idx="140">
                  <c:v>2.557953848736361e-13</c:v>
                </c:pt>
                <c:pt idx="141">
                  <c:v>-1.27897692436818e-13</c:v>
                </c:pt>
                <c:pt idx="142">
                  <c:v>1.4210854715202e-14</c:v>
                </c:pt>
                <c:pt idx="143">
                  <c:v>-1.4210854715202e-14</c:v>
                </c:pt>
                <c:pt idx="144">
                  <c:v>2.842170943040401e-14</c:v>
                </c:pt>
                <c:pt idx="145">
                  <c:v>-2.842170943040401e-13</c:v>
                </c:pt>
                <c:pt idx="146">
                  <c:v>2.842170943040401e-14</c:v>
                </c:pt>
                <c:pt idx="147">
                  <c:v>-5.684341886080801e-14</c:v>
                </c:pt>
                <c:pt idx="148">
                  <c:v>-2.842170943040401e-14</c:v>
                </c:pt>
                <c:pt idx="149">
                  <c:v>-1.4210854715202e-14</c:v>
                </c:pt>
                <c:pt idx="150">
                  <c:v>-1.4210854715202e-13</c:v>
                </c:pt>
                <c:pt idx="151">
                  <c:v>-1.84741111297626e-13</c:v>
                </c:pt>
                <c:pt idx="152">
                  <c:v>-2.842170943040401e-14</c:v>
                </c:pt>
                <c:pt idx="153">
                  <c:v>-1.4210854715202e-14</c:v>
                </c:pt>
                <c:pt idx="154">
                  <c:v>-2.273736754432321e-13</c:v>
                </c:pt>
                <c:pt idx="155">
                  <c:v>-2.700062395888381e-13</c:v>
                </c:pt>
                <c:pt idx="156">
                  <c:v>-1.84741111297626e-13</c:v>
                </c:pt>
                <c:pt idx="157">
                  <c:v>-1.13686837721616e-13</c:v>
                </c:pt>
                <c:pt idx="158">
                  <c:v>-1.989519660128281e-13</c:v>
                </c:pt>
                <c:pt idx="159">
                  <c:v>-2.131628207280301e-13</c:v>
                </c:pt>
                <c:pt idx="160">
                  <c:v>2.842170943040401e-14</c:v>
                </c:pt>
                <c:pt idx="161">
                  <c:v>-1.4210854715202e-13</c:v>
                </c:pt>
                <c:pt idx="162">
                  <c:v>4.263256414560601e-14</c:v>
                </c:pt>
                <c:pt idx="163">
                  <c:v>2.273736754432321e-13</c:v>
                </c:pt>
                <c:pt idx="164">
                  <c:v>3.694822225952521e-13</c:v>
                </c:pt>
                <c:pt idx="165">
                  <c:v>1.4210854715202e-14</c:v>
                </c:pt>
                <c:pt idx="166">
                  <c:v>4.263256414560601e-14</c:v>
                </c:pt>
                <c:pt idx="167">
                  <c:v>-2.842170943040401e-13</c:v>
                </c:pt>
                <c:pt idx="168">
                  <c:v>-8.526512829121202e-14</c:v>
                </c:pt>
                <c:pt idx="169">
                  <c:v>-3.694822225952521e-13</c:v>
                </c:pt>
                <c:pt idx="170">
                  <c:v>-3.126388037344441e-13</c:v>
                </c:pt>
                <c:pt idx="171">
                  <c:v>-9.947598300641403e-14</c:v>
                </c:pt>
                <c:pt idx="172">
                  <c:v>-1.4210854715202e-13</c:v>
                </c:pt>
                <c:pt idx="173">
                  <c:v>-4.405364961712621e-13</c:v>
                </c:pt>
                <c:pt idx="174">
                  <c:v>-2.131628207280301e-13</c:v>
                </c:pt>
                <c:pt idx="175">
                  <c:v>-1.989519660128281e-13</c:v>
                </c:pt>
                <c:pt idx="176">
                  <c:v>-5.400124791776761e-13</c:v>
                </c:pt>
                <c:pt idx="177">
                  <c:v>-1.70530256582424e-13</c:v>
                </c:pt>
                <c:pt idx="178">
                  <c:v>-1.70530256582424e-13</c:v>
                </c:pt>
                <c:pt idx="179">
                  <c:v>-8.526512829121202e-14</c:v>
                </c:pt>
                <c:pt idx="180">
                  <c:v>5.684341886080801e-14</c:v>
                </c:pt>
                <c:pt idx="181">
                  <c:v>-9.947598300641403e-14</c:v>
                </c:pt>
                <c:pt idx="182">
                  <c:v>-1.4210854715202e-13</c:v>
                </c:pt>
                <c:pt idx="183">
                  <c:v>-2.415845301584341e-13</c:v>
                </c:pt>
                <c:pt idx="184">
                  <c:v>2.273736754432321e-13</c:v>
                </c:pt>
                <c:pt idx="185">
                  <c:v>-4.973799150320701e-13</c:v>
                </c:pt>
                <c:pt idx="186">
                  <c:v>-1.56319401867222e-13</c:v>
                </c:pt>
                <c:pt idx="187">
                  <c:v>-1.13686837721616e-13</c:v>
                </c:pt>
                <c:pt idx="188">
                  <c:v>-1.4210854715202e-14</c:v>
                </c:pt>
                <c:pt idx="189">
                  <c:v>2.700062395888381e-13</c:v>
                </c:pt>
                <c:pt idx="190">
                  <c:v>-1.70530256582424e-13</c:v>
                </c:pt>
                <c:pt idx="191">
                  <c:v>-3.979039320256561e-13</c:v>
                </c:pt>
                <c:pt idx="192">
                  <c:v>-1.4210854715202e-13</c:v>
                </c:pt>
                <c:pt idx="193">
                  <c:v>4.263256414560601e-14</c:v>
                </c:pt>
                <c:pt idx="194">
                  <c:v>-1.56319401867222e-13</c:v>
                </c:pt>
                <c:pt idx="195">
                  <c:v>7.105427357601002e-14</c:v>
                </c:pt>
                <c:pt idx="196">
                  <c:v>-1.56319401867222e-13</c:v>
                </c:pt>
                <c:pt idx="197">
                  <c:v>-2.273736754432321e-13</c:v>
                </c:pt>
                <c:pt idx="198">
                  <c:v>-1.4210854715202e-14</c:v>
                </c:pt>
                <c:pt idx="199">
                  <c:v>-1.56319401867222e-13</c:v>
                </c:pt>
                <c:pt idx="200">
                  <c:v>2.415845301584341e-13</c:v>
                </c:pt>
                <c:pt idx="201">
                  <c:v>-3.694822225952521e-13</c:v>
                </c:pt>
                <c:pt idx="202">
                  <c:v>7.105427357601002e-14</c:v>
                </c:pt>
                <c:pt idx="203">
                  <c:v>-1.56319401867222e-13</c:v>
                </c:pt>
                <c:pt idx="204">
                  <c:v>3.410605131648481e-13</c:v>
                </c:pt>
                <c:pt idx="205">
                  <c:v>8.526512829121202e-14</c:v>
                </c:pt>
                <c:pt idx="206">
                  <c:v>-1.4210854715202e-14</c:v>
                </c:pt>
                <c:pt idx="207">
                  <c:v>-7.105427357601002e-13</c:v>
                </c:pt>
                <c:pt idx="208">
                  <c:v>-1.4210854715202e-13</c:v>
                </c:pt>
                <c:pt idx="209">
                  <c:v>3.268496584496461e-13</c:v>
                </c:pt>
                <c:pt idx="210">
                  <c:v>1.56319401867222e-13</c:v>
                </c:pt>
                <c:pt idx="211">
                  <c:v>-2.131628207280301e-13</c:v>
                </c:pt>
                <c:pt idx="212">
                  <c:v>-7.105427357601002e-14</c:v>
                </c:pt>
                <c:pt idx="213">
                  <c:v>-9.947598300641403e-14</c:v>
                </c:pt>
                <c:pt idx="214">
                  <c:v>1.4210854715202e-14</c:v>
                </c:pt>
                <c:pt idx="215">
                  <c:v>-3.836930773104541e-13</c:v>
                </c:pt>
                <c:pt idx="216">
                  <c:v>-2.842170943040401e-14</c:v>
                </c:pt>
                <c:pt idx="217">
                  <c:v>7.105427357601002e-14</c:v>
                </c:pt>
                <c:pt idx="218">
                  <c:v>4.121147867408581e-13</c:v>
                </c:pt>
                <c:pt idx="219">
                  <c:v>-2.700062395888381e-13</c:v>
                </c:pt>
                <c:pt idx="220">
                  <c:v>-8.526512829121202e-14</c:v>
                </c:pt>
                <c:pt idx="221">
                  <c:v>-2.131628207280301e-13</c:v>
                </c:pt>
                <c:pt idx="222">
                  <c:v>-4.973799150320701e-13</c:v>
                </c:pt>
                <c:pt idx="223">
                  <c:v>2.700062395888381e-13</c:v>
                </c:pt>
                <c:pt idx="224">
                  <c:v>1.84741111297626e-13</c:v>
                </c:pt>
                <c:pt idx="225">
                  <c:v>4.547473508864641e-13</c:v>
                </c:pt>
                <c:pt idx="226">
                  <c:v>1.70530256582424e-13</c:v>
                </c:pt>
                <c:pt idx="227">
                  <c:v>-4.121147867408581e-13</c:v>
                </c:pt>
                <c:pt idx="228">
                  <c:v>1.27897692436818e-13</c:v>
                </c:pt>
                <c:pt idx="229">
                  <c:v>-2.842170943040401e-13</c:v>
                </c:pt>
                <c:pt idx="230">
                  <c:v>-3.979039320256561e-13</c:v>
                </c:pt>
                <c:pt idx="231">
                  <c:v>-6.110667527536862e-13</c:v>
                </c:pt>
                <c:pt idx="232">
                  <c:v>-2.557953848736361e-13</c:v>
                </c:pt>
                <c:pt idx="233">
                  <c:v>1.989519660128281e-13</c:v>
                </c:pt>
                <c:pt idx="234">
                  <c:v>-3.979039320256561e-13</c:v>
                </c:pt>
                <c:pt idx="235">
                  <c:v>-9.521272659185342e-13</c:v>
                </c:pt>
                <c:pt idx="236">
                  <c:v>-1.193711796076968e-12</c:v>
                </c:pt>
                <c:pt idx="237">
                  <c:v>-2.842170943040401e-14</c:v>
                </c:pt>
                <c:pt idx="238">
                  <c:v>9.947598300641403e-13</c:v>
                </c:pt>
                <c:pt idx="239">
                  <c:v>-6.536993168992922e-13</c:v>
                </c:pt>
                <c:pt idx="240">
                  <c:v>5.684341886080801e-13</c:v>
                </c:pt>
                <c:pt idx="241">
                  <c:v>-2.131628207280301e-13</c:v>
                </c:pt>
                <c:pt idx="242">
                  <c:v>1.4210854715202e-13</c:v>
                </c:pt>
                <c:pt idx="243">
                  <c:v>4.973799150320701e-13</c:v>
                </c:pt>
                <c:pt idx="244">
                  <c:v>2.700062395888381e-13</c:v>
                </c:pt>
                <c:pt idx="245">
                  <c:v>-6.821210263296962e-13</c:v>
                </c:pt>
                <c:pt idx="246">
                  <c:v>-2.984279490192421e-13</c:v>
                </c:pt>
                <c:pt idx="247">
                  <c:v>4.689582056016661e-13</c:v>
                </c:pt>
                <c:pt idx="248">
                  <c:v>-7.389644451905042e-13</c:v>
                </c:pt>
                <c:pt idx="249">
                  <c:v>2.273736754432321e-13</c:v>
                </c:pt>
                <c:pt idx="250">
                  <c:v>8.668621376273222e-13</c:v>
                </c:pt>
                <c:pt idx="251">
                  <c:v>-5.258016244624741e-13</c:v>
                </c:pt>
                <c:pt idx="252">
                  <c:v>2.842170943040401e-14</c:v>
                </c:pt>
                <c:pt idx="253">
                  <c:v>-5.115907697472721e-13</c:v>
                </c:pt>
                <c:pt idx="254">
                  <c:v>-6.252776074688882e-13</c:v>
                </c:pt>
                <c:pt idx="255">
                  <c:v>-1.4210854715202e-13</c:v>
                </c:pt>
                <c:pt idx="256">
                  <c:v>1.56319401867222e-13</c:v>
                </c:pt>
                <c:pt idx="257">
                  <c:v>-9.947598300641403e-13</c:v>
                </c:pt>
                <c:pt idx="258">
                  <c:v>8.526512829121202e-14</c:v>
                </c:pt>
                <c:pt idx="259">
                  <c:v>-5.115907697472721e-13</c:v>
                </c:pt>
                <c:pt idx="260">
                  <c:v>-1.13686837721616e-13</c:v>
                </c:pt>
                <c:pt idx="261">
                  <c:v>1.13686837721616e-13</c:v>
                </c:pt>
                <c:pt idx="262">
                  <c:v>-1.080024958355352e-12</c:v>
                </c:pt>
                <c:pt idx="263">
                  <c:v>-1.463718035665806e-12</c:v>
                </c:pt>
                <c:pt idx="264">
                  <c:v>7.531752999057062e-13</c:v>
                </c:pt>
                <c:pt idx="265">
                  <c:v>-1.4210854715202e-13</c:v>
                </c:pt>
                <c:pt idx="266">
                  <c:v>4.121147867408581e-13</c:v>
                </c:pt>
                <c:pt idx="267">
                  <c:v>-4.689582056016661e-13</c:v>
                </c:pt>
                <c:pt idx="268">
                  <c:v>-2.415845301584341e-12</c:v>
                </c:pt>
                <c:pt idx="269">
                  <c:v>-7.673861546209082e-13</c:v>
                </c:pt>
                <c:pt idx="270">
                  <c:v>-3.552713678800501e-13</c:v>
                </c:pt>
                <c:pt idx="271">
                  <c:v>-7.247535904753022e-13</c:v>
                </c:pt>
                <c:pt idx="272">
                  <c:v>-7.815970093361102e-13</c:v>
                </c:pt>
                <c:pt idx="273">
                  <c:v>-1.250555214937776e-12</c:v>
                </c:pt>
                <c:pt idx="274">
                  <c:v>-8.100187187665142e-13</c:v>
                </c:pt>
                <c:pt idx="275">
                  <c:v>1.719513420539442e-12</c:v>
                </c:pt>
                <c:pt idx="276">
                  <c:v>-1.364242052659392e-12</c:v>
                </c:pt>
                <c:pt idx="277">
                  <c:v>-9.805489753489383e-13</c:v>
                </c:pt>
                <c:pt idx="278">
                  <c:v>-2.543742994021159e-12</c:v>
                </c:pt>
                <c:pt idx="279">
                  <c:v>-1.577404873387422e-12</c:v>
                </c:pt>
                <c:pt idx="280">
                  <c:v>-4.263256414560601e-13</c:v>
                </c:pt>
                <c:pt idx="281">
                  <c:v>2.700062395888381e-13</c:v>
                </c:pt>
                <c:pt idx="282">
                  <c:v>-1.151079231931362e-12</c:v>
                </c:pt>
                <c:pt idx="283">
                  <c:v>1.335820343228988e-12</c:v>
                </c:pt>
                <c:pt idx="284">
                  <c:v>-4.121147867408581e-13</c:v>
                </c:pt>
                <c:pt idx="285">
                  <c:v>-1.875832822406664e-12</c:v>
                </c:pt>
                <c:pt idx="286">
                  <c:v>4.689582056016661e-13</c:v>
                </c:pt>
                <c:pt idx="287">
                  <c:v>1.023181539494544e-12</c:v>
                </c:pt>
                <c:pt idx="288">
                  <c:v>9.805489753489383e-13</c:v>
                </c:pt>
                <c:pt idx="289">
                  <c:v>-1.463718035665806e-12</c:v>
                </c:pt>
                <c:pt idx="290">
                  <c:v>-1.080024958355352e-12</c:v>
                </c:pt>
                <c:pt idx="291">
                  <c:v>3.524291969370097e-12</c:v>
                </c:pt>
                <c:pt idx="292">
                  <c:v>1.20792265079217e-12</c:v>
                </c:pt>
                <c:pt idx="293">
                  <c:v>-1.080024958355352e-12</c:v>
                </c:pt>
                <c:pt idx="294">
                  <c:v>8.810729923425242e-13</c:v>
                </c:pt>
                <c:pt idx="295">
                  <c:v>4.263256414560601e-13</c:v>
                </c:pt>
                <c:pt idx="296">
                  <c:v>8.526512829121202e-14</c:v>
                </c:pt>
                <c:pt idx="297">
                  <c:v>5.684341886080801e-13</c:v>
                </c:pt>
                <c:pt idx="298">
                  <c:v>1.506350599811412e-12</c:v>
                </c:pt>
                <c:pt idx="299">
                  <c:v>9.237055564881302e-13</c:v>
                </c:pt>
                <c:pt idx="300">
                  <c:v>-7.673861546209082e-13</c:v>
                </c:pt>
                <c:pt idx="301">
                  <c:v>-1.193711796076968e-12</c:v>
                </c:pt>
                <c:pt idx="302">
                  <c:v>1.094235813070554e-12</c:v>
                </c:pt>
                <c:pt idx="303">
                  <c:v>2.842170943040401e-14</c:v>
                </c:pt>
                <c:pt idx="304">
                  <c:v>5.542233338928781e-13</c:v>
                </c:pt>
                <c:pt idx="305">
                  <c:v>-5.115907697472721e-13</c:v>
                </c:pt>
                <c:pt idx="306">
                  <c:v>-8.526512829121202e-14</c:v>
                </c:pt>
                <c:pt idx="307">
                  <c:v>-3.410605131648481e-13</c:v>
                </c:pt>
                <c:pt idx="308">
                  <c:v>-1.179500941361766e-12</c:v>
                </c:pt>
                <c:pt idx="309">
                  <c:v>1.378452907374594e-12</c:v>
                </c:pt>
                <c:pt idx="310">
                  <c:v>-2.870592652470805e-12</c:v>
                </c:pt>
                <c:pt idx="311">
                  <c:v>-4.192202140984591e-12</c:v>
                </c:pt>
                <c:pt idx="312">
                  <c:v>-2.700062395888381e-13</c:v>
                </c:pt>
                <c:pt idx="313">
                  <c:v>7.673861546209082e-13</c:v>
                </c:pt>
                <c:pt idx="314">
                  <c:v>-6.110667527536862e-13</c:v>
                </c:pt>
                <c:pt idx="315">
                  <c:v>2.287947609147523e-12</c:v>
                </c:pt>
                <c:pt idx="316">
                  <c:v>-3.979039320256561e-13</c:v>
                </c:pt>
                <c:pt idx="317">
                  <c:v>2.273736754432321e-13</c:v>
                </c:pt>
                <c:pt idx="318">
                  <c:v>2.131628207280301e-12</c:v>
                </c:pt>
                <c:pt idx="319">
                  <c:v>-5.115907697472721e-13</c:v>
                </c:pt>
                <c:pt idx="320">
                  <c:v>-1.435296326235402e-12</c:v>
                </c:pt>
                <c:pt idx="321">
                  <c:v>-1.165290086646564e-12</c:v>
                </c:pt>
                <c:pt idx="322">
                  <c:v>-1.989519660128281e-13</c:v>
                </c:pt>
                <c:pt idx="323">
                  <c:v>-3.126388037344441e-13</c:v>
                </c:pt>
                <c:pt idx="324">
                  <c:v>-3.922195901395753e-12</c:v>
                </c:pt>
                <c:pt idx="325">
                  <c:v>-5.542233338928781e-13</c:v>
                </c:pt>
                <c:pt idx="326">
                  <c:v>-3.979039320256561e-13</c:v>
                </c:pt>
                <c:pt idx="327">
                  <c:v>-2.287947609147523e-12</c:v>
                </c:pt>
                <c:pt idx="328">
                  <c:v>-1.605826582817826e-12</c:v>
                </c:pt>
                <c:pt idx="329">
                  <c:v>3.396394276933279e-12</c:v>
                </c:pt>
                <c:pt idx="330">
                  <c:v>-3.637978807091713e-12</c:v>
                </c:pt>
                <c:pt idx="331">
                  <c:v>-2.259525899717119e-12</c:v>
                </c:pt>
                <c:pt idx="332">
                  <c:v>-3.097966327914037e-12</c:v>
                </c:pt>
                <c:pt idx="333">
                  <c:v>1.975308805413079e-12</c:v>
                </c:pt>
                <c:pt idx="334">
                  <c:v>2.273736754432321e-12</c:v>
                </c:pt>
                <c:pt idx="335">
                  <c:v>5.144329406903125e-12</c:v>
                </c:pt>
                <c:pt idx="336">
                  <c:v>2.671640686457977e-12</c:v>
                </c:pt>
                <c:pt idx="337">
                  <c:v>4.320099833421409e-12</c:v>
                </c:pt>
                <c:pt idx="338">
                  <c:v>5.641709321935195e-12</c:v>
                </c:pt>
                <c:pt idx="339">
                  <c:v>5.258016244624741e-13</c:v>
                </c:pt>
                <c:pt idx="340">
                  <c:v>-3.083755473198835e-12</c:v>
                </c:pt>
                <c:pt idx="341">
                  <c:v>-6.977529665164184e-12</c:v>
                </c:pt>
                <c:pt idx="342">
                  <c:v>-6.394884621840902e-13</c:v>
                </c:pt>
                <c:pt idx="343">
                  <c:v>2.060573933704291e-12</c:v>
                </c:pt>
                <c:pt idx="344">
                  <c:v>1.449507180950604e-12</c:v>
                </c:pt>
                <c:pt idx="345">
                  <c:v>-5.329070518200751e-12</c:v>
                </c:pt>
                <c:pt idx="346">
                  <c:v>9.407585821463726e-12</c:v>
                </c:pt>
                <c:pt idx="347">
                  <c:v>-5.584865903074387e-12</c:v>
                </c:pt>
                <c:pt idx="348">
                  <c:v>4.035882739117369e-12</c:v>
                </c:pt>
                <c:pt idx="349">
                  <c:v>3.879563337250147e-12</c:v>
                </c:pt>
                <c:pt idx="350">
                  <c:v>6.323830348264892e-12</c:v>
                </c:pt>
                <c:pt idx="351">
                  <c:v>6.252776074688882e-13</c:v>
                </c:pt>
                <c:pt idx="352">
                  <c:v>-1.037392394209746e-12</c:v>
                </c:pt>
                <c:pt idx="353">
                  <c:v>-3.097966327914037e-12</c:v>
                </c:pt>
                <c:pt idx="354">
                  <c:v>-4.334310688136611e-12</c:v>
                </c:pt>
                <c:pt idx="355">
                  <c:v>1.264766069652978e-12</c:v>
                </c:pt>
                <c:pt idx="356">
                  <c:v>-2.984279490192421e-13</c:v>
                </c:pt>
                <c:pt idx="357">
                  <c:v>8.384404281969182e-12</c:v>
                </c:pt>
                <c:pt idx="358">
                  <c:v>-1.35003119794419e-12</c:v>
                </c:pt>
                <c:pt idx="359">
                  <c:v>-1.4210854715202e-14</c:v>
                </c:pt>
                <c:pt idx="360">
                  <c:v>1.77635683940025e-12</c:v>
                </c:pt>
                <c:pt idx="361">
                  <c:v>8.469669410260394e-12</c:v>
                </c:pt>
                <c:pt idx="362">
                  <c:v>6.536993168992922e-13</c:v>
                </c:pt>
                <c:pt idx="363">
                  <c:v>-4.703792910731863e-12</c:v>
                </c:pt>
                <c:pt idx="364">
                  <c:v>9.379164112033322e-12</c:v>
                </c:pt>
                <c:pt idx="365">
                  <c:v>4.405364961712621e-13</c:v>
                </c:pt>
                <c:pt idx="366">
                  <c:v>-5.272227099339943e-12</c:v>
                </c:pt>
                <c:pt idx="367">
                  <c:v>8.270717444247566e-12</c:v>
                </c:pt>
                <c:pt idx="368">
                  <c:v>-4.945377440890297e-12</c:v>
                </c:pt>
                <c:pt idx="369">
                  <c:v>1.412558958691079e-11</c:v>
                </c:pt>
                <c:pt idx="370">
                  <c:v>6.338041202980094e-12</c:v>
                </c:pt>
                <c:pt idx="371">
                  <c:v>1.321609488513786e-12</c:v>
                </c:pt>
                <c:pt idx="372">
                  <c:v>-1.20650156532065e-11</c:v>
                </c:pt>
                <c:pt idx="373">
                  <c:v>1.003286342893261e-11</c:v>
                </c:pt>
                <c:pt idx="374">
                  <c:v>5.329070518200751e-12</c:v>
                </c:pt>
                <c:pt idx="375">
                  <c:v>1.63424829224823e-12</c:v>
                </c:pt>
                <c:pt idx="376">
                  <c:v>5.229594535194337e-12</c:v>
                </c:pt>
                <c:pt idx="377">
                  <c:v>1.044497821567347e-11</c:v>
                </c:pt>
                <c:pt idx="378">
                  <c:v>2.131628207280301e-13</c:v>
                </c:pt>
                <c:pt idx="379">
                  <c:v>2.685851541173179e-12</c:v>
                </c:pt>
                <c:pt idx="380">
                  <c:v>-9.279688129026908e-12</c:v>
                </c:pt>
                <c:pt idx="381">
                  <c:v>-1.1326051208016e-11</c:v>
                </c:pt>
                <c:pt idx="382">
                  <c:v>1.200817223434569e-11</c:v>
                </c:pt>
                <c:pt idx="383">
                  <c:v>-8.72546479513403e-12</c:v>
                </c:pt>
                <c:pt idx="384">
                  <c:v>4.561684363579843e-12</c:v>
                </c:pt>
                <c:pt idx="385">
                  <c:v>-4.661160346586257e-12</c:v>
                </c:pt>
                <c:pt idx="386">
                  <c:v>1.023181539494544e-12</c:v>
                </c:pt>
                <c:pt idx="387">
                  <c:v>5.371703082346357e-12</c:v>
                </c:pt>
                <c:pt idx="388">
                  <c:v>-8.640199666842818e-12</c:v>
                </c:pt>
                <c:pt idx="389">
                  <c:v>1.975308805413079e-12</c:v>
                </c:pt>
                <c:pt idx="390">
                  <c:v>-4.575895218295045e-12</c:v>
                </c:pt>
                <c:pt idx="391">
                  <c:v>6.906475391588174e-12</c:v>
                </c:pt>
                <c:pt idx="392">
                  <c:v>-1.70530256582424e-12</c:v>
                </c:pt>
                <c:pt idx="393">
                  <c:v>2.344791028008331e-12</c:v>
                </c:pt>
                <c:pt idx="394">
                  <c:v>-5.826450433232822e-13</c:v>
                </c:pt>
                <c:pt idx="395">
                  <c:v>-2.884803507186007e-12</c:v>
                </c:pt>
                <c:pt idx="396">
                  <c:v>-5.258016244624741e-12</c:v>
                </c:pt>
                <c:pt idx="397">
                  <c:v>-6.039613253960852e-12</c:v>
                </c:pt>
                <c:pt idx="398">
                  <c:v>-7.148059921746608e-12</c:v>
                </c:pt>
                <c:pt idx="399">
                  <c:v>4.177991286269389e-12</c:v>
                </c:pt>
                <c:pt idx="400">
                  <c:v>4.959588295605499e-12</c:v>
                </c:pt>
                <c:pt idx="401">
                  <c:v>-2.614797267597169e-12</c:v>
                </c:pt>
                <c:pt idx="402">
                  <c:v>7.048583938740194e-12</c:v>
                </c:pt>
                <c:pt idx="403">
                  <c:v>-3.325340003357269e-12</c:v>
                </c:pt>
                <c:pt idx="404">
                  <c:v>5.428546501207165e-12</c:v>
                </c:pt>
                <c:pt idx="405">
                  <c:v>-2.515321284590755e-12</c:v>
                </c:pt>
                <c:pt idx="406">
                  <c:v>8.242295734817162e-12</c:v>
                </c:pt>
                <c:pt idx="407">
                  <c:v>1.20792265079217e-11</c:v>
                </c:pt>
                <c:pt idx="408">
                  <c:v>1.84741111297626e-13</c:v>
                </c:pt>
                <c:pt idx="409">
                  <c:v>2.458477865729947e-12</c:v>
                </c:pt>
                <c:pt idx="410">
                  <c:v>4.831690603168681e-13</c:v>
                </c:pt>
                <c:pt idx="411">
                  <c:v>-2.415845301584341e-12</c:v>
                </c:pt>
                <c:pt idx="412">
                  <c:v>-3.211653165635653e-12</c:v>
                </c:pt>
                <c:pt idx="413">
                  <c:v>-7.716494110354688e-12</c:v>
                </c:pt>
                <c:pt idx="414">
                  <c:v>-2.714273250603583e-12</c:v>
                </c:pt>
                <c:pt idx="415">
                  <c:v>-6.266986929404084e-12</c:v>
                </c:pt>
                <c:pt idx="416">
                  <c:v>8.384404281969182e-12</c:v>
                </c:pt>
                <c:pt idx="417">
                  <c:v>7.901235221652314e-12</c:v>
                </c:pt>
                <c:pt idx="418">
                  <c:v>-6.110667527536862e-13</c:v>
                </c:pt>
                <c:pt idx="419">
                  <c:v>2.756905814749189e-12</c:v>
                </c:pt>
                <c:pt idx="420">
                  <c:v>-6.23856521997368e-12</c:v>
                </c:pt>
                <c:pt idx="421">
                  <c:v>-7.048583938740194e-12</c:v>
                </c:pt>
                <c:pt idx="422">
                  <c:v>-4.803268893738277e-12</c:v>
                </c:pt>
                <c:pt idx="423">
                  <c:v>-9.833911462919787e-12</c:v>
                </c:pt>
                <c:pt idx="424">
                  <c:v>9.379164112033322e-12</c:v>
                </c:pt>
                <c:pt idx="425">
                  <c:v>-3.211653165635653e-12</c:v>
                </c:pt>
                <c:pt idx="426">
                  <c:v>-3.069544618483633e-12</c:v>
                </c:pt>
                <c:pt idx="427">
                  <c:v>6.394884621840902e-13</c:v>
                </c:pt>
                <c:pt idx="428">
                  <c:v>2.529532139305957e-12</c:v>
                </c:pt>
                <c:pt idx="429">
                  <c:v>-3.055333763768431e-12</c:v>
                </c:pt>
                <c:pt idx="430">
                  <c:v>-2.003730514843483e-12</c:v>
                </c:pt>
                <c:pt idx="431">
                  <c:v>4.064304448547773e-12</c:v>
                </c:pt>
                <c:pt idx="432">
                  <c:v>-5.101696842757519e-12</c:v>
                </c:pt>
                <c:pt idx="433">
                  <c:v>4.263256414560601e-14</c:v>
                </c:pt>
                <c:pt idx="434">
                  <c:v>2.088995643134695e-12</c:v>
                </c:pt>
                <c:pt idx="435">
                  <c:v>3.254285729781259e-12</c:v>
                </c:pt>
                <c:pt idx="436">
                  <c:v>2.415845301584341e-13</c:v>
                </c:pt>
                <c:pt idx="437">
                  <c:v>7.673861546209082e-13</c:v>
                </c:pt>
                <c:pt idx="438">
                  <c:v>-5.542233338928781e-13</c:v>
                </c:pt>
                <c:pt idx="439">
                  <c:v>-9.805489753489383e-13</c:v>
                </c:pt>
                <c:pt idx="440">
                  <c:v>3.780087354243733e-12</c:v>
                </c:pt>
                <c:pt idx="441">
                  <c:v>-1.13686837721616e-13</c:v>
                </c:pt>
                <c:pt idx="442">
                  <c:v>8.810729923425242e-13</c:v>
                </c:pt>
                <c:pt idx="443">
                  <c:v>2.415845301584341e-13</c:v>
                </c:pt>
                <c:pt idx="444">
                  <c:v>4.263256414560601e-13</c:v>
                </c:pt>
                <c:pt idx="445">
                  <c:v>2.273736754432321e-13</c:v>
                </c:pt>
                <c:pt idx="446">
                  <c:v>-1.63424829224823e-12</c:v>
                </c:pt>
                <c:pt idx="447">
                  <c:v>1.27897692436818e-12</c:v>
                </c:pt>
                <c:pt idx="448">
                  <c:v>-9.947598300641403e-13</c:v>
                </c:pt>
                <c:pt idx="449">
                  <c:v>-6.679101716144942e-13</c:v>
                </c:pt>
                <c:pt idx="450">
                  <c:v>-1.4210854715202e-12</c:v>
                </c:pt>
                <c:pt idx="451">
                  <c:v>-1.4210854715202e-12</c:v>
                </c:pt>
                <c:pt idx="452">
                  <c:v>-3.694822225952521e-13</c:v>
                </c:pt>
                <c:pt idx="453">
                  <c:v>-6.679101716144942e-13</c:v>
                </c:pt>
                <c:pt idx="454">
                  <c:v>1.080024958355352e-12</c:v>
                </c:pt>
                <c:pt idx="455">
                  <c:v>1.023181539494544e-12</c:v>
                </c:pt>
                <c:pt idx="456">
                  <c:v>-2.017941369558685e-12</c:v>
                </c:pt>
                <c:pt idx="457">
                  <c:v>2.387423592153937e-12</c:v>
                </c:pt>
                <c:pt idx="458">
                  <c:v>-1.890043677121866e-12</c:v>
                </c:pt>
                <c:pt idx="459">
                  <c:v>1.449507180950604e-12</c:v>
                </c:pt>
                <c:pt idx="460">
                  <c:v>-1.293187779083382e-12</c:v>
                </c:pt>
                <c:pt idx="461">
                  <c:v>2.273736754432321e-13</c:v>
                </c:pt>
                <c:pt idx="462">
                  <c:v>-1.051603248924948e-12</c:v>
                </c:pt>
                <c:pt idx="463">
                  <c:v>6.394884621840902e-13</c:v>
                </c:pt>
                <c:pt idx="464">
                  <c:v>-3.694822225952521e-13</c:v>
                </c:pt>
                <c:pt idx="465">
                  <c:v>1.676880856393836e-12</c:v>
                </c:pt>
                <c:pt idx="466">
                  <c:v>-1.56319401867222e-12</c:v>
                </c:pt>
                <c:pt idx="467">
                  <c:v>6.536993168992922e-13</c:v>
                </c:pt>
                <c:pt idx="468">
                  <c:v>-1.236344360222574e-12</c:v>
                </c:pt>
                <c:pt idx="469">
                  <c:v>1.70530256582424e-12</c:v>
                </c:pt>
                <c:pt idx="470">
                  <c:v>-3.694822225952521e-13</c:v>
                </c:pt>
                <c:pt idx="471">
                  <c:v>1.4210854715202e-14</c:v>
                </c:pt>
                <c:pt idx="472">
                  <c:v>1.378452907374594e-12</c:v>
                </c:pt>
                <c:pt idx="473">
                  <c:v>-2.088995643134695e-12</c:v>
                </c:pt>
                <c:pt idx="474">
                  <c:v>-1.904254531837068e-12</c:v>
                </c:pt>
                <c:pt idx="475">
                  <c:v>6.110667527536862e-13</c:v>
                </c:pt>
                <c:pt idx="476">
                  <c:v>-7.389644451905042e-13</c:v>
                </c:pt>
                <c:pt idx="477">
                  <c:v>-9.805489753489383e-13</c:v>
                </c:pt>
                <c:pt idx="478">
                  <c:v>-4.263256414560601e-14</c:v>
                </c:pt>
                <c:pt idx="479">
                  <c:v>-3.694822225952521e-13</c:v>
                </c:pt>
                <c:pt idx="480">
                  <c:v>2.700062395888381e-13</c:v>
                </c:pt>
                <c:pt idx="481">
                  <c:v>-1.648459146963432e-12</c:v>
                </c:pt>
                <c:pt idx="482">
                  <c:v>3.268496584496461e-13</c:v>
                </c:pt>
                <c:pt idx="483">
                  <c:v>4.831690603168681e-13</c:v>
                </c:pt>
                <c:pt idx="484">
                  <c:v>-1.335820343228988e-12</c:v>
                </c:pt>
                <c:pt idx="485">
                  <c:v>3.126388037344441e-13</c:v>
                </c:pt>
                <c:pt idx="486">
                  <c:v>1.4210854715202e-13</c:v>
                </c:pt>
                <c:pt idx="487">
                  <c:v>1.84741111297626e-13</c:v>
                </c:pt>
                <c:pt idx="488">
                  <c:v>6.536993168992922e-13</c:v>
                </c:pt>
                <c:pt idx="489">
                  <c:v>1.591615728102624e-12</c:v>
                </c:pt>
                <c:pt idx="490">
                  <c:v>-1.406874616804998e-12</c:v>
                </c:pt>
                <c:pt idx="491">
                  <c:v>-5.542233338928781e-13</c:v>
                </c:pt>
                <c:pt idx="492">
                  <c:v>-1.4210854715202e-13</c:v>
                </c:pt>
                <c:pt idx="493">
                  <c:v>3.268496584496461e-13</c:v>
                </c:pt>
                <c:pt idx="494">
                  <c:v>-3.979039320256561e-13</c:v>
                </c:pt>
                <c:pt idx="495">
                  <c:v>8.384404281969182e-13</c:v>
                </c:pt>
                <c:pt idx="496">
                  <c:v>-2.032152224273887e-12</c:v>
                </c:pt>
                <c:pt idx="497">
                  <c:v>-2.160049916710705e-12</c:v>
                </c:pt>
                <c:pt idx="498">
                  <c:v>-2.188471626141109e-12</c:v>
                </c:pt>
                <c:pt idx="499">
                  <c:v>3.552713678800501e-13</c:v>
                </c:pt>
                <c:pt idx="500">
                  <c:v>-2.501110429875553e-12</c:v>
                </c:pt>
                <c:pt idx="501">
                  <c:v>1.151079231931362e-12</c:v>
                </c:pt>
                <c:pt idx="502">
                  <c:v>-1.335820343228988e-12</c:v>
                </c:pt>
                <c:pt idx="503">
                  <c:v>1.463718035665806e-12</c:v>
                </c:pt>
                <c:pt idx="504">
                  <c:v>1.719513420539442e-12</c:v>
                </c:pt>
                <c:pt idx="505">
                  <c:v>-1.165290086646564e-12</c:v>
                </c:pt>
                <c:pt idx="506">
                  <c:v>-7.531752999057062e-13</c:v>
                </c:pt>
                <c:pt idx="507">
                  <c:v>-1.080024958355352e-12</c:v>
                </c:pt>
                <c:pt idx="508">
                  <c:v>1.70530256582424e-12</c:v>
                </c:pt>
                <c:pt idx="509">
                  <c:v>2.330580173293129e-12</c:v>
                </c:pt>
                <c:pt idx="510">
                  <c:v>-4.263256414560601e-13</c:v>
                </c:pt>
                <c:pt idx="511">
                  <c:v>-2.216893335571513e-12</c:v>
                </c:pt>
                <c:pt idx="512">
                  <c:v>-1.094235813070554e-12</c:v>
                </c:pt>
                <c:pt idx="513">
                  <c:v>-4.661160346586257e-12</c:v>
                </c:pt>
                <c:pt idx="514">
                  <c:v>-5.002220859751105e-12</c:v>
                </c:pt>
                <c:pt idx="515">
                  <c:v>1.548983163957018e-12</c:v>
                </c:pt>
                <c:pt idx="516">
                  <c:v>-3.154809746774845e-12</c:v>
                </c:pt>
                <c:pt idx="517">
                  <c:v>-3.836930773104541e-13</c:v>
                </c:pt>
                <c:pt idx="518">
                  <c:v>3.268496584496461e-13</c:v>
                </c:pt>
                <c:pt idx="519">
                  <c:v>-1.691091711109038e-12</c:v>
                </c:pt>
                <c:pt idx="520">
                  <c:v>-1.84741111297626e-13</c:v>
                </c:pt>
                <c:pt idx="521">
                  <c:v>9.094947017729282e-13</c:v>
                </c:pt>
                <c:pt idx="522">
                  <c:v>-3.268496584496461e-13</c:v>
                </c:pt>
                <c:pt idx="523">
                  <c:v>2.842170943040401e-14</c:v>
                </c:pt>
                <c:pt idx="524">
                  <c:v>-1.008970684779342e-12</c:v>
                </c:pt>
                <c:pt idx="525">
                  <c:v>-2.359001882723533e-12</c:v>
                </c:pt>
                <c:pt idx="526">
                  <c:v>-2.273736754432321e-13</c:v>
                </c:pt>
                <c:pt idx="527">
                  <c:v>-1.094235813070554e-12</c:v>
                </c:pt>
                <c:pt idx="528">
                  <c:v>-4.263256414560601e-13</c:v>
                </c:pt>
                <c:pt idx="529">
                  <c:v>-3.410605131648481e-13</c:v>
                </c:pt>
                <c:pt idx="530">
                  <c:v>-2.415845301584341e-13</c:v>
                </c:pt>
                <c:pt idx="531">
                  <c:v>-1.932676241267473e-12</c:v>
                </c:pt>
                <c:pt idx="532">
                  <c:v>-1.762145984685048e-12</c:v>
                </c:pt>
                <c:pt idx="533">
                  <c:v>-6.252776074688882e-13</c:v>
                </c:pt>
                <c:pt idx="534">
                  <c:v>-1.435296326235402e-12</c:v>
                </c:pt>
                <c:pt idx="535">
                  <c:v>8.242295734817162e-13</c:v>
                </c:pt>
                <c:pt idx="536">
                  <c:v>-8.526512829121202e-14</c:v>
                </c:pt>
                <c:pt idx="537">
                  <c:v>9.094947017729282e-13</c:v>
                </c:pt>
                <c:pt idx="538">
                  <c:v>-5.684341886080801e-13</c:v>
                </c:pt>
                <c:pt idx="539">
                  <c:v>-5.258016244624741e-13</c:v>
                </c:pt>
                <c:pt idx="540">
                  <c:v>-4.263256414560601e-13</c:v>
                </c:pt>
                <c:pt idx="541">
                  <c:v>-6.679101716144942e-13</c:v>
                </c:pt>
                <c:pt idx="542">
                  <c:v>5.542233338928781e-13</c:v>
                </c:pt>
                <c:pt idx="543">
                  <c:v>-4.263256414560601e-13</c:v>
                </c:pt>
                <c:pt idx="544">
                  <c:v>1.236344360222574e-12</c:v>
                </c:pt>
                <c:pt idx="545">
                  <c:v>-1.335820343228988e-12</c:v>
                </c:pt>
                <c:pt idx="546">
                  <c:v>2.984279490192421e-13</c:v>
                </c:pt>
                <c:pt idx="547">
                  <c:v>8.526512829121202e-14</c:v>
                </c:pt>
                <c:pt idx="548">
                  <c:v>6.679101716144942e-13</c:v>
                </c:pt>
                <c:pt idx="549">
                  <c:v>-3.325340003357269e-12</c:v>
                </c:pt>
                <c:pt idx="550">
                  <c:v>1.080024958355352e-12</c:v>
                </c:pt>
                <c:pt idx="551">
                  <c:v>5.968558980384842e-13</c:v>
                </c:pt>
                <c:pt idx="552">
                  <c:v>1.648459146963432e-12</c:v>
                </c:pt>
                <c:pt idx="553">
                  <c:v>1.534772309241816e-12</c:v>
                </c:pt>
                <c:pt idx="554">
                  <c:v>-1.4210854715202e-12</c:v>
                </c:pt>
                <c:pt idx="555">
                  <c:v>1.165290086646564e-12</c:v>
                </c:pt>
                <c:pt idx="556">
                  <c:v>5.684341886080801e-14</c:v>
                </c:pt>
                <c:pt idx="557">
                  <c:v>-8.242295734817162e-13</c:v>
                </c:pt>
                <c:pt idx="558">
                  <c:v>-7.105427357601002e-13</c:v>
                </c:pt>
                <c:pt idx="559">
                  <c:v>7.673861546209082e-13</c:v>
                </c:pt>
                <c:pt idx="560">
                  <c:v>5.115907697472721e-13</c:v>
                </c:pt>
                <c:pt idx="561">
                  <c:v>-5.826450433232822e-13</c:v>
                </c:pt>
                <c:pt idx="562">
                  <c:v>-2.557953848736361e-13</c:v>
                </c:pt>
                <c:pt idx="563">
                  <c:v>-1.70530256582424e-13</c:v>
                </c:pt>
                <c:pt idx="564">
                  <c:v>7.531752999057062e-13</c:v>
                </c:pt>
                <c:pt idx="565">
                  <c:v>6.252776074688882e-13</c:v>
                </c:pt>
                <c:pt idx="566">
                  <c:v>7.105427357601002e-14</c:v>
                </c:pt>
                <c:pt idx="567">
                  <c:v>-2.842170943040401e-14</c:v>
                </c:pt>
                <c:pt idx="568">
                  <c:v>1.378452907374594e-12</c:v>
                </c:pt>
                <c:pt idx="569">
                  <c:v>4.405364961712621e-13</c:v>
                </c:pt>
                <c:pt idx="570">
                  <c:v>6.252776074688882e-13</c:v>
                </c:pt>
                <c:pt idx="571">
                  <c:v>-3.126388037344441e-13</c:v>
                </c:pt>
                <c:pt idx="572">
                  <c:v>-7.105427357601002e-14</c:v>
                </c:pt>
                <c:pt idx="573">
                  <c:v>9.947598300641403e-14</c:v>
                </c:pt>
                <c:pt idx="574">
                  <c:v>-1.4210854715202e-13</c:v>
                </c:pt>
                <c:pt idx="575">
                  <c:v>3.410605131648481e-13</c:v>
                </c:pt>
                <c:pt idx="576">
                  <c:v>5.684341886080801e-14</c:v>
                </c:pt>
                <c:pt idx="577">
                  <c:v>3.410605131648481e-13</c:v>
                </c:pt>
                <c:pt idx="578">
                  <c:v>1.13686837721616e-13</c:v>
                </c:pt>
                <c:pt idx="579">
                  <c:v>-4.547473508864641e-13</c:v>
                </c:pt>
                <c:pt idx="580">
                  <c:v>-9.947598300641403e-13</c:v>
                </c:pt>
                <c:pt idx="581">
                  <c:v>5.400124791776761e-13</c:v>
                </c:pt>
                <c:pt idx="582">
                  <c:v>-9.947598300641403e-14</c:v>
                </c:pt>
                <c:pt idx="583">
                  <c:v>3.836930773104541e-13</c:v>
                </c:pt>
                <c:pt idx="584">
                  <c:v>-5.258016244624741e-13</c:v>
                </c:pt>
                <c:pt idx="585">
                  <c:v>4.405364961712621e-13</c:v>
                </c:pt>
                <c:pt idx="586">
                  <c:v>-4.263256414560601e-13</c:v>
                </c:pt>
                <c:pt idx="587">
                  <c:v>-8.384404281969182e-13</c:v>
                </c:pt>
                <c:pt idx="588">
                  <c:v>4.263256414560601e-14</c:v>
                </c:pt>
                <c:pt idx="589">
                  <c:v>-1.84741111297626e-13</c:v>
                </c:pt>
                <c:pt idx="590">
                  <c:v>-4.547473508864641e-13</c:v>
                </c:pt>
                <c:pt idx="591">
                  <c:v>-2.557953848736361e-13</c:v>
                </c:pt>
                <c:pt idx="592">
                  <c:v>-2.700062395888381e-13</c:v>
                </c:pt>
                <c:pt idx="593">
                  <c:v>2.842170943040401e-14</c:v>
                </c:pt>
                <c:pt idx="594">
                  <c:v>-3.268496584496461e-13</c:v>
                </c:pt>
                <c:pt idx="595">
                  <c:v>5.684341886080801e-14</c:v>
                </c:pt>
                <c:pt idx="596">
                  <c:v>-3.552713678800501e-13</c:v>
                </c:pt>
                <c:pt idx="597">
                  <c:v>-3.979039320256561e-13</c:v>
                </c:pt>
                <c:pt idx="598">
                  <c:v>8.526512829121202e-14</c:v>
                </c:pt>
                <c:pt idx="599">
                  <c:v>2.700062395888381e-13</c:v>
                </c:pt>
                <c:pt idx="600">
                  <c:v>-1.27897692436818e-13</c:v>
                </c:pt>
                <c:pt idx="601">
                  <c:v>-6.536993168992922e-13</c:v>
                </c:pt>
                <c:pt idx="602">
                  <c:v>-4.263256414560601e-14</c:v>
                </c:pt>
                <c:pt idx="603">
                  <c:v>-2.131628207280301e-13</c:v>
                </c:pt>
                <c:pt idx="604">
                  <c:v>-9.947598300641403e-14</c:v>
                </c:pt>
                <c:pt idx="605">
                  <c:v>3.836930773104541e-13</c:v>
                </c:pt>
                <c:pt idx="606">
                  <c:v>4.831690603168681e-13</c:v>
                </c:pt>
                <c:pt idx="607">
                  <c:v>-6.536993168992922e-13</c:v>
                </c:pt>
                <c:pt idx="608">
                  <c:v>3.126388037344441e-13</c:v>
                </c:pt>
                <c:pt idx="609">
                  <c:v>4.547473508864641e-13</c:v>
                </c:pt>
                <c:pt idx="610">
                  <c:v>-3.836930773104541e-13</c:v>
                </c:pt>
                <c:pt idx="611">
                  <c:v>3.979039320256561e-13</c:v>
                </c:pt>
                <c:pt idx="612">
                  <c:v>2.842170943040401e-14</c:v>
                </c:pt>
                <c:pt idx="613">
                  <c:v>1.56319401867222e-13</c:v>
                </c:pt>
                <c:pt idx="614">
                  <c:v>5.684341886080801e-14</c:v>
                </c:pt>
                <c:pt idx="615">
                  <c:v>-5.968558980384842e-13</c:v>
                </c:pt>
                <c:pt idx="616">
                  <c:v>4.405364961712621e-13</c:v>
                </c:pt>
                <c:pt idx="617">
                  <c:v>-2.202682480856311e-13</c:v>
                </c:pt>
                <c:pt idx="618">
                  <c:v>-1.35003119794419e-13</c:v>
                </c:pt>
                <c:pt idx="619">
                  <c:v>-1.13686837721616e-13</c:v>
                </c:pt>
                <c:pt idx="620">
                  <c:v>-8.526512829121202e-14</c:v>
                </c:pt>
                <c:pt idx="621">
                  <c:v>-1.77635683940025e-13</c:v>
                </c:pt>
                <c:pt idx="622">
                  <c:v>9.237055564881302e-14</c:v>
                </c:pt>
                <c:pt idx="623">
                  <c:v>-2.131628207280301e-13</c:v>
                </c:pt>
                <c:pt idx="624">
                  <c:v>-1.35003119794419e-13</c:v>
                </c:pt>
                <c:pt idx="625">
                  <c:v>2.842170943040401e-14</c:v>
                </c:pt>
                <c:pt idx="626">
                  <c:v>0</c:v>
                </c:pt>
                <c:pt idx="627">
                  <c:v>-1.56319401867222e-13</c:v>
                </c:pt>
                <c:pt idx="628">
                  <c:v>-4.760636329592671e-13</c:v>
                </c:pt>
                <c:pt idx="629">
                  <c:v>-1.56319401867222e-13</c:v>
                </c:pt>
                <c:pt idx="630">
                  <c:v>-2.842170943040401e-14</c:v>
                </c:pt>
                <c:pt idx="631">
                  <c:v>-2.131628207280301e-14</c:v>
                </c:pt>
                <c:pt idx="632">
                  <c:v>1.989519660128281e-13</c:v>
                </c:pt>
                <c:pt idx="633">
                  <c:v>-1.13686837721616e-13</c:v>
                </c:pt>
                <c:pt idx="634">
                  <c:v>0</c:v>
                </c:pt>
                <c:pt idx="635">
                  <c:v>-2.060573933704291e-13</c:v>
                </c:pt>
                <c:pt idx="636">
                  <c:v>2.131628207280301e-13</c:v>
                </c:pt>
                <c:pt idx="637">
                  <c:v>1.49213974509621e-13</c:v>
                </c:pt>
                <c:pt idx="638">
                  <c:v>7.815970093361102e-14</c:v>
                </c:pt>
                <c:pt idx="639">
                  <c:v>2.557953848736361e-13</c:v>
                </c:pt>
                <c:pt idx="640">
                  <c:v>-3.055333763768431e-13</c:v>
                </c:pt>
                <c:pt idx="641">
                  <c:v>-7.105427357601002e-14</c:v>
                </c:pt>
                <c:pt idx="642">
                  <c:v>-7.105427357601002e-14</c:v>
                </c:pt>
                <c:pt idx="643">
                  <c:v>9.947598300641403e-14</c:v>
                </c:pt>
                <c:pt idx="644">
                  <c:v>4.973799150320701e-14</c:v>
                </c:pt>
                <c:pt idx="645">
                  <c:v>-4.263256414560601e-14</c:v>
                </c:pt>
                <c:pt idx="646">
                  <c:v>1.20792265079217e-13</c:v>
                </c:pt>
                <c:pt idx="647">
                  <c:v>-9.237055564881302e-14</c:v>
                </c:pt>
                <c:pt idx="648">
                  <c:v>1.989519660128281e-13</c:v>
                </c:pt>
                <c:pt idx="649">
                  <c:v>1.4210854715202e-13</c:v>
                </c:pt>
                <c:pt idx="650">
                  <c:v>-2.842170943040401e-14</c:v>
                </c:pt>
                <c:pt idx="651">
                  <c:v>1.35003119794419e-13</c:v>
                </c:pt>
                <c:pt idx="652">
                  <c:v>-1.20792265079217e-13</c:v>
                </c:pt>
                <c:pt idx="653">
                  <c:v>4.263256414560601e-14</c:v>
                </c:pt>
                <c:pt idx="654">
                  <c:v>-2.131628207280301e-13</c:v>
                </c:pt>
                <c:pt idx="655">
                  <c:v>-8.526512829121202e-14</c:v>
                </c:pt>
                <c:pt idx="656">
                  <c:v>2.842170943040401e-14</c:v>
                </c:pt>
                <c:pt idx="657">
                  <c:v>5.684341886080801e-14</c:v>
                </c:pt>
                <c:pt idx="658">
                  <c:v>-7.815970093361102e-14</c:v>
                </c:pt>
                <c:pt idx="659">
                  <c:v>-4.263256414560601e-14</c:v>
                </c:pt>
                <c:pt idx="660">
                  <c:v>-4.973799150320701e-14</c:v>
                </c:pt>
                <c:pt idx="661">
                  <c:v>-4.263256414560601e-14</c:v>
                </c:pt>
                <c:pt idx="662">
                  <c:v>2.984279490192421e-13</c:v>
                </c:pt>
                <c:pt idx="663">
                  <c:v>2.344791028008331e-13</c:v>
                </c:pt>
                <c:pt idx="664">
                  <c:v>0</c:v>
                </c:pt>
                <c:pt idx="665">
                  <c:v>-2.131628207280301e-14</c:v>
                </c:pt>
                <c:pt idx="666">
                  <c:v>-7.105427357601002e-14</c:v>
                </c:pt>
                <c:pt idx="667">
                  <c:v>-2.131628207280301e-14</c:v>
                </c:pt>
                <c:pt idx="668">
                  <c:v>-2.131628207280301e-13</c:v>
                </c:pt>
                <c:pt idx="669">
                  <c:v>1.13686837721616e-13</c:v>
                </c:pt>
                <c:pt idx="670">
                  <c:v>1.56319401867222e-13</c:v>
                </c:pt>
                <c:pt idx="671">
                  <c:v>-7.105427357601002e-14</c:v>
                </c:pt>
                <c:pt idx="672">
                  <c:v>-5.684341886080801e-14</c:v>
                </c:pt>
                <c:pt idx="673">
                  <c:v>-1.4210854715202e-13</c:v>
                </c:pt>
                <c:pt idx="674">
                  <c:v>-3.552713678800501e-14</c:v>
                </c:pt>
                <c:pt idx="675">
                  <c:v>1.06581410364015e-13</c:v>
                </c:pt>
                <c:pt idx="676">
                  <c:v>6.394884621840902e-14</c:v>
                </c:pt>
                <c:pt idx="677">
                  <c:v>1.20792265079217e-13</c:v>
                </c:pt>
                <c:pt idx="678">
                  <c:v>-2.842170943040401e-14</c:v>
                </c:pt>
                <c:pt idx="679">
                  <c:v>8.526512829121202e-14</c:v>
                </c:pt>
                <c:pt idx="680">
                  <c:v>-1.06581410364015e-13</c:v>
                </c:pt>
                <c:pt idx="681">
                  <c:v>-1.13686837721616e-13</c:v>
                </c:pt>
                <c:pt idx="682">
                  <c:v>4.973799150320701e-14</c:v>
                </c:pt>
                <c:pt idx="683">
                  <c:v>-2.131628207280301e-14</c:v>
                </c:pt>
                <c:pt idx="684">
                  <c:v>-7.105427357601002e-15</c:v>
                </c:pt>
                <c:pt idx="685">
                  <c:v>4.263256414560601e-14</c:v>
                </c:pt>
                <c:pt idx="686">
                  <c:v>7.815970093361102e-14</c:v>
                </c:pt>
                <c:pt idx="687">
                  <c:v>-7.105427357601002e-15</c:v>
                </c:pt>
                <c:pt idx="688">
                  <c:v>-1.35003119794419e-13</c:v>
                </c:pt>
                <c:pt idx="689">
                  <c:v>-2.131628207280301e-14</c:v>
                </c:pt>
                <c:pt idx="690">
                  <c:v>-4.973799150320701e-14</c:v>
                </c:pt>
                <c:pt idx="691">
                  <c:v>-2.131628207280301e-13</c:v>
                </c:pt>
                <c:pt idx="692">
                  <c:v>-1.77635683940025e-13</c:v>
                </c:pt>
                <c:pt idx="693">
                  <c:v>7.105427357601002e-15</c:v>
                </c:pt>
                <c:pt idx="694">
                  <c:v>2.273736754432321e-13</c:v>
                </c:pt>
                <c:pt idx="695">
                  <c:v>6.750155989720952e-14</c:v>
                </c:pt>
                <c:pt idx="696">
                  <c:v>-3.552713678800501e-14</c:v>
                </c:pt>
                <c:pt idx="697">
                  <c:v>-4.618527782440651e-14</c:v>
                </c:pt>
                <c:pt idx="698">
                  <c:v>1.314504061156185e-13</c:v>
                </c:pt>
                <c:pt idx="699">
                  <c:v>-1.13686837721616e-13</c:v>
                </c:pt>
                <c:pt idx="700">
                  <c:v>-2.486899575160351e-14</c:v>
                </c:pt>
                <c:pt idx="701">
                  <c:v>0</c:v>
                </c:pt>
                <c:pt idx="702">
                  <c:v>-4.973799150320701e-14</c:v>
                </c:pt>
                <c:pt idx="703">
                  <c:v>3.197442310920451e-14</c:v>
                </c:pt>
                <c:pt idx="704">
                  <c:v>-4.263256414560601e-14</c:v>
                </c:pt>
                <c:pt idx="705">
                  <c:v>0</c:v>
                </c:pt>
                <c:pt idx="706">
                  <c:v>-7.105427357601002e-15</c:v>
                </c:pt>
                <c:pt idx="707">
                  <c:v>1.06581410364015e-13</c:v>
                </c:pt>
                <c:pt idx="708">
                  <c:v>-4.973799150320701e-14</c:v>
                </c:pt>
                <c:pt idx="709">
                  <c:v>-7.105427357601002e-15</c:v>
                </c:pt>
                <c:pt idx="710">
                  <c:v>-1.77635683940025e-14</c:v>
                </c:pt>
                <c:pt idx="711">
                  <c:v>-7.460698725481052e-14</c:v>
                </c:pt>
                <c:pt idx="712">
                  <c:v>-2.131628207280301e-14</c:v>
                </c:pt>
                <c:pt idx="713">
                  <c:v>-4.263256414560601e-14</c:v>
                </c:pt>
                <c:pt idx="714">
                  <c:v>1.13686837721616e-13</c:v>
                </c:pt>
                <c:pt idx="715">
                  <c:v>7.815970093361102e-14</c:v>
                </c:pt>
                <c:pt idx="716">
                  <c:v>-1.172395514004165e-13</c:v>
                </c:pt>
                <c:pt idx="717">
                  <c:v>-1.456612608308205e-13</c:v>
                </c:pt>
                <c:pt idx="718">
                  <c:v>-2.451372438372346e-13</c:v>
                </c:pt>
                <c:pt idx="719">
                  <c:v>6.039613253960852e-14</c:v>
                </c:pt>
                <c:pt idx="720">
                  <c:v>9.237055564881302e-14</c:v>
                </c:pt>
                <c:pt idx="721">
                  <c:v>-7.815970093361102e-14</c:v>
                </c:pt>
                <c:pt idx="722">
                  <c:v>-5.684341886080801e-14</c:v>
                </c:pt>
                <c:pt idx="723">
                  <c:v>-7.105427357601002e-15</c:v>
                </c:pt>
                <c:pt idx="724">
                  <c:v>-1.314504061156185e-13</c:v>
                </c:pt>
                <c:pt idx="725">
                  <c:v>-1.06581410364015e-13</c:v>
                </c:pt>
                <c:pt idx="726">
                  <c:v>1.35003119794419e-13</c:v>
                </c:pt>
                <c:pt idx="727">
                  <c:v>1.527666881884215e-13</c:v>
                </c:pt>
                <c:pt idx="728">
                  <c:v>1.63424829224823e-13</c:v>
                </c:pt>
                <c:pt idx="729">
                  <c:v>-7.105427357601002e-14</c:v>
                </c:pt>
                <c:pt idx="730">
                  <c:v>-4.263256414560601e-14</c:v>
                </c:pt>
                <c:pt idx="731">
                  <c:v>9.592326932761353e-14</c:v>
                </c:pt>
                <c:pt idx="732">
                  <c:v>1.20792265079217e-13</c:v>
                </c:pt>
                <c:pt idx="733">
                  <c:v>-7.993605777301127e-14</c:v>
                </c:pt>
                <c:pt idx="734">
                  <c:v>2.664535259100376e-14</c:v>
                </c:pt>
                <c:pt idx="735">
                  <c:v>2.842170943040401e-14</c:v>
                </c:pt>
                <c:pt idx="736">
                  <c:v>-2.309263891220326e-13</c:v>
                </c:pt>
                <c:pt idx="737">
                  <c:v>-4.636291350834654e-13</c:v>
                </c:pt>
                <c:pt idx="738">
                  <c:v>-1.456612608308205e-13</c:v>
                </c:pt>
                <c:pt idx="739">
                  <c:v>-4.156675004196586e-13</c:v>
                </c:pt>
                <c:pt idx="740">
                  <c:v>-1.4210854715202e-13</c:v>
                </c:pt>
                <c:pt idx="741">
                  <c:v>2.664535259100376e-14</c:v>
                </c:pt>
                <c:pt idx="742">
                  <c:v>-1.438849039914203e-13</c:v>
                </c:pt>
                <c:pt idx="743">
                  <c:v>-1.953992523340276e-14</c:v>
                </c:pt>
                <c:pt idx="744">
                  <c:v>1.190159082398168e-13</c:v>
                </c:pt>
                <c:pt idx="745">
                  <c:v>-4.352074256530614e-13</c:v>
                </c:pt>
                <c:pt idx="746">
                  <c:v>-2.664535259100376e-14</c:v>
                </c:pt>
                <c:pt idx="747">
                  <c:v>-2.060573933704291e-13</c:v>
                </c:pt>
                <c:pt idx="748">
                  <c:v>-3.534950110406498e-13</c:v>
                </c:pt>
                <c:pt idx="749">
                  <c:v>1.35003119794419e-13</c:v>
                </c:pt>
                <c:pt idx="750">
                  <c:v>-1.811883976188255e-13</c:v>
                </c:pt>
                <c:pt idx="751">
                  <c:v>-5.861977570020827e-14</c:v>
                </c:pt>
                <c:pt idx="752">
                  <c:v>-2.922107000813412e-13</c:v>
                </c:pt>
                <c:pt idx="753">
                  <c:v>-2.646771690706373e-13</c:v>
                </c:pt>
                <c:pt idx="754">
                  <c:v>1.953992523340276e-14</c:v>
                </c:pt>
                <c:pt idx="755">
                  <c:v>1.643130076445232e-13</c:v>
                </c:pt>
                <c:pt idx="756">
                  <c:v>3.321787289678468e-13</c:v>
                </c:pt>
                <c:pt idx="757">
                  <c:v>-4.174438572590589e-13</c:v>
                </c:pt>
                <c:pt idx="758">
                  <c:v>3.983480212355062e-13</c:v>
                </c:pt>
                <c:pt idx="759">
                  <c:v>2.69562150378988e-13</c:v>
                </c:pt>
                <c:pt idx="760">
                  <c:v>-1.980637875931279e-13</c:v>
                </c:pt>
                <c:pt idx="761">
                  <c:v>-2.176037128265307e-14</c:v>
                </c:pt>
                <c:pt idx="762">
                  <c:v>-1.327826737451687e-13</c:v>
                </c:pt>
                <c:pt idx="763">
                  <c:v>-2.802202914153895e-13</c:v>
                </c:pt>
                <c:pt idx="764">
                  <c:v>2.19824158875781e-14</c:v>
                </c:pt>
                <c:pt idx="765">
                  <c:v>-1.723066134218243e-13</c:v>
                </c:pt>
                <c:pt idx="766">
                  <c:v>3.773370504944751e-13</c:v>
                </c:pt>
                <c:pt idx="767">
                  <c:v>7.205347429817266e-14</c:v>
                </c:pt>
                <c:pt idx="768">
                  <c:v>-2.33812968986058e-13</c:v>
                </c:pt>
                <c:pt idx="769">
                  <c:v>-1.105782132526656e-13</c:v>
                </c:pt>
                <c:pt idx="770">
                  <c:v>1.254552017826427e-13</c:v>
                </c:pt>
                <c:pt idx="771">
                  <c:v>4.347633364432113e-13</c:v>
                </c:pt>
                <c:pt idx="772">
                  <c:v>-8.704148513061227e-14</c:v>
                </c:pt>
                <c:pt idx="773">
                  <c:v>-4.614086890342151e-13</c:v>
                </c:pt>
                <c:pt idx="774">
                  <c:v>-4.618527782440651e-14</c:v>
                </c:pt>
                <c:pt idx="775">
                  <c:v>5.480060849549773e-13</c:v>
                </c:pt>
                <c:pt idx="776">
                  <c:v>-3.650413304967515e-13</c:v>
                </c:pt>
                <c:pt idx="777">
                  <c:v>-2.575717417130363e-14</c:v>
                </c:pt>
                <c:pt idx="778">
                  <c:v>-8.704148513061227e-14</c:v>
                </c:pt>
                <c:pt idx="779">
                  <c:v>-1.545430450278218e-13</c:v>
                </c:pt>
                <c:pt idx="780">
                  <c:v>-2.682298827494378e-13</c:v>
                </c:pt>
                <c:pt idx="781">
                  <c:v>9.681144774731365e-14</c:v>
                </c:pt>
                <c:pt idx="782">
                  <c:v>-5.897504706808832e-13</c:v>
                </c:pt>
                <c:pt idx="783">
                  <c:v>2.788880237858393e-13</c:v>
                </c:pt>
                <c:pt idx="784">
                  <c:v>-8.171241461241152e-14</c:v>
                </c:pt>
                <c:pt idx="785">
                  <c:v>2.522426711948356e-13</c:v>
                </c:pt>
                <c:pt idx="786">
                  <c:v>2.966515921798418e-13</c:v>
                </c:pt>
                <c:pt idx="787">
                  <c:v>1.669775429036235e-13</c:v>
                </c:pt>
                <c:pt idx="788">
                  <c:v>2.273736754432321e-13</c:v>
                </c:pt>
                <c:pt idx="789">
                  <c:v>-4.529709940470639e-13</c:v>
                </c:pt>
                <c:pt idx="790">
                  <c:v>-1.758593271006248e-13</c:v>
                </c:pt>
                <c:pt idx="791">
                  <c:v>-3.392841563254478e-13</c:v>
                </c:pt>
                <c:pt idx="792">
                  <c:v>1.048050535246148e-13</c:v>
                </c:pt>
                <c:pt idx="793">
                  <c:v>-6.572520305780927e-13</c:v>
                </c:pt>
                <c:pt idx="794">
                  <c:v>5.773159728050814e-13</c:v>
                </c:pt>
                <c:pt idx="795">
                  <c:v>-2.895461648222408e-13</c:v>
                </c:pt>
                <c:pt idx="796">
                  <c:v>-8.881784197001252e-14</c:v>
                </c:pt>
                <c:pt idx="797">
                  <c:v>2.557953848736361e-13</c:v>
                </c:pt>
                <c:pt idx="798">
                  <c:v>4.263256414560601e-14</c:v>
                </c:pt>
                <c:pt idx="799">
                  <c:v>4.618527782440651e-13</c:v>
                </c:pt>
                <c:pt idx="800">
                  <c:v>2.273736754432321e-13</c:v>
                </c:pt>
                <c:pt idx="801">
                  <c:v>-8.810729923425242e-13</c:v>
                </c:pt>
                <c:pt idx="802">
                  <c:v>-3.232969447708456e-13</c:v>
                </c:pt>
                <c:pt idx="803">
                  <c:v>-5.186961971048731e-13</c:v>
                </c:pt>
                <c:pt idx="804">
                  <c:v>-7.105427357601002e-15</c:v>
                </c:pt>
                <c:pt idx="805">
                  <c:v>2.309263891220326e-13</c:v>
                </c:pt>
                <c:pt idx="806">
                  <c:v>3.943512183468556e-13</c:v>
                </c:pt>
                <c:pt idx="807">
                  <c:v>5.684341886080801e-13</c:v>
                </c:pt>
                <c:pt idx="808">
                  <c:v>-1.49213974509621e-13</c:v>
                </c:pt>
                <c:pt idx="809">
                  <c:v>1.364242052659392e-12</c:v>
                </c:pt>
                <c:pt idx="810">
                  <c:v>-7.567280135845067e-13</c:v>
                </c:pt>
                <c:pt idx="811">
                  <c:v>-9.379164112033322e-13</c:v>
                </c:pt>
                <c:pt idx="812">
                  <c:v>-6.998845947236987e-13</c:v>
                </c:pt>
                <c:pt idx="813">
                  <c:v>2.664535259100376e-13</c:v>
                </c:pt>
                <c:pt idx="814">
                  <c:v>7.247535904753022e-13</c:v>
                </c:pt>
                <c:pt idx="815">
                  <c:v>-5.861977570020827e-13</c:v>
                </c:pt>
                <c:pt idx="816">
                  <c:v>-3.730349362740526e-13</c:v>
                </c:pt>
                <c:pt idx="817">
                  <c:v>-2.131628207280301e-13</c:v>
                </c:pt>
                <c:pt idx="818">
                  <c:v>-1.314504061156185e-13</c:v>
                </c:pt>
                <c:pt idx="819">
                  <c:v>1.27897692436818e-13</c:v>
                </c:pt>
                <c:pt idx="820">
                  <c:v>-1.20792265079217e-13</c:v>
                </c:pt>
                <c:pt idx="821">
                  <c:v>-1.456612608308205e-13</c:v>
                </c:pt>
                <c:pt idx="822">
                  <c:v>5.684341886080801e-13</c:v>
                </c:pt>
                <c:pt idx="823">
                  <c:v>-5.080380560684716e-13</c:v>
                </c:pt>
                <c:pt idx="824">
                  <c:v>-1.580957587066223e-12</c:v>
                </c:pt>
                <c:pt idx="825">
                  <c:v>-2.060573933704291e-13</c:v>
                </c:pt>
                <c:pt idx="826">
                  <c:v>-9.379164112033322e-13</c:v>
                </c:pt>
                <c:pt idx="827">
                  <c:v>-1.77635683940025e-13</c:v>
                </c:pt>
                <c:pt idx="828">
                  <c:v>-1.56319401867222e-13</c:v>
                </c:pt>
                <c:pt idx="829">
                  <c:v>-3.623767952376511e-13</c:v>
                </c:pt>
                <c:pt idx="830">
                  <c:v>-4.973799150320701e-14</c:v>
                </c:pt>
                <c:pt idx="831">
                  <c:v>2.629008122312371e-13</c:v>
                </c:pt>
                <c:pt idx="832">
                  <c:v>1.4210854715202e-14</c:v>
                </c:pt>
                <c:pt idx="833">
                  <c:v>-7.887024366937112e-13</c:v>
                </c:pt>
                <c:pt idx="834">
                  <c:v>2.629008122312371e-13</c:v>
                </c:pt>
                <c:pt idx="835">
                  <c:v>6.039613253960852e-13</c:v>
                </c:pt>
                <c:pt idx="836">
                  <c:v>-1.250555214937776e-12</c:v>
                </c:pt>
                <c:pt idx="837">
                  <c:v>3.481659405224491e-13</c:v>
                </c:pt>
                <c:pt idx="838">
                  <c:v>-1.364242052659392e-12</c:v>
                </c:pt>
                <c:pt idx="839">
                  <c:v>-3.268496584496461e-13</c:v>
                </c:pt>
                <c:pt idx="840">
                  <c:v>-4.263256414560601e-14</c:v>
                </c:pt>
                <c:pt idx="841">
                  <c:v>-5.258016244624741e-13</c:v>
                </c:pt>
                <c:pt idx="842">
                  <c:v>-6.608047442568932e-13</c:v>
                </c:pt>
                <c:pt idx="843">
                  <c:v>-4.121147867408581e-13</c:v>
                </c:pt>
                <c:pt idx="844">
                  <c:v>2.629008122312371e-13</c:v>
                </c:pt>
                <c:pt idx="845">
                  <c:v>6.821210263296962e-13</c:v>
                </c:pt>
                <c:pt idx="846">
                  <c:v>-5.826450433232822e-13</c:v>
                </c:pt>
                <c:pt idx="847">
                  <c:v>-3.836930773104541e-13</c:v>
                </c:pt>
                <c:pt idx="848">
                  <c:v>-6.394884621840902e-13</c:v>
                </c:pt>
                <c:pt idx="849">
                  <c:v>7.034373084024992e-13</c:v>
                </c:pt>
                <c:pt idx="850">
                  <c:v>-7.105427357601002e-14</c:v>
                </c:pt>
                <c:pt idx="851">
                  <c:v>-3.055333763768431e-13</c:v>
                </c:pt>
                <c:pt idx="852">
                  <c:v>2.131628207280301e-14</c:v>
                </c:pt>
                <c:pt idx="853">
                  <c:v>-2.913225216616411e-13</c:v>
                </c:pt>
                <c:pt idx="854">
                  <c:v>5.329070518200751e-13</c:v>
                </c:pt>
                <c:pt idx="855">
                  <c:v>-6.252776074688882e-13</c:v>
                </c:pt>
                <c:pt idx="856">
                  <c:v>0</c:v>
                </c:pt>
                <c:pt idx="857">
                  <c:v>7.105427357601002e-13</c:v>
                </c:pt>
                <c:pt idx="858">
                  <c:v>7.389644451905042e-13</c:v>
                </c:pt>
                <c:pt idx="859">
                  <c:v>3.268496584496461e-13</c:v>
                </c:pt>
                <c:pt idx="860">
                  <c:v>-1.648459146963432e-12</c:v>
                </c:pt>
                <c:pt idx="861">
                  <c:v>-1.193711796076968e-12</c:v>
                </c:pt>
                <c:pt idx="862">
                  <c:v>7.958078640513122e-13</c:v>
                </c:pt>
                <c:pt idx="863">
                  <c:v>-6.821210263296962e-13</c:v>
                </c:pt>
                <c:pt idx="864">
                  <c:v>-8.526512829121202e-14</c:v>
                </c:pt>
                <c:pt idx="865">
                  <c:v>-8.952838470577262e-13</c:v>
                </c:pt>
                <c:pt idx="866">
                  <c:v>-3.979039320256561e-13</c:v>
                </c:pt>
                <c:pt idx="867">
                  <c:v>-8.100187187665142e-13</c:v>
                </c:pt>
                <c:pt idx="868">
                  <c:v>-2.273736754432321e-13</c:v>
                </c:pt>
                <c:pt idx="869">
                  <c:v>2.842170943040401e-13</c:v>
                </c:pt>
                <c:pt idx="870">
                  <c:v>-5.826450433232822e-13</c:v>
                </c:pt>
                <c:pt idx="871">
                  <c:v>-6.394884621840902e-13</c:v>
                </c:pt>
                <c:pt idx="872">
                  <c:v>4.689582056016661e-13</c:v>
                </c:pt>
                <c:pt idx="873">
                  <c:v>-2.700062395888381e-13</c:v>
                </c:pt>
                <c:pt idx="874">
                  <c:v>4.263256414560601e-14</c:v>
                </c:pt>
                <c:pt idx="875">
                  <c:v>-5.684341886080801e-13</c:v>
                </c:pt>
                <c:pt idx="876">
                  <c:v>2.415845301584341e-13</c:v>
                </c:pt>
                <c:pt idx="877">
                  <c:v>1.293187779083382e-12</c:v>
                </c:pt>
                <c:pt idx="878">
                  <c:v>-2.415845301584341e-13</c:v>
                </c:pt>
                <c:pt idx="879">
                  <c:v>-6.536993168992922e-13</c:v>
                </c:pt>
                <c:pt idx="880">
                  <c:v>-2.074784788419493e-12</c:v>
                </c:pt>
                <c:pt idx="881">
                  <c:v>-2.415845301584341e-13</c:v>
                </c:pt>
                <c:pt idx="882">
                  <c:v>9.379164112033322e-13</c:v>
                </c:pt>
                <c:pt idx="883">
                  <c:v>-1.84741111297626e-13</c:v>
                </c:pt>
                <c:pt idx="884">
                  <c:v>1.989519660128281e-13</c:v>
                </c:pt>
                <c:pt idx="885">
                  <c:v>1.023181539494544e-12</c:v>
                </c:pt>
                <c:pt idx="886">
                  <c:v>-5.684341886080801e-13</c:v>
                </c:pt>
                <c:pt idx="887">
                  <c:v>-4.547473508864641e-13</c:v>
                </c:pt>
                <c:pt idx="888">
                  <c:v>-7.958078640513122e-13</c:v>
                </c:pt>
                <c:pt idx="889">
                  <c:v>3.268496584496461e-13</c:v>
                </c:pt>
                <c:pt idx="890">
                  <c:v>-3.694822225952521e-13</c:v>
                </c:pt>
                <c:pt idx="891">
                  <c:v>3.979039320256561e-13</c:v>
                </c:pt>
                <c:pt idx="892">
                  <c:v>4.263256414560601e-13</c:v>
                </c:pt>
                <c:pt idx="893">
                  <c:v>-5.684341886080801e-13</c:v>
                </c:pt>
                <c:pt idx="894">
                  <c:v>-3.979039320256561e-13</c:v>
                </c:pt>
                <c:pt idx="895">
                  <c:v>1.307398633798584e-12</c:v>
                </c:pt>
                <c:pt idx="896">
                  <c:v>6.679101716144942e-13</c:v>
                </c:pt>
                <c:pt idx="897">
                  <c:v>1.392663762089796e-12</c:v>
                </c:pt>
                <c:pt idx="898">
                  <c:v>1.27897692436818e-13</c:v>
                </c:pt>
                <c:pt idx="899">
                  <c:v>-6.821210263296962e-13</c:v>
                </c:pt>
                <c:pt idx="900">
                  <c:v>2.984279490192421e-13</c:v>
                </c:pt>
                <c:pt idx="901">
                  <c:v>-1.648459146963432e-12</c:v>
                </c:pt>
                <c:pt idx="902">
                  <c:v>4.263256414560601e-14</c:v>
                </c:pt>
                <c:pt idx="903">
                  <c:v>4.547473508864641e-13</c:v>
                </c:pt>
                <c:pt idx="904">
                  <c:v>-4.547473508864641e-13</c:v>
                </c:pt>
                <c:pt idx="905">
                  <c:v>-1.4210854715202e-14</c:v>
                </c:pt>
                <c:pt idx="906">
                  <c:v>1.70530256582424e-13</c:v>
                </c:pt>
                <c:pt idx="907">
                  <c:v>0</c:v>
                </c:pt>
                <c:pt idx="908">
                  <c:v>3.126388037344441e-13</c:v>
                </c:pt>
                <c:pt idx="909">
                  <c:v>-5.826450433232822e-13</c:v>
                </c:pt>
                <c:pt idx="910">
                  <c:v>-4.831690603168681e-13</c:v>
                </c:pt>
                <c:pt idx="911">
                  <c:v>2.557953848736361e-13</c:v>
                </c:pt>
                <c:pt idx="912">
                  <c:v>-3.694822225952521e-13</c:v>
                </c:pt>
                <c:pt idx="913">
                  <c:v>2.984279490192421e-13</c:v>
                </c:pt>
                <c:pt idx="914">
                  <c:v>-3.979039320256561e-13</c:v>
                </c:pt>
                <c:pt idx="915">
                  <c:v>-1.890043677121866e-12</c:v>
                </c:pt>
                <c:pt idx="916">
                  <c:v>9.237055564881302e-13</c:v>
                </c:pt>
                <c:pt idx="917">
                  <c:v>-1.70530256582424e-13</c:v>
                </c:pt>
                <c:pt idx="918">
                  <c:v>3.979039320256561e-13</c:v>
                </c:pt>
                <c:pt idx="919">
                  <c:v>5.400124791776761e-13</c:v>
                </c:pt>
                <c:pt idx="920">
                  <c:v>-7.105427357601002e-14</c:v>
                </c:pt>
                <c:pt idx="921">
                  <c:v>1.13686837721616e-13</c:v>
                </c:pt>
                <c:pt idx="922">
                  <c:v>-1.051603248924948e-12</c:v>
                </c:pt>
                <c:pt idx="923">
                  <c:v>9.805489753489383e-13</c:v>
                </c:pt>
                <c:pt idx="924">
                  <c:v>9.094947017729282e-13</c:v>
                </c:pt>
                <c:pt idx="925">
                  <c:v>1.094235813070554e-12</c:v>
                </c:pt>
                <c:pt idx="926">
                  <c:v>-9.663381206337363e-13</c:v>
                </c:pt>
                <c:pt idx="927">
                  <c:v>0</c:v>
                </c:pt>
                <c:pt idx="928">
                  <c:v>1.4210854715202e-13</c:v>
                </c:pt>
                <c:pt idx="929">
                  <c:v>-1.222133505507372e-12</c:v>
                </c:pt>
                <c:pt idx="930">
                  <c:v>1.620037437533028e-12</c:v>
                </c:pt>
                <c:pt idx="931">
                  <c:v>3.836930773104541e-13</c:v>
                </c:pt>
                <c:pt idx="932">
                  <c:v>6.536993168992922e-13</c:v>
                </c:pt>
                <c:pt idx="933">
                  <c:v>8.526512829121202e-14</c:v>
                </c:pt>
                <c:pt idx="934">
                  <c:v>-7.105427357601002e-14</c:v>
                </c:pt>
                <c:pt idx="935">
                  <c:v>1.250555214937776e-12</c:v>
                </c:pt>
                <c:pt idx="936">
                  <c:v>-5.826450433232822e-13</c:v>
                </c:pt>
                <c:pt idx="937">
                  <c:v>-1.222133505507372e-12</c:v>
                </c:pt>
                <c:pt idx="938">
                  <c:v>-9.663381206337363e-13</c:v>
                </c:pt>
                <c:pt idx="939">
                  <c:v>-1.06581410364015e-12</c:v>
                </c:pt>
                <c:pt idx="940">
                  <c:v>1.56319401867222e-13</c:v>
                </c:pt>
                <c:pt idx="941">
                  <c:v>-5.826450433232822e-13</c:v>
                </c:pt>
                <c:pt idx="942">
                  <c:v>-6.679101716144942e-13</c:v>
                </c:pt>
                <c:pt idx="943">
                  <c:v>8.242295734817162e-13</c:v>
                </c:pt>
                <c:pt idx="944">
                  <c:v>-7.389644451905042e-13</c:v>
                </c:pt>
                <c:pt idx="945">
                  <c:v>-7.673861546209082e-13</c:v>
                </c:pt>
                <c:pt idx="946">
                  <c:v>7.389644451905042e-13</c:v>
                </c:pt>
                <c:pt idx="947">
                  <c:v>1.4210854715202e-14</c:v>
                </c:pt>
                <c:pt idx="948">
                  <c:v>2.131628207280301e-13</c:v>
                </c:pt>
                <c:pt idx="949">
                  <c:v>2.842170943040401e-14</c:v>
                </c:pt>
                <c:pt idx="950">
                  <c:v>-5.258016244624741e-13</c:v>
                </c:pt>
                <c:pt idx="951">
                  <c:v>1.13686837721616e-13</c:v>
                </c:pt>
                <c:pt idx="952">
                  <c:v>-8.526512829121202e-13</c:v>
                </c:pt>
                <c:pt idx="953">
                  <c:v>-6.821210263296962e-13</c:v>
                </c:pt>
                <c:pt idx="954">
                  <c:v>3.979039320256561e-13</c:v>
                </c:pt>
                <c:pt idx="955">
                  <c:v>-6.679101716144942e-13</c:v>
                </c:pt>
                <c:pt idx="956">
                  <c:v>-5.258016244624741e-13</c:v>
                </c:pt>
                <c:pt idx="957">
                  <c:v>-1.4210854715202e-14</c:v>
                </c:pt>
                <c:pt idx="958">
                  <c:v>1.008970684779342e-12</c:v>
                </c:pt>
                <c:pt idx="959">
                  <c:v>-4.547473508864641e-13</c:v>
                </c:pt>
                <c:pt idx="960">
                  <c:v>-2.557953848736361e-13</c:v>
                </c:pt>
                <c:pt idx="961">
                  <c:v>-4.121147867408581e-13</c:v>
                </c:pt>
                <c:pt idx="962">
                  <c:v>-9.237055564881302e-13</c:v>
                </c:pt>
                <c:pt idx="963">
                  <c:v>-1.84741111297626e-13</c:v>
                </c:pt>
                <c:pt idx="964">
                  <c:v>-4.263256414560601e-13</c:v>
                </c:pt>
                <c:pt idx="965">
                  <c:v>-2.842170943040401e-14</c:v>
                </c:pt>
                <c:pt idx="966">
                  <c:v>-2.557953848736361e-13</c:v>
                </c:pt>
                <c:pt idx="967">
                  <c:v>-1.70530256582424e-13</c:v>
                </c:pt>
                <c:pt idx="968">
                  <c:v>7.105427357601002e-14</c:v>
                </c:pt>
                <c:pt idx="969">
                  <c:v>-1.222133505507372e-12</c:v>
                </c:pt>
                <c:pt idx="970">
                  <c:v>7.389644451905042e-13</c:v>
                </c:pt>
                <c:pt idx="971">
                  <c:v>-4.547473508864641e-13</c:v>
                </c:pt>
                <c:pt idx="972">
                  <c:v>-1.70530256582424e-12</c:v>
                </c:pt>
                <c:pt idx="973">
                  <c:v>6.963318810448982e-13</c:v>
                </c:pt>
                <c:pt idx="974">
                  <c:v>1.989519660128281e-13</c:v>
                </c:pt>
                <c:pt idx="975">
                  <c:v>1.49213974509621e-12</c:v>
                </c:pt>
                <c:pt idx="976">
                  <c:v>-1.094235813070554e-12</c:v>
                </c:pt>
                <c:pt idx="977">
                  <c:v>0</c:v>
                </c:pt>
                <c:pt idx="978">
                  <c:v>-6.679101716144942e-13</c:v>
                </c:pt>
                <c:pt idx="979">
                  <c:v>-3.979039320256561e-13</c:v>
                </c:pt>
                <c:pt idx="980">
                  <c:v>-1.4210854715202e-14</c:v>
                </c:pt>
                <c:pt idx="981">
                  <c:v>-4.689582056016661e-13</c:v>
                </c:pt>
                <c:pt idx="982">
                  <c:v>1.264766069652978e-12</c:v>
                </c:pt>
                <c:pt idx="983">
                  <c:v>-5.115907697472721e-13</c:v>
                </c:pt>
                <c:pt idx="984">
                  <c:v>-8.384404281969182e-13</c:v>
                </c:pt>
                <c:pt idx="985">
                  <c:v>-3.410605131648481e-13</c:v>
                </c:pt>
                <c:pt idx="986">
                  <c:v>7.247535904753022e-13</c:v>
                </c:pt>
                <c:pt idx="987">
                  <c:v>-3.552713678800501e-13</c:v>
                </c:pt>
                <c:pt idx="988">
                  <c:v>-8.242295734817162e-13</c:v>
                </c:pt>
                <c:pt idx="989">
                  <c:v>6.252776074688882e-13</c:v>
                </c:pt>
                <c:pt idx="990">
                  <c:v>-8.668621376273222e-13</c:v>
                </c:pt>
                <c:pt idx="991">
                  <c:v>-7.105427357601002e-14</c:v>
                </c:pt>
                <c:pt idx="992">
                  <c:v>-5.968558980384842e-13</c:v>
                </c:pt>
                <c:pt idx="993">
                  <c:v>-1.84741111297626e-13</c:v>
                </c:pt>
                <c:pt idx="994">
                  <c:v>-1.477928890381008e-12</c:v>
                </c:pt>
                <c:pt idx="995">
                  <c:v>2.131628207280301e-13</c:v>
                </c:pt>
                <c:pt idx="996">
                  <c:v>-1.4210854715202e-14</c:v>
                </c:pt>
                <c:pt idx="997">
                  <c:v>-5.115907697472721e-13</c:v>
                </c:pt>
                <c:pt idx="998">
                  <c:v>-6.110667527536862e-13</c:v>
                </c:pt>
                <c:pt idx="999">
                  <c:v>2.842170943040401e-14</c:v>
                </c:pt>
                <c:pt idx="1000">
                  <c:v>-1.477928890381008e-12</c:v>
                </c:pt>
                <c:pt idx="1001">
                  <c:v>1.023181539494544e-12</c:v>
                </c:pt>
                <c:pt idx="1002">
                  <c:v>-8.526512829121202e-14</c:v>
                </c:pt>
                <c:pt idx="1003">
                  <c:v>4.263256414560601e-14</c:v>
                </c:pt>
                <c:pt idx="1004">
                  <c:v>2.842170943040401e-13</c:v>
                </c:pt>
                <c:pt idx="1005">
                  <c:v>-5.542233338928781e-13</c:v>
                </c:pt>
                <c:pt idx="1006">
                  <c:v>2.131628207280301e-13</c:v>
                </c:pt>
                <c:pt idx="1007">
                  <c:v>-1.179500941361766e-12</c:v>
                </c:pt>
                <c:pt idx="1008">
                  <c:v>0</c:v>
                </c:pt>
                <c:pt idx="1009">
                  <c:v>-1.080024958355352e-12</c:v>
                </c:pt>
                <c:pt idx="1010">
                  <c:v>4.831690603168681e-13</c:v>
                </c:pt>
                <c:pt idx="1011">
                  <c:v>2.415845301584341e-13</c:v>
                </c:pt>
                <c:pt idx="1012">
                  <c:v>4.831690603168681e-13</c:v>
                </c:pt>
                <c:pt idx="1013">
                  <c:v>0</c:v>
                </c:pt>
                <c:pt idx="1014">
                  <c:v>-3.268496584496461e-13</c:v>
                </c:pt>
                <c:pt idx="1015">
                  <c:v>-1.70530256582424e-13</c:v>
                </c:pt>
                <c:pt idx="1016">
                  <c:v>4.405364961712621e-13</c:v>
                </c:pt>
                <c:pt idx="1017">
                  <c:v>-7.531752999057062e-13</c:v>
                </c:pt>
                <c:pt idx="1018">
                  <c:v>4.121147867408581e-13</c:v>
                </c:pt>
                <c:pt idx="1019">
                  <c:v>1.989519660128281e-12</c:v>
                </c:pt>
                <c:pt idx="1020">
                  <c:v>1.548983163957018e-12</c:v>
                </c:pt>
                <c:pt idx="1021">
                  <c:v>3.069544618483633e-12</c:v>
                </c:pt>
                <c:pt idx="1022">
                  <c:v>-1.477928890381008e-12</c:v>
                </c:pt>
                <c:pt idx="1023">
                  <c:v>6.565414878423326e-12</c:v>
                </c:pt>
                <c:pt idx="1024">
                  <c:v>2.557953848736361e-13</c:v>
                </c:pt>
                <c:pt idx="1025">
                  <c:v>5.968558980384842e-13</c:v>
                </c:pt>
                <c:pt idx="1026">
                  <c:v>4.263256414560601e-13</c:v>
                </c:pt>
                <c:pt idx="1027">
                  <c:v>-7.958078640513122e-13</c:v>
                </c:pt>
                <c:pt idx="1028">
                  <c:v>5.115907697472721e-13</c:v>
                </c:pt>
                <c:pt idx="1029">
                  <c:v>-3.836930773104541e-13</c:v>
                </c:pt>
                <c:pt idx="1030">
                  <c:v>-1.989519660128281e-12</c:v>
                </c:pt>
                <c:pt idx="1031">
                  <c:v>-2.415845301584341e-13</c:v>
                </c:pt>
                <c:pt idx="1032">
                  <c:v>-2.202682480856311e-12</c:v>
                </c:pt>
                <c:pt idx="1033">
                  <c:v>0</c:v>
                </c:pt>
                <c:pt idx="1034">
                  <c:v>-9.947598300641403e-14</c:v>
                </c:pt>
                <c:pt idx="1035">
                  <c:v>2.984279490192421e-13</c:v>
                </c:pt>
                <c:pt idx="1036">
                  <c:v>-7.958078640513122e-13</c:v>
                </c:pt>
                <c:pt idx="1037">
                  <c:v>-1.27897692436818e-12</c:v>
                </c:pt>
                <c:pt idx="1038">
                  <c:v>8.526512829121202e-14</c:v>
                </c:pt>
                <c:pt idx="1039">
                  <c:v>4.263256414560601e-13</c:v>
                </c:pt>
                <c:pt idx="1040">
                  <c:v>4.405364961712621e-13</c:v>
                </c:pt>
                <c:pt idx="1041">
                  <c:v>9.947598300641403e-14</c:v>
                </c:pt>
                <c:pt idx="1042">
                  <c:v>-7.105427357601002e-13</c:v>
                </c:pt>
                <c:pt idx="1043">
                  <c:v>-6.394884621840902e-13</c:v>
                </c:pt>
                <c:pt idx="1044">
                  <c:v>-2.984279490192421e-13</c:v>
                </c:pt>
                <c:pt idx="1045">
                  <c:v>-1.605826582817826e-12</c:v>
                </c:pt>
                <c:pt idx="1046">
                  <c:v>-3.126388037344441e-13</c:v>
                </c:pt>
                <c:pt idx="1047">
                  <c:v>1.989519660128281e-13</c:v>
                </c:pt>
                <c:pt idx="1048">
                  <c:v>-1.037392394209746e-12</c:v>
                </c:pt>
                <c:pt idx="1049">
                  <c:v>-1.84741111297626e-12</c:v>
                </c:pt>
                <c:pt idx="1050">
                  <c:v>1.023181539494544e-12</c:v>
                </c:pt>
                <c:pt idx="1051">
                  <c:v>1.06581410364015e-12</c:v>
                </c:pt>
                <c:pt idx="1052">
                  <c:v>9.947598300641403e-14</c:v>
                </c:pt>
                <c:pt idx="1053">
                  <c:v>-3.268496584496461e-13</c:v>
                </c:pt>
                <c:pt idx="1054">
                  <c:v>-4.121147867408581e-13</c:v>
                </c:pt>
                <c:pt idx="1055">
                  <c:v>1.094235813070554e-12</c:v>
                </c:pt>
                <c:pt idx="1056">
                  <c:v>9.947598300641403e-14</c:v>
                </c:pt>
                <c:pt idx="1057">
                  <c:v>-9.663381206337363e-13</c:v>
                </c:pt>
                <c:pt idx="1058">
                  <c:v>-7.531752999057062e-13</c:v>
                </c:pt>
                <c:pt idx="1059">
                  <c:v>3.979039320256561e-13</c:v>
                </c:pt>
                <c:pt idx="1060">
                  <c:v>-3.126388037344441e-13</c:v>
                </c:pt>
                <c:pt idx="1061">
                  <c:v>1.264766069652978e-12</c:v>
                </c:pt>
                <c:pt idx="1062">
                  <c:v>-1.477928890381008e-12</c:v>
                </c:pt>
                <c:pt idx="1063">
                  <c:v>-3.836930773104541e-13</c:v>
                </c:pt>
                <c:pt idx="1064">
                  <c:v>1.037392394209746e-12</c:v>
                </c:pt>
                <c:pt idx="1065">
                  <c:v>5.258016244624741e-13</c:v>
                </c:pt>
                <c:pt idx="1066">
                  <c:v>-1.293187779083382e-12</c:v>
                </c:pt>
                <c:pt idx="1067">
                  <c:v>-1.080024958355352e-12</c:v>
                </c:pt>
                <c:pt idx="1068">
                  <c:v>-4.263256414560601e-14</c:v>
                </c:pt>
                <c:pt idx="1069">
                  <c:v>-1.27897692436818e-13</c:v>
                </c:pt>
                <c:pt idx="1070">
                  <c:v>-1.520561454526614e-12</c:v>
                </c:pt>
                <c:pt idx="1071">
                  <c:v>-1.56319401867222e-13</c:v>
                </c:pt>
                <c:pt idx="1072">
                  <c:v>7.105427357601002e-14</c:v>
                </c:pt>
                <c:pt idx="1073">
                  <c:v>9.094947017729282e-13</c:v>
                </c:pt>
                <c:pt idx="1074">
                  <c:v>6.679101716144942e-13</c:v>
                </c:pt>
                <c:pt idx="1075">
                  <c:v>4.405364961712621e-13</c:v>
                </c:pt>
                <c:pt idx="1076">
                  <c:v>1.151079231931362e-12</c:v>
                </c:pt>
                <c:pt idx="1077">
                  <c:v>6.252776074688882e-13</c:v>
                </c:pt>
                <c:pt idx="1078">
                  <c:v>1.84741111297626e-13</c:v>
                </c:pt>
                <c:pt idx="1079">
                  <c:v>2.984279490192421e-13</c:v>
                </c:pt>
                <c:pt idx="1080">
                  <c:v>1.222133505507372e-12</c:v>
                </c:pt>
                <c:pt idx="1081">
                  <c:v>9.237055564881302e-13</c:v>
                </c:pt>
                <c:pt idx="1082">
                  <c:v>-3.268496584496461e-13</c:v>
                </c:pt>
                <c:pt idx="1083">
                  <c:v>2.984279490192421e-13</c:v>
                </c:pt>
                <c:pt idx="1084">
                  <c:v>-8.526512829121202e-13</c:v>
                </c:pt>
                <c:pt idx="1085">
                  <c:v>-6.252776074688882e-13</c:v>
                </c:pt>
                <c:pt idx="1086">
                  <c:v>-2.131628207280301e-13</c:v>
                </c:pt>
                <c:pt idx="1087">
                  <c:v>-1.577404873387422e-12</c:v>
                </c:pt>
                <c:pt idx="1088">
                  <c:v>-4.547473508864641e-13</c:v>
                </c:pt>
                <c:pt idx="1089">
                  <c:v>-3.112177182629239e-12</c:v>
                </c:pt>
                <c:pt idx="1090">
                  <c:v>-1.4210854715202e-14</c:v>
                </c:pt>
                <c:pt idx="1091">
                  <c:v>8.526512829121202e-13</c:v>
                </c:pt>
                <c:pt idx="1092">
                  <c:v>-1.733724275254644e-12</c:v>
                </c:pt>
                <c:pt idx="1093">
                  <c:v>-3.225864020350855e-12</c:v>
                </c:pt>
                <c:pt idx="1094">
                  <c:v>-3.325340003357269e-12</c:v>
                </c:pt>
                <c:pt idx="1095">
                  <c:v>2.742694960033987e-12</c:v>
                </c:pt>
                <c:pt idx="1096">
                  <c:v>5.115907697472721e-13</c:v>
                </c:pt>
                <c:pt idx="1097">
                  <c:v>-1.20792265079217e-12</c:v>
                </c:pt>
                <c:pt idx="1098">
                  <c:v>-3.311129148642067e-12</c:v>
                </c:pt>
                <c:pt idx="1099">
                  <c:v>4.590106073010247e-12</c:v>
                </c:pt>
                <c:pt idx="1100">
                  <c:v>-3.552713678800501e-13</c:v>
                </c:pt>
                <c:pt idx="1101">
                  <c:v>-2.842170943040401e-13</c:v>
                </c:pt>
                <c:pt idx="1102">
                  <c:v>-3.836930773104541e-13</c:v>
                </c:pt>
                <c:pt idx="1103">
                  <c:v>6.252776074688882e-13</c:v>
                </c:pt>
                <c:pt idx="1104">
                  <c:v>-1.890043677121866e-12</c:v>
                </c:pt>
                <c:pt idx="1105">
                  <c:v>4.277467269275803e-12</c:v>
                </c:pt>
                <c:pt idx="1106">
                  <c:v>-2.458477865729947e-12</c:v>
                </c:pt>
                <c:pt idx="1107">
                  <c:v>-1.449507180950604e-12</c:v>
                </c:pt>
                <c:pt idx="1108">
                  <c:v>-4.675371201301459e-12</c:v>
                </c:pt>
                <c:pt idx="1109">
                  <c:v>-6.252776074688882e-13</c:v>
                </c:pt>
                <c:pt idx="1110">
                  <c:v>-6.338041202980094e-12</c:v>
                </c:pt>
                <c:pt idx="1111">
                  <c:v>2.685851541173179e-12</c:v>
                </c:pt>
                <c:pt idx="1112">
                  <c:v>4.035882739117369e-12</c:v>
                </c:pt>
                <c:pt idx="1113">
                  <c:v>-5.073275133327115e-12</c:v>
                </c:pt>
                <c:pt idx="1114">
                  <c:v>4.405364961712621e-13</c:v>
                </c:pt>
                <c:pt idx="1115">
                  <c:v>-2.202682480856311e-12</c:v>
                </c:pt>
                <c:pt idx="1116">
                  <c:v>-9.464429240324534e-12</c:v>
                </c:pt>
                <c:pt idx="1117">
                  <c:v>-8.58335624798201e-12</c:v>
                </c:pt>
                <c:pt idx="1118">
                  <c:v>-9.478640095039736e-12</c:v>
                </c:pt>
                <c:pt idx="1119">
                  <c:v>6.963318810448982e-13</c:v>
                </c:pt>
                <c:pt idx="1120">
                  <c:v>-4.050093593832571e-12</c:v>
                </c:pt>
                <c:pt idx="1121">
                  <c:v>1.809041805245215e-11</c:v>
                </c:pt>
                <c:pt idx="1122">
                  <c:v>2.449951352900825e-11</c:v>
                </c:pt>
                <c:pt idx="1123">
                  <c:v>2.791011866065674e-11</c:v>
                </c:pt>
                <c:pt idx="1124">
                  <c:v>-2.458477865729947e-12</c:v>
                </c:pt>
                <c:pt idx="1125">
                  <c:v>9.762857189343777e-12</c:v>
                </c:pt>
                <c:pt idx="1126">
                  <c:v>3.467448550509289e-12</c:v>
                </c:pt>
                <c:pt idx="1127">
                  <c:v>3.552713678800501e-13</c:v>
                </c:pt>
                <c:pt idx="1128">
                  <c:v>-7.773337529215496e-12</c:v>
                </c:pt>
                <c:pt idx="1129">
                  <c:v>-7.673861546209082e-13</c:v>
                </c:pt>
                <c:pt idx="1130">
                  <c:v>4.035882739117369e-12</c:v>
                </c:pt>
                <c:pt idx="1131">
                  <c:v>7.318590178329032e-13</c:v>
                </c:pt>
                <c:pt idx="1132">
                  <c:v>-2.586375558166765e-12</c:v>
                </c:pt>
                <c:pt idx="1133">
                  <c:v>1.257660642295377e-12</c:v>
                </c:pt>
                <c:pt idx="1134">
                  <c:v>2.017941369558685e-12</c:v>
                </c:pt>
                <c:pt idx="1135">
                  <c:v>5.755396159656812e-13</c:v>
                </c:pt>
                <c:pt idx="1136">
                  <c:v>1.49213974509621e-12</c:v>
                </c:pt>
                <c:pt idx="1137">
                  <c:v>-2.017941369558685e-12</c:v>
                </c:pt>
                <c:pt idx="1138">
                  <c:v>2.202682480856311e-13</c:v>
                </c:pt>
                <c:pt idx="1139">
                  <c:v>9.521272659185342e-13</c:v>
                </c:pt>
                <c:pt idx="1140">
                  <c:v>-1.13686837721616e-12</c:v>
                </c:pt>
                <c:pt idx="1141">
                  <c:v>-8.881784197001252e-13</c:v>
                </c:pt>
                <c:pt idx="1142">
                  <c:v>-6.039613253960852e-13</c:v>
                </c:pt>
                <c:pt idx="1143">
                  <c:v>-1.229238932864973e-12</c:v>
                </c:pt>
                <c:pt idx="1144">
                  <c:v>-4.973799150320701e-14</c:v>
                </c:pt>
                <c:pt idx="1145">
                  <c:v>-1.890043677121866e-12</c:v>
                </c:pt>
                <c:pt idx="1146">
                  <c:v>1.058708676282549e-12</c:v>
                </c:pt>
                <c:pt idx="1147">
                  <c:v>-1.648459146963432e-12</c:v>
                </c:pt>
                <c:pt idx="1148">
                  <c:v>1.4210854715202e-14</c:v>
                </c:pt>
                <c:pt idx="1149">
                  <c:v>8.952838470577262e-13</c:v>
                </c:pt>
                <c:pt idx="1150">
                  <c:v>1.364242052659392e-12</c:v>
                </c:pt>
                <c:pt idx="1151">
                  <c:v>1.172395514004165e-12</c:v>
                </c:pt>
                <c:pt idx="1152">
                  <c:v>-2.202682480856311e-13</c:v>
                </c:pt>
                <c:pt idx="1153">
                  <c:v>-1.56319401867222e-13</c:v>
                </c:pt>
                <c:pt idx="1154">
                  <c:v>-6.465938895416912e-13</c:v>
                </c:pt>
                <c:pt idx="1155">
                  <c:v>1.186606368719367e-12</c:v>
                </c:pt>
                <c:pt idx="1156">
                  <c:v>-1.271871497010579e-12</c:v>
                </c:pt>
                <c:pt idx="1157">
                  <c:v>6.892264536872972e-13</c:v>
                </c:pt>
                <c:pt idx="1158">
                  <c:v>-2.486899575160351e-14</c:v>
                </c:pt>
                <c:pt idx="1159">
                  <c:v>-9.627854069549358e-13</c:v>
                </c:pt>
                <c:pt idx="1160">
                  <c:v>8.668621376273222e-13</c:v>
                </c:pt>
                <c:pt idx="1161">
                  <c:v>7.212008767965017e-13</c:v>
                </c:pt>
                <c:pt idx="1162">
                  <c:v>-7.460698725481052e-13</c:v>
                </c:pt>
                <c:pt idx="1163">
                  <c:v>-8.029132914089132e-13</c:v>
                </c:pt>
                <c:pt idx="1164">
                  <c:v>1.378452907374594e-12</c:v>
                </c:pt>
                <c:pt idx="1165">
                  <c:v>-9.094947017729282e-13</c:v>
                </c:pt>
                <c:pt idx="1166">
                  <c:v>2.344791028008331e-13</c:v>
                </c:pt>
                <c:pt idx="1167">
                  <c:v>-1.495692458775011e-12</c:v>
                </c:pt>
                <c:pt idx="1168">
                  <c:v>4.867217739956686e-13</c:v>
                </c:pt>
                <c:pt idx="1169">
                  <c:v>8.348877145181177e-13</c:v>
                </c:pt>
                <c:pt idx="1170">
                  <c:v>-2.096101070492296e-13</c:v>
                </c:pt>
                <c:pt idx="1171">
                  <c:v>5.435651928564766e-13</c:v>
                </c:pt>
                <c:pt idx="1172">
                  <c:v>9.485745522397337e-13</c:v>
                </c:pt>
                <c:pt idx="1173">
                  <c:v>1.215028078149771e-12</c:v>
                </c:pt>
                <c:pt idx="1174">
                  <c:v>1.200817223434569e-12</c:v>
                </c:pt>
                <c:pt idx="1175">
                  <c:v>8.455458555545192e-13</c:v>
                </c:pt>
                <c:pt idx="1176">
                  <c:v>-1.186606368719367e-12</c:v>
                </c:pt>
                <c:pt idx="1177">
                  <c:v>-5.062616992290714e-13</c:v>
                </c:pt>
                <c:pt idx="1178">
                  <c:v>-1.008970684779342e-12</c:v>
                </c:pt>
                <c:pt idx="1179">
                  <c:v>-4.316547119742609e-13</c:v>
                </c:pt>
                <c:pt idx="1180">
                  <c:v>3.659295089164516e-13</c:v>
                </c:pt>
                <c:pt idx="1181">
                  <c:v>1.165290086646564e-12</c:v>
                </c:pt>
                <c:pt idx="1182">
                  <c:v>-9.379164112033322e-13</c:v>
                </c:pt>
                <c:pt idx="1183">
                  <c:v>-1.083577672034153e-12</c:v>
                </c:pt>
                <c:pt idx="1184">
                  <c:v>-9.681144774731365e-13</c:v>
                </c:pt>
                <c:pt idx="1185">
                  <c:v>-1.48681067457801e-12</c:v>
                </c:pt>
                <c:pt idx="1186">
                  <c:v>-4.973799150320701e-14</c:v>
                </c:pt>
                <c:pt idx="1187">
                  <c:v>-1.001865257421741e-12</c:v>
                </c:pt>
                <c:pt idx="1188">
                  <c:v>2.646771690706373e-13</c:v>
                </c:pt>
                <c:pt idx="1189">
                  <c:v>-4.227729277772596e-13</c:v>
                </c:pt>
                <c:pt idx="1190">
                  <c:v>-3.197442310920451e-14</c:v>
                </c:pt>
                <c:pt idx="1191">
                  <c:v>9.707790127322369e-13</c:v>
                </c:pt>
                <c:pt idx="1192">
                  <c:v>6.723510637129948e-13</c:v>
                </c:pt>
                <c:pt idx="1193">
                  <c:v>1.820765760385257e-13</c:v>
                </c:pt>
                <c:pt idx="1194">
                  <c:v>5.311306949806749e-13</c:v>
                </c:pt>
                <c:pt idx="1195">
                  <c:v>1.519229186897064e-12</c:v>
                </c:pt>
                <c:pt idx="1196">
                  <c:v>-1.13242748511766e-12</c:v>
                </c:pt>
                <c:pt idx="1197">
                  <c:v>-4.178879464689089e-13</c:v>
                </c:pt>
                <c:pt idx="1198">
                  <c:v>7.776002064474596e-13</c:v>
                </c:pt>
                <c:pt idx="1199">
                  <c:v>-2.4846791291111e-12</c:v>
                </c:pt>
                <c:pt idx="1200">
                  <c:v>-1.9506618542664e-13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"/>
          <c:min val="1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[Hz]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[dB]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21</xdr:col>
      <xdr:colOff>171450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22</xdr:col>
      <xdr:colOff>171450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22</xdr:col>
      <xdr:colOff>171450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4.7109375" customWidth="1"/>
    <col min="4" max="4" width="60.7109375" customWidth="1"/>
  </cols>
  <sheetData>
    <row r="1" spans="1:4">
      <c r="A1" s="4" t="s">
        <v>9</v>
      </c>
      <c r="B1" s="4" t="s">
        <v>10</v>
      </c>
      <c r="C1" s="4" t="s">
        <v>11</v>
      </c>
      <c r="D1" s="4" t="s">
        <v>12</v>
      </c>
    </row>
    <row r="2" spans="1:4">
      <c r="A2" t="s">
        <v>13</v>
      </c>
      <c r="B2" s="5">
        <v>100</v>
      </c>
      <c r="C2" t="s">
        <v>14</v>
      </c>
      <c r="D2" t="s">
        <v>15</v>
      </c>
    </row>
    <row r="3" spans="1:4">
      <c r="A3" t="s">
        <v>16</v>
      </c>
      <c r="B3" s="5">
        <v>100000000</v>
      </c>
      <c r="C3" t="s">
        <v>14</v>
      </c>
      <c r="D3" t="s">
        <v>17</v>
      </c>
    </row>
    <row r="4" spans="1:4">
      <c r="A4" t="s">
        <v>18</v>
      </c>
      <c r="B4" s="5">
        <v>1201</v>
      </c>
      <c r="C4" t="s">
        <v>19</v>
      </c>
      <c r="D4" t="s">
        <v>20</v>
      </c>
    </row>
    <row r="5" spans="1:4">
      <c r="A5" t="s">
        <v>21</v>
      </c>
      <c r="B5" s="5">
        <v>1</v>
      </c>
      <c r="C5" t="s">
        <v>22</v>
      </c>
      <c r="D5" t="s">
        <v>23</v>
      </c>
    </row>
    <row r="6" spans="1:4">
      <c r="A6" t="s">
        <v>24</v>
      </c>
      <c r="B6" s="5">
        <v>1E-06</v>
      </c>
      <c r="C6" t="s">
        <v>25</v>
      </c>
      <c r="D6" t="s">
        <v>26</v>
      </c>
    </row>
    <row r="7" spans="1:4">
      <c r="A7" t="s">
        <v>27</v>
      </c>
      <c r="B7" s="5">
        <v>0.02</v>
      </c>
      <c r="C7" t="s">
        <v>28</v>
      </c>
      <c r="D7" t="s">
        <v>29</v>
      </c>
    </row>
    <row r="8" spans="1:4">
      <c r="A8" t="s">
        <v>30</v>
      </c>
      <c r="B8" s="5">
        <v>5E-11</v>
      </c>
      <c r="C8" t="s">
        <v>31</v>
      </c>
      <c r="D8" t="s">
        <v>32</v>
      </c>
    </row>
    <row r="9" spans="1:4">
      <c r="A9" t="s">
        <v>33</v>
      </c>
      <c r="B9" s="5">
        <v>5E-11</v>
      </c>
      <c r="C9" t="s">
        <v>31</v>
      </c>
      <c r="D9" t="s">
        <v>34</v>
      </c>
    </row>
    <row r="10" spans="1:4">
      <c r="A10" t="s">
        <v>35</v>
      </c>
      <c r="B10" s="5">
        <v>1E-05</v>
      </c>
      <c r="C10" t="s">
        <v>31</v>
      </c>
      <c r="D10" t="s">
        <v>36</v>
      </c>
    </row>
    <row r="11" spans="1:4">
      <c r="A11" t="s">
        <v>37</v>
      </c>
      <c r="B11" s="5">
        <v>0.02</v>
      </c>
      <c r="C11" t="s">
        <v>28</v>
      </c>
      <c r="D11" t="s">
        <v>38</v>
      </c>
    </row>
    <row r="12" spans="1:4">
      <c r="A12" t="s">
        <v>39</v>
      </c>
      <c r="B12" s="5">
        <v>1E-08</v>
      </c>
      <c r="C12" t="s">
        <v>25</v>
      </c>
      <c r="D12" t="s">
        <v>40</v>
      </c>
    </row>
    <row r="13" spans="1:4">
      <c r="A13" t="s">
        <v>41</v>
      </c>
      <c r="B13" s="5">
        <v>1E-06</v>
      </c>
      <c r="C13" t="s">
        <v>25</v>
      </c>
      <c r="D13" t="s">
        <v>42</v>
      </c>
    </row>
    <row r="14" spans="1:4">
      <c r="A14" t="s">
        <v>43</v>
      </c>
      <c r="B14" s="5">
        <v>0.02</v>
      </c>
      <c r="C14" t="s">
        <v>28</v>
      </c>
      <c r="D14" t="s">
        <v>44</v>
      </c>
    </row>
    <row r="15" spans="1:4">
      <c r="A15" t="s">
        <v>45</v>
      </c>
      <c r="B15" s="5">
        <v>5E-11</v>
      </c>
      <c r="C15" t="s">
        <v>31</v>
      </c>
      <c r="D15" t="s">
        <v>46</v>
      </c>
    </row>
    <row r="16" spans="1:4">
      <c r="A16" t="s">
        <v>47</v>
      </c>
      <c r="B16" s="5">
        <v>5E-11</v>
      </c>
      <c r="C16" t="s">
        <v>31</v>
      </c>
      <c r="D16" t="s">
        <v>48</v>
      </c>
    </row>
    <row r="17" spans="1:4">
      <c r="A17" t="s">
        <v>49</v>
      </c>
      <c r="B17" s="5">
        <v>6.8E-05</v>
      </c>
      <c r="C17" t="s">
        <v>25</v>
      </c>
      <c r="D17" t="s">
        <v>50</v>
      </c>
    </row>
    <row r="18" spans="1:4">
      <c r="A18" t="s">
        <v>51</v>
      </c>
      <c r="B18" s="5">
        <v>0.02</v>
      </c>
      <c r="C18" t="s">
        <v>28</v>
      </c>
      <c r="D18" t="s">
        <v>52</v>
      </c>
    </row>
    <row r="19" spans="1:4">
      <c r="A19" t="s">
        <v>53</v>
      </c>
      <c r="B19" s="5">
        <v>5E-12</v>
      </c>
      <c r="C19" t="s">
        <v>31</v>
      </c>
      <c r="D19" t="s">
        <v>54</v>
      </c>
    </row>
    <row r="20" spans="1:4">
      <c r="A20" t="s">
        <v>55</v>
      </c>
      <c r="B20" s="5">
        <v>4.7E-07</v>
      </c>
      <c r="C20" t="s">
        <v>31</v>
      </c>
      <c r="D20" t="s">
        <v>56</v>
      </c>
    </row>
    <row r="21" spans="1:4">
      <c r="A21" t="s">
        <v>57</v>
      </c>
      <c r="B21" s="5">
        <v>0.02</v>
      </c>
      <c r="C21" t="s">
        <v>28</v>
      </c>
      <c r="D21" t="s">
        <v>58</v>
      </c>
    </row>
    <row r="22" spans="1:4">
      <c r="A22" t="s">
        <v>59</v>
      </c>
      <c r="B22" s="5">
        <v>1E-08</v>
      </c>
      <c r="C22" t="s">
        <v>25</v>
      </c>
      <c r="D22" t="s">
        <v>60</v>
      </c>
    </row>
    <row r="23" spans="1:4">
      <c r="A23" t="s">
        <v>61</v>
      </c>
      <c r="B23" s="5">
        <v>4.7E-07</v>
      </c>
      <c r="C23" t="s">
        <v>31</v>
      </c>
      <c r="D23" t="s">
        <v>62</v>
      </c>
    </row>
    <row r="24" spans="1:4">
      <c r="A24" t="s">
        <v>63</v>
      </c>
      <c r="B24" s="5">
        <v>0.02</v>
      </c>
      <c r="C24" t="s">
        <v>28</v>
      </c>
      <c r="D24" t="s">
        <v>64</v>
      </c>
    </row>
    <row r="25" spans="1:4">
      <c r="A25" t="s">
        <v>65</v>
      </c>
      <c r="B25" s="5">
        <v>1E-08</v>
      </c>
      <c r="C25" t="s">
        <v>25</v>
      </c>
      <c r="D25" t="s">
        <v>66</v>
      </c>
    </row>
    <row r="26" spans="1:4">
      <c r="A26" t="s">
        <v>67</v>
      </c>
      <c r="B26" s="5">
        <v>15</v>
      </c>
      <c r="C26" t="s">
        <v>28</v>
      </c>
      <c r="D26" t="s">
        <v>68</v>
      </c>
    </row>
    <row r="27" spans="1:4">
      <c r="A27" t="s">
        <v>69</v>
      </c>
      <c r="B27" s="5">
        <v>3.3E-05</v>
      </c>
      <c r="C27" t="s">
        <v>25</v>
      </c>
      <c r="D27" t="s">
        <v>70</v>
      </c>
    </row>
    <row r="28" spans="1:4">
      <c r="A28" t="s">
        <v>71</v>
      </c>
      <c r="B28" s="5">
        <v>0.02</v>
      </c>
      <c r="C28" t="s">
        <v>28</v>
      </c>
      <c r="D28" t="s">
        <v>72</v>
      </c>
    </row>
    <row r="29" spans="1:4">
      <c r="A29" t="s">
        <v>73</v>
      </c>
      <c r="B29" s="5">
        <v>5E-12</v>
      </c>
      <c r="C29" t="s">
        <v>31</v>
      </c>
      <c r="D29" t="s">
        <v>74</v>
      </c>
    </row>
    <row r="30" spans="1:4">
      <c r="A30" t="s">
        <v>75</v>
      </c>
      <c r="B30" s="5">
        <v>4.7E-07</v>
      </c>
      <c r="C30" t="s">
        <v>31</v>
      </c>
      <c r="D30" t="s">
        <v>76</v>
      </c>
    </row>
    <row r="31" spans="1:4">
      <c r="A31" t="s">
        <v>77</v>
      </c>
      <c r="B31" s="5">
        <v>0.02</v>
      </c>
      <c r="C31" t="s">
        <v>28</v>
      </c>
      <c r="D31" t="s">
        <v>78</v>
      </c>
    </row>
    <row r="32" spans="1:4">
      <c r="A32" t="s">
        <v>79</v>
      </c>
      <c r="B32" s="5">
        <v>1E-08</v>
      </c>
      <c r="C32" t="s">
        <v>25</v>
      </c>
      <c r="D32" t="s">
        <v>80</v>
      </c>
    </row>
    <row r="33" spans="1:4">
      <c r="A33" t="s">
        <v>81</v>
      </c>
      <c r="B33" s="5">
        <v>4.7E-07</v>
      </c>
      <c r="C33" t="s">
        <v>31</v>
      </c>
      <c r="D33" t="s">
        <v>82</v>
      </c>
    </row>
    <row r="34" spans="1:4">
      <c r="A34" t="s">
        <v>83</v>
      </c>
      <c r="B34" s="5">
        <v>0.02</v>
      </c>
      <c r="C34" t="s">
        <v>28</v>
      </c>
      <c r="D34" t="s">
        <v>84</v>
      </c>
    </row>
    <row r="35" spans="1:4">
      <c r="A35" t="s">
        <v>85</v>
      </c>
      <c r="B35" s="5">
        <v>1E-08</v>
      </c>
      <c r="C35" t="s">
        <v>25</v>
      </c>
      <c r="D35" t="s">
        <v>86</v>
      </c>
    </row>
    <row r="36" spans="1:4">
      <c r="A36" t="s">
        <v>87</v>
      </c>
      <c r="B36" s="5">
        <v>15</v>
      </c>
      <c r="C36" t="s">
        <v>28</v>
      </c>
      <c r="D36" t="s">
        <v>88</v>
      </c>
    </row>
    <row r="37" spans="1:4">
      <c r="A37" t="s">
        <v>89</v>
      </c>
      <c r="B37" s="5">
        <v>0.003</v>
      </c>
      <c r="C37" t="s">
        <v>25</v>
      </c>
      <c r="D37" t="s">
        <v>90</v>
      </c>
    </row>
    <row r="38" spans="1:4">
      <c r="A38" t="s">
        <v>91</v>
      </c>
      <c r="B38" s="5">
        <v>0.1</v>
      </c>
      <c r="C38" t="s">
        <v>28</v>
      </c>
      <c r="D38" t="s">
        <v>92</v>
      </c>
    </row>
    <row r="39" spans="1:4">
      <c r="A39" t="s">
        <v>93</v>
      </c>
      <c r="B39" s="5">
        <v>0.999</v>
      </c>
      <c r="C39" t="s">
        <v>19</v>
      </c>
      <c r="D39" t="s">
        <v>94</v>
      </c>
    </row>
    <row r="40" spans="1:4">
      <c r="A40" t="s">
        <v>95</v>
      </c>
      <c r="B40" s="5">
        <v>5E-12</v>
      </c>
      <c r="C40" t="s">
        <v>31</v>
      </c>
      <c r="D40" t="s">
        <v>96</v>
      </c>
    </row>
    <row r="41" spans="1:4">
      <c r="A41" t="s">
        <v>97</v>
      </c>
      <c r="B41" s="5">
        <v>9.999999999999999E-12</v>
      </c>
      <c r="C41" t="s">
        <v>31</v>
      </c>
      <c r="D41" t="s">
        <v>98</v>
      </c>
    </row>
    <row r="42" spans="1:4">
      <c r="A42" t="s">
        <v>99</v>
      </c>
      <c r="B42" s="5">
        <v>2.2E-09</v>
      </c>
      <c r="C42" t="s">
        <v>31</v>
      </c>
      <c r="D42" t="s">
        <v>100</v>
      </c>
    </row>
    <row r="43" spans="1:4">
      <c r="A43" t="s">
        <v>101</v>
      </c>
      <c r="B43" s="5">
        <v>0.02</v>
      </c>
      <c r="C43" t="s">
        <v>28</v>
      </c>
      <c r="D43" t="s">
        <v>102</v>
      </c>
    </row>
    <row r="44" spans="1:4">
      <c r="A44" t="s">
        <v>103</v>
      </c>
      <c r="B44" s="5">
        <v>1E-08</v>
      </c>
      <c r="C44" t="s">
        <v>25</v>
      </c>
      <c r="D44" t="s">
        <v>104</v>
      </c>
    </row>
    <row r="45" spans="1:4">
      <c r="A45" t="s">
        <v>105</v>
      </c>
      <c r="B45" s="5">
        <v>28.75</v>
      </c>
      <c r="C45" t="s">
        <v>28</v>
      </c>
      <c r="D4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2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3.7109375" customWidth="1"/>
    <col min="3" max="30" width="24.7109375" customWidth="1"/>
    <col min="31" max="39" width="15.7109375" customWidth="1"/>
  </cols>
  <sheetData>
    <row r="1" spans="1:39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  <c r="N1" s="4" t="s">
        <v>120</v>
      </c>
      <c r="O1" s="4" t="s">
        <v>121</v>
      </c>
      <c r="P1" s="4" t="s">
        <v>122</v>
      </c>
      <c r="Q1" s="4" t="s">
        <v>123</v>
      </c>
      <c r="R1" s="4" t="s">
        <v>124</v>
      </c>
      <c r="S1" s="4" t="s">
        <v>125</v>
      </c>
      <c r="T1" s="4" t="s">
        <v>126</v>
      </c>
      <c r="U1" s="4" t="s">
        <v>127</v>
      </c>
      <c r="V1" s="4" t="s">
        <v>128</v>
      </c>
      <c r="W1" s="4" t="s">
        <v>129</v>
      </c>
      <c r="X1" s="4" t="s">
        <v>130</v>
      </c>
      <c r="Y1" s="4" t="s">
        <v>131</v>
      </c>
      <c r="Z1" s="4" t="s">
        <v>132</v>
      </c>
      <c r="AA1" s="4" t="s">
        <v>133</v>
      </c>
      <c r="AB1" s="4" t="s">
        <v>134</v>
      </c>
      <c r="AC1" s="4" t="s">
        <v>135</v>
      </c>
      <c r="AD1" s="4" t="s">
        <v>136</v>
      </c>
      <c r="AE1" s="4" t="s">
        <v>137</v>
      </c>
      <c r="AF1" s="4" t="s">
        <v>138</v>
      </c>
      <c r="AG1" s="4" t="s">
        <v>139</v>
      </c>
      <c r="AH1" s="4" t="s">
        <v>140</v>
      </c>
      <c r="AI1" s="4" t="s">
        <v>141</v>
      </c>
      <c r="AJ1" s="4" t="s">
        <v>142</v>
      </c>
      <c r="AK1" s="4" t="s">
        <v>143</v>
      </c>
      <c r="AL1" s="4" t="s">
        <v>144</v>
      </c>
      <c r="AM1" s="4" t="s">
        <v>145</v>
      </c>
    </row>
    <row r="2" spans="1:39">
      <c r="A2" s="6">
        <f>10^(LOG10(F_START)+(ROW()-ROW($A$2))*(LOG10(F_STOP)-LOG10(F_START))/(N_POINTS-1))</f>
        <v>0</v>
      </c>
      <c r="B2" s="6">
        <f>2*PI()*A2</f>
        <v>0</v>
      </c>
      <c r="C2">
        <f>COMPLEX(2*LINE_PS_DCR,2*B2*LINE_PS_L)</f>
        <v>0</v>
      </c>
      <c r="D2">
        <f>IMSUM(COMPLEX(0,B2*(LINE_PS_CLINE+LINE_PS_CCHA/2)),IMDIV("1",IMPRODUCT("2",COMPLEX(C_THROUGH_ESR,B2*C_THROUGH_ESL-1/(B2*C_THROUGH_C)))))</f>
        <v>0</v>
      </c>
      <c r="E2">
        <f>COMPLEX(2*LINE_INPUT_DCR,2*B2*LINE_INPUT_L)</f>
        <v>0</v>
      </c>
      <c r="F2">
        <f>COMPLEX(0,B2*(LINE_INPUT_CLINE+LINE_INPUT_CCHA/2))</f>
        <v>0</v>
      </c>
      <c r="G2">
        <f>IMPRODUCT("2",IMDIV("1",IMSUM(IMDIV("1",COMPLEX(LDM1_DCR,B2*LDM1_L)),COMPLEX(0,B2*LDM1_CPA))))</f>
        <v>0</v>
      </c>
      <c r="H2">
        <f>IMSUM(IMDIV("1",COMPLEX(CX1_ESR,B2*CX1_ESL-1/(B2*CX1_C))),IMDIV("1",IMSUM(COMPLEX(DUMP1_R,0),COMPLEX(DUMP1_ESR,B2*DUMP1_ESL-1/(B2*DUMP1_C)))))</f>
        <v>0</v>
      </c>
      <c r="I2">
        <f>IMPRODUCT("2",IMDIV("1",IMSUM(IMDIV("1",COMPLEX(LDM2_DCR,B2*LDM2_L)),COMPLEX(0,B2*LDM2_CPA))))</f>
        <v>0</v>
      </c>
      <c r="J2">
        <f>IMSUM(IMDIV("1",COMPLEX(CX2_ESR,B2*CX2_ESL-1/(B2*CX2_C))),IMDIV("1",IMSUM(COMPLEX(DUMP2_R,0),COMPLEX(DUMP2_ESR,B2*DUMP2_ESL-1/(B2*DUMP2_C)))))</f>
        <v>0</v>
      </c>
      <c r="K2">
        <f>IMPRODUCT("2",IMDIV("1",IMSUM(IMDIV("1",COMPLEX(CMC_DCR,B2*CMC_L*(1-CMC_K))),COMPLEX(0,B2*CMC_CPA))))</f>
        <v>0</v>
      </c>
      <c r="L2">
        <f>IMSUM(COMPLEX(0,B2*CMC_CLINE),IMDIV("1",IMPRODUCT("2",COMPLEX(CY_ESR,B2*CY_ESL-1/(B2*CY_C)))),COMPLEX(1/DUMMY_R,0))</f>
        <v>0</v>
      </c>
      <c r="M2">
        <f>IMSUM(D2,IMDIV("1",C2))</f>
        <v>0</v>
      </c>
      <c r="N2">
        <f>IMDIV("1",IMSUM(E2,IMDIV("1",M2)))</f>
        <v>0</v>
      </c>
      <c r="O2">
        <f>IMSUM(F2,N2)</f>
        <v>0</v>
      </c>
      <c r="P2">
        <f>IMDIV("1",IMSUM(G2,IMDIV("1",O2)))</f>
        <v>0</v>
      </c>
      <c r="Q2">
        <f>IMSUM(H2,P2)</f>
        <v>0</v>
      </c>
      <c r="R2">
        <f>IMDIV("1",IMSUM(I2,IMDIV("1",Q2)))</f>
        <v>0</v>
      </c>
      <c r="S2">
        <f>IMSUM(J2,R2)</f>
        <v>0</v>
      </c>
      <c r="T2">
        <f>IMDIV("1",IMSUM(K2,IMDIV("1",S2)))</f>
        <v>0</v>
      </c>
      <c r="U2">
        <f>IMSUM(L2,T2)</f>
        <v>0</v>
      </c>
      <c r="V2">
        <f>IMDIV(COMPLEX(I_DM_SOURCE,0),U2)</f>
        <v>0</v>
      </c>
      <c r="W2">
        <f>IMPRODUCT(V2,T2)</f>
        <v>0</v>
      </c>
      <c r="X2">
        <f>IMDIV(W2,S2)</f>
        <v>0</v>
      </c>
      <c r="Y2">
        <f>IMPRODUCT(X2,R2)</f>
        <v>0</v>
      </c>
      <c r="Z2">
        <f>IMDIV(Y2,Q2)</f>
        <v>0</v>
      </c>
      <c r="AA2">
        <f>IMPRODUCT(Z2,P2)</f>
        <v>0</v>
      </c>
      <c r="AB2">
        <f>AA2</f>
        <v>0</v>
      </c>
      <c r="AC2">
        <f>IMPRODUCT("-1",AB2)</f>
        <v>0</v>
      </c>
      <c r="AD2">
        <f>IMDIV(IMSUB(AB2,AC2),"2")</f>
        <v>0</v>
      </c>
      <c r="AE2" s="6">
        <f>IMABS(AB2)</f>
        <v>0</v>
      </c>
      <c r="AF2" s="6">
        <f>IMABS(AC2)</f>
        <v>0</v>
      </c>
      <c r="AG2" s="6">
        <f>IMABS(AD2)</f>
        <v>0</v>
      </c>
      <c r="AH2" s="7">
        <f>20*LOG10(MAX(AE2,1E-300)*1E6)</f>
        <v>0</v>
      </c>
      <c r="AI2" s="7">
        <f>20*LOG10(MAX(AF2,1E-300)*1E6)</f>
        <v>0</v>
      </c>
      <c r="AJ2" s="7">
        <f>20*LOG10(MAX(AG2,1E-300)*1E6)</f>
        <v>0</v>
      </c>
      <c r="AK2" s="7">
        <f>DEGREES(IMARGUMENT(AB2))</f>
        <v>0</v>
      </c>
      <c r="AL2" s="7">
        <f>DEGREES(IMARGUMENT(AC2))</f>
        <v>0</v>
      </c>
      <c r="AM2" s="7">
        <f>DEGREES(IMARGUMENT(AD2))</f>
        <v>0</v>
      </c>
    </row>
    <row r="3" spans="1:39">
      <c r="A3" s="6">
        <f>10^(LOG10(F_START)+(ROW()-ROW($A$2))*(LOG10(F_STOP)-LOG10(F_START))/(N_POINTS-1))</f>
        <v>0</v>
      </c>
      <c r="B3" s="6">
        <f>2*PI()*A3</f>
        <v>0</v>
      </c>
      <c r="C3">
        <f>COMPLEX(2*LINE_PS_DCR,2*B3*LINE_PS_L)</f>
        <v>0</v>
      </c>
      <c r="D3">
        <f>IMSUM(COMPLEX(0,B3*(LINE_PS_CLINE+LINE_PS_CCHA/2)),IMDIV("1",IMPRODUCT("2",COMPLEX(C_THROUGH_ESR,B3*C_THROUGH_ESL-1/(B3*C_THROUGH_C)))))</f>
        <v>0</v>
      </c>
      <c r="E3">
        <f>COMPLEX(2*LINE_INPUT_DCR,2*B3*LINE_INPUT_L)</f>
        <v>0</v>
      </c>
      <c r="F3">
        <f>COMPLEX(0,B3*(LINE_INPUT_CLINE+LINE_INPUT_CCHA/2))</f>
        <v>0</v>
      </c>
      <c r="G3">
        <f>IMPRODUCT("2",IMDIV("1",IMSUM(IMDIV("1",COMPLEX(LDM1_DCR,B3*LDM1_L)),COMPLEX(0,B3*LDM1_CPA))))</f>
        <v>0</v>
      </c>
      <c r="H3">
        <f>IMSUM(IMDIV("1",COMPLEX(CX1_ESR,B3*CX1_ESL-1/(B3*CX1_C))),IMDIV("1",IMSUM(COMPLEX(DUMP1_R,0),COMPLEX(DUMP1_ESR,B3*DUMP1_ESL-1/(B3*DUMP1_C)))))</f>
        <v>0</v>
      </c>
      <c r="I3">
        <f>IMPRODUCT("2",IMDIV("1",IMSUM(IMDIV("1",COMPLEX(LDM2_DCR,B3*LDM2_L)),COMPLEX(0,B3*LDM2_CPA))))</f>
        <v>0</v>
      </c>
      <c r="J3">
        <f>IMSUM(IMDIV("1",COMPLEX(CX2_ESR,B3*CX2_ESL-1/(B3*CX2_C))),IMDIV("1",IMSUM(COMPLEX(DUMP2_R,0),COMPLEX(DUMP2_ESR,B3*DUMP2_ESL-1/(B3*DUMP2_C)))))</f>
        <v>0</v>
      </c>
      <c r="K3">
        <f>IMPRODUCT("2",IMDIV("1",IMSUM(IMDIV("1",COMPLEX(CMC_DCR,B3*CMC_L*(1-CMC_K))),COMPLEX(0,B3*CMC_CPA))))</f>
        <v>0</v>
      </c>
      <c r="L3">
        <f>IMSUM(COMPLEX(0,B3*CMC_CLINE),IMDIV("1",IMPRODUCT("2",COMPLEX(CY_ESR,B3*CY_ESL-1/(B3*CY_C)))),COMPLEX(1/DUMMY_R,0))</f>
        <v>0</v>
      </c>
      <c r="M3">
        <f>IMSUM(D3,IMDIV("1",C3))</f>
        <v>0</v>
      </c>
      <c r="N3">
        <f>IMDIV("1",IMSUM(E3,IMDIV("1",M3)))</f>
        <v>0</v>
      </c>
      <c r="O3">
        <f>IMSUM(F3,N3)</f>
        <v>0</v>
      </c>
      <c r="P3">
        <f>IMDIV("1",IMSUM(G3,IMDIV("1",O3)))</f>
        <v>0</v>
      </c>
      <c r="Q3">
        <f>IMSUM(H3,P3)</f>
        <v>0</v>
      </c>
      <c r="R3">
        <f>IMDIV("1",IMSUM(I3,IMDIV("1",Q3)))</f>
        <v>0</v>
      </c>
      <c r="S3">
        <f>IMSUM(J3,R3)</f>
        <v>0</v>
      </c>
      <c r="T3">
        <f>IMDIV("1",IMSUM(K3,IMDIV("1",S3)))</f>
        <v>0</v>
      </c>
      <c r="U3">
        <f>IMSUM(L3,T3)</f>
        <v>0</v>
      </c>
      <c r="V3">
        <f>IMDIV(COMPLEX(I_DM_SOURCE,0),U3)</f>
        <v>0</v>
      </c>
      <c r="W3">
        <f>IMPRODUCT(V3,T3)</f>
        <v>0</v>
      </c>
      <c r="X3">
        <f>IMDIV(W3,S3)</f>
        <v>0</v>
      </c>
      <c r="Y3">
        <f>IMPRODUCT(X3,R3)</f>
        <v>0</v>
      </c>
      <c r="Z3">
        <f>IMDIV(Y3,Q3)</f>
        <v>0</v>
      </c>
      <c r="AA3">
        <f>IMPRODUCT(Z3,P3)</f>
        <v>0</v>
      </c>
      <c r="AB3">
        <f>AA3</f>
        <v>0</v>
      </c>
      <c r="AC3">
        <f>IMPRODUCT("-1",AB3)</f>
        <v>0</v>
      </c>
      <c r="AD3">
        <f>IMDIV(IMSUB(AB3,AC3),"2")</f>
        <v>0</v>
      </c>
      <c r="AE3" s="6">
        <f>IMABS(AB3)</f>
        <v>0</v>
      </c>
      <c r="AF3" s="6">
        <f>IMABS(AC3)</f>
        <v>0</v>
      </c>
      <c r="AG3" s="6">
        <f>IMABS(AD3)</f>
        <v>0</v>
      </c>
      <c r="AH3" s="7">
        <f>20*LOG10(MAX(AE3,1E-300)*1E6)</f>
        <v>0</v>
      </c>
      <c r="AI3" s="7">
        <f>20*LOG10(MAX(AF3,1E-300)*1E6)</f>
        <v>0</v>
      </c>
      <c r="AJ3" s="7">
        <f>20*LOG10(MAX(AG3,1E-300)*1E6)</f>
        <v>0</v>
      </c>
      <c r="AK3" s="7">
        <f>DEGREES(IMARGUMENT(AB3))</f>
        <v>0</v>
      </c>
      <c r="AL3" s="7">
        <f>DEGREES(IMARGUMENT(AC3))</f>
        <v>0</v>
      </c>
      <c r="AM3" s="7">
        <f>DEGREES(IMARGUMENT(AD3))</f>
        <v>0</v>
      </c>
    </row>
    <row r="4" spans="1:39">
      <c r="A4" s="6">
        <f>10^(LOG10(F_START)+(ROW()-ROW($A$2))*(LOG10(F_STOP)-LOG10(F_START))/(N_POINTS-1))</f>
        <v>0</v>
      </c>
      <c r="B4" s="6">
        <f>2*PI()*A4</f>
        <v>0</v>
      </c>
      <c r="C4">
        <f>COMPLEX(2*LINE_PS_DCR,2*B4*LINE_PS_L)</f>
        <v>0</v>
      </c>
      <c r="D4">
        <f>IMSUM(COMPLEX(0,B4*(LINE_PS_CLINE+LINE_PS_CCHA/2)),IMDIV("1",IMPRODUCT("2",COMPLEX(C_THROUGH_ESR,B4*C_THROUGH_ESL-1/(B4*C_THROUGH_C)))))</f>
        <v>0</v>
      </c>
      <c r="E4">
        <f>COMPLEX(2*LINE_INPUT_DCR,2*B4*LINE_INPUT_L)</f>
        <v>0</v>
      </c>
      <c r="F4">
        <f>COMPLEX(0,B4*(LINE_INPUT_CLINE+LINE_INPUT_CCHA/2))</f>
        <v>0</v>
      </c>
      <c r="G4">
        <f>IMPRODUCT("2",IMDIV("1",IMSUM(IMDIV("1",COMPLEX(LDM1_DCR,B4*LDM1_L)),COMPLEX(0,B4*LDM1_CPA))))</f>
        <v>0</v>
      </c>
      <c r="H4">
        <f>IMSUM(IMDIV("1",COMPLEX(CX1_ESR,B4*CX1_ESL-1/(B4*CX1_C))),IMDIV("1",IMSUM(COMPLEX(DUMP1_R,0),COMPLEX(DUMP1_ESR,B4*DUMP1_ESL-1/(B4*DUMP1_C)))))</f>
        <v>0</v>
      </c>
      <c r="I4">
        <f>IMPRODUCT("2",IMDIV("1",IMSUM(IMDIV("1",COMPLEX(LDM2_DCR,B4*LDM2_L)),COMPLEX(0,B4*LDM2_CPA))))</f>
        <v>0</v>
      </c>
      <c r="J4">
        <f>IMSUM(IMDIV("1",COMPLEX(CX2_ESR,B4*CX2_ESL-1/(B4*CX2_C))),IMDIV("1",IMSUM(COMPLEX(DUMP2_R,0),COMPLEX(DUMP2_ESR,B4*DUMP2_ESL-1/(B4*DUMP2_C)))))</f>
        <v>0</v>
      </c>
      <c r="K4">
        <f>IMPRODUCT("2",IMDIV("1",IMSUM(IMDIV("1",COMPLEX(CMC_DCR,B4*CMC_L*(1-CMC_K))),COMPLEX(0,B4*CMC_CPA))))</f>
        <v>0</v>
      </c>
      <c r="L4">
        <f>IMSUM(COMPLEX(0,B4*CMC_CLINE),IMDIV("1",IMPRODUCT("2",COMPLEX(CY_ESR,B4*CY_ESL-1/(B4*CY_C)))),COMPLEX(1/DUMMY_R,0))</f>
        <v>0</v>
      </c>
      <c r="M4">
        <f>IMSUM(D4,IMDIV("1",C4))</f>
        <v>0</v>
      </c>
      <c r="N4">
        <f>IMDIV("1",IMSUM(E4,IMDIV("1",M4)))</f>
        <v>0</v>
      </c>
      <c r="O4">
        <f>IMSUM(F4,N4)</f>
        <v>0</v>
      </c>
      <c r="P4">
        <f>IMDIV("1",IMSUM(G4,IMDIV("1",O4)))</f>
        <v>0</v>
      </c>
      <c r="Q4">
        <f>IMSUM(H4,P4)</f>
        <v>0</v>
      </c>
      <c r="R4">
        <f>IMDIV("1",IMSUM(I4,IMDIV("1",Q4)))</f>
        <v>0</v>
      </c>
      <c r="S4">
        <f>IMSUM(J4,R4)</f>
        <v>0</v>
      </c>
      <c r="T4">
        <f>IMDIV("1",IMSUM(K4,IMDIV("1",S4)))</f>
        <v>0</v>
      </c>
      <c r="U4">
        <f>IMSUM(L4,T4)</f>
        <v>0</v>
      </c>
      <c r="V4">
        <f>IMDIV(COMPLEX(I_DM_SOURCE,0),U4)</f>
        <v>0</v>
      </c>
      <c r="W4">
        <f>IMPRODUCT(V4,T4)</f>
        <v>0</v>
      </c>
      <c r="X4">
        <f>IMDIV(W4,S4)</f>
        <v>0</v>
      </c>
      <c r="Y4">
        <f>IMPRODUCT(X4,R4)</f>
        <v>0</v>
      </c>
      <c r="Z4">
        <f>IMDIV(Y4,Q4)</f>
        <v>0</v>
      </c>
      <c r="AA4">
        <f>IMPRODUCT(Z4,P4)</f>
        <v>0</v>
      </c>
      <c r="AB4">
        <f>AA4</f>
        <v>0</v>
      </c>
      <c r="AC4">
        <f>IMPRODUCT("-1",AB4)</f>
        <v>0</v>
      </c>
      <c r="AD4">
        <f>IMDIV(IMSUB(AB4,AC4),"2")</f>
        <v>0</v>
      </c>
      <c r="AE4" s="6">
        <f>IMABS(AB4)</f>
        <v>0</v>
      </c>
      <c r="AF4" s="6">
        <f>IMABS(AC4)</f>
        <v>0</v>
      </c>
      <c r="AG4" s="6">
        <f>IMABS(AD4)</f>
        <v>0</v>
      </c>
      <c r="AH4" s="7">
        <f>20*LOG10(MAX(AE4,1E-300)*1E6)</f>
        <v>0</v>
      </c>
      <c r="AI4" s="7">
        <f>20*LOG10(MAX(AF4,1E-300)*1E6)</f>
        <v>0</v>
      </c>
      <c r="AJ4" s="7">
        <f>20*LOG10(MAX(AG4,1E-300)*1E6)</f>
        <v>0</v>
      </c>
      <c r="AK4" s="7">
        <f>DEGREES(IMARGUMENT(AB4))</f>
        <v>0</v>
      </c>
      <c r="AL4" s="7">
        <f>DEGREES(IMARGUMENT(AC4))</f>
        <v>0</v>
      </c>
      <c r="AM4" s="7">
        <f>DEGREES(IMARGUMENT(AD4))</f>
        <v>0</v>
      </c>
    </row>
    <row r="5" spans="1:39">
      <c r="A5" s="6">
        <f>10^(LOG10(F_START)+(ROW()-ROW($A$2))*(LOG10(F_STOP)-LOG10(F_START))/(N_POINTS-1))</f>
        <v>0</v>
      </c>
      <c r="B5" s="6">
        <f>2*PI()*A5</f>
        <v>0</v>
      </c>
      <c r="C5">
        <f>COMPLEX(2*LINE_PS_DCR,2*B5*LINE_PS_L)</f>
        <v>0</v>
      </c>
      <c r="D5">
        <f>IMSUM(COMPLEX(0,B5*(LINE_PS_CLINE+LINE_PS_CCHA/2)),IMDIV("1",IMPRODUCT("2",COMPLEX(C_THROUGH_ESR,B5*C_THROUGH_ESL-1/(B5*C_THROUGH_C)))))</f>
        <v>0</v>
      </c>
      <c r="E5">
        <f>COMPLEX(2*LINE_INPUT_DCR,2*B5*LINE_INPUT_L)</f>
        <v>0</v>
      </c>
      <c r="F5">
        <f>COMPLEX(0,B5*(LINE_INPUT_CLINE+LINE_INPUT_CCHA/2))</f>
        <v>0</v>
      </c>
      <c r="G5">
        <f>IMPRODUCT("2",IMDIV("1",IMSUM(IMDIV("1",COMPLEX(LDM1_DCR,B5*LDM1_L)),COMPLEX(0,B5*LDM1_CPA))))</f>
        <v>0</v>
      </c>
      <c r="H5">
        <f>IMSUM(IMDIV("1",COMPLEX(CX1_ESR,B5*CX1_ESL-1/(B5*CX1_C))),IMDIV("1",IMSUM(COMPLEX(DUMP1_R,0),COMPLEX(DUMP1_ESR,B5*DUMP1_ESL-1/(B5*DUMP1_C)))))</f>
        <v>0</v>
      </c>
      <c r="I5">
        <f>IMPRODUCT("2",IMDIV("1",IMSUM(IMDIV("1",COMPLEX(LDM2_DCR,B5*LDM2_L)),COMPLEX(0,B5*LDM2_CPA))))</f>
        <v>0</v>
      </c>
      <c r="J5">
        <f>IMSUM(IMDIV("1",COMPLEX(CX2_ESR,B5*CX2_ESL-1/(B5*CX2_C))),IMDIV("1",IMSUM(COMPLEX(DUMP2_R,0),COMPLEX(DUMP2_ESR,B5*DUMP2_ESL-1/(B5*DUMP2_C)))))</f>
        <v>0</v>
      </c>
      <c r="K5">
        <f>IMPRODUCT("2",IMDIV("1",IMSUM(IMDIV("1",COMPLEX(CMC_DCR,B5*CMC_L*(1-CMC_K))),COMPLEX(0,B5*CMC_CPA))))</f>
        <v>0</v>
      </c>
      <c r="L5">
        <f>IMSUM(COMPLEX(0,B5*CMC_CLINE),IMDIV("1",IMPRODUCT("2",COMPLEX(CY_ESR,B5*CY_ESL-1/(B5*CY_C)))),COMPLEX(1/DUMMY_R,0))</f>
        <v>0</v>
      </c>
      <c r="M5">
        <f>IMSUM(D5,IMDIV("1",C5))</f>
        <v>0</v>
      </c>
      <c r="N5">
        <f>IMDIV("1",IMSUM(E5,IMDIV("1",M5)))</f>
        <v>0</v>
      </c>
      <c r="O5">
        <f>IMSUM(F5,N5)</f>
        <v>0</v>
      </c>
      <c r="P5">
        <f>IMDIV("1",IMSUM(G5,IMDIV("1",O5)))</f>
        <v>0</v>
      </c>
      <c r="Q5">
        <f>IMSUM(H5,P5)</f>
        <v>0</v>
      </c>
      <c r="R5">
        <f>IMDIV("1",IMSUM(I5,IMDIV("1",Q5)))</f>
        <v>0</v>
      </c>
      <c r="S5">
        <f>IMSUM(J5,R5)</f>
        <v>0</v>
      </c>
      <c r="T5">
        <f>IMDIV("1",IMSUM(K5,IMDIV("1",S5)))</f>
        <v>0</v>
      </c>
      <c r="U5">
        <f>IMSUM(L5,T5)</f>
        <v>0</v>
      </c>
      <c r="V5">
        <f>IMDIV(COMPLEX(I_DM_SOURCE,0),U5)</f>
        <v>0</v>
      </c>
      <c r="W5">
        <f>IMPRODUCT(V5,T5)</f>
        <v>0</v>
      </c>
      <c r="X5">
        <f>IMDIV(W5,S5)</f>
        <v>0</v>
      </c>
      <c r="Y5">
        <f>IMPRODUCT(X5,R5)</f>
        <v>0</v>
      </c>
      <c r="Z5">
        <f>IMDIV(Y5,Q5)</f>
        <v>0</v>
      </c>
      <c r="AA5">
        <f>IMPRODUCT(Z5,P5)</f>
        <v>0</v>
      </c>
      <c r="AB5">
        <f>AA5</f>
        <v>0</v>
      </c>
      <c r="AC5">
        <f>IMPRODUCT("-1",AB5)</f>
        <v>0</v>
      </c>
      <c r="AD5">
        <f>IMDIV(IMSUB(AB5,AC5),"2")</f>
        <v>0</v>
      </c>
      <c r="AE5" s="6">
        <f>IMABS(AB5)</f>
        <v>0</v>
      </c>
      <c r="AF5" s="6">
        <f>IMABS(AC5)</f>
        <v>0</v>
      </c>
      <c r="AG5" s="6">
        <f>IMABS(AD5)</f>
        <v>0</v>
      </c>
      <c r="AH5" s="7">
        <f>20*LOG10(MAX(AE5,1E-300)*1E6)</f>
        <v>0</v>
      </c>
      <c r="AI5" s="7">
        <f>20*LOG10(MAX(AF5,1E-300)*1E6)</f>
        <v>0</v>
      </c>
      <c r="AJ5" s="7">
        <f>20*LOG10(MAX(AG5,1E-300)*1E6)</f>
        <v>0</v>
      </c>
      <c r="AK5" s="7">
        <f>DEGREES(IMARGUMENT(AB5))</f>
        <v>0</v>
      </c>
      <c r="AL5" s="7">
        <f>DEGREES(IMARGUMENT(AC5))</f>
        <v>0</v>
      </c>
      <c r="AM5" s="7">
        <f>DEGREES(IMARGUMENT(AD5))</f>
        <v>0</v>
      </c>
    </row>
    <row r="6" spans="1:39">
      <c r="A6" s="6">
        <f>10^(LOG10(F_START)+(ROW()-ROW($A$2))*(LOG10(F_STOP)-LOG10(F_START))/(N_POINTS-1))</f>
        <v>0</v>
      </c>
      <c r="B6" s="6">
        <f>2*PI()*A6</f>
        <v>0</v>
      </c>
      <c r="C6">
        <f>COMPLEX(2*LINE_PS_DCR,2*B6*LINE_PS_L)</f>
        <v>0</v>
      </c>
      <c r="D6">
        <f>IMSUM(COMPLEX(0,B6*(LINE_PS_CLINE+LINE_PS_CCHA/2)),IMDIV("1",IMPRODUCT("2",COMPLEX(C_THROUGH_ESR,B6*C_THROUGH_ESL-1/(B6*C_THROUGH_C)))))</f>
        <v>0</v>
      </c>
      <c r="E6">
        <f>COMPLEX(2*LINE_INPUT_DCR,2*B6*LINE_INPUT_L)</f>
        <v>0</v>
      </c>
      <c r="F6">
        <f>COMPLEX(0,B6*(LINE_INPUT_CLINE+LINE_INPUT_CCHA/2))</f>
        <v>0</v>
      </c>
      <c r="G6">
        <f>IMPRODUCT("2",IMDIV("1",IMSUM(IMDIV("1",COMPLEX(LDM1_DCR,B6*LDM1_L)),COMPLEX(0,B6*LDM1_CPA))))</f>
        <v>0</v>
      </c>
      <c r="H6">
        <f>IMSUM(IMDIV("1",COMPLEX(CX1_ESR,B6*CX1_ESL-1/(B6*CX1_C))),IMDIV("1",IMSUM(COMPLEX(DUMP1_R,0),COMPLEX(DUMP1_ESR,B6*DUMP1_ESL-1/(B6*DUMP1_C)))))</f>
        <v>0</v>
      </c>
      <c r="I6">
        <f>IMPRODUCT("2",IMDIV("1",IMSUM(IMDIV("1",COMPLEX(LDM2_DCR,B6*LDM2_L)),COMPLEX(0,B6*LDM2_CPA))))</f>
        <v>0</v>
      </c>
      <c r="J6">
        <f>IMSUM(IMDIV("1",COMPLEX(CX2_ESR,B6*CX2_ESL-1/(B6*CX2_C))),IMDIV("1",IMSUM(COMPLEX(DUMP2_R,0),COMPLEX(DUMP2_ESR,B6*DUMP2_ESL-1/(B6*DUMP2_C)))))</f>
        <v>0</v>
      </c>
      <c r="K6">
        <f>IMPRODUCT("2",IMDIV("1",IMSUM(IMDIV("1",COMPLEX(CMC_DCR,B6*CMC_L*(1-CMC_K))),COMPLEX(0,B6*CMC_CPA))))</f>
        <v>0</v>
      </c>
      <c r="L6">
        <f>IMSUM(COMPLEX(0,B6*CMC_CLINE),IMDIV("1",IMPRODUCT("2",COMPLEX(CY_ESR,B6*CY_ESL-1/(B6*CY_C)))),COMPLEX(1/DUMMY_R,0))</f>
        <v>0</v>
      </c>
      <c r="M6">
        <f>IMSUM(D6,IMDIV("1",C6))</f>
        <v>0</v>
      </c>
      <c r="N6">
        <f>IMDIV("1",IMSUM(E6,IMDIV("1",M6)))</f>
        <v>0</v>
      </c>
      <c r="O6">
        <f>IMSUM(F6,N6)</f>
        <v>0</v>
      </c>
      <c r="P6">
        <f>IMDIV("1",IMSUM(G6,IMDIV("1",O6)))</f>
        <v>0</v>
      </c>
      <c r="Q6">
        <f>IMSUM(H6,P6)</f>
        <v>0</v>
      </c>
      <c r="R6">
        <f>IMDIV("1",IMSUM(I6,IMDIV("1",Q6)))</f>
        <v>0</v>
      </c>
      <c r="S6">
        <f>IMSUM(J6,R6)</f>
        <v>0</v>
      </c>
      <c r="T6">
        <f>IMDIV("1",IMSUM(K6,IMDIV("1",S6)))</f>
        <v>0</v>
      </c>
      <c r="U6">
        <f>IMSUM(L6,T6)</f>
        <v>0</v>
      </c>
      <c r="V6">
        <f>IMDIV(COMPLEX(I_DM_SOURCE,0),U6)</f>
        <v>0</v>
      </c>
      <c r="W6">
        <f>IMPRODUCT(V6,T6)</f>
        <v>0</v>
      </c>
      <c r="X6">
        <f>IMDIV(W6,S6)</f>
        <v>0</v>
      </c>
      <c r="Y6">
        <f>IMPRODUCT(X6,R6)</f>
        <v>0</v>
      </c>
      <c r="Z6">
        <f>IMDIV(Y6,Q6)</f>
        <v>0</v>
      </c>
      <c r="AA6">
        <f>IMPRODUCT(Z6,P6)</f>
        <v>0</v>
      </c>
      <c r="AB6">
        <f>AA6</f>
        <v>0</v>
      </c>
      <c r="AC6">
        <f>IMPRODUCT("-1",AB6)</f>
        <v>0</v>
      </c>
      <c r="AD6">
        <f>IMDIV(IMSUB(AB6,AC6),"2")</f>
        <v>0</v>
      </c>
      <c r="AE6" s="6">
        <f>IMABS(AB6)</f>
        <v>0</v>
      </c>
      <c r="AF6" s="6">
        <f>IMABS(AC6)</f>
        <v>0</v>
      </c>
      <c r="AG6" s="6">
        <f>IMABS(AD6)</f>
        <v>0</v>
      </c>
      <c r="AH6" s="7">
        <f>20*LOG10(MAX(AE6,1E-300)*1E6)</f>
        <v>0</v>
      </c>
      <c r="AI6" s="7">
        <f>20*LOG10(MAX(AF6,1E-300)*1E6)</f>
        <v>0</v>
      </c>
      <c r="AJ6" s="7">
        <f>20*LOG10(MAX(AG6,1E-300)*1E6)</f>
        <v>0</v>
      </c>
      <c r="AK6" s="7">
        <f>DEGREES(IMARGUMENT(AB6))</f>
        <v>0</v>
      </c>
      <c r="AL6" s="7">
        <f>DEGREES(IMARGUMENT(AC6))</f>
        <v>0</v>
      </c>
      <c r="AM6" s="7">
        <f>DEGREES(IMARGUMENT(AD6))</f>
        <v>0</v>
      </c>
    </row>
    <row r="7" spans="1:39">
      <c r="A7" s="6">
        <f>10^(LOG10(F_START)+(ROW()-ROW($A$2))*(LOG10(F_STOP)-LOG10(F_START))/(N_POINTS-1))</f>
        <v>0</v>
      </c>
      <c r="B7" s="6">
        <f>2*PI()*A7</f>
        <v>0</v>
      </c>
      <c r="C7">
        <f>COMPLEX(2*LINE_PS_DCR,2*B7*LINE_PS_L)</f>
        <v>0</v>
      </c>
      <c r="D7">
        <f>IMSUM(COMPLEX(0,B7*(LINE_PS_CLINE+LINE_PS_CCHA/2)),IMDIV("1",IMPRODUCT("2",COMPLEX(C_THROUGH_ESR,B7*C_THROUGH_ESL-1/(B7*C_THROUGH_C)))))</f>
        <v>0</v>
      </c>
      <c r="E7">
        <f>COMPLEX(2*LINE_INPUT_DCR,2*B7*LINE_INPUT_L)</f>
        <v>0</v>
      </c>
      <c r="F7">
        <f>COMPLEX(0,B7*(LINE_INPUT_CLINE+LINE_INPUT_CCHA/2))</f>
        <v>0</v>
      </c>
      <c r="G7">
        <f>IMPRODUCT("2",IMDIV("1",IMSUM(IMDIV("1",COMPLEX(LDM1_DCR,B7*LDM1_L)),COMPLEX(0,B7*LDM1_CPA))))</f>
        <v>0</v>
      </c>
      <c r="H7">
        <f>IMSUM(IMDIV("1",COMPLEX(CX1_ESR,B7*CX1_ESL-1/(B7*CX1_C))),IMDIV("1",IMSUM(COMPLEX(DUMP1_R,0),COMPLEX(DUMP1_ESR,B7*DUMP1_ESL-1/(B7*DUMP1_C)))))</f>
        <v>0</v>
      </c>
      <c r="I7">
        <f>IMPRODUCT("2",IMDIV("1",IMSUM(IMDIV("1",COMPLEX(LDM2_DCR,B7*LDM2_L)),COMPLEX(0,B7*LDM2_CPA))))</f>
        <v>0</v>
      </c>
      <c r="J7">
        <f>IMSUM(IMDIV("1",COMPLEX(CX2_ESR,B7*CX2_ESL-1/(B7*CX2_C))),IMDIV("1",IMSUM(COMPLEX(DUMP2_R,0),COMPLEX(DUMP2_ESR,B7*DUMP2_ESL-1/(B7*DUMP2_C)))))</f>
        <v>0</v>
      </c>
      <c r="K7">
        <f>IMPRODUCT("2",IMDIV("1",IMSUM(IMDIV("1",COMPLEX(CMC_DCR,B7*CMC_L*(1-CMC_K))),COMPLEX(0,B7*CMC_CPA))))</f>
        <v>0</v>
      </c>
      <c r="L7">
        <f>IMSUM(COMPLEX(0,B7*CMC_CLINE),IMDIV("1",IMPRODUCT("2",COMPLEX(CY_ESR,B7*CY_ESL-1/(B7*CY_C)))),COMPLEX(1/DUMMY_R,0))</f>
        <v>0</v>
      </c>
      <c r="M7">
        <f>IMSUM(D7,IMDIV("1",C7))</f>
        <v>0</v>
      </c>
      <c r="N7">
        <f>IMDIV("1",IMSUM(E7,IMDIV("1",M7)))</f>
        <v>0</v>
      </c>
      <c r="O7">
        <f>IMSUM(F7,N7)</f>
        <v>0</v>
      </c>
      <c r="P7">
        <f>IMDIV("1",IMSUM(G7,IMDIV("1",O7)))</f>
        <v>0</v>
      </c>
      <c r="Q7">
        <f>IMSUM(H7,P7)</f>
        <v>0</v>
      </c>
      <c r="R7">
        <f>IMDIV("1",IMSUM(I7,IMDIV("1",Q7)))</f>
        <v>0</v>
      </c>
      <c r="S7">
        <f>IMSUM(J7,R7)</f>
        <v>0</v>
      </c>
      <c r="T7">
        <f>IMDIV("1",IMSUM(K7,IMDIV("1",S7)))</f>
        <v>0</v>
      </c>
      <c r="U7">
        <f>IMSUM(L7,T7)</f>
        <v>0</v>
      </c>
      <c r="V7">
        <f>IMDIV(COMPLEX(I_DM_SOURCE,0),U7)</f>
        <v>0</v>
      </c>
      <c r="W7">
        <f>IMPRODUCT(V7,T7)</f>
        <v>0</v>
      </c>
      <c r="X7">
        <f>IMDIV(W7,S7)</f>
        <v>0</v>
      </c>
      <c r="Y7">
        <f>IMPRODUCT(X7,R7)</f>
        <v>0</v>
      </c>
      <c r="Z7">
        <f>IMDIV(Y7,Q7)</f>
        <v>0</v>
      </c>
      <c r="AA7">
        <f>IMPRODUCT(Z7,P7)</f>
        <v>0</v>
      </c>
      <c r="AB7">
        <f>AA7</f>
        <v>0</v>
      </c>
      <c r="AC7">
        <f>IMPRODUCT("-1",AB7)</f>
        <v>0</v>
      </c>
      <c r="AD7">
        <f>IMDIV(IMSUB(AB7,AC7),"2")</f>
        <v>0</v>
      </c>
      <c r="AE7" s="6">
        <f>IMABS(AB7)</f>
        <v>0</v>
      </c>
      <c r="AF7" s="6">
        <f>IMABS(AC7)</f>
        <v>0</v>
      </c>
      <c r="AG7" s="6">
        <f>IMABS(AD7)</f>
        <v>0</v>
      </c>
      <c r="AH7" s="7">
        <f>20*LOG10(MAX(AE7,1E-300)*1E6)</f>
        <v>0</v>
      </c>
      <c r="AI7" s="7">
        <f>20*LOG10(MAX(AF7,1E-300)*1E6)</f>
        <v>0</v>
      </c>
      <c r="AJ7" s="7">
        <f>20*LOG10(MAX(AG7,1E-300)*1E6)</f>
        <v>0</v>
      </c>
      <c r="AK7" s="7">
        <f>DEGREES(IMARGUMENT(AB7))</f>
        <v>0</v>
      </c>
      <c r="AL7" s="7">
        <f>DEGREES(IMARGUMENT(AC7))</f>
        <v>0</v>
      </c>
      <c r="AM7" s="7">
        <f>DEGREES(IMARGUMENT(AD7))</f>
        <v>0</v>
      </c>
    </row>
    <row r="8" spans="1:39">
      <c r="A8" s="6">
        <f>10^(LOG10(F_START)+(ROW()-ROW($A$2))*(LOG10(F_STOP)-LOG10(F_START))/(N_POINTS-1))</f>
        <v>0</v>
      </c>
      <c r="B8" s="6">
        <f>2*PI()*A8</f>
        <v>0</v>
      </c>
      <c r="C8">
        <f>COMPLEX(2*LINE_PS_DCR,2*B8*LINE_PS_L)</f>
        <v>0</v>
      </c>
      <c r="D8">
        <f>IMSUM(COMPLEX(0,B8*(LINE_PS_CLINE+LINE_PS_CCHA/2)),IMDIV("1",IMPRODUCT("2",COMPLEX(C_THROUGH_ESR,B8*C_THROUGH_ESL-1/(B8*C_THROUGH_C)))))</f>
        <v>0</v>
      </c>
      <c r="E8">
        <f>COMPLEX(2*LINE_INPUT_DCR,2*B8*LINE_INPUT_L)</f>
        <v>0</v>
      </c>
      <c r="F8">
        <f>COMPLEX(0,B8*(LINE_INPUT_CLINE+LINE_INPUT_CCHA/2))</f>
        <v>0</v>
      </c>
      <c r="G8">
        <f>IMPRODUCT("2",IMDIV("1",IMSUM(IMDIV("1",COMPLEX(LDM1_DCR,B8*LDM1_L)),COMPLEX(0,B8*LDM1_CPA))))</f>
        <v>0</v>
      </c>
      <c r="H8">
        <f>IMSUM(IMDIV("1",COMPLEX(CX1_ESR,B8*CX1_ESL-1/(B8*CX1_C))),IMDIV("1",IMSUM(COMPLEX(DUMP1_R,0),COMPLEX(DUMP1_ESR,B8*DUMP1_ESL-1/(B8*DUMP1_C)))))</f>
        <v>0</v>
      </c>
      <c r="I8">
        <f>IMPRODUCT("2",IMDIV("1",IMSUM(IMDIV("1",COMPLEX(LDM2_DCR,B8*LDM2_L)),COMPLEX(0,B8*LDM2_CPA))))</f>
        <v>0</v>
      </c>
      <c r="J8">
        <f>IMSUM(IMDIV("1",COMPLEX(CX2_ESR,B8*CX2_ESL-1/(B8*CX2_C))),IMDIV("1",IMSUM(COMPLEX(DUMP2_R,0),COMPLEX(DUMP2_ESR,B8*DUMP2_ESL-1/(B8*DUMP2_C)))))</f>
        <v>0</v>
      </c>
      <c r="K8">
        <f>IMPRODUCT("2",IMDIV("1",IMSUM(IMDIV("1",COMPLEX(CMC_DCR,B8*CMC_L*(1-CMC_K))),COMPLEX(0,B8*CMC_CPA))))</f>
        <v>0</v>
      </c>
      <c r="L8">
        <f>IMSUM(COMPLEX(0,B8*CMC_CLINE),IMDIV("1",IMPRODUCT("2",COMPLEX(CY_ESR,B8*CY_ESL-1/(B8*CY_C)))),COMPLEX(1/DUMMY_R,0))</f>
        <v>0</v>
      </c>
      <c r="M8">
        <f>IMSUM(D8,IMDIV("1",C8))</f>
        <v>0</v>
      </c>
      <c r="N8">
        <f>IMDIV("1",IMSUM(E8,IMDIV("1",M8)))</f>
        <v>0</v>
      </c>
      <c r="O8">
        <f>IMSUM(F8,N8)</f>
        <v>0</v>
      </c>
      <c r="P8">
        <f>IMDIV("1",IMSUM(G8,IMDIV("1",O8)))</f>
        <v>0</v>
      </c>
      <c r="Q8">
        <f>IMSUM(H8,P8)</f>
        <v>0</v>
      </c>
      <c r="R8">
        <f>IMDIV("1",IMSUM(I8,IMDIV("1",Q8)))</f>
        <v>0</v>
      </c>
      <c r="S8">
        <f>IMSUM(J8,R8)</f>
        <v>0</v>
      </c>
      <c r="T8">
        <f>IMDIV("1",IMSUM(K8,IMDIV("1",S8)))</f>
        <v>0</v>
      </c>
      <c r="U8">
        <f>IMSUM(L8,T8)</f>
        <v>0</v>
      </c>
      <c r="V8">
        <f>IMDIV(COMPLEX(I_DM_SOURCE,0),U8)</f>
        <v>0</v>
      </c>
      <c r="W8">
        <f>IMPRODUCT(V8,T8)</f>
        <v>0</v>
      </c>
      <c r="X8">
        <f>IMDIV(W8,S8)</f>
        <v>0</v>
      </c>
      <c r="Y8">
        <f>IMPRODUCT(X8,R8)</f>
        <v>0</v>
      </c>
      <c r="Z8">
        <f>IMDIV(Y8,Q8)</f>
        <v>0</v>
      </c>
      <c r="AA8">
        <f>IMPRODUCT(Z8,P8)</f>
        <v>0</v>
      </c>
      <c r="AB8">
        <f>AA8</f>
        <v>0</v>
      </c>
      <c r="AC8">
        <f>IMPRODUCT("-1",AB8)</f>
        <v>0</v>
      </c>
      <c r="AD8">
        <f>IMDIV(IMSUB(AB8,AC8),"2")</f>
        <v>0</v>
      </c>
      <c r="AE8" s="6">
        <f>IMABS(AB8)</f>
        <v>0</v>
      </c>
      <c r="AF8" s="6">
        <f>IMABS(AC8)</f>
        <v>0</v>
      </c>
      <c r="AG8" s="6">
        <f>IMABS(AD8)</f>
        <v>0</v>
      </c>
      <c r="AH8" s="7">
        <f>20*LOG10(MAX(AE8,1E-300)*1E6)</f>
        <v>0</v>
      </c>
      <c r="AI8" s="7">
        <f>20*LOG10(MAX(AF8,1E-300)*1E6)</f>
        <v>0</v>
      </c>
      <c r="AJ8" s="7">
        <f>20*LOG10(MAX(AG8,1E-300)*1E6)</f>
        <v>0</v>
      </c>
      <c r="AK8" s="7">
        <f>DEGREES(IMARGUMENT(AB8))</f>
        <v>0</v>
      </c>
      <c r="AL8" s="7">
        <f>DEGREES(IMARGUMENT(AC8))</f>
        <v>0</v>
      </c>
      <c r="AM8" s="7">
        <f>DEGREES(IMARGUMENT(AD8))</f>
        <v>0</v>
      </c>
    </row>
    <row r="9" spans="1:39">
      <c r="A9" s="6">
        <f>10^(LOG10(F_START)+(ROW()-ROW($A$2))*(LOG10(F_STOP)-LOG10(F_START))/(N_POINTS-1))</f>
        <v>0</v>
      </c>
      <c r="B9" s="6">
        <f>2*PI()*A9</f>
        <v>0</v>
      </c>
      <c r="C9">
        <f>COMPLEX(2*LINE_PS_DCR,2*B9*LINE_PS_L)</f>
        <v>0</v>
      </c>
      <c r="D9">
        <f>IMSUM(COMPLEX(0,B9*(LINE_PS_CLINE+LINE_PS_CCHA/2)),IMDIV("1",IMPRODUCT("2",COMPLEX(C_THROUGH_ESR,B9*C_THROUGH_ESL-1/(B9*C_THROUGH_C)))))</f>
        <v>0</v>
      </c>
      <c r="E9">
        <f>COMPLEX(2*LINE_INPUT_DCR,2*B9*LINE_INPUT_L)</f>
        <v>0</v>
      </c>
      <c r="F9">
        <f>COMPLEX(0,B9*(LINE_INPUT_CLINE+LINE_INPUT_CCHA/2))</f>
        <v>0</v>
      </c>
      <c r="G9">
        <f>IMPRODUCT("2",IMDIV("1",IMSUM(IMDIV("1",COMPLEX(LDM1_DCR,B9*LDM1_L)),COMPLEX(0,B9*LDM1_CPA))))</f>
        <v>0</v>
      </c>
      <c r="H9">
        <f>IMSUM(IMDIV("1",COMPLEX(CX1_ESR,B9*CX1_ESL-1/(B9*CX1_C))),IMDIV("1",IMSUM(COMPLEX(DUMP1_R,0),COMPLEX(DUMP1_ESR,B9*DUMP1_ESL-1/(B9*DUMP1_C)))))</f>
        <v>0</v>
      </c>
      <c r="I9">
        <f>IMPRODUCT("2",IMDIV("1",IMSUM(IMDIV("1",COMPLEX(LDM2_DCR,B9*LDM2_L)),COMPLEX(0,B9*LDM2_CPA))))</f>
        <v>0</v>
      </c>
      <c r="J9">
        <f>IMSUM(IMDIV("1",COMPLEX(CX2_ESR,B9*CX2_ESL-1/(B9*CX2_C))),IMDIV("1",IMSUM(COMPLEX(DUMP2_R,0),COMPLEX(DUMP2_ESR,B9*DUMP2_ESL-1/(B9*DUMP2_C)))))</f>
        <v>0</v>
      </c>
      <c r="K9">
        <f>IMPRODUCT("2",IMDIV("1",IMSUM(IMDIV("1",COMPLEX(CMC_DCR,B9*CMC_L*(1-CMC_K))),COMPLEX(0,B9*CMC_CPA))))</f>
        <v>0</v>
      </c>
      <c r="L9">
        <f>IMSUM(COMPLEX(0,B9*CMC_CLINE),IMDIV("1",IMPRODUCT("2",COMPLEX(CY_ESR,B9*CY_ESL-1/(B9*CY_C)))),COMPLEX(1/DUMMY_R,0))</f>
        <v>0</v>
      </c>
      <c r="M9">
        <f>IMSUM(D9,IMDIV("1",C9))</f>
        <v>0</v>
      </c>
      <c r="N9">
        <f>IMDIV("1",IMSUM(E9,IMDIV("1",M9)))</f>
        <v>0</v>
      </c>
      <c r="O9">
        <f>IMSUM(F9,N9)</f>
        <v>0</v>
      </c>
      <c r="P9">
        <f>IMDIV("1",IMSUM(G9,IMDIV("1",O9)))</f>
        <v>0</v>
      </c>
      <c r="Q9">
        <f>IMSUM(H9,P9)</f>
        <v>0</v>
      </c>
      <c r="R9">
        <f>IMDIV("1",IMSUM(I9,IMDIV("1",Q9)))</f>
        <v>0</v>
      </c>
      <c r="S9">
        <f>IMSUM(J9,R9)</f>
        <v>0</v>
      </c>
      <c r="T9">
        <f>IMDIV("1",IMSUM(K9,IMDIV("1",S9)))</f>
        <v>0</v>
      </c>
      <c r="U9">
        <f>IMSUM(L9,T9)</f>
        <v>0</v>
      </c>
      <c r="V9">
        <f>IMDIV(COMPLEX(I_DM_SOURCE,0),U9)</f>
        <v>0</v>
      </c>
      <c r="W9">
        <f>IMPRODUCT(V9,T9)</f>
        <v>0</v>
      </c>
      <c r="X9">
        <f>IMDIV(W9,S9)</f>
        <v>0</v>
      </c>
      <c r="Y9">
        <f>IMPRODUCT(X9,R9)</f>
        <v>0</v>
      </c>
      <c r="Z9">
        <f>IMDIV(Y9,Q9)</f>
        <v>0</v>
      </c>
      <c r="AA9">
        <f>IMPRODUCT(Z9,P9)</f>
        <v>0</v>
      </c>
      <c r="AB9">
        <f>AA9</f>
        <v>0</v>
      </c>
      <c r="AC9">
        <f>IMPRODUCT("-1",AB9)</f>
        <v>0</v>
      </c>
      <c r="AD9">
        <f>IMDIV(IMSUB(AB9,AC9),"2")</f>
        <v>0</v>
      </c>
      <c r="AE9" s="6">
        <f>IMABS(AB9)</f>
        <v>0</v>
      </c>
      <c r="AF9" s="6">
        <f>IMABS(AC9)</f>
        <v>0</v>
      </c>
      <c r="AG9" s="6">
        <f>IMABS(AD9)</f>
        <v>0</v>
      </c>
      <c r="AH9" s="7">
        <f>20*LOG10(MAX(AE9,1E-300)*1E6)</f>
        <v>0</v>
      </c>
      <c r="AI9" s="7">
        <f>20*LOG10(MAX(AF9,1E-300)*1E6)</f>
        <v>0</v>
      </c>
      <c r="AJ9" s="7">
        <f>20*LOG10(MAX(AG9,1E-300)*1E6)</f>
        <v>0</v>
      </c>
      <c r="AK9" s="7">
        <f>DEGREES(IMARGUMENT(AB9))</f>
        <v>0</v>
      </c>
      <c r="AL9" s="7">
        <f>DEGREES(IMARGUMENT(AC9))</f>
        <v>0</v>
      </c>
      <c r="AM9" s="7">
        <f>DEGREES(IMARGUMENT(AD9))</f>
        <v>0</v>
      </c>
    </row>
    <row r="10" spans="1:39">
      <c r="A10" s="6">
        <f>10^(LOG10(F_START)+(ROW()-ROW($A$2))*(LOG10(F_STOP)-LOG10(F_START))/(N_POINTS-1))</f>
        <v>0</v>
      </c>
      <c r="B10" s="6">
        <f>2*PI()*A10</f>
        <v>0</v>
      </c>
      <c r="C10">
        <f>COMPLEX(2*LINE_PS_DCR,2*B10*LINE_PS_L)</f>
        <v>0</v>
      </c>
      <c r="D10">
        <f>IMSUM(COMPLEX(0,B10*(LINE_PS_CLINE+LINE_PS_CCHA/2)),IMDIV("1",IMPRODUCT("2",COMPLEX(C_THROUGH_ESR,B10*C_THROUGH_ESL-1/(B10*C_THROUGH_C)))))</f>
        <v>0</v>
      </c>
      <c r="E10">
        <f>COMPLEX(2*LINE_INPUT_DCR,2*B10*LINE_INPUT_L)</f>
        <v>0</v>
      </c>
      <c r="F10">
        <f>COMPLEX(0,B10*(LINE_INPUT_CLINE+LINE_INPUT_CCHA/2))</f>
        <v>0</v>
      </c>
      <c r="G10">
        <f>IMPRODUCT("2",IMDIV("1",IMSUM(IMDIV("1",COMPLEX(LDM1_DCR,B10*LDM1_L)),COMPLEX(0,B10*LDM1_CPA))))</f>
        <v>0</v>
      </c>
      <c r="H10">
        <f>IMSUM(IMDIV("1",COMPLEX(CX1_ESR,B10*CX1_ESL-1/(B10*CX1_C))),IMDIV("1",IMSUM(COMPLEX(DUMP1_R,0),COMPLEX(DUMP1_ESR,B10*DUMP1_ESL-1/(B10*DUMP1_C)))))</f>
        <v>0</v>
      </c>
      <c r="I10">
        <f>IMPRODUCT("2",IMDIV("1",IMSUM(IMDIV("1",COMPLEX(LDM2_DCR,B10*LDM2_L)),COMPLEX(0,B10*LDM2_CPA))))</f>
        <v>0</v>
      </c>
      <c r="J10">
        <f>IMSUM(IMDIV("1",COMPLEX(CX2_ESR,B10*CX2_ESL-1/(B10*CX2_C))),IMDIV("1",IMSUM(COMPLEX(DUMP2_R,0),COMPLEX(DUMP2_ESR,B10*DUMP2_ESL-1/(B10*DUMP2_C)))))</f>
        <v>0</v>
      </c>
      <c r="K10">
        <f>IMPRODUCT("2",IMDIV("1",IMSUM(IMDIV("1",COMPLEX(CMC_DCR,B10*CMC_L*(1-CMC_K))),COMPLEX(0,B10*CMC_CPA))))</f>
        <v>0</v>
      </c>
      <c r="L10">
        <f>IMSUM(COMPLEX(0,B10*CMC_CLINE),IMDIV("1",IMPRODUCT("2",COMPLEX(CY_ESR,B10*CY_ESL-1/(B10*CY_C)))),COMPLEX(1/DUMMY_R,0))</f>
        <v>0</v>
      </c>
      <c r="M10">
        <f>IMSUM(D10,IMDIV("1",C10))</f>
        <v>0</v>
      </c>
      <c r="N10">
        <f>IMDIV("1",IMSUM(E10,IMDIV("1",M10)))</f>
        <v>0</v>
      </c>
      <c r="O10">
        <f>IMSUM(F10,N10)</f>
        <v>0</v>
      </c>
      <c r="P10">
        <f>IMDIV("1",IMSUM(G10,IMDIV("1",O10)))</f>
        <v>0</v>
      </c>
      <c r="Q10">
        <f>IMSUM(H10,P10)</f>
        <v>0</v>
      </c>
      <c r="R10">
        <f>IMDIV("1",IMSUM(I10,IMDIV("1",Q10)))</f>
        <v>0</v>
      </c>
      <c r="S10">
        <f>IMSUM(J10,R10)</f>
        <v>0</v>
      </c>
      <c r="T10">
        <f>IMDIV("1",IMSUM(K10,IMDIV("1",S10)))</f>
        <v>0</v>
      </c>
      <c r="U10">
        <f>IMSUM(L10,T10)</f>
        <v>0</v>
      </c>
      <c r="V10">
        <f>IMDIV(COMPLEX(I_DM_SOURCE,0),U10)</f>
        <v>0</v>
      </c>
      <c r="W10">
        <f>IMPRODUCT(V10,T10)</f>
        <v>0</v>
      </c>
      <c r="X10">
        <f>IMDIV(W10,S10)</f>
        <v>0</v>
      </c>
      <c r="Y10">
        <f>IMPRODUCT(X10,R10)</f>
        <v>0</v>
      </c>
      <c r="Z10">
        <f>IMDIV(Y10,Q10)</f>
        <v>0</v>
      </c>
      <c r="AA10">
        <f>IMPRODUCT(Z10,P10)</f>
        <v>0</v>
      </c>
      <c r="AB10">
        <f>AA10</f>
        <v>0</v>
      </c>
      <c r="AC10">
        <f>IMPRODUCT("-1",AB10)</f>
        <v>0</v>
      </c>
      <c r="AD10">
        <f>IMDIV(IMSUB(AB10,AC10),"2")</f>
        <v>0</v>
      </c>
      <c r="AE10" s="6">
        <f>IMABS(AB10)</f>
        <v>0</v>
      </c>
      <c r="AF10" s="6">
        <f>IMABS(AC10)</f>
        <v>0</v>
      </c>
      <c r="AG10" s="6">
        <f>IMABS(AD10)</f>
        <v>0</v>
      </c>
      <c r="AH10" s="7">
        <f>20*LOG10(MAX(AE10,1E-300)*1E6)</f>
        <v>0</v>
      </c>
      <c r="AI10" s="7">
        <f>20*LOG10(MAX(AF10,1E-300)*1E6)</f>
        <v>0</v>
      </c>
      <c r="AJ10" s="7">
        <f>20*LOG10(MAX(AG10,1E-300)*1E6)</f>
        <v>0</v>
      </c>
      <c r="AK10" s="7">
        <f>DEGREES(IMARGUMENT(AB10))</f>
        <v>0</v>
      </c>
      <c r="AL10" s="7">
        <f>DEGREES(IMARGUMENT(AC10))</f>
        <v>0</v>
      </c>
      <c r="AM10" s="7">
        <f>DEGREES(IMARGUMENT(AD10))</f>
        <v>0</v>
      </c>
    </row>
    <row r="11" spans="1:39">
      <c r="A11" s="6">
        <f>10^(LOG10(F_START)+(ROW()-ROW($A$2))*(LOG10(F_STOP)-LOG10(F_START))/(N_POINTS-1))</f>
        <v>0</v>
      </c>
      <c r="B11" s="6">
        <f>2*PI()*A11</f>
        <v>0</v>
      </c>
      <c r="C11">
        <f>COMPLEX(2*LINE_PS_DCR,2*B11*LINE_PS_L)</f>
        <v>0</v>
      </c>
      <c r="D11">
        <f>IMSUM(COMPLEX(0,B11*(LINE_PS_CLINE+LINE_PS_CCHA/2)),IMDIV("1",IMPRODUCT("2",COMPLEX(C_THROUGH_ESR,B11*C_THROUGH_ESL-1/(B11*C_THROUGH_C)))))</f>
        <v>0</v>
      </c>
      <c r="E11">
        <f>COMPLEX(2*LINE_INPUT_DCR,2*B11*LINE_INPUT_L)</f>
        <v>0</v>
      </c>
      <c r="F11">
        <f>COMPLEX(0,B11*(LINE_INPUT_CLINE+LINE_INPUT_CCHA/2))</f>
        <v>0</v>
      </c>
      <c r="G11">
        <f>IMPRODUCT("2",IMDIV("1",IMSUM(IMDIV("1",COMPLEX(LDM1_DCR,B11*LDM1_L)),COMPLEX(0,B11*LDM1_CPA))))</f>
        <v>0</v>
      </c>
      <c r="H11">
        <f>IMSUM(IMDIV("1",COMPLEX(CX1_ESR,B11*CX1_ESL-1/(B11*CX1_C))),IMDIV("1",IMSUM(COMPLEX(DUMP1_R,0),COMPLEX(DUMP1_ESR,B11*DUMP1_ESL-1/(B11*DUMP1_C)))))</f>
        <v>0</v>
      </c>
      <c r="I11">
        <f>IMPRODUCT("2",IMDIV("1",IMSUM(IMDIV("1",COMPLEX(LDM2_DCR,B11*LDM2_L)),COMPLEX(0,B11*LDM2_CPA))))</f>
        <v>0</v>
      </c>
      <c r="J11">
        <f>IMSUM(IMDIV("1",COMPLEX(CX2_ESR,B11*CX2_ESL-1/(B11*CX2_C))),IMDIV("1",IMSUM(COMPLEX(DUMP2_R,0),COMPLEX(DUMP2_ESR,B11*DUMP2_ESL-1/(B11*DUMP2_C)))))</f>
        <v>0</v>
      </c>
      <c r="K11">
        <f>IMPRODUCT("2",IMDIV("1",IMSUM(IMDIV("1",COMPLEX(CMC_DCR,B11*CMC_L*(1-CMC_K))),COMPLEX(0,B11*CMC_CPA))))</f>
        <v>0</v>
      </c>
      <c r="L11">
        <f>IMSUM(COMPLEX(0,B11*CMC_CLINE),IMDIV("1",IMPRODUCT("2",COMPLEX(CY_ESR,B11*CY_ESL-1/(B11*CY_C)))),COMPLEX(1/DUMMY_R,0))</f>
        <v>0</v>
      </c>
      <c r="M11">
        <f>IMSUM(D11,IMDIV("1",C11))</f>
        <v>0</v>
      </c>
      <c r="N11">
        <f>IMDIV("1",IMSUM(E11,IMDIV("1",M11)))</f>
        <v>0</v>
      </c>
      <c r="O11">
        <f>IMSUM(F11,N11)</f>
        <v>0</v>
      </c>
      <c r="P11">
        <f>IMDIV("1",IMSUM(G11,IMDIV("1",O11)))</f>
        <v>0</v>
      </c>
      <c r="Q11">
        <f>IMSUM(H11,P11)</f>
        <v>0</v>
      </c>
      <c r="R11">
        <f>IMDIV("1",IMSUM(I11,IMDIV("1",Q11)))</f>
        <v>0</v>
      </c>
      <c r="S11">
        <f>IMSUM(J11,R11)</f>
        <v>0</v>
      </c>
      <c r="T11">
        <f>IMDIV("1",IMSUM(K11,IMDIV("1",S11)))</f>
        <v>0</v>
      </c>
      <c r="U11">
        <f>IMSUM(L11,T11)</f>
        <v>0</v>
      </c>
      <c r="V11">
        <f>IMDIV(COMPLEX(I_DM_SOURCE,0),U11)</f>
        <v>0</v>
      </c>
      <c r="W11">
        <f>IMPRODUCT(V11,T11)</f>
        <v>0</v>
      </c>
      <c r="X11">
        <f>IMDIV(W11,S11)</f>
        <v>0</v>
      </c>
      <c r="Y11">
        <f>IMPRODUCT(X11,R11)</f>
        <v>0</v>
      </c>
      <c r="Z11">
        <f>IMDIV(Y11,Q11)</f>
        <v>0</v>
      </c>
      <c r="AA11">
        <f>IMPRODUCT(Z11,P11)</f>
        <v>0</v>
      </c>
      <c r="AB11">
        <f>AA11</f>
        <v>0</v>
      </c>
      <c r="AC11">
        <f>IMPRODUCT("-1",AB11)</f>
        <v>0</v>
      </c>
      <c r="AD11">
        <f>IMDIV(IMSUB(AB11,AC11),"2")</f>
        <v>0</v>
      </c>
      <c r="AE11" s="6">
        <f>IMABS(AB11)</f>
        <v>0</v>
      </c>
      <c r="AF11" s="6">
        <f>IMABS(AC11)</f>
        <v>0</v>
      </c>
      <c r="AG11" s="6">
        <f>IMABS(AD11)</f>
        <v>0</v>
      </c>
      <c r="AH11" s="7">
        <f>20*LOG10(MAX(AE11,1E-300)*1E6)</f>
        <v>0</v>
      </c>
      <c r="AI11" s="7">
        <f>20*LOG10(MAX(AF11,1E-300)*1E6)</f>
        <v>0</v>
      </c>
      <c r="AJ11" s="7">
        <f>20*LOG10(MAX(AG11,1E-300)*1E6)</f>
        <v>0</v>
      </c>
      <c r="AK11" s="7">
        <f>DEGREES(IMARGUMENT(AB11))</f>
        <v>0</v>
      </c>
      <c r="AL11" s="7">
        <f>DEGREES(IMARGUMENT(AC11))</f>
        <v>0</v>
      </c>
      <c r="AM11" s="7">
        <f>DEGREES(IMARGUMENT(AD11))</f>
        <v>0</v>
      </c>
    </row>
    <row r="12" spans="1:39">
      <c r="A12" s="6">
        <f>10^(LOG10(F_START)+(ROW()-ROW($A$2))*(LOG10(F_STOP)-LOG10(F_START))/(N_POINTS-1))</f>
        <v>0</v>
      </c>
      <c r="B12" s="6">
        <f>2*PI()*A12</f>
        <v>0</v>
      </c>
      <c r="C12">
        <f>COMPLEX(2*LINE_PS_DCR,2*B12*LINE_PS_L)</f>
        <v>0</v>
      </c>
      <c r="D12">
        <f>IMSUM(COMPLEX(0,B12*(LINE_PS_CLINE+LINE_PS_CCHA/2)),IMDIV("1",IMPRODUCT("2",COMPLEX(C_THROUGH_ESR,B12*C_THROUGH_ESL-1/(B12*C_THROUGH_C)))))</f>
        <v>0</v>
      </c>
      <c r="E12">
        <f>COMPLEX(2*LINE_INPUT_DCR,2*B12*LINE_INPUT_L)</f>
        <v>0</v>
      </c>
      <c r="F12">
        <f>COMPLEX(0,B12*(LINE_INPUT_CLINE+LINE_INPUT_CCHA/2))</f>
        <v>0</v>
      </c>
      <c r="G12">
        <f>IMPRODUCT("2",IMDIV("1",IMSUM(IMDIV("1",COMPLEX(LDM1_DCR,B12*LDM1_L)),COMPLEX(0,B12*LDM1_CPA))))</f>
        <v>0</v>
      </c>
      <c r="H12">
        <f>IMSUM(IMDIV("1",COMPLEX(CX1_ESR,B12*CX1_ESL-1/(B12*CX1_C))),IMDIV("1",IMSUM(COMPLEX(DUMP1_R,0),COMPLEX(DUMP1_ESR,B12*DUMP1_ESL-1/(B12*DUMP1_C)))))</f>
        <v>0</v>
      </c>
      <c r="I12">
        <f>IMPRODUCT("2",IMDIV("1",IMSUM(IMDIV("1",COMPLEX(LDM2_DCR,B12*LDM2_L)),COMPLEX(0,B12*LDM2_CPA))))</f>
        <v>0</v>
      </c>
      <c r="J12">
        <f>IMSUM(IMDIV("1",COMPLEX(CX2_ESR,B12*CX2_ESL-1/(B12*CX2_C))),IMDIV("1",IMSUM(COMPLEX(DUMP2_R,0),COMPLEX(DUMP2_ESR,B12*DUMP2_ESL-1/(B12*DUMP2_C)))))</f>
        <v>0</v>
      </c>
      <c r="K12">
        <f>IMPRODUCT("2",IMDIV("1",IMSUM(IMDIV("1",COMPLEX(CMC_DCR,B12*CMC_L*(1-CMC_K))),COMPLEX(0,B12*CMC_CPA))))</f>
        <v>0</v>
      </c>
      <c r="L12">
        <f>IMSUM(COMPLEX(0,B12*CMC_CLINE),IMDIV("1",IMPRODUCT("2",COMPLEX(CY_ESR,B12*CY_ESL-1/(B12*CY_C)))),COMPLEX(1/DUMMY_R,0))</f>
        <v>0</v>
      </c>
      <c r="M12">
        <f>IMSUM(D12,IMDIV("1",C12))</f>
        <v>0</v>
      </c>
      <c r="N12">
        <f>IMDIV("1",IMSUM(E12,IMDIV("1",M12)))</f>
        <v>0</v>
      </c>
      <c r="O12">
        <f>IMSUM(F12,N12)</f>
        <v>0</v>
      </c>
      <c r="P12">
        <f>IMDIV("1",IMSUM(G12,IMDIV("1",O12)))</f>
        <v>0</v>
      </c>
      <c r="Q12">
        <f>IMSUM(H12,P12)</f>
        <v>0</v>
      </c>
      <c r="R12">
        <f>IMDIV("1",IMSUM(I12,IMDIV("1",Q12)))</f>
        <v>0</v>
      </c>
      <c r="S12">
        <f>IMSUM(J12,R12)</f>
        <v>0</v>
      </c>
      <c r="T12">
        <f>IMDIV("1",IMSUM(K12,IMDIV("1",S12)))</f>
        <v>0</v>
      </c>
      <c r="U12">
        <f>IMSUM(L12,T12)</f>
        <v>0</v>
      </c>
      <c r="V12">
        <f>IMDIV(COMPLEX(I_DM_SOURCE,0),U12)</f>
        <v>0</v>
      </c>
      <c r="W12">
        <f>IMPRODUCT(V12,T12)</f>
        <v>0</v>
      </c>
      <c r="X12">
        <f>IMDIV(W12,S12)</f>
        <v>0</v>
      </c>
      <c r="Y12">
        <f>IMPRODUCT(X12,R12)</f>
        <v>0</v>
      </c>
      <c r="Z12">
        <f>IMDIV(Y12,Q12)</f>
        <v>0</v>
      </c>
      <c r="AA12">
        <f>IMPRODUCT(Z12,P12)</f>
        <v>0</v>
      </c>
      <c r="AB12">
        <f>AA12</f>
        <v>0</v>
      </c>
      <c r="AC12">
        <f>IMPRODUCT("-1",AB12)</f>
        <v>0</v>
      </c>
      <c r="AD12">
        <f>IMDIV(IMSUB(AB12,AC12),"2")</f>
        <v>0</v>
      </c>
      <c r="AE12" s="6">
        <f>IMABS(AB12)</f>
        <v>0</v>
      </c>
      <c r="AF12" s="6">
        <f>IMABS(AC12)</f>
        <v>0</v>
      </c>
      <c r="AG12" s="6">
        <f>IMABS(AD12)</f>
        <v>0</v>
      </c>
      <c r="AH12" s="7">
        <f>20*LOG10(MAX(AE12,1E-300)*1E6)</f>
        <v>0</v>
      </c>
      <c r="AI12" s="7">
        <f>20*LOG10(MAX(AF12,1E-300)*1E6)</f>
        <v>0</v>
      </c>
      <c r="AJ12" s="7">
        <f>20*LOG10(MAX(AG12,1E-300)*1E6)</f>
        <v>0</v>
      </c>
      <c r="AK12" s="7">
        <f>DEGREES(IMARGUMENT(AB12))</f>
        <v>0</v>
      </c>
      <c r="AL12" s="7">
        <f>DEGREES(IMARGUMENT(AC12))</f>
        <v>0</v>
      </c>
      <c r="AM12" s="7">
        <f>DEGREES(IMARGUMENT(AD12))</f>
        <v>0</v>
      </c>
    </row>
    <row r="13" spans="1:39">
      <c r="A13" s="6">
        <f>10^(LOG10(F_START)+(ROW()-ROW($A$2))*(LOG10(F_STOP)-LOG10(F_START))/(N_POINTS-1))</f>
        <v>0</v>
      </c>
      <c r="B13" s="6">
        <f>2*PI()*A13</f>
        <v>0</v>
      </c>
      <c r="C13">
        <f>COMPLEX(2*LINE_PS_DCR,2*B13*LINE_PS_L)</f>
        <v>0</v>
      </c>
      <c r="D13">
        <f>IMSUM(COMPLEX(0,B13*(LINE_PS_CLINE+LINE_PS_CCHA/2)),IMDIV("1",IMPRODUCT("2",COMPLEX(C_THROUGH_ESR,B13*C_THROUGH_ESL-1/(B13*C_THROUGH_C)))))</f>
        <v>0</v>
      </c>
      <c r="E13">
        <f>COMPLEX(2*LINE_INPUT_DCR,2*B13*LINE_INPUT_L)</f>
        <v>0</v>
      </c>
      <c r="F13">
        <f>COMPLEX(0,B13*(LINE_INPUT_CLINE+LINE_INPUT_CCHA/2))</f>
        <v>0</v>
      </c>
      <c r="G13">
        <f>IMPRODUCT("2",IMDIV("1",IMSUM(IMDIV("1",COMPLEX(LDM1_DCR,B13*LDM1_L)),COMPLEX(0,B13*LDM1_CPA))))</f>
        <v>0</v>
      </c>
      <c r="H13">
        <f>IMSUM(IMDIV("1",COMPLEX(CX1_ESR,B13*CX1_ESL-1/(B13*CX1_C))),IMDIV("1",IMSUM(COMPLEX(DUMP1_R,0),COMPLEX(DUMP1_ESR,B13*DUMP1_ESL-1/(B13*DUMP1_C)))))</f>
        <v>0</v>
      </c>
      <c r="I13">
        <f>IMPRODUCT("2",IMDIV("1",IMSUM(IMDIV("1",COMPLEX(LDM2_DCR,B13*LDM2_L)),COMPLEX(0,B13*LDM2_CPA))))</f>
        <v>0</v>
      </c>
      <c r="J13">
        <f>IMSUM(IMDIV("1",COMPLEX(CX2_ESR,B13*CX2_ESL-1/(B13*CX2_C))),IMDIV("1",IMSUM(COMPLEX(DUMP2_R,0),COMPLEX(DUMP2_ESR,B13*DUMP2_ESL-1/(B13*DUMP2_C)))))</f>
        <v>0</v>
      </c>
      <c r="K13">
        <f>IMPRODUCT("2",IMDIV("1",IMSUM(IMDIV("1",COMPLEX(CMC_DCR,B13*CMC_L*(1-CMC_K))),COMPLEX(0,B13*CMC_CPA))))</f>
        <v>0</v>
      </c>
      <c r="L13">
        <f>IMSUM(COMPLEX(0,B13*CMC_CLINE),IMDIV("1",IMPRODUCT("2",COMPLEX(CY_ESR,B13*CY_ESL-1/(B13*CY_C)))),COMPLEX(1/DUMMY_R,0))</f>
        <v>0</v>
      </c>
      <c r="M13">
        <f>IMSUM(D13,IMDIV("1",C13))</f>
        <v>0</v>
      </c>
      <c r="N13">
        <f>IMDIV("1",IMSUM(E13,IMDIV("1",M13)))</f>
        <v>0</v>
      </c>
      <c r="O13">
        <f>IMSUM(F13,N13)</f>
        <v>0</v>
      </c>
      <c r="P13">
        <f>IMDIV("1",IMSUM(G13,IMDIV("1",O13)))</f>
        <v>0</v>
      </c>
      <c r="Q13">
        <f>IMSUM(H13,P13)</f>
        <v>0</v>
      </c>
      <c r="R13">
        <f>IMDIV("1",IMSUM(I13,IMDIV("1",Q13)))</f>
        <v>0</v>
      </c>
      <c r="S13">
        <f>IMSUM(J13,R13)</f>
        <v>0</v>
      </c>
      <c r="T13">
        <f>IMDIV("1",IMSUM(K13,IMDIV("1",S13)))</f>
        <v>0</v>
      </c>
      <c r="U13">
        <f>IMSUM(L13,T13)</f>
        <v>0</v>
      </c>
      <c r="V13">
        <f>IMDIV(COMPLEX(I_DM_SOURCE,0),U13)</f>
        <v>0</v>
      </c>
      <c r="W13">
        <f>IMPRODUCT(V13,T13)</f>
        <v>0</v>
      </c>
      <c r="X13">
        <f>IMDIV(W13,S13)</f>
        <v>0</v>
      </c>
      <c r="Y13">
        <f>IMPRODUCT(X13,R13)</f>
        <v>0</v>
      </c>
      <c r="Z13">
        <f>IMDIV(Y13,Q13)</f>
        <v>0</v>
      </c>
      <c r="AA13">
        <f>IMPRODUCT(Z13,P13)</f>
        <v>0</v>
      </c>
      <c r="AB13">
        <f>AA13</f>
        <v>0</v>
      </c>
      <c r="AC13">
        <f>IMPRODUCT("-1",AB13)</f>
        <v>0</v>
      </c>
      <c r="AD13">
        <f>IMDIV(IMSUB(AB13,AC13),"2")</f>
        <v>0</v>
      </c>
      <c r="AE13" s="6">
        <f>IMABS(AB13)</f>
        <v>0</v>
      </c>
      <c r="AF13" s="6">
        <f>IMABS(AC13)</f>
        <v>0</v>
      </c>
      <c r="AG13" s="6">
        <f>IMABS(AD13)</f>
        <v>0</v>
      </c>
      <c r="AH13" s="7">
        <f>20*LOG10(MAX(AE13,1E-300)*1E6)</f>
        <v>0</v>
      </c>
      <c r="AI13" s="7">
        <f>20*LOG10(MAX(AF13,1E-300)*1E6)</f>
        <v>0</v>
      </c>
      <c r="AJ13" s="7">
        <f>20*LOG10(MAX(AG13,1E-300)*1E6)</f>
        <v>0</v>
      </c>
      <c r="AK13" s="7">
        <f>DEGREES(IMARGUMENT(AB13))</f>
        <v>0</v>
      </c>
      <c r="AL13" s="7">
        <f>DEGREES(IMARGUMENT(AC13))</f>
        <v>0</v>
      </c>
      <c r="AM13" s="7">
        <f>DEGREES(IMARGUMENT(AD13))</f>
        <v>0</v>
      </c>
    </row>
    <row r="14" spans="1:39">
      <c r="A14" s="6">
        <f>10^(LOG10(F_START)+(ROW()-ROW($A$2))*(LOG10(F_STOP)-LOG10(F_START))/(N_POINTS-1))</f>
        <v>0</v>
      </c>
      <c r="B14" s="6">
        <f>2*PI()*A14</f>
        <v>0</v>
      </c>
      <c r="C14">
        <f>COMPLEX(2*LINE_PS_DCR,2*B14*LINE_PS_L)</f>
        <v>0</v>
      </c>
      <c r="D14">
        <f>IMSUM(COMPLEX(0,B14*(LINE_PS_CLINE+LINE_PS_CCHA/2)),IMDIV("1",IMPRODUCT("2",COMPLEX(C_THROUGH_ESR,B14*C_THROUGH_ESL-1/(B14*C_THROUGH_C)))))</f>
        <v>0</v>
      </c>
      <c r="E14">
        <f>COMPLEX(2*LINE_INPUT_DCR,2*B14*LINE_INPUT_L)</f>
        <v>0</v>
      </c>
      <c r="F14">
        <f>COMPLEX(0,B14*(LINE_INPUT_CLINE+LINE_INPUT_CCHA/2))</f>
        <v>0</v>
      </c>
      <c r="G14">
        <f>IMPRODUCT("2",IMDIV("1",IMSUM(IMDIV("1",COMPLEX(LDM1_DCR,B14*LDM1_L)),COMPLEX(0,B14*LDM1_CPA))))</f>
        <v>0</v>
      </c>
      <c r="H14">
        <f>IMSUM(IMDIV("1",COMPLEX(CX1_ESR,B14*CX1_ESL-1/(B14*CX1_C))),IMDIV("1",IMSUM(COMPLEX(DUMP1_R,0),COMPLEX(DUMP1_ESR,B14*DUMP1_ESL-1/(B14*DUMP1_C)))))</f>
        <v>0</v>
      </c>
      <c r="I14">
        <f>IMPRODUCT("2",IMDIV("1",IMSUM(IMDIV("1",COMPLEX(LDM2_DCR,B14*LDM2_L)),COMPLEX(0,B14*LDM2_CPA))))</f>
        <v>0</v>
      </c>
      <c r="J14">
        <f>IMSUM(IMDIV("1",COMPLEX(CX2_ESR,B14*CX2_ESL-1/(B14*CX2_C))),IMDIV("1",IMSUM(COMPLEX(DUMP2_R,0),COMPLEX(DUMP2_ESR,B14*DUMP2_ESL-1/(B14*DUMP2_C)))))</f>
        <v>0</v>
      </c>
      <c r="K14">
        <f>IMPRODUCT("2",IMDIV("1",IMSUM(IMDIV("1",COMPLEX(CMC_DCR,B14*CMC_L*(1-CMC_K))),COMPLEX(0,B14*CMC_CPA))))</f>
        <v>0</v>
      </c>
      <c r="L14">
        <f>IMSUM(COMPLEX(0,B14*CMC_CLINE),IMDIV("1",IMPRODUCT("2",COMPLEX(CY_ESR,B14*CY_ESL-1/(B14*CY_C)))),COMPLEX(1/DUMMY_R,0))</f>
        <v>0</v>
      </c>
      <c r="M14">
        <f>IMSUM(D14,IMDIV("1",C14))</f>
        <v>0</v>
      </c>
      <c r="N14">
        <f>IMDIV("1",IMSUM(E14,IMDIV("1",M14)))</f>
        <v>0</v>
      </c>
      <c r="O14">
        <f>IMSUM(F14,N14)</f>
        <v>0</v>
      </c>
      <c r="P14">
        <f>IMDIV("1",IMSUM(G14,IMDIV("1",O14)))</f>
        <v>0</v>
      </c>
      <c r="Q14">
        <f>IMSUM(H14,P14)</f>
        <v>0</v>
      </c>
      <c r="R14">
        <f>IMDIV("1",IMSUM(I14,IMDIV("1",Q14)))</f>
        <v>0</v>
      </c>
      <c r="S14">
        <f>IMSUM(J14,R14)</f>
        <v>0</v>
      </c>
      <c r="T14">
        <f>IMDIV("1",IMSUM(K14,IMDIV("1",S14)))</f>
        <v>0</v>
      </c>
      <c r="U14">
        <f>IMSUM(L14,T14)</f>
        <v>0</v>
      </c>
      <c r="V14">
        <f>IMDIV(COMPLEX(I_DM_SOURCE,0),U14)</f>
        <v>0</v>
      </c>
      <c r="W14">
        <f>IMPRODUCT(V14,T14)</f>
        <v>0</v>
      </c>
      <c r="X14">
        <f>IMDIV(W14,S14)</f>
        <v>0</v>
      </c>
      <c r="Y14">
        <f>IMPRODUCT(X14,R14)</f>
        <v>0</v>
      </c>
      <c r="Z14">
        <f>IMDIV(Y14,Q14)</f>
        <v>0</v>
      </c>
      <c r="AA14">
        <f>IMPRODUCT(Z14,P14)</f>
        <v>0</v>
      </c>
      <c r="AB14">
        <f>AA14</f>
        <v>0</v>
      </c>
      <c r="AC14">
        <f>IMPRODUCT("-1",AB14)</f>
        <v>0</v>
      </c>
      <c r="AD14">
        <f>IMDIV(IMSUB(AB14,AC14),"2")</f>
        <v>0</v>
      </c>
      <c r="AE14" s="6">
        <f>IMABS(AB14)</f>
        <v>0</v>
      </c>
      <c r="AF14" s="6">
        <f>IMABS(AC14)</f>
        <v>0</v>
      </c>
      <c r="AG14" s="6">
        <f>IMABS(AD14)</f>
        <v>0</v>
      </c>
      <c r="AH14" s="7">
        <f>20*LOG10(MAX(AE14,1E-300)*1E6)</f>
        <v>0</v>
      </c>
      <c r="AI14" s="7">
        <f>20*LOG10(MAX(AF14,1E-300)*1E6)</f>
        <v>0</v>
      </c>
      <c r="AJ14" s="7">
        <f>20*LOG10(MAX(AG14,1E-300)*1E6)</f>
        <v>0</v>
      </c>
      <c r="AK14" s="7">
        <f>DEGREES(IMARGUMENT(AB14))</f>
        <v>0</v>
      </c>
      <c r="AL14" s="7">
        <f>DEGREES(IMARGUMENT(AC14))</f>
        <v>0</v>
      </c>
      <c r="AM14" s="7">
        <f>DEGREES(IMARGUMENT(AD14))</f>
        <v>0</v>
      </c>
    </row>
    <row r="15" spans="1:39">
      <c r="A15" s="6">
        <f>10^(LOG10(F_START)+(ROW()-ROW($A$2))*(LOG10(F_STOP)-LOG10(F_START))/(N_POINTS-1))</f>
        <v>0</v>
      </c>
      <c r="B15" s="6">
        <f>2*PI()*A15</f>
        <v>0</v>
      </c>
      <c r="C15">
        <f>COMPLEX(2*LINE_PS_DCR,2*B15*LINE_PS_L)</f>
        <v>0</v>
      </c>
      <c r="D15">
        <f>IMSUM(COMPLEX(0,B15*(LINE_PS_CLINE+LINE_PS_CCHA/2)),IMDIV("1",IMPRODUCT("2",COMPLEX(C_THROUGH_ESR,B15*C_THROUGH_ESL-1/(B15*C_THROUGH_C)))))</f>
        <v>0</v>
      </c>
      <c r="E15">
        <f>COMPLEX(2*LINE_INPUT_DCR,2*B15*LINE_INPUT_L)</f>
        <v>0</v>
      </c>
      <c r="F15">
        <f>COMPLEX(0,B15*(LINE_INPUT_CLINE+LINE_INPUT_CCHA/2))</f>
        <v>0</v>
      </c>
      <c r="G15">
        <f>IMPRODUCT("2",IMDIV("1",IMSUM(IMDIV("1",COMPLEX(LDM1_DCR,B15*LDM1_L)),COMPLEX(0,B15*LDM1_CPA))))</f>
        <v>0</v>
      </c>
      <c r="H15">
        <f>IMSUM(IMDIV("1",COMPLEX(CX1_ESR,B15*CX1_ESL-1/(B15*CX1_C))),IMDIV("1",IMSUM(COMPLEX(DUMP1_R,0),COMPLEX(DUMP1_ESR,B15*DUMP1_ESL-1/(B15*DUMP1_C)))))</f>
        <v>0</v>
      </c>
      <c r="I15">
        <f>IMPRODUCT("2",IMDIV("1",IMSUM(IMDIV("1",COMPLEX(LDM2_DCR,B15*LDM2_L)),COMPLEX(0,B15*LDM2_CPA))))</f>
        <v>0</v>
      </c>
      <c r="J15">
        <f>IMSUM(IMDIV("1",COMPLEX(CX2_ESR,B15*CX2_ESL-1/(B15*CX2_C))),IMDIV("1",IMSUM(COMPLEX(DUMP2_R,0),COMPLEX(DUMP2_ESR,B15*DUMP2_ESL-1/(B15*DUMP2_C)))))</f>
        <v>0</v>
      </c>
      <c r="K15">
        <f>IMPRODUCT("2",IMDIV("1",IMSUM(IMDIV("1",COMPLEX(CMC_DCR,B15*CMC_L*(1-CMC_K))),COMPLEX(0,B15*CMC_CPA))))</f>
        <v>0</v>
      </c>
      <c r="L15">
        <f>IMSUM(COMPLEX(0,B15*CMC_CLINE),IMDIV("1",IMPRODUCT("2",COMPLEX(CY_ESR,B15*CY_ESL-1/(B15*CY_C)))),COMPLEX(1/DUMMY_R,0))</f>
        <v>0</v>
      </c>
      <c r="M15">
        <f>IMSUM(D15,IMDIV("1",C15))</f>
        <v>0</v>
      </c>
      <c r="N15">
        <f>IMDIV("1",IMSUM(E15,IMDIV("1",M15)))</f>
        <v>0</v>
      </c>
      <c r="O15">
        <f>IMSUM(F15,N15)</f>
        <v>0</v>
      </c>
      <c r="P15">
        <f>IMDIV("1",IMSUM(G15,IMDIV("1",O15)))</f>
        <v>0</v>
      </c>
      <c r="Q15">
        <f>IMSUM(H15,P15)</f>
        <v>0</v>
      </c>
      <c r="R15">
        <f>IMDIV("1",IMSUM(I15,IMDIV("1",Q15)))</f>
        <v>0</v>
      </c>
      <c r="S15">
        <f>IMSUM(J15,R15)</f>
        <v>0</v>
      </c>
      <c r="T15">
        <f>IMDIV("1",IMSUM(K15,IMDIV("1",S15)))</f>
        <v>0</v>
      </c>
      <c r="U15">
        <f>IMSUM(L15,T15)</f>
        <v>0</v>
      </c>
      <c r="V15">
        <f>IMDIV(COMPLEX(I_DM_SOURCE,0),U15)</f>
        <v>0</v>
      </c>
      <c r="W15">
        <f>IMPRODUCT(V15,T15)</f>
        <v>0</v>
      </c>
      <c r="X15">
        <f>IMDIV(W15,S15)</f>
        <v>0</v>
      </c>
      <c r="Y15">
        <f>IMPRODUCT(X15,R15)</f>
        <v>0</v>
      </c>
      <c r="Z15">
        <f>IMDIV(Y15,Q15)</f>
        <v>0</v>
      </c>
      <c r="AA15">
        <f>IMPRODUCT(Z15,P15)</f>
        <v>0</v>
      </c>
      <c r="AB15">
        <f>AA15</f>
        <v>0</v>
      </c>
      <c r="AC15">
        <f>IMPRODUCT("-1",AB15)</f>
        <v>0</v>
      </c>
      <c r="AD15">
        <f>IMDIV(IMSUB(AB15,AC15),"2")</f>
        <v>0</v>
      </c>
      <c r="AE15" s="6">
        <f>IMABS(AB15)</f>
        <v>0</v>
      </c>
      <c r="AF15" s="6">
        <f>IMABS(AC15)</f>
        <v>0</v>
      </c>
      <c r="AG15" s="6">
        <f>IMABS(AD15)</f>
        <v>0</v>
      </c>
      <c r="AH15" s="7">
        <f>20*LOG10(MAX(AE15,1E-300)*1E6)</f>
        <v>0</v>
      </c>
      <c r="AI15" s="7">
        <f>20*LOG10(MAX(AF15,1E-300)*1E6)</f>
        <v>0</v>
      </c>
      <c r="AJ15" s="7">
        <f>20*LOG10(MAX(AG15,1E-300)*1E6)</f>
        <v>0</v>
      </c>
      <c r="AK15" s="7">
        <f>DEGREES(IMARGUMENT(AB15))</f>
        <v>0</v>
      </c>
      <c r="AL15" s="7">
        <f>DEGREES(IMARGUMENT(AC15))</f>
        <v>0</v>
      </c>
      <c r="AM15" s="7">
        <f>DEGREES(IMARGUMENT(AD15))</f>
        <v>0</v>
      </c>
    </row>
    <row r="16" spans="1:39">
      <c r="A16" s="6">
        <f>10^(LOG10(F_START)+(ROW()-ROW($A$2))*(LOG10(F_STOP)-LOG10(F_START))/(N_POINTS-1))</f>
        <v>0</v>
      </c>
      <c r="B16" s="6">
        <f>2*PI()*A16</f>
        <v>0</v>
      </c>
      <c r="C16">
        <f>COMPLEX(2*LINE_PS_DCR,2*B16*LINE_PS_L)</f>
        <v>0</v>
      </c>
      <c r="D16">
        <f>IMSUM(COMPLEX(0,B16*(LINE_PS_CLINE+LINE_PS_CCHA/2)),IMDIV("1",IMPRODUCT("2",COMPLEX(C_THROUGH_ESR,B16*C_THROUGH_ESL-1/(B16*C_THROUGH_C)))))</f>
        <v>0</v>
      </c>
      <c r="E16">
        <f>COMPLEX(2*LINE_INPUT_DCR,2*B16*LINE_INPUT_L)</f>
        <v>0</v>
      </c>
      <c r="F16">
        <f>COMPLEX(0,B16*(LINE_INPUT_CLINE+LINE_INPUT_CCHA/2))</f>
        <v>0</v>
      </c>
      <c r="G16">
        <f>IMPRODUCT("2",IMDIV("1",IMSUM(IMDIV("1",COMPLEX(LDM1_DCR,B16*LDM1_L)),COMPLEX(0,B16*LDM1_CPA))))</f>
        <v>0</v>
      </c>
      <c r="H16">
        <f>IMSUM(IMDIV("1",COMPLEX(CX1_ESR,B16*CX1_ESL-1/(B16*CX1_C))),IMDIV("1",IMSUM(COMPLEX(DUMP1_R,0),COMPLEX(DUMP1_ESR,B16*DUMP1_ESL-1/(B16*DUMP1_C)))))</f>
        <v>0</v>
      </c>
      <c r="I16">
        <f>IMPRODUCT("2",IMDIV("1",IMSUM(IMDIV("1",COMPLEX(LDM2_DCR,B16*LDM2_L)),COMPLEX(0,B16*LDM2_CPA))))</f>
        <v>0</v>
      </c>
      <c r="J16">
        <f>IMSUM(IMDIV("1",COMPLEX(CX2_ESR,B16*CX2_ESL-1/(B16*CX2_C))),IMDIV("1",IMSUM(COMPLEX(DUMP2_R,0),COMPLEX(DUMP2_ESR,B16*DUMP2_ESL-1/(B16*DUMP2_C)))))</f>
        <v>0</v>
      </c>
      <c r="K16">
        <f>IMPRODUCT("2",IMDIV("1",IMSUM(IMDIV("1",COMPLEX(CMC_DCR,B16*CMC_L*(1-CMC_K))),COMPLEX(0,B16*CMC_CPA))))</f>
        <v>0</v>
      </c>
      <c r="L16">
        <f>IMSUM(COMPLEX(0,B16*CMC_CLINE),IMDIV("1",IMPRODUCT("2",COMPLEX(CY_ESR,B16*CY_ESL-1/(B16*CY_C)))),COMPLEX(1/DUMMY_R,0))</f>
        <v>0</v>
      </c>
      <c r="M16">
        <f>IMSUM(D16,IMDIV("1",C16))</f>
        <v>0</v>
      </c>
      <c r="N16">
        <f>IMDIV("1",IMSUM(E16,IMDIV("1",M16)))</f>
        <v>0</v>
      </c>
      <c r="O16">
        <f>IMSUM(F16,N16)</f>
        <v>0</v>
      </c>
      <c r="P16">
        <f>IMDIV("1",IMSUM(G16,IMDIV("1",O16)))</f>
        <v>0</v>
      </c>
      <c r="Q16">
        <f>IMSUM(H16,P16)</f>
        <v>0</v>
      </c>
      <c r="R16">
        <f>IMDIV("1",IMSUM(I16,IMDIV("1",Q16)))</f>
        <v>0</v>
      </c>
      <c r="S16">
        <f>IMSUM(J16,R16)</f>
        <v>0</v>
      </c>
      <c r="T16">
        <f>IMDIV("1",IMSUM(K16,IMDIV("1",S16)))</f>
        <v>0</v>
      </c>
      <c r="U16">
        <f>IMSUM(L16,T16)</f>
        <v>0</v>
      </c>
      <c r="V16">
        <f>IMDIV(COMPLEX(I_DM_SOURCE,0),U16)</f>
        <v>0</v>
      </c>
      <c r="W16">
        <f>IMPRODUCT(V16,T16)</f>
        <v>0</v>
      </c>
      <c r="X16">
        <f>IMDIV(W16,S16)</f>
        <v>0</v>
      </c>
      <c r="Y16">
        <f>IMPRODUCT(X16,R16)</f>
        <v>0</v>
      </c>
      <c r="Z16">
        <f>IMDIV(Y16,Q16)</f>
        <v>0</v>
      </c>
      <c r="AA16">
        <f>IMPRODUCT(Z16,P16)</f>
        <v>0</v>
      </c>
      <c r="AB16">
        <f>AA16</f>
        <v>0</v>
      </c>
      <c r="AC16">
        <f>IMPRODUCT("-1",AB16)</f>
        <v>0</v>
      </c>
      <c r="AD16">
        <f>IMDIV(IMSUB(AB16,AC16),"2")</f>
        <v>0</v>
      </c>
      <c r="AE16" s="6">
        <f>IMABS(AB16)</f>
        <v>0</v>
      </c>
      <c r="AF16" s="6">
        <f>IMABS(AC16)</f>
        <v>0</v>
      </c>
      <c r="AG16" s="6">
        <f>IMABS(AD16)</f>
        <v>0</v>
      </c>
      <c r="AH16" s="7">
        <f>20*LOG10(MAX(AE16,1E-300)*1E6)</f>
        <v>0</v>
      </c>
      <c r="AI16" s="7">
        <f>20*LOG10(MAX(AF16,1E-300)*1E6)</f>
        <v>0</v>
      </c>
      <c r="AJ16" s="7">
        <f>20*LOG10(MAX(AG16,1E-300)*1E6)</f>
        <v>0</v>
      </c>
      <c r="AK16" s="7">
        <f>DEGREES(IMARGUMENT(AB16))</f>
        <v>0</v>
      </c>
      <c r="AL16" s="7">
        <f>DEGREES(IMARGUMENT(AC16))</f>
        <v>0</v>
      </c>
      <c r="AM16" s="7">
        <f>DEGREES(IMARGUMENT(AD16))</f>
        <v>0</v>
      </c>
    </row>
    <row r="17" spans="1:39">
      <c r="A17" s="6">
        <f>10^(LOG10(F_START)+(ROW()-ROW($A$2))*(LOG10(F_STOP)-LOG10(F_START))/(N_POINTS-1))</f>
        <v>0</v>
      </c>
      <c r="B17" s="6">
        <f>2*PI()*A17</f>
        <v>0</v>
      </c>
      <c r="C17">
        <f>COMPLEX(2*LINE_PS_DCR,2*B17*LINE_PS_L)</f>
        <v>0</v>
      </c>
      <c r="D17">
        <f>IMSUM(COMPLEX(0,B17*(LINE_PS_CLINE+LINE_PS_CCHA/2)),IMDIV("1",IMPRODUCT("2",COMPLEX(C_THROUGH_ESR,B17*C_THROUGH_ESL-1/(B17*C_THROUGH_C)))))</f>
        <v>0</v>
      </c>
      <c r="E17">
        <f>COMPLEX(2*LINE_INPUT_DCR,2*B17*LINE_INPUT_L)</f>
        <v>0</v>
      </c>
      <c r="F17">
        <f>COMPLEX(0,B17*(LINE_INPUT_CLINE+LINE_INPUT_CCHA/2))</f>
        <v>0</v>
      </c>
      <c r="G17">
        <f>IMPRODUCT("2",IMDIV("1",IMSUM(IMDIV("1",COMPLEX(LDM1_DCR,B17*LDM1_L)),COMPLEX(0,B17*LDM1_CPA))))</f>
        <v>0</v>
      </c>
      <c r="H17">
        <f>IMSUM(IMDIV("1",COMPLEX(CX1_ESR,B17*CX1_ESL-1/(B17*CX1_C))),IMDIV("1",IMSUM(COMPLEX(DUMP1_R,0),COMPLEX(DUMP1_ESR,B17*DUMP1_ESL-1/(B17*DUMP1_C)))))</f>
        <v>0</v>
      </c>
      <c r="I17">
        <f>IMPRODUCT("2",IMDIV("1",IMSUM(IMDIV("1",COMPLEX(LDM2_DCR,B17*LDM2_L)),COMPLEX(0,B17*LDM2_CPA))))</f>
        <v>0</v>
      </c>
      <c r="J17">
        <f>IMSUM(IMDIV("1",COMPLEX(CX2_ESR,B17*CX2_ESL-1/(B17*CX2_C))),IMDIV("1",IMSUM(COMPLEX(DUMP2_R,0),COMPLEX(DUMP2_ESR,B17*DUMP2_ESL-1/(B17*DUMP2_C)))))</f>
        <v>0</v>
      </c>
      <c r="K17">
        <f>IMPRODUCT("2",IMDIV("1",IMSUM(IMDIV("1",COMPLEX(CMC_DCR,B17*CMC_L*(1-CMC_K))),COMPLEX(0,B17*CMC_CPA))))</f>
        <v>0</v>
      </c>
      <c r="L17">
        <f>IMSUM(COMPLEX(0,B17*CMC_CLINE),IMDIV("1",IMPRODUCT("2",COMPLEX(CY_ESR,B17*CY_ESL-1/(B17*CY_C)))),COMPLEX(1/DUMMY_R,0))</f>
        <v>0</v>
      </c>
      <c r="M17">
        <f>IMSUM(D17,IMDIV("1",C17))</f>
        <v>0</v>
      </c>
      <c r="N17">
        <f>IMDIV("1",IMSUM(E17,IMDIV("1",M17)))</f>
        <v>0</v>
      </c>
      <c r="O17">
        <f>IMSUM(F17,N17)</f>
        <v>0</v>
      </c>
      <c r="P17">
        <f>IMDIV("1",IMSUM(G17,IMDIV("1",O17)))</f>
        <v>0</v>
      </c>
      <c r="Q17">
        <f>IMSUM(H17,P17)</f>
        <v>0</v>
      </c>
      <c r="R17">
        <f>IMDIV("1",IMSUM(I17,IMDIV("1",Q17)))</f>
        <v>0</v>
      </c>
      <c r="S17">
        <f>IMSUM(J17,R17)</f>
        <v>0</v>
      </c>
      <c r="T17">
        <f>IMDIV("1",IMSUM(K17,IMDIV("1",S17)))</f>
        <v>0</v>
      </c>
      <c r="U17">
        <f>IMSUM(L17,T17)</f>
        <v>0</v>
      </c>
      <c r="V17">
        <f>IMDIV(COMPLEX(I_DM_SOURCE,0),U17)</f>
        <v>0</v>
      </c>
      <c r="W17">
        <f>IMPRODUCT(V17,T17)</f>
        <v>0</v>
      </c>
      <c r="X17">
        <f>IMDIV(W17,S17)</f>
        <v>0</v>
      </c>
      <c r="Y17">
        <f>IMPRODUCT(X17,R17)</f>
        <v>0</v>
      </c>
      <c r="Z17">
        <f>IMDIV(Y17,Q17)</f>
        <v>0</v>
      </c>
      <c r="AA17">
        <f>IMPRODUCT(Z17,P17)</f>
        <v>0</v>
      </c>
      <c r="AB17">
        <f>AA17</f>
        <v>0</v>
      </c>
      <c r="AC17">
        <f>IMPRODUCT("-1",AB17)</f>
        <v>0</v>
      </c>
      <c r="AD17">
        <f>IMDIV(IMSUB(AB17,AC17),"2")</f>
        <v>0</v>
      </c>
      <c r="AE17" s="6">
        <f>IMABS(AB17)</f>
        <v>0</v>
      </c>
      <c r="AF17" s="6">
        <f>IMABS(AC17)</f>
        <v>0</v>
      </c>
      <c r="AG17" s="6">
        <f>IMABS(AD17)</f>
        <v>0</v>
      </c>
      <c r="AH17" s="7">
        <f>20*LOG10(MAX(AE17,1E-300)*1E6)</f>
        <v>0</v>
      </c>
      <c r="AI17" s="7">
        <f>20*LOG10(MAX(AF17,1E-300)*1E6)</f>
        <v>0</v>
      </c>
      <c r="AJ17" s="7">
        <f>20*LOG10(MAX(AG17,1E-300)*1E6)</f>
        <v>0</v>
      </c>
      <c r="AK17" s="7">
        <f>DEGREES(IMARGUMENT(AB17))</f>
        <v>0</v>
      </c>
      <c r="AL17" s="7">
        <f>DEGREES(IMARGUMENT(AC17))</f>
        <v>0</v>
      </c>
      <c r="AM17" s="7">
        <f>DEGREES(IMARGUMENT(AD17))</f>
        <v>0</v>
      </c>
    </row>
    <row r="18" spans="1:39">
      <c r="A18" s="6">
        <f>10^(LOG10(F_START)+(ROW()-ROW($A$2))*(LOG10(F_STOP)-LOG10(F_START))/(N_POINTS-1))</f>
        <v>0</v>
      </c>
      <c r="B18" s="6">
        <f>2*PI()*A18</f>
        <v>0</v>
      </c>
      <c r="C18">
        <f>COMPLEX(2*LINE_PS_DCR,2*B18*LINE_PS_L)</f>
        <v>0</v>
      </c>
      <c r="D18">
        <f>IMSUM(COMPLEX(0,B18*(LINE_PS_CLINE+LINE_PS_CCHA/2)),IMDIV("1",IMPRODUCT("2",COMPLEX(C_THROUGH_ESR,B18*C_THROUGH_ESL-1/(B18*C_THROUGH_C)))))</f>
        <v>0</v>
      </c>
      <c r="E18">
        <f>COMPLEX(2*LINE_INPUT_DCR,2*B18*LINE_INPUT_L)</f>
        <v>0</v>
      </c>
      <c r="F18">
        <f>COMPLEX(0,B18*(LINE_INPUT_CLINE+LINE_INPUT_CCHA/2))</f>
        <v>0</v>
      </c>
      <c r="G18">
        <f>IMPRODUCT("2",IMDIV("1",IMSUM(IMDIV("1",COMPLEX(LDM1_DCR,B18*LDM1_L)),COMPLEX(0,B18*LDM1_CPA))))</f>
        <v>0</v>
      </c>
      <c r="H18">
        <f>IMSUM(IMDIV("1",COMPLEX(CX1_ESR,B18*CX1_ESL-1/(B18*CX1_C))),IMDIV("1",IMSUM(COMPLEX(DUMP1_R,0),COMPLEX(DUMP1_ESR,B18*DUMP1_ESL-1/(B18*DUMP1_C)))))</f>
        <v>0</v>
      </c>
      <c r="I18">
        <f>IMPRODUCT("2",IMDIV("1",IMSUM(IMDIV("1",COMPLEX(LDM2_DCR,B18*LDM2_L)),COMPLEX(0,B18*LDM2_CPA))))</f>
        <v>0</v>
      </c>
      <c r="J18">
        <f>IMSUM(IMDIV("1",COMPLEX(CX2_ESR,B18*CX2_ESL-1/(B18*CX2_C))),IMDIV("1",IMSUM(COMPLEX(DUMP2_R,0),COMPLEX(DUMP2_ESR,B18*DUMP2_ESL-1/(B18*DUMP2_C)))))</f>
        <v>0</v>
      </c>
      <c r="K18">
        <f>IMPRODUCT("2",IMDIV("1",IMSUM(IMDIV("1",COMPLEX(CMC_DCR,B18*CMC_L*(1-CMC_K))),COMPLEX(0,B18*CMC_CPA))))</f>
        <v>0</v>
      </c>
      <c r="L18">
        <f>IMSUM(COMPLEX(0,B18*CMC_CLINE),IMDIV("1",IMPRODUCT("2",COMPLEX(CY_ESR,B18*CY_ESL-1/(B18*CY_C)))),COMPLEX(1/DUMMY_R,0))</f>
        <v>0</v>
      </c>
      <c r="M18">
        <f>IMSUM(D18,IMDIV("1",C18))</f>
        <v>0</v>
      </c>
      <c r="N18">
        <f>IMDIV("1",IMSUM(E18,IMDIV("1",M18)))</f>
        <v>0</v>
      </c>
      <c r="O18">
        <f>IMSUM(F18,N18)</f>
        <v>0</v>
      </c>
      <c r="P18">
        <f>IMDIV("1",IMSUM(G18,IMDIV("1",O18)))</f>
        <v>0</v>
      </c>
      <c r="Q18">
        <f>IMSUM(H18,P18)</f>
        <v>0</v>
      </c>
      <c r="R18">
        <f>IMDIV("1",IMSUM(I18,IMDIV("1",Q18)))</f>
        <v>0</v>
      </c>
      <c r="S18">
        <f>IMSUM(J18,R18)</f>
        <v>0</v>
      </c>
      <c r="T18">
        <f>IMDIV("1",IMSUM(K18,IMDIV("1",S18)))</f>
        <v>0</v>
      </c>
      <c r="U18">
        <f>IMSUM(L18,T18)</f>
        <v>0</v>
      </c>
      <c r="V18">
        <f>IMDIV(COMPLEX(I_DM_SOURCE,0),U18)</f>
        <v>0</v>
      </c>
      <c r="W18">
        <f>IMPRODUCT(V18,T18)</f>
        <v>0</v>
      </c>
      <c r="X18">
        <f>IMDIV(W18,S18)</f>
        <v>0</v>
      </c>
      <c r="Y18">
        <f>IMPRODUCT(X18,R18)</f>
        <v>0</v>
      </c>
      <c r="Z18">
        <f>IMDIV(Y18,Q18)</f>
        <v>0</v>
      </c>
      <c r="AA18">
        <f>IMPRODUCT(Z18,P18)</f>
        <v>0</v>
      </c>
      <c r="AB18">
        <f>AA18</f>
        <v>0</v>
      </c>
      <c r="AC18">
        <f>IMPRODUCT("-1",AB18)</f>
        <v>0</v>
      </c>
      <c r="AD18">
        <f>IMDIV(IMSUB(AB18,AC18),"2")</f>
        <v>0</v>
      </c>
      <c r="AE18" s="6">
        <f>IMABS(AB18)</f>
        <v>0</v>
      </c>
      <c r="AF18" s="6">
        <f>IMABS(AC18)</f>
        <v>0</v>
      </c>
      <c r="AG18" s="6">
        <f>IMABS(AD18)</f>
        <v>0</v>
      </c>
      <c r="AH18" s="7">
        <f>20*LOG10(MAX(AE18,1E-300)*1E6)</f>
        <v>0</v>
      </c>
      <c r="AI18" s="7">
        <f>20*LOG10(MAX(AF18,1E-300)*1E6)</f>
        <v>0</v>
      </c>
      <c r="AJ18" s="7">
        <f>20*LOG10(MAX(AG18,1E-300)*1E6)</f>
        <v>0</v>
      </c>
      <c r="AK18" s="7">
        <f>DEGREES(IMARGUMENT(AB18))</f>
        <v>0</v>
      </c>
      <c r="AL18" s="7">
        <f>DEGREES(IMARGUMENT(AC18))</f>
        <v>0</v>
      </c>
      <c r="AM18" s="7">
        <f>DEGREES(IMARGUMENT(AD18))</f>
        <v>0</v>
      </c>
    </row>
    <row r="19" spans="1:39">
      <c r="A19" s="6">
        <f>10^(LOG10(F_START)+(ROW()-ROW($A$2))*(LOG10(F_STOP)-LOG10(F_START))/(N_POINTS-1))</f>
        <v>0</v>
      </c>
      <c r="B19" s="6">
        <f>2*PI()*A19</f>
        <v>0</v>
      </c>
      <c r="C19">
        <f>COMPLEX(2*LINE_PS_DCR,2*B19*LINE_PS_L)</f>
        <v>0</v>
      </c>
      <c r="D19">
        <f>IMSUM(COMPLEX(0,B19*(LINE_PS_CLINE+LINE_PS_CCHA/2)),IMDIV("1",IMPRODUCT("2",COMPLEX(C_THROUGH_ESR,B19*C_THROUGH_ESL-1/(B19*C_THROUGH_C)))))</f>
        <v>0</v>
      </c>
      <c r="E19">
        <f>COMPLEX(2*LINE_INPUT_DCR,2*B19*LINE_INPUT_L)</f>
        <v>0</v>
      </c>
      <c r="F19">
        <f>COMPLEX(0,B19*(LINE_INPUT_CLINE+LINE_INPUT_CCHA/2))</f>
        <v>0</v>
      </c>
      <c r="G19">
        <f>IMPRODUCT("2",IMDIV("1",IMSUM(IMDIV("1",COMPLEX(LDM1_DCR,B19*LDM1_L)),COMPLEX(0,B19*LDM1_CPA))))</f>
        <v>0</v>
      </c>
      <c r="H19">
        <f>IMSUM(IMDIV("1",COMPLEX(CX1_ESR,B19*CX1_ESL-1/(B19*CX1_C))),IMDIV("1",IMSUM(COMPLEX(DUMP1_R,0),COMPLEX(DUMP1_ESR,B19*DUMP1_ESL-1/(B19*DUMP1_C)))))</f>
        <v>0</v>
      </c>
      <c r="I19">
        <f>IMPRODUCT("2",IMDIV("1",IMSUM(IMDIV("1",COMPLEX(LDM2_DCR,B19*LDM2_L)),COMPLEX(0,B19*LDM2_CPA))))</f>
        <v>0</v>
      </c>
      <c r="J19">
        <f>IMSUM(IMDIV("1",COMPLEX(CX2_ESR,B19*CX2_ESL-1/(B19*CX2_C))),IMDIV("1",IMSUM(COMPLEX(DUMP2_R,0),COMPLEX(DUMP2_ESR,B19*DUMP2_ESL-1/(B19*DUMP2_C)))))</f>
        <v>0</v>
      </c>
      <c r="K19">
        <f>IMPRODUCT("2",IMDIV("1",IMSUM(IMDIV("1",COMPLEX(CMC_DCR,B19*CMC_L*(1-CMC_K))),COMPLEX(0,B19*CMC_CPA))))</f>
        <v>0</v>
      </c>
      <c r="L19">
        <f>IMSUM(COMPLEX(0,B19*CMC_CLINE),IMDIV("1",IMPRODUCT("2",COMPLEX(CY_ESR,B19*CY_ESL-1/(B19*CY_C)))),COMPLEX(1/DUMMY_R,0))</f>
        <v>0</v>
      </c>
      <c r="M19">
        <f>IMSUM(D19,IMDIV("1",C19))</f>
        <v>0</v>
      </c>
      <c r="N19">
        <f>IMDIV("1",IMSUM(E19,IMDIV("1",M19)))</f>
        <v>0</v>
      </c>
      <c r="O19">
        <f>IMSUM(F19,N19)</f>
        <v>0</v>
      </c>
      <c r="P19">
        <f>IMDIV("1",IMSUM(G19,IMDIV("1",O19)))</f>
        <v>0</v>
      </c>
      <c r="Q19">
        <f>IMSUM(H19,P19)</f>
        <v>0</v>
      </c>
      <c r="R19">
        <f>IMDIV("1",IMSUM(I19,IMDIV("1",Q19)))</f>
        <v>0</v>
      </c>
      <c r="S19">
        <f>IMSUM(J19,R19)</f>
        <v>0</v>
      </c>
      <c r="T19">
        <f>IMDIV("1",IMSUM(K19,IMDIV("1",S19)))</f>
        <v>0</v>
      </c>
      <c r="U19">
        <f>IMSUM(L19,T19)</f>
        <v>0</v>
      </c>
      <c r="V19">
        <f>IMDIV(COMPLEX(I_DM_SOURCE,0),U19)</f>
        <v>0</v>
      </c>
      <c r="W19">
        <f>IMPRODUCT(V19,T19)</f>
        <v>0</v>
      </c>
      <c r="X19">
        <f>IMDIV(W19,S19)</f>
        <v>0</v>
      </c>
      <c r="Y19">
        <f>IMPRODUCT(X19,R19)</f>
        <v>0</v>
      </c>
      <c r="Z19">
        <f>IMDIV(Y19,Q19)</f>
        <v>0</v>
      </c>
      <c r="AA19">
        <f>IMPRODUCT(Z19,P19)</f>
        <v>0</v>
      </c>
      <c r="AB19">
        <f>AA19</f>
        <v>0</v>
      </c>
      <c r="AC19">
        <f>IMPRODUCT("-1",AB19)</f>
        <v>0</v>
      </c>
      <c r="AD19">
        <f>IMDIV(IMSUB(AB19,AC19),"2")</f>
        <v>0</v>
      </c>
      <c r="AE19" s="6">
        <f>IMABS(AB19)</f>
        <v>0</v>
      </c>
      <c r="AF19" s="6">
        <f>IMABS(AC19)</f>
        <v>0</v>
      </c>
      <c r="AG19" s="6">
        <f>IMABS(AD19)</f>
        <v>0</v>
      </c>
      <c r="AH19" s="7">
        <f>20*LOG10(MAX(AE19,1E-300)*1E6)</f>
        <v>0</v>
      </c>
      <c r="AI19" s="7">
        <f>20*LOG10(MAX(AF19,1E-300)*1E6)</f>
        <v>0</v>
      </c>
      <c r="AJ19" s="7">
        <f>20*LOG10(MAX(AG19,1E-300)*1E6)</f>
        <v>0</v>
      </c>
      <c r="AK19" s="7">
        <f>DEGREES(IMARGUMENT(AB19))</f>
        <v>0</v>
      </c>
      <c r="AL19" s="7">
        <f>DEGREES(IMARGUMENT(AC19))</f>
        <v>0</v>
      </c>
      <c r="AM19" s="7">
        <f>DEGREES(IMARGUMENT(AD19))</f>
        <v>0</v>
      </c>
    </row>
    <row r="20" spans="1:39">
      <c r="A20" s="6">
        <f>10^(LOG10(F_START)+(ROW()-ROW($A$2))*(LOG10(F_STOP)-LOG10(F_START))/(N_POINTS-1))</f>
        <v>0</v>
      </c>
      <c r="B20" s="6">
        <f>2*PI()*A20</f>
        <v>0</v>
      </c>
      <c r="C20">
        <f>COMPLEX(2*LINE_PS_DCR,2*B20*LINE_PS_L)</f>
        <v>0</v>
      </c>
      <c r="D20">
        <f>IMSUM(COMPLEX(0,B20*(LINE_PS_CLINE+LINE_PS_CCHA/2)),IMDIV("1",IMPRODUCT("2",COMPLEX(C_THROUGH_ESR,B20*C_THROUGH_ESL-1/(B20*C_THROUGH_C)))))</f>
        <v>0</v>
      </c>
      <c r="E20">
        <f>COMPLEX(2*LINE_INPUT_DCR,2*B20*LINE_INPUT_L)</f>
        <v>0</v>
      </c>
      <c r="F20">
        <f>COMPLEX(0,B20*(LINE_INPUT_CLINE+LINE_INPUT_CCHA/2))</f>
        <v>0</v>
      </c>
      <c r="G20">
        <f>IMPRODUCT("2",IMDIV("1",IMSUM(IMDIV("1",COMPLEX(LDM1_DCR,B20*LDM1_L)),COMPLEX(0,B20*LDM1_CPA))))</f>
        <v>0</v>
      </c>
      <c r="H20">
        <f>IMSUM(IMDIV("1",COMPLEX(CX1_ESR,B20*CX1_ESL-1/(B20*CX1_C))),IMDIV("1",IMSUM(COMPLEX(DUMP1_R,0),COMPLEX(DUMP1_ESR,B20*DUMP1_ESL-1/(B20*DUMP1_C)))))</f>
        <v>0</v>
      </c>
      <c r="I20">
        <f>IMPRODUCT("2",IMDIV("1",IMSUM(IMDIV("1",COMPLEX(LDM2_DCR,B20*LDM2_L)),COMPLEX(0,B20*LDM2_CPA))))</f>
        <v>0</v>
      </c>
      <c r="J20">
        <f>IMSUM(IMDIV("1",COMPLEX(CX2_ESR,B20*CX2_ESL-1/(B20*CX2_C))),IMDIV("1",IMSUM(COMPLEX(DUMP2_R,0),COMPLEX(DUMP2_ESR,B20*DUMP2_ESL-1/(B20*DUMP2_C)))))</f>
        <v>0</v>
      </c>
      <c r="K20">
        <f>IMPRODUCT("2",IMDIV("1",IMSUM(IMDIV("1",COMPLEX(CMC_DCR,B20*CMC_L*(1-CMC_K))),COMPLEX(0,B20*CMC_CPA))))</f>
        <v>0</v>
      </c>
      <c r="L20">
        <f>IMSUM(COMPLEX(0,B20*CMC_CLINE),IMDIV("1",IMPRODUCT("2",COMPLEX(CY_ESR,B20*CY_ESL-1/(B20*CY_C)))),COMPLEX(1/DUMMY_R,0))</f>
        <v>0</v>
      </c>
      <c r="M20">
        <f>IMSUM(D20,IMDIV("1",C20))</f>
        <v>0</v>
      </c>
      <c r="N20">
        <f>IMDIV("1",IMSUM(E20,IMDIV("1",M20)))</f>
        <v>0</v>
      </c>
      <c r="O20">
        <f>IMSUM(F20,N20)</f>
        <v>0</v>
      </c>
      <c r="P20">
        <f>IMDIV("1",IMSUM(G20,IMDIV("1",O20)))</f>
        <v>0</v>
      </c>
      <c r="Q20">
        <f>IMSUM(H20,P20)</f>
        <v>0</v>
      </c>
      <c r="R20">
        <f>IMDIV("1",IMSUM(I20,IMDIV("1",Q20)))</f>
        <v>0</v>
      </c>
      <c r="S20">
        <f>IMSUM(J20,R20)</f>
        <v>0</v>
      </c>
      <c r="T20">
        <f>IMDIV("1",IMSUM(K20,IMDIV("1",S20)))</f>
        <v>0</v>
      </c>
      <c r="U20">
        <f>IMSUM(L20,T20)</f>
        <v>0</v>
      </c>
      <c r="V20">
        <f>IMDIV(COMPLEX(I_DM_SOURCE,0),U20)</f>
        <v>0</v>
      </c>
      <c r="W20">
        <f>IMPRODUCT(V20,T20)</f>
        <v>0</v>
      </c>
      <c r="X20">
        <f>IMDIV(W20,S20)</f>
        <v>0</v>
      </c>
      <c r="Y20">
        <f>IMPRODUCT(X20,R20)</f>
        <v>0</v>
      </c>
      <c r="Z20">
        <f>IMDIV(Y20,Q20)</f>
        <v>0</v>
      </c>
      <c r="AA20">
        <f>IMPRODUCT(Z20,P20)</f>
        <v>0</v>
      </c>
      <c r="AB20">
        <f>AA20</f>
        <v>0</v>
      </c>
      <c r="AC20">
        <f>IMPRODUCT("-1",AB20)</f>
        <v>0</v>
      </c>
      <c r="AD20">
        <f>IMDIV(IMSUB(AB20,AC20),"2")</f>
        <v>0</v>
      </c>
      <c r="AE20" s="6">
        <f>IMABS(AB20)</f>
        <v>0</v>
      </c>
      <c r="AF20" s="6">
        <f>IMABS(AC20)</f>
        <v>0</v>
      </c>
      <c r="AG20" s="6">
        <f>IMABS(AD20)</f>
        <v>0</v>
      </c>
      <c r="AH20" s="7">
        <f>20*LOG10(MAX(AE20,1E-300)*1E6)</f>
        <v>0</v>
      </c>
      <c r="AI20" s="7">
        <f>20*LOG10(MAX(AF20,1E-300)*1E6)</f>
        <v>0</v>
      </c>
      <c r="AJ20" s="7">
        <f>20*LOG10(MAX(AG20,1E-300)*1E6)</f>
        <v>0</v>
      </c>
      <c r="AK20" s="7">
        <f>DEGREES(IMARGUMENT(AB20))</f>
        <v>0</v>
      </c>
      <c r="AL20" s="7">
        <f>DEGREES(IMARGUMENT(AC20))</f>
        <v>0</v>
      </c>
      <c r="AM20" s="7">
        <f>DEGREES(IMARGUMENT(AD20))</f>
        <v>0</v>
      </c>
    </row>
    <row r="21" spans="1:39">
      <c r="A21" s="6">
        <f>10^(LOG10(F_START)+(ROW()-ROW($A$2))*(LOG10(F_STOP)-LOG10(F_START))/(N_POINTS-1))</f>
        <v>0</v>
      </c>
      <c r="B21" s="6">
        <f>2*PI()*A21</f>
        <v>0</v>
      </c>
      <c r="C21">
        <f>COMPLEX(2*LINE_PS_DCR,2*B21*LINE_PS_L)</f>
        <v>0</v>
      </c>
      <c r="D21">
        <f>IMSUM(COMPLEX(0,B21*(LINE_PS_CLINE+LINE_PS_CCHA/2)),IMDIV("1",IMPRODUCT("2",COMPLEX(C_THROUGH_ESR,B21*C_THROUGH_ESL-1/(B21*C_THROUGH_C)))))</f>
        <v>0</v>
      </c>
      <c r="E21">
        <f>COMPLEX(2*LINE_INPUT_DCR,2*B21*LINE_INPUT_L)</f>
        <v>0</v>
      </c>
      <c r="F21">
        <f>COMPLEX(0,B21*(LINE_INPUT_CLINE+LINE_INPUT_CCHA/2))</f>
        <v>0</v>
      </c>
      <c r="G21">
        <f>IMPRODUCT("2",IMDIV("1",IMSUM(IMDIV("1",COMPLEX(LDM1_DCR,B21*LDM1_L)),COMPLEX(0,B21*LDM1_CPA))))</f>
        <v>0</v>
      </c>
      <c r="H21">
        <f>IMSUM(IMDIV("1",COMPLEX(CX1_ESR,B21*CX1_ESL-1/(B21*CX1_C))),IMDIV("1",IMSUM(COMPLEX(DUMP1_R,0),COMPLEX(DUMP1_ESR,B21*DUMP1_ESL-1/(B21*DUMP1_C)))))</f>
        <v>0</v>
      </c>
      <c r="I21">
        <f>IMPRODUCT("2",IMDIV("1",IMSUM(IMDIV("1",COMPLEX(LDM2_DCR,B21*LDM2_L)),COMPLEX(0,B21*LDM2_CPA))))</f>
        <v>0</v>
      </c>
      <c r="J21">
        <f>IMSUM(IMDIV("1",COMPLEX(CX2_ESR,B21*CX2_ESL-1/(B21*CX2_C))),IMDIV("1",IMSUM(COMPLEX(DUMP2_R,0),COMPLEX(DUMP2_ESR,B21*DUMP2_ESL-1/(B21*DUMP2_C)))))</f>
        <v>0</v>
      </c>
      <c r="K21">
        <f>IMPRODUCT("2",IMDIV("1",IMSUM(IMDIV("1",COMPLEX(CMC_DCR,B21*CMC_L*(1-CMC_K))),COMPLEX(0,B21*CMC_CPA))))</f>
        <v>0</v>
      </c>
      <c r="L21">
        <f>IMSUM(COMPLEX(0,B21*CMC_CLINE),IMDIV("1",IMPRODUCT("2",COMPLEX(CY_ESR,B21*CY_ESL-1/(B21*CY_C)))),COMPLEX(1/DUMMY_R,0))</f>
        <v>0</v>
      </c>
      <c r="M21">
        <f>IMSUM(D21,IMDIV("1",C21))</f>
        <v>0</v>
      </c>
      <c r="N21">
        <f>IMDIV("1",IMSUM(E21,IMDIV("1",M21)))</f>
        <v>0</v>
      </c>
      <c r="O21">
        <f>IMSUM(F21,N21)</f>
        <v>0</v>
      </c>
      <c r="P21">
        <f>IMDIV("1",IMSUM(G21,IMDIV("1",O21)))</f>
        <v>0</v>
      </c>
      <c r="Q21">
        <f>IMSUM(H21,P21)</f>
        <v>0</v>
      </c>
      <c r="R21">
        <f>IMDIV("1",IMSUM(I21,IMDIV("1",Q21)))</f>
        <v>0</v>
      </c>
      <c r="S21">
        <f>IMSUM(J21,R21)</f>
        <v>0</v>
      </c>
      <c r="T21">
        <f>IMDIV("1",IMSUM(K21,IMDIV("1",S21)))</f>
        <v>0</v>
      </c>
      <c r="U21">
        <f>IMSUM(L21,T21)</f>
        <v>0</v>
      </c>
      <c r="V21">
        <f>IMDIV(COMPLEX(I_DM_SOURCE,0),U21)</f>
        <v>0</v>
      </c>
      <c r="W21">
        <f>IMPRODUCT(V21,T21)</f>
        <v>0</v>
      </c>
      <c r="X21">
        <f>IMDIV(W21,S21)</f>
        <v>0</v>
      </c>
      <c r="Y21">
        <f>IMPRODUCT(X21,R21)</f>
        <v>0</v>
      </c>
      <c r="Z21">
        <f>IMDIV(Y21,Q21)</f>
        <v>0</v>
      </c>
      <c r="AA21">
        <f>IMPRODUCT(Z21,P21)</f>
        <v>0</v>
      </c>
      <c r="AB21">
        <f>AA21</f>
        <v>0</v>
      </c>
      <c r="AC21">
        <f>IMPRODUCT("-1",AB21)</f>
        <v>0</v>
      </c>
      <c r="AD21">
        <f>IMDIV(IMSUB(AB21,AC21),"2")</f>
        <v>0</v>
      </c>
      <c r="AE21" s="6">
        <f>IMABS(AB21)</f>
        <v>0</v>
      </c>
      <c r="AF21" s="6">
        <f>IMABS(AC21)</f>
        <v>0</v>
      </c>
      <c r="AG21" s="6">
        <f>IMABS(AD21)</f>
        <v>0</v>
      </c>
      <c r="AH21" s="7">
        <f>20*LOG10(MAX(AE21,1E-300)*1E6)</f>
        <v>0</v>
      </c>
      <c r="AI21" s="7">
        <f>20*LOG10(MAX(AF21,1E-300)*1E6)</f>
        <v>0</v>
      </c>
      <c r="AJ21" s="7">
        <f>20*LOG10(MAX(AG21,1E-300)*1E6)</f>
        <v>0</v>
      </c>
      <c r="AK21" s="7">
        <f>DEGREES(IMARGUMENT(AB21))</f>
        <v>0</v>
      </c>
      <c r="AL21" s="7">
        <f>DEGREES(IMARGUMENT(AC21))</f>
        <v>0</v>
      </c>
      <c r="AM21" s="7">
        <f>DEGREES(IMARGUMENT(AD21))</f>
        <v>0</v>
      </c>
    </row>
    <row r="22" spans="1:39">
      <c r="A22" s="6">
        <f>10^(LOG10(F_START)+(ROW()-ROW($A$2))*(LOG10(F_STOP)-LOG10(F_START))/(N_POINTS-1))</f>
        <v>0</v>
      </c>
      <c r="B22" s="6">
        <f>2*PI()*A22</f>
        <v>0</v>
      </c>
      <c r="C22">
        <f>COMPLEX(2*LINE_PS_DCR,2*B22*LINE_PS_L)</f>
        <v>0</v>
      </c>
      <c r="D22">
        <f>IMSUM(COMPLEX(0,B22*(LINE_PS_CLINE+LINE_PS_CCHA/2)),IMDIV("1",IMPRODUCT("2",COMPLEX(C_THROUGH_ESR,B22*C_THROUGH_ESL-1/(B22*C_THROUGH_C)))))</f>
        <v>0</v>
      </c>
      <c r="E22">
        <f>COMPLEX(2*LINE_INPUT_DCR,2*B22*LINE_INPUT_L)</f>
        <v>0</v>
      </c>
      <c r="F22">
        <f>COMPLEX(0,B22*(LINE_INPUT_CLINE+LINE_INPUT_CCHA/2))</f>
        <v>0</v>
      </c>
      <c r="G22">
        <f>IMPRODUCT("2",IMDIV("1",IMSUM(IMDIV("1",COMPLEX(LDM1_DCR,B22*LDM1_L)),COMPLEX(0,B22*LDM1_CPA))))</f>
        <v>0</v>
      </c>
      <c r="H22">
        <f>IMSUM(IMDIV("1",COMPLEX(CX1_ESR,B22*CX1_ESL-1/(B22*CX1_C))),IMDIV("1",IMSUM(COMPLEX(DUMP1_R,0),COMPLEX(DUMP1_ESR,B22*DUMP1_ESL-1/(B22*DUMP1_C)))))</f>
        <v>0</v>
      </c>
      <c r="I22">
        <f>IMPRODUCT("2",IMDIV("1",IMSUM(IMDIV("1",COMPLEX(LDM2_DCR,B22*LDM2_L)),COMPLEX(0,B22*LDM2_CPA))))</f>
        <v>0</v>
      </c>
      <c r="J22">
        <f>IMSUM(IMDIV("1",COMPLEX(CX2_ESR,B22*CX2_ESL-1/(B22*CX2_C))),IMDIV("1",IMSUM(COMPLEX(DUMP2_R,0),COMPLEX(DUMP2_ESR,B22*DUMP2_ESL-1/(B22*DUMP2_C)))))</f>
        <v>0</v>
      </c>
      <c r="K22">
        <f>IMPRODUCT("2",IMDIV("1",IMSUM(IMDIV("1",COMPLEX(CMC_DCR,B22*CMC_L*(1-CMC_K))),COMPLEX(0,B22*CMC_CPA))))</f>
        <v>0</v>
      </c>
      <c r="L22">
        <f>IMSUM(COMPLEX(0,B22*CMC_CLINE),IMDIV("1",IMPRODUCT("2",COMPLEX(CY_ESR,B22*CY_ESL-1/(B22*CY_C)))),COMPLEX(1/DUMMY_R,0))</f>
        <v>0</v>
      </c>
      <c r="M22">
        <f>IMSUM(D22,IMDIV("1",C22))</f>
        <v>0</v>
      </c>
      <c r="N22">
        <f>IMDIV("1",IMSUM(E22,IMDIV("1",M22)))</f>
        <v>0</v>
      </c>
      <c r="O22">
        <f>IMSUM(F22,N22)</f>
        <v>0</v>
      </c>
      <c r="P22">
        <f>IMDIV("1",IMSUM(G22,IMDIV("1",O22)))</f>
        <v>0</v>
      </c>
      <c r="Q22">
        <f>IMSUM(H22,P22)</f>
        <v>0</v>
      </c>
      <c r="R22">
        <f>IMDIV("1",IMSUM(I22,IMDIV("1",Q22)))</f>
        <v>0</v>
      </c>
      <c r="S22">
        <f>IMSUM(J22,R22)</f>
        <v>0</v>
      </c>
      <c r="T22">
        <f>IMDIV("1",IMSUM(K22,IMDIV("1",S22)))</f>
        <v>0</v>
      </c>
      <c r="U22">
        <f>IMSUM(L22,T22)</f>
        <v>0</v>
      </c>
      <c r="V22">
        <f>IMDIV(COMPLEX(I_DM_SOURCE,0),U22)</f>
        <v>0</v>
      </c>
      <c r="W22">
        <f>IMPRODUCT(V22,T22)</f>
        <v>0</v>
      </c>
      <c r="X22">
        <f>IMDIV(W22,S22)</f>
        <v>0</v>
      </c>
      <c r="Y22">
        <f>IMPRODUCT(X22,R22)</f>
        <v>0</v>
      </c>
      <c r="Z22">
        <f>IMDIV(Y22,Q22)</f>
        <v>0</v>
      </c>
      <c r="AA22">
        <f>IMPRODUCT(Z22,P22)</f>
        <v>0</v>
      </c>
      <c r="AB22">
        <f>AA22</f>
        <v>0</v>
      </c>
      <c r="AC22">
        <f>IMPRODUCT("-1",AB22)</f>
        <v>0</v>
      </c>
      <c r="AD22">
        <f>IMDIV(IMSUB(AB22,AC22),"2")</f>
        <v>0</v>
      </c>
      <c r="AE22" s="6">
        <f>IMABS(AB22)</f>
        <v>0</v>
      </c>
      <c r="AF22" s="6">
        <f>IMABS(AC22)</f>
        <v>0</v>
      </c>
      <c r="AG22" s="6">
        <f>IMABS(AD22)</f>
        <v>0</v>
      </c>
      <c r="AH22" s="7">
        <f>20*LOG10(MAX(AE22,1E-300)*1E6)</f>
        <v>0</v>
      </c>
      <c r="AI22" s="7">
        <f>20*LOG10(MAX(AF22,1E-300)*1E6)</f>
        <v>0</v>
      </c>
      <c r="AJ22" s="7">
        <f>20*LOG10(MAX(AG22,1E-300)*1E6)</f>
        <v>0</v>
      </c>
      <c r="AK22" s="7">
        <f>DEGREES(IMARGUMENT(AB22))</f>
        <v>0</v>
      </c>
      <c r="AL22" s="7">
        <f>DEGREES(IMARGUMENT(AC22))</f>
        <v>0</v>
      </c>
      <c r="AM22" s="7">
        <f>DEGREES(IMARGUMENT(AD22))</f>
        <v>0</v>
      </c>
    </row>
    <row r="23" spans="1:39">
      <c r="A23" s="6">
        <f>10^(LOG10(F_START)+(ROW()-ROW($A$2))*(LOG10(F_STOP)-LOG10(F_START))/(N_POINTS-1))</f>
        <v>0</v>
      </c>
      <c r="B23" s="6">
        <f>2*PI()*A23</f>
        <v>0</v>
      </c>
      <c r="C23">
        <f>COMPLEX(2*LINE_PS_DCR,2*B23*LINE_PS_L)</f>
        <v>0</v>
      </c>
      <c r="D23">
        <f>IMSUM(COMPLEX(0,B23*(LINE_PS_CLINE+LINE_PS_CCHA/2)),IMDIV("1",IMPRODUCT("2",COMPLEX(C_THROUGH_ESR,B23*C_THROUGH_ESL-1/(B23*C_THROUGH_C)))))</f>
        <v>0</v>
      </c>
      <c r="E23">
        <f>COMPLEX(2*LINE_INPUT_DCR,2*B23*LINE_INPUT_L)</f>
        <v>0</v>
      </c>
      <c r="F23">
        <f>COMPLEX(0,B23*(LINE_INPUT_CLINE+LINE_INPUT_CCHA/2))</f>
        <v>0</v>
      </c>
      <c r="G23">
        <f>IMPRODUCT("2",IMDIV("1",IMSUM(IMDIV("1",COMPLEX(LDM1_DCR,B23*LDM1_L)),COMPLEX(0,B23*LDM1_CPA))))</f>
        <v>0</v>
      </c>
      <c r="H23">
        <f>IMSUM(IMDIV("1",COMPLEX(CX1_ESR,B23*CX1_ESL-1/(B23*CX1_C))),IMDIV("1",IMSUM(COMPLEX(DUMP1_R,0),COMPLEX(DUMP1_ESR,B23*DUMP1_ESL-1/(B23*DUMP1_C)))))</f>
        <v>0</v>
      </c>
      <c r="I23">
        <f>IMPRODUCT("2",IMDIV("1",IMSUM(IMDIV("1",COMPLEX(LDM2_DCR,B23*LDM2_L)),COMPLEX(0,B23*LDM2_CPA))))</f>
        <v>0</v>
      </c>
      <c r="J23">
        <f>IMSUM(IMDIV("1",COMPLEX(CX2_ESR,B23*CX2_ESL-1/(B23*CX2_C))),IMDIV("1",IMSUM(COMPLEX(DUMP2_R,0),COMPLEX(DUMP2_ESR,B23*DUMP2_ESL-1/(B23*DUMP2_C)))))</f>
        <v>0</v>
      </c>
      <c r="K23">
        <f>IMPRODUCT("2",IMDIV("1",IMSUM(IMDIV("1",COMPLEX(CMC_DCR,B23*CMC_L*(1-CMC_K))),COMPLEX(0,B23*CMC_CPA))))</f>
        <v>0</v>
      </c>
      <c r="L23">
        <f>IMSUM(COMPLEX(0,B23*CMC_CLINE),IMDIV("1",IMPRODUCT("2",COMPLEX(CY_ESR,B23*CY_ESL-1/(B23*CY_C)))),COMPLEX(1/DUMMY_R,0))</f>
        <v>0</v>
      </c>
      <c r="M23">
        <f>IMSUM(D23,IMDIV("1",C23))</f>
        <v>0</v>
      </c>
      <c r="N23">
        <f>IMDIV("1",IMSUM(E23,IMDIV("1",M23)))</f>
        <v>0</v>
      </c>
      <c r="O23">
        <f>IMSUM(F23,N23)</f>
        <v>0</v>
      </c>
      <c r="P23">
        <f>IMDIV("1",IMSUM(G23,IMDIV("1",O23)))</f>
        <v>0</v>
      </c>
      <c r="Q23">
        <f>IMSUM(H23,P23)</f>
        <v>0</v>
      </c>
      <c r="R23">
        <f>IMDIV("1",IMSUM(I23,IMDIV("1",Q23)))</f>
        <v>0</v>
      </c>
      <c r="S23">
        <f>IMSUM(J23,R23)</f>
        <v>0</v>
      </c>
      <c r="T23">
        <f>IMDIV("1",IMSUM(K23,IMDIV("1",S23)))</f>
        <v>0</v>
      </c>
      <c r="U23">
        <f>IMSUM(L23,T23)</f>
        <v>0</v>
      </c>
      <c r="V23">
        <f>IMDIV(COMPLEX(I_DM_SOURCE,0),U23)</f>
        <v>0</v>
      </c>
      <c r="W23">
        <f>IMPRODUCT(V23,T23)</f>
        <v>0</v>
      </c>
      <c r="X23">
        <f>IMDIV(W23,S23)</f>
        <v>0</v>
      </c>
      <c r="Y23">
        <f>IMPRODUCT(X23,R23)</f>
        <v>0</v>
      </c>
      <c r="Z23">
        <f>IMDIV(Y23,Q23)</f>
        <v>0</v>
      </c>
      <c r="AA23">
        <f>IMPRODUCT(Z23,P23)</f>
        <v>0</v>
      </c>
      <c r="AB23">
        <f>AA23</f>
        <v>0</v>
      </c>
      <c r="AC23">
        <f>IMPRODUCT("-1",AB23)</f>
        <v>0</v>
      </c>
      <c r="AD23">
        <f>IMDIV(IMSUB(AB23,AC23),"2")</f>
        <v>0</v>
      </c>
      <c r="AE23" s="6">
        <f>IMABS(AB23)</f>
        <v>0</v>
      </c>
      <c r="AF23" s="6">
        <f>IMABS(AC23)</f>
        <v>0</v>
      </c>
      <c r="AG23" s="6">
        <f>IMABS(AD23)</f>
        <v>0</v>
      </c>
      <c r="AH23" s="7">
        <f>20*LOG10(MAX(AE23,1E-300)*1E6)</f>
        <v>0</v>
      </c>
      <c r="AI23" s="7">
        <f>20*LOG10(MAX(AF23,1E-300)*1E6)</f>
        <v>0</v>
      </c>
      <c r="AJ23" s="7">
        <f>20*LOG10(MAX(AG23,1E-300)*1E6)</f>
        <v>0</v>
      </c>
      <c r="AK23" s="7">
        <f>DEGREES(IMARGUMENT(AB23))</f>
        <v>0</v>
      </c>
      <c r="AL23" s="7">
        <f>DEGREES(IMARGUMENT(AC23))</f>
        <v>0</v>
      </c>
      <c r="AM23" s="7">
        <f>DEGREES(IMARGUMENT(AD23))</f>
        <v>0</v>
      </c>
    </row>
    <row r="24" spans="1:39">
      <c r="A24" s="6">
        <f>10^(LOG10(F_START)+(ROW()-ROW($A$2))*(LOG10(F_STOP)-LOG10(F_START))/(N_POINTS-1))</f>
        <v>0</v>
      </c>
      <c r="B24" s="6">
        <f>2*PI()*A24</f>
        <v>0</v>
      </c>
      <c r="C24">
        <f>COMPLEX(2*LINE_PS_DCR,2*B24*LINE_PS_L)</f>
        <v>0</v>
      </c>
      <c r="D24">
        <f>IMSUM(COMPLEX(0,B24*(LINE_PS_CLINE+LINE_PS_CCHA/2)),IMDIV("1",IMPRODUCT("2",COMPLEX(C_THROUGH_ESR,B24*C_THROUGH_ESL-1/(B24*C_THROUGH_C)))))</f>
        <v>0</v>
      </c>
      <c r="E24">
        <f>COMPLEX(2*LINE_INPUT_DCR,2*B24*LINE_INPUT_L)</f>
        <v>0</v>
      </c>
      <c r="F24">
        <f>COMPLEX(0,B24*(LINE_INPUT_CLINE+LINE_INPUT_CCHA/2))</f>
        <v>0</v>
      </c>
      <c r="G24">
        <f>IMPRODUCT("2",IMDIV("1",IMSUM(IMDIV("1",COMPLEX(LDM1_DCR,B24*LDM1_L)),COMPLEX(0,B24*LDM1_CPA))))</f>
        <v>0</v>
      </c>
      <c r="H24">
        <f>IMSUM(IMDIV("1",COMPLEX(CX1_ESR,B24*CX1_ESL-1/(B24*CX1_C))),IMDIV("1",IMSUM(COMPLEX(DUMP1_R,0),COMPLEX(DUMP1_ESR,B24*DUMP1_ESL-1/(B24*DUMP1_C)))))</f>
        <v>0</v>
      </c>
      <c r="I24">
        <f>IMPRODUCT("2",IMDIV("1",IMSUM(IMDIV("1",COMPLEX(LDM2_DCR,B24*LDM2_L)),COMPLEX(0,B24*LDM2_CPA))))</f>
        <v>0</v>
      </c>
      <c r="J24">
        <f>IMSUM(IMDIV("1",COMPLEX(CX2_ESR,B24*CX2_ESL-1/(B24*CX2_C))),IMDIV("1",IMSUM(COMPLEX(DUMP2_R,0),COMPLEX(DUMP2_ESR,B24*DUMP2_ESL-1/(B24*DUMP2_C)))))</f>
        <v>0</v>
      </c>
      <c r="K24">
        <f>IMPRODUCT("2",IMDIV("1",IMSUM(IMDIV("1",COMPLEX(CMC_DCR,B24*CMC_L*(1-CMC_K))),COMPLEX(0,B24*CMC_CPA))))</f>
        <v>0</v>
      </c>
      <c r="L24">
        <f>IMSUM(COMPLEX(0,B24*CMC_CLINE),IMDIV("1",IMPRODUCT("2",COMPLEX(CY_ESR,B24*CY_ESL-1/(B24*CY_C)))),COMPLEX(1/DUMMY_R,0))</f>
        <v>0</v>
      </c>
      <c r="M24">
        <f>IMSUM(D24,IMDIV("1",C24))</f>
        <v>0</v>
      </c>
      <c r="N24">
        <f>IMDIV("1",IMSUM(E24,IMDIV("1",M24)))</f>
        <v>0</v>
      </c>
      <c r="O24">
        <f>IMSUM(F24,N24)</f>
        <v>0</v>
      </c>
      <c r="P24">
        <f>IMDIV("1",IMSUM(G24,IMDIV("1",O24)))</f>
        <v>0</v>
      </c>
      <c r="Q24">
        <f>IMSUM(H24,P24)</f>
        <v>0</v>
      </c>
      <c r="R24">
        <f>IMDIV("1",IMSUM(I24,IMDIV("1",Q24)))</f>
        <v>0</v>
      </c>
      <c r="S24">
        <f>IMSUM(J24,R24)</f>
        <v>0</v>
      </c>
      <c r="T24">
        <f>IMDIV("1",IMSUM(K24,IMDIV("1",S24)))</f>
        <v>0</v>
      </c>
      <c r="U24">
        <f>IMSUM(L24,T24)</f>
        <v>0</v>
      </c>
      <c r="V24">
        <f>IMDIV(COMPLEX(I_DM_SOURCE,0),U24)</f>
        <v>0</v>
      </c>
      <c r="W24">
        <f>IMPRODUCT(V24,T24)</f>
        <v>0</v>
      </c>
      <c r="X24">
        <f>IMDIV(W24,S24)</f>
        <v>0</v>
      </c>
      <c r="Y24">
        <f>IMPRODUCT(X24,R24)</f>
        <v>0</v>
      </c>
      <c r="Z24">
        <f>IMDIV(Y24,Q24)</f>
        <v>0</v>
      </c>
      <c r="AA24">
        <f>IMPRODUCT(Z24,P24)</f>
        <v>0</v>
      </c>
      <c r="AB24">
        <f>AA24</f>
        <v>0</v>
      </c>
      <c r="AC24">
        <f>IMPRODUCT("-1",AB24)</f>
        <v>0</v>
      </c>
      <c r="AD24">
        <f>IMDIV(IMSUB(AB24,AC24),"2")</f>
        <v>0</v>
      </c>
      <c r="AE24" s="6">
        <f>IMABS(AB24)</f>
        <v>0</v>
      </c>
      <c r="AF24" s="6">
        <f>IMABS(AC24)</f>
        <v>0</v>
      </c>
      <c r="AG24" s="6">
        <f>IMABS(AD24)</f>
        <v>0</v>
      </c>
      <c r="AH24" s="7">
        <f>20*LOG10(MAX(AE24,1E-300)*1E6)</f>
        <v>0</v>
      </c>
      <c r="AI24" s="7">
        <f>20*LOG10(MAX(AF24,1E-300)*1E6)</f>
        <v>0</v>
      </c>
      <c r="AJ24" s="7">
        <f>20*LOG10(MAX(AG24,1E-300)*1E6)</f>
        <v>0</v>
      </c>
      <c r="AK24" s="7">
        <f>DEGREES(IMARGUMENT(AB24))</f>
        <v>0</v>
      </c>
      <c r="AL24" s="7">
        <f>DEGREES(IMARGUMENT(AC24))</f>
        <v>0</v>
      </c>
      <c r="AM24" s="7">
        <f>DEGREES(IMARGUMENT(AD24))</f>
        <v>0</v>
      </c>
    </row>
    <row r="25" spans="1:39">
      <c r="A25" s="6">
        <f>10^(LOG10(F_START)+(ROW()-ROW($A$2))*(LOG10(F_STOP)-LOG10(F_START))/(N_POINTS-1))</f>
        <v>0</v>
      </c>
      <c r="B25" s="6">
        <f>2*PI()*A25</f>
        <v>0</v>
      </c>
      <c r="C25">
        <f>COMPLEX(2*LINE_PS_DCR,2*B25*LINE_PS_L)</f>
        <v>0</v>
      </c>
      <c r="D25">
        <f>IMSUM(COMPLEX(0,B25*(LINE_PS_CLINE+LINE_PS_CCHA/2)),IMDIV("1",IMPRODUCT("2",COMPLEX(C_THROUGH_ESR,B25*C_THROUGH_ESL-1/(B25*C_THROUGH_C)))))</f>
        <v>0</v>
      </c>
      <c r="E25">
        <f>COMPLEX(2*LINE_INPUT_DCR,2*B25*LINE_INPUT_L)</f>
        <v>0</v>
      </c>
      <c r="F25">
        <f>COMPLEX(0,B25*(LINE_INPUT_CLINE+LINE_INPUT_CCHA/2))</f>
        <v>0</v>
      </c>
      <c r="G25">
        <f>IMPRODUCT("2",IMDIV("1",IMSUM(IMDIV("1",COMPLEX(LDM1_DCR,B25*LDM1_L)),COMPLEX(0,B25*LDM1_CPA))))</f>
        <v>0</v>
      </c>
      <c r="H25">
        <f>IMSUM(IMDIV("1",COMPLEX(CX1_ESR,B25*CX1_ESL-1/(B25*CX1_C))),IMDIV("1",IMSUM(COMPLEX(DUMP1_R,0),COMPLEX(DUMP1_ESR,B25*DUMP1_ESL-1/(B25*DUMP1_C)))))</f>
        <v>0</v>
      </c>
      <c r="I25">
        <f>IMPRODUCT("2",IMDIV("1",IMSUM(IMDIV("1",COMPLEX(LDM2_DCR,B25*LDM2_L)),COMPLEX(0,B25*LDM2_CPA))))</f>
        <v>0</v>
      </c>
      <c r="J25">
        <f>IMSUM(IMDIV("1",COMPLEX(CX2_ESR,B25*CX2_ESL-1/(B25*CX2_C))),IMDIV("1",IMSUM(COMPLEX(DUMP2_R,0),COMPLEX(DUMP2_ESR,B25*DUMP2_ESL-1/(B25*DUMP2_C)))))</f>
        <v>0</v>
      </c>
      <c r="K25">
        <f>IMPRODUCT("2",IMDIV("1",IMSUM(IMDIV("1",COMPLEX(CMC_DCR,B25*CMC_L*(1-CMC_K))),COMPLEX(0,B25*CMC_CPA))))</f>
        <v>0</v>
      </c>
      <c r="L25">
        <f>IMSUM(COMPLEX(0,B25*CMC_CLINE),IMDIV("1",IMPRODUCT("2",COMPLEX(CY_ESR,B25*CY_ESL-1/(B25*CY_C)))),COMPLEX(1/DUMMY_R,0))</f>
        <v>0</v>
      </c>
      <c r="M25">
        <f>IMSUM(D25,IMDIV("1",C25))</f>
        <v>0</v>
      </c>
      <c r="N25">
        <f>IMDIV("1",IMSUM(E25,IMDIV("1",M25)))</f>
        <v>0</v>
      </c>
      <c r="O25">
        <f>IMSUM(F25,N25)</f>
        <v>0</v>
      </c>
      <c r="P25">
        <f>IMDIV("1",IMSUM(G25,IMDIV("1",O25)))</f>
        <v>0</v>
      </c>
      <c r="Q25">
        <f>IMSUM(H25,P25)</f>
        <v>0</v>
      </c>
      <c r="R25">
        <f>IMDIV("1",IMSUM(I25,IMDIV("1",Q25)))</f>
        <v>0</v>
      </c>
      <c r="S25">
        <f>IMSUM(J25,R25)</f>
        <v>0</v>
      </c>
      <c r="T25">
        <f>IMDIV("1",IMSUM(K25,IMDIV("1",S25)))</f>
        <v>0</v>
      </c>
      <c r="U25">
        <f>IMSUM(L25,T25)</f>
        <v>0</v>
      </c>
      <c r="V25">
        <f>IMDIV(COMPLEX(I_DM_SOURCE,0),U25)</f>
        <v>0</v>
      </c>
      <c r="W25">
        <f>IMPRODUCT(V25,T25)</f>
        <v>0</v>
      </c>
      <c r="X25">
        <f>IMDIV(W25,S25)</f>
        <v>0</v>
      </c>
      <c r="Y25">
        <f>IMPRODUCT(X25,R25)</f>
        <v>0</v>
      </c>
      <c r="Z25">
        <f>IMDIV(Y25,Q25)</f>
        <v>0</v>
      </c>
      <c r="AA25">
        <f>IMPRODUCT(Z25,P25)</f>
        <v>0</v>
      </c>
      <c r="AB25">
        <f>AA25</f>
        <v>0</v>
      </c>
      <c r="AC25">
        <f>IMPRODUCT("-1",AB25)</f>
        <v>0</v>
      </c>
      <c r="AD25">
        <f>IMDIV(IMSUB(AB25,AC25),"2")</f>
        <v>0</v>
      </c>
      <c r="AE25" s="6">
        <f>IMABS(AB25)</f>
        <v>0</v>
      </c>
      <c r="AF25" s="6">
        <f>IMABS(AC25)</f>
        <v>0</v>
      </c>
      <c r="AG25" s="6">
        <f>IMABS(AD25)</f>
        <v>0</v>
      </c>
      <c r="AH25" s="7">
        <f>20*LOG10(MAX(AE25,1E-300)*1E6)</f>
        <v>0</v>
      </c>
      <c r="AI25" s="7">
        <f>20*LOG10(MAX(AF25,1E-300)*1E6)</f>
        <v>0</v>
      </c>
      <c r="AJ25" s="7">
        <f>20*LOG10(MAX(AG25,1E-300)*1E6)</f>
        <v>0</v>
      </c>
      <c r="AK25" s="7">
        <f>DEGREES(IMARGUMENT(AB25))</f>
        <v>0</v>
      </c>
      <c r="AL25" s="7">
        <f>DEGREES(IMARGUMENT(AC25))</f>
        <v>0</v>
      </c>
      <c r="AM25" s="7">
        <f>DEGREES(IMARGUMENT(AD25))</f>
        <v>0</v>
      </c>
    </row>
    <row r="26" spans="1:39">
      <c r="A26" s="6">
        <f>10^(LOG10(F_START)+(ROW()-ROW($A$2))*(LOG10(F_STOP)-LOG10(F_START))/(N_POINTS-1))</f>
        <v>0</v>
      </c>
      <c r="B26" s="6">
        <f>2*PI()*A26</f>
        <v>0</v>
      </c>
      <c r="C26">
        <f>COMPLEX(2*LINE_PS_DCR,2*B26*LINE_PS_L)</f>
        <v>0</v>
      </c>
      <c r="D26">
        <f>IMSUM(COMPLEX(0,B26*(LINE_PS_CLINE+LINE_PS_CCHA/2)),IMDIV("1",IMPRODUCT("2",COMPLEX(C_THROUGH_ESR,B26*C_THROUGH_ESL-1/(B26*C_THROUGH_C)))))</f>
        <v>0</v>
      </c>
      <c r="E26">
        <f>COMPLEX(2*LINE_INPUT_DCR,2*B26*LINE_INPUT_L)</f>
        <v>0</v>
      </c>
      <c r="F26">
        <f>COMPLEX(0,B26*(LINE_INPUT_CLINE+LINE_INPUT_CCHA/2))</f>
        <v>0</v>
      </c>
      <c r="G26">
        <f>IMPRODUCT("2",IMDIV("1",IMSUM(IMDIV("1",COMPLEX(LDM1_DCR,B26*LDM1_L)),COMPLEX(0,B26*LDM1_CPA))))</f>
        <v>0</v>
      </c>
      <c r="H26">
        <f>IMSUM(IMDIV("1",COMPLEX(CX1_ESR,B26*CX1_ESL-1/(B26*CX1_C))),IMDIV("1",IMSUM(COMPLEX(DUMP1_R,0),COMPLEX(DUMP1_ESR,B26*DUMP1_ESL-1/(B26*DUMP1_C)))))</f>
        <v>0</v>
      </c>
      <c r="I26">
        <f>IMPRODUCT("2",IMDIV("1",IMSUM(IMDIV("1",COMPLEX(LDM2_DCR,B26*LDM2_L)),COMPLEX(0,B26*LDM2_CPA))))</f>
        <v>0</v>
      </c>
      <c r="J26">
        <f>IMSUM(IMDIV("1",COMPLEX(CX2_ESR,B26*CX2_ESL-1/(B26*CX2_C))),IMDIV("1",IMSUM(COMPLEX(DUMP2_R,0),COMPLEX(DUMP2_ESR,B26*DUMP2_ESL-1/(B26*DUMP2_C)))))</f>
        <v>0</v>
      </c>
      <c r="K26">
        <f>IMPRODUCT("2",IMDIV("1",IMSUM(IMDIV("1",COMPLEX(CMC_DCR,B26*CMC_L*(1-CMC_K))),COMPLEX(0,B26*CMC_CPA))))</f>
        <v>0</v>
      </c>
      <c r="L26">
        <f>IMSUM(COMPLEX(0,B26*CMC_CLINE),IMDIV("1",IMPRODUCT("2",COMPLEX(CY_ESR,B26*CY_ESL-1/(B26*CY_C)))),COMPLEX(1/DUMMY_R,0))</f>
        <v>0</v>
      </c>
      <c r="M26">
        <f>IMSUM(D26,IMDIV("1",C26))</f>
        <v>0</v>
      </c>
      <c r="N26">
        <f>IMDIV("1",IMSUM(E26,IMDIV("1",M26)))</f>
        <v>0</v>
      </c>
      <c r="O26">
        <f>IMSUM(F26,N26)</f>
        <v>0</v>
      </c>
      <c r="P26">
        <f>IMDIV("1",IMSUM(G26,IMDIV("1",O26)))</f>
        <v>0</v>
      </c>
      <c r="Q26">
        <f>IMSUM(H26,P26)</f>
        <v>0</v>
      </c>
      <c r="R26">
        <f>IMDIV("1",IMSUM(I26,IMDIV("1",Q26)))</f>
        <v>0</v>
      </c>
      <c r="S26">
        <f>IMSUM(J26,R26)</f>
        <v>0</v>
      </c>
      <c r="T26">
        <f>IMDIV("1",IMSUM(K26,IMDIV("1",S26)))</f>
        <v>0</v>
      </c>
      <c r="U26">
        <f>IMSUM(L26,T26)</f>
        <v>0</v>
      </c>
      <c r="V26">
        <f>IMDIV(COMPLEX(I_DM_SOURCE,0),U26)</f>
        <v>0</v>
      </c>
      <c r="W26">
        <f>IMPRODUCT(V26,T26)</f>
        <v>0</v>
      </c>
      <c r="X26">
        <f>IMDIV(W26,S26)</f>
        <v>0</v>
      </c>
      <c r="Y26">
        <f>IMPRODUCT(X26,R26)</f>
        <v>0</v>
      </c>
      <c r="Z26">
        <f>IMDIV(Y26,Q26)</f>
        <v>0</v>
      </c>
      <c r="AA26">
        <f>IMPRODUCT(Z26,P26)</f>
        <v>0</v>
      </c>
      <c r="AB26">
        <f>AA26</f>
        <v>0</v>
      </c>
      <c r="AC26">
        <f>IMPRODUCT("-1",AB26)</f>
        <v>0</v>
      </c>
      <c r="AD26">
        <f>IMDIV(IMSUB(AB26,AC26),"2")</f>
        <v>0</v>
      </c>
      <c r="AE26" s="6">
        <f>IMABS(AB26)</f>
        <v>0</v>
      </c>
      <c r="AF26" s="6">
        <f>IMABS(AC26)</f>
        <v>0</v>
      </c>
      <c r="AG26" s="6">
        <f>IMABS(AD26)</f>
        <v>0</v>
      </c>
      <c r="AH26" s="7">
        <f>20*LOG10(MAX(AE26,1E-300)*1E6)</f>
        <v>0</v>
      </c>
      <c r="AI26" s="7">
        <f>20*LOG10(MAX(AF26,1E-300)*1E6)</f>
        <v>0</v>
      </c>
      <c r="AJ26" s="7">
        <f>20*LOG10(MAX(AG26,1E-300)*1E6)</f>
        <v>0</v>
      </c>
      <c r="AK26" s="7">
        <f>DEGREES(IMARGUMENT(AB26))</f>
        <v>0</v>
      </c>
      <c r="AL26" s="7">
        <f>DEGREES(IMARGUMENT(AC26))</f>
        <v>0</v>
      </c>
      <c r="AM26" s="7">
        <f>DEGREES(IMARGUMENT(AD26))</f>
        <v>0</v>
      </c>
    </row>
    <row r="27" spans="1:39">
      <c r="A27" s="6">
        <f>10^(LOG10(F_START)+(ROW()-ROW($A$2))*(LOG10(F_STOP)-LOG10(F_START))/(N_POINTS-1))</f>
        <v>0</v>
      </c>
      <c r="B27" s="6">
        <f>2*PI()*A27</f>
        <v>0</v>
      </c>
      <c r="C27">
        <f>COMPLEX(2*LINE_PS_DCR,2*B27*LINE_PS_L)</f>
        <v>0</v>
      </c>
      <c r="D27">
        <f>IMSUM(COMPLEX(0,B27*(LINE_PS_CLINE+LINE_PS_CCHA/2)),IMDIV("1",IMPRODUCT("2",COMPLEX(C_THROUGH_ESR,B27*C_THROUGH_ESL-1/(B27*C_THROUGH_C)))))</f>
        <v>0</v>
      </c>
      <c r="E27">
        <f>COMPLEX(2*LINE_INPUT_DCR,2*B27*LINE_INPUT_L)</f>
        <v>0</v>
      </c>
      <c r="F27">
        <f>COMPLEX(0,B27*(LINE_INPUT_CLINE+LINE_INPUT_CCHA/2))</f>
        <v>0</v>
      </c>
      <c r="G27">
        <f>IMPRODUCT("2",IMDIV("1",IMSUM(IMDIV("1",COMPLEX(LDM1_DCR,B27*LDM1_L)),COMPLEX(0,B27*LDM1_CPA))))</f>
        <v>0</v>
      </c>
      <c r="H27">
        <f>IMSUM(IMDIV("1",COMPLEX(CX1_ESR,B27*CX1_ESL-1/(B27*CX1_C))),IMDIV("1",IMSUM(COMPLEX(DUMP1_R,0),COMPLEX(DUMP1_ESR,B27*DUMP1_ESL-1/(B27*DUMP1_C)))))</f>
        <v>0</v>
      </c>
      <c r="I27">
        <f>IMPRODUCT("2",IMDIV("1",IMSUM(IMDIV("1",COMPLEX(LDM2_DCR,B27*LDM2_L)),COMPLEX(0,B27*LDM2_CPA))))</f>
        <v>0</v>
      </c>
      <c r="J27">
        <f>IMSUM(IMDIV("1",COMPLEX(CX2_ESR,B27*CX2_ESL-1/(B27*CX2_C))),IMDIV("1",IMSUM(COMPLEX(DUMP2_R,0),COMPLEX(DUMP2_ESR,B27*DUMP2_ESL-1/(B27*DUMP2_C)))))</f>
        <v>0</v>
      </c>
      <c r="K27">
        <f>IMPRODUCT("2",IMDIV("1",IMSUM(IMDIV("1",COMPLEX(CMC_DCR,B27*CMC_L*(1-CMC_K))),COMPLEX(0,B27*CMC_CPA))))</f>
        <v>0</v>
      </c>
      <c r="L27">
        <f>IMSUM(COMPLEX(0,B27*CMC_CLINE),IMDIV("1",IMPRODUCT("2",COMPLEX(CY_ESR,B27*CY_ESL-1/(B27*CY_C)))),COMPLEX(1/DUMMY_R,0))</f>
        <v>0</v>
      </c>
      <c r="M27">
        <f>IMSUM(D27,IMDIV("1",C27))</f>
        <v>0</v>
      </c>
      <c r="N27">
        <f>IMDIV("1",IMSUM(E27,IMDIV("1",M27)))</f>
        <v>0</v>
      </c>
      <c r="O27">
        <f>IMSUM(F27,N27)</f>
        <v>0</v>
      </c>
      <c r="P27">
        <f>IMDIV("1",IMSUM(G27,IMDIV("1",O27)))</f>
        <v>0</v>
      </c>
      <c r="Q27">
        <f>IMSUM(H27,P27)</f>
        <v>0</v>
      </c>
      <c r="R27">
        <f>IMDIV("1",IMSUM(I27,IMDIV("1",Q27)))</f>
        <v>0</v>
      </c>
      <c r="S27">
        <f>IMSUM(J27,R27)</f>
        <v>0</v>
      </c>
      <c r="T27">
        <f>IMDIV("1",IMSUM(K27,IMDIV("1",S27)))</f>
        <v>0</v>
      </c>
      <c r="U27">
        <f>IMSUM(L27,T27)</f>
        <v>0</v>
      </c>
      <c r="V27">
        <f>IMDIV(COMPLEX(I_DM_SOURCE,0),U27)</f>
        <v>0</v>
      </c>
      <c r="W27">
        <f>IMPRODUCT(V27,T27)</f>
        <v>0</v>
      </c>
      <c r="X27">
        <f>IMDIV(W27,S27)</f>
        <v>0</v>
      </c>
      <c r="Y27">
        <f>IMPRODUCT(X27,R27)</f>
        <v>0</v>
      </c>
      <c r="Z27">
        <f>IMDIV(Y27,Q27)</f>
        <v>0</v>
      </c>
      <c r="AA27">
        <f>IMPRODUCT(Z27,P27)</f>
        <v>0</v>
      </c>
      <c r="AB27">
        <f>AA27</f>
        <v>0</v>
      </c>
      <c r="AC27">
        <f>IMPRODUCT("-1",AB27)</f>
        <v>0</v>
      </c>
      <c r="AD27">
        <f>IMDIV(IMSUB(AB27,AC27),"2")</f>
        <v>0</v>
      </c>
      <c r="AE27" s="6">
        <f>IMABS(AB27)</f>
        <v>0</v>
      </c>
      <c r="AF27" s="6">
        <f>IMABS(AC27)</f>
        <v>0</v>
      </c>
      <c r="AG27" s="6">
        <f>IMABS(AD27)</f>
        <v>0</v>
      </c>
      <c r="AH27" s="7">
        <f>20*LOG10(MAX(AE27,1E-300)*1E6)</f>
        <v>0</v>
      </c>
      <c r="AI27" s="7">
        <f>20*LOG10(MAX(AF27,1E-300)*1E6)</f>
        <v>0</v>
      </c>
      <c r="AJ27" s="7">
        <f>20*LOG10(MAX(AG27,1E-300)*1E6)</f>
        <v>0</v>
      </c>
      <c r="AK27" s="7">
        <f>DEGREES(IMARGUMENT(AB27))</f>
        <v>0</v>
      </c>
      <c r="AL27" s="7">
        <f>DEGREES(IMARGUMENT(AC27))</f>
        <v>0</v>
      </c>
      <c r="AM27" s="7">
        <f>DEGREES(IMARGUMENT(AD27))</f>
        <v>0</v>
      </c>
    </row>
    <row r="28" spans="1:39">
      <c r="A28" s="6">
        <f>10^(LOG10(F_START)+(ROW()-ROW($A$2))*(LOG10(F_STOP)-LOG10(F_START))/(N_POINTS-1))</f>
        <v>0</v>
      </c>
      <c r="B28" s="6">
        <f>2*PI()*A28</f>
        <v>0</v>
      </c>
      <c r="C28">
        <f>COMPLEX(2*LINE_PS_DCR,2*B28*LINE_PS_L)</f>
        <v>0</v>
      </c>
      <c r="D28">
        <f>IMSUM(COMPLEX(0,B28*(LINE_PS_CLINE+LINE_PS_CCHA/2)),IMDIV("1",IMPRODUCT("2",COMPLEX(C_THROUGH_ESR,B28*C_THROUGH_ESL-1/(B28*C_THROUGH_C)))))</f>
        <v>0</v>
      </c>
      <c r="E28">
        <f>COMPLEX(2*LINE_INPUT_DCR,2*B28*LINE_INPUT_L)</f>
        <v>0</v>
      </c>
      <c r="F28">
        <f>COMPLEX(0,B28*(LINE_INPUT_CLINE+LINE_INPUT_CCHA/2))</f>
        <v>0</v>
      </c>
      <c r="G28">
        <f>IMPRODUCT("2",IMDIV("1",IMSUM(IMDIV("1",COMPLEX(LDM1_DCR,B28*LDM1_L)),COMPLEX(0,B28*LDM1_CPA))))</f>
        <v>0</v>
      </c>
      <c r="H28">
        <f>IMSUM(IMDIV("1",COMPLEX(CX1_ESR,B28*CX1_ESL-1/(B28*CX1_C))),IMDIV("1",IMSUM(COMPLEX(DUMP1_R,0),COMPLEX(DUMP1_ESR,B28*DUMP1_ESL-1/(B28*DUMP1_C)))))</f>
        <v>0</v>
      </c>
      <c r="I28">
        <f>IMPRODUCT("2",IMDIV("1",IMSUM(IMDIV("1",COMPLEX(LDM2_DCR,B28*LDM2_L)),COMPLEX(0,B28*LDM2_CPA))))</f>
        <v>0</v>
      </c>
      <c r="J28">
        <f>IMSUM(IMDIV("1",COMPLEX(CX2_ESR,B28*CX2_ESL-1/(B28*CX2_C))),IMDIV("1",IMSUM(COMPLEX(DUMP2_R,0),COMPLEX(DUMP2_ESR,B28*DUMP2_ESL-1/(B28*DUMP2_C)))))</f>
        <v>0</v>
      </c>
      <c r="K28">
        <f>IMPRODUCT("2",IMDIV("1",IMSUM(IMDIV("1",COMPLEX(CMC_DCR,B28*CMC_L*(1-CMC_K))),COMPLEX(0,B28*CMC_CPA))))</f>
        <v>0</v>
      </c>
      <c r="L28">
        <f>IMSUM(COMPLEX(0,B28*CMC_CLINE),IMDIV("1",IMPRODUCT("2",COMPLEX(CY_ESR,B28*CY_ESL-1/(B28*CY_C)))),COMPLEX(1/DUMMY_R,0))</f>
        <v>0</v>
      </c>
      <c r="M28">
        <f>IMSUM(D28,IMDIV("1",C28))</f>
        <v>0</v>
      </c>
      <c r="N28">
        <f>IMDIV("1",IMSUM(E28,IMDIV("1",M28)))</f>
        <v>0</v>
      </c>
      <c r="O28">
        <f>IMSUM(F28,N28)</f>
        <v>0</v>
      </c>
      <c r="P28">
        <f>IMDIV("1",IMSUM(G28,IMDIV("1",O28)))</f>
        <v>0</v>
      </c>
      <c r="Q28">
        <f>IMSUM(H28,P28)</f>
        <v>0</v>
      </c>
      <c r="R28">
        <f>IMDIV("1",IMSUM(I28,IMDIV("1",Q28)))</f>
        <v>0</v>
      </c>
      <c r="S28">
        <f>IMSUM(J28,R28)</f>
        <v>0</v>
      </c>
      <c r="T28">
        <f>IMDIV("1",IMSUM(K28,IMDIV("1",S28)))</f>
        <v>0</v>
      </c>
      <c r="U28">
        <f>IMSUM(L28,T28)</f>
        <v>0</v>
      </c>
      <c r="V28">
        <f>IMDIV(COMPLEX(I_DM_SOURCE,0),U28)</f>
        <v>0</v>
      </c>
      <c r="W28">
        <f>IMPRODUCT(V28,T28)</f>
        <v>0</v>
      </c>
      <c r="X28">
        <f>IMDIV(W28,S28)</f>
        <v>0</v>
      </c>
      <c r="Y28">
        <f>IMPRODUCT(X28,R28)</f>
        <v>0</v>
      </c>
      <c r="Z28">
        <f>IMDIV(Y28,Q28)</f>
        <v>0</v>
      </c>
      <c r="AA28">
        <f>IMPRODUCT(Z28,P28)</f>
        <v>0</v>
      </c>
      <c r="AB28">
        <f>AA28</f>
        <v>0</v>
      </c>
      <c r="AC28">
        <f>IMPRODUCT("-1",AB28)</f>
        <v>0</v>
      </c>
      <c r="AD28">
        <f>IMDIV(IMSUB(AB28,AC28),"2")</f>
        <v>0</v>
      </c>
      <c r="AE28" s="6">
        <f>IMABS(AB28)</f>
        <v>0</v>
      </c>
      <c r="AF28" s="6">
        <f>IMABS(AC28)</f>
        <v>0</v>
      </c>
      <c r="AG28" s="6">
        <f>IMABS(AD28)</f>
        <v>0</v>
      </c>
      <c r="AH28" s="7">
        <f>20*LOG10(MAX(AE28,1E-300)*1E6)</f>
        <v>0</v>
      </c>
      <c r="AI28" s="7">
        <f>20*LOG10(MAX(AF28,1E-300)*1E6)</f>
        <v>0</v>
      </c>
      <c r="AJ28" s="7">
        <f>20*LOG10(MAX(AG28,1E-300)*1E6)</f>
        <v>0</v>
      </c>
      <c r="AK28" s="7">
        <f>DEGREES(IMARGUMENT(AB28))</f>
        <v>0</v>
      </c>
      <c r="AL28" s="7">
        <f>DEGREES(IMARGUMENT(AC28))</f>
        <v>0</v>
      </c>
      <c r="AM28" s="7">
        <f>DEGREES(IMARGUMENT(AD28))</f>
        <v>0</v>
      </c>
    </row>
    <row r="29" spans="1:39">
      <c r="A29" s="6">
        <f>10^(LOG10(F_START)+(ROW()-ROW($A$2))*(LOG10(F_STOP)-LOG10(F_START))/(N_POINTS-1))</f>
        <v>0</v>
      </c>
      <c r="B29" s="6">
        <f>2*PI()*A29</f>
        <v>0</v>
      </c>
      <c r="C29">
        <f>COMPLEX(2*LINE_PS_DCR,2*B29*LINE_PS_L)</f>
        <v>0</v>
      </c>
      <c r="D29">
        <f>IMSUM(COMPLEX(0,B29*(LINE_PS_CLINE+LINE_PS_CCHA/2)),IMDIV("1",IMPRODUCT("2",COMPLEX(C_THROUGH_ESR,B29*C_THROUGH_ESL-1/(B29*C_THROUGH_C)))))</f>
        <v>0</v>
      </c>
      <c r="E29">
        <f>COMPLEX(2*LINE_INPUT_DCR,2*B29*LINE_INPUT_L)</f>
        <v>0</v>
      </c>
      <c r="F29">
        <f>COMPLEX(0,B29*(LINE_INPUT_CLINE+LINE_INPUT_CCHA/2))</f>
        <v>0</v>
      </c>
      <c r="G29">
        <f>IMPRODUCT("2",IMDIV("1",IMSUM(IMDIV("1",COMPLEX(LDM1_DCR,B29*LDM1_L)),COMPLEX(0,B29*LDM1_CPA))))</f>
        <v>0</v>
      </c>
      <c r="H29">
        <f>IMSUM(IMDIV("1",COMPLEX(CX1_ESR,B29*CX1_ESL-1/(B29*CX1_C))),IMDIV("1",IMSUM(COMPLEX(DUMP1_R,0),COMPLEX(DUMP1_ESR,B29*DUMP1_ESL-1/(B29*DUMP1_C)))))</f>
        <v>0</v>
      </c>
      <c r="I29">
        <f>IMPRODUCT("2",IMDIV("1",IMSUM(IMDIV("1",COMPLEX(LDM2_DCR,B29*LDM2_L)),COMPLEX(0,B29*LDM2_CPA))))</f>
        <v>0</v>
      </c>
      <c r="J29">
        <f>IMSUM(IMDIV("1",COMPLEX(CX2_ESR,B29*CX2_ESL-1/(B29*CX2_C))),IMDIV("1",IMSUM(COMPLEX(DUMP2_R,0),COMPLEX(DUMP2_ESR,B29*DUMP2_ESL-1/(B29*DUMP2_C)))))</f>
        <v>0</v>
      </c>
      <c r="K29">
        <f>IMPRODUCT("2",IMDIV("1",IMSUM(IMDIV("1",COMPLEX(CMC_DCR,B29*CMC_L*(1-CMC_K))),COMPLEX(0,B29*CMC_CPA))))</f>
        <v>0</v>
      </c>
      <c r="L29">
        <f>IMSUM(COMPLEX(0,B29*CMC_CLINE),IMDIV("1",IMPRODUCT("2",COMPLEX(CY_ESR,B29*CY_ESL-1/(B29*CY_C)))),COMPLEX(1/DUMMY_R,0))</f>
        <v>0</v>
      </c>
      <c r="M29">
        <f>IMSUM(D29,IMDIV("1",C29))</f>
        <v>0</v>
      </c>
      <c r="N29">
        <f>IMDIV("1",IMSUM(E29,IMDIV("1",M29)))</f>
        <v>0</v>
      </c>
      <c r="O29">
        <f>IMSUM(F29,N29)</f>
        <v>0</v>
      </c>
      <c r="P29">
        <f>IMDIV("1",IMSUM(G29,IMDIV("1",O29)))</f>
        <v>0</v>
      </c>
      <c r="Q29">
        <f>IMSUM(H29,P29)</f>
        <v>0</v>
      </c>
      <c r="R29">
        <f>IMDIV("1",IMSUM(I29,IMDIV("1",Q29)))</f>
        <v>0</v>
      </c>
      <c r="S29">
        <f>IMSUM(J29,R29)</f>
        <v>0</v>
      </c>
      <c r="T29">
        <f>IMDIV("1",IMSUM(K29,IMDIV("1",S29)))</f>
        <v>0</v>
      </c>
      <c r="U29">
        <f>IMSUM(L29,T29)</f>
        <v>0</v>
      </c>
      <c r="V29">
        <f>IMDIV(COMPLEX(I_DM_SOURCE,0),U29)</f>
        <v>0</v>
      </c>
      <c r="W29">
        <f>IMPRODUCT(V29,T29)</f>
        <v>0</v>
      </c>
      <c r="X29">
        <f>IMDIV(W29,S29)</f>
        <v>0</v>
      </c>
      <c r="Y29">
        <f>IMPRODUCT(X29,R29)</f>
        <v>0</v>
      </c>
      <c r="Z29">
        <f>IMDIV(Y29,Q29)</f>
        <v>0</v>
      </c>
      <c r="AA29">
        <f>IMPRODUCT(Z29,P29)</f>
        <v>0</v>
      </c>
      <c r="AB29">
        <f>AA29</f>
        <v>0</v>
      </c>
      <c r="AC29">
        <f>IMPRODUCT("-1",AB29)</f>
        <v>0</v>
      </c>
      <c r="AD29">
        <f>IMDIV(IMSUB(AB29,AC29),"2")</f>
        <v>0</v>
      </c>
      <c r="AE29" s="6">
        <f>IMABS(AB29)</f>
        <v>0</v>
      </c>
      <c r="AF29" s="6">
        <f>IMABS(AC29)</f>
        <v>0</v>
      </c>
      <c r="AG29" s="6">
        <f>IMABS(AD29)</f>
        <v>0</v>
      </c>
      <c r="AH29" s="7">
        <f>20*LOG10(MAX(AE29,1E-300)*1E6)</f>
        <v>0</v>
      </c>
      <c r="AI29" s="7">
        <f>20*LOG10(MAX(AF29,1E-300)*1E6)</f>
        <v>0</v>
      </c>
      <c r="AJ29" s="7">
        <f>20*LOG10(MAX(AG29,1E-300)*1E6)</f>
        <v>0</v>
      </c>
      <c r="AK29" s="7">
        <f>DEGREES(IMARGUMENT(AB29))</f>
        <v>0</v>
      </c>
      <c r="AL29" s="7">
        <f>DEGREES(IMARGUMENT(AC29))</f>
        <v>0</v>
      </c>
      <c r="AM29" s="7">
        <f>DEGREES(IMARGUMENT(AD29))</f>
        <v>0</v>
      </c>
    </row>
    <row r="30" spans="1:39">
      <c r="A30" s="6">
        <f>10^(LOG10(F_START)+(ROW()-ROW($A$2))*(LOG10(F_STOP)-LOG10(F_START))/(N_POINTS-1))</f>
        <v>0</v>
      </c>
      <c r="B30" s="6">
        <f>2*PI()*A30</f>
        <v>0</v>
      </c>
      <c r="C30">
        <f>COMPLEX(2*LINE_PS_DCR,2*B30*LINE_PS_L)</f>
        <v>0</v>
      </c>
      <c r="D30">
        <f>IMSUM(COMPLEX(0,B30*(LINE_PS_CLINE+LINE_PS_CCHA/2)),IMDIV("1",IMPRODUCT("2",COMPLEX(C_THROUGH_ESR,B30*C_THROUGH_ESL-1/(B30*C_THROUGH_C)))))</f>
        <v>0</v>
      </c>
      <c r="E30">
        <f>COMPLEX(2*LINE_INPUT_DCR,2*B30*LINE_INPUT_L)</f>
        <v>0</v>
      </c>
      <c r="F30">
        <f>COMPLEX(0,B30*(LINE_INPUT_CLINE+LINE_INPUT_CCHA/2))</f>
        <v>0</v>
      </c>
      <c r="G30">
        <f>IMPRODUCT("2",IMDIV("1",IMSUM(IMDIV("1",COMPLEX(LDM1_DCR,B30*LDM1_L)),COMPLEX(0,B30*LDM1_CPA))))</f>
        <v>0</v>
      </c>
      <c r="H30">
        <f>IMSUM(IMDIV("1",COMPLEX(CX1_ESR,B30*CX1_ESL-1/(B30*CX1_C))),IMDIV("1",IMSUM(COMPLEX(DUMP1_R,0),COMPLEX(DUMP1_ESR,B30*DUMP1_ESL-1/(B30*DUMP1_C)))))</f>
        <v>0</v>
      </c>
      <c r="I30">
        <f>IMPRODUCT("2",IMDIV("1",IMSUM(IMDIV("1",COMPLEX(LDM2_DCR,B30*LDM2_L)),COMPLEX(0,B30*LDM2_CPA))))</f>
        <v>0</v>
      </c>
      <c r="J30">
        <f>IMSUM(IMDIV("1",COMPLEX(CX2_ESR,B30*CX2_ESL-1/(B30*CX2_C))),IMDIV("1",IMSUM(COMPLEX(DUMP2_R,0),COMPLEX(DUMP2_ESR,B30*DUMP2_ESL-1/(B30*DUMP2_C)))))</f>
        <v>0</v>
      </c>
      <c r="K30">
        <f>IMPRODUCT("2",IMDIV("1",IMSUM(IMDIV("1",COMPLEX(CMC_DCR,B30*CMC_L*(1-CMC_K))),COMPLEX(0,B30*CMC_CPA))))</f>
        <v>0</v>
      </c>
      <c r="L30">
        <f>IMSUM(COMPLEX(0,B30*CMC_CLINE),IMDIV("1",IMPRODUCT("2",COMPLEX(CY_ESR,B30*CY_ESL-1/(B30*CY_C)))),COMPLEX(1/DUMMY_R,0))</f>
        <v>0</v>
      </c>
      <c r="M30">
        <f>IMSUM(D30,IMDIV("1",C30))</f>
        <v>0</v>
      </c>
      <c r="N30">
        <f>IMDIV("1",IMSUM(E30,IMDIV("1",M30)))</f>
        <v>0</v>
      </c>
      <c r="O30">
        <f>IMSUM(F30,N30)</f>
        <v>0</v>
      </c>
      <c r="P30">
        <f>IMDIV("1",IMSUM(G30,IMDIV("1",O30)))</f>
        <v>0</v>
      </c>
      <c r="Q30">
        <f>IMSUM(H30,P30)</f>
        <v>0</v>
      </c>
      <c r="R30">
        <f>IMDIV("1",IMSUM(I30,IMDIV("1",Q30)))</f>
        <v>0</v>
      </c>
      <c r="S30">
        <f>IMSUM(J30,R30)</f>
        <v>0</v>
      </c>
      <c r="T30">
        <f>IMDIV("1",IMSUM(K30,IMDIV("1",S30)))</f>
        <v>0</v>
      </c>
      <c r="U30">
        <f>IMSUM(L30,T30)</f>
        <v>0</v>
      </c>
      <c r="V30">
        <f>IMDIV(COMPLEX(I_DM_SOURCE,0),U30)</f>
        <v>0</v>
      </c>
      <c r="W30">
        <f>IMPRODUCT(V30,T30)</f>
        <v>0</v>
      </c>
      <c r="X30">
        <f>IMDIV(W30,S30)</f>
        <v>0</v>
      </c>
      <c r="Y30">
        <f>IMPRODUCT(X30,R30)</f>
        <v>0</v>
      </c>
      <c r="Z30">
        <f>IMDIV(Y30,Q30)</f>
        <v>0</v>
      </c>
      <c r="AA30">
        <f>IMPRODUCT(Z30,P30)</f>
        <v>0</v>
      </c>
      <c r="AB30">
        <f>AA30</f>
        <v>0</v>
      </c>
      <c r="AC30">
        <f>IMPRODUCT("-1",AB30)</f>
        <v>0</v>
      </c>
      <c r="AD30">
        <f>IMDIV(IMSUB(AB30,AC30),"2")</f>
        <v>0</v>
      </c>
      <c r="AE30" s="6">
        <f>IMABS(AB30)</f>
        <v>0</v>
      </c>
      <c r="AF30" s="6">
        <f>IMABS(AC30)</f>
        <v>0</v>
      </c>
      <c r="AG30" s="6">
        <f>IMABS(AD30)</f>
        <v>0</v>
      </c>
      <c r="AH30" s="7">
        <f>20*LOG10(MAX(AE30,1E-300)*1E6)</f>
        <v>0</v>
      </c>
      <c r="AI30" s="7">
        <f>20*LOG10(MAX(AF30,1E-300)*1E6)</f>
        <v>0</v>
      </c>
      <c r="AJ30" s="7">
        <f>20*LOG10(MAX(AG30,1E-300)*1E6)</f>
        <v>0</v>
      </c>
      <c r="AK30" s="7">
        <f>DEGREES(IMARGUMENT(AB30))</f>
        <v>0</v>
      </c>
      <c r="AL30" s="7">
        <f>DEGREES(IMARGUMENT(AC30))</f>
        <v>0</v>
      </c>
      <c r="AM30" s="7">
        <f>DEGREES(IMARGUMENT(AD30))</f>
        <v>0</v>
      </c>
    </row>
    <row r="31" spans="1:39">
      <c r="A31" s="6">
        <f>10^(LOG10(F_START)+(ROW()-ROW($A$2))*(LOG10(F_STOP)-LOG10(F_START))/(N_POINTS-1))</f>
        <v>0</v>
      </c>
      <c r="B31" s="6">
        <f>2*PI()*A31</f>
        <v>0</v>
      </c>
      <c r="C31">
        <f>COMPLEX(2*LINE_PS_DCR,2*B31*LINE_PS_L)</f>
        <v>0</v>
      </c>
      <c r="D31">
        <f>IMSUM(COMPLEX(0,B31*(LINE_PS_CLINE+LINE_PS_CCHA/2)),IMDIV("1",IMPRODUCT("2",COMPLEX(C_THROUGH_ESR,B31*C_THROUGH_ESL-1/(B31*C_THROUGH_C)))))</f>
        <v>0</v>
      </c>
      <c r="E31">
        <f>COMPLEX(2*LINE_INPUT_DCR,2*B31*LINE_INPUT_L)</f>
        <v>0</v>
      </c>
      <c r="F31">
        <f>COMPLEX(0,B31*(LINE_INPUT_CLINE+LINE_INPUT_CCHA/2))</f>
        <v>0</v>
      </c>
      <c r="G31">
        <f>IMPRODUCT("2",IMDIV("1",IMSUM(IMDIV("1",COMPLEX(LDM1_DCR,B31*LDM1_L)),COMPLEX(0,B31*LDM1_CPA))))</f>
        <v>0</v>
      </c>
      <c r="H31">
        <f>IMSUM(IMDIV("1",COMPLEX(CX1_ESR,B31*CX1_ESL-1/(B31*CX1_C))),IMDIV("1",IMSUM(COMPLEX(DUMP1_R,0),COMPLEX(DUMP1_ESR,B31*DUMP1_ESL-1/(B31*DUMP1_C)))))</f>
        <v>0</v>
      </c>
      <c r="I31">
        <f>IMPRODUCT("2",IMDIV("1",IMSUM(IMDIV("1",COMPLEX(LDM2_DCR,B31*LDM2_L)),COMPLEX(0,B31*LDM2_CPA))))</f>
        <v>0</v>
      </c>
      <c r="J31">
        <f>IMSUM(IMDIV("1",COMPLEX(CX2_ESR,B31*CX2_ESL-1/(B31*CX2_C))),IMDIV("1",IMSUM(COMPLEX(DUMP2_R,0),COMPLEX(DUMP2_ESR,B31*DUMP2_ESL-1/(B31*DUMP2_C)))))</f>
        <v>0</v>
      </c>
      <c r="K31">
        <f>IMPRODUCT("2",IMDIV("1",IMSUM(IMDIV("1",COMPLEX(CMC_DCR,B31*CMC_L*(1-CMC_K))),COMPLEX(0,B31*CMC_CPA))))</f>
        <v>0</v>
      </c>
      <c r="L31">
        <f>IMSUM(COMPLEX(0,B31*CMC_CLINE),IMDIV("1",IMPRODUCT("2",COMPLEX(CY_ESR,B31*CY_ESL-1/(B31*CY_C)))),COMPLEX(1/DUMMY_R,0))</f>
        <v>0</v>
      </c>
      <c r="M31">
        <f>IMSUM(D31,IMDIV("1",C31))</f>
        <v>0</v>
      </c>
      <c r="N31">
        <f>IMDIV("1",IMSUM(E31,IMDIV("1",M31)))</f>
        <v>0</v>
      </c>
      <c r="O31">
        <f>IMSUM(F31,N31)</f>
        <v>0</v>
      </c>
      <c r="P31">
        <f>IMDIV("1",IMSUM(G31,IMDIV("1",O31)))</f>
        <v>0</v>
      </c>
      <c r="Q31">
        <f>IMSUM(H31,P31)</f>
        <v>0</v>
      </c>
      <c r="R31">
        <f>IMDIV("1",IMSUM(I31,IMDIV("1",Q31)))</f>
        <v>0</v>
      </c>
      <c r="S31">
        <f>IMSUM(J31,R31)</f>
        <v>0</v>
      </c>
      <c r="T31">
        <f>IMDIV("1",IMSUM(K31,IMDIV("1",S31)))</f>
        <v>0</v>
      </c>
      <c r="U31">
        <f>IMSUM(L31,T31)</f>
        <v>0</v>
      </c>
      <c r="V31">
        <f>IMDIV(COMPLEX(I_DM_SOURCE,0),U31)</f>
        <v>0</v>
      </c>
      <c r="W31">
        <f>IMPRODUCT(V31,T31)</f>
        <v>0</v>
      </c>
      <c r="X31">
        <f>IMDIV(W31,S31)</f>
        <v>0</v>
      </c>
      <c r="Y31">
        <f>IMPRODUCT(X31,R31)</f>
        <v>0</v>
      </c>
      <c r="Z31">
        <f>IMDIV(Y31,Q31)</f>
        <v>0</v>
      </c>
      <c r="AA31">
        <f>IMPRODUCT(Z31,P31)</f>
        <v>0</v>
      </c>
      <c r="AB31">
        <f>AA31</f>
        <v>0</v>
      </c>
      <c r="AC31">
        <f>IMPRODUCT("-1",AB31)</f>
        <v>0</v>
      </c>
      <c r="AD31">
        <f>IMDIV(IMSUB(AB31,AC31),"2")</f>
        <v>0</v>
      </c>
      <c r="AE31" s="6">
        <f>IMABS(AB31)</f>
        <v>0</v>
      </c>
      <c r="AF31" s="6">
        <f>IMABS(AC31)</f>
        <v>0</v>
      </c>
      <c r="AG31" s="6">
        <f>IMABS(AD31)</f>
        <v>0</v>
      </c>
      <c r="AH31" s="7">
        <f>20*LOG10(MAX(AE31,1E-300)*1E6)</f>
        <v>0</v>
      </c>
      <c r="AI31" s="7">
        <f>20*LOG10(MAX(AF31,1E-300)*1E6)</f>
        <v>0</v>
      </c>
      <c r="AJ31" s="7">
        <f>20*LOG10(MAX(AG31,1E-300)*1E6)</f>
        <v>0</v>
      </c>
      <c r="AK31" s="7">
        <f>DEGREES(IMARGUMENT(AB31))</f>
        <v>0</v>
      </c>
      <c r="AL31" s="7">
        <f>DEGREES(IMARGUMENT(AC31))</f>
        <v>0</v>
      </c>
      <c r="AM31" s="7">
        <f>DEGREES(IMARGUMENT(AD31))</f>
        <v>0</v>
      </c>
    </row>
    <row r="32" spans="1:39">
      <c r="A32" s="6">
        <f>10^(LOG10(F_START)+(ROW()-ROW($A$2))*(LOG10(F_STOP)-LOG10(F_START))/(N_POINTS-1))</f>
        <v>0</v>
      </c>
      <c r="B32" s="6">
        <f>2*PI()*A32</f>
        <v>0</v>
      </c>
      <c r="C32">
        <f>COMPLEX(2*LINE_PS_DCR,2*B32*LINE_PS_L)</f>
        <v>0</v>
      </c>
      <c r="D32">
        <f>IMSUM(COMPLEX(0,B32*(LINE_PS_CLINE+LINE_PS_CCHA/2)),IMDIV("1",IMPRODUCT("2",COMPLEX(C_THROUGH_ESR,B32*C_THROUGH_ESL-1/(B32*C_THROUGH_C)))))</f>
        <v>0</v>
      </c>
      <c r="E32">
        <f>COMPLEX(2*LINE_INPUT_DCR,2*B32*LINE_INPUT_L)</f>
        <v>0</v>
      </c>
      <c r="F32">
        <f>COMPLEX(0,B32*(LINE_INPUT_CLINE+LINE_INPUT_CCHA/2))</f>
        <v>0</v>
      </c>
      <c r="G32">
        <f>IMPRODUCT("2",IMDIV("1",IMSUM(IMDIV("1",COMPLEX(LDM1_DCR,B32*LDM1_L)),COMPLEX(0,B32*LDM1_CPA))))</f>
        <v>0</v>
      </c>
      <c r="H32">
        <f>IMSUM(IMDIV("1",COMPLEX(CX1_ESR,B32*CX1_ESL-1/(B32*CX1_C))),IMDIV("1",IMSUM(COMPLEX(DUMP1_R,0),COMPLEX(DUMP1_ESR,B32*DUMP1_ESL-1/(B32*DUMP1_C)))))</f>
        <v>0</v>
      </c>
      <c r="I32">
        <f>IMPRODUCT("2",IMDIV("1",IMSUM(IMDIV("1",COMPLEX(LDM2_DCR,B32*LDM2_L)),COMPLEX(0,B32*LDM2_CPA))))</f>
        <v>0</v>
      </c>
      <c r="J32">
        <f>IMSUM(IMDIV("1",COMPLEX(CX2_ESR,B32*CX2_ESL-1/(B32*CX2_C))),IMDIV("1",IMSUM(COMPLEX(DUMP2_R,0),COMPLEX(DUMP2_ESR,B32*DUMP2_ESL-1/(B32*DUMP2_C)))))</f>
        <v>0</v>
      </c>
      <c r="K32">
        <f>IMPRODUCT("2",IMDIV("1",IMSUM(IMDIV("1",COMPLEX(CMC_DCR,B32*CMC_L*(1-CMC_K))),COMPLEX(0,B32*CMC_CPA))))</f>
        <v>0</v>
      </c>
      <c r="L32">
        <f>IMSUM(COMPLEX(0,B32*CMC_CLINE),IMDIV("1",IMPRODUCT("2",COMPLEX(CY_ESR,B32*CY_ESL-1/(B32*CY_C)))),COMPLEX(1/DUMMY_R,0))</f>
        <v>0</v>
      </c>
      <c r="M32">
        <f>IMSUM(D32,IMDIV("1",C32))</f>
        <v>0</v>
      </c>
      <c r="N32">
        <f>IMDIV("1",IMSUM(E32,IMDIV("1",M32)))</f>
        <v>0</v>
      </c>
      <c r="O32">
        <f>IMSUM(F32,N32)</f>
        <v>0</v>
      </c>
      <c r="P32">
        <f>IMDIV("1",IMSUM(G32,IMDIV("1",O32)))</f>
        <v>0</v>
      </c>
      <c r="Q32">
        <f>IMSUM(H32,P32)</f>
        <v>0</v>
      </c>
      <c r="R32">
        <f>IMDIV("1",IMSUM(I32,IMDIV("1",Q32)))</f>
        <v>0</v>
      </c>
      <c r="S32">
        <f>IMSUM(J32,R32)</f>
        <v>0</v>
      </c>
      <c r="T32">
        <f>IMDIV("1",IMSUM(K32,IMDIV("1",S32)))</f>
        <v>0</v>
      </c>
      <c r="U32">
        <f>IMSUM(L32,T32)</f>
        <v>0</v>
      </c>
      <c r="V32">
        <f>IMDIV(COMPLEX(I_DM_SOURCE,0),U32)</f>
        <v>0</v>
      </c>
      <c r="W32">
        <f>IMPRODUCT(V32,T32)</f>
        <v>0</v>
      </c>
      <c r="X32">
        <f>IMDIV(W32,S32)</f>
        <v>0</v>
      </c>
      <c r="Y32">
        <f>IMPRODUCT(X32,R32)</f>
        <v>0</v>
      </c>
      <c r="Z32">
        <f>IMDIV(Y32,Q32)</f>
        <v>0</v>
      </c>
      <c r="AA32">
        <f>IMPRODUCT(Z32,P32)</f>
        <v>0</v>
      </c>
      <c r="AB32">
        <f>AA32</f>
        <v>0</v>
      </c>
      <c r="AC32">
        <f>IMPRODUCT("-1",AB32)</f>
        <v>0</v>
      </c>
      <c r="AD32">
        <f>IMDIV(IMSUB(AB32,AC32),"2")</f>
        <v>0</v>
      </c>
      <c r="AE32" s="6">
        <f>IMABS(AB32)</f>
        <v>0</v>
      </c>
      <c r="AF32" s="6">
        <f>IMABS(AC32)</f>
        <v>0</v>
      </c>
      <c r="AG32" s="6">
        <f>IMABS(AD32)</f>
        <v>0</v>
      </c>
      <c r="AH32" s="7">
        <f>20*LOG10(MAX(AE32,1E-300)*1E6)</f>
        <v>0</v>
      </c>
      <c r="AI32" s="7">
        <f>20*LOG10(MAX(AF32,1E-300)*1E6)</f>
        <v>0</v>
      </c>
      <c r="AJ32" s="7">
        <f>20*LOG10(MAX(AG32,1E-300)*1E6)</f>
        <v>0</v>
      </c>
      <c r="AK32" s="7">
        <f>DEGREES(IMARGUMENT(AB32))</f>
        <v>0</v>
      </c>
      <c r="AL32" s="7">
        <f>DEGREES(IMARGUMENT(AC32))</f>
        <v>0</v>
      </c>
      <c r="AM32" s="7">
        <f>DEGREES(IMARGUMENT(AD32))</f>
        <v>0</v>
      </c>
    </row>
    <row r="33" spans="1:39">
      <c r="A33" s="6">
        <f>10^(LOG10(F_START)+(ROW()-ROW($A$2))*(LOG10(F_STOP)-LOG10(F_START))/(N_POINTS-1))</f>
        <v>0</v>
      </c>
      <c r="B33" s="6">
        <f>2*PI()*A33</f>
        <v>0</v>
      </c>
      <c r="C33">
        <f>COMPLEX(2*LINE_PS_DCR,2*B33*LINE_PS_L)</f>
        <v>0</v>
      </c>
      <c r="D33">
        <f>IMSUM(COMPLEX(0,B33*(LINE_PS_CLINE+LINE_PS_CCHA/2)),IMDIV("1",IMPRODUCT("2",COMPLEX(C_THROUGH_ESR,B33*C_THROUGH_ESL-1/(B33*C_THROUGH_C)))))</f>
        <v>0</v>
      </c>
      <c r="E33">
        <f>COMPLEX(2*LINE_INPUT_DCR,2*B33*LINE_INPUT_L)</f>
        <v>0</v>
      </c>
      <c r="F33">
        <f>COMPLEX(0,B33*(LINE_INPUT_CLINE+LINE_INPUT_CCHA/2))</f>
        <v>0</v>
      </c>
      <c r="G33">
        <f>IMPRODUCT("2",IMDIV("1",IMSUM(IMDIV("1",COMPLEX(LDM1_DCR,B33*LDM1_L)),COMPLEX(0,B33*LDM1_CPA))))</f>
        <v>0</v>
      </c>
      <c r="H33">
        <f>IMSUM(IMDIV("1",COMPLEX(CX1_ESR,B33*CX1_ESL-1/(B33*CX1_C))),IMDIV("1",IMSUM(COMPLEX(DUMP1_R,0),COMPLEX(DUMP1_ESR,B33*DUMP1_ESL-1/(B33*DUMP1_C)))))</f>
        <v>0</v>
      </c>
      <c r="I33">
        <f>IMPRODUCT("2",IMDIV("1",IMSUM(IMDIV("1",COMPLEX(LDM2_DCR,B33*LDM2_L)),COMPLEX(0,B33*LDM2_CPA))))</f>
        <v>0</v>
      </c>
      <c r="J33">
        <f>IMSUM(IMDIV("1",COMPLEX(CX2_ESR,B33*CX2_ESL-1/(B33*CX2_C))),IMDIV("1",IMSUM(COMPLEX(DUMP2_R,0),COMPLEX(DUMP2_ESR,B33*DUMP2_ESL-1/(B33*DUMP2_C)))))</f>
        <v>0</v>
      </c>
      <c r="K33">
        <f>IMPRODUCT("2",IMDIV("1",IMSUM(IMDIV("1",COMPLEX(CMC_DCR,B33*CMC_L*(1-CMC_K))),COMPLEX(0,B33*CMC_CPA))))</f>
        <v>0</v>
      </c>
      <c r="L33">
        <f>IMSUM(COMPLEX(0,B33*CMC_CLINE),IMDIV("1",IMPRODUCT("2",COMPLEX(CY_ESR,B33*CY_ESL-1/(B33*CY_C)))),COMPLEX(1/DUMMY_R,0))</f>
        <v>0</v>
      </c>
      <c r="M33">
        <f>IMSUM(D33,IMDIV("1",C33))</f>
        <v>0</v>
      </c>
      <c r="N33">
        <f>IMDIV("1",IMSUM(E33,IMDIV("1",M33)))</f>
        <v>0</v>
      </c>
      <c r="O33">
        <f>IMSUM(F33,N33)</f>
        <v>0</v>
      </c>
      <c r="P33">
        <f>IMDIV("1",IMSUM(G33,IMDIV("1",O33)))</f>
        <v>0</v>
      </c>
      <c r="Q33">
        <f>IMSUM(H33,P33)</f>
        <v>0</v>
      </c>
      <c r="R33">
        <f>IMDIV("1",IMSUM(I33,IMDIV("1",Q33)))</f>
        <v>0</v>
      </c>
      <c r="S33">
        <f>IMSUM(J33,R33)</f>
        <v>0</v>
      </c>
      <c r="T33">
        <f>IMDIV("1",IMSUM(K33,IMDIV("1",S33)))</f>
        <v>0</v>
      </c>
      <c r="U33">
        <f>IMSUM(L33,T33)</f>
        <v>0</v>
      </c>
      <c r="V33">
        <f>IMDIV(COMPLEX(I_DM_SOURCE,0),U33)</f>
        <v>0</v>
      </c>
      <c r="W33">
        <f>IMPRODUCT(V33,T33)</f>
        <v>0</v>
      </c>
      <c r="X33">
        <f>IMDIV(W33,S33)</f>
        <v>0</v>
      </c>
      <c r="Y33">
        <f>IMPRODUCT(X33,R33)</f>
        <v>0</v>
      </c>
      <c r="Z33">
        <f>IMDIV(Y33,Q33)</f>
        <v>0</v>
      </c>
      <c r="AA33">
        <f>IMPRODUCT(Z33,P33)</f>
        <v>0</v>
      </c>
      <c r="AB33">
        <f>AA33</f>
        <v>0</v>
      </c>
      <c r="AC33">
        <f>IMPRODUCT("-1",AB33)</f>
        <v>0</v>
      </c>
      <c r="AD33">
        <f>IMDIV(IMSUB(AB33,AC33),"2")</f>
        <v>0</v>
      </c>
      <c r="AE33" s="6">
        <f>IMABS(AB33)</f>
        <v>0</v>
      </c>
      <c r="AF33" s="6">
        <f>IMABS(AC33)</f>
        <v>0</v>
      </c>
      <c r="AG33" s="6">
        <f>IMABS(AD33)</f>
        <v>0</v>
      </c>
      <c r="AH33" s="7">
        <f>20*LOG10(MAX(AE33,1E-300)*1E6)</f>
        <v>0</v>
      </c>
      <c r="AI33" s="7">
        <f>20*LOG10(MAX(AF33,1E-300)*1E6)</f>
        <v>0</v>
      </c>
      <c r="AJ33" s="7">
        <f>20*LOG10(MAX(AG33,1E-300)*1E6)</f>
        <v>0</v>
      </c>
      <c r="AK33" s="7">
        <f>DEGREES(IMARGUMENT(AB33))</f>
        <v>0</v>
      </c>
      <c r="AL33" s="7">
        <f>DEGREES(IMARGUMENT(AC33))</f>
        <v>0</v>
      </c>
      <c r="AM33" s="7">
        <f>DEGREES(IMARGUMENT(AD33))</f>
        <v>0</v>
      </c>
    </row>
    <row r="34" spans="1:39">
      <c r="A34" s="6">
        <f>10^(LOG10(F_START)+(ROW()-ROW($A$2))*(LOG10(F_STOP)-LOG10(F_START))/(N_POINTS-1))</f>
        <v>0</v>
      </c>
      <c r="B34" s="6">
        <f>2*PI()*A34</f>
        <v>0</v>
      </c>
      <c r="C34">
        <f>COMPLEX(2*LINE_PS_DCR,2*B34*LINE_PS_L)</f>
        <v>0</v>
      </c>
      <c r="D34">
        <f>IMSUM(COMPLEX(0,B34*(LINE_PS_CLINE+LINE_PS_CCHA/2)),IMDIV("1",IMPRODUCT("2",COMPLEX(C_THROUGH_ESR,B34*C_THROUGH_ESL-1/(B34*C_THROUGH_C)))))</f>
        <v>0</v>
      </c>
      <c r="E34">
        <f>COMPLEX(2*LINE_INPUT_DCR,2*B34*LINE_INPUT_L)</f>
        <v>0</v>
      </c>
      <c r="F34">
        <f>COMPLEX(0,B34*(LINE_INPUT_CLINE+LINE_INPUT_CCHA/2))</f>
        <v>0</v>
      </c>
      <c r="G34">
        <f>IMPRODUCT("2",IMDIV("1",IMSUM(IMDIV("1",COMPLEX(LDM1_DCR,B34*LDM1_L)),COMPLEX(0,B34*LDM1_CPA))))</f>
        <v>0</v>
      </c>
      <c r="H34">
        <f>IMSUM(IMDIV("1",COMPLEX(CX1_ESR,B34*CX1_ESL-1/(B34*CX1_C))),IMDIV("1",IMSUM(COMPLEX(DUMP1_R,0),COMPLEX(DUMP1_ESR,B34*DUMP1_ESL-1/(B34*DUMP1_C)))))</f>
        <v>0</v>
      </c>
      <c r="I34">
        <f>IMPRODUCT("2",IMDIV("1",IMSUM(IMDIV("1",COMPLEX(LDM2_DCR,B34*LDM2_L)),COMPLEX(0,B34*LDM2_CPA))))</f>
        <v>0</v>
      </c>
      <c r="J34">
        <f>IMSUM(IMDIV("1",COMPLEX(CX2_ESR,B34*CX2_ESL-1/(B34*CX2_C))),IMDIV("1",IMSUM(COMPLEX(DUMP2_R,0),COMPLEX(DUMP2_ESR,B34*DUMP2_ESL-1/(B34*DUMP2_C)))))</f>
        <v>0</v>
      </c>
      <c r="K34">
        <f>IMPRODUCT("2",IMDIV("1",IMSUM(IMDIV("1",COMPLEX(CMC_DCR,B34*CMC_L*(1-CMC_K))),COMPLEX(0,B34*CMC_CPA))))</f>
        <v>0</v>
      </c>
      <c r="L34">
        <f>IMSUM(COMPLEX(0,B34*CMC_CLINE),IMDIV("1",IMPRODUCT("2",COMPLEX(CY_ESR,B34*CY_ESL-1/(B34*CY_C)))),COMPLEX(1/DUMMY_R,0))</f>
        <v>0</v>
      </c>
      <c r="M34">
        <f>IMSUM(D34,IMDIV("1",C34))</f>
        <v>0</v>
      </c>
      <c r="N34">
        <f>IMDIV("1",IMSUM(E34,IMDIV("1",M34)))</f>
        <v>0</v>
      </c>
      <c r="O34">
        <f>IMSUM(F34,N34)</f>
        <v>0</v>
      </c>
      <c r="P34">
        <f>IMDIV("1",IMSUM(G34,IMDIV("1",O34)))</f>
        <v>0</v>
      </c>
      <c r="Q34">
        <f>IMSUM(H34,P34)</f>
        <v>0</v>
      </c>
      <c r="R34">
        <f>IMDIV("1",IMSUM(I34,IMDIV("1",Q34)))</f>
        <v>0</v>
      </c>
      <c r="S34">
        <f>IMSUM(J34,R34)</f>
        <v>0</v>
      </c>
      <c r="T34">
        <f>IMDIV("1",IMSUM(K34,IMDIV("1",S34)))</f>
        <v>0</v>
      </c>
      <c r="U34">
        <f>IMSUM(L34,T34)</f>
        <v>0</v>
      </c>
      <c r="V34">
        <f>IMDIV(COMPLEX(I_DM_SOURCE,0),U34)</f>
        <v>0</v>
      </c>
      <c r="W34">
        <f>IMPRODUCT(V34,T34)</f>
        <v>0</v>
      </c>
      <c r="X34">
        <f>IMDIV(W34,S34)</f>
        <v>0</v>
      </c>
      <c r="Y34">
        <f>IMPRODUCT(X34,R34)</f>
        <v>0</v>
      </c>
      <c r="Z34">
        <f>IMDIV(Y34,Q34)</f>
        <v>0</v>
      </c>
      <c r="AA34">
        <f>IMPRODUCT(Z34,P34)</f>
        <v>0</v>
      </c>
      <c r="AB34">
        <f>AA34</f>
        <v>0</v>
      </c>
      <c r="AC34">
        <f>IMPRODUCT("-1",AB34)</f>
        <v>0</v>
      </c>
      <c r="AD34">
        <f>IMDIV(IMSUB(AB34,AC34),"2")</f>
        <v>0</v>
      </c>
      <c r="AE34" s="6">
        <f>IMABS(AB34)</f>
        <v>0</v>
      </c>
      <c r="AF34" s="6">
        <f>IMABS(AC34)</f>
        <v>0</v>
      </c>
      <c r="AG34" s="6">
        <f>IMABS(AD34)</f>
        <v>0</v>
      </c>
      <c r="AH34" s="7">
        <f>20*LOG10(MAX(AE34,1E-300)*1E6)</f>
        <v>0</v>
      </c>
      <c r="AI34" s="7">
        <f>20*LOG10(MAX(AF34,1E-300)*1E6)</f>
        <v>0</v>
      </c>
      <c r="AJ34" s="7">
        <f>20*LOG10(MAX(AG34,1E-300)*1E6)</f>
        <v>0</v>
      </c>
      <c r="AK34" s="7">
        <f>DEGREES(IMARGUMENT(AB34))</f>
        <v>0</v>
      </c>
      <c r="AL34" s="7">
        <f>DEGREES(IMARGUMENT(AC34))</f>
        <v>0</v>
      </c>
      <c r="AM34" s="7">
        <f>DEGREES(IMARGUMENT(AD34))</f>
        <v>0</v>
      </c>
    </row>
    <row r="35" spans="1:39">
      <c r="A35" s="6">
        <f>10^(LOG10(F_START)+(ROW()-ROW($A$2))*(LOG10(F_STOP)-LOG10(F_START))/(N_POINTS-1))</f>
        <v>0</v>
      </c>
      <c r="B35" s="6">
        <f>2*PI()*A35</f>
        <v>0</v>
      </c>
      <c r="C35">
        <f>COMPLEX(2*LINE_PS_DCR,2*B35*LINE_PS_L)</f>
        <v>0</v>
      </c>
      <c r="D35">
        <f>IMSUM(COMPLEX(0,B35*(LINE_PS_CLINE+LINE_PS_CCHA/2)),IMDIV("1",IMPRODUCT("2",COMPLEX(C_THROUGH_ESR,B35*C_THROUGH_ESL-1/(B35*C_THROUGH_C)))))</f>
        <v>0</v>
      </c>
      <c r="E35">
        <f>COMPLEX(2*LINE_INPUT_DCR,2*B35*LINE_INPUT_L)</f>
        <v>0</v>
      </c>
      <c r="F35">
        <f>COMPLEX(0,B35*(LINE_INPUT_CLINE+LINE_INPUT_CCHA/2))</f>
        <v>0</v>
      </c>
      <c r="G35">
        <f>IMPRODUCT("2",IMDIV("1",IMSUM(IMDIV("1",COMPLEX(LDM1_DCR,B35*LDM1_L)),COMPLEX(0,B35*LDM1_CPA))))</f>
        <v>0</v>
      </c>
      <c r="H35">
        <f>IMSUM(IMDIV("1",COMPLEX(CX1_ESR,B35*CX1_ESL-1/(B35*CX1_C))),IMDIV("1",IMSUM(COMPLEX(DUMP1_R,0),COMPLEX(DUMP1_ESR,B35*DUMP1_ESL-1/(B35*DUMP1_C)))))</f>
        <v>0</v>
      </c>
      <c r="I35">
        <f>IMPRODUCT("2",IMDIV("1",IMSUM(IMDIV("1",COMPLEX(LDM2_DCR,B35*LDM2_L)),COMPLEX(0,B35*LDM2_CPA))))</f>
        <v>0</v>
      </c>
      <c r="J35">
        <f>IMSUM(IMDIV("1",COMPLEX(CX2_ESR,B35*CX2_ESL-1/(B35*CX2_C))),IMDIV("1",IMSUM(COMPLEX(DUMP2_R,0),COMPLEX(DUMP2_ESR,B35*DUMP2_ESL-1/(B35*DUMP2_C)))))</f>
        <v>0</v>
      </c>
      <c r="K35">
        <f>IMPRODUCT("2",IMDIV("1",IMSUM(IMDIV("1",COMPLEX(CMC_DCR,B35*CMC_L*(1-CMC_K))),COMPLEX(0,B35*CMC_CPA))))</f>
        <v>0</v>
      </c>
      <c r="L35">
        <f>IMSUM(COMPLEX(0,B35*CMC_CLINE),IMDIV("1",IMPRODUCT("2",COMPLEX(CY_ESR,B35*CY_ESL-1/(B35*CY_C)))),COMPLEX(1/DUMMY_R,0))</f>
        <v>0</v>
      </c>
      <c r="M35">
        <f>IMSUM(D35,IMDIV("1",C35))</f>
        <v>0</v>
      </c>
      <c r="N35">
        <f>IMDIV("1",IMSUM(E35,IMDIV("1",M35)))</f>
        <v>0</v>
      </c>
      <c r="O35">
        <f>IMSUM(F35,N35)</f>
        <v>0</v>
      </c>
      <c r="P35">
        <f>IMDIV("1",IMSUM(G35,IMDIV("1",O35)))</f>
        <v>0</v>
      </c>
      <c r="Q35">
        <f>IMSUM(H35,P35)</f>
        <v>0</v>
      </c>
      <c r="R35">
        <f>IMDIV("1",IMSUM(I35,IMDIV("1",Q35)))</f>
        <v>0</v>
      </c>
      <c r="S35">
        <f>IMSUM(J35,R35)</f>
        <v>0</v>
      </c>
      <c r="T35">
        <f>IMDIV("1",IMSUM(K35,IMDIV("1",S35)))</f>
        <v>0</v>
      </c>
      <c r="U35">
        <f>IMSUM(L35,T35)</f>
        <v>0</v>
      </c>
      <c r="V35">
        <f>IMDIV(COMPLEX(I_DM_SOURCE,0),U35)</f>
        <v>0</v>
      </c>
      <c r="W35">
        <f>IMPRODUCT(V35,T35)</f>
        <v>0</v>
      </c>
      <c r="X35">
        <f>IMDIV(W35,S35)</f>
        <v>0</v>
      </c>
      <c r="Y35">
        <f>IMPRODUCT(X35,R35)</f>
        <v>0</v>
      </c>
      <c r="Z35">
        <f>IMDIV(Y35,Q35)</f>
        <v>0</v>
      </c>
      <c r="AA35">
        <f>IMPRODUCT(Z35,P35)</f>
        <v>0</v>
      </c>
      <c r="AB35">
        <f>AA35</f>
        <v>0</v>
      </c>
      <c r="AC35">
        <f>IMPRODUCT("-1",AB35)</f>
        <v>0</v>
      </c>
      <c r="AD35">
        <f>IMDIV(IMSUB(AB35,AC35),"2")</f>
        <v>0</v>
      </c>
      <c r="AE35" s="6">
        <f>IMABS(AB35)</f>
        <v>0</v>
      </c>
      <c r="AF35" s="6">
        <f>IMABS(AC35)</f>
        <v>0</v>
      </c>
      <c r="AG35" s="6">
        <f>IMABS(AD35)</f>
        <v>0</v>
      </c>
      <c r="AH35" s="7">
        <f>20*LOG10(MAX(AE35,1E-300)*1E6)</f>
        <v>0</v>
      </c>
      <c r="AI35" s="7">
        <f>20*LOG10(MAX(AF35,1E-300)*1E6)</f>
        <v>0</v>
      </c>
      <c r="AJ35" s="7">
        <f>20*LOG10(MAX(AG35,1E-300)*1E6)</f>
        <v>0</v>
      </c>
      <c r="AK35" s="7">
        <f>DEGREES(IMARGUMENT(AB35))</f>
        <v>0</v>
      </c>
      <c r="AL35" s="7">
        <f>DEGREES(IMARGUMENT(AC35))</f>
        <v>0</v>
      </c>
      <c r="AM35" s="7">
        <f>DEGREES(IMARGUMENT(AD35))</f>
        <v>0</v>
      </c>
    </row>
    <row r="36" spans="1:39">
      <c r="A36" s="6">
        <f>10^(LOG10(F_START)+(ROW()-ROW($A$2))*(LOG10(F_STOP)-LOG10(F_START))/(N_POINTS-1))</f>
        <v>0</v>
      </c>
      <c r="B36" s="6">
        <f>2*PI()*A36</f>
        <v>0</v>
      </c>
      <c r="C36">
        <f>COMPLEX(2*LINE_PS_DCR,2*B36*LINE_PS_L)</f>
        <v>0</v>
      </c>
      <c r="D36">
        <f>IMSUM(COMPLEX(0,B36*(LINE_PS_CLINE+LINE_PS_CCHA/2)),IMDIV("1",IMPRODUCT("2",COMPLEX(C_THROUGH_ESR,B36*C_THROUGH_ESL-1/(B36*C_THROUGH_C)))))</f>
        <v>0</v>
      </c>
      <c r="E36">
        <f>COMPLEX(2*LINE_INPUT_DCR,2*B36*LINE_INPUT_L)</f>
        <v>0</v>
      </c>
      <c r="F36">
        <f>COMPLEX(0,B36*(LINE_INPUT_CLINE+LINE_INPUT_CCHA/2))</f>
        <v>0</v>
      </c>
      <c r="G36">
        <f>IMPRODUCT("2",IMDIV("1",IMSUM(IMDIV("1",COMPLEX(LDM1_DCR,B36*LDM1_L)),COMPLEX(0,B36*LDM1_CPA))))</f>
        <v>0</v>
      </c>
      <c r="H36">
        <f>IMSUM(IMDIV("1",COMPLEX(CX1_ESR,B36*CX1_ESL-1/(B36*CX1_C))),IMDIV("1",IMSUM(COMPLEX(DUMP1_R,0),COMPLEX(DUMP1_ESR,B36*DUMP1_ESL-1/(B36*DUMP1_C)))))</f>
        <v>0</v>
      </c>
      <c r="I36">
        <f>IMPRODUCT("2",IMDIV("1",IMSUM(IMDIV("1",COMPLEX(LDM2_DCR,B36*LDM2_L)),COMPLEX(0,B36*LDM2_CPA))))</f>
        <v>0</v>
      </c>
      <c r="J36">
        <f>IMSUM(IMDIV("1",COMPLEX(CX2_ESR,B36*CX2_ESL-1/(B36*CX2_C))),IMDIV("1",IMSUM(COMPLEX(DUMP2_R,0),COMPLEX(DUMP2_ESR,B36*DUMP2_ESL-1/(B36*DUMP2_C)))))</f>
        <v>0</v>
      </c>
      <c r="K36">
        <f>IMPRODUCT("2",IMDIV("1",IMSUM(IMDIV("1",COMPLEX(CMC_DCR,B36*CMC_L*(1-CMC_K))),COMPLEX(0,B36*CMC_CPA))))</f>
        <v>0</v>
      </c>
      <c r="L36">
        <f>IMSUM(COMPLEX(0,B36*CMC_CLINE),IMDIV("1",IMPRODUCT("2",COMPLEX(CY_ESR,B36*CY_ESL-1/(B36*CY_C)))),COMPLEX(1/DUMMY_R,0))</f>
        <v>0</v>
      </c>
      <c r="M36">
        <f>IMSUM(D36,IMDIV("1",C36))</f>
        <v>0</v>
      </c>
      <c r="N36">
        <f>IMDIV("1",IMSUM(E36,IMDIV("1",M36)))</f>
        <v>0</v>
      </c>
      <c r="O36">
        <f>IMSUM(F36,N36)</f>
        <v>0</v>
      </c>
      <c r="P36">
        <f>IMDIV("1",IMSUM(G36,IMDIV("1",O36)))</f>
        <v>0</v>
      </c>
      <c r="Q36">
        <f>IMSUM(H36,P36)</f>
        <v>0</v>
      </c>
      <c r="R36">
        <f>IMDIV("1",IMSUM(I36,IMDIV("1",Q36)))</f>
        <v>0</v>
      </c>
      <c r="S36">
        <f>IMSUM(J36,R36)</f>
        <v>0</v>
      </c>
      <c r="T36">
        <f>IMDIV("1",IMSUM(K36,IMDIV("1",S36)))</f>
        <v>0</v>
      </c>
      <c r="U36">
        <f>IMSUM(L36,T36)</f>
        <v>0</v>
      </c>
      <c r="V36">
        <f>IMDIV(COMPLEX(I_DM_SOURCE,0),U36)</f>
        <v>0</v>
      </c>
      <c r="W36">
        <f>IMPRODUCT(V36,T36)</f>
        <v>0</v>
      </c>
      <c r="X36">
        <f>IMDIV(W36,S36)</f>
        <v>0</v>
      </c>
      <c r="Y36">
        <f>IMPRODUCT(X36,R36)</f>
        <v>0</v>
      </c>
      <c r="Z36">
        <f>IMDIV(Y36,Q36)</f>
        <v>0</v>
      </c>
      <c r="AA36">
        <f>IMPRODUCT(Z36,P36)</f>
        <v>0</v>
      </c>
      <c r="AB36">
        <f>AA36</f>
        <v>0</v>
      </c>
      <c r="AC36">
        <f>IMPRODUCT("-1",AB36)</f>
        <v>0</v>
      </c>
      <c r="AD36">
        <f>IMDIV(IMSUB(AB36,AC36),"2")</f>
        <v>0</v>
      </c>
      <c r="AE36" s="6">
        <f>IMABS(AB36)</f>
        <v>0</v>
      </c>
      <c r="AF36" s="6">
        <f>IMABS(AC36)</f>
        <v>0</v>
      </c>
      <c r="AG36" s="6">
        <f>IMABS(AD36)</f>
        <v>0</v>
      </c>
      <c r="AH36" s="7">
        <f>20*LOG10(MAX(AE36,1E-300)*1E6)</f>
        <v>0</v>
      </c>
      <c r="AI36" s="7">
        <f>20*LOG10(MAX(AF36,1E-300)*1E6)</f>
        <v>0</v>
      </c>
      <c r="AJ36" s="7">
        <f>20*LOG10(MAX(AG36,1E-300)*1E6)</f>
        <v>0</v>
      </c>
      <c r="AK36" s="7">
        <f>DEGREES(IMARGUMENT(AB36))</f>
        <v>0</v>
      </c>
      <c r="AL36" s="7">
        <f>DEGREES(IMARGUMENT(AC36))</f>
        <v>0</v>
      </c>
      <c r="AM36" s="7">
        <f>DEGREES(IMARGUMENT(AD36))</f>
        <v>0</v>
      </c>
    </row>
    <row r="37" spans="1:39">
      <c r="A37" s="6">
        <f>10^(LOG10(F_START)+(ROW()-ROW($A$2))*(LOG10(F_STOP)-LOG10(F_START))/(N_POINTS-1))</f>
        <v>0</v>
      </c>
      <c r="B37" s="6">
        <f>2*PI()*A37</f>
        <v>0</v>
      </c>
      <c r="C37">
        <f>COMPLEX(2*LINE_PS_DCR,2*B37*LINE_PS_L)</f>
        <v>0</v>
      </c>
      <c r="D37">
        <f>IMSUM(COMPLEX(0,B37*(LINE_PS_CLINE+LINE_PS_CCHA/2)),IMDIV("1",IMPRODUCT("2",COMPLEX(C_THROUGH_ESR,B37*C_THROUGH_ESL-1/(B37*C_THROUGH_C)))))</f>
        <v>0</v>
      </c>
      <c r="E37">
        <f>COMPLEX(2*LINE_INPUT_DCR,2*B37*LINE_INPUT_L)</f>
        <v>0</v>
      </c>
      <c r="F37">
        <f>COMPLEX(0,B37*(LINE_INPUT_CLINE+LINE_INPUT_CCHA/2))</f>
        <v>0</v>
      </c>
      <c r="G37">
        <f>IMPRODUCT("2",IMDIV("1",IMSUM(IMDIV("1",COMPLEX(LDM1_DCR,B37*LDM1_L)),COMPLEX(0,B37*LDM1_CPA))))</f>
        <v>0</v>
      </c>
      <c r="H37">
        <f>IMSUM(IMDIV("1",COMPLEX(CX1_ESR,B37*CX1_ESL-1/(B37*CX1_C))),IMDIV("1",IMSUM(COMPLEX(DUMP1_R,0),COMPLEX(DUMP1_ESR,B37*DUMP1_ESL-1/(B37*DUMP1_C)))))</f>
        <v>0</v>
      </c>
      <c r="I37">
        <f>IMPRODUCT("2",IMDIV("1",IMSUM(IMDIV("1",COMPLEX(LDM2_DCR,B37*LDM2_L)),COMPLEX(0,B37*LDM2_CPA))))</f>
        <v>0</v>
      </c>
      <c r="J37">
        <f>IMSUM(IMDIV("1",COMPLEX(CX2_ESR,B37*CX2_ESL-1/(B37*CX2_C))),IMDIV("1",IMSUM(COMPLEX(DUMP2_R,0),COMPLEX(DUMP2_ESR,B37*DUMP2_ESL-1/(B37*DUMP2_C)))))</f>
        <v>0</v>
      </c>
      <c r="K37">
        <f>IMPRODUCT("2",IMDIV("1",IMSUM(IMDIV("1",COMPLEX(CMC_DCR,B37*CMC_L*(1-CMC_K))),COMPLEX(0,B37*CMC_CPA))))</f>
        <v>0</v>
      </c>
      <c r="L37">
        <f>IMSUM(COMPLEX(0,B37*CMC_CLINE),IMDIV("1",IMPRODUCT("2",COMPLEX(CY_ESR,B37*CY_ESL-1/(B37*CY_C)))),COMPLEX(1/DUMMY_R,0))</f>
        <v>0</v>
      </c>
      <c r="M37">
        <f>IMSUM(D37,IMDIV("1",C37))</f>
        <v>0</v>
      </c>
      <c r="N37">
        <f>IMDIV("1",IMSUM(E37,IMDIV("1",M37)))</f>
        <v>0</v>
      </c>
      <c r="O37">
        <f>IMSUM(F37,N37)</f>
        <v>0</v>
      </c>
      <c r="P37">
        <f>IMDIV("1",IMSUM(G37,IMDIV("1",O37)))</f>
        <v>0</v>
      </c>
      <c r="Q37">
        <f>IMSUM(H37,P37)</f>
        <v>0</v>
      </c>
      <c r="R37">
        <f>IMDIV("1",IMSUM(I37,IMDIV("1",Q37)))</f>
        <v>0</v>
      </c>
      <c r="S37">
        <f>IMSUM(J37,R37)</f>
        <v>0</v>
      </c>
      <c r="T37">
        <f>IMDIV("1",IMSUM(K37,IMDIV("1",S37)))</f>
        <v>0</v>
      </c>
      <c r="U37">
        <f>IMSUM(L37,T37)</f>
        <v>0</v>
      </c>
      <c r="V37">
        <f>IMDIV(COMPLEX(I_DM_SOURCE,0),U37)</f>
        <v>0</v>
      </c>
      <c r="W37">
        <f>IMPRODUCT(V37,T37)</f>
        <v>0</v>
      </c>
      <c r="X37">
        <f>IMDIV(W37,S37)</f>
        <v>0</v>
      </c>
      <c r="Y37">
        <f>IMPRODUCT(X37,R37)</f>
        <v>0</v>
      </c>
      <c r="Z37">
        <f>IMDIV(Y37,Q37)</f>
        <v>0</v>
      </c>
      <c r="AA37">
        <f>IMPRODUCT(Z37,P37)</f>
        <v>0</v>
      </c>
      <c r="AB37">
        <f>AA37</f>
        <v>0</v>
      </c>
      <c r="AC37">
        <f>IMPRODUCT("-1",AB37)</f>
        <v>0</v>
      </c>
      <c r="AD37">
        <f>IMDIV(IMSUB(AB37,AC37),"2")</f>
        <v>0</v>
      </c>
      <c r="AE37" s="6">
        <f>IMABS(AB37)</f>
        <v>0</v>
      </c>
      <c r="AF37" s="6">
        <f>IMABS(AC37)</f>
        <v>0</v>
      </c>
      <c r="AG37" s="6">
        <f>IMABS(AD37)</f>
        <v>0</v>
      </c>
      <c r="AH37" s="7">
        <f>20*LOG10(MAX(AE37,1E-300)*1E6)</f>
        <v>0</v>
      </c>
      <c r="AI37" s="7">
        <f>20*LOG10(MAX(AF37,1E-300)*1E6)</f>
        <v>0</v>
      </c>
      <c r="AJ37" s="7">
        <f>20*LOG10(MAX(AG37,1E-300)*1E6)</f>
        <v>0</v>
      </c>
      <c r="AK37" s="7">
        <f>DEGREES(IMARGUMENT(AB37))</f>
        <v>0</v>
      </c>
      <c r="AL37" s="7">
        <f>DEGREES(IMARGUMENT(AC37))</f>
        <v>0</v>
      </c>
      <c r="AM37" s="7">
        <f>DEGREES(IMARGUMENT(AD37))</f>
        <v>0</v>
      </c>
    </row>
    <row r="38" spans="1:39">
      <c r="A38" s="6">
        <f>10^(LOG10(F_START)+(ROW()-ROW($A$2))*(LOG10(F_STOP)-LOG10(F_START))/(N_POINTS-1))</f>
        <v>0</v>
      </c>
      <c r="B38" s="6">
        <f>2*PI()*A38</f>
        <v>0</v>
      </c>
      <c r="C38">
        <f>COMPLEX(2*LINE_PS_DCR,2*B38*LINE_PS_L)</f>
        <v>0</v>
      </c>
      <c r="D38">
        <f>IMSUM(COMPLEX(0,B38*(LINE_PS_CLINE+LINE_PS_CCHA/2)),IMDIV("1",IMPRODUCT("2",COMPLEX(C_THROUGH_ESR,B38*C_THROUGH_ESL-1/(B38*C_THROUGH_C)))))</f>
        <v>0</v>
      </c>
      <c r="E38">
        <f>COMPLEX(2*LINE_INPUT_DCR,2*B38*LINE_INPUT_L)</f>
        <v>0</v>
      </c>
      <c r="F38">
        <f>COMPLEX(0,B38*(LINE_INPUT_CLINE+LINE_INPUT_CCHA/2))</f>
        <v>0</v>
      </c>
      <c r="G38">
        <f>IMPRODUCT("2",IMDIV("1",IMSUM(IMDIV("1",COMPLEX(LDM1_DCR,B38*LDM1_L)),COMPLEX(0,B38*LDM1_CPA))))</f>
        <v>0</v>
      </c>
      <c r="H38">
        <f>IMSUM(IMDIV("1",COMPLEX(CX1_ESR,B38*CX1_ESL-1/(B38*CX1_C))),IMDIV("1",IMSUM(COMPLEX(DUMP1_R,0),COMPLEX(DUMP1_ESR,B38*DUMP1_ESL-1/(B38*DUMP1_C)))))</f>
        <v>0</v>
      </c>
      <c r="I38">
        <f>IMPRODUCT("2",IMDIV("1",IMSUM(IMDIV("1",COMPLEX(LDM2_DCR,B38*LDM2_L)),COMPLEX(0,B38*LDM2_CPA))))</f>
        <v>0</v>
      </c>
      <c r="J38">
        <f>IMSUM(IMDIV("1",COMPLEX(CX2_ESR,B38*CX2_ESL-1/(B38*CX2_C))),IMDIV("1",IMSUM(COMPLEX(DUMP2_R,0),COMPLEX(DUMP2_ESR,B38*DUMP2_ESL-1/(B38*DUMP2_C)))))</f>
        <v>0</v>
      </c>
      <c r="K38">
        <f>IMPRODUCT("2",IMDIV("1",IMSUM(IMDIV("1",COMPLEX(CMC_DCR,B38*CMC_L*(1-CMC_K))),COMPLEX(0,B38*CMC_CPA))))</f>
        <v>0</v>
      </c>
      <c r="L38">
        <f>IMSUM(COMPLEX(0,B38*CMC_CLINE),IMDIV("1",IMPRODUCT("2",COMPLEX(CY_ESR,B38*CY_ESL-1/(B38*CY_C)))),COMPLEX(1/DUMMY_R,0))</f>
        <v>0</v>
      </c>
      <c r="M38">
        <f>IMSUM(D38,IMDIV("1",C38))</f>
        <v>0</v>
      </c>
      <c r="N38">
        <f>IMDIV("1",IMSUM(E38,IMDIV("1",M38)))</f>
        <v>0</v>
      </c>
      <c r="O38">
        <f>IMSUM(F38,N38)</f>
        <v>0</v>
      </c>
      <c r="P38">
        <f>IMDIV("1",IMSUM(G38,IMDIV("1",O38)))</f>
        <v>0</v>
      </c>
      <c r="Q38">
        <f>IMSUM(H38,P38)</f>
        <v>0</v>
      </c>
      <c r="R38">
        <f>IMDIV("1",IMSUM(I38,IMDIV("1",Q38)))</f>
        <v>0</v>
      </c>
      <c r="S38">
        <f>IMSUM(J38,R38)</f>
        <v>0</v>
      </c>
      <c r="T38">
        <f>IMDIV("1",IMSUM(K38,IMDIV("1",S38)))</f>
        <v>0</v>
      </c>
      <c r="U38">
        <f>IMSUM(L38,T38)</f>
        <v>0</v>
      </c>
      <c r="V38">
        <f>IMDIV(COMPLEX(I_DM_SOURCE,0),U38)</f>
        <v>0</v>
      </c>
      <c r="W38">
        <f>IMPRODUCT(V38,T38)</f>
        <v>0</v>
      </c>
      <c r="X38">
        <f>IMDIV(W38,S38)</f>
        <v>0</v>
      </c>
      <c r="Y38">
        <f>IMPRODUCT(X38,R38)</f>
        <v>0</v>
      </c>
      <c r="Z38">
        <f>IMDIV(Y38,Q38)</f>
        <v>0</v>
      </c>
      <c r="AA38">
        <f>IMPRODUCT(Z38,P38)</f>
        <v>0</v>
      </c>
      <c r="AB38">
        <f>AA38</f>
        <v>0</v>
      </c>
      <c r="AC38">
        <f>IMPRODUCT("-1",AB38)</f>
        <v>0</v>
      </c>
      <c r="AD38">
        <f>IMDIV(IMSUB(AB38,AC38),"2")</f>
        <v>0</v>
      </c>
      <c r="AE38" s="6">
        <f>IMABS(AB38)</f>
        <v>0</v>
      </c>
      <c r="AF38" s="6">
        <f>IMABS(AC38)</f>
        <v>0</v>
      </c>
      <c r="AG38" s="6">
        <f>IMABS(AD38)</f>
        <v>0</v>
      </c>
      <c r="AH38" s="7">
        <f>20*LOG10(MAX(AE38,1E-300)*1E6)</f>
        <v>0</v>
      </c>
      <c r="AI38" s="7">
        <f>20*LOG10(MAX(AF38,1E-300)*1E6)</f>
        <v>0</v>
      </c>
      <c r="AJ38" s="7">
        <f>20*LOG10(MAX(AG38,1E-300)*1E6)</f>
        <v>0</v>
      </c>
      <c r="AK38" s="7">
        <f>DEGREES(IMARGUMENT(AB38))</f>
        <v>0</v>
      </c>
      <c r="AL38" s="7">
        <f>DEGREES(IMARGUMENT(AC38))</f>
        <v>0</v>
      </c>
      <c r="AM38" s="7">
        <f>DEGREES(IMARGUMENT(AD38))</f>
        <v>0</v>
      </c>
    </row>
    <row r="39" spans="1:39">
      <c r="A39" s="6">
        <f>10^(LOG10(F_START)+(ROW()-ROW($A$2))*(LOG10(F_STOP)-LOG10(F_START))/(N_POINTS-1))</f>
        <v>0</v>
      </c>
      <c r="B39" s="6">
        <f>2*PI()*A39</f>
        <v>0</v>
      </c>
      <c r="C39">
        <f>COMPLEX(2*LINE_PS_DCR,2*B39*LINE_PS_L)</f>
        <v>0</v>
      </c>
      <c r="D39">
        <f>IMSUM(COMPLEX(0,B39*(LINE_PS_CLINE+LINE_PS_CCHA/2)),IMDIV("1",IMPRODUCT("2",COMPLEX(C_THROUGH_ESR,B39*C_THROUGH_ESL-1/(B39*C_THROUGH_C)))))</f>
        <v>0</v>
      </c>
      <c r="E39">
        <f>COMPLEX(2*LINE_INPUT_DCR,2*B39*LINE_INPUT_L)</f>
        <v>0</v>
      </c>
      <c r="F39">
        <f>COMPLEX(0,B39*(LINE_INPUT_CLINE+LINE_INPUT_CCHA/2))</f>
        <v>0</v>
      </c>
      <c r="G39">
        <f>IMPRODUCT("2",IMDIV("1",IMSUM(IMDIV("1",COMPLEX(LDM1_DCR,B39*LDM1_L)),COMPLEX(0,B39*LDM1_CPA))))</f>
        <v>0</v>
      </c>
      <c r="H39">
        <f>IMSUM(IMDIV("1",COMPLEX(CX1_ESR,B39*CX1_ESL-1/(B39*CX1_C))),IMDIV("1",IMSUM(COMPLEX(DUMP1_R,0),COMPLEX(DUMP1_ESR,B39*DUMP1_ESL-1/(B39*DUMP1_C)))))</f>
        <v>0</v>
      </c>
      <c r="I39">
        <f>IMPRODUCT("2",IMDIV("1",IMSUM(IMDIV("1",COMPLEX(LDM2_DCR,B39*LDM2_L)),COMPLEX(0,B39*LDM2_CPA))))</f>
        <v>0</v>
      </c>
      <c r="J39">
        <f>IMSUM(IMDIV("1",COMPLEX(CX2_ESR,B39*CX2_ESL-1/(B39*CX2_C))),IMDIV("1",IMSUM(COMPLEX(DUMP2_R,0),COMPLEX(DUMP2_ESR,B39*DUMP2_ESL-1/(B39*DUMP2_C)))))</f>
        <v>0</v>
      </c>
      <c r="K39">
        <f>IMPRODUCT("2",IMDIV("1",IMSUM(IMDIV("1",COMPLEX(CMC_DCR,B39*CMC_L*(1-CMC_K))),COMPLEX(0,B39*CMC_CPA))))</f>
        <v>0</v>
      </c>
      <c r="L39">
        <f>IMSUM(COMPLEX(0,B39*CMC_CLINE),IMDIV("1",IMPRODUCT("2",COMPLEX(CY_ESR,B39*CY_ESL-1/(B39*CY_C)))),COMPLEX(1/DUMMY_R,0))</f>
        <v>0</v>
      </c>
      <c r="M39">
        <f>IMSUM(D39,IMDIV("1",C39))</f>
        <v>0</v>
      </c>
      <c r="N39">
        <f>IMDIV("1",IMSUM(E39,IMDIV("1",M39)))</f>
        <v>0</v>
      </c>
      <c r="O39">
        <f>IMSUM(F39,N39)</f>
        <v>0</v>
      </c>
      <c r="P39">
        <f>IMDIV("1",IMSUM(G39,IMDIV("1",O39)))</f>
        <v>0</v>
      </c>
      <c r="Q39">
        <f>IMSUM(H39,P39)</f>
        <v>0</v>
      </c>
      <c r="R39">
        <f>IMDIV("1",IMSUM(I39,IMDIV("1",Q39)))</f>
        <v>0</v>
      </c>
      <c r="S39">
        <f>IMSUM(J39,R39)</f>
        <v>0</v>
      </c>
      <c r="T39">
        <f>IMDIV("1",IMSUM(K39,IMDIV("1",S39)))</f>
        <v>0</v>
      </c>
      <c r="U39">
        <f>IMSUM(L39,T39)</f>
        <v>0</v>
      </c>
      <c r="V39">
        <f>IMDIV(COMPLEX(I_DM_SOURCE,0),U39)</f>
        <v>0</v>
      </c>
      <c r="W39">
        <f>IMPRODUCT(V39,T39)</f>
        <v>0</v>
      </c>
      <c r="X39">
        <f>IMDIV(W39,S39)</f>
        <v>0</v>
      </c>
      <c r="Y39">
        <f>IMPRODUCT(X39,R39)</f>
        <v>0</v>
      </c>
      <c r="Z39">
        <f>IMDIV(Y39,Q39)</f>
        <v>0</v>
      </c>
      <c r="AA39">
        <f>IMPRODUCT(Z39,P39)</f>
        <v>0</v>
      </c>
      <c r="AB39">
        <f>AA39</f>
        <v>0</v>
      </c>
      <c r="AC39">
        <f>IMPRODUCT("-1",AB39)</f>
        <v>0</v>
      </c>
      <c r="AD39">
        <f>IMDIV(IMSUB(AB39,AC39),"2")</f>
        <v>0</v>
      </c>
      <c r="AE39" s="6">
        <f>IMABS(AB39)</f>
        <v>0</v>
      </c>
      <c r="AF39" s="6">
        <f>IMABS(AC39)</f>
        <v>0</v>
      </c>
      <c r="AG39" s="6">
        <f>IMABS(AD39)</f>
        <v>0</v>
      </c>
      <c r="AH39" s="7">
        <f>20*LOG10(MAX(AE39,1E-300)*1E6)</f>
        <v>0</v>
      </c>
      <c r="AI39" s="7">
        <f>20*LOG10(MAX(AF39,1E-300)*1E6)</f>
        <v>0</v>
      </c>
      <c r="AJ39" s="7">
        <f>20*LOG10(MAX(AG39,1E-300)*1E6)</f>
        <v>0</v>
      </c>
      <c r="AK39" s="7">
        <f>DEGREES(IMARGUMENT(AB39))</f>
        <v>0</v>
      </c>
      <c r="AL39" s="7">
        <f>DEGREES(IMARGUMENT(AC39))</f>
        <v>0</v>
      </c>
      <c r="AM39" s="7">
        <f>DEGREES(IMARGUMENT(AD39))</f>
        <v>0</v>
      </c>
    </row>
    <row r="40" spans="1:39">
      <c r="A40" s="6">
        <f>10^(LOG10(F_START)+(ROW()-ROW($A$2))*(LOG10(F_STOP)-LOG10(F_START))/(N_POINTS-1))</f>
        <v>0</v>
      </c>
      <c r="B40" s="6">
        <f>2*PI()*A40</f>
        <v>0</v>
      </c>
      <c r="C40">
        <f>COMPLEX(2*LINE_PS_DCR,2*B40*LINE_PS_L)</f>
        <v>0</v>
      </c>
      <c r="D40">
        <f>IMSUM(COMPLEX(0,B40*(LINE_PS_CLINE+LINE_PS_CCHA/2)),IMDIV("1",IMPRODUCT("2",COMPLEX(C_THROUGH_ESR,B40*C_THROUGH_ESL-1/(B40*C_THROUGH_C)))))</f>
        <v>0</v>
      </c>
      <c r="E40">
        <f>COMPLEX(2*LINE_INPUT_DCR,2*B40*LINE_INPUT_L)</f>
        <v>0</v>
      </c>
      <c r="F40">
        <f>COMPLEX(0,B40*(LINE_INPUT_CLINE+LINE_INPUT_CCHA/2))</f>
        <v>0</v>
      </c>
      <c r="G40">
        <f>IMPRODUCT("2",IMDIV("1",IMSUM(IMDIV("1",COMPLEX(LDM1_DCR,B40*LDM1_L)),COMPLEX(0,B40*LDM1_CPA))))</f>
        <v>0</v>
      </c>
      <c r="H40">
        <f>IMSUM(IMDIV("1",COMPLEX(CX1_ESR,B40*CX1_ESL-1/(B40*CX1_C))),IMDIV("1",IMSUM(COMPLEX(DUMP1_R,0),COMPLEX(DUMP1_ESR,B40*DUMP1_ESL-1/(B40*DUMP1_C)))))</f>
        <v>0</v>
      </c>
      <c r="I40">
        <f>IMPRODUCT("2",IMDIV("1",IMSUM(IMDIV("1",COMPLEX(LDM2_DCR,B40*LDM2_L)),COMPLEX(0,B40*LDM2_CPA))))</f>
        <v>0</v>
      </c>
      <c r="J40">
        <f>IMSUM(IMDIV("1",COMPLEX(CX2_ESR,B40*CX2_ESL-1/(B40*CX2_C))),IMDIV("1",IMSUM(COMPLEX(DUMP2_R,0),COMPLEX(DUMP2_ESR,B40*DUMP2_ESL-1/(B40*DUMP2_C)))))</f>
        <v>0</v>
      </c>
      <c r="K40">
        <f>IMPRODUCT("2",IMDIV("1",IMSUM(IMDIV("1",COMPLEX(CMC_DCR,B40*CMC_L*(1-CMC_K))),COMPLEX(0,B40*CMC_CPA))))</f>
        <v>0</v>
      </c>
      <c r="L40">
        <f>IMSUM(COMPLEX(0,B40*CMC_CLINE),IMDIV("1",IMPRODUCT("2",COMPLEX(CY_ESR,B40*CY_ESL-1/(B40*CY_C)))),COMPLEX(1/DUMMY_R,0))</f>
        <v>0</v>
      </c>
      <c r="M40">
        <f>IMSUM(D40,IMDIV("1",C40))</f>
        <v>0</v>
      </c>
      <c r="N40">
        <f>IMDIV("1",IMSUM(E40,IMDIV("1",M40)))</f>
        <v>0</v>
      </c>
      <c r="O40">
        <f>IMSUM(F40,N40)</f>
        <v>0</v>
      </c>
      <c r="P40">
        <f>IMDIV("1",IMSUM(G40,IMDIV("1",O40)))</f>
        <v>0</v>
      </c>
      <c r="Q40">
        <f>IMSUM(H40,P40)</f>
        <v>0</v>
      </c>
      <c r="R40">
        <f>IMDIV("1",IMSUM(I40,IMDIV("1",Q40)))</f>
        <v>0</v>
      </c>
      <c r="S40">
        <f>IMSUM(J40,R40)</f>
        <v>0</v>
      </c>
      <c r="T40">
        <f>IMDIV("1",IMSUM(K40,IMDIV("1",S40)))</f>
        <v>0</v>
      </c>
      <c r="U40">
        <f>IMSUM(L40,T40)</f>
        <v>0</v>
      </c>
      <c r="V40">
        <f>IMDIV(COMPLEX(I_DM_SOURCE,0),U40)</f>
        <v>0</v>
      </c>
      <c r="W40">
        <f>IMPRODUCT(V40,T40)</f>
        <v>0</v>
      </c>
      <c r="X40">
        <f>IMDIV(W40,S40)</f>
        <v>0</v>
      </c>
      <c r="Y40">
        <f>IMPRODUCT(X40,R40)</f>
        <v>0</v>
      </c>
      <c r="Z40">
        <f>IMDIV(Y40,Q40)</f>
        <v>0</v>
      </c>
      <c r="AA40">
        <f>IMPRODUCT(Z40,P40)</f>
        <v>0</v>
      </c>
      <c r="AB40">
        <f>AA40</f>
        <v>0</v>
      </c>
      <c r="AC40">
        <f>IMPRODUCT("-1",AB40)</f>
        <v>0</v>
      </c>
      <c r="AD40">
        <f>IMDIV(IMSUB(AB40,AC40),"2")</f>
        <v>0</v>
      </c>
      <c r="AE40" s="6">
        <f>IMABS(AB40)</f>
        <v>0</v>
      </c>
      <c r="AF40" s="6">
        <f>IMABS(AC40)</f>
        <v>0</v>
      </c>
      <c r="AG40" s="6">
        <f>IMABS(AD40)</f>
        <v>0</v>
      </c>
      <c r="AH40" s="7">
        <f>20*LOG10(MAX(AE40,1E-300)*1E6)</f>
        <v>0</v>
      </c>
      <c r="AI40" s="7">
        <f>20*LOG10(MAX(AF40,1E-300)*1E6)</f>
        <v>0</v>
      </c>
      <c r="AJ40" s="7">
        <f>20*LOG10(MAX(AG40,1E-300)*1E6)</f>
        <v>0</v>
      </c>
      <c r="AK40" s="7">
        <f>DEGREES(IMARGUMENT(AB40))</f>
        <v>0</v>
      </c>
      <c r="AL40" s="7">
        <f>DEGREES(IMARGUMENT(AC40))</f>
        <v>0</v>
      </c>
      <c r="AM40" s="7">
        <f>DEGREES(IMARGUMENT(AD40))</f>
        <v>0</v>
      </c>
    </row>
    <row r="41" spans="1:39">
      <c r="A41" s="6">
        <f>10^(LOG10(F_START)+(ROW()-ROW($A$2))*(LOG10(F_STOP)-LOG10(F_START))/(N_POINTS-1))</f>
        <v>0</v>
      </c>
      <c r="B41" s="6">
        <f>2*PI()*A41</f>
        <v>0</v>
      </c>
      <c r="C41">
        <f>COMPLEX(2*LINE_PS_DCR,2*B41*LINE_PS_L)</f>
        <v>0</v>
      </c>
      <c r="D41">
        <f>IMSUM(COMPLEX(0,B41*(LINE_PS_CLINE+LINE_PS_CCHA/2)),IMDIV("1",IMPRODUCT("2",COMPLEX(C_THROUGH_ESR,B41*C_THROUGH_ESL-1/(B41*C_THROUGH_C)))))</f>
        <v>0</v>
      </c>
      <c r="E41">
        <f>COMPLEX(2*LINE_INPUT_DCR,2*B41*LINE_INPUT_L)</f>
        <v>0</v>
      </c>
      <c r="F41">
        <f>COMPLEX(0,B41*(LINE_INPUT_CLINE+LINE_INPUT_CCHA/2))</f>
        <v>0</v>
      </c>
      <c r="G41">
        <f>IMPRODUCT("2",IMDIV("1",IMSUM(IMDIV("1",COMPLEX(LDM1_DCR,B41*LDM1_L)),COMPLEX(0,B41*LDM1_CPA))))</f>
        <v>0</v>
      </c>
      <c r="H41">
        <f>IMSUM(IMDIV("1",COMPLEX(CX1_ESR,B41*CX1_ESL-1/(B41*CX1_C))),IMDIV("1",IMSUM(COMPLEX(DUMP1_R,0),COMPLEX(DUMP1_ESR,B41*DUMP1_ESL-1/(B41*DUMP1_C)))))</f>
        <v>0</v>
      </c>
      <c r="I41">
        <f>IMPRODUCT("2",IMDIV("1",IMSUM(IMDIV("1",COMPLEX(LDM2_DCR,B41*LDM2_L)),COMPLEX(0,B41*LDM2_CPA))))</f>
        <v>0</v>
      </c>
      <c r="J41">
        <f>IMSUM(IMDIV("1",COMPLEX(CX2_ESR,B41*CX2_ESL-1/(B41*CX2_C))),IMDIV("1",IMSUM(COMPLEX(DUMP2_R,0),COMPLEX(DUMP2_ESR,B41*DUMP2_ESL-1/(B41*DUMP2_C)))))</f>
        <v>0</v>
      </c>
      <c r="K41">
        <f>IMPRODUCT("2",IMDIV("1",IMSUM(IMDIV("1",COMPLEX(CMC_DCR,B41*CMC_L*(1-CMC_K))),COMPLEX(0,B41*CMC_CPA))))</f>
        <v>0</v>
      </c>
      <c r="L41">
        <f>IMSUM(COMPLEX(0,B41*CMC_CLINE),IMDIV("1",IMPRODUCT("2",COMPLEX(CY_ESR,B41*CY_ESL-1/(B41*CY_C)))),COMPLEX(1/DUMMY_R,0))</f>
        <v>0</v>
      </c>
      <c r="M41">
        <f>IMSUM(D41,IMDIV("1",C41))</f>
        <v>0</v>
      </c>
      <c r="N41">
        <f>IMDIV("1",IMSUM(E41,IMDIV("1",M41)))</f>
        <v>0</v>
      </c>
      <c r="O41">
        <f>IMSUM(F41,N41)</f>
        <v>0</v>
      </c>
      <c r="P41">
        <f>IMDIV("1",IMSUM(G41,IMDIV("1",O41)))</f>
        <v>0</v>
      </c>
      <c r="Q41">
        <f>IMSUM(H41,P41)</f>
        <v>0</v>
      </c>
      <c r="R41">
        <f>IMDIV("1",IMSUM(I41,IMDIV("1",Q41)))</f>
        <v>0</v>
      </c>
      <c r="S41">
        <f>IMSUM(J41,R41)</f>
        <v>0</v>
      </c>
      <c r="T41">
        <f>IMDIV("1",IMSUM(K41,IMDIV("1",S41)))</f>
        <v>0</v>
      </c>
      <c r="U41">
        <f>IMSUM(L41,T41)</f>
        <v>0</v>
      </c>
      <c r="V41">
        <f>IMDIV(COMPLEX(I_DM_SOURCE,0),U41)</f>
        <v>0</v>
      </c>
      <c r="W41">
        <f>IMPRODUCT(V41,T41)</f>
        <v>0</v>
      </c>
      <c r="X41">
        <f>IMDIV(W41,S41)</f>
        <v>0</v>
      </c>
      <c r="Y41">
        <f>IMPRODUCT(X41,R41)</f>
        <v>0</v>
      </c>
      <c r="Z41">
        <f>IMDIV(Y41,Q41)</f>
        <v>0</v>
      </c>
      <c r="AA41">
        <f>IMPRODUCT(Z41,P41)</f>
        <v>0</v>
      </c>
      <c r="AB41">
        <f>AA41</f>
        <v>0</v>
      </c>
      <c r="AC41">
        <f>IMPRODUCT("-1",AB41)</f>
        <v>0</v>
      </c>
      <c r="AD41">
        <f>IMDIV(IMSUB(AB41,AC41),"2")</f>
        <v>0</v>
      </c>
      <c r="AE41" s="6">
        <f>IMABS(AB41)</f>
        <v>0</v>
      </c>
      <c r="AF41" s="6">
        <f>IMABS(AC41)</f>
        <v>0</v>
      </c>
      <c r="AG41" s="6">
        <f>IMABS(AD41)</f>
        <v>0</v>
      </c>
      <c r="AH41" s="7">
        <f>20*LOG10(MAX(AE41,1E-300)*1E6)</f>
        <v>0</v>
      </c>
      <c r="AI41" s="7">
        <f>20*LOG10(MAX(AF41,1E-300)*1E6)</f>
        <v>0</v>
      </c>
      <c r="AJ41" s="7">
        <f>20*LOG10(MAX(AG41,1E-300)*1E6)</f>
        <v>0</v>
      </c>
      <c r="AK41" s="7">
        <f>DEGREES(IMARGUMENT(AB41))</f>
        <v>0</v>
      </c>
      <c r="AL41" s="7">
        <f>DEGREES(IMARGUMENT(AC41))</f>
        <v>0</v>
      </c>
      <c r="AM41" s="7">
        <f>DEGREES(IMARGUMENT(AD41))</f>
        <v>0</v>
      </c>
    </row>
    <row r="42" spans="1:39">
      <c r="A42" s="6">
        <f>10^(LOG10(F_START)+(ROW()-ROW($A$2))*(LOG10(F_STOP)-LOG10(F_START))/(N_POINTS-1))</f>
        <v>0</v>
      </c>
      <c r="B42" s="6">
        <f>2*PI()*A42</f>
        <v>0</v>
      </c>
      <c r="C42">
        <f>COMPLEX(2*LINE_PS_DCR,2*B42*LINE_PS_L)</f>
        <v>0</v>
      </c>
      <c r="D42">
        <f>IMSUM(COMPLEX(0,B42*(LINE_PS_CLINE+LINE_PS_CCHA/2)),IMDIV("1",IMPRODUCT("2",COMPLEX(C_THROUGH_ESR,B42*C_THROUGH_ESL-1/(B42*C_THROUGH_C)))))</f>
        <v>0</v>
      </c>
      <c r="E42">
        <f>COMPLEX(2*LINE_INPUT_DCR,2*B42*LINE_INPUT_L)</f>
        <v>0</v>
      </c>
      <c r="F42">
        <f>COMPLEX(0,B42*(LINE_INPUT_CLINE+LINE_INPUT_CCHA/2))</f>
        <v>0</v>
      </c>
      <c r="G42">
        <f>IMPRODUCT("2",IMDIV("1",IMSUM(IMDIV("1",COMPLEX(LDM1_DCR,B42*LDM1_L)),COMPLEX(0,B42*LDM1_CPA))))</f>
        <v>0</v>
      </c>
      <c r="H42">
        <f>IMSUM(IMDIV("1",COMPLEX(CX1_ESR,B42*CX1_ESL-1/(B42*CX1_C))),IMDIV("1",IMSUM(COMPLEX(DUMP1_R,0),COMPLEX(DUMP1_ESR,B42*DUMP1_ESL-1/(B42*DUMP1_C)))))</f>
        <v>0</v>
      </c>
      <c r="I42">
        <f>IMPRODUCT("2",IMDIV("1",IMSUM(IMDIV("1",COMPLEX(LDM2_DCR,B42*LDM2_L)),COMPLEX(0,B42*LDM2_CPA))))</f>
        <v>0</v>
      </c>
      <c r="J42">
        <f>IMSUM(IMDIV("1",COMPLEX(CX2_ESR,B42*CX2_ESL-1/(B42*CX2_C))),IMDIV("1",IMSUM(COMPLEX(DUMP2_R,0),COMPLEX(DUMP2_ESR,B42*DUMP2_ESL-1/(B42*DUMP2_C)))))</f>
        <v>0</v>
      </c>
      <c r="K42">
        <f>IMPRODUCT("2",IMDIV("1",IMSUM(IMDIV("1",COMPLEX(CMC_DCR,B42*CMC_L*(1-CMC_K))),COMPLEX(0,B42*CMC_CPA))))</f>
        <v>0</v>
      </c>
      <c r="L42">
        <f>IMSUM(COMPLEX(0,B42*CMC_CLINE),IMDIV("1",IMPRODUCT("2",COMPLEX(CY_ESR,B42*CY_ESL-1/(B42*CY_C)))),COMPLEX(1/DUMMY_R,0))</f>
        <v>0</v>
      </c>
      <c r="M42">
        <f>IMSUM(D42,IMDIV("1",C42))</f>
        <v>0</v>
      </c>
      <c r="N42">
        <f>IMDIV("1",IMSUM(E42,IMDIV("1",M42)))</f>
        <v>0</v>
      </c>
      <c r="O42">
        <f>IMSUM(F42,N42)</f>
        <v>0</v>
      </c>
      <c r="P42">
        <f>IMDIV("1",IMSUM(G42,IMDIV("1",O42)))</f>
        <v>0</v>
      </c>
      <c r="Q42">
        <f>IMSUM(H42,P42)</f>
        <v>0</v>
      </c>
      <c r="R42">
        <f>IMDIV("1",IMSUM(I42,IMDIV("1",Q42)))</f>
        <v>0</v>
      </c>
      <c r="S42">
        <f>IMSUM(J42,R42)</f>
        <v>0</v>
      </c>
      <c r="T42">
        <f>IMDIV("1",IMSUM(K42,IMDIV("1",S42)))</f>
        <v>0</v>
      </c>
      <c r="U42">
        <f>IMSUM(L42,T42)</f>
        <v>0</v>
      </c>
      <c r="V42">
        <f>IMDIV(COMPLEX(I_DM_SOURCE,0),U42)</f>
        <v>0</v>
      </c>
      <c r="W42">
        <f>IMPRODUCT(V42,T42)</f>
        <v>0</v>
      </c>
      <c r="X42">
        <f>IMDIV(W42,S42)</f>
        <v>0</v>
      </c>
      <c r="Y42">
        <f>IMPRODUCT(X42,R42)</f>
        <v>0</v>
      </c>
      <c r="Z42">
        <f>IMDIV(Y42,Q42)</f>
        <v>0</v>
      </c>
      <c r="AA42">
        <f>IMPRODUCT(Z42,P42)</f>
        <v>0</v>
      </c>
      <c r="AB42">
        <f>AA42</f>
        <v>0</v>
      </c>
      <c r="AC42">
        <f>IMPRODUCT("-1",AB42)</f>
        <v>0</v>
      </c>
      <c r="AD42">
        <f>IMDIV(IMSUB(AB42,AC42),"2")</f>
        <v>0</v>
      </c>
      <c r="AE42" s="6">
        <f>IMABS(AB42)</f>
        <v>0</v>
      </c>
      <c r="AF42" s="6">
        <f>IMABS(AC42)</f>
        <v>0</v>
      </c>
      <c r="AG42" s="6">
        <f>IMABS(AD42)</f>
        <v>0</v>
      </c>
      <c r="AH42" s="7">
        <f>20*LOG10(MAX(AE42,1E-300)*1E6)</f>
        <v>0</v>
      </c>
      <c r="AI42" s="7">
        <f>20*LOG10(MAX(AF42,1E-300)*1E6)</f>
        <v>0</v>
      </c>
      <c r="AJ42" s="7">
        <f>20*LOG10(MAX(AG42,1E-300)*1E6)</f>
        <v>0</v>
      </c>
      <c r="AK42" s="7">
        <f>DEGREES(IMARGUMENT(AB42))</f>
        <v>0</v>
      </c>
      <c r="AL42" s="7">
        <f>DEGREES(IMARGUMENT(AC42))</f>
        <v>0</v>
      </c>
      <c r="AM42" s="7">
        <f>DEGREES(IMARGUMENT(AD42))</f>
        <v>0</v>
      </c>
    </row>
    <row r="43" spans="1:39">
      <c r="A43" s="6">
        <f>10^(LOG10(F_START)+(ROW()-ROW($A$2))*(LOG10(F_STOP)-LOG10(F_START))/(N_POINTS-1))</f>
        <v>0</v>
      </c>
      <c r="B43" s="6">
        <f>2*PI()*A43</f>
        <v>0</v>
      </c>
      <c r="C43">
        <f>COMPLEX(2*LINE_PS_DCR,2*B43*LINE_PS_L)</f>
        <v>0</v>
      </c>
      <c r="D43">
        <f>IMSUM(COMPLEX(0,B43*(LINE_PS_CLINE+LINE_PS_CCHA/2)),IMDIV("1",IMPRODUCT("2",COMPLEX(C_THROUGH_ESR,B43*C_THROUGH_ESL-1/(B43*C_THROUGH_C)))))</f>
        <v>0</v>
      </c>
      <c r="E43">
        <f>COMPLEX(2*LINE_INPUT_DCR,2*B43*LINE_INPUT_L)</f>
        <v>0</v>
      </c>
      <c r="F43">
        <f>COMPLEX(0,B43*(LINE_INPUT_CLINE+LINE_INPUT_CCHA/2))</f>
        <v>0</v>
      </c>
      <c r="G43">
        <f>IMPRODUCT("2",IMDIV("1",IMSUM(IMDIV("1",COMPLEX(LDM1_DCR,B43*LDM1_L)),COMPLEX(0,B43*LDM1_CPA))))</f>
        <v>0</v>
      </c>
      <c r="H43">
        <f>IMSUM(IMDIV("1",COMPLEX(CX1_ESR,B43*CX1_ESL-1/(B43*CX1_C))),IMDIV("1",IMSUM(COMPLEX(DUMP1_R,0),COMPLEX(DUMP1_ESR,B43*DUMP1_ESL-1/(B43*DUMP1_C)))))</f>
        <v>0</v>
      </c>
      <c r="I43">
        <f>IMPRODUCT("2",IMDIV("1",IMSUM(IMDIV("1",COMPLEX(LDM2_DCR,B43*LDM2_L)),COMPLEX(0,B43*LDM2_CPA))))</f>
        <v>0</v>
      </c>
      <c r="J43">
        <f>IMSUM(IMDIV("1",COMPLEX(CX2_ESR,B43*CX2_ESL-1/(B43*CX2_C))),IMDIV("1",IMSUM(COMPLEX(DUMP2_R,0),COMPLEX(DUMP2_ESR,B43*DUMP2_ESL-1/(B43*DUMP2_C)))))</f>
        <v>0</v>
      </c>
      <c r="K43">
        <f>IMPRODUCT("2",IMDIV("1",IMSUM(IMDIV("1",COMPLEX(CMC_DCR,B43*CMC_L*(1-CMC_K))),COMPLEX(0,B43*CMC_CPA))))</f>
        <v>0</v>
      </c>
      <c r="L43">
        <f>IMSUM(COMPLEX(0,B43*CMC_CLINE),IMDIV("1",IMPRODUCT("2",COMPLEX(CY_ESR,B43*CY_ESL-1/(B43*CY_C)))),COMPLEX(1/DUMMY_R,0))</f>
        <v>0</v>
      </c>
      <c r="M43">
        <f>IMSUM(D43,IMDIV("1",C43))</f>
        <v>0</v>
      </c>
      <c r="N43">
        <f>IMDIV("1",IMSUM(E43,IMDIV("1",M43)))</f>
        <v>0</v>
      </c>
      <c r="O43">
        <f>IMSUM(F43,N43)</f>
        <v>0</v>
      </c>
      <c r="P43">
        <f>IMDIV("1",IMSUM(G43,IMDIV("1",O43)))</f>
        <v>0</v>
      </c>
      <c r="Q43">
        <f>IMSUM(H43,P43)</f>
        <v>0</v>
      </c>
      <c r="R43">
        <f>IMDIV("1",IMSUM(I43,IMDIV("1",Q43)))</f>
        <v>0</v>
      </c>
      <c r="S43">
        <f>IMSUM(J43,R43)</f>
        <v>0</v>
      </c>
      <c r="T43">
        <f>IMDIV("1",IMSUM(K43,IMDIV("1",S43)))</f>
        <v>0</v>
      </c>
      <c r="U43">
        <f>IMSUM(L43,T43)</f>
        <v>0</v>
      </c>
      <c r="V43">
        <f>IMDIV(COMPLEX(I_DM_SOURCE,0),U43)</f>
        <v>0</v>
      </c>
      <c r="W43">
        <f>IMPRODUCT(V43,T43)</f>
        <v>0</v>
      </c>
      <c r="X43">
        <f>IMDIV(W43,S43)</f>
        <v>0</v>
      </c>
      <c r="Y43">
        <f>IMPRODUCT(X43,R43)</f>
        <v>0</v>
      </c>
      <c r="Z43">
        <f>IMDIV(Y43,Q43)</f>
        <v>0</v>
      </c>
      <c r="AA43">
        <f>IMPRODUCT(Z43,P43)</f>
        <v>0</v>
      </c>
      <c r="AB43">
        <f>AA43</f>
        <v>0</v>
      </c>
      <c r="AC43">
        <f>IMPRODUCT("-1",AB43)</f>
        <v>0</v>
      </c>
      <c r="AD43">
        <f>IMDIV(IMSUB(AB43,AC43),"2")</f>
        <v>0</v>
      </c>
      <c r="AE43" s="6">
        <f>IMABS(AB43)</f>
        <v>0</v>
      </c>
      <c r="AF43" s="6">
        <f>IMABS(AC43)</f>
        <v>0</v>
      </c>
      <c r="AG43" s="6">
        <f>IMABS(AD43)</f>
        <v>0</v>
      </c>
      <c r="AH43" s="7">
        <f>20*LOG10(MAX(AE43,1E-300)*1E6)</f>
        <v>0</v>
      </c>
      <c r="AI43" s="7">
        <f>20*LOG10(MAX(AF43,1E-300)*1E6)</f>
        <v>0</v>
      </c>
      <c r="AJ43" s="7">
        <f>20*LOG10(MAX(AG43,1E-300)*1E6)</f>
        <v>0</v>
      </c>
      <c r="AK43" s="7">
        <f>DEGREES(IMARGUMENT(AB43))</f>
        <v>0</v>
      </c>
      <c r="AL43" s="7">
        <f>DEGREES(IMARGUMENT(AC43))</f>
        <v>0</v>
      </c>
      <c r="AM43" s="7">
        <f>DEGREES(IMARGUMENT(AD43))</f>
        <v>0</v>
      </c>
    </row>
    <row r="44" spans="1:39">
      <c r="A44" s="6">
        <f>10^(LOG10(F_START)+(ROW()-ROW($A$2))*(LOG10(F_STOP)-LOG10(F_START))/(N_POINTS-1))</f>
        <v>0</v>
      </c>
      <c r="B44" s="6">
        <f>2*PI()*A44</f>
        <v>0</v>
      </c>
      <c r="C44">
        <f>COMPLEX(2*LINE_PS_DCR,2*B44*LINE_PS_L)</f>
        <v>0</v>
      </c>
      <c r="D44">
        <f>IMSUM(COMPLEX(0,B44*(LINE_PS_CLINE+LINE_PS_CCHA/2)),IMDIV("1",IMPRODUCT("2",COMPLEX(C_THROUGH_ESR,B44*C_THROUGH_ESL-1/(B44*C_THROUGH_C)))))</f>
        <v>0</v>
      </c>
      <c r="E44">
        <f>COMPLEX(2*LINE_INPUT_DCR,2*B44*LINE_INPUT_L)</f>
        <v>0</v>
      </c>
      <c r="F44">
        <f>COMPLEX(0,B44*(LINE_INPUT_CLINE+LINE_INPUT_CCHA/2))</f>
        <v>0</v>
      </c>
      <c r="G44">
        <f>IMPRODUCT("2",IMDIV("1",IMSUM(IMDIV("1",COMPLEX(LDM1_DCR,B44*LDM1_L)),COMPLEX(0,B44*LDM1_CPA))))</f>
        <v>0</v>
      </c>
      <c r="H44">
        <f>IMSUM(IMDIV("1",COMPLEX(CX1_ESR,B44*CX1_ESL-1/(B44*CX1_C))),IMDIV("1",IMSUM(COMPLEX(DUMP1_R,0),COMPLEX(DUMP1_ESR,B44*DUMP1_ESL-1/(B44*DUMP1_C)))))</f>
        <v>0</v>
      </c>
      <c r="I44">
        <f>IMPRODUCT("2",IMDIV("1",IMSUM(IMDIV("1",COMPLEX(LDM2_DCR,B44*LDM2_L)),COMPLEX(0,B44*LDM2_CPA))))</f>
        <v>0</v>
      </c>
      <c r="J44">
        <f>IMSUM(IMDIV("1",COMPLEX(CX2_ESR,B44*CX2_ESL-1/(B44*CX2_C))),IMDIV("1",IMSUM(COMPLEX(DUMP2_R,0),COMPLEX(DUMP2_ESR,B44*DUMP2_ESL-1/(B44*DUMP2_C)))))</f>
        <v>0</v>
      </c>
      <c r="K44">
        <f>IMPRODUCT("2",IMDIV("1",IMSUM(IMDIV("1",COMPLEX(CMC_DCR,B44*CMC_L*(1-CMC_K))),COMPLEX(0,B44*CMC_CPA))))</f>
        <v>0</v>
      </c>
      <c r="L44">
        <f>IMSUM(COMPLEX(0,B44*CMC_CLINE),IMDIV("1",IMPRODUCT("2",COMPLEX(CY_ESR,B44*CY_ESL-1/(B44*CY_C)))),COMPLEX(1/DUMMY_R,0))</f>
        <v>0</v>
      </c>
      <c r="M44">
        <f>IMSUM(D44,IMDIV("1",C44))</f>
        <v>0</v>
      </c>
      <c r="N44">
        <f>IMDIV("1",IMSUM(E44,IMDIV("1",M44)))</f>
        <v>0</v>
      </c>
      <c r="O44">
        <f>IMSUM(F44,N44)</f>
        <v>0</v>
      </c>
      <c r="P44">
        <f>IMDIV("1",IMSUM(G44,IMDIV("1",O44)))</f>
        <v>0</v>
      </c>
      <c r="Q44">
        <f>IMSUM(H44,P44)</f>
        <v>0</v>
      </c>
      <c r="R44">
        <f>IMDIV("1",IMSUM(I44,IMDIV("1",Q44)))</f>
        <v>0</v>
      </c>
      <c r="S44">
        <f>IMSUM(J44,R44)</f>
        <v>0</v>
      </c>
      <c r="T44">
        <f>IMDIV("1",IMSUM(K44,IMDIV("1",S44)))</f>
        <v>0</v>
      </c>
      <c r="U44">
        <f>IMSUM(L44,T44)</f>
        <v>0</v>
      </c>
      <c r="V44">
        <f>IMDIV(COMPLEX(I_DM_SOURCE,0),U44)</f>
        <v>0</v>
      </c>
      <c r="W44">
        <f>IMPRODUCT(V44,T44)</f>
        <v>0</v>
      </c>
      <c r="X44">
        <f>IMDIV(W44,S44)</f>
        <v>0</v>
      </c>
      <c r="Y44">
        <f>IMPRODUCT(X44,R44)</f>
        <v>0</v>
      </c>
      <c r="Z44">
        <f>IMDIV(Y44,Q44)</f>
        <v>0</v>
      </c>
      <c r="AA44">
        <f>IMPRODUCT(Z44,P44)</f>
        <v>0</v>
      </c>
      <c r="AB44">
        <f>AA44</f>
        <v>0</v>
      </c>
      <c r="AC44">
        <f>IMPRODUCT("-1",AB44)</f>
        <v>0</v>
      </c>
      <c r="AD44">
        <f>IMDIV(IMSUB(AB44,AC44),"2")</f>
        <v>0</v>
      </c>
      <c r="AE44" s="6">
        <f>IMABS(AB44)</f>
        <v>0</v>
      </c>
      <c r="AF44" s="6">
        <f>IMABS(AC44)</f>
        <v>0</v>
      </c>
      <c r="AG44" s="6">
        <f>IMABS(AD44)</f>
        <v>0</v>
      </c>
      <c r="AH44" s="7">
        <f>20*LOG10(MAX(AE44,1E-300)*1E6)</f>
        <v>0</v>
      </c>
      <c r="AI44" s="7">
        <f>20*LOG10(MAX(AF44,1E-300)*1E6)</f>
        <v>0</v>
      </c>
      <c r="AJ44" s="7">
        <f>20*LOG10(MAX(AG44,1E-300)*1E6)</f>
        <v>0</v>
      </c>
      <c r="AK44" s="7">
        <f>DEGREES(IMARGUMENT(AB44))</f>
        <v>0</v>
      </c>
      <c r="AL44" s="7">
        <f>DEGREES(IMARGUMENT(AC44))</f>
        <v>0</v>
      </c>
      <c r="AM44" s="7">
        <f>DEGREES(IMARGUMENT(AD44))</f>
        <v>0</v>
      </c>
    </row>
    <row r="45" spans="1:39">
      <c r="A45" s="6">
        <f>10^(LOG10(F_START)+(ROW()-ROW($A$2))*(LOG10(F_STOP)-LOG10(F_START))/(N_POINTS-1))</f>
        <v>0</v>
      </c>
      <c r="B45" s="6">
        <f>2*PI()*A45</f>
        <v>0</v>
      </c>
      <c r="C45">
        <f>COMPLEX(2*LINE_PS_DCR,2*B45*LINE_PS_L)</f>
        <v>0</v>
      </c>
      <c r="D45">
        <f>IMSUM(COMPLEX(0,B45*(LINE_PS_CLINE+LINE_PS_CCHA/2)),IMDIV("1",IMPRODUCT("2",COMPLEX(C_THROUGH_ESR,B45*C_THROUGH_ESL-1/(B45*C_THROUGH_C)))))</f>
        <v>0</v>
      </c>
      <c r="E45">
        <f>COMPLEX(2*LINE_INPUT_DCR,2*B45*LINE_INPUT_L)</f>
        <v>0</v>
      </c>
      <c r="F45">
        <f>COMPLEX(0,B45*(LINE_INPUT_CLINE+LINE_INPUT_CCHA/2))</f>
        <v>0</v>
      </c>
      <c r="G45">
        <f>IMPRODUCT("2",IMDIV("1",IMSUM(IMDIV("1",COMPLEX(LDM1_DCR,B45*LDM1_L)),COMPLEX(0,B45*LDM1_CPA))))</f>
        <v>0</v>
      </c>
      <c r="H45">
        <f>IMSUM(IMDIV("1",COMPLEX(CX1_ESR,B45*CX1_ESL-1/(B45*CX1_C))),IMDIV("1",IMSUM(COMPLEX(DUMP1_R,0),COMPLEX(DUMP1_ESR,B45*DUMP1_ESL-1/(B45*DUMP1_C)))))</f>
        <v>0</v>
      </c>
      <c r="I45">
        <f>IMPRODUCT("2",IMDIV("1",IMSUM(IMDIV("1",COMPLEX(LDM2_DCR,B45*LDM2_L)),COMPLEX(0,B45*LDM2_CPA))))</f>
        <v>0</v>
      </c>
      <c r="J45">
        <f>IMSUM(IMDIV("1",COMPLEX(CX2_ESR,B45*CX2_ESL-1/(B45*CX2_C))),IMDIV("1",IMSUM(COMPLEX(DUMP2_R,0),COMPLEX(DUMP2_ESR,B45*DUMP2_ESL-1/(B45*DUMP2_C)))))</f>
        <v>0</v>
      </c>
      <c r="K45">
        <f>IMPRODUCT("2",IMDIV("1",IMSUM(IMDIV("1",COMPLEX(CMC_DCR,B45*CMC_L*(1-CMC_K))),COMPLEX(0,B45*CMC_CPA))))</f>
        <v>0</v>
      </c>
      <c r="L45">
        <f>IMSUM(COMPLEX(0,B45*CMC_CLINE),IMDIV("1",IMPRODUCT("2",COMPLEX(CY_ESR,B45*CY_ESL-1/(B45*CY_C)))),COMPLEX(1/DUMMY_R,0))</f>
        <v>0</v>
      </c>
      <c r="M45">
        <f>IMSUM(D45,IMDIV("1",C45))</f>
        <v>0</v>
      </c>
      <c r="N45">
        <f>IMDIV("1",IMSUM(E45,IMDIV("1",M45)))</f>
        <v>0</v>
      </c>
      <c r="O45">
        <f>IMSUM(F45,N45)</f>
        <v>0</v>
      </c>
      <c r="P45">
        <f>IMDIV("1",IMSUM(G45,IMDIV("1",O45)))</f>
        <v>0</v>
      </c>
      <c r="Q45">
        <f>IMSUM(H45,P45)</f>
        <v>0</v>
      </c>
      <c r="R45">
        <f>IMDIV("1",IMSUM(I45,IMDIV("1",Q45)))</f>
        <v>0</v>
      </c>
      <c r="S45">
        <f>IMSUM(J45,R45)</f>
        <v>0</v>
      </c>
      <c r="T45">
        <f>IMDIV("1",IMSUM(K45,IMDIV("1",S45)))</f>
        <v>0</v>
      </c>
      <c r="U45">
        <f>IMSUM(L45,T45)</f>
        <v>0</v>
      </c>
      <c r="V45">
        <f>IMDIV(COMPLEX(I_DM_SOURCE,0),U45)</f>
        <v>0</v>
      </c>
      <c r="W45">
        <f>IMPRODUCT(V45,T45)</f>
        <v>0</v>
      </c>
      <c r="X45">
        <f>IMDIV(W45,S45)</f>
        <v>0</v>
      </c>
      <c r="Y45">
        <f>IMPRODUCT(X45,R45)</f>
        <v>0</v>
      </c>
      <c r="Z45">
        <f>IMDIV(Y45,Q45)</f>
        <v>0</v>
      </c>
      <c r="AA45">
        <f>IMPRODUCT(Z45,P45)</f>
        <v>0</v>
      </c>
      <c r="AB45">
        <f>AA45</f>
        <v>0</v>
      </c>
      <c r="AC45">
        <f>IMPRODUCT("-1",AB45)</f>
        <v>0</v>
      </c>
      <c r="AD45">
        <f>IMDIV(IMSUB(AB45,AC45),"2")</f>
        <v>0</v>
      </c>
      <c r="AE45" s="6">
        <f>IMABS(AB45)</f>
        <v>0</v>
      </c>
      <c r="AF45" s="6">
        <f>IMABS(AC45)</f>
        <v>0</v>
      </c>
      <c r="AG45" s="6">
        <f>IMABS(AD45)</f>
        <v>0</v>
      </c>
      <c r="AH45" s="7">
        <f>20*LOG10(MAX(AE45,1E-300)*1E6)</f>
        <v>0</v>
      </c>
      <c r="AI45" s="7">
        <f>20*LOG10(MAX(AF45,1E-300)*1E6)</f>
        <v>0</v>
      </c>
      <c r="AJ45" s="7">
        <f>20*LOG10(MAX(AG45,1E-300)*1E6)</f>
        <v>0</v>
      </c>
      <c r="AK45" s="7">
        <f>DEGREES(IMARGUMENT(AB45))</f>
        <v>0</v>
      </c>
      <c r="AL45" s="7">
        <f>DEGREES(IMARGUMENT(AC45))</f>
        <v>0</v>
      </c>
      <c r="AM45" s="7">
        <f>DEGREES(IMARGUMENT(AD45))</f>
        <v>0</v>
      </c>
    </row>
    <row r="46" spans="1:39">
      <c r="A46" s="6">
        <f>10^(LOG10(F_START)+(ROW()-ROW($A$2))*(LOG10(F_STOP)-LOG10(F_START))/(N_POINTS-1))</f>
        <v>0</v>
      </c>
      <c r="B46" s="6">
        <f>2*PI()*A46</f>
        <v>0</v>
      </c>
      <c r="C46">
        <f>COMPLEX(2*LINE_PS_DCR,2*B46*LINE_PS_L)</f>
        <v>0</v>
      </c>
      <c r="D46">
        <f>IMSUM(COMPLEX(0,B46*(LINE_PS_CLINE+LINE_PS_CCHA/2)),IMDIV("1",IMPRODUCT("2",COMPLEX(C_THROUGH_ESR,B46*C_THROUGH_ESL-1/(B46*C_THROUGH_C)))))</f>
        <v>0</v>
      </c>
      <c r="E46">
        <f>COMPLEX(2*LINE_INPUT_DCR,2*B46*LINE_INPUT_L)</f>
        <v>0</v>
      </c>
      <c r="F46">
        <f>COMPLEX(0,B46*(LINE_INPUT_CLINE+LINE_INPUT_CCHA/2))</f>
        <v>0</v>
      </c>
      <c r="G46">
        <f>IMPRODUCT("2",IMDIV("1",IMSUM(IMDIV("1",COMPLEX(LDM1_DCR,B46*LDM1_L)),COMPLEX(0,B46*LDM1_CPA))))</f>
        <v>0</v>
      </c>
      <c r="H46">
        <f>IMSUM(IMDIV("1",COMPLEX(CX1_ESR,B46*CX1_ESL-1/(B46*CX1_C))),IMDIV("1",IMSUM(COMPLEX(DUMP1_R,0),COMPLEX(DUMP1_ESR,B46*DUMP1_ESL-1/(B46*DUMP1_C)))))</f>
        <v>0</v>
      </c>
      <c r="I46">
        <f>IMPRODUCT("2",IMDIV("1",IMSUM(IMDIV("1",COMPLEX(LDM2_DCR,B46*LDM2_L)),COMPLEX(0,B46*LDM2_CPA))))</f>
        <v>0</v>
      </c>
      <c r="J46">
        <f>IMSUM(IMDIV("1",COMPLEX(CX2_ESR,B46*CX2_ESL-1/(B46*CX2_C))),IMDIV("1",IMSUM(COMPLEX(DUMP2_R,0),COMPLEX(DUMP2_ESR,B46*DUMP2_ESL-1/(B46*DUMP2_C)))))</f>
        <v>0</v>
      </c>
      <c r="K46">
        <f>IMPRODUCT("2",IMDIV("1",IMSUM(IMDIV("1",COMPLEX(CMC_DCR,B46*CMC_L*(1-CMC_K))),COMPLEX(0,B46*CMC_CPA))))</f>
        <v>0</v>
      </c>
      <c r="L46">
        <f>IMSUM(COMPLEX(0,B46*CMC_CLINE),IMDIV("1",IMPRODUCT("2",COMPLEX(CY_ESR,B46*CY_ESL-1/(B46*CY_C)))),COMPLEX(1/DUMMY_R,0))</f>
        <v>0</v>
      </c>
      <c r="M46">
        <f>IMSUM(D46,IMDIV("1",C46))</f>
        <v>0</v>
      </c>
      <c r="N46">
        <f>IMDIV("1",IMSUM(E46,IMDIV("1",M46)))</f>
        <v>0</v>
      </c>
      <c r="O46">
        <f>IMSUM(F46,N46)</f>
        <v>0</v>
      </c>
      <c r="P46">
        <f>IMDIV("1",IMSUM(G46,IMDIV("1",O46)))</f>
        <v>0</v>
      </c>
      <c r="Q46">
        <f>IMSUM(H46,P46)</f>
        <v>0</v>
      </c>
      <c r="R46">
        <f>IMDIV("1",IMSUM(I46,IMDIV("1",Q46)))</f>
        <v>0</v>
      </c>
      <c r="S46">
        <f>IMSUM(J46,R46)</f>
        <v>0</v>
      </c>
      <c r="T46">
        <f>IMDIV("1",IMSUM(K46,IMDIV("1",S46)))</f>
        <v>0</v>
      </c>
      <c r="U46">
        <f>IMSUM(L46,T46)</f>
        <v>0</v>
      </c>
      <c r="V46">
        <f>IMDIV(COMPLEX(I_DM_SOURCE,0),U46)</f>
        <v>0</v>
      </c>
      <c r="W46">
        <f>IMPRODUCT(V46,T46)</f>
        <v>0</v>
      </c>
      <c r="X46">
        <f>IMDIV(W46,S46)</f>
        <v>0</v>
      </c>
      <c r="Y46">
        <f>IMPRODUCT(X46,R46)</f>
        <v>0</v>
      </c>
      <c r="Z46">
        <f>IMDIV(Y46,Q46)</f>
        <v>0</v>
      </c>
      <c r="AA46">
        <f>IMPRODUCT(Z46,P46)</f>
        <v>0</v>
      </c>
      <c r="AB46">
        <f>AA46</f>
        <v>0</v>
      </c>
      <c r="AC46">
        <f>IMPRODUCT("-1",AB46)</f>
        <v>0</v>
      </c>
      <c r="AD46">
        <f>IMDIV(IMSUB(AB46,AC46),"2")</f>
        <v>0</v>
      </c>
      <c r="AE46" s="6">
        <f>IMABS(AB46)</f>
        <v>0</v>
      </c>
      <c r="AF46" s="6">
        <f>IMABS(AC46)</f>
        <v>0</v>
      </c>
      <c r="AG46" s="6">
        <f>IMABS(AD46)</f>
        <v>0</v>
      </c>
      <c r="AH46" s="7">
        <f>20*LOG10(MAX(AE46,1E-300)*1E6)</f>
        <v>0</v>
      </c>
      <c r="AI46" s="7">
        <f>20*LOG10(MAX(AF46,1E-300)*1E6)</f>
        <v>0</v>
      </c>
      <c r="AJ46" s="7">
        <f>20*LOG10(MAX(AG46,1E-300)*1E6)</f>
        <v>0</v>
      </c>
      <c r="AK46" s="7">
        <f>DEGREES(IMARGUMENT(AB46))</f>
        <v>0</v>
      </c>
      <c r="AL46" s="7">
        <f>DEGREES(IMARGUMENT(AC46))</f>
        <v>0</v>
      </c>
      <c r="AM46" s="7">
        <f>DEGREES(IMARGUMENT(AD46))</f>
        <v>0</v>
      </c>
    </row>
    <row r="47" spans="1:39">
      <c r="A47" s="6">
        <f>10^(LOG10(F_START)+(ROW()-ROW($A$2))*(LOG10(F_STOP)-LOG10(F_START))/(N_POINTS-1))</f>
        <v>0</v>
      </c>
      <c r="B47" s="6">
        <f>2*PI()*A47</f>
        <v>0</v>
      </c>
      <c r="C47">
        <f>COMPLEX(2*LINE_PS_DCR,2*B47*LINE_PS_L)</f>
        <v>0</v>
      </c>
      <c r="D47">
        <f>IMSUM(COMPLEX(0,B47*(LINE_PS_CLINE+LINE_PS_CCHA/2)),IMDIV("1",IMPRODUCT("2",COMPLEX(C_THROUGH_ESR,B47*C_THROUGH_ESL-1/(B47*C_THROUGH_C)))))</f>
        <v>0</v>
      </c>
      <c r="E47">
        <f>COMPLEX(2*LINE_INPUT_DCR,2*B47*LINE_INPUT_L)</f>
        <v>0</v>
      </c>
      <c r="F47">
        <f>COMPLEX(0,B47*(LINE_INPUT_CLINE+LINE_INPUT_CCHA/2))</f>
        <v>0</v>
      </c>
      <c r="G47">
        <f>IMPRODUCT("2",IMDIV("1",IMSUM(IMDIV("1",COMPLEX(LDM1_DCR,B47*LDM1_L)),COMPLEX(0,B47*LDM1_CPA))))</f>
        <v>0</v>
      </c>
      <c r="H47">
        <f>IMSUM(IMDIV("1",COMPLEX(CX1_ESR,B47*CX1_ESL-1/(B47*CX1_C))),IMDIV("1",IMSUM(COMPLEX(DUMP1_R,0),COMPLEX(DUMP1_ESR,B47*DUMP1_ESL-1/(B47*DUMP1_C)))))</f>
        <v>0</v>
      </c>
      <c r="I47">
        <f>IMPRODUCT("2",IMDIV("1",IMSUM(IMDIV("1",COMPLEX(LDM2_DCR,B47*LDM2_L)),COMPLEX(0,B47*LDM2_CPA))))</f>
        <v>0</v>
      </c>
      <c r="J47">
        <f>IMSUM(IMDIV("1",COMPLEX(CX2_ESR,B47*CX2_ESL-1/(B47*CX2_C))),IMDIV("1",IMSUM(COMPLEX(DUMP2_R,0),COMPLEX(DUMP2_ESR,B47*DUMP2_ESL-1/(B47*DUMP2_C)))))</f>
        <v>0</v>
      </c>
      <c r="K47">
        <f>IMPRODUCT("2",IMDIV("1",IMSUM(IMDIV("1",COMPLEX(CMC_DCR,B47*CMC_L*(1-CMC_K))),COMPLEX(0,B47*CMC_CPA))))</f>
        <v>0</v>
      </c>
      <c r="L47">
        <f>IMSUM(COMPLEX(0,B47*CMC_CLINE),IMDIV("1",IMPRODUCT("2",COMPLEX(CY_ESR,B47*CY_ESL-1/(B47*CY_C)))),COMPLEX(1/DUMMY_R,0))</f>
        <v>0</v>
      </c>
      <c r="M47">
        <f>IMSUM(D47,IMDIV("1",C47))</f>
        <v>0</v>
      </c>
      <c r="N47">
        <f>IMDIV("1",IMSUM(E47,IMDIV("1",M47)))</f>
        <v>0</v>
      </c>
      <c r="O47">
        <f>IMSUM(F47,N47)</f>
        <v>0</v>
      </c>
      <c r="P47">
        <f>IMDIV("1",IMSUM(G47,IMDIV("1",O47)))</f>
        <v>0</v>
      </c>
      <c r="Q47">
        <f>IMSUM(H47,P47)</f>
        <v>0</v>
      </c>
      <c r="R47">
        <f>IMDIV("1",IMSUM(I47,IMDIV("1",Q47)))</f>
        <v>0</v>
      </c>
      <c r="S47">
        <f>IMSUM(J47,R47)</f>
        <v>0</v>
      </c>
      <c r="T47">
        <f>IMDIV("1",IMSUM(K47,IMDIV("1",S47)))</f>
        <v>0</v>
      </c>
      <c r="U47">
        <f>IMSUM(L47,T47)</f>
        <v>0</v>
      </c>
      <c r="V47">
        <f>IMDIV(COMPLEX(I_DM_SOURCE,0),U47)</f>
        <v>0</v>
      </c>
      <c r="W47">
        <f>IMPRODUCT(V47,T47)</f>
        <v>0</v>
      </c>
      <c r="X47">
        <f>IMDIV(W47,S47)</f>
        <v>0</v>
      </c>
      <c r="Y47">
        <f>IMPRODUCT(X47,R47)</f>
        <v>0</v>
      </c>
      <c r="Z47">
        <f>IMDIV(Y47,Q47)</f>
        <v>0</v>
      </c>
      <c r="AA47">
        <f>IMPRODUCT(Z47,P47)</f>
        <v>0</v>
      </c>
      <c r="AB47">
        <f>AA47</f>
        <v>0</v>
      </c>
      <c r="AC47">
        <f>IMPRODUCT("-1",AB47)</f>
        <v>0</v>
      </c>
      <c r="AD47">
        <f>IMDIV(IMSUB(AB47,AC47),"2")</f>
        <v>0</v>
      </c>
      <c r="AE47" s="6">
        <f>IMABS(AB47)</f>
        <v>0</v>
      </c>
      <c r="AF47" s="6">
        <f>IMABS(AC47)</f>
        <v>0</v>
      </c>
      <c r="AG47" s="6">
        <f>IMABS(AD47)</f>
        <v>0</v>
      </c>
      <c r="AH47" s="7">
        <f>20*LOG10(MAX(AE47,1E-300)*1E6)</f>
        <v>0</v>
      </c>
      <c r="AI47" s="7">
        <f>20*LOG10(MAX(AF47,1E-300)*1E6)</f>
        <v>0</v>
      </c>
      <c r="AJ47" s="7">
        <f>20*LOG10(MAX(AG47,1E-300)*1E6)</f>
        <v>0</v>
      </c>
      <c r="AK47" s="7">
        <f>DEGREES(IMARGUMENT(AB47))</f>
        <v>0</v>
      </c>
      <c r="AL47" s="7">
        <f>DEGREES(IMARGUMENT(AC47))</f>
        <v>0</v>
      </c>
      <c r="AM47" s="7">
        <f>DEGREES(IMARGUMENT(AD47))</f>
        <v>0</v>
      </c>
    </row>
    <row r="48" spans="1:39">
      <c r="A48" s="6">
        <f>10^(LOG10(F_START)+(ROW()-ROW($A$2))*(LOG10(F_STOP)-LOG10(F_START))/(N_POINTS-1))</f>
        <v>0</v>
      </c>
      <c r="B48" s="6">
        <f>2*PI()*A48</f>
        <v>0</v>
      </c>
      <c r="C48">
        <f>COMPLEX(2*LINE_PS_DCR,2*B48*LINE_PS_L)</f>
        <v>0</v>
      </c>
      <c r="D48">
        <f>IMSUM(COMPLEX(0,B48*(LINE_PS_CLINE+LINE_PS_CCHA/2)),IMDIV("1",IMPRODUCT("2",COMPLEX(C_THROUGH_ESR,B48*C_THROUGH_ESL-1/(B48*C_THROUGH_C)))))</f>
        <v>0</v>
      </c>
      <c r="E48">
        <f>COMPLEX(2*LINE_INPUT_DCR,2*B48*LINE_INPUT_L)</f>
        <v>0</v>
      </c>
      <c r="F48">
        <f>COMPLEX(0,B48*(LINE_INPUT_CLINE+LINE_INPUT_CCHA/2))</f>
        <v>0</v>
      </c>
      <c r="G48">
        <f>IMPRODUCT("2",IMDIV("1",IMSUM(IMDIV("1",COMPLEX(LDM1_DCR,B48*LDM1_L)),COMPLEX(0,B48*LDM1_CPA))))</f>
        <v>0</v>
      </c>
      <c r="H48">
        <f>IMSUM(IMDIV("1",COMPLEX(CX1_ESR,B48*CX1_ESL-1/(B48*CX1_C))),IMDIV("1",IMSUM(COMPLEX(DUMP1_R,0),COMPLEX(DUMP1_ESR,B48*DUMP1_ESL-1/(B48*DUMP1_C)))))</f>
        <v>0</v>
      </c>
      <c r="I48">
        <f>IMPRODUCT("2",IMDIV("1",IMSUM(IMDIV("1",COMPLEX(LDM2_DCR,B48*LDM2_L)),COMPLEX(0,B48*LDM2_CPA))))</f>
        <v>0</v>
      </c>
      <c r="J48">
        <f>IMSUM(IMDIV("1",COMPLEX(CX2_ESR,B48*CX2_ESL-1/(B48*CX2_C))),IMDIV("1",IMSUM(COMPLEX(DUMP2_R,0),COMPLEX(DUMP2_ESR,B48*DUMP2_ESL-1/(B48*DUMP2_C)))))</f>
        <v>0</v>
      </c>
      <c r="K48">
        <f>IMPRODUCT("2",IMDIV("1",IMSUM(IMDIV("1",COMPLEX(CMC_DCR,B48*CMC_L*(1-CMC_K))),COMPLEX(0,B48*CMC_CPA))))</f>
        <v>0</v>
      </c>
      <c r="L48">
        <f>IMSUM(COMPLEX(0,B48*CMC_CLINE),IMDIV("1",IMPRODUCT("2",COMPLEX(CY_ESR,B48*CY_ESL-1/(B48*CY_C)))),COMPLEX(1/DUMMY_R,0))</f>
        <v>0</v>
      </c>
      <c r="M48">
        <f>IMSUM(D48,IMDIV("1",C48))</f>
        <v>0</v>
      </c>
      <c r="N48">
        <f>IMDIV("1",IMSUM(E48,IMDIV("1",M48)))</f>
        <v>0</v>
      </c>
      <c r="O48">
        <f>IMSUM(F48,N48)</f>
        <v>0</v>
      </c>
      <c r="P48">
        <f>IMDIV("1",IMSUM(G48,IMDIV("1",O48)))</f>
        <v>0</v>
      </c>
      <c r="Q48">
        <f>IMSUM(H48,P48)</f>
        <v>0</v>
      </c>
      <c r="R48">
        <f>IMDIV("1",IMSUM(I48,IMDIV("1",Q48)))</f>
        <v>0</v>
      </c>
      <c r="S48">
        <f>IMSUM(J48,R48)</f>
        <v>0</v>
      </c>
      <c r="T48">
        <f>IMDIV("1",IMSUM(K48,IMDIV("1",S48)))</f>
        <v>0</v>
      </c>
      <c r="U48">
        <f>IMSUM(L48,T48)</f>
        <v>0</v>
      </c>
      <c r="V48">
        <f>IMDIV(COMPLEX(I_DM_SOURCE,0),U48)</f>
        <v>0</v>
      </c>
      <c r="W48">
        <f>IMPRODUCT(V48,T48)</f>
        <v>0</v>
      </c>
      <c r="X48">
        <f>IMDIV(W48,S48)</f>
        <v>0</v>
      </c>
      <c r="Y48">
        <f>IMPRODUCT(X48,R48)</f>
        <v>0</v>
      </c>
      <c r="Z48">
        <f>IMDIV(Y48,Q48)</f>
        <v>0</v>
      </c>
      <c r="AA48">
        <f>IMPRODUCT(Z48,P48)</f>
        <v>0</v>
      </c>
      <c r="AB48">
        <f>AA48</f>
        <v>0</v>
      </c>
      <c r="AC48">
        <f>IMPRODUCT("-1",AB48)</f>
        <v>0</v>
      </c>
      <c r="AD48">
        <f>IMDIV(IMSUB(AB48,AC48),"2")</f>
        <v>0</v>
      </c>
      <c r="AE48" s="6">
        <f>IMABS(AB48)</f>
        <v>0</v>
      </c>
      <c r="AF48" s="6">
        <f>IMABS(AC48)</f>
        <v>0</v>
      </c>
      <c r="AG48" s="6">
        <f>IMABS(AD48)</f>
        <v>0</v>
      </c>
      <c r="AH48" s="7">
        <f>20*LOG10(MAX(AE48,1E-300)*1E6)</f>
        <v>0</v>
      </c>
      <c r="AI48" s="7">
        <f>20*LOG10(MAX(AF48,1E-300)*1E6)</f>
        <v>0</v>
      </c>
      <c r="AJ48" s="7">
        <f>20*LOG10(MAX(AG48,1E-300)*1E6)</f>
        <v>0</v>
      </c>
      <c r="AK48" s="7">
        <f>DEGREES(IMARGUMENT(AB48))</f>
        <v>0</v>
      </c>
      <c r="AL48" s="7">
        <f>DEGREES(IMARGUMENT(AC48))</f>
        <v>0</v>
      </c>
      <c r="AM48" s="7">
        <f>DEGREES(IMARGUMENT(AD48))</f>
        <v>0</v>
      </c>
    </row>
    <row r="49" spans="1:39">
      <c r="A49" s="6">
        <f>10^(LOG10(F_START)+(ROW()-ROW($A$2))*(LOG10(F_STOP)-LOG10(F_START))/(N_POINTS-1))</f>
        <v>0</v>
      </c>
      <c r="B49" s="6">
        <f>2*PI()*A49</f>
        <v>0</v>
      </c>
      <c r="C49">
        <f>COMPLEX(2*LINE_PS_DCR,2*B49*LINE_PS_L)</f>
        <v>0</v>
      </c>
      <c r="D49">
        <f>IMSUM(COMPLEX(0,B49*(LINE_PS_CLINE+LINE_PS_CCHA/2)),IMDIV("1",IMPRODUCT("2",COMPLEX(C_THROUGH_ESR,B49*C_THROUGH_ESL-1/(B49*C_THROUGH_C)))))</f>
        <v>0</v>
      </c>
      <c r="E49">
        <f>COMPLEX(2*LINE_INPUT_DCR,2*B49*LINE_INPUT_L)</f>
        <v>0</v>
      </c>
      <c r="F49">
        <f>COMPLEX(0,B49*(LINE_INPUT_CLINE+LINE_INPUT_CCHA/2))</f>
        <v>0</v>
      </c>
      <c r="G49">
        <f>IMPRODUCT("2",IMDIV("1",IMSUM(IMDIV("1",COMPLEX(LDM1_DCR,B49*LDM1_L)),COMPLEX(0,B49*LDM1_CPA))))</f>
        <v>0</v>
      </c>
      <c r="H49">
        <f>IMSUM(IMDIV("1",COMPLEX(CX1_ESR,B49*CX1_ESL-1/(B49*CX1_C))),IMDIV("1",IMSUM(COMPLEX(DUMP1_R,0),COMPLEX(DUMP1_ESR,B49*DUMP1_ESL-1/(B49*DUMP1_C)))))</f>
        <v>0</v>
      </c>
      <c r="I49">
        <f>IMPRODUCT("2",IMDIV("1",IMSUM(IMDIV("1",COMPLEX(LDM2_DCR,B49*LDM2_L)),COMPLEX(0,B49*LDM2_CPA))))</f>
        <v>0</v>
      </c>
      <c r="J49">
        <f>IMSUM(IMDIV("1",COMPLEX(CX2_ESR,B49*CX2_ESL-1/(B49*CX2_C))),IMDIV("1",IMSUM(COMPLEX(DUMP2_R,0),COMPLEX(DUMP2_ESR,B49*DUMP2_ESL-1/(B49*DUMP2_C)))))</f>
        <v>0</v>
      </c>
      <c r="K49">
        <f>IMPRODUCT("2",IMDIV("1",IMSUM(IMDIV("1",COMPLEX(CMC_DCR,B49*CMC_L*(1-CMC_K))),COMPLEX(0,B49*CMC_CPA))))</f>
        <v>0</v>
      </c>
      <c r="L49">
        <f>IMSUM(COMPLEX(0,B49*CMC_CLINE),IMDIV("1",IMPRODUCT("2",COMPLEX(CY_ESR,B49*CY_ESL-1/(B49*CY_C)))),COMPLEX(1/DUMMY_R,0))</f>
        <v>0</v>
      </c>
      <c r="M49">
        <f>IMSUM(D49,IMDIV("1",C49))</f>
        <v>0</v>
      </c>
      <c r="N49">
        <f>IMDIV("1",IMSUM(E49,IMDIV("1",M49)))</f>
        <v>0</v>
      </c>
      <c r="O49">
        <f>IMSUM(F49,N49)</f>
        <v>0</v>
      </c>
      <c r="P49">
        <f>IMDIV("1",IMSUM(G49,IMDIV("1",O49)))</f>
        <v>0</v>
      </c>
      <c r="Q49">
        <f>IMSUM(H49,P49)</f>
        <v>0</v>
      </c>
      <c r="R49">
        <f>IMDIV("1",IMSUM(I49,IMDIV("1",Q49)))</f>
        <v>0</v>
      </c>
      <c r="S49">
        <f>IMSUM(J49,R49)</f>
        <v>0</v>
      </c>
      <c r="T49">
        <f>IMDIV("1",IMSUM(K49,IMDIV("1",S49)))</f>
        <v>0</v>
      </c>
      <c r="U49">
        <f>IMSUM(L49,T49)</f>
        <v>0</v>
      </c>
      <c r="V49">
        <f>IMDIV(COMPLEX(I_DM_SOURCE,0),U49)</f>
        <v>0</v>
      </c>
      <c r="W49">
        <f>IMPRODUCT(V49,T49)</f>
        <v>0</v>
      </c>
      <c r="X49">
        <f>IMDIV(W49,S49)</f>
        <v>0</v>
      </c>
      <c r="Y49">
        <f>IMPRODUCT(X49,R49)</f>
        <v>0</v>
      </c>
      <c r="Z49">
        <f>IMDIV(Y49,Q49)</f>
        <v>0</v>
      </c>
      <c r="AA49">
        <f>IMPRODUCT(Z49,P49)</f>
        <v>0</v>
      </c>
      <c r="AB49">
        <f>AA49</f>
        <v>0</v>
      </c>
      <c r="AC49">
        <f>IMPRODUCT("-1",AB49)</f>
        <v>0</v>
      </c>
      <c r="AD49">
        <f>IMDIV(IMSUB(AB49,AC49),"2")</f>
        <v>0</v>
      </c>
      <c r="AE49" s="6">
        <f>IMABS(AB49)</f>
        <v>0</v>
      </c>
      <c r="AF49" s="6">
        <f>IMABS(AC49)</f>
        <v>0</v>
      </c>
      <c r="AG49" s="6">
        <f>IMABS(AD49)</f>
        <v>0</v>
      </c>
      <c r="AH49" s="7">
        <f>20*LOG10(MAX(AE49,1E-300)*1E6)</f>
        <v>0</v>
      </c>
      <c r="AI49" s="7">
        <f>20*LOG10(MAX(AF49,1E-300)*1E6)</f>
        <v>0</v>
      </c>
      <c r="AJ49" s="7">
        <f>20*LOG10(MAX(AG49,1E-300)*1E6)</f>
        <v>0</v>
      </c>
      <c r="AK49" s="7">
        <f>DEGREES(IMARGUMENT(AB49))</f>
        <v>0</v>
      </c>
      <c r="AL49" s="7">
        <f>DEGREES(IMARGUMENT(AC49))</f>
        <v>0</v>
      </c>
      <c r="AM49" s="7">
        <f>DEGREES(IMARGUMENT(AD49))</f>
        <v>0</v>
      </c>
    </row>
    <row r="50" spans="1:39">
      <c r="A50" s="6">
        <f>10^(LOG10(F_START)+(ROW()-ROW($A$2))*(LOG10(F_STOP)-LOG10(F_START))/(N_POINTS-1))</f>
        <v>0</v>
      </c>
      <c r="B50" s="6">
        <f>2*PI()*A50</f>
        <v>0</v>
      </c>
      <c r="C50">
        <f>COMPLEX(2*LINE_PS_DCR,2*B50*LINE_PS_L)</f>
        <v>0</v>
      </c>
      <c r="D50">
        <f>IMSUM(COMPLEX(0,B50*(LINE_PS_CLINE+LINE_PS_CCHA/2)),IMDIV("1",IMPRODUCT("2",COMPLEX(C_THROUGH_ESR,B50*C_THROUGH_ESL-1/(B50*C_THROUGH_C)))))</f>
        <v>0</v>
      </c>
      <c r="E50">
        <f>COMPLEX(2*LINE_INPUT_DCR,2*B50*LINE_INPUT_L)</f>
        <v>0</v>
      </c>
      <c r="F50">
        <f>COMPLEX(0,B50*(LINE_INPUT_CLINE+LINE_INPUT_CCHA/2))</f>
        <v>0</v>
      </c>
      <c r="G50">
        <f>IMPRODUCT("2",IMDIV("1",IMSUM(IMDIV("1",COMPLEX(LDM1_DCR,B50*LDM1_L)),COMPLEX(0,B50*LDM1_CPA))))</f>
        <v>0</v>
      </c>
      <c r="H50">
        <f>IMSUM(IMDIV("1",COMPLEX(CX1_ESR,B50*CX1_ESL-1/(B50*CX1_C))),IMDIV("1",IMSUM(COMPLEX(DUMP1_R,0),COMPLEX(DUMP1_ESR,B50*DUMP1_ESL-1/(B50*DUMP1_C)))))</f>
        <v>0</v>
      </c>
      <c r="I50">
        <f>IMPRODUCT("2",IMDIV("1",IMSUM(IMDIV("1",COMPLEX(LDM2_DCR,B50*LDM2_L)),COMPLEX(0,B50*LDM2_CPA))))</f>
        <v>0</v>
      </c>
      <c r="J50">
        <f>IMSUM(IMDIV("1",COMPLEX(CX2_ESR,B50*CX2_ESL-1/(B50*CX2_C))),IMDIV("1",IMSUM(COMPLEX(DUMP2_R,0),COMPLEX(DUMP2_ESR,B50*DUMP2_ESL-1/(B50*DUMP2_C)))))</f>
        <v>0</v>
      </c>
      <c r="K50">
        <f>IMPRODUCT("2",IMDIV("1",IMSUM(IMDIV("1",COMPLEX(CMC_DCR,B50*CMC_L*(1-CMC_K))),COMPLEX(0,B50*CMC_CPA))))</f>
        <v>0</v>
      </c>
      <c r="L50">
        <f>IMSUM(COMPLEX(0,B50*CMC_CLINE),IMDIV("1",IMPRODUCT("2",COMPLEX(CY_ESR,B50*CY_ESL-1/(B50*CY_C)))),COMPLEX(1/DUMMY_R,0))</f>
        <v>0</v>
      </c>
      <c r="M50">
        <f>IMSUM(D50,IMDIV("1",C50))</f>
        <v>0</v>
      </c>
      <c r="N50">
        <f>IMDIV("1",IMSUM(E50,IMDIV("1",M50)))</f>
        <v>0</v>
      </c>
      <c r="O50">
        <f>IMSUM(F50,N50)</f>
        <v>0</v>
      </c>
      <c r="P50">
        <f>IMDIV("1",IMSUM(G50,IMDIV("1",O50)))</f>
        <v>0</v>
      </c>
      <c r="Q50">
        <f>IMSUM(H50,P50)</f>
        <v>0</v>
      </c>
      <c r="R50">
        <f>IMDIV("1",IMSUM(I50,IMDIV("1",Q50)))</f>
        <v>0</v>
      </c>
      <c r="S50">
        <f>IMSUM(J50,R50)</f>
        <v>0</v>
      </c>
      <c r="T50">
        <f>IMDIV("1",IMSUM(K50,IMDIV("1",S50)))</f>
        <v>0</v>
      </c>
      <c r="U50">
        <f>IMSUM(L50,T50)</f>
        <v>0</v>
      </c>
      <c r="V50">
        <f>IMDIV(COMPLEX(I_DM_SOURCE,0),U50)</f>
        <v>0</v>
      </c>
      <c r="W50">
        <f>IMPRODUCT(V50,T50)</f>
        <v>0</v>
      </c>
      <c r="X50">
        <f>IMDIV(W50,S50)</f>
        <v>0</v>
      </c>
      <c r="Y50">
        <f>IMPRODUCT(X50,R50)</f>
        <v>0</v>
      </c>
      <c r="Z50">
        <f>IMDIV(Y50,Q50)</f>
        <v>0</v>
      </c>
      <c r="AA50">
        <f>IMPRODUCT(Z50,P50)</f>
        <v>0</v>
      </c>
      <c r="AB50">
        <f>AA50</f>
        <v>0</v>
      </c>
      <c r="AC50">
        <f>IMPRODUCT("-1",AB50)</f>
        <v>0</v>
      </c>
      <c r="AD50">
        <f>IMDIV(IMSUB(AB50,AC50),"2")</f>
        <v>0</v>
      </c>
      <c r="AE50" s="6">
        <f>IMABS(AB50)</f>
        <v>0</v>
      </c>
      <c r="AF50" s="6">
        <f>IMABS(AC50)</f>
        <v>0</v>
      </c>
      <c r="AG50" s="6">
        <f>IMABS(AD50)</f>
        <v>0</v>
      </c>
      <c r="AH50" s="7">
        <f>20*LOG10(MAX(AE50,1E-300)*1E6)</f>
        <v>0</v>
      </c>
      <c r="AI50" s="7">
        <f>20*LOG10(MAX(AF50,1E-300)*1E6)</f>
        <v>0</v>
      </c>
      <c r="AJ50" s="7">
        <f>20*LOG10(MAX(AG50,1E-300)*1E6)</f>
        <v>0</v>
      </c>
      <c r="AK50" s="7">
        <f>DEGREES(IMARGUMENT(AB50))</f>
        <v>0</v>
      </c>
      <c r="AL50" s="7">
        <f>DEGREES(IMARGUMENT(AC50))</f>
        <v>0</v>
      </c>
      <c r="AM50" s="7">
        <f>DEGREES(IMARGUMENT(AD50))</f>
        <v>0</v>
      </c>
    </row>
    <row r="51" spans="1:39">
      <c r="A51" s="6">
        <f>10^(LOG10(F_START)+(ROW()-ROW($A$2))*(LOG10(F_STOP)-LOG10(F_START))/(N_POINTS-1))</f>
        <v>0</v>
      </c>
      <c r="B51" s="6">
        <f>2*PI()*A51</f>
        <v>0</v>
      </c>
      <c r="C51">
        <f>COMPLEX(2*LINE_PS_DCR,2*B51*LINE_PS_L)</f>
        <v>0</v>
      </c>
      <c r="D51">
        <f>IMSUM(COMPLEX(0,B51*(LINE_PS_CLINE+LINE_PS_CCHA/2)),IMDIV("1",IMPRODUCT("2",COMPLEX(C_THROUGH_ESR,B51*C_THROUGH_ESL-1/(B51*C_THROUGH_C)))))</f>
        <v>0</v>
      </c>
      <c r="E51">
        <f>COMPLEX(2*LINE_INPUT_DCR,2*B51*LINE_INPUT_L)</f>
        <v>0</v>
      </c>
      <c r="F51">
        <f>COMPLEX(0,B51*(LINE_INPUT_CLINE+LINE_INPUT_CCHA/2))</f>
        <v>0</v>
      </c>
      <c r="G51">
        <f>IMPRODUCT("2",IMDIV("1",IMSUM(IMDIV("1",COMPLEX(LDM1_DCR,B51*LDM1_L)),COMPLEX(0,B51*LDM1_CPA))))</f>
        <v>0</v>
      </c>
      <c r="H51">
        <f>IMSUM(IMDIV("1",COMPLEX(CX1_ESR,B51*CX1_ESL-1/(B51*CX1_C))),IMDIV("1",IMSUM(COMPLEX(DUMP1_R,0),COMPLEX(DUMP1_ESR,B51*DUMP1_ESL-1/(B51*DUMP1_C)))))</f>
        <v>0</v>
      </c>
      <c r="I51">
        <f>IMPRODUCT("2",IMDIV("1",IMSUM(IMDIV("1",COMPLEX(LDM2_DCR,B51*LDM2_L)),COMPLEX(0,B51*LDM2_CPA))))</f>
        <v>0</v>
      </c>
      <c r="J51">
        <f>IMSUM(IMDIV("1",COMPLEX(CX2_ESR,B51*CX2_ESL-1/(B51*CX2_C))),IMDIV("1",IMSUM(COMPLEX(DUMP2_R,0),COMPLEX(DUMP2_ESR,B51*DUMP2_ESL-1/(B51*DUMP2_C)))))</f>
        <v>0</v>
      </c>
      <c r="K51">
        <f>IMPRODUCT("2",IMDIV("1",IMSUM(IMDIV("1",COMPLEX(CMC_DCR,B51*CMC_L*(1-CMC_K))),COMPLEX(0,B51*CMC_CPA))))</f>
        <v>0</v>
      </c>
      <c r="L51">
        <f>IMSUM(COMPLEX(0,B51*CMC_CLINE),IMDIV("1",IMPRODUCT("2",COMPLEX(CY_ESR,B51*CY_ESL-1/(B51*CY_C)))),COMPLEX(1/DUMMY_R,0))</f>
        <v>0</v>
      </c>
      <c r="M51">
        <f>IMSUM(D51,IMDIV("1",C51))</f>
        <v>0</v>
      </c>
      <c r="N51">
        <f>IMDIV("1",IMSUM(E51,IMDIV("1",M51)))</f>
        <v>0</v>
      </c>
      <c r="O51">
        <f>IMSUM(F51,N51)</f>
        <v>0</v>
      </c>
      <c r="P51">
        <f>IMDIV("1",IMSUM(G51,IMDIV("1",O51)))</f>
        <v>0</v>
      </c>
      <c r="Q51">
        <f>IMSUM(H51,P51)</f>
        <v>0</v>
      </c>
      <c r="R51">
        <f>IMDIV("1",IMSUM(I51,IMDIV("1",Q51)))</f>
        <v>0</v>
      </c>
      <c r="S51">
        <f>IMSUM(J51,R51)</f>
        <v>0</v>
      </c>
      <c r="T51">
        <f>IMDIV("1",IMSUM(K51,IMDIV("1",S51)))</f>
        <v>0</v>
      </c>
      <c r="U51">
        <f>IMSUM(L51,T51)</f>
        <v>0</v>
      </c>
      <c r="V51">
        <f>IMDIV(COMPLEX(I_DM_SOURCE,0),U51)</f>
        <v>0</v>
      </c>
      <c r="W51">
        <f>IMPRODUCT(V51,T51)</f>
        <v>0</v>
      </c>
      <c r="X51">
        <f>IMDIV(W51,S51)</f>
        <v>0</v>
      </c>
      <c r="Y51">
        <f>IMPRODUCT(X51,R51)</f>
        <v>0</v>
      </c>
      <c r="Z51">
        <f>IMDIV(Y51,Q51)</f>
        <v>0</v>
      </c>
      <c r="AA51">
        <f>IMPRODUCT(Z51,P51)</f>
        <v>0</v>
      </c>
      <c r="AB51">
        <f>AA51</f>
        <v>0</v>
      </c>
      <c r="AC51">
        <f>IMPRODUCT("-1",AB51)</f>
        <v>0</v>
      </c>
      <c r="AD51">
        <f>IMDIV(IMSUB(AB51,AC51),"2")</f>
        <v>0</v>
      </c>
      <c r="AE51" s="6">
        <f>IMABS(AB51)</f>
        <v>0</v>
      </c>
      <c r="AF51" s="6">
        <f>IMABS(AC51)</f>
        <v>0</v>
      </c>
      <c r="AG51" s="6">
        <f>IMABS(AD51)</f>
        <v>0</v>
      </c>
      <c r="AH51" s="7">
        <f>20*LOG10(MAX(AE51,1E-300)*1E6)</f>
        <v>0</v>
      </c>
      <c r="AI51" s="7">
        <f>20*LOG10(MAX(AF51,1E-300)*1E6)</f>
        <v>0</v>
      </c>
      <c r="AJ51" s="7">
        <f>20*LOG10(MAX(AG51,1E-300)*1E6)</f>
        <v>0</v>
      </c>
      <c r="AK51" s="7">
        <f>DEGREES(IMARGUMENT(AB51))</f>
        <v>0</v>
      </c>
      <c r="AL51" s="7">
        <f>DEGREES(IMARGUMENT(AC51))</f>
        <v>0</v>
      </c>
      <c r="AM51" s="7">
        <f>DEGREES(IMARGUMENT(AD51))</f>
        <v>0</v>
      </c>
    </row>
    <row r="52" spans="1:39">
      <c r="A52" s="6">
        <f>10^(LOG10(F_START)+(ROW()-ROW($A$2))*(LOG10(F_STOP)-LOG10(F_START))/(N_POINTS-1))</f>
        <v>0</v>
      </c>
      <c r="B52" s="6">
        <f>2*PI()*A52</f>
        <v>0</v>
      </c>
      <c r="C52">
        <f>COMPLEX(2*LINE_PS_DCR,2*B52*LINE_PS_L)</f>
        <v>0</v>
      </c>
      <c r="D52">
        <f>IMSUM(COMPLEX(0,B52*(LINE_PS_CLINE+LINE_PS_CCHA/2)),IMDIV("1",IMPRODUCT("2",COMPLEX(C_THROUGH_ESR,B52*C_THROUGH_ESL-1/(B52*C_THROUGH_C)))))</f>
        <v>0</v>
      </c>
      <c r="E52">
        <f>COMPLEX(2*LINE_INPUT_DCR,2*B52*LINE_INPUT_L)</f>
        <v>0</v>
      </c>
      <c r="F52">
        <f>COMPLEX(0,B52*(LINE_INPUT_CLINE+LINE_INPUT_CCHA/2))</f>
        <v>0</v>
      </c>
      <c r="G52">
        <f>IMPRODUCT("2",IMDIV("1",IMSUM(IMDIV("1",COMPLEX(LDM1_DCR,B52*LDM1_L)),COMPLEX(0,B52*LDM1_CPA))))</f>
        <v>0</v>
      </c>
      <c r="H52">
        <f>IMSUM(IMDIV("1",COMPLEX(CX1_ESR,B52*CX1_ESL-1/(B52*CX1_C))),IMDIV("1",IMSUM(COMPLEX(DUMP1_R,0),COMPLEX(DUMP1_ESR,B52*DUMP1_ESL-1/(B52*DUMP1_C)))))</f>
        <v>0</v>
      </c>
      <c r="I52">
        <f>IMPRODUCT("2",IMDIV("1",IMSUM(IMDIV("1",COMPLEX(LDM2_DCR,B52*LDM2_L)),COMPLEX(0,B52*LDM2_CPA))))</f>
        <v>0</v>
      </c>
      <c r="J52">
        <f>IMSUM(IMDIV("1",COMPLEX(CX2_ESR,B52*CX2_ESL-1/(B52*CX2_C))),IMDIV("1",IMSUM(COMPLEX(DUMP2_R,0),COMPLEX(DUMP2_ESR,B52*DUMP2_ESL-1/(B52*DUMP2_C)))))</f>
        <v>0</v>
      </c>
      <c r="K52">
        <f>IMPRODUCT("2",IMDIV("1",IMSUM(IMDIV("1",COMPLEX(CMC_DCR,B52*CMC_L*(1-CMC_K))),COMPLEX(0,B52*CMC_CPA))))</f>
        <v>0</v>
      </c>
      <c r="L52">
        <f>IMSUM(COMPLEX(0,B52*CMC_CLINE),IMDIV("1",IMPRODUCT("2",COMPLEX(CY_ESR,B52*CY_ESL-1/(B52*CY_C)))),COMPLEX(1/DUMMY_R,0))</f>
        <v>0</v>
      </c>
      <c r="M52">
        <f>IMSUM(D52,IMDIV("1",C52))</f>
        <v>0</v>
      </c>
      <c r="N52">
        <f>IMDIV("1",IMSUM(E52,IMDIV("1",M52)))</f>
        <v>0</v>
      </c>
      <c r="O52">
        <f>IMSUM(F52,N52)</f>
        <v>0</v>
      </c>
      <c r="P52">
        <f>IMDIV("1",IMSUM(G52,IMDIV("1",O52)))</f>
        <v>0</v>
      </c>
      <c r="Q52">
        <f>IMSUM(H52,P52)</f>
        <v>0</v>
      </c>
      <c r="R52">
        <f>IMDIV("1",IMSUM(I52,IMDIV("1",Q52)))</f>
        <v>0</v>
      </c>
      <c r="S52">
        <f>IMSUM(J52,R52)</f>
        <v>0</v>
      </c>
      <c r="T52">
        <f>IMDIV("1",IMSUM(K52,IMDIV("1",S52)))</f>
        <v>0</v>
      </c>
      <c r="U52">
        <f>IMSUM(L52,T52)</f>
        <v>0</v>
      </c>
      <c r="V52">
        <f>IMDIV(COMPLEX(I_DM_SOURCE,0),U52)</f>
        <v>0</v>
      </c>
      <c r="W52">
        <f>IMPRODUCT(V52,T52)</f>
        <v>0</v>
      </c>
      <c r="X52">
        <f>IMDIV(W52,S52)</f>
        <v>0</v>
      </c>
      <c r="Y52">
        <f>IMPRODUCT(X52,R52)</f>
        <v>0</v>
      </c>
      <c r="Z52">
        <f>IMDIV(Y52,Q52)</f>
        <v>0</v>
      </c>
      <c r="AA52">
        <f>IMPRODUCT(Z52,P52)</f>
        <v>0</v>
      </c>
      <c r="AB52">
        <f>AA52</f>
        <v>0</v>
      </c>
      <c r="AC52">
        <f>IMPRODUCT("-1",AB52)</f>
        <v>0</v>
      </c>
      <c r="AD52">
        <f>IMDIV(IMSUB(AB52,AC52),"2")</f>
        <v>0</v>
      </c>
      <c r="AE52" s="6">
        <f>IMABS(AB52)</f>
        <v>0</v>
      </c>
      <c r="AF52" s="6">
        <f>IMABS(AC52)</f>
        <v>0</v>
      </c>
      <c r="AG52" s="6">
        <f>IMABS(AD52)</f>
        <v>0</v>
      </c>
      <c r="AH52" s="7">
        <f>20*LOG10(MAX(AE52,1E-300)*1E6)</f>
        <v>0</v>
      </c>
      <c r="AI52" s="7">
        <f>20*LOG10(MAX(AF52,1E-300)*1E6)</f>
        <v>0</v>
      </c>
      <c r="AJ52" s="7">
        <f>20*LOG10(MAX(AG52,1E-300)*1E6)</f>
        <v>0</v>
      </c>
      <c r="AK52" s="7">
        <f>DEGREES(IMARGUMENT(AB52))</f>
        <v>0</v>
      </c>
      <c r="AL52" s="7">
        <f>DEGREES(IMARGUMENT(AC52))</f>
        <v>0</v>
      </c>
      <c r="AM52" s="7">
        <f>DEGREES(IMARGUMENT(AD52))</f>
        <v>0</v>
      </c>
    </row>
    <row r="53" spans="1:39">
      <c r="A53" s="6">
        <f>10^(LOG10(F_START)+(ROW()-ROW($A$2))*(LOG10(F_STOP)-LOG10(F_START))/(N_POINTS-1))</f>
        <v>0</v>
      </c>
      <c r="B53" s="6">
        <f>2*PI()*A53</f>
        <v>0</v>
      </c>
      <c r="C53">
        <f>COMPLEX(2*LINE_PS_DCR,2*B53*LINE_PS_L)</f>
        <v>0</v>
      </c>
      <c r="D53">
        <f>IMSUM(COMPLEX(0,B53*(LINE_PS_CLINE+LINE_PS_CCHA/2)),IMDIV("1",IMPRODUCT("2",COMPLEX(C_THROUGH_ESR,B53*C_THROUGH_ESL-1/(B53*C_THROUGH_C)))))</f>
        <v>0</v>
      </c>
      <c r="E53">
        <f>COMPLEX(2*LINE_INPUT_DCR,2*B53*LINE_INPUT_L)</f>
        <v>0</v>
      </c>
      <c r="F53">
        <f>COMPLEX(0,B53*(LINE_INPUT_CLINE+LINE_INPUT_CCHA/2))</f>
        <v>0</v>
      </c>
      <c r="G53">
        <f>IMPRODUCT("2",IMDIV("1",IMSUM(IMDIV("1",COMPLEX(LDM1_DCR,B53*LDM1_L)),COMPLEX(0,B53*LDM1_CPA))))</f>
        <v>0</v>
      </c>
      <c r="H53">
        <f>IMSUM(IMDIV("1",COMPLEX(CX1_ESR,B53*CX1_ESL-1/(B53*CX1_C))),IMDIV("1",IMSUM(COMPLEX(DUMP1_R,0),COMPLEX(DUMP1_ESR,B53*DUMP1_ESL-1/(B53*DUMP1_C)))))</f>
        <v>0</v>
      </c>
      <c r="I53">
        <f>IMPRODUCT("2",IMDIV("1",IMSUM(IMDIV("1",COMPLEX(LDM2_DCR,B53*LDM2_L)),COMPLEX(0,B53*LDM2_CPA))))</f>
        <v>0</v>
      </c>
      <c r="J53">
        <f>IMSUM(IMDIV("1",COMPLEX(CX2_ESR,B53*CX2_ESL-1/(B53*CX2_C))),IMDIV("1",IMSUM(COMPLEX(DUMP2_R,0),COMPLEX(DUMP2_ESR,B53*DUMP2_ESL-1/(B53*DUMP2_C)))))</f>
        <v>0</v>
      </c>
      <c r="K53">
        <f>IMPRODUCT("2",IMDIV("1",IMSUM(IMDIV("1",COMPLEX(CMC_DCR,B53*CMC_L*(1-CMC_K))),COMPLEX(0,B53*CMC_CPA))))</f>
        <v>0</v>
      </c>
      <c r="L53">
        <f>IMSUM(COMPLEX(0,B53*CMC_CLINE),IMDIV("1",IMPRODUCT("2",COMPLEX(CY_ESR,B53*CY_ESL-1/(B53*CY_C)))),COMPLEX(1/DUMMY_R,0))</f>
        <v>0</v>
      </c>
      <c r="M53">
        <f>IMSUM(D53,IMDIV("1",C53))</f>
        <v>0</v>
      </c>
      <c r="N53">
        <f>IMDIV("1",IMSUM(E53,IMDIV("1",M53)))</f>
        <v>0</v>
      </c>
      <c r="O53">
        <f>IMSUM(F53,N53)</f>
        <v>0</v>
      </c>
      <c r="P53">
        <f>IMDIV("1",IMSUM(G53,IMDIV("1",O53)))</f>
        <v>0</v>
      </c>
      <c r="Q53">
        <f>IMSUM(H53,P53)</f>
        <v>0</v>
      </c>
      <c r="R53">
        <f>IMDIV("1",IMSUM(I53,IMDIV("1",Q53)))</f>
        <v>0</v>
      </c>
      <c r="S53">
        <f>IMSUM(J53,R53)</f>
        <v>0</v>
      </c>
      <c r="T53">
        <f>IMDIV("1",IMSUM(K53,IMDIV("1",S53)))</f>
        <v>0</v>
      </c>
      <c r="U53">
        <f>IMSUM(L53,T53)</f>
        <v>0</v>
      </c>
      <c r="V53">
        <f>IMDIV(COMPLEX(I_DM_SOURCE,0),U53)</f>
        <v>0</v>
      </c>
      <c r="W53">
        <f>IMPRODUCT(V53,T53)</f>
        <v>0</v>
      </c>
      <c r="X53">
        <f>IMDIV(W53,S53)</f>
        <v>0</v>
      </c>
      <c r="Y53">
        <f>IMPRODUCT(X53,R53)</f>
        <v>0</v>
      </c>
      <c r="Z53">
        <f>IMDIV(Y53,Q53)</f>
        <v>0</v>
      </c>
      <c r="AA53">
        <f>IMPRODUCT(Z53,P53)</f>
        <v>0</v>
      </c>
      <c r="AB53">
        <f>AA53</f>
        <v>0</v>
      </c>
      <c r="AC53">
        <f>IMPRODUCT("-1",AB53)</f>
        <v>0</v>
      </c>
      <c r="AD53">
        <f>IMDIV(IMSUB(AB53,AC53),"2")</f>
        <v>0</v>
      </c>
      <c r="AE53" s="6">
        <f>IMABS(AB53)</f>
        <v>0</v>
      </c>
      <c r="AF53" s="6">
        <f>IMABS(AC53)</f>
        <v>0</v>
      </c>
      <c r="AG53" s="6">
        <f>IMABS(AD53)</f>
        <v>0</v>
      </c>
      <c r="AH53" s="7">
        <f>20*LOG10(MAX(AE53,1E-300)*1E6)</f>
        <v>0</v>
      </c>
      <c r="AI53" s="7">
        <f>20*LOG10(MAX(AF53,1E-300)*1E6)</f>
        <v>0</v>
      </c>
      <c r="AJ53" s="7">
        <f>20*LOG10(MAX(AG53,1E-300)*1E6)</f>
        <v>0</v>
      </c>
      <c r="AK53" s="7">
        <f>DEGREES(IMARGUMENT(AB53))</f>
        <v>0</v>
      </c>
      <c r="AL53" s="7">
        <f>DEGREES(IMARGUMENT(AC53))</f>
        <v>0</v>
      </c>
      <c r="AM53" s="7">
        <f>DEGREES(IMARGUMENT(AD53))</f>
        <v>0</v>
      </c>
    </row>
    <row r="54" spans="1:39">
      <c r="A54" s="6">
        <f>10^(LOG10(F_START)+(ROW()-ROW($A$2))*(LOG10(F_STOP)-LOG10(F_START))/(N_POINTS-1))</f>
        <v>0</v>
      </c>
      <c r="B54" s="6">
        <f>2*PI()*A54</f>
        <v>0</v>
      </c>
      <c r="C54">
        <f>COMPLEX(2*LINE_PS_DCR,2*B54*LINE_PS_L)</f>
        <v>0</v>
      </c>
      <c r="D54">
        <f>IMSUM(COMPLEX(0,B54*(LINE_PS_CLINE+LINE_PS_CCHA/2)),IMDIV("1",IMPRODUCT("2",COMPLEX(C_THROUGH_ESR,B54*C_THROUGH_ESL-1/(B54*C_THROUGH_C)))))</f>
        <v>0</v>
      </c>
      <c r="E54">
        <f>COMPLEX(2*LINE_INPUT_DCR,2*B54*LINE_INPUT_L)</f>
        <v>0</v>
      </c>
      <c r="F54">
        <f>COMPLEX(0,B54*(LINE_INPUT_CLINE+LINE_INPUT_CCHA/2))</f>
        <v>0</v>
      </c>
      <c r="G54">
        <f>IMPRODUCT("2",IMDIV("1",IMSUM(IMDIV("1",COMPLEX(LDM1_DCR,B54*LDM1_L)),COMPLEX(0,B54*LDM1_CPA))))</f>
        <v>0</v>
      </c>
      <c r="H54">
        <f>IMSUM(IMDIV("1",COMPLEX(CX1_ESR,B54*CX1_ESL-1/(B54*CX1_C))),IMDIV("1",IMSUM(COMPLEX(DUMP1_R,0),COMPLEX(DUMP1_ESR,B54*DUMP1_ESL-1/(B54*DUMP1_C)))))</f>
        <v>0</v>
      </c>
      <c r="I54">
        <f>IMPRODUCT("2",IMDIV("1",IMSUM(IMDIV("1",COMPLEX(LDM2_DCR,B54*LDM2_L)),COMPLEX(0,B54*LDM2_CPA))))</f>
        <v>0</v>
      </c>
      <c r="J54">
        <f>IMSUM(IMDIV("1",COMPLEX(CX2_ESR,B54*CX2_ESL-1/(B54*CX2_C))),IMDIV("1",IMSUM(COMPLEX(DUMP2_R,0),COMPLEX(DUMP2_ESR,B54*DUMP2_ESL-1/(B54*DUMP2_C)))))</f>
        <v>0</v>
      </c>
      <c r="K54">
        <f>IMPRODUCT("2",IMDIV("1",IMSUM(IMDIV("1",COMPLEX(CMC_DCR,B54*CMC_L*(1-CMC_K))),COMPLEX(0,B54*CMC_CPA))))</f>
        <v>0</v>
      </c>
      <c r="L54">
        <f>IMSUM(COMPLEX(0,B54*CMC_CLINE),IMDIV("1",IMPRODUCT("2",COMPLEX(CY_ESR,B54*CY_ESL-1/(B54*CY_C)))),COMPLEX(1/DUMMY_R,0))</f>
        <v>0</v>
      </c>
      <c r="M54">
        <f>IMSUM(D54,IMDIV("1",C54))</f>
        <v>0</v>
      </c>
      <c r="N54">
        <f>IMDIV("1",IMSUM(E54,IMDIV("1",M54)))</f>
        <v>0</v>
      </c>
      <c r="O54">
        <f>IMSUM(F54,N54)</f>
        <v>0</v>
      </c>
      <c r="P54">
        <f>IMDIV("1",IMSUM(G54,IMDIV("1",O54)))</f>
        <v>0</v>
      </c>
      <c r="Q54">
        <f>IMSUM(H54,P54)</f>
        <v>0</v>
      </c>
      <c r="R54">
        <f>IMDIV("1",IMSUM(I54,IMDIV("1",Q54)))</f>
        <v>0</v>
      </c>
      <c r="S54">
        <f>IMSUM(J54,R54)</f>
        <v>0</v>
      </c>
      <c r="T54">
        <f>IMDIV("1",IMSUM(K54,IMDIV("1",S54)))</f>
        <v>0</v>
      </c>
      <c r="U54">
        <f>IMSUM(L54,T54)</f>
        <v>0</v>
      </c>
      <c r="V54">
        <f>IMDIV(COMPLEX(I_DM_SOURCE,0),U54)</f>
        <v>0</v>
      </c>
      <c r="W54">
        <f>IMPRODUCT(V54,T54)</f>
        <v>0</v>
      </c>
      <c r="X54">
        <f>IMDIV(W54,S54)</f>
        <v>0</v>
      </c>
      <c r="Y54">
        <f>IMPRODUCT(X54,R54)</f>
        <v>0</v>
      </c>
      <c r="Z54">
        <f>IMDIV(Y54,Q54)</f>
        <v>0</v>
      </c>
      <c r="AA54">
        <f>IMPRODUCT(Z54,P54)</f>
        <v>0</v>
      </c>
      <c r="AB54">
        <f>AA54</f>
        <v>0</v>
      </c>
      <c r="AC54">
        <f>IMPRODUCT("-1",AB54)</f>
        <v>0</v>
      </c>
      <c r="AD54">
        <f>IMDIV(IMSUB(AB54,AC54),"2")</f>
        <v>0</v>
      </c>
      <c r="AE54" s="6">
        <f>IMABS(AB54)</f>
        <v>0</v>
      </c>
      <c r="AF54" s="6">
        <f>IMABS(AC54)</f>
        <v>0</v>
      </c>
      <c r="AG54" s="6">
        <f>IMABS(AD54)</f>
        <v>0</v>
      </c>
      <c r="AH54" s="7">
        <f>20*LOG10(MAX(AE54,1E-300)*1E6)</f>
        <v>0</v>
      </c>
      <c r="AI54" s="7">
        <f>20*LOG10(MAX(AF54,1E-300)*1E6)</f>
        <v>0</v>
      </c>
      <c r="AJ54" s="7">
        <f>20*LOG10(MAX(AG54,1E-300)*1E6)</f>
        <v>0</v>
      </c>
      <c r="AK54" s="7">
        <f>DEGREES(IMARGUMENT(AB54))</f>
        <v>0</v>
      </c>
      <c r="AL54" s="7">
        <f>DEGREES(IMARGUMENT(AC54))</f>
        <v>0</v>
      </c>
      <c r="AM54" s="7">
        <f>DEGREES(IMARGUMENT(AD54))</f>
        <v>0</v>
      </c>
    </row>
    <row r="55" spans="1:39">
      <c r="A55" s="6">
        <f>10^(LOG10(F_START)+(ROW()-ROW($A$2))*(LOG10(F_STOP)-LOG10(F_START))/(N_POINTS-1))</f>
        <v>0</v>
      </c>
      <c r="B55" s="6">
        <f>2*PI()*A55</f>
        <v>0</v>
      </c>
      <c r="C55">
        <f>COMPLEX(2*LINE_PS_DCR,2*B55*LINE_PS_L)</f>
        <v>0</v>
      </c>
      <c r="D55">
        <f>IMSUM(COMPLEX(0,B55*(LINE_PS_CLINE+LINE_PS_CCHA/2)),IMDIV("1",IMPRODUCT("2",COMPLEX(C_THROUGH_ESR,B55*C_THROUGH_ESL-1/(B55*C_THROUGH_C)))))</f>
        <v>0</v>
      </c>
      <c r="E55">
        <f>COMPLEX(2*LINE_INPUT_DCR,2*B55*LINE_INPUT_L)</f>
        <v>0</v>
      </c>
      <c r="F55">
        <f>COMPLEX(0,B55*(LINE_INPUT_CLINE+LINE_INPUT_CCHA/2))</f>
        <v>0</v>
      </c>
      <c r="G55">
        <f>IMPRODUCT("2",IMDIV("1",IMSUM(IMDIV("1",COMPLEX(LDM1_DCR,B55*LDM1_L)),COMPLEX(0,B55*LDM1_CPA))))</f>
        <v>0</v>
      </c>
      <c r="H55">
        <f>IMSUM(IMDIV("1",COMPLEX(CX1_ESR,B55*CX1_ESL-1/(B55*CX1_C))),IMDIV("1",IMSUM(COMPLEX(DUMP1_R,0),COMPLEX(DUMP1_ESR,B55*DUMP1_ESL-1/(B55*DUMP1_C)))))</f>
        <v>0</v>
      </c>
      <c r="I55">
        <f>IMPRODUCT("2",IMDIV("1",IMSUM(IMDIV("1",COMPLEX(LDM2_DCR,B55*LDM2_L)),COMPLEX(0,B55*LDM2_CPA))))</f>
        <v>0</v>
      </c>
      <c r="J55">
        <f>IMSUM(IMDIV("1",COMPLEX(CX2_ESR,B55*CX2_ESL-1/(B55*CX2_C))),IMDIV("1",IMSUM(COMPLEX(DUMP2_R,0),COMPLEX(DUMP2_ESR,B55*DUMP2_ESL-1/(B55*DUMP2_C)))))</f>
        <v>0</v>
      </c>
      <c r="K55">
        <f>IMPRODUCT("2",IMDIV("1",IMSUM(IMDIV("1",COMPLEX(CMC_DCR,B55*CMC_L*(1-CMC_K))),COMPLEX(0,B55*CMC_CPA))))</f>
        <v>0</v>
      </c>
      <c r="L55">
        <f>IMSUM(COMPLEX(0,B55*CMC_CLINE),IMDIV("1",IMPRODUCT("2",COMPLEX(CY_ESR,B55*CY_ESL-1/(B55*CY_C)))),COMPLEX(1/DUMMY_R,0))</f>
        <v>0</v>
      </c>
      <c r="M55">
        <f>IMSUM(D55,IMDIV("1",C55))</f>
        <v>0</v>
      </c>
      <c r="N55">
        <f>IMDIV("1",IMSUM(E55,IMDIV("1",M55)))</f>
        <v>0</v>
      </c>
      <c r="O55">
        <f>IMSUM(F55,N55)</f>
        <v>0</v>
      </c>
      <c r="P55">
        <f>IMDIV("1",IMSUM(G55,IMDIV("1",O55)))</f>
        <v>0</v>
      </c>
      <c r="Q55">
        <f>IMSUM(H55,P55)</f>
        <v>0</v>
      </c>
      <c r="R55">
        <f>IMDIV("1",IMSUM(I55,IMDIV("1",Q55)))</f>
        <v>0</v>
      </c>
      <c r="S55">
        <f>IMSUM(J55,R55)</f>
        <v>0</v>
      </c>
      <c r="T55">
        <f>IMDIV("1",IMSUM(K55,IMDIV("1",S55)))</f>
        <v>0</v>
      </c>
      <c r="U55">
        <f>IMSUM(L55,T55)</f>
        <v>0</v>
      </c>
      <c r="V55">
        <f>IMDIV(COMPLEX(I_DM_SOURCE,0),U55)</f>
        <v>0</v>
      </c>
      <c r="W55">
        <f>IMPRODUCT(V55,T55)</f>
        <v>0</v>
      </c>
      <c r="X55">
        <f>IMDIV(W55,S55)</f>
        <v>0</v>
      </c>
      <c r="Y55">
        <f>IMPRODUCT(X55,R55)</f>
        <v>0</v>
      </c>
      <c r="Z55">
        <f>IMDIV(Y55,Q55)</f>
        <v>0</v>
      </c>
      <c r="AA55">
        <f>IMPRODUCT(Z55,P55)</f>
        <v>0</v>
      </c>
      <c r="AB55">
        <f>AA55</f>
        <v>0</v>
      </c>
      <c r="AC55">
        <f>IMPRODUCT("-1",AB55)</f>
        <v>0</v>
      </c>
      <c r="AD55">
        <f>IMDIV(IMSUB(AB55,AC55),"2")</f>
        <v>0</v>
      </c>
      <c r="AE55" s="6">
        <f>IMABS(AB55)</f>
        <v>0</v>
      </c>
      <c r="AF55" s="6">
        <f>IMABS(AC55)</f>
        <v>0</v>
      </c>
      <c r="AG55" s="6">
        <f>IMABS(AD55)</f>
        <v>0</v>
      </c>
      <c r="AH55" s="7">
        <f>20*LOG10(MAX(AE55,1E-300)*1E6)</f>
        <v>0</v>
      </c>
      <c r="AI55" s="7">
        <f>20*LOG10(MAX(AF55,1E-300)*1E6)</f>
        <v>0</v>
      </c>
      <c r="AJ55" s="7">
        <f>20*LOG10(MAX(AG55,1E-300)*1E6)</f>
        <v>0</v>
      </c>
      <c r="AK55" s="7">
        <f>DEGREES(IMARGUMENT(AB55))</f>
        <v>0</v>
      </c>
      <c r="AL55" s="7">
        <f>DEGREES(IMARGUMENT(AC55))</f>
        <v>0</v>
      </c>
      <c r="AM55" s="7">
        <f>DEGREES(IMARGUMENT(AD55))</f>
        <v>0</v>
      </c>
    </row>
    <row r="56" spans="1:39">
      <c r="A56" s="6">
        <f>10^(LOG10(F_START)+(ROW()-ROW($A$2))*(LOG10(F_STOP)-LOG10(F_START))/(N_POINTS-1))</f>
        <v>0</v>
      </c>
      <c r="B56" s="6">
        <f>2*PI()*A56</f>
        <v>0</v>
      </c>
      <c r="C56">
        <f>COMPLEX(2*LINE_PS_DCR,2*B56*LINE_PS_L)</f>
        <v>0</v>
      </c>
      <c r="D56">
        <f>IMSUM(COMPLEX(0,B56*(LINE_PS_CLINE+LINE_PS_CCHA/2)),IMDIV("1",IMPRODUCT("2",COMPLEX(C_THROUGH_ESR,B56*C_THROUGH_ESL-1/(B56*C_THROUGH_C)))))</f>
        <v>0</v>
      </c>
      <c r="E56">
        <f>COMPLEX(2*LINE_INPUT_DCR,2*B56*LINE_INPUT_L)</f>
        <v>0</v>
      </c>
      <c r="F56">
        <f>COMPLEX(0,B56*(LINE_INPUT_CLINE+LINE_INPUT_CCHA/2))</f>
        <v>0</v>
      </c>
      <c r="G56">
        <f>IMPRODUCT("2",IMDIV("1",IMSUM(IMDIV("1",COMPLEX(LDM1_DCR,B56*LDM1_L)),COMPLEX(0,B56*LDM1_CPA))))</f>
        <v>0</v>
      </c>
      <c r="H56">
        <f>IMSUM(IMDIV("1",COMPLEX(CX1_ESR,B56*CX1_ESL-1/(B56*CX1_C))),IMDIV("1",IMSUM(COMPLEX(DUMP1_R,0),COMPLEX(DUMP1_ESR,B56*DUMP1_ESL-1/(B56*DUMP1_C)))))</f>
        <v>0</v>
      </c>
      <c r="I56">
        <f>IMPRODUCT("2",IMDIV("1",IMSUM(IMDIV("1",COMPLEX(LDM2_DCR,B56*LDM2_L)),COMPLEX(0,B56*LDM2_CPA))))</f>
        <v>0</v>
      </c>
      <c r="J56">
        <f>IMSUM(IMDIV("1",COMPLEX(CX2_ESR,B56*CX2_ESL-1/(B56*CX2_C))),IMDIV("1",IMSUM(COMPLEX(DUMP2_R,0),COMPLEX(DUMP2_ESR,B56*DUMP2_ESL-1/(B56*DUMP2_C)))))</f>
        <v>0</v>
      </c>
      <c r="K56">
        <f>IMPRODUCT("2",IMDIV("1",IMSUM(IMDIV("1",COMPLEX(CMC_DCR,B56*CMC_L*(1-CMC_K))),COMPLEX(0,B56*CMC_CPA))))</f>
        <v>0</v>
      </c>
      <c r="L56">
        <f>IMSUM(COMPLEX(0,B56*CMC_CLINE),IMDIV("1",IMPRODUCT("2",COMPLEX(CY_ESR,B56*CY_ESL-1/(B56*CY_C)))),COMPLEX(1/DUMMY_R,0))</f>
        <v>0</v>
      </c>
      <c r="M56">
        <f>IMSUM(D56,IMDIV("1",C56))</f>
        <v>0</v>
      </c>
      <c r="N56">
        <f>IMDIV("1",IMSUM(E56,IMDIV("1",M56)))</f>
        <v>0</v>
      </c>
      <c r="O56">
        <f>IMSUM(F56,N56)</f>
        <v>0</v>
      </c>
      <c r="P56">
        <f>IMDIV("1",IMSUM(G56,IMDIV("1",O56)))</f>
        <v>0</v>
      </c>
      <c r="Q56">
        <f>IMSUM(H56,P56)</f>
        <v>0</v>
      </c>
      <c r="R56">
        <f>IMDIV("1",IMSUM(I56,IMDIV("1",Q56)))</f>
        <v>0</v>
      </c>
      <c r="S56">
        <f>IMSUM(J56,R56)</f>
        <v>0</v>
      </c>
      <c r="T56">
        <f>IMDIV("1",IMSUM(K56,IMDIV("1",S56)))</f>
        <v>0</v>
      </c>
      <c r="U56">
        <f>IMSUM(L56,T56)</f>
        <v>0</v>
      </c>
      <c r="V56">
        <f>IMDIV(COMPLEX(I_DM_SOURCE,0),U56)</f>
        <v>0</v>
      </c>
      <c r="W56">
        <f>IMPRODUCT(V56,T56)</f>
        <v>0</v>
      </c>
      <c r="X56">
        <f>IMDIV(W56,S56)</f>
        <v>0</v>
      </c>
      <c r="Y56">
        <f>IMPRODUCT(X56,R56)</f>
        <v>0</v>
      </c>
      <c r="Z56">
        <f>IMDIV(Y56,Q56)</f>
        <v>0</v>
      </c>
      <c r="AA56">
        <f>IMPRODUCT(Z56,P56)</f>
        <v>0</v>
      </c>
      <c r="AB56">
        <f>AA56</f>
        <v>0</v>
      </c>
      <c r="AC56">
        <f>IMPRODUCT("-1",AB56)</f>
        <v>0</v>
      </c>
      <c r="AD56">
        <f>IMDIV(IMSUB(AB56,AC56),"2")</f>
        <v>0</v>
      </c>
      <c r="AE56" s="6">
        <f>IMABS(AB56)</f>
        <v>0</v>
      </c>
      <c r="AF56" s="6">
        <f>IMABS(AC56)</f>
        <v>0</v>
      </c>
      <c r="AG56" s="6">
        <f>IMABS(AD56)</f>
        <v>0</v>
      </c>
      <c r="AH56" s="7">
        <f>20*LOG10(MAX(AE56,1E-300)*1E6)</f>
        <v>0</v>
      </c>
      <c r="AI56" s="7">
        <f>20*LOG10(MAX(AF56,1E-300)*1E6)</f>
        <v>0</v>
      </c>
      <c r="AJ56" s="7">
        <f>20*LOG10(MAX(AG56,1E-300)*1E6)</f>
        <v>0</v>
      </c>
      <c r="AK56" s="7">
        <f>DEGREES(IMARGUMENT(AB56))</f>
        <v>0</v>
      </c>
      <c r="AL56" s="7">
        <f>DEGREES(IMARGUMENT(AC56))</f>
        <v>0</v>
      </c>
      <c r="AM56" s="7">
        <f>DEGREES(IMARGUMENT(AD56))</f>
        <v>0</v>
      </c>
    </row>
    <row r="57" spans="1:39">
      <c r="A57" s="6">
        <f>10^(LOG10(F_START)+(ROW()-ROW($A$2))*(LOG10(F_STOP)-LOG10(F_START))/(N_POINTS-1))</f>
        <v>0</v>
      </c>
      <c r="B57" s="6">
        <f>2*PI()*A57</f>
        <v>0</v>
      </c>
      <c r="C57">
        <f>COMPLEX(2*LINE_PS_DCR,2*B57*LINE_PS_L)</f>
        <v>0</v>
      </c>
      <c r="D57">
        <f>IMSUM(COMPLEX(0,B57*(LINE_PS_CLINE+LINE_PS_CCHA/2)),IMDIV("1",IMPRODUCT("2",COMPLEX(C_THROUGH_ESR,B57*C_THROUGH_ESL-1/(B57*C_THROUGH_C)))))</f>
        <v>0</v>
      </c>
      <c r="E57">
        <f>COMPLEX(2*LINE_INPUT_DCR,2*B57*LINE_INPUT_L)</f>
        <v>0</v>
      </c>
      <c r="F57">
        <f>COMPLEX(0,B57*(LINE_INPUT_CLINE+LINE_INPUT_CCHA/2))</f>
        <v>0</v>
      </c>
      <c r="G57">
        <f>IMPRODUCT("2",IMDIV("1",IMSUM(IMDIV("1",COMPLEX(LDM1_DCR,B57*LDM1_L)),COMPLEX(0,B57*LDM1_CPA))))</f>
        <v>0</v>
      </c>
      <c r="H57">
        <f>IMSUM(IMDIV("1",COMPLEX(CX1_ESR,B57*CX1_ESL-1/(B57*CX1_C))),IMDIV("1",IMSUM(COMPLEX(DUMP1_R,0),COMPLEX(DUMP1_ESR,B57*DUMP1_ESL-1/(B57*DUMP1_C)))))</f>
        <v>0</v>
      </c>
      <c r="I57">
        <f>IMPRODUCT("2",IMDIV("1",IMSUM(IMDIV("1",COMPLEX(LDM2_DCR,B57*LDM2_L)),COMPLEX(0,B57*LDM2_CPA))))</f>
        <v>0</v>
      </c>
      <c r="J57">
        <f>IMSUM(IMDIV("1",COMPLEX(CX2_ESR,B57*CX2_ESL-1/(B57*CX2_C))),IMDIV("1",IMSUM(COMPLEX(DUMP2_R,0),COMPLEX(DUMP2_ESR,B57*DUMP2_ESL-1/(B57*DUMP2_C)))))</f>
        <v>0</v>
      </c>
      <c r="K57">
        <f>IMPRODUCT("2",IMDIV("1",IMSUM(IMDIV("1",COMPLEX(CMC_DCR,B57*CMC_L*(1-CMC_K))),COMPLEX(0,B57*CMC_CPA))))</f>
        <v>0</v>
      </c>
      <c r="L57">
        <f>IMSUM(COMPLEX(0,B57*CMC_CLINE),IMDIV("1",IMPRODUCT("2",COMPLEX(CY_ESR,B57*CY_ESL-1/(B57*CY_C)))),COMPLEX(1/DUMMY_R,0))</f>
        <v>0</v>
      </c>
      <c r="M57">
        <f>IMSUM(D57,IMDIV("1",C57))</f>
        <v>0</v>
      </c>
      <c r="N57">
        <f>IMDIV("1",IMSUM(E57,IMDIV("1",M57)))</f>
        <v>0</v>
      </c>
      <c r="O57">
        <f>IMSUM(F57,N57)</f>
        <v>0</v>
      </c>
      <c r="P57">
        <f>IMDIV("1",IMSUM(G57,IMDIV("1",O57)))</f>
        <v>0</v>
      </c>
      <c r="Q57">
        <f>IMSUM(H57,P57)</f>
        <v>0</v>
      </c>
      <c r="R57">
        <f>IMDIV("1",IMSUM(I57,IMDIV("1",Q57)))</f>
        <v>0</v>
      </c>
      <c r="S57">
        <f>IMSUM(J57,R57)</f>
        <v>0</v>
      </c>
      <c r="T57">
        <f>IMDIV("1",IMSUM(K57,IMDIV("1",S57)))</f>
        <v>0</v>
      </c>
      <c r="U57">
        <f>IMSUM(L57,T57)</f>
        <v>0</v>
      </c>
      <c r="V57">
        <f>IMDIV(COMPLEX(I_DM_SOURCE,0),U57)</f>
        <v>0</v>
      </c>
      <c r="W57">
        <f>IMPRODUCT(V57,T57)</f>
        <v>0</v>
      </c>
      <c r="X57">
        <f>IMDIV(W57,S57)</f>
        <v>0</v>
      </c>
      <c r="Y57">
        <f>IMPRODUCT(X57,R57)</f>
        <v>0</v>
      </c>
      <c r="Z57">
        <f>IMDIV(Y57,Q57)</f>
        <v>0</v>
      </c>
      <c r="AA57">
        <f>IMPRODUCT(Z57,P57)</f>
        <v>0</v>
      </c>
      <c r="AB57">
        <f>AA57</f>
        <v>0</v>
      </c>
      <c r="AC57">
        <f>IMPRODUCT("-1",AB57)</f>
        <v>0</v>
      </c>
      <c r="AD57">
        <f>IMDIV(IMSUB(AB57,AC57),"2")</f>
        <v>0</v>
      </c>
      <c r="AE57" s="6">
        <f>IMABS(AB57)</f>
        <v>0</v>
      </c>
      <c r="AF57" s="6">
        <f>IMABS(AC57)</f>
        <v>0</v>
      </c>
      <c r="AG57" s="6">
        <f>IMABS(AD57)</f>
        <v>0</v>
      </c>
      <c r="AH57" s="7">
        <f>20*LOG10(MAX(AE57,1E-300)*1E6)</f>
        <v>0</v>
      </c>
      <c r="AI57" s="7">
        <f>20*LOG10(MAX(AF57,1E-300)*1E6)</f>
        <v>0</v>
      </c>
      <c r="AJ57" s="7">
        <f>20*LOG10(MAX(AG57,1E-300)*1E6)</f>
        <v>0</v>
      </c>
      <c r="AK57" s="7">
        <f>DEGREES(IMARGUMENT(AB57))</f>
        <v>0</v>
      </c>
      <c r="AL57" s="7">
        <f>DEGREES(IMARGUMENT(AC57))</f>
        <v>0</v>
      </c>
      <c r="AM57" s="7">
        <f>DEGREES(IMARGUMENT(AD57))</f>
        <v>0</v>
      </c>
    </row>
    <row r="58" spans="1:39">
      <c r="A58" s="6">
        <f>10^(LOG10(F_START)+(ROW()-ROW($A$2))*(LOG10(F_STOP)-LOG10(F_START))/(N_POINTS-1))</f>
        <v>0</v>
      </c>
      <c r="B58" s="6">
        <f>2*PI()*A58</f>
        <v>0</v>
      </c>
      <c r="C58">
        <f>COMPLEX(2*LINE_PS_DCR,2*B58*LINE_PS_L)</f>
        <v>0</v>
      </c>
      <c r="D58">
        <f>IMSUM(COMPLEX(0,B58*(LINE_PS_CLINE+LINE_PS_CCHA/2)),IMDIV("1",IMPRODUCT("2",COMPLEX(C_THROUGH_ESR,B58*C_THROUGH_ESL-1/(B58*C_THROUGH_C)))))</f>
        <v>0</v>
      </c>
      <c r="E58">
        <f>COMPLEX(2*LINE_INPUT_DCR,2*B58*LINE_INPUT_L)</f>
        <v>0</v>
      </c>
      <c r="F58">
        <f>COMPLEX(0,B58*(LINE_INPUT_CLINE+LINE_INPUT_CCHA/2))</f>
        <v>0</v>
      </c>
      <c r="G58">
        <f>IMPRODUCT("2",IMDIV("1",IMSUM(IMDIV("1",COMPLEX(LDM1_DCR,B58*LDM1_L)),COMPLEX(0,B58*LDM1_CPA))))</f>
        <v>0</v>
      </c>
      <c r="H58">
        <f>IMSUM(IMDIV("1",COMPLEX(CX1_ESR,B58*CX1_ESL-1/(B58*CX1_C))),IMDIV("1",IMSUM(COMPLEX(DUMP1_R,0),COMPLEX(DUMP1_ESR,B58*DUMP1_ESL-1/(B58*DUMP1_C)))))</f>
        <v>0</v>
      </c>
      <c r="I58">
        <f>IMPRODUCT("2",IMDIV("1",IMSUM(IMDIV("1",COMPLEX(LDM2_DCR,B58*LDM2_L)),COMPLEX(0,B58*LDM2_CPA))))</f>
        <v>0</v>
      </c>
      <c r="J58">
        <f>IMSUM(IMDIV("1",COMPLEX(CX2_ESR,B58*CX2_ESL-1/(B58*CX2_C))),IMDIV("1",IMSUM(COMPLEX(DUMP2_R,0),COMPLEX(DUMP2_ESR,B58*DUMP2_ESL-1/(B58*DUMP2_C)))))</f>
        <v>0</v>
      </c>
      <c r="K58">
        <f>IMPRODUCT("2",IMDIV("1",IMSUM(IMDIV("1",COMPLEX(CMC_DCR,B58*CMC_L*(1-CMC_K))),COMPLEX(0,B58*CMC_CPA))))</f>
        <v>0</v>
      </c>
      <c r="L58">
        <f>IMSUM(COMPLEX(0,B58*CMC_CLINE),IMDIV("1",IMPRODUCT("2",COMPLEX(CY_ESR,B58*CY_ESL-1/(B58*CY_C)))),COMPLEX(1/DUMMY_R,0))</f>
        <v>0</v>
      </c>
      <c r="M58">
        <f>IMSUM(D58,IMDIV("1",C58))</f>
        <v>0</v>
      </c>
      <c r="N58">
        <f>IMDIV("1",IMSUM(E58,IMDIV("1",M58)))</f>
        <v>0</v>
      </c>
      <c r="O58">
        <f>IMSUM(F58,N58)</f>
        <v>0</v>
      </c>
      <c r="P58">
        <f>IMDIV("1",IMSUM(G58,IMDIV("1",O58)))</f>
        <v>0</v>
      </c>
      <c r="Q58">
        <f>IMSUM(H58,P58)</f>
        <v>0</v>
      </c>
      <c r="R58">
        <f>IMDIV("1",IMSUM(I58,IMDIV("1",Q58)))</f>
        <v>0</v>
      </c>
      <c r="S58">
        <f>IMSUM(J58,R58)</f>
        <v>0</v>
      </c>
      <c r="T58">
        <f>IMDIV("1",IMSUM(K58,IMDIV("1",S58)))</f>
        <v>0</v>
      </c>
      <c r="U58">
        <f>IMSUM(L58,T58)</f>
        <v>0</v>
      </c>
      <c r="V58">
        <f>IMDIV(COMPLEX(I_DM_SOURCE,0),U58)</f>
        <v>0</v>
      </c>
      <c r="W58">
        <f>IMPRODUCT(V58,T58)</f>
        <v>0</v>
      </c>
      <c r="X58">
        <f>IMDIV(W58,S58)</f>
        <v>0</v>
      </c>
      <c r="Y58">
        <f>IMPRODUCT(X58,R58)</f>
        <v>0</v>
      </c>
      <c r="Z58">
        <f>IMDIV(Y58,Q58)</f>
        <v>0</v>
      </c>
      <c r="AA58">
        <f>IMPRODUCT(Z58,P58)</f>
        <v>0</v>
      </c>
      <c r="AB58">
        <f>AA58</f>
        <v>0</v>
      </c>
      <c r="AC58">
        <f>IMPRODUCT("-1",AB58)</f>
        <v>0</v>
      </c>
      <c r="AD58">
        <f>IMDIV(IMSUB(AB58,AC58),"2")</f>
        <v>0</v>
      </c>
      <c r="AE58" s="6">
        <f>IMABS(AB58)</f>
        <v>0</v>
      </c>
      <c r="AF58" s="6">
        <f>IMABS(AC58)</f>
        <v>0</v>
      </c>
      <c r="AG58" s="6">
        <f>IMABS(AD58)</f>
        <v>0</v>
      </c>
      <c r="AH58" s="7">
        <f>20*LOG10(MAX(AE58,1E-300)*1E6)</f>
        <v>0</v>
      </c>
      <c r="AI58" s="7">
        <f>20*LOG10(MAX(AF58,1E-300)*1E6)</f>
        <v>0</v>
      </c>
      <c r="AJ58" s="7">
        <f>20*LOG10(MAX(AG58,1E-300)*1E6)</f>
        <v>0</v>
      </c>
      <c r="AK58" s="7">
        <f>DEGREES(IMARGUMENT(AB58))</f>
        <v>0</v>
      </c>
      <c r="AL58" s="7">
        <f>DEGREES(IMARGUMENT(AC58))</f>
        <v>0</v>
      </c>
      <c r="AM58" s="7">
        <f>DEGREES(IMARGUMENT(AD58))</f>
        <v>0</v>
      </c>
    </row>
    <row r="59" spans="1:39">
      <c r="A59" s="6">
        <f>10^(LOG10(F_START)+(ROW()-ROW($A$2))*(LOG10(F_STOP)-LOG10(F_START))/(N_POINTS-1))</f>
        <v>0</v>
      </c>
      <c r="B59" s="6">
        <f>2*PI()*A59</f>
        <v>0</v>
      </c>
      <c r="C59">
        <f>COMPLEX(2*LINE_PS_DCR,2*B59*LINE_PS_L)</f>
        <v>0</v>
      </c>
      <c r="D59">
        <f>IMSUM(COMPLEX(0,B59*(LINE_PS_CLINE+LINE_PS_CCHA/2)),IMDIV("1",IMPRODUCT("2",COMPLEX(C_THROUGH_ESR,B59*C_THROUGH_ESL-1/(B59*C_THROUGH_C)))))</f>
        <v>0</v>
      </c>
      <c r="E59">
        <f>COMPLEX(2*LINE_INPUT_DCR,2*B59*LINE_INPUT_L)</f>
        <v>0</v>
      </c>
      <c r="F59">
        <f>COMPLEX(0,B59*(LINE_INPUT_CLINE+LINE_INPUT_CCHA/2))</f>
        <v>0</v>
      </c>
      <c r="G59">
        <f>IMPRODUCT("2",IMDIV("1",IMSUM(IMDIV("1",COMPLEX(LDM1_DCR,B59*LDM1_L)),COMPLEX(0,B59*LDM1_CPA))))</f>
        <v>0</v>
      </c>
      <c r="H59">
        <f>IMSUM(IMDIV("1",COMPLEX(CX1_ESR,B59*CX1_ESL-1/(B59*CX1_C))),IMDIV("1",IMSUM(COMPLEX(DUMP1_R,0),COMPLEX(DUMP1_ESR,B59*DUMP1_ESL-1/(B59*DUMP1_C)))))</f>
        <v>0</v>
      </c>
      <c r="I59">
        <f>IMPRODUCT("2",IMDIV("1",IMSUM(IMDIV("1",COMPLEX(LDM2_DCR,B59*LDM2_L)),COMPLEX(0,B59*LDM2_CPA))))</f>
        <v>0</v>
      </c>
      <c r="J59">
        <f>IMSUM(IMDIV("1",COMPLEX(CX2_ESR,B59*CX2_ESL-1/(B59*CX2_C))),IMDIV("1",IMSUM(COMPLEX(DUMP2_R,0),COMPLEX(DUMP2_ESR,B59*DUMP2_ESL-1/(B59*DUMP2_C)))))</f>
        <v>0</v>
      </c>
      <c r="K59">
        <f>IMPRODUCT("2",IMDIV("1",IMSUM(IMDIV("1",COMPLEX(CMC_DCR,B59*CMC_L*(1-CMC_K))),COMPLEX(0,B59*CMC_CPA))))</f>
        <v>0</v>
      </c>
      <c r="L59">
        <f>IMSUM(COMPLEX(0,B59*CMC_CLINE),IMDIV("1",IMPRODUCT("2",COMPLEX(CY_ESR,B59*CY_ESL-1/(B59*CY_C)))),COMPLEX(1/DUMMY_R,0))</f>
        <v>0</v>
      </c>
      <c r="M59">
        <f>IMSUM(D59,IMDIV("1",C59))</f>
        <v>0</v>
      </c>
      <c r="N59">
        <f>IMDIV("1",IMSUM(E59,IMDIV("1",M59)))</f>
        <v>0</v>
      </c>
      <c r="O59">
        <f>IMSUM(F59,N59)</f>
        <v>0</v>
      </c>
      <c r="P59">
        <f>IMDIV("1",IMSUM(G59,IMDIV("1",O59)))</f>
        <v>0</v>
      </c>
      <c r="Q59">
        <f>IMSUM(H59,P59)</f>
        <v>0</v>
      </c>
      <c r="R59">
        <f>IMDIV("1",IMSUM(I59,IMDIV("1",Q59)))</f>
        <v>0</v>
      </c>
      <c r="S59">
        <f>IMSUM(J59,R59)</f>
        <v>0</v>
      </c>
      <c r="T59">
        <f>IMDIV("1",IMSUM(K59,IMDIV("1",S59)))</f>
        <v>0</v>
      </c>
      <c r="U59">
        <f>IMSUM(L59,T59)</f>
        <v>0</v>
      </c>
      <c r="V59">
        <f>IMDIV(COMPLEX(I_DM_SOURCE,0),U59)</f>
        <v>0</v>
      </c>
      <c r="W59">
        <f>IMPRODUCT(V59,T59)</f>
        <v>0</v>
      </c>
      <c r="X59">
        <f>IMDIV(W59,S59)</f>
        <v>0</v>
      </c>
      <c r="Y59">
        <f>IMPRODUCT(X59,R59)</f>
        <v>0</v>
      </c>
      <c r="Z59">
        <f>IMDIV(Y59,Q59)</f>
        <v>0</v>
      </c>
      <c r="AA59">
        <f>IMPRODUCT(Z59,P59)</f>
        <v>0</v>
      </c>
      <c r="AB59">
        <f>AA59</f>
        <v>0</v>
      </c>
      <c r="AC59">
        <f>IMPRODUCT("-1",AB59)</f>
        <v>0</v>
      </c>
      <c r="AD59">
        <f>IMDIV(IMSUB(AB59,AC59),"2")</f>
        <v>0</v>
      </c>
      <c r="AE59" s="6">
        <f>IMABS(AB59)</f>
        <v>0</v>
      </c>
      <c r="AF59" s="6">
        <f>IMABS(AC59)</f>
        <v>0</v>
      </c>
      <c r="AG59" s="6">
        <f>IMABS(AD59)</f>
        <v>0</v>
      </c>
      <c r="AH59" s="7">
        <f>20*LOG10(MAX(AE59,1E-300)*1E6)</f>
        <v>0</v>
      </c>
      <c r="AI59" s="7">
        <f>20*LOG10(MAX(AF59,1E-300)*1E6)</f>
        <v>0</v>
      </c>
      <c r="AJ59" s="7">
        <f>20*LOG10(MAX(AG59,1E-300)*1E6)</f>
        <v>0</v>
      </c>
      <c r="AK59" s="7">
        <f>DEGREES(IMARGUMENT(AB59))</f>
        <v>0</v>
      </c>
      <c r="AL59" s="7">
        <f>DEGREES(IMARGUMENT(AC59))</f>
        <v>0</v>
      </c>
      <c r="AM59" s="7">
        <f>DEGREES(IMARGUMENT(AD59))</f>
        <v>0</v>
      </c>
    </row>
    <row r="60" spans="1:39">
      <c r="A60" s="6">
        <f>10^(LOG10(F_START)+(ROW()-ROW($A$2))*(LOG10(F_STOP)-LOG10(F_START))/(N_POINTS-1))</f>
        <v>0</v>
      </c>
      <c r="B60" s="6">
        <f>2*PI()*A60</f>
        <v>0</v>
      </c>
      <c r="C60">
        <f>COMPLEX(2*LINE_PS_DCR,2*B60*LINE_PS_L)</f>
        <v>0</v>
      </c>
      <c r="D60">
        <f>IMSUM(COMPLEX(0,B60*(LINE_PS_CLINE+LINE_PS_CCHA/2)),IMDIV("1",IMPRODUCT("2",COMPLEX(C_THROUGH_ESR,B60*C_THROUGH_ESL-1/(B60*C_THROUGH_C)))))</f>
        <v>0</v>
      </c>
      <c r="E60">
        <f>COMPLEX(2*LINE_INPUT_DCR,2*B60*LINE_INPUT_L)</f>
        <v>0</v>
      </c>
      <c r="F60">
        <f>COMPLEX(0,B60*(LINE_INPUT_CLINE+LINE_INPUT_CCHA/2))</f>
        <v>0</v>
      </c>
      <c r="G60">
        <f>IMPRODUCT("2",IMDIV("1",IMSUM(IMDIV("1",COMPLEX(LDM1_DCR,B60*LDM1_L)),COMPLEX(0,B60*LDM1_CPA))))</f>
        <v>0</v>
      </c>
      <c r="H60">
        <f>IMSUM(IMDIV("1",COMPLEX(CX1_ESR,B60*CX1_ESL-1/(B60*CX1_C))),IMDIV("1",IMSUM(COMPLEX(DUMP1_R,0),COMPLEX(DUMP1_ESR,B60*DUMP1_ESL-1/(B60*DUMP1_C)))))</f>
        <v>0</v>
      </c>
      <c r="I60">
        <f>IMPRODUCT("2",IMDIV("1",IMSUM(IMDIV("1",COMPLEX(LDM2_DCR,B60*LDM2_L)),COMPLEX(0,B60*LDM2_CPA))))</f>
        <v>0</v>
      </c>
      <c r="J60">
        <f>IMSUM(IMDIV("1",COMPLEX(CX2_ESR,B60*CX2_ESL-1/(B60*CX2_C))),IMDIV("1",IMSUM(COMPLEX(DUMP2_R,0),COMPLEX(DUMP2_ESR,B60*DUMP2_ESL-1/(B60*DUMP2_C)))))</f>
        <v>0</v>
      </c>
      <c r="K60">
        <f>IMPRODUCT("2",IMDIV("1",IMSUM(IMDIV("1",COMPLEX(CMC_DCR,B60*CMC_L*(1-CMC_K))),COMPLEX(0,B60*CMC_CPA))))</f>
        <v>0</v>
      </c>
      <c r="L60">
        <f>IMSUM(COMPLEX(0,B60*CMC_CLINE),IMDIV("1",IMPRODUCT("2",COMPLEX(CY_ESR,B60*CY_ESL-1/(B60*CY_C)))),COMPLEX(1/DUMMY_R,0))</f>
        <v>0</v>
      </c>
      <c r="M60">
        <f>IMSUM(D60,IMDIV("1",C60))</f>
        <v>0</v>
      </c>
      <c r="N60">
        <f>IMDIV("1",IMSUM(E60,IMDIV("1",M60)))</f>
        <v>0</v>
      </c>
      <c r="O60">
        <f>IMSUM(F60,N60)</f>
        <v>0</v>
      </c>
      <c r="P60">
        <f>IMDIV("1",IMSUM(G60,IMDIV("1",O60)))</f>
        <v>0</v>
      </c>
      <c r="Q60">
        <f>IMSUM(H60,P60)</f>
        <v>0</v>
      </c>
      <c r="R60">
        <f>IMDIV("1",IMSUM(I60,IMDIV("1",Q60)))</f>
        <v>0</v>
      </c>
      <c r="S60">
        <f>IMSUM(J60,R60)</f>
        <v>0</v>
      </c>
      <c r="T60">
        <f>IMDIV("1",IMSUM(K60,IMDIV("1",S60)))</f>
        <v>0</v>
      </c>
      <c r="U60">
        <f>IMSUM(L60,T60)</f>
        <v>0</v>
      </c>
      <c r="V60">
        <f>IMDIV(COMPLEX(I_DM_SOURCE,0),U60)</f>
        <v>0</v>
      </c>
      <c r="W60">
        <f>IMPRODUCT(V60,T60)</f>
        <v>0</v>
      </c>
      <c r="X60">
        <f>IMDIV(W60,S60)</f>
        <v>0</v>
      </c>
      <c r="Y60">
        <f>IMPRODUCT(X60,R60)</f>
        <v>0</v>
      </c>
      <c r="Z60">
        <f>IMDIV(Y60,Q60)</f>
        <v>0</v>
      </c>
      <c r="AA60">
        <f>IMPRODUCT(Z60,P60)</f>
        <v>0</v>
      </c>
      <c r="AB60">
        <f>AA60</f>
        <v>0</v>
      </c>
      <c r="AC60">
        <f>IMPRODUCT("-1",AB60)</f>
        <v>0</v>
      </c>
      <c r="AD60">
        <f>IMDIV(IMSUB(AB60,AC60),"2")</f>
        <v>0</v>
      </c>
      <c r="AE60" s="6">
        <f>IMABS(AB60)</f>
        <v>0</v>
      </c>
      <c r="AF60" s="6">
        <f>IMABS(AC60)</f>
        <v>0</v>
      </c>
      <c r="AG60" s="6">
        <f>IMABS(AD60)</f>
        <v>0</v>
      </c>
      <c r="AH60" s="7">
        <f>20*LOG10(MAX(AE60,1E-300)*1E6)</f>
        <v>0</v>
      </c>
      <c r="AI60" s="7">
        <f>20*LOG10(MAX(AF60,1E-300)*1E6)</f>
        <v>0</v>
      </c>
      <c r="AJ60" s="7">
        <f>20*LOG10(MAX(AG60,1E-300)*1E6)</f>
        <v>0</v>
      </c>
      <c r="AK60" s="7">
        <f>DEGREES(IMARGUMENT(AB60))</f>
        <v>0</v>
      </c>
      <c r="AL60" s="7">
        <f>DEGREES(IMARGUMENT(AC60))</f>
        <v>0</v>
      </c>
      <c r="AM60" s="7">
        <f>DEGREES(IMARGUMENT(AD60))</f>
        <v>0</v>
      </c>
    </row>
    <row r="61" spans="1:39">
      <c r="A61" s="6">
        <f>10^(LOG10(F_START)+(ROW()-ROW($A$2))*(LOG10(F_STOP)-LOG10(F_START))/(N_POINTS-1))</f>
        <v>0</v>
      </c>
      <c r="B61" s="6">
        <f>2*PI()*A61</f>
        <v>0</v>
      </c>
      <c r="C61">
        <f>COMPLEX(2*LINE_PS_DCR,2*B61*LINE_PS_L)</f>
        <v>0</v>
      </c>
      <c r="D61">
        <f>IMSUM(COMPLEX(0,B61*(LINE_PS_CLINE+LINE_PS_CCHA/2)),IMDIV("1",IMPRODUCT("2",COMPLEX(C_THROUGH_ESR,B61*C_THROUGH_ESL-1/(B61*C_THROUGH_C)))))</f>
        <v>0</v>
      </c>
      <c r="E61">
        <f>COMPLEX(2*LINE_INPUT_DCR,2*B61*LINE_INPUT_L)</f>
        <v>0</v>
      </c>
      <c r="F61">
        <f>COMPLEX(0,B61*(LINE_INPUT_CLINE+LINE_INPUT_CCHA/2))</f>
        <v>0</v>
      </c>
      <c r="G61">
        <f>IMPRODUCT("2",IMDIV("1",IMSUM(IMDIV("1",COMPLEX(LDM1_DCR,B61*LDM1_L)),COMPLEX(0,B61*LDM1_CPA))))</f>
        <v>0</v>
      </c>
      <c r="H61">
        <f>IMSUM(IMDIV("1",COMPLEX(CX1_ESR,B61*CX1_ESL-1/(B61*CX1_C))),IMDIV("1",IMSUM(COMPLEX(DUMP1_R,0),COMPLEX(DUMP1_ESR,B61*DUMP1_ESL-1/(B61*DUMP1_C)))))</f>
        <v>0</v>
      </c>
      <c r="I61">
        <f>IMPRODUCT("2",IMDIV("1",IMSUM(IMDIV("1",COMPLEX(LDM2_DCR,B61*LDM2_L)),COMPLEX(0,B61*LDM2_CPA))))</f>
        <v>0</v>
      </c>
      <c r="J61">
        <f>IMSUM(IMDIV("1",COMPLEX(CX2_ESR,B61*CX2_ESL-1/(B61*CX2_C))),IMDIV("1",IMSUM(COMPLEX(DUMP2_R,0),COMPLEX(DUMP2_ESR,B61*DUMP2_ESL-1/(B61*DUMP2_C)))))</f>
        <v>0</v>
      </c>
      <c r="K61">
        <f>IMPRODUCT("2",IMDIV("1",IMSUM(IMDIV("1",COMPLEX(CMC_DCR,B61*CMC_L*(1-CMC_K))),COMPLEX(0,B61*CMC_CPA))))</f>
        <v>0</v>
      </c>
      <c r="L61">
        <f>IMSUM(COMPLEX(0,B61*CMC_CLINE),IMDIV("1",IMPRODUCT("2",COMPLEX(CY_ESR,B61*CY_ESL-1/(B61*CY_C)))),COMPLEX(1/DUMMY_R,0))</f>
        <v>0</v>
      </c>
      <c r="M61">
        <f>IMSUM(D61,IMDIV("1",C61))</f>
        <v>0</v>
      </c>
      <c r="N61">
        <f>IMDIV("1",IMSUM(E61,IMDIV("1",M61)))</f>
        <v>0</v>
      </c>
      <c r="O61">
        <f>IMSUM(F61,N61)</f>
        <v>0</v>
      </c>
      <c r="P61">
        <f>IMDIV("1",IMSUM(G61,IMDIV("1",O61)))</f>
        <v>0</v>
      </c>
      <c r="Q61">
        <f>IMSUM(H61,P61)</f>
        <v>0</v>
      </c>
      <c r="R61">
        <f>IMDIV("1",IMSUM(I61,IMDIV("1",Q61)))</f>
        <v>0</v>
      </c>
      <c r="S61">
        <f>IMSUM(J61,R61)</f>
        <v>0</v>
      </c>
      <c r="T61">
        <f>IMDIV("1",IMSUM(K61,IMDIV("1",S61)))</f>
        <v>0</v>
      </c>
      <c r="U61">
        <f>IMSUM(L61,T61)</f>
        <v>0</v>
      </c>
      <c r="V61">
        <f>IMDIV(COMPLEX(I_DM_SOURCE,0),U61)</f>
        <v>0</v>
      </c>
      <c r="W61">
        <f>IMPRODUCT(V61,T61)</f>
        <v>0</v>
      </c>
      <c r="X61">
        <f>IMDIV(W61,S61)</f>
        <v>0</v>
      </c>
      <c r="Y61">
        <f>IMPRODUCT(X61,R61)</f>
        <v>0</v>
      </c>
      <c r="Z61">
        <f>IMDIV(Y61,Q61)</f>
        <v>0</v>
      </c>
      <c r="AA61">
        <f>IMPRODUCT(Z61,P61)</f>
        <v>0</v>
      </c>
      <c r="AB61">
        <f>AA61</f>
        <v>0</v>
      </c>
      <c r="AC61">
        <f>IMPRODUCT("-1",AB61)</f>
        <v>0</v>
      </c>
      <c r="AD61">
        <f>IMDIV(IMSUB(AB61,AC61),"2")</f>
        <v>0</v>
      </c>
      <c r="AE61" s="6">
        <f>IMABS(AB61)</f>
        <v>0</v>
      </c>
      <c r="AF61" s="6">
        <f>IMABS(AC61)</f>
        <v>0</v>
      </c>
      <c r="AG61" s="6">
        <f>IMABS(AD61)</f>
        <v>0</v>
      </c>
      <c r="AH61" s="7">
        <f>20*LOG10(MAX(AE61,1E-300)*1E6)</f>
        <v>0</v>
      </c>
      <c r="AI61" s="7">
        <f>20*LOG10(MAX(AF61,1E-300)*1E6)</f>
        <v>0</v>
      </c>
      <c r="AJ61" s="7">
        <f>20*LOG10(MAX(AG61,1E-300)*1E6)</f>
        <v>0</v>
      </c>
      <c r="AK61" s="7">
        <f>DEGREES(IMARGUMENT(AB61))</f>
        <v>0</v>
      </c>
      <c r="AL61" s="7">
        <f>DEGREES(IMARGUMENT(AC61))</f>
        <v>0</v>
      </c>
      <c r="AM61" s="7">
        <f>DEGREES(IMARGUMENT(AD61))</f>
        <v>0</v>
      </c>
    </row>
    <row r="62" spans="1:39">
      <c r="A62" s="6">
        <f>10^(LOG10(F_START)+(ROW()-ROW($A$2))*(LOG10(F_STOP)-LOG10(F_START))/(N_POINTS-1))</f>
        <v>0</v>
      </c>
      <c r="B62" s="6">
        <f>2*PI()*A62</f>
        <v>0</v>
      </c>
      <c r="C62">
        <f>COMPLEX(2*LINE_PS_DCR,2*B62*LINE_PS_L)</f>
        <v>0</v>
      </c>
      <c r="D62">
        <f>IMSUM(COMPLEX(0,B62*(LINE_PS_CLINE+LINE_PS_CCHA/2)),IMDIV("1",IMPRODUCT("2",COMPLEX(C_THROUGH_ESR,B62*C_THROUGH_ESL-1/(B62*C_THROUGH_C)))))</f>
        <v>0</v>
      </c>
      <c r="E62">
        <f>COMPLEX(2*LINE_INPUT_DCR,2*B62*LINE_INPUT_L)</f>
        <v>0</v>
      </c>
      <c r="F62">
        <f>COMPLEX(0,B62*(LINE_INPUT_CLINE+LINE_INPUT_CCHA/2))</f>
        <v>0</v>
      </c>
      <c r="G62">
        <f>IMPRODUCT("2",IMDIV("1",IMSUM(IMDIV("1",COMPLEX(LDM1_DCR,B62*LDM1_L)),COMPLEX(0,B62*LDM1_CPA))))</f>
        <v>0</v>
      </c>
      <c r="H62">
        <f>IMSUM(IMDIV("1",COMPLEX(CX1_ESR,B62*CX1_ESL-1/(B62*CX1_C))),IMDIV("1",IMSUM(COMPLEX(DUMP1_R,0),COMPLEX(DUMP1_ESR,B62*DUMP1_ESL-1/(B62*DUMP1_C)))))</f>
        <v>0</v>
      </c>
      <c r="I62">
        <f>IMPRODUCT("2",IMDIV("1",IMSUM(IMDIV("1",COMPLEX(LDM2_DCR,B62*LDM2_L)),COMPLEX(0,B62*LDM2_CPA))))</f>
        <v>0</v>
      </c>
      <c r="J62">
        <f>IMSUM(IMDIV("1",COMPLEX(CX2_ESR,B62*CX2_ESL-1/(B62*CX2_C))),IMDIV("1",IMSUM(COMPLEX(DUMP2_R,0),COMPLEX(DUMP2_ESR,B62*DUMP2_ESL-1/(B62*DUMP2_C)))))</f>
        <v>0</v>
      </c>
      <c r="K62">
        <f>IMPRODUCT("2",IMDIV("1",IMSUM(IMDIV("1",COMPLEX(CMC_DCR,B62*CMC_L*(1-CMC_K))),COMPLEX(0,B62*CMC_CPA))))</f>
        <v>0</v>
      </c>
      <c r="L62">
        <f>IMSUM(COMPLEX(0,B62*CMC_CLINE),IMDIV("1",IMPRODUCT("2",COMPLEX(CY_ESR,B62*CY_ESL-1/(B62*CY_C)))),COMPLEX(1/DUMMY_R,0))</f>
        <v>0</v>
      </c>
      <c r="M62">
        <f>IMSUM(D62,IMDIV("1",C62))</f>
        <v>0</v>
      </c>
      <c r="N62">
        <f>IMDIV("1",IMSUM(E62,IMDIV("1",M62)))</f>
        <v>0</v>
      </c>
      <c r="O62">
        <f>IMSUM(F62,N62)</f>
        <v>0</v>
      </c>
      <c r="P62">
        <f>IMDIV("1",IMSUM(G62,IMDIV("1",O62)))</f>
        <v>0</v>
      </c>
      <c r="Q62">
        <f>IMSUM(H62,P62)</f>
        <v>0</v>
      </c>
      <c r="R62">
        <f>IMDIV("1",IMSUM(I62,IMDIV("1",Q62)))</f>
        <v>0</v>
      </c>
      <c r="S62">
        <f>IMSUM(J62,R62)</f>
        <v>0</v>
      </c>
      <c r="T62">
        <f>IMDIV("1",IMSUM(K62,IMDIV("1",S62)))</f>
        <v>0</v>
      </c>
      <c r="U62">
        <f>IMSUM(L62,T62)</f>
        <v>0</v>
      </c>
      <c r="V62">
        <f>IMDIV(COMPLEX(I_DM_SOURCE,0),U62)</f>
        <v>0</v>
      </c>
      <c r="W62">
        <f>IMPRODUCT(V62,T62)</f>
        <v>0</v>
      </c>
      <c r="X62">
        <f>IMDIV(W62,S62)</f>
        <v>0</v>
      </c>
      <c r="Y62">
        <f>IMPRODUCT(X62,R62)</f>
        <v>0</v>
      </c>
      <c r="Z62">
        <f>IMDIV(Y62,Q62)</f>
        <v>0</v>
      </c>
      <c r="AA62">
        <f>IMPRODUCT(Z62,P62)</f>
        <v>0</v>
      </c>
      <c r="AB62">
        <f>AA62</f>
        <v>0</v>
      </c>
      <c r="AC62">
        <f>IMPRODUCT("-1",AB62)</f>
        <v>0</v>
      </c>
      <c r="AD62">
        <f>IMDIV(IMSUB(AB62,AC62),"2")</f>
        <v>0</v>
      </c>
      <c r="AE62" s="6">
        <f>IMABS(AB62)</f>
        <v>0</v>
      </c>
      <c r="AF62" s="6">
        <f>IMABS(AC62)</f>
        <v>0</v>
      </c>
      <c r="AG62" s="6">
        <f>IMABS(AD62)</f>
        <v>0</v>
      </c>
      <c r="AH62" s="7">
        <f>20*LOG10(MAX(AE62,1E-300)*1E6)</f>
        <v>0</v>
      </c>
      <c r="AI62" s="7">
        <f>20*LOG10(MAX(AF62,1E-300)*1E6)</f>
        <v>0</v>
      </c>
      <c r="AJ62" s="7">
        <f>20*LOG10(MAX(AG62,1E-300)*1E6)</f>
        <v>0</v>
      </c>
      <c r="AK62" s="7">
        <f>DEGREES(IMARGUMENT(AB62))</f>
        <v>0</v>
      </c>
      <c r="AL62" s="7">
        <f>DEGREES(IMARGUMENT(AC62))</f>
        <v>0</v>
      </c>
      <c r="AM62" s="7">
        <f>DEGREES(IMARGUMENT(AD62))</f>
        <v>0</v>
      </c>
    </row>
    <row r="63" spans="1:39">
      <c r="A63" s="6">
        <f>10^(LOG10(F_START)+(ROW()-ROW($A$2))*(LOG10(F_STOP)-LOG10(F_START))/(N_POINTS-1))</f>
        <v>0</v>
      </c>
      <c r="B63" s="6">
        <f>2*PI()*A63</f>
        <v>0</v>
      </c>
      <c r="C63">
        <f>COMPLEX(2*LINE_PS_DCR,2*B63*LINE_PS_L)</f>
        <v>0</v>
      </c>
      <c r="D63">
        <f>IMSUM(COMPLEX(0,B63*(LINE_PS_CLINE+LINE_PS_CCHA/2)),IMDIV("1",IMPRODUCT("2",COMPLEX(C_THROUGH_ESR,B63*C_THROUGH_ESL-1/(B63*C_THROUGH_C)))))</f>
        <v>0</v>
      </c>
      <c r="E63">
        <f>COMPLEX(2*LINE_INPUT_DCR,2*B63*LINE_INPUT_L)</f>
        <v>0</v>
      </c>
      <c r="F63">
        <f>COMPLEX(0,B63*(LINE_INPUT_CLINE+LINE_INPUT_CCHA/2))</f>
        <v>0</v>
      </c>
      <c r="G63">
        <f>IMPRODUCT("2",IMDIV("1",IMSUM(IMDIV("1",COMPLEX(LDM1_DCR,B63*LDM1_L)),COMPLEX(0,B63*LDM1_CPA))))</f>
        <v>0</v>
      </c>
      <c r="H63">
        <f>IMSUM(IMDIV("1",COMPLEX(CX1_ESR,B63*CX1_ESL-1/(B63*CX1_C))),IMDIV("1",IMSUM(COMPLEX(DUMP1_R,0),COMPLEX(DUMP1_ESR,B63*DUMP1_ESL-1/(B63*DUMP1_C)))))</f>
        <v>0</v>
      </c>
      <c r="I63">
        <f>IMPRODUCT("2",IMDIV("1",IMSUM(IMDIV("1",COMPLEX(LDM2_DCR,B63*LDM2_L)),COMPLEX(0,B63*LDM2_CPA))))</f>
        <v>0</v>
      </c>
      <c r="J63">
        <f>IMSUM(IMDIV("1",COMPLEX(CX2_ESR,B63*CX2_ESL-1/(B63*CX2_C))),IMDIV("1",IMSUM(COMPLEX(DUMP2_R,0),COMPLEX(DUMP2_ESR,B63*DUMP2_ESL-1/(B63*DUMP2_C)))))</f>
        <v>0</v>
      </c>
      <c r="K63">
        <f>IMPRODUCT("2",IMDIV("1",IMSUM(IMDIV("1",COMPLEX(CMC_DCR,B63*CMC_L*(1-CMC_K))),COMPLEX(0,B63*CMC_CPA))))</f>
        <v>0</v>
      </c>
      <c r="L63">
        <f>IMSUM(COMPLEX(0,B63*CMC_CLINE),IMDIV("1",IMPRODUCT("2",COMPLEX(CY_ESR,B63*CY_ESL-1/(B63*CY_C)))),COMPLEX(1/DUMMY_R,0))</f>
        <v>0</v>
      </c>
      <c r="M63">
        <f>IMSUM(D63,IMDIV("1",C63))</f>
        <v>0</v>
      </c>
      <c r="N63">
        <f>IMDIV("1",IMSUM(E63,IMDIV("1",M63)))</f>
        <v>0</v>
      </c>
      <c r="O63">
        <f>IMSUM(F63,N63)</f>
        <v>0</v>
      </c>
      <c r="P63">
        <f>IMDIV("1",IMSUM(G63,IMDIV("1",O63)))</f>
        <v>0</v>
      </c>
      <c r="Q63">
        <f>IMSUM(H63,P63)</f>
        <v>0</v>
      </c>
      <c r="R63">
        <f>IMDIV("1",IMSUM(I63,IMDIV("1",Q63)))</f>
        <v>0</v>
      </c>
      <c r="S63">
        <f>IMSUM(J63,R63)</f>
        <v>0</v>
      </c>
      <c r="T63">
        <f>IMDIV("1",IMSUM(K63,IMDIV("1",S63)))</f>
        <v>0</v>
      </c>
      <c r="U63">
        <f>IMSUM(L63,T63)</f>
        <v>0</v>
      </c>
      <c r="V63">
        <f>IMDIV(COMPLEX(I_DM_SOURCE,0),U63)</f>
        <v>0</v>
      </c>
      <c r="W63">
        <f>IMPRODUCT(V63,T63)</f>
        <v>0</v>
      </c>
      <c r="X63">
        <f>IMDIV(W63,S63)</f>
        <v>0</v>
      </c>
      <c r="Y63">
        <f>IMPRODUCT(X63,R63)</f>
        <v>0</v>
      </c>
      <c r="Z63">
        <f>IMDIV(Y63,Q63)</f>
        <v>0</v>
      </c>
      <c r="AA63">
        <f>IMPRODUCT(Z63,P63)</f>
        <v>0</v>
      </c>
      <c r="AB63">
        <f>AA63</f>
        <v>0</v>
      </c>
      <c r="AC63">
        <f>IMPRODUCT("-1",AB63)</f>
        <v>0</v>
      </c>
      <c r="AD63">
        <f>IMDIV(IMSUB(AB63,AC63),"2")</f>
        <v>0</v>
      </c>
      <c r="AE63" s="6">
        <f>IMABS(AB63)</f>
        <v>0</v>
      </c>
      <c r="AF63" s="6">
        <f>IMABS(AC63)</f>
        <v>0</v>
      </c>
      <c r="AG63" s="6">
        <f>IMABS(AD63)</f>
        <v>0</v>
      </c>
      <c r="AH63" s="7">
        <f>20*LOG10(MAX(AE63,1E-300)*1E6)</f>
        <v>0</v>
      </c>
      <c r="AI63" s="7">
        <f>20*LOG10(MAX(AF63,1E-300)*1E6)</f>
        <v>0</v>
      </c>
      <c r="AJ63" s="7">
        <f>20*LOG10(MAX(AG63,1E-300)*1E6)</f>
        <v>0</v>
      </c>
      <c r="AK63" s="7">
        <f>DEGREES(IMARGUMENT(AB63))</f>
        <v>0</v>
      </c>
      <c r="AL63" s="7">
        <f>DEGREES(IMARGUMENT(AC63))</f>
        <v>0</v>
      </c>
      <c r="AM63" s="7">
        <f>DEGREES(IMARGUMENT(AD63))</f>
        <v>0</v>
      </c>
    </row>
    <row r="64" spans="1:39">
      <c r="A64" s="6">
        <f>10^(LOG10(F_START)+(ROW()-ROW($A$2))*(LOG10(F_STOP)-LOG10(F_START))/(N_POINTS-1))</f>
        <v>0</v>
      </c>
      <c r="B64" s="6">
        <f>2*PI()*A64</f>
        <v>0</v>
      </c>
      <c r="C64">
        <f>COMPLEX(2*LINE_PS_DCR,2*B64*LINE_PS_L)</f>
        <v>0</v>
      </c>
      <c r="D64">
        <f>IMSUM(COMPLEX(0,B64*(LINE_PS_CLINE+LINE_PS_CCHA/2)),IMDIV("1",IMPRODUCT("2",COMPLEX(C_THROUGH_ESR,B64*C_THROUGH_ESL-1/(B64*C_THROUGH_C)))))</f>
        <v>0</v>
      </c>
      <c r="E64">
        <f>COMPLEX(2*LINE_INPUT_DCR,2*B64*LINE_INPUT_L)</f>
        <v>0</v>
      </c>
      <c r="F64">
        <f>COMPLEX(0,B64*(LINE_INPUT_CLINE+LINE_INPUT_CCHA/2))</f>
        <v>0</v>
      </c>
      <c r="G64">
        <f>IMPRODUCT("2",IMDIV("1",IMSUM(IMDIV("1",COMPLEX(LDM1_DCR,B64*LDM1_L)),COMPLEX(0,B64*LDM1_CPA))))</f>
        <v>0</v>
      </c>
      <c r="H64">
        <f>IMSUM(IMDIV("1",COMPLEX(CX1_ESR,B64*CX1_ESL-1/(B64*CX1_C))),IMDIV("1",IMSUM(COMPLEX(DUMP1_R,0),COMPLEX(DUMP1_ESR,B64*DUMP1_ESL-1/(B64*DUMP1_C)))))</f>
        <v>0</v>
      </c>
      <c r="I64">
        <f>IMPRODUCT("2",IMDIV("1",IMSUM(IMDIV("1",COMPLEX(LDM2_DCR,B64*LDM2_L)),COMPLEX(0,B64*LDM2_CPA))))</f>
        <v>0</v>
      </c>
      <c r="J64">
        <f>IMSUM(IMDIV("1",COMPLEX(CX2_ESR,B64*CX2_ESL-1/(B64*CX2_C))),IMDIV("1",IMSUM(COMPLEX(DUMP2_R,0),COMPLEX(DUMP2_ESR,B64*DUMP2_ESL-1/(B64*DUMP2_C)))))</f>
        <v>0</v>
      </c>
      <c r="K64">
        <f>IMPRODUCT("2",IMDIV("1",IMSUM(IMDIV("1",COMPLEX(CMC_DCR,B64*CMC_L*(1-CMC_K))),COMPLEX(0,B64*CMC_CPA))))</f>
        <v>0</v>
      </c>
      <c r="L64">
        <f>IMSUM(COMPLEX(0,B64*CMC_CLINE),IMDIV("1",IMPRODUCT("2",COMPLEX(CY_ESR,B64*CY_ESL-1/(B64*CY_C)))),COMPLEX(1/DUMMY_R,0))</f>
        <v>0</v>
      </c>
      <c r="M64">
        <f>IMSUM(D64,IMDIV("1",C64))</f>
        <v>0</v>
      </c>
      <c r="N64">
        <f>IMDIV("1",IMSUM(E64,IMDIV("1",M64)))</f>
        <v>0</v>
      </c>
      <c r="O64">
        <f>IMSUM(F64,N64)</f>
        <v>0</v>
      </c>
      <c r="P64">
        <f>IMDIV("1",IMSUM(G64,IMDIV("1",O64)))</f>
        <v>0</v>
      </c>
      <c r="Q64">
        <f>IMSUM(H64,P64)</f>
        <v>0</v>
      </c>
      <c r="R64">
        <f>IMDIV("1",IMSUM(I64,IMDIV("1",Q64)))</f>
        <v>0</v>
      </c>
      <c r="S64">
        <f>IMSUM(J64,R64)</f>
        <v>0</v>
      </c>
      <c r="T64">
        <f>IMDIV("1",IMSUM(K64,IMDIV("1",S64)))</f>
        <v>0</v>
      </c>
      <c r="U64">
        <f>IMSUM(L64,T64)</f>
        <v>0</v>
      </c>
      <c r="V64">
        <f>IMDIV(COMPLEX(I_DM_SOURCE,0),U64)</f>
        <v>0</v>
      </c>
      <c r="W64">
        <f>IMPRODUCT(V64,T64)</f>
        <v>0</v>
      </c>
      <c r="X64">
        <f>IMDIV(W64,S64)</f>
        <v>0</v>
      </c>
      <c r="Y64">
        <f>IMPRODUCT(X64,R64)</f>
        <v>0</v>
      </c>
      <c r="Z64">
        <f>IMDIV(Y64,Q64)</f>
        <v>0</v>
      </c>
      <c r="AA64">
        <f>IMPRODUCT(Z64,P64)</f>
        <v>0</v>
      </c>
      <c r="AB64">
        <f>AA64</f>
        <v>0</v>
      </c>
      <c r="AC64">
        <f>IMPRODUCT("-1",AB64)</f>
        <v>0</v>
      </c>
      <c r="AD64">
        <f>IMDIV(IMSUB(AB64,AC64),"2")</f>
        <v>0</v>
      </c>
      <c r="AE64" s="6">
        <f>IMABS(AB64)</f>
        <v>0</v>
      </c>
      <c r="AF64" s="6">
        <f>IMABS(AC64)</f>
        <v>0</v>
      </c>
      <c r="AG64" s="6">
        <f>IMABS(AD64)</f>
        <v>0</v>
      </c>
      <c r="AH64" s="7">
        <f>20*LOG10(MAX(AE64,1E-300)*1E6)</f>
        <v>0</v>
      </c>
      <c r="AI64" s="7">
        <f>20*LOG10(MAX(AF64,1E-300)*1E6)</f>
        <v>0</v>
      </c>
      <c r="AJ64" s="7">
        <f>20*LOG10(MAX(AG64,1E-300)*1E6)</f>
        <v>0</v>
      </c>
      <c r="AK64" s="7">
        <f>DEGREES(IMARGUMENT(AB64))</f>
        <v>0</v>
      </c>
      <c r="AL64" s="7">
        <f>DEGREES(IMARGUMENT(AC64))</f>
        <v>0</v>
      </c>
      <c r="AM64" s="7">
        <f>DEGREES(IMARGUMENT(AD64))</f>
        <v>0</v>
      </c>
    </row>
    <row r="65" spans="1:39">
      <c r="A65" s="6">
        <f>10^(LOG10(F_START)+(ROW()-ROW($A$2))*(LOG10(F_STOP)-LOG10(F_START))/(N_POINTS-1))</f>
        <v>0</v>
      </c>
      <c r="B65" s="6">
        <f>2*PI()*A65</f>
        <v>0</v>
      </c>
      <c r="C65">
        <f>COMPLEX(2*LINE_PS_DCR,2*B65*LINE_PS_L)</f>
        <v>0</v>
      </c>
      <c r="D65">
        <f>IMSUM(COMPLEX(0,B65*(LINE_PS_CLINE+LINE_PS_CCHA/2)),IMDIV("1",IMPRODUCT("2",COMPLEX(C_THROUGH_ESR,B65*C_THROUGH_ESL-1/(B65*C_THROUGH_C)))))</f>
        <v>0</v>
      </c>
      <c r="E65">
        <f>COMPLEX(2*LINE_INPUT_DCR,2*B65*LINE_INPUT_L)</f>
        <v>0</v>
      </c>
      <c r="F65">
        <f>COMPLEX(0,B65*(LINE_INPUT_CLINE+LINE_INPUT_CCHA/2))</f>
        <v>0</v>
      </c>
      <c r="G65">
        <f>IMPRODUCT("2",IMDIV("1",IMSUM(IMDIV("1",COMPLEX(LDM1_DCR,B65*LDM1_L)),COMPLEX(0,B65*LDM1_CPA))))</f>
        <v>0</v>
      </c>
      <c r="H65">
        <f>IMSUM(IMDIV("1",COMPLEX(CX1_ESR,B65*CX1_ESL-1/(B65*CX1_C))),IMDIV("1",IMSUM(COMPLEX(DUMP1_R,0),COMPLEX(DUMP1_ESR,B65*DUMP1_ESL-1/(B65*DUMP1_C)))))</f>
        <v>0</v>
      </c>
      <c r="I65">
        <f>IMPRODUCT("2",IMDIV("1",IMSUM(IMDIV("1",COMPLEX(LDM2_DCR,B65*LDM2_L)),COMPLEX(0,B65*LDM2_CPA))))</f>
        <v>0</v>
      </c>
      <c r="J65">
        <f>IMSUM(IMDIV("1",COMPLEX(CX2_ESR,B65*CX2_ESL-1/(B65*CX2_C))),IMDIV("1",IMSUM(COMPLEX(DUMP2_R,0),COMPLEX(DUMP2_ESR,B65*DUMP2_ESL-1/(B65*DUMP2_C)))))</f>
        <v>0</v>
      </c>
      <c r="K65">
        <f>IMPRODUCT("2",IMDIV("1",IMSUM(IMDIV("1",COMPLEX(CMC_DCR,B65*CMC_L*(1-CMC_K))),COMPLEX(0,B65*CMC_CPA))))</f>
        <v>0</v>
      </c>
      <c r="L65">
        <f>IMSUM(COMPLEX(0,B65*CMC_CLINE),IMDIV("1",IMPRODUCT("2",COMPLEX(CY_ESR,B65*CY_ESL-1/(B65*CY_C)))),COMPLEX(1/DUMMY_R,0))</f>
        <v>0</v>
      </c>
      <c r="M65">
        <f>IMSUM(D65,IMDIV("1",C65))</f>
        <v>0</v>
      </c>
      <c r="N65">
        <f>IMDIV("1",IMSUM(E65,IMDIV("1",M65)))</f>
        <v>0</v>
      </c>
      <c r="O65">
        <f>IMSUM(F65,N65)</f>
        <v>0</v>
      </c>
      <c r="P65">
        <f>IMDIV("1",IMSUM(G65,IMDIV("1",O65)))</f>
        <v>0</v>
      </c>
      <c r="Q65">
        <f>IMSUM(H65,P65)</f>
        <v>0</v>
      </c>
      <c r="R65">
        <f>IMDIV("1",IMSUM(I65,IMDIV("1",Q65)))</f>
        <v>0</v>
      </c>
      <c r="S65">
        <f>IMSUM(J65,R65)</f>
        <v>0</v>
      </c>
      <c r="T65">
        <f>IMDIV("1",IMSUM(K65,IMDIV("1",S65)))</f>
        <v>0</v>
      </c>
      <c r="U65">
        <f>IMSUM(L65,T65)</f>
        <v>0</v>
      </c>
      <c r="V65">
        <f>IMDIV(COMPLEX(I_DM_SOURCE,0),U65)</f>
        <v>0</v>
      </c>
      <c r="W65">
        <f>IMPRODUCT(V65,T65)</f>
        <v>0</v>
      </c>
      <c r="X65">
        <f>IMDIV(W65,S65)</f>
        <v>0</v>
      </c>
      <c r="Y65">
        <f>IMPRODUCT(X65,R65)</f>
        <v>0</v>
      </c>
      <c r="Z65">
        <f>IMDIV(Y65,Q65)</f>
        <v>0</v>
      </c>
      <c r="AA65">
        <f>IMPRODUCT(Z65,P65)</f>
        <v>0</v>
      </c>
      <c r="AB65">
        <f>AA65</f>
        <v>0</v>
      </c>
      <c r="AC65">
        <f>IMPRODUCT("-1",AB65)</f>
        <v>0</v>
      </c>
      <c r="AD65">
        <f>IMDIV(IMSUB(AB65,AC65),"2")</f>
        <v>0</v>
      </c>
      <c r="AE65" s="6">
        <f>IMABS(AB65)</f>
        <v>0</v>
      </c>
      <c r="AF65" s="6">
        <f>IMABS(AC65)</f>
        <v>0</v>
      </c>
      <c r="AG65" s="6">
        <f>IMABS(AD65)</f>
        <v>0</v>
      </c>
      <c r="AH65" s="7">
        <f>20*LOG10(MAX(AE65,1E-300)*1E6)</f>
        <v>0</v>
      </c>
      <c r="AI65" s="7">
        <f>20*LOG10(MAX(AF65,1E-300)*1E6)</f>
        <v>0</v>
      </c>
      <c r="AJ65" s="7">
        <f>20*LOG10(MAX(AG65,1E-300)*1E6)</f>
        <v>0</v>
      </c>
      <c r="AK65" s="7">
        <f>DEGREES(IMARGUMENT(AB65))</f>
        <v>0</v>
      </c>
      <c r="AL65" s="7">
        <f>DEGREES(IMARGUMENT(AC65))</f>
        <v>0</v>
      </c>
      <c r="AM65" s="7">
        <f>DEGREES(IMARGUMENT(AD65))</f>
        <v>0</v>
      </c>
    </row>
    <row r="66" spans="1:39">
      <c r="A66" s="6">
        <f>10^(LOG10(F_START)+(ROW()-ROW($A$2))*(LOG10(F_STOP)-LOG10(F_START))/(N_POINTS-1))</f>
        <v>0</v>
      </c>
      <c r="B66" s="6">
        <f>2*PI()*A66</f>
        <v>0</v>
      </c>
      <c r="C66">
        <f>COMPLEX(2*LINE_PS_DCR,2*B66*LINE_PS_L)</f>
        <v>0</v>
      </c>
      <c r="D66">
        <f>IMSUM(COMPLEX(0,B66*(LINE_PS_CLINE+LINE_PS_CCHA/2)),IMDIV("1",IMPRODUCT("2",COMPLEX(C_THROUGH_ESR,B66*C_THROUGH_ESL-1/(B66*C_THROUGH_C)))))</f>
        <v>0</v>
      </c>
      <c r="E66">
        <f>COMPLEX(2*LINE_INPUT_DCR,2*B66*LINE_INPUT_L)</f>
        <v>0</v>
      </c>
      <c r="F66">
        <f>COMPLEX(0,B66*(LINE_INPUT_CLINE+LINE_INPUT_CCHA/2))</f>
        <v>0</v>
      </c>
      <c r="G66">
        <f>IMPRODUCT("2",IMDIV("1",IMSUM(IMDIV("1",COMPLEX(LDM1_DCR,B66*LDM1_L)),COMPLEX(0,B66*LDM1_CPA))))</f>
        <v>0</v>
      </c>
      <c r="H66">
        <f>IMSUM(IMDIV("1",COMPLEX(CX1_ESR,B66*CX1_ESL-1/(B66*CX1_C))),IMDIV("1",IMSUM(COMPLEX(DUMP1_R,0),COMPLEX(DUMP1_ESR,B66*DUMP1_ESL-1/(B66*DUMP1_C)))))</f>
        <v>0</v>
      </c>
      <c r="I66">
        <f>IMPRODUCT("2",IMDIV("1",IMSUM(IMDIV("1",COMPLEX(LDM2_DCR,B66*LDM2_L)),COMPLEX(0,B66*LDM2_CPA))))</f>
        <v>0</v>
      </c>
      <c r="J66">
        <f>IMSUM(IMDIV("1",COMPLEX(CX2_ESR,B66*CX2_ESL-1/(B66*CX2_C))),IMDIV("1",IMSUM(COMPLEX(DUMP2_R,0),COMPLEX(DUMP2_ESR,B66*DUMP2_ESL-1/(B66*DUMP2_C)))))</f>
        <v>0</v>
      </c>
      <c r="K66">
        <f>IMPRODUCT("2",IMDIV("1",IMSUM(IMDIV("1",COMPLEX(CMC_DCR,B66*CMC_L*(1-CMC_K))),COMPLEX(0,B66*CMC_CPA))))</f>
        <v>0</v>
      </c>
      <c r="L66">
        <f>IMSUM(COMPLEX(0,B66*CMC_CLINE),IMDIV("1",IMPRODUCT("2",COMPLEX(CY_ESR,B66*CY_ESL-1/(B66*CY_C)))),COMPLEX(1/DUMMY_R,0))</f>
        <v>0</v>
      </c>
      <c r="M66">
        <f>IMSUM(D66,IMDIV("1",C66))</f>
        <v>0</v>
      </c>
      <c r="N66">
        <f>IMDIV("1",IMSUM(E66,IMDIV("1",M66)))</f>
        <v>0</v>
      </c>
      <c r="O66">
        <f>IMSUM(F66,N66)</f>
        <v>0</v>
      </c>
      <c r="P66">
        <f>IMDIV("1",IMSUM(G66,IMDIV("1",O66)))</f>
        <v>0</v>
      </c>
      <c r="Q66">
        <f>IMSUM(H66,P66)</f>
        <v>0</v>
      </c>
      <c r="R66">
        <f>IMDIV("1",IMSUM(I66,IMDIV("1",Q66)))</f>
        <v>0</v>
      </c>
      <c r="S66">
        <f>IMSUM(J66,R66)</f>
        <v>0</v>
      </c>
      <c r="T66">
        <f>IMDIV("1",IMSUM(K66,IMDIV("1",S66)))</f>
        <v>0</v>
      </c>
      <c r="U66">
        <f>IMSUM(L66,T66)</f>
        <v>0</v>
      </c>
      <c r="V66">
        <f>IMDIV(COMPLEX(I_DM_SOURCE,0),U66)</f>
        <v>0</v>
      </c>
      <c r="W66">
        <f>IMPRODUCT(V66,T66)</f>
        <v>0</v>
      </c>
      <c r="X66">
        <f>IMDIV(W66,S66)</f>
        <v>0</v>
      </c>
      <c r="Y66">
        <f>IMPRODUCT(X66,R66)</f>
        <v>0</v>
      </c>
      <c r="Z66">
        <f>IMDIV(Y66,Q66)</f>
        <v>0</v>
      </c>
      <c r="AA66">
        <f>IMPRODUCT(Z66,P66)</f>
        <v>0</v>
      </c>
      <c r="AB66">
        <f>AA66</f>
        <v>0</v>
      </c>
      <c r="AC66">
        <f>IMPRODUCT("-1",AB66)</f>
        <v>0</v>
      </c>
      <c r="AD66">
        <f>IMDIV(IMSUB(AB66,AC66),"2")</f>
        <v>0</v>
      </c>
      <c r="AE66" s="6">
        <f>IMABS(AB66)</f>
        <v>0</v>
      </c>
      <c r="AF66" s="6">
        <f>IMABS(AC66)</f>
        <v>0</v>
      </c>
      <c r="AG66" s="6">
        <f>IMABS(AD66)</f>
        <v>0</v>
      </c>
      <c r="AH66" s="7">
        <f>20*LOG10(MAX(AE66,1E-300)*1E6)</f>
        <v>0</v>
      </c>
      <c r="AI66" s="7">
        <f>20*LOG10(MAX(AF66,1E-300)*1E6)</f>
        <v>0</v>
      </c>
      <c r="AJ66" s="7">
        <f>20*LOG10(MAX(AG66,1E-300)*1E6)</f>
        <v>0</v>
      </c>
      <c r="AK66" s="7">
        <f>DEGREES(IMARGUMENT(AB66))</f>
        <v>0</v>
      </c>
      <c r="AL66" s="7">
        <f>DEGREES(IMARGUMENT(AC66))</f>
        <v>0</v>
      </c>
      <c r="AM66" s="7">
        <f>DEGREES(IMARGUMENT(AD66))</f>
        <v>0</v>
      </c>
    </row>
    <row r="67" spans="1:39">
      <c r="A67" s="6">
        <f>10^(LOG10(F_START)+(ROW()-ROW($A$2))*(LOG10(F_STOP)-LOG10(F_START))/(N_POINTS-1))</f>
        <v>0</v>
      </c>
      <c r="B67" s="6">
        <f>2*PI()*A67</f>
        <v>0</v>
      </c>
      <c r="C67">
        <f>COMPLEX(2*LINE_PS_DCR,2*B67*LINE_PS_L)</f>
        <v>0</v>
      </c>
      <c r="D67">
        <f>IMSUM(COMPLEX(0,B67*(LINE_PS_CLINE+LINE_PS_CCHA/2)),IMDIV("1",IMPRODUCT("2",COMPLEX(C_THROUGH_ESR,B67*C_THROUGH_ESL-1/(B67*C_THROUGH_C)))))</f>
        <v>0</v>
      </c>
      <c r="E67">
        <f>COMPLEX(2*LINE_INPUT_DCR,2*B67*LINE_INPUT_L)</f>
        <v>0</v>
      </c>
      <c r="F67">
        <f>COMPLEX(0,B67*(LINE_INPUT_CLINE+LINE_INPUT_CCHA/2))</f>
        <v>0</v>
      </c>
      <c r="G67">
        <f>IMPRODUCT("2",IMDIV("1",IMSUM(IMDIV("1",COMPLEX(LDM1_DCR,B67*LDM1_L)),COMPLEX(0,B67*LDM1_CPA))))</f>
        <v>0</v>
      </c>
      <c r="H67">
        <f>IMSUM(IMDIV("1",COMPLEX(CX1_ESR,B67*CX1_ESL-1/(B67*CX1_C))),IMDIV("1",IMSUM(COMPLEX(DUMP1_R,0),COMPLEX(DUMP1_ESR,B67*DUMP1_ESL-1/(B67*DUMP1_C)))))</f>
        <v>0</v>
      </c>
      <c r="I67">
        <f>IMPRODUCT("2",IMDIV("1",IMSUM(IMDIV("1",COMPLEX(LDM2_DCR,B67*LDM2_L)),COMPLEX(0,B67*LDM2_CPA))))</f>
        <v>0</v>
      </c>
      <c r="J67">
        <f>IMSUM(IMDIV("1",COMPLEX(CX2_ESR,B67*CX2_ESL-1/(B67*CX2_C))),IMDIV("1",IMSUM(COMPLEX(DUMP2_R,0),COMPLEX(DUMP2_ESR,B67*DUMP2_ESL-1/(B67*DUMP2_C)))))</f>
        <v>0</v>
      </c>
      <c r="K67">
        <f>IMPRODUCT("2",IMDIV("1",IMSUM(IMDIV("1",COMPLEX(CMC_DCR,B67*CMC_L*(1-CMC_K))),COMPLEX(0,B67*CMC_CPA))))</f>
        <v>0</v>
      </c>
      <c r="L67">
        <f>IMSUM(COMPLEX(0,B67*CMC_CLINE),IMDIV("1",IMPRODUCT("2",COMPLEX(CY_ESR,B67*CY_ESL-1/(B67*CY_C)))),COMPLEX(1/DUMMY_R,0))</f>
        <v>0</v>
      </c>
      <c r="M67">
        <f>IMSUM(D67,IMDIV("1",C67))</f>
        <v>0</v>
      </c>
      <c r="N67">
        <f>IMDIV("1",IMSUM(E67,IMDIV("1",M67)))</f>
        <v>0</v>
      </c>
      <c r="O67">
        <f>IMSUM(F67,N67)</f>
        <v>0</v>
      </c>
      <c r="P67">
        <f>IMDIV("1",IMSUM(G67,IMDIV("1",O67)))</f>
        <v>0</v>
      </c>
      <c r="Q67">
        <f>IMSUM(H67,P67)</f>
        <v>0</v>
      </c>
      <c r="R67">
        <f>IMDIV("1",IMSUM(I67,IMDIV("1",Q67)))</f>
        <v>0</v>
      </c>
      <c r="S67">
        <f>IMSUM(J67,R67)</f>
        <v>0</v>
      </c>
      <c r="T67">
        <f>IMDIV("1",IMSUM(K67,IMDIV("1",S67)))</f>
        <v>0</v>
      </c>
      <c r="U67">
        <f>IMSUM(L67,T67)</f>
        <v>0</v>
      </c>
      <c r="V67">
        <f>IMDIV(COMPLEX(I_DM_SOURCE,0),U67)</f>
        <v>0</v>
      </c>
      <c r="W67">
        <f>IMPRODUCT(V67,T67)</f>
        <v>0</v>
      </c>
      <c r="X67">
        <f>IMDIV(W67,S67)</f>
        <v>0</v>
      </c>
      <c r="Y67">
        <f>IMPRODUCT(X67,R67)</f>
        <v>0</v>
      </c>
      <c r="Z67">
        <f>IMDIV(Y67,Q67)</f>
        <v>0</v>
      </c>
      <c r="AA67">
        <f>IMPRODUCT(Z67,P67)</f>
        <v>0</v>
      </c>
      <c r="AB67">
        <f>AA67</f>
        <v>0</v>
      </c>
      <c r="AC67">
        <f>IMPRODUCT("-1",AB67)</f>
        <v>0</v>
      </c>
      <c r="AD67">
        <f>IMDIV(IMSUB(AB67,AC67),"2")</f>
        <v>0</v>
      </c>
      <c r="AE67" s="6">
        <f>IMABS(AB67)</f>
        <v>0</v>
      </c>
      <c r="AF67" s="6">
        <f>IMABS(AC67)</f>
        <v>0</v>
      </c>
      <c r="AG67" s="6">
        <f>IMABS(AD67)</f>
        <v>0</v>
      </c>
      <c r="AH67" s="7">
        <f>20*LOG10(MAX(AE67,1E-300)*1E6)</f>
        <v>0</v>
      </c>
      <c r="AI67" s="7">
        <f>20*LOG10(MAX(AF67,1E-300)*1E6)</f>
        <v>0</v>
      </c>
      <c r="AJ67" s="7">
        <f>20*LOG10(MAX(AG67,1E-300)*1E6)</f>
        <v>0</v>
      </c>
      <c r="AK67" s="7">
        <f>DEGREES(IMARGUMENT(AB67))</f>
        <v>0</v>
      </c>
      <c r="AL67" s="7">
        <f>DEGREES(IMARGUMENT(AC67))</f>
        <v>0</v>
      </c>
      <c r="AM67" s="7">
        <f>DEGREES(IMARGUMENT(AD67))</f>
        <v>0</v>
      </c>
    </row>
    <row r="68" spans="1:39">
      <c r="A68" s="6">
        <f>10^(LOG10(F_START)+(ROW()-ROW($A$2))*(LOG10(F_STOP)-LOG10(F_START))/(N_POINTS-1))</f>
        <v>0</v>
      </c>
      <c r="B68" s="6">
        <f>2*PI()*A68</f>
        <v>0</v>
      </c>
      <c r="C68">
        <f>COMPLEX(2*LINE_PS_DCR,2*B68*LINE_PS_L)</f>
        <v>0</v>
      </c>
      <c r="D68">
        <f>IMSUM(COMPLEX(0,B68*(LINE_PS_CLINE+LINE_PS_CCHA/2)),IMDIV("1",IMPRODUCT("2",COMPLEX(C_THROUGH_ESR,B68*C_THROUGH_ESL-1/(B68*C_THROUGH_C)))))</f>
        <v>0</v>
      </c>
      <c r="E68">
        <f>COMPLEX(2*LINE_INPUT_DCR,2*B68*LINE_INPUT_L)</f>
        <v>0</v>
      </c>
      <c r="F68">
        <f>COMPLEX(0,B68*(LINE_INPUT_CLINE+LINE_INPUT_CCHA/2))</f>
        <v>0</v>
      </c>
      <c r="G68">
        <f>IMPRODUCT("2",IMDIV("1",IMSUM(IMDIV("1",COMPLEX(LDM1_DCR,B68*LDM1_L)),COMPLEX(0,B68*LDM1_CPA))))</f>
        <v>0</v>
      </c>
      <c r="H68">
        <f>IMSUM(IMDIV("1",COMPLEX(CX1_ESR,B68*CX1_ESL-1/(B68*CX1_C))),IMDIV("1",IMSUM(COMPLEX(DUMP1_R,0),COMPLEX(DUMP1_ESR,B68*DUMP1_ESL-1/(B68*DUMP1_C)))))</f>
        <v>0</v>
      </c>
      <c r="I68">
        <f>IMPRODUCT("2",IMDIV("1",IMSUM(IMDIV("1",COMPLEX(LDM2_DCR,B68*LDM2_L)),COMPLEX(0,B68*LDM2_CPA))))</f>
        <v>0</v>
      </c>
      <c r="J68">
        <f>IMSUM(IMDIV("1",COMPLEX(CX2_ESR,B68*CX2_ESL-1/(B68*CX2_C))),IMDIV("1",IMSUM(COMPLEX(DUMP2_R,0),COMPLEX(DUMP2_ESR,B68*DUMP2_ESL-1/(B68*DUMP2_C)))))</f>
        <v>0</v>
      </c>
      <c r="K68">
        <f>IMPRODUCT("2",IMDIV("1",IMSUM(IMDIV("1",COMPLEX(CMC_DCR,B68*CMC_L*(1-CMC_K))),COMPLEX(0,B68*CMC_CPA))))</f>
        <v>0</v>
      </c>
      <c r="L68">
        <f>IMSUM(COMPLEX(0,B68*CMC_CLINE),IMDIV("1",IMPRODUCT("2",COMPLEX(CY_ESR,B68*CY_ESL-1/(B68*CY_C)))),COMPLEX(1/DUMMY_R,0))</f>
        <v>0</v>
      </c>
      <c r="M68">
        <f>IMSUM(D68,IMDIV("1",C68))</f>
        <v>0</v>
      </c>
      <c r="N68">
        <f>IMDIV("1",IMSUM(E68,IMDIV("1",M68)))</f>
        <v>0</v>
      </c>
      <c r="O68">
        <f>IMSUM(F68,N68)</f>
        <v>0</v>
      </c>
      <c r="P68">
        <f>IMDIV("1",IMSUM(G68,IMDIV("1",O68)))</f>
        <v>0</v>
      </c>
      <c r="Q68">
        <f>IMSUM(H68,P68)</f>
        <v>0</v>
      </c>
      <c r="R68">
        <f>IMDIV("1",IMSUM(I68,IMDIV("1",Q68)))</f>
        <v>0</v>
      </c>
      <c r="S68">
        <f>IMSUM(J68,R68)</f>
        <v>0</v>
      </c>
      <c r="T68">
        <f>IMDIV("1",IMSUM(K68,IMDIV("1",S68)))</f>
        <v>0</v>
      </c>
      <c r="U68">
        <f>IMSUM(L68,T68)</f>
        <v>0</v>
      </c>
      <c r="V68">
        <f>IMDIV(COMPLEX(I_DM_SOURCE,0),U68)</f>
        <v>0</v>
      </c>
      <c r="W68">
        <f>IMPRODUCT(V68,T68)</f>
        <v>0</v>
      </c>
      <c r="X68">
        <f>IMDIV(W68,S68)</f>
        <v>0</v>
      </c>
      <c r="Y68">
        <f>IMPRODUCT(X68,R68)</f>
        <v>0</v>
      </c>
      <c r="Z68">
        <f>IMDIV(Y68,Q68)</f>
        <v>0</v>
      </c>
      <c r="AA68">
        <f>IMPRODUCT(Z68,P68)</f>
        <v>0</v>
      </c>
      <c r="AB68">
        <f>AA68</f>
        <v>0</v>
      </c>
      <c r="AC68">
        <f>IMPRODUCT("-1",AB68)</f>
        <v>0</v>
      </c>
      <c r="AD68">
        <f>IMDIV(IMSUB(AB68,AC68),"2")</f>
        <v>0</v>
      </c>
      <c r="AE68" s="6">
        <f>IMABS(AB68)</f>
        <v>0</v>
      </c>
      <c r="AF68" s="6">
        <f>IMABS(AC68)</f>
        <v>0</v>
      </c>
      <c r="AG68" s="6">
        <f>IMABS(AD68)</f>
        <v>0</v>
      </c>
      <c r="AH68" s="7">
        <f>20*LOG10(MAX(AE68,1E-300)*1E6)</f>
        <v>0</v>
      </c>
      <c r="AI68" s="7">
        <f>20*LOG10(MAX(AF68,1E-300)*1E6)</f>
        <v>0</v>
      </c>
      <c r="AJ68" s="7">
        <f>20*LOG10(MAX(AG68,1E-300)*1E6)</f>
        <v>0</v>
      </c>
      <c r="AK68" s="7">
        <f>DEGREES(IMARGUMENT(AB68))</f>
        <v>0</v>
      </c>
      <c r="AL68" s="7">
        <f>DEGREES(IMARGUMENT(AC68))</f>
        <v>0</v>
      </c>
      <c r="AM68" s="7">
        <f>DEGREES(IMARGUMENT(AD68))</f>
        <v>0</v>
      </c>
    </row>
    <row r="69" spans="1:39">
      <c r="A69" s="6">
        <f>10^(LOG10(F_START)+(ROW()-ROW($A$2))*(LOG10(F_STOP)-LOG10(F_START))/(N_POINTS-1))</f>
        <v>0</v>
      </c>
      <c r="B69" s="6">
        <f>2*PI()*A69</f>
        <v>0</v>
      </c>
      <c r="C69">
        <f>COMPLEX(2*LINE_PS_DCR,2*B69*LINE_PS_L)</f>
        <v>0</v>
      </c>
      <c r="D69">
        <f>IMSUM(COMPLEX(0,B69*(LINE_PS_CLINE+LINE_PS_CCHA/2)),IMDIV("1",IMPRODUCT("2",COMPLEX(C_THROUGH_ESR,B69*C_THROUGH_ESL-1/(B69*C_THROUGH_C)))))</f>
        <v>0</v>
      </c>
      <c r="E69">
        <f>COMPLEX(2*LINE_INPUT_DCR,2*B69*LINE_INPUT_L)</f>
        <v>0</v>
      </c>
      <c r="F69">
        <f>COMPLEX(0,B69*(LINE_INPUT_CLINE+LINE_INPUT_CCHA/2))</f>
        <v>0</v>
      </c>
      <c r="G69">
        <f>IMPRODUCT("2",IMDIV("1",IMSUM(IMDIV("1",COMPLEX(LDM1_DCR,B69*LDM1_L)),COMPLEX(0,B69*LDM1_CPA))))</f>
        <v>0</v>
      </c>
      <c r="H69">
        <f>IMSUM(IMDIV("1",COMPLEX(CX1_ESR,B69*CX1_ESL-1/(B69*CX1_C))),IMDIV("1",IMSUM(COMPLEX(DUMP1_R,0),COMPLEX(DUMP1_ESR,B69*DUMP1_ESL-1/(B69*DUMP1_C)))))</f>
        <v>0</v>
      </c>
      <c r="I69">
        <f>IMPRODUCT("2",IMDIV("1",IMSUM(IMDIV("1",COMPLEX(LDM2_DCR,B69*LDM2_L)),COMPLEX(0,B69*LDM2_CPA))))</f>
        <v>0</v>
      </c>
      <c r="J69">
        <f>IMSUM(IMDIV("1",COMPLEX(CX2_ESR,B69*CX2_ESL-1/(B69*CX2_C))),IMDIV("1",IMSUM(COMPLEX(DUMP2_R,0),COMPLEX(DUMP2_ESR,B69*DUMP2_ESL-1/(B69*DUMP2_C)))))</f>
        <v>0</v>
      </c>
      <c r="K69">
        <f>IMPRODUCT("2",IMDIV("1",IMSUM(IMDIV("1",COMPLEX(CMC_DCR,B69*CMC_L*(1-CMC_K))),COMPLEX(0,B69*CMC_CPA))))</f>
        <v>0</v>
      </c>
      <c r="L69">
        <f>IMSUM(COMPLEX(0,B69*CMC_CLINE),IMDIV("1",IMPRODUCT("2",COMPLEX(CY_ESR,B69*CY_ESL-1/(B69*CY_C)))),COMPLEX(1/DUMMY_R,0))</f>
        <v>0</v>
      </c>
      <c r="M69">
        <f>IMSUM(D69,IMDIV("1",C69))</f>
        <v>0</v>
      </c>
      <c r="N69">
        <f>IMDIV("1",IMSUM(E69,IMDIV("1",M69)))</f>
        <v>0</v>
      </c>
      <c r="O69">
        <f>IMSUM(F69,N69)</f>
        <v>0</v>
      </c>
      <c r="P69">
        <f>IMDIV("1",IMSUM(G69,IMDIV("1",O69)))</f>
        <v>0</v>
      </c>
      <c r="Q69">
        <f>IMSUM(H69,P69)</f>
        <v>0</v>
      </c>
      <c r="R69">
        <f>IMDIV("1",IMSUM(I69,IMDIV("1",Q69)))</f>
        <v>0</v>
      </c>
      <c r="S69">
        <f>IMSUM(J69,R69)</f>
        <v>0</v>
      </c>
      <c r="T69">
        <f>IMDIV("1",IMSUM(K69,IMDIV("1",S69)))</f>
        <v>0</v>
      </c>
      <c r="U69">
        <f>IMSUM(L69,T69)</f>
        <v>0</v>
      </c>
      <c r="V69">
        <f>IMDIV(COMPLEX(I_DM_SOURCE,0),U69)</f>
        <v>0</v>
      </c>
      <c r="W69">
        <f>IMPRODUCT(V69,T69)</f>
        <v>0</v>
      </c>
      <c r="X69">
        <f>IMDIV(W69,S69)</f>
        <v>0</v>
      </c>
      <c r="Y69">
        <f>IMPRODUCT(X69,R69)</f>
        <v>0</v>
      </c>
      <c r="Z69">
        <f>IMDIV(Y69,Q69)</f>
        <v>0</v>
      </c>
      <c r="AA69">
        <f>IMPRODUCT(Z69,P69)</f>
        <v>0</v>
      </c>
      <c r="AB69">
        <f>AA69</f>
        <v>0</v>
      </c>
      <c r="AC69">
        <f>IMPRODUCT("-1",AB69)</f>
        <v>0</v>
      </c>
      <c r="AD69">
        <f>IMDIV(IMSUB(AB69,AC69),"2")</f>
        <v>0</v>
      </c>
      <c r="AE69" s="6">
        <f>IMABS(AB69)</f>
        <v>0</v>
      </c>
      <c r="AF69" s="6">
        <f>IMABS(AC69)</f>
        <v>0</v>
      </c>
      <c r="AG69" s="6">
        <f>IMABS(AD69)</f>
        <v>0</v>
      </c>
      <c r="AH69" s="7">
        <f>20*LOG10(MAX(AE69,1E-300)*1E6)</f>
        <v>0</v>
      </c>
      <c r="AI69" s="7">
        <f>20*LOG10(MAX(AF69,1E-300)*1E6)</f>
        <v>0</v>
      </c>
      <c r="AJ69" s="7">
        <f>20*LOG10(MAX(AG69,1E-300)*1E6)</f>
        <v>0</v>
      </c>
      <c r="AK69" s="7">
        <f>DEGREES(IMARGUMENT(AB69))</f>
        <v>0</v>
      </c>
      <c r="AL69" s="7">
        <f>DEGREES(IMARGUMENT(AC69))</f>
        <v>0</v>
      </c>
      <c r="AM69" s="7">
        <f>DEGREES(IMARGUMENT(AD69))</f>
        <v>0</v>
      </c>
    </row>
    <row r="70" spans="1:39">
      <c r="A70" s="6">
        <f>10^(LOG10(F_START)+(ROW()-ROW($A$2))*(LOG10(F_STOP)-LOG10(F_START))/(N_POINTS-1))</f>
        <v>0</v>
      </c>
      <c r="B70" s="6">
        <f>2*PI()*A70</f>
        <v>0</v>
      </c>
      <c r="C70">
        <f>COMPLEX(2*LINE_PS_DCR,2*B70*LINE_PS_L)</f>
        <v>0</v>
      </c>
      <c r="D70">
        <f>IMSUM(COMPLEX(0,B70*(LINE_PS_CLINE+LINE_PS_CCHA/2)),IMDIV("1",IMPRODUCT("2",COMPLEX(C_THROUGH_ESR,B70*C_THROUGH_ESL-1/(B70*C_THROUGH_C)))))</f>
        <v>0</v>
      </c>
      <c r="E70">
        <f>COMPLEX(2*LINE_INPUT_DCR,2*B70*LINE_INPUT_L)</f>
        <v>0</v>
      </c>
      <c r="F70">
        <f>COMPLEX(0,B70*(LINE_INPUT_CLINE+LINE_INPUT_CCHA/2))</f>
        <v>0</v>
      </c>
      <c r="G70">
        <f>IMPRODUCT("2",IMDIV("1",IMSUM(IMDIV("1",COMPLEX(LDM1_DCR,B70*LDM1_L)),COMPLEX(0,B70*LDM1_CPA))))</f>
        <v>0</v>
      </c>
      <c r="H70">
        <f>IMSUM(IMDIV("1",COMPLEX(CX1_ESR,B70*CX1_ESL-1/(B70*CX1_C))),IMDIV("1",IMSUM(COMPLEX(DUMP1_R,0),COMPLEX(DUMP1_ESR,B70*DUMP1_ESL-1/(B70*DUMP1_C)))))</f>
        <v>0</v>
      </c>
      <c r="I70">
        <f>IMPRODUCT("2",IMDIV("1",IMSUM(IMDIV("1",COMPLEX(LDM2_DCR,B70*LDM2_L)),COMPLEX(0,B70*LDM2_CPA))))</f>
        <v>0</v>
      </c>
      <c r="J70">
        <f>IMSUM(IMDIV("1",COMPLEX(CX2_ESR,B70*CX2_ESL-1/(B70*CX2_C))),IMDIV("1",IMSUM(COMPLEX(DUMP2_R,0),COMPLEX(DUMP2_ESR,B70*DUMP2_ESL-1/(B70*DUMP2_C)))))</f>
        <v>0</v>
      </c>
      <c r="K70">
        <f>IMPRODUCT("2",IMDIV("1",IMSUM(IMDIV("1",COMPLEX(CMC_DCR,B70*CMC_L*(1-CMC_K))),COMPLEX(0,B70*CMC_CPA))))</f>
        <v>0</v>
      </c>
      <c r="L70">
        <f>IMSUM(COMPLEX(0,B70*CMC_CLINE),IMDIV("1",IMPRODUCT("2",COMPLEX(CY_ESR,B70*CY_ESL-1/(B70*CY_C)))),COMPLEX(1/DUMMY_R,0))</f>
        <v>0</v>
      </c>
      <c r="M70">
        <f>IMSUM(D70,IMDIV("1",C70))</f>
        <v>0</v>
      </c>
      <c r="N70">
        <f>IMDIV("1",IMSUM(E70,IMDIV("1",M70)))</f>
        <v>0</v>
      </c>
      <c r="O70">
        <f>IMSUM(F70,N70)</f>
        <v>0</v>
      </c>
      <c r="P70">
        <f>IMDIV("1",IMSUM(G70,IMDIV("1",O70)))</f>
        <v>0</v>
      </c>
      <c r="Q70">
        <f>IMSUM(H70,P70)</f>
        <v>0</v>
      </c>
      <c r="R70">
        <f>IMDIV("1",IMSUM(I70,IMDIV("1",Q70)))</f>
        <v>0</v>
      </c>
      <c r="S70">
        <f>IMSUM(J70,R70)</f>
        <v>0</v>
      </c>
      <c r="T70">
        <f>IMDIV("1",IMSUM(K70,IMDIV("1",S70)))</f>
        <v>0</v>
      </c>
      <c r="U70">
        <f>IMSUM(L70,T70)</f>
        <v>0</v>
      </c>
      <c r="V70">
        <f>IMDIV(COMPLEX(I_DM_SOURCE,0),U70)</f>
        <v>0</v>
      </c>
      <c r="W70">
        <f>IMPRODUCT(V70,T70)</f>
        <v>0</v>
      </c>
      <c r="X70">
        <f>IMDIV(W70,S70)</f>
        <v>0</v>
      </c>
      <c r="Y70">
        <f>IMPRODUCT(X70,R70)</f>
        <v>0</v>
      </c>
      <c r="Z70">
        <f>IMDIV(Y70,Q70)</f>
        <v>0</v>
      </c>
      <c r="AA70">
        <f>IMPRODUCT(Z70,P70)</f>
        <v>0</v>
      </c>
      <c r="AB70">
        <f>AA70</f>
        <v>0</v>
      </c>
      <c r="AC70">
        <f>IMPRODUCT("-1",AB70)</f>
        <v>0</v>
      </c>
      <c r="AD70">
        <f>IMDIV(IMSUB(AB70,AC70),"2")</f>
        <v>0</v>
      </c>
      <c r="AE70" s="6">
        <f>IMABS(AB70)</f>
        <v>0</v>
      </c>
      <c r="AF70" s="6">
        <f>IMABS(AC70)</f>
        <v>0</v>
      </c>
      <c r="AG70" s="6">
        <f>IMABS(AD70)</f>
        <v>0</v>
      </c>
      <c r="AH70" s="7">
        <f>20*LOG10(MAX(AE70,1E-300)*1E6)</f>
        <v>0</v>
      </c>
      <c r="AI70" s="7">
        <f>20*LOG10(MAX(AF70,1E-300)*1E6)</f>
        <v>0</v>
      </c>
      <c r="AJ70" s="7">
        <f>20*LOG10(MAX(AG70,1E-300)*1E6)</f>
        <v>0</v>
      </c>
      <c r="AK70" s="7">
        <f>DEGREES(IMARGUMENT(AB70))</f>
        <v>0</v>
      </c>
      <c r="AL70" s="7">
        <f>DEGREES(IMARGUMENT(AC70))</f>
        <v>0</v>
      </c>
      <c r="AM70" s="7">
        <f>DEGREES(IMARGUMENT(AD70))</f>
        <v>0</v>
      </c>
    </row>
    <row r="71" spans="1:39">
      <c r="A71" s="6">
        <f>10^(LOG10(F_START)+(ROW()-ROW($A$2))*(LOG10(F_STOP)-LOG10(F_START))/(N_POINTS-1))</f>
        <v>0</v>
      </c>
      <c r="B71" s="6">
        <f>2*PI()*A71</f>
        <v>0</v>
      </c>
      <c r="C71">
        <f>COMPLEX(2*LINE_PS_DCR,2*B71*LINE_PS_L)</f>
        <v>0</v>
      </c>
      <c r="D71">
        <f>IMSUM(COMPLEX(0,B71*(LINE_PS_CLINE+LINE_PS_CCHA/2)),IMDIV("1",IMPRODUCT("2",COMPLEX(C_THROUGH_ESR,B71*C_THROUGH_ESL-1/(B71*C_THROUGH_C)))))</f>
        <v>0</v>
      </c>
      <c r="E71">
        <f>COMPLEX(2*LINE_INPUT_DCR,2*B71*LINE_INPUT_L)</f>
        <v>0</v>
      </c>
      <c r="F71">
        <f>COMPLEX(0,B71*(LINE_INPUT_CLINE+LINE_INPUT_CCHA/2))</f>
        <v>0</v>
      </c>
      <c r="G71">
        <f>IMPRODUCT("2",IMDIV("1",IMSUM(IMDIV("1",COMPLEX(LDM1_DCR,B71*LDM1_L)),COMPLEX(0,B71*LDM1_CPA))))</f>
        <v>0</v>
      </c>
      <c r="H71">
        <f>IMSUM(IMDIV("1",COMPLEX(CX1_ESR,B71*CX1_ESL-1/(B71*CX1_C))),IMDIV("1",IMSUM(COMPLEX(DUMP1_R,0),COMPLEX(DUMP1_ESR,B71*DUMP1_ESL-1/(B71*DUMP1_C)))))</f>
        <v>0</v>
      </c>
      <c r="I71">
        <f>IMPRODUCT("2",IMDIV("1",IMSUM(IMDIV("1",COMPLEX(LDM2_DCR,B71*LDM2_L)),COMPLEX(0,B71*LDM2_CPA))))</f>
        <v>0</v>
      </c>
      <c r="J71">
        <f>IMSUM(IMDIV("1",COMPLEX(CX2_ESR,B71*CX2_ESL-1/(B71*CX2_C))),IMDIV("1",IMSUM(COMPLEX(DUMP2_R,0),COMPLEX(DUMP2_ESR,B71*DUMP2_ESL-1/(B71*DUMP2_C)))))</f>
        <v>0</v>
      </c>
      <c r="K71">
        <f>IMPRODUCT("2",IMDIV("1",IMSUM(IMDIV("1",COMPLEX(CMC_DCR,B71*CMC_L*(1-CMC_K))),COMPLEX(0,B71*CMC_CPA))))</f>
        <v>0</v>
      </c>
      <c r="L71">
        <f>IMSUM(COMPLEX(0,B71*CMC_CLINE),IMDIV("1",IMPRODUCT("2",COMPLEX(CY_ESR,B71*CY_ESL-1/(B71*CY_C)))),COMPLEX(1/DUMMY_R,0))</f>
        <v>0</v>
      </c>
      <c r="M71">
        <f>IMSUM(D71,IMDIV("1",C71))</f>
        <v>0</v>
      </c>
      <c r="N71">
        <f>IMDIV("1",IMSUM(E71,IMDIV("1",M71)))</f>
        <v>0</v>
      </c>
      <c r="O71">
        <f>IMSUM(F71,N71)</f>
        <v>0</v>
      </c>
      <c r="P71">
        <f>IMDIV("1",IMSUM(G71,IMDIV("1",O71)))</f>
        <v>0</v>
      </c>
      <c r="Q71">
        <f>IMSUM(H71,P71)</f>
        <v>0</v>
      </c>
      <c r="R71">
        <f>IMDIV("1",IMSUM(I71,IMDIV("1",Q71)))</f>
        <v>0</v>
      </c>
      <c r="S71">
        <f>IMSUM(J71,R71)</f>
        <v>0</v>
      </c>
      <c r="T71">
        <f>IMDIV("1",IMSUM(K71,IMDIV("1",S71)))</f>
        <v>0</v>
      </c>
      <c r="U71">
        <f>IMSUM(L71,T71)</f>
        <v>0</v>
      </c>
      <c r="V71">
        <f>IMDIV(COMPLEX(I_DM_SOURCE,0),U71)</f>
        <v>0</v>
      </c>
      <c r="W71">
        <f>IMPRODUCT(V71,T71)</f>
        <v>0</v>
      </c>
      <c r="X71">
        <f>IMDIV(W71,S71)</f>
        <v>0</v>
      </c>
      <c r="Y71">
        <f>IMPRODUCT(X71,R71)</f>
        <v>0</v>
      </c>
      <c r="Z71">
        <f>IMDIV(Y71,Q71)</f>
        <v>0</v>
      </c>
      <c r="AA71">
        <f>IMPRODUCT(Z71,P71)</f>
        <v>0</v>
      </c>
      <c r="AB71">
        <f>AA71</f>
        <v>0</v>
      </c>
      <c r="AC71">
        <f>IMPRODUCT("-1",AB71)</f>
        <v>0</v>
      </c>
      <c r="AD71">
        <f>IMDIV(IMSUB(AB71,AC71),"2")</f>
        <v>0</v>
      </c>
      <c r="AE71" s="6">
        <f>IMABS(AB71)</f>
        <v>0</v>
      </c>
      <c r="AF71" s="6">
        <f>IMABS(AC71)</f>
        <v>0</v>
      </c>
      <c r="AG71" s="6">
        <f>IMABS(AD71)</f>
        <v>0</v>
      </c>
      <c r="AH71" s="7">
        <f>20*LOG10(MAX(AE71,1E-300)*1E6)</f>
        <v>0</v>
      </c>
      <c r="AI71" s="7">
        <f>20*LOG10(MAX(AF71,1E-300)*1E6)</f>
        <v>0</v>
      </c>
      <c r="AJ71" s="7">
        <f>20*LOG10(MAX(AG71,1E-300)*1E6)</f>
        <v>0</v>
      </c>
      <c r="AK71" s="7">
        <f>DEGREES(IMARGUMENT(AB71))</f>
        <v>0</v>
      </c>
      <c r="AL71" s="7">
        <f>DEGREES(IMARGUMENT(AC71))</f>
        <v>0</v>
      </c>
      <c r="AM71" s="7">
        <f>DEGREES(IMARGUMENT(AD71))</f>
        <v>0</v>
      </c>
    </row>
    <row r="72" spans="1:39">
      <c r="A72" s="6">
        <f>10^(LOG10(F_START)+(ROW()-ROW($A$2))*(LOG10(F_STOP)-LOG10(F_START))/(N_POINTS-1))</f>
        <v>0</v>
      </c>
      <c r="B72" s="6">
        <f>2*PI()*A72</f>
        <v>0</v>
      </c>
      <c r="C72">
        <f>COMPLEX(2*LINE_PS_DCR,2*B72*LINE_PS_L)</f>
        <v>0</v>
      </c>
      <c r="D72">
        <f>IMSUM(COMPLEX(0,B72*(LINE_PS_CLINE+LINE_PS_CCHA/2)),IMDIV("1",IMPRODUCT("2",COMPLEX(C_THROUGH_ESR,B72*C_THROUGH_ESL-1/(B72*C_THROUGH_C)))))</f>
        <v>0</v>
      </c>
      <c r="E72">
        <f>COMPLEX(2*LINE_INPUT_DCR,2*B72*LINE_INPUT_L)</f>
        <v>0</v>
      </c>
      <c r="F72">
        <f>COMPLEX(0,B72*(LINE_INPUT_CLINE+LINE_INPUT_CCHA/2))</f>
        <v>0</v>
      </c>
      <c r="G72">
        <f>IMPRODUCT("2",IMDIV("1",IMSUM(IMDIV("1",COMPLEX(LDM1_DCR,B72*LDM1_L)),COMPLEX(0,B72*LDM1_CPA))))</f>
        <v>0</v>
      </c>
      <c r="H72">
        <f>IMSUM(IMDIV("1",COMPLEX(CX1_ESR,B72*CX1_ESL-1/(B72*CX1_C))),IMDIV("1",IMSUM(COMPLEX(DUMP1_R,0),COMPLEX(DUMP1_ESR,B72*DUMP1_ESL-1/(B72*DUMP1_C)))))</f>
        <v>0</v>
      </c>
      <c r="I72">
        <f>IMPRODUCT("2",IMDIV("1",IMSUM(IMDIV("1",COMPLEX(LDM2_DCR,B72*LDM2_L)),COMPLEX(0,B72*LDM2_CPA))))</f>
        <v>0</v>
      </c>
      <c r="J72">
        <f>IMSUM(IMDIV("1",COMPLEX(CX2_ESR,B72*CX2_ESL-1/(B72*CX2_C))),IMDIV("1",IMSUM(COMPLEX(DUMP2_R,0),COMPLEX(DUMP2_ESR,B72*DUMP2_ESL-1/(B72*DUMP2_C)))))</f>
        <v>0</v>
      </c>
      <c r="K72">
        <f>IMPRODUCT("2",IMDIV("1",IMSUM(IMDIV("1",COMPLEX(CMC_DCR,B72*CMC_L*(1-CMC_K))),COMPLEX(0,B72*CMC_CPA))))</f>
        <v>0</v>
      </c>
      <c r="L72">
        <f>IMSUM(COMPLEX(0,B72*CMC_CLINE),IMDIV("1",IMPRODUCT("2",COMPLEX(CY_ESR,B72*CY_ESL-1/(B72*CY_C)))),COMPLEX(1/DUMMY_R,0))</f>
        <v>0</v>
      </c>
      <c r="M72">
        <f>IMSUM(D72,IMDIV("1",C72))</f>
        <v>0</v>
      </c>
      <c r="N72">
        <f>IMDIV("1",IMSUM(E72,IMDIV("1",M72)))</f>
        <v>0</v>
      </c>
      <c r="O72">
        <f>IMSUM(F72,N72)</f>
        <v>0</v>
      </c>
      <c r="P72">
        <f>IMDIV("1",IMSUM(G72,IMDIV("1",O72)))</f>
        <v>0</v>
      </c>
      <c r="Q72">
        <f>IMSUM(H72,P72)</f>
        <v>0</v>
      </c>
      <c r="R72">
        <f>IMDIV("1",IMSUM(I72,IMDIV("1",Q72)))</f>
        <v>0</v>
      </c>
      <c r="S72">
        <f>IMSUM(J72,R72)</f>
        <v>0</v>
      </c>
      <c r="T72">
        <f>IMDIV("1",IMSUM(K72,IMDIV("1",S72)))</f>
        <v>0</v>
      </c>
      <c r="U72">
        <f>IMSUM(L72,T72)</f>
        <v>0</v>
      </c>
      <c r="V72">
        <f>IMDIV(COMPLEX(I_DM_SOURCE,0),U72)</f>
        <v>0</v>
      </c>
      <c r="W72">
        <f>IMPRODUCT(V72,T72)</f>
        <v>0</v>
      </c>
      <c r="X72">
        <f>IMDIV(W72,S72)</f>
        <v>0</v>
      </c>
      <c r="Y72">
        <f>IMPRODUCT(X72,R72)</f>
        <v>0</v>
      </c>
      <c r="Z72">
        <f>IMDIV(Y72,Q72)</f>
        <v>0</v>
      </c>
      <c r="AA72">
        <f>IMPRODUCT(Z72,P72)</f>
        <v>0</v>
      </c>
      <c r="AB72">
        <f>AA72</f>
        <v>0</v>
      </c>
      <c r="AC72">
        <f>IMPRODUCT("-1",AB72)</f>
        <v>0</v>
      </c>
      <c r="AD72">
        <f>IMDIV(IMSUB(AB72,AC72),"2")</f>
        <v>0</v>
      </c>
      <c r="AE72" s="6">
        <f>IMABS(AB72)</f>
        <v>0</v>
      </c>
      <c r="AF72" s="6">
        <f>IMABS(AC72)</f>
        <v>0</v>
      </c>
      <c r="AG72" s="6">
        <f>IMABS(AD72)</f>
        <v>0</v>
      </c>
      <c r="AH72" s="7">
        <f>20*LOG10(MAX(AE72,1E-300)*1E6)</f>
        <v>0</v>
      </c>
      <c r="AI72" s="7">
        <f>20*LOG10(MAX(AF72,1E-300)*1E6)</f>
        <v>0</v>
      </c>
      <c r="AJ72" s="7">
        <f>20*LOG10(MAX(AG72,1E-300)*1E6)</f>
        <v>0</v>
      </c>
      <c r="AK72" s="7">
        <f>DEGREES(IMARGUMENT(AB72))</f>
        <v>0</v>
      </c>
      <c r="AL72" s="7">
        <f>DEGREES(IMARGUMENT(AC72))</f>
        <v>0</v>
      </c>
      <c r="AM72" s="7">
        <f>DEGREES(IMARGUMENT(AD72))</f>
        <v>0</v>
      </c>
    </row>
    <row r="73" spans="1:39">
      <c r="A73" s="6">
        <f>10^(LOG10(F_START)+(ROW()-ROW($A$2))*(LOG10(F_STOP)-LOG10(F_START))/(N_POINTS-1))</f>
        <v>0</v>
      </c>
      <c r="B73" s="6">
        <f>2*PI()*A73</f>
        <v>0</v>
      </c>
      <c r="C73">
        <f>COMPLEX(2*LINE_PS_DCR,2*B73*LINE_PS_L)</f>
        <v>0</v>
      </c>
      <c r="D73">
        <f>IMSUM(COMPLEX(0,B73*(LINE_PS_CLINE+LINE_PS_CCHA/2)),IMDIV("1",IMPRODUCT("2",COMPLEX(C_THROUGH_ESR,B73*C_THROUGH_ESL-1/(B73*C_THROUGH_C)))))</f>
        <v>0</v>
      </c>
      <c r="E73">
        <f>COMPLEX(2*LINE_INPUT_DCR,2*B73*LINE_INPUT_L)</f>
        <v>0</v>
      </c>
      <c r="F73">
        <f>COMPLEX(0,B73*(LINE_INPUT_CLINE+LINE_INPUT_CCHA/2))</f>
        <v>0</v>
      </c>
      <c r="G73">
        <f>IMPRODUCT("2",IMDIV("1",IMSUM(IMDIV("1",COMPLEX(LDM1_DCR,B73*LDM1_L)),COMPLEX(0,B73*LDM1_CPA))))</f>
        <v>0</v>
      </c>
      <c r="H73">
        <f>IMSUM(IMDIV("1",COMPLEX(CX1_ESR,B73*CX1_ESL-1/(B73*CX1_C))),IMDIV("1",IMSUM(COMPLEX(DUMP1_R,0),COMPLEX(DUMP1_ESR,B73*DUMP1_ESL-1/(B73*DUMP1_C)))))</f>
        <v>0</v>
      </c>
      <c r="I73">
        <f>IMPRODUCT("2",IMDIV("1",IMSUM(IMDIV("1",COMPLEX(LDM2_DCR,B73*LDM2_L)),COMPLEX(0,B73*LDM2_CPA))))</f>
        <v>0</v>
      </c>
      <c r="J73">
        <f>IMSUM(IMDIV("1",COMPLEX(CX2_ESR,B73*CX2_ESL-1/(B73*CX2_C))),IMDIV("1",IMSUM(COMPLEX(DUMP2_R,0),COMPLEX(DUMP2_ESR,B73*DUMP2_ESL-1/(B73*DUMP2_C)))))</f>
        <v>0</v>
      </c>
      <c r="K73">
        <f>IMPRODUCT("2",IMDIV("1",IMSUM(IMDIV("1",COMPLEX(CMC_DCR,B73*CMC_L*(1-CMC_K))),COMPLEX(0,B73*CMC_CPA))))</f>
        <v>0</v>
      </c>
      <c r="L73">
        <f>IMSUM(COMPLEX(0,B73*CMC_CLINE),IMDIV("1",IMPRODUCT("2",COMPLEX(CY_ESR,B73*CY_ESL-1/(B73*CY_C)))),COMPLEX(1/DUMMY_R,0))</f>
        <v>0</v>
      </c>
      <c r="M73">
        <f>IMSUM(D73,IMDIV("1",C73))</f>
        <v>0</v>
      </c>
      <c r="N73">
        <f>IMDIV("1",IMSUM(E73,IMDIV("1",M73)))</f>
        <v>0</v>
      </c>
      <c r="O73">
        <f>IMSUM(F73,N73)</f>
        <v>0</v>
      </c>
      <c r="P73">
        <f>IMDIV("1",IMSUM(G73,IMDIV("1",O73)))</f>
        <v>0</v>
      </c>
      <c r="Q73">
        <f>IMSUM(H73,P73)</f>
        <v>0</v>
      </c>
      <c r="R73">
        <f>IMDIV("1",IMSUM(I73,IMDIV("1",Q73)))</f>
        <v>0</v>
      </c>
      <c r="S73">
        <f>IMSUM(J73,R73)</f>
        <v>0</v>
      </c>
      <c r="T73">
        <f>IMDIV("1",IMSUM(K73,IMDIV("1",S73)))</f>
        <v>0</v>
      </c>
      <c r="U73">
        <f>IMSUM(L73,T73)</f>
        <v>0</v>
      </c>
      <c r="V73">
        <f>IMDIV(COMPLEX(I_DM_SOURCE,0),U73)</f>
        <v>0</v>
      </c>
      <c r="W73">
        <f>IMPRODUCT(V73,T73)</f>
        <v>0</v>
      </c>
      <c r="X73">
        <f>IMDIV(W73,S73)</f>
        <v>0</v>
      </c>
      <c r="Y73">
        <f>IMPRODUCT(X73,R73)</f>
        <v>0</v>
      </c>
      <c r="Z73">
        <f>IMDIV(Y73,Q73)</f>
        <v>0</v>
      </c>
      <c r="AA73">
        <f>IMPRODUCT(Z73,P73)</f>
        <v>0</v>
      </c>
      <c r="AB73">
        <f>AA73</f>
        <v>0</v>
      </c>
      <c r="AC73">
        <f>IMPRODUCT("-1",AB73)</f>
        <v>0</v>
      </c>
      <c r="AD73">
        <f>IMDIV(IMSUB(AB73,AC73),"2")</f>
        <v>0</v>
      </c>
      <c r="AE73" s="6">
        <f>IMABS(AB73)</f>
        <v>0</v>
      </c>
      <c r="AF73" s="6">
        <f>IMABS(AC73)</f>
        <v>0</v>
      </c>
      <c r="AG73" s="6">
        <f>IMABS(AD73)</f>
        <v>0</v>
      </c>
      <c r="AH73" s="7">
        <f>20*LOG10(MAX(AE73,1E-300)*1E6)</f>
        <v>0</v>
      </c>
      <c r="AI73" s="7">
        <f>20*LOG10(MAX(AF73,1E-300)*1E6)</f>
        <v>0</v>
      </c>
      <c r="AJ73" s="7">
        <f>20*LOG10(MAX(AG73,1E-300)*1E6)</f>
        <v>0</v>
      </c>
      <c r="AK73" s="7">
        <f>DEGREES(IMARGUMENT(AB73))</f>
        <v>0</v>
      </c>
      <c r="AL73" s="7">
        <f>DEGREES(IMARGUMENT(AC73))</f>
        <v>0</v>
      </c>
      <c r="AM73" s="7">
        <f>DEGREES(IMARGUMENT(AD73))</f>
        <v>0</v>
      </c>
    </row>
    <row r="74" spans="1:39">
      <c r="A74" s="6">
        <f>10^(LOG10(F_START)+(ROW()-ROW($A$2))*(LOG10(F_STOP)-LOG10(F_START))/(N_POINTS-1))</f>
        <v>0</v>
      </c>
      <c r="B74" s="6">
        <f>2*PI()*A74</f>
        <v>0</v>
      </c>
      <c r="C74">
        <f>COMPLEX(2*LINE_PS_DCR,2*B74*LINE_PS_L)</f>
        <v>0</v>
      </c>
      <c r="D74">
        <f>IMSUM(COMPLEX(0,B74*(LINE_PS_CLINE+LINE_PS_CCHA/2)),IMDIV("1",IMPRODUCT("2",COMPLEX(C_THROUGH_ESR,B74*C_THROUGH_ESL-1/(B74*C_THROUGH_C)))))</f>
        <v>0</v>
      </c>
      <c r="E74">
        <f>COMPLEX(2*LINE_INPUT_DCR,2*B74*LINE_INPUT_L)</f>
        <v>0</v>
      </c>
      <c r="F74">
        <f>COMPLEX(0,B74*(LINE_INPUT_CLINE+LINE_INPUT_CCHA/2))</f>
        <v>0</v>
      </c>
      <c r="G74">
        <f>IMPRODUCT("2",IMDIV("1",IMSUM(IMDIV("1",COMPLEX(LDM1_DCR,B74*LDM1_L)),COMPLEX(0,B74*LDM1_CPA))))</f>
        <v>0</v>
      </c>
      <c r="H74">
        <f>IMSUM(IMDIV("1",COMPLEX(CX1_ESR,B74*CX1_ESL-1/(B74*CX1_C))),IMDIV("1",IMSUM(COMPLEX(DUMP1_R,0),COMPLEX(DUMP1_ESR,B74*DUMP1_ESL-1/(B74*DUMP1_C)))))</f>
        <v>0</v>
      </c>
      <c r="I74">
        <f>IMPRODUCT("2",IMDIV("1",IMSUM(IMDIV("1",COMPLEX(LDM2_DCR,B74*LDM2_L)),COMPLEX(0,B74*LDM2_CPA))))</f>
        <v>0</v>
      </c>
      <c r="J74">
        <f>IMSUM(IMDIV("1",COMPLEX(CX2_ESR,B74*CX2_ESL-1/(B74*CX2_C))),IMDIV("1",IMSUM(COMPLEX(DUMP2_R,0),COMPLEX(DUMP2_ESR,B74*DUMP2_ESL-1/(B74*DUMP2_C)))))</f>
        <v>0</v>
      </c>
      <c r="K74">
        <f>IMPRODUCT("2",IMDIV("1",IMSUM(IMDIV("1",COMPLEX(CMC_DCR,B74*CMC_L*(1-CMC_K))),COMPLEX(0,B74*CMC_CPA))))</f>
        <v>0</v>
      </c>
      <c r="L74">
        <f>IMSUM(COMPLEX(0,B74*CMC_CLINE),IMDIV("1",IMPRODUCT("2",COMPLEX(CY_ESR,B74*CY_ESL-1/(B74*CY_C)))),COMPLEX(1/DUMMY_R,0))</f>
        <v>0</v>
      </c>
      <c r="M74">
        <f>IMSUM(D74,IMDIV("1",C74))</f>
        <v>0</v>
      </c>
      <c r="N74">
        <f>IMDIV("1",IMSUM(E74,IMDIV("1",M74)))</f>
        <v>0</v>
      </c>
      <c r="O74">
        <f>IMSUM(F74,N74)</f>
        <v>0</v>
      </c>
      <c r="P74">
        <f>IMDIV("1",IMSUM(G74,IMDIV("1",O74)))</f>
        <v>0</v>
      </c>
      <c r="Q74">
        <f>IMSUM(H74,P74)</f>
        <v>0</v>
      </c>
      <c r="R74">
        <f>IMDIV("1",IMSUM(I74,IMDIV("1",Q74)))</f>
        <v>0</v>
      </c>
      <c r="S74">
        <f>IMSUM(J74,R74)</f>
        <v>0</v>
      </c>
      <c r="T74">
        <f>IMDIV("1",IMSUM(K74,IMDIV("1",S74)))</f>
        <v>0</v>
      </c>
      <c r="U74">
        <f>IMSUM(L74,T74)</f>
        <v>0</v>
      </c>
      <c r="V74">
        <f>IMDIV(COMPLEX(I_DM_SOURCE,0),U74)</f>
        <v>0</v>
      </c>
      <c r="W74">
        <f>IMPRODUCT(V74,T74)</f>
        <v>0</v>
      </c>
      <c r="X74">
        <f>IMDIV(W74,S74)</f>
        <v>0</v>
      </c>
      <c r="Y74">
        <f>IMPRODUCT(X74,R74)</f>
        <v>0</v>
      </c>
      <c r="Z74">
        <f>IMDIV(Y74,Q74)</f>
        <v>0</v>
      </c>
      <c r="AA74">
        <f>IMPRODUCT(Z74,P74)</f>
        <v>0</v>
      </c>
      <c r="AB74">
        <f>AA74</f>
        <v>0</v>
      </c>
      <c r="AC74">
        <f>IMPRODUCT("-1",AB74)</f>
        <v>0</v>
      </c>
      <c r="AD74">
        <f>IMDIV(IMSUB(AB74,AC74),"2")</f>
        <v>0</v>
      </c>
      <c r="AE74" s="6">
        <f>IMABS(AB74)</f>
        <v>0</v>
      </c>
      <c r="AF74" s="6">
        <f>IMABS(AC74)</f>
        <v>0</v>
      </c>
      <c r="AG74" s="6">
        <f>IMABS(AD74)</f>
        <v>0</v>
      </c>
      <c r="AH74" s="7">
        <f>20*LOG10(MAX(AE74,1E-300)*1E6)</f>
        <v>0</v>
      </c>
      <c r="AI74" s="7">
        <f>20*LOG10(MAX(AF74,1E-300)*1E6)</f>
        <v>0</v>
      </c>
      <c r="AJ74" s="7">
        <f>20*LOG10(MAX(AG74,1E-300)*1E6)</f>
        <v>0</v>
      </c>
      <c r="AK74" s="7">
        <f>DEGREES(IMARGUMENT(AB74))</f>
        <v>0</v>
      </c>
      <c r="AL74" s="7">
        <f>DEGREES(IMARGUMENT(AC74))</f>
        <v>0</v>
      </c>
      <c r="AM74" s="7">
        <f>DEGREES(IMARGUMENT(AD74))</f>
        <v>0</v>
      </c>
    </row>
    <row r="75" spans="1:39">
      <c r="A75" s="6">
        <f>10^(LOG10(F_START)+(ROW()-ROW($A$2))*(LOG10(F_STOP)-LOG10(F_START))/(N_POINTS-1))</f>
        <v>0</v>
      </c>
      <c r="B75" s="6">
        <f>2*PI()*A75</f>
        <v>0</v>
      </c>
      <c r="C75">
        <f>COMPLEX(2*LINE_PS_DCR,2*B75*LINE_PS_L)</f>
        <v>0</v>
      </c>
      <c r="D75">
        <f>IMSUM(COMPLEX(0,B75*(LINE_PS_CLINE+LINE_PS_CCHA/2)),IMDIV("1",IMPRODUCT("2",COMPLEX(C_THROUGH_ESR,B75*C_THROUGH_ESL-1/(B75*C_THROUGH_C)))))</f>
        <v>0</v>
      </c>
      <c r="E75">
        <f>COMPLEX(2*LINE_INPUT_DCR,2*B75*LINE_INPUT_L)</f>
        <v>0</v>
      </c>
      <c r="F75">
        <f>COMPLEX(0,B75*(LINE_INPUT_CLINE+LINE_INPUT_CCHA/2))</f>
        <v>0</v>
      </c>
      <c r="G75">
        <f>IMPRODUCT("2",IMDIV("1",IMSUM(IMDIV("1",COMPLEX(LDM1_DCR,B75*LDM1_L)),COMPLEX(0,B75*LDM1_CPA))))</f>
        <v>0</v>
      </c>
      <c r="H75">
        <f>IMSUM(IMDIV("1",COMPLEX(CX1_ESR,B75*CX1_ESL-1/(B75*CX1_C))),IMDIV("1",IMSUM(COMPLEX(DUMP1_R,0),COMPLEX(DUMP1_ESR,B75*DUMP1_ESL-1/(B75*DUMP1_C)))))</f>
        <v>0</v>
      </c>
      <c r="I75">
        <f>IMPRODUCT("2",IMDIV("1",IMSUM(IMDIV("1",COMPLEX(LDM2_DCR,B75*LDM2_L)),COMPLEX(0,B75*LDM2_CPA))))</f>
        <v>0</v>
      </c>
      <c r="J75">
        <f>IMSUM(IMDIV("1",COMPLEX(CX2_ESR,B75*CX2_ESL-1/(B75*CX2_C))),IMDIV("1",IMSUM(COMPLEX(DUMP2_R,0),COMPLEX(DUMP2_ESR,B75*DUMP2_ESL-1/(B75*DUMP2_C)))))</f>
        <v>0</v>
      </c>
      <c r="K75">
        <f>IMPRODUCT("2",IMDIV("1",IMSUM(IMDIV("1",COMPLEX(CMC_DCR,B75*CMC_L*(1-CMC_K))),COMPLEX(0,B75*CMC_CPA))))</f>
        <v>0</v>
      </c>
      <c r="L75">
        <f>IMSUM(COMPLEX(0,B75*CMC_CLINE),IMDIV("1",IMPRODUCT("2",COMPLEX(CY_ESR,B75*CY_ESL-1/(B75*CY_C)))),COMPLEX(1/DUMMY_R,0))</f>
        <v>0</v>
      </c>
      <c r="M75">
        <f>IMSUM(D75,IMDIV("1",C75))</f>
        <v>0</v>
      </c>
      <c r="N75">
        <f>IMDIV("1",IMSUM(E75,IMDIV("1",M75)))</f>
        <v>0</v>
      </c>
      <c r="O75">
        <f>IMSUM(F75,N75)</f>
        <v>0</v>
      </c>
      <c r="P75">
        <f>IMDIV("1",IMSUM(G75,IMDIV("1",O75)))</f>
        <v>0</v>
      </c>
      <c r="Q75">
        <f>IMSUM(H75,P75)</f>
        <v>0</v>
      </c>
      <c r="R75">
        <f>IMDIV("1",IMSUM(I75,IMDIV("1",Q75)))</f>
        <v>0</v>
      </c>
      <c r="S75">
        <f>IMSUM(J75,R75)</f>
        <v>0</v>
      </c>
      <c r="T75">
        <f>IMDIV("1",IMSUM(K75,IMDIV("1",S75)))</f>
        <v>0</v>
      </c>
      <c r="U75">
        <f>IMSUM(L75,T75)</f>
        <v>0</v>
      </c>
      <c r="V75">
        <f>IMDIV(COMPLEX(I_DM_SOURCE,0),U75)</f>
        <v>0</v>
      </c>
      <c r="W75">
        <f>IMPRODUCT(V75,T75)</f>
        <v>0</v>
      </c>
      <c r="X75">
        <f>IMDIV(W75,S75)</f>
        <v>0</v>
      </c>
      <c r="Y75">
        <f>IMPRODUCT(X75,R75)</f>
        <v>0</v>
      </c>
      <c r="Z75">
        <f>IMDIV(Y75,Q75)</f>
        <v>0</v>
      </c>
      <c r="AA75">
        <f>IMPRODUCT(Z75,P75)</f>
        <v>0</v>
      </c>
      <c r="AB75">
        <f>AA75</f>
        <v>0</v>
      </c>
      <c r="AC75">
        <f>IMPRODUCT("-1",AB75)</f>
        <v>0</v>
      </c>
      <c r="AD75">
        <f>IMDIV(IMSUB(AB75,AC75),"2")</f>
        <v>0</v>
      </c>
      <c r="AE75" s="6">
        <f>IMABS(AB75)</f>
        <v>0</v>
      </c>
      <c r="AF75" s="6">
        <f>IMABS(AC75)</f>
        <v>0</v>
      </c>
      <c r="AG75" s="6">
        <f>IMABS(AD75)</f>
        <v>0</v>
      </c>
      <c r="AH75" s="7">
        <f>20*LOG10(MAX(AE75,1E-300)*1E6)</f>
        <v>0</v>
      </c>
      <c r="AI75" s="7">
        <f>20*LOG10(MAX(AF75,1E-300)*1E6)</f>
        <v>0</v>
      </c>
      <c r="AJ75" s="7">
        <f>20*LOG10(MAX(AG75,1E-300)*1E6)</f>
        <v>0</v>
      </c>
      <c r="AK75" s="7">
        <f>DEGREES(IMARGUMENT(AB75))</f>
        <v>0</v>
      </c>
      <c r="AL75" s="7">
        <f>DEGREES(IMARGUMENT(AC75))</f>
        <v>0</v>
      </c>
      <c r="AM75" s="7">
        <f>DEGREES(IMARGUMENT(AD75))</f>
        <v>0</v>
      </c>
    </row>
    <row r="76" spans="1:39">
      <c r="A76" s="6">
        <f>10^(LOG10(F_START)+(ROW()-ROW($A$2))*(LOG10(F_STOP)-LOG10(F_START))/(N_POINTS-1))</f>
        <v>0</v>
      </c>
      <c r="B76" s="6">
        <f>2*PI()*A76</f>
        <v>0</v>
      </c>
      <c r="C76">
        <f>COMPLEX(2*LINE_PS_DCR,2*B76*LINE_PS_L)</f>
        <v>0</v>
      </c>
      <c r="D76">
        <f>IMSUM(COMPLEX(0,B76*(LINE_PS_CLINE+LINE_PS_CCHA/2)),IMDIV("1",IMPRODUCT("2",COMPLEX(C_THROUGH_ESR,B76*C_THROUGH_ESL-1/(B76*C_THROUGH_C)))))</f>
        <v>0</v>
      </c>
      <c r="E76">
        <f>COMPLEX(2*LINE_INPUT_DCR,2*B76*LINE_INPUT_L)</f>
        <v>0</v>
      </c>
      <c r="F76">
        <f>COMPLEX(0,B76*(LINE_INPUT_CLINE+LINE_INPUT_CCHA/2))</f>
        <v>0</v>
      </c>
      <c r="G76">
        <f>IMPRODUCT("2",IMDIV("1",IMSUM(IMDIV("1",COMPLEX(LDM1_DCR,B76*LDM1_L)),COMPLEX(0,B76*LDM1_CPA))))</f>
        <v>0</v>
      </c>
      <c r="H76">
        <f>IMSUM(IMDIV("1",COMPLEX(CX1_ESR,B76*CX1_ESL-1/(B76*CX1_C))),IMDIV("1",IMSUM(COMPLEX(DUMP1_R,0),COMPLEX(DUMP1_ESR,B76*DUMP1_ESL-1/(B76*DUMP1_C)))))</f>
        <v>0</v>
      </c>
      <c r="I76">
        <f>IMPRODUCT("2",IMDIV("1",IMSUM(IMDIV("1",COMPLEX(LDM2_DCR,B76*LDM2_L)),COMPLEX(0,B76*LDM2_CPA))))</f>
        <v>0</v>
      </c>
      <c r="J76">
        <f>IMSUM(IMDIV("1",COMPLEX(CX2_ESR,B76*CX2_ESL-1/(B76*CX2_C))),IMDIV("1",IMSUM(COMPLEX(DUMP2_R,0),COMPLEX(DUMP2_ESR,B76*DUMP2_ESL-1/(B76*DUMP2_C)))))</f>
        <v>0</v>
      </c>
      <c r="K76">
        <f>IMPRODUCT("2",IMDIV("1",IMSUM(IMDIV("1",COMPLEX(CMC_DCR,B76*CMC_L*(1-CMC_K))),COMPLEX(0,B76*CMC_CPA))))</f>
        <v>0</v>
      </c>
      <c r="L76">
        <f>IMSUM(COMPLEX(0,B76*CMC_CLINE),IMDIV("1",IMPRODUCT("2",COMPLEX(CY_ESR,B76*CY_ESL-1/(B76*CY_C)))),COMPLEX(1/DUMMY_R,0))</f>
        <v>0</v>
      </c>
      <c r="M76">
        <f>IMSUM(D76,IMDIV("1",C76))</f>
        <v>0</v>
      </c>
      <c r="N76">
        <f>IMDIV("1",IMSUM(E76,IMDIV("1",M76)))</f>
        <v>0</v>
      </c>
      <c r="O76">
        <f>IMSUM(F76,N76)</f>
        <v>0</v>
      </c>
      <c r="P76">
        <f>IMDIV("1",IMSUM(G76,IMDIV("1",O76)))</f>
        <v>0</v>
      </c>
      <c r="Q76">
        <f>IMSUM(H76,P76)</f>
        <v>0</v>
      </c>
      <c r="R76">
        <f>IMDIV("1",IMSUM(I76,IMDIV("1",Q76)))</f>
        <v>0</v>
      </c>
      <c r="S76">
        <f>IMSUM(J76,R76)</f>
        <v>0</v>
      </c>
      <c r="T76">
        <f>IMDIV("1",IMSUM(K76,IMDIV("1",S76)))</f>
        <v>0</v>
      </c>
      <c r="U76">
        <f>IMSUM(L76,T76)</f>
        <v>0</v>
      </c>
      <c r="V76">
        <f>IMDIV(COMPLEX(I_DM_SOURCE,0),U76)</f>
        <v>0</v>
      </c>
      <c r="W76">
        <f>IMPRODUCT(V76,T76)</f>
        <v>0</v>
      </c>
      <c r="X76">
        <f>IMDIV(W76,S76)</f>
        <v>0</v>
      </c>
      <c r="Y76">
        <f>IMPRODUCT(X76,R76)</f>
        <v>0</v>
      </c>
      <c r="Z76">
        <f>IMDIV(Y76,Q76)</f>
        <v>0</v>
      </c>
      <c r="AA76">
        <f>IMPRODUCT(Z76,P76)</f>
        <v>0</v>
      </c>
      <c r="AB76">
        <f>AA76</f>
        <v>0</v>
      </c>
      <c r="AC76">
        <f>IMPRODUCT("-1",AB76)</f>
        <v>0</v>
      </c>
      <c r="AD76">
        <f>IMDIV(IMSUB(AB76,AC76),"2")</f>
        <v>0</v>
      </c>
      <c r="AE76" s="6">
        <f>IMABS(AB76)</f>
        <v>0</v>
      </c>
      <c r="AF76" s="6">
        <f>IMABS(AC76)</f>
        <v>0</v>
      </c>
      <c r="AG76" s="6">
        <f>IMABS(AD76)</f>
        <v>0</v>
      </c>
      <c r="AH76" s="7">
        <f>20*LOG10(MAX(AE76,1E-300)*1E6)</f>
        <v>0</v>
      </c>
      <c r="AI76" s="7">
        <f>20*LOG10(MAX(AF76,1E-300)*1E6)</f>
        <v>0</v>
      </c>
      <c r="AJ76" s="7">
        <f>20*LOG10(MAX(AG76,1E-300)*1E6)</f>
        <v>0</v>
      </c>
      <c r="AK76" s="7">
        <f>DEGREES(IMARGUMENT(AB76))</f>
        <v>0</v>
      </c>
      <c r="AL76" s="7">
        <f>DEGREES(IMARGUMENT(AC76))</f>
        <v>0</v>
      </c>
      <c r="AM76" s="7">
        <f>DEGREES(IMARGUMENT(AD76))</f>
        <v>0</v>
      </c>
    </row>
    <row r="77" spans="1:39">
      <c r="A77" s="6">
        <f>10^(LOG10(F_START)+(ROW()-ROW($A$2))*(LOG10(F_STOP)-LOG10(F_START))/(N_POINTS-1))</f>
        <v>0</v>
      </c>
      <c r="B77" s="6">
        <f>2*PI()*A77</f>
        <v>0</v>
      </c>
      <c r="C77">
        <f>COMPLEX(2*LINE_PS_DCR,2*B77*LINE_PS_L)</f>
        <v>0</v>
      </c>
      <c r="D77">
        <f>IMSUM(COMPLEX(0,B77*(LINE_PS_CLINE+LINE_PS_CCHA/2)),IMDIV("1",IMPRODUCT("2",COMPLEX(C_THROUGH_ESR,B77*C_THROUGH_ESL-1/(B77*C_THROUGH_C)))))</f>
        <v>0</v>
      </c>
      <c r="E77">
        <f>COMPLEX(2*LINE_INPUT_DCR,2*B77*LINE_INPUT_L)</f>
        <v>0</v>
      </c>
      <c r="F77">
        <f>COMPLEX(0,B77*(LINE_INPUT_CLINE+LINE_INPUT_CCHA/2))</f>
        <v>0</v>
      </c>
      <c r="G77">
        <f>IMPRODUCT("2",IMDIV("1",IMSUM(IMDIV("1",COMPLEX(LDM1_DCR,B77*LDM1_L)),COMPLEX(0,B77*LDM1_CPA))))</f>
        <v>0</v>
      </c>
      <c r="H77">
        <f>IMSUM(IMDIV("1",COMPLEX(CX1_ESR,B77*CX1_ESL-1/(B77*CX1_C))),IMDIV("1",IMSUM(COMPLEX(DUMP1_R,0),COMPLEX(DUMP1_ESR,B77*DUMP1_ESL-1/(B77*DUMP1_C)))))</f>
        <v>0</v>
      </c>
      <c r="I77">
        <f>IMPRODUCT("2",IMDIV("1",IMSUM(IMDIV("1",COMPLEX(LDM2_DCR,B77*LDM2_L)),COMPLEX(0,B77*LDM2_CPA))))</f>
        <v>0</v>
      </c>
      <c r="J77">
        <f>IMSUM(IMDIV("1",COMPLEX(CX2_ESR,B77*CX2_ESL-1/(B77*CX2_C))),IMDIV("1",IMSUM(COMPLEX(DUMP2_R,0),COMPLEX(DUMP2_ESR,B77*DUMP2_ESL-1/(B77*DUMP2_C)))))</f>
        <v>0</v>
      </c>
      <c r="K77">
        <f>IMPRODUCT("2",IMDIV("1",IMSUM(IMDIV("1",COMPLEX(CMC_DCR,B77*CMC_L*(1-CMC_K))),COMPLEX(0,B77*CMC_CPA))))</f>
        <v>0</v>
      </c>
      <c r="L77">
        <f>IMSUM(COMPLEX(0,B77*CMC_CLINE),IMDIV("1",IMPRODUCT("2",COMPLEX(CY_ESR,B77*CY_ESL-1/(B77*CY_C)))),COMPLEX(1/DUMMY_R,0))</f>
        <v>0</v>
      </c>
      <c r="M77">
        <f>IMSUM(D77,IMDIV("1",C77))</f>
        <v>0</v>
      </c>
      <c r="N77">
        <f>IMDIV("1",IMSUM(E77,IMDIV("1",M77)))</f>
        <v>0</v>
      </c>
      <c r="O77">
        <f>IMSUM(F77,N77)</f>
        <v>0</v>
      </c>
      <c r="P77">
        <f>IMDIV("1",IMSUM(G77,IMDIV("1",O77)))</f>
        <v>0</v>
      </c>
      <c r="Q77">
        <f>IMSUM(H77,P77)</f>
        <v>0</v>
      </c>
      <c r="R77">
        <f>IMDIV("1",IMSUM(I77,IMDIV("1",Q77)))</f>
        <v>0</v>
      </c>
      <c r="S77">
        <f>IMSUM(J77,R77)</f>
        <v>0</v>
      </c>
      <c r="T77">
        <f>IMDIV("1",IMSUM(K77,IMDIV("1",S77)))</f>
        <v>0</v>
      </c>
      <c r="U77">
        <f>IMSUM(L77,T77)</f>
        <v>0</v>
      </c>
      <c r="V77">
        <f>IMDIV(COMPLEX(I_DM_SOURCE,0),U77)</f>
        <v>0</v>
      </c>
      <c r="W77">
        <f>IMPRODUCT(V77,T77)</f>
        <v>0</v>
      </c>
      <c r="X77">
        <f>IMDIV(W77,S77)</f>
        <v>0</v>
      </c>
      <c r="Y77">
        <f>IMPRODUCT(X77,R77)</f>
        <v>0</v>
      </c>
      <c r="Z77">
        <f>IMDIV(Y77,Q77)</f>
        <v>0</v>
      </c>
      <c r="AA77">
        <f>IMPRODUCT(Z77,P77)</f>
        <v>0</v>
      </c>
      <c r="AB77">
        <f>AA77</f>
        <v>0</v>
      </c>
      <c r="AC77">
        <f>IMPRODUCT("-1",AB77)</f>
        <v>0</v>
      </c>
      <c r="AD77">
        <f>IMDIV(IMSUB(AB77,AC77),"2")</f>
        <v>0</v>
      </c>
      <c r="AE77" s="6">
        <f>IMABS(AB77)</f>
        <v>0</v>
      </c>
      <c r="AF77" s="6">
        <f>IMABS(AC77)</f>
        <v>0</v>
      </c>
      <c r="AG77" s="6">
        <f>IMABS(AD77)</f>
        <v>0</v>
      </c>
      <c r="AH77" s="7">
        <f>20*LOG10(MAX(AE77,1E-300)*1E6)</f>
        <v>0</v>
      </c>
      <c r="AI77" s="7">
        <f>20*LOG10(MAX(AF77,1E-300)*1E6)</f>
        <v>0</v>
      </c>
      <c r="AJ77" s="7">
        <f>20*LOG10(MAX(AG77,1E-300)*1E6)</f>
        <v>0</v>
      </c>
      <c r="AK77" s="7">
        <f>DEGREES(IMARGUMENT(AB77))</f>
        <v>0</v>
      </c>
      <c r="AL77" s="7">
        <f>DEGREES(IMARGUMENT(AC77))</f>
        <v>0</v>
      </c>
      <c r="AM77" s="7">
        <f>DEGREES(IMARGUMENT(AD77))</f>
        <v>0</v>
      </c>
    </row>
    <row r="78" spans="1:39">
      <c r="A78" s="6">
        <f>10^(LOG10(F_START)+(ROW()-ROW($A$2))*(LOG10(F_STOP)-LOG10(F_START))/(N_POINTS-1))</f>
        <v>0</v>
      </c>
      <c r="B78" s="6">
        <f>2*PI()*A78</f>
        <v>0</v>
      </c>
      <c r="C78">
        <f>COMPLEX(2*LINE_PS_DCR,2*B78*LINE_PS_L)</f>
        <v>0</v>
      </c>
      <c r="D78">
        <f>IMSUM(COMPLEX(0,B78*(LINE_PS_CLINE+LINE_PS_CCHA/2)),IMDIV("1",IMPRODUCT("2",COMPLEX(C_THROUGH_ESR,B78*C_THROUGH_ESL-1/(B78*C_THROUGH_C)))))</f>
        <v>0</v>
      </c>
      <c r="E78">
        <f>COMPLEX(2*LINE_INPUT_DCR,2*B78*LINE_INPUT_L)</f>
        <v>0</v>
      </c>
      <c r="F78">
        <f>COMPLEX(0,B78*(LINE_INPUT_CLINE+LINE_INPUT_CCHA/2))</f>
        <v>0</v>
      </c>
      <c r="G78">
        <f>IMPRODUCT("2",IMDIV("1",IMSUM(IMDIV("1",COMPLEX(LDM1_DCR,B78*LDM1_L)),COMPLEX(0,B78*LDM1_CPA))))</f>
        <v>0</v>
      </c>
      <c r="H78">
        <f>IMSUM(IMDIV("1",COMPLEX(CX1_ESR,B78*CX1_ESL-1/(B78*CX1_C))),IMDIV("1",IMSUM(COMPLEX(DUMP1_R,0),COMPLEX(DUMP1_ESR,B78*DUMP1_ESL-1/(B78*DUMP1_C)))))</f>
        <v>0</v>
      </c>
      <c r="I78">
        <f>IMPRODUCT("2",IMDIV("1",IMSUM(IMDIV("1",COMPLEX(LDM2_DCR,B78*LDM2_L)),COMPLEX(0,B78*LDM2_CPA))))</f>
        <v>0</v>
      </c>
      <c r="J78">
        <f>IMSUM(IMDIV("1",COMPLEX(CX2_ESR,B78*CX2_ESL-1/(B78*CX2_C))),IMDIV("1",IMSUM(COMPLEX(DUMP2_R,0),COMPLEX(DUMP2_ESR,B78*DUMP2_ESL-1/(B78*DUMP2_C)))))</f>
        <v>0</v>
      </c>
      <c r="K78">
        <f>IMPRODUCT("2",IMDIV("1",IMSUM(IMDIV("1",COMPLEX(CMC_DCR,B78*CMC_L*(1-CMC_K))),COMPLEX(0,B78*CMC_CPA))))</f>
        <v>0</v>
      </c>
      <c r="L78">
        <f>IMSUM(COMPLEX(0,B78*CMC_CLINE),IMDIV("1",IMPRODUCT("2",COMPLEX(CY_ESR,B78*CY_ESL-1/(B78*CY_C)))),COMPLEX(1/DUMMY_R,0))</f>
        <v>0</v>
      </c>
      <c r="M78">
        <f>IMSUM(D78,IMDIV("1",C78))</f>
        <v>0</v>
      </c>
      <c r="N78">
        <f>IMDIV("1",IMSUM(E78,IMDIV("1",M78)))</f>
        <v>0</v>
      </c>
      <c r="O78">
        <f>IMSUM(F78,N78)</f>
        <v>0</v>
      </c>
      <c r="P78">
        <f>IMDIV("1",IMSUM(G78,IMDIV("1",O78)))</f>
        <v>0</v>
      </c>
      <c r="Q78">
        <f>IMSUM(H78,P78)</f>
        <v>0</v>
      </c>
      <c r="R78">
        <f>IMDIV("1",IMSUM(I78,IMDIV("1",Q78)))</f>
        <v>0</v>
      </c>
      <c r="S78">
        <f>IMSUM(J78,R78)</f>
        <v>0</v>
      </c>
      <c r="T78">
        <f>IMDIV("1",IMSUM(K78,IMDIV("1",S78)))</f>
        <v>0</v>
      </c>
      <c r="U78">
        <f>IMSUM(L78,T78)</f>
        <v>0</v>
      </c>
      <c r="V78">
        <f>IMDIV(COMPLEX(I_DM_SOURCE,0),U78)</f>
        <v>0</v>
      </c>
      <c r="W78">
        <f>IMPRODUCT(V78,T78)</f>
        <v>0</v>
      </c>
      <c r="X78">
        <f>IMDIV(W78,S78)</f>
        <v>0</v>
      </c>
      <c r="Y78">
        <f>IMPRODUCT(X78,R78)</f>
        <v>0</v>
      </c>
      <c r="Z78">
        <f>IMDIV(Y78,Q78)</f>
        <v>0</v>
      </c>
      <c r="AA78">
        <f>IMPRODUCT(Z78,P78)</f>
        <v>0</v>
      </c>
      <c r="AB78">
        <f>AA78</f>
        <v>0</v>
      </c>
      <c r="AC78">
        <f>IMPRODUCT("-1",AB78)</f>
        <v>0</v>
      </c>
      <c r="AD78">
        <f>IMDIV(IMSUB(AB78,AC78),"2")</f>
        <v>0</v>
      </c>
      <c r="AE78" s="6">
        <f>IMABS(AB78)</f>
        <v>0</v>
      </c>
      <c r="AF78" s="6">
        <f>IMABS(AC78)</f>
        <v>0</v>
      </c>
      <c r="AG78" s="6">
        <f>IMABS(AD78)</f>
        <v>0</v>
      </c>
      <c r="AH78" s="7">
        <f>20*LOG10(MAX(AE78,1E-300)*1E6)</f>
        <v>0</v>
      </c>
      <c r="AI78" s="7">
        <f>20*LOG10(MAX(AF78,1E-300)*1E6)</f>
        <v>0</v>
      </c>
      <c r="AJ78" s="7">
        <f>20*LOG10(MAX(AG78,1E-300)*1E6)</f>
        <v>0</v>
      </c>
      <c r="AK78" s="7">
        <f>DEGREES(IMARGUMENT(AB78))</f>
        <v>0</v>
      </c>
      <c r="AL78" s="7">
        <f>DEGREES(IMARGUMENT(AC78))</f>
        <v>0</v>
      </c>
      <c r="AM78" s="7">
        <f>DEGREES(IMARGUMENT(AD78))</f>
        <v>0</v>
      </c>
    </row>
    <row r="79" spans="1:39">
      <c r="A79" s="6">
        <f>10^(LOG10(F_START)+(ROW()-ROW($A$2))*(LOG10(F_STOP)-LOG10(F_START))/(N_POINTS-1))</f>
        <v>0</v>
      </c>
      <c r="B79" s="6">
        <f>2*PI()*A79</f>
        <v>0</v>
      </c>
      <c r="C79">
        <f>COMPLEX(2*LINE_PS_DCR,2*B79*LINE_PS_L)</f>
        <v>0</v>
      </c>
      <c r="D79">
        <f>IMSUM(COMPLEX(0,B79*(LINE_PS_CLINE+LINE_PS_CCHA/2)),IMDIV("1",IMPRODUCT("2",COMPLEX(C_THROUGH_ESR,B79*C_THROUGH_ESL-1/(B79*C_THROUGH_C)))))</f>
        <v>0</v>
      </c>
      <c r="E79">
        <f>COMPLEX(2*LINE_INPUT_DCR,2*B79*LINE_INPUT_L)</f>
        <v>0</v>
      </c>
      <c r="F79">
        <f>COMPLEX(0,B79*(LINE_INPUT_CLINE+LINE_INPUT_CCHA/2))</f>
        <v>0</v>
      </c>
      <c r="G79">
        <f>IMPRODUCT("2",IMDIV("1",IMSUM(IMDIV("1",COMPLEX(LDM1_DCR,B79*LDM1_L)),COMPLEX(0,B79*LDM1_CPA))))</f>
        <v>0</v>
      </c>
      <c r="H79">
        <f>IMSUM(IMDIV("1",COMPLEX(CX1_ESR,B79*CX1_ESL-1/(B79*CX1_C))),IMDIV("1",IMSUM(COMPLEX(DUMP1_R,0),COMPLEX(DUMP1_ESR,B79*DUMP1_ESL-1/(B79*DUMP1_C)))))</f>
        <v>0</v>
      </c>
      <c r="I79">
        <f>IMPRODUCT("2",IMDIV("1",IMSUM(IMDIV("1",COMPLEX(LDM2_DCR,B79*LDM2_L)),COMPLEX(0,B79*LDM2_CPA))))</f>
        <v>0</v>
      </c>
      <c r="J79">
        <f>IMSUM(IMDIV("1",COMPLEX(CX2_ESR,B79*CX2_ESL-1/(B79*CX2_C))),IMDIV("1",IMSUM(COMPLEX(DUMP2_R,0),COMPLEX(DUMP2_ESR,B79*DUMP2_ESL-1/(B79*DUMP2_C)))))</f>
        <v>0</v>
      </c>
      <c r="K79">
        <f>IMPRODUCT("2",IMDIV("1",IMSUM(IMDIV("1",COMPLEX(CMC_DCR,B79*CMC_L*(1-CMC_K))),COMPLEX(0,B79*CMC_CPA))))</f>
        <v>0</v>
      </c>
      <c r="L79">
        <f>IMSUM(COMPLEX(0,B79*CMC_CLINE),IMDIV("1",IMPRODUCT("2",COMPLEX(CY_ESR,B79*CY_ESL-1/(B79*CY_C)))),COMPLEX(1/DUMMY_R,0))</f>
        <v>0</v>
      </c>
      <c r="M79">
        <f>IMSUM(D79,IMDIV("1",C79))</f>
        <v>0</v>
      </c>
      <c r="N79">
        <f>IMDIV("1",IMSUM(E79,IMDIV("1",M79)))</f>
        <v>0</v>
      </c>
      <c r="O79">
        <f>IMSUM(F79,N79)</f>
        <v>0</v>
      </c>
      <c r="P79">
        <f>IMDIV("1",IMSUM(G79,IMDIV("1",O79)))</f>
        <v>0</v>
      </c>
      <c r="Q79">
        <f>IMSUM(H79,P79)</f>
        <v>0</v>
      </c>
      <c r="R79">
        <f>IMDIV("1",IMSUM(I79,IMDIV("1",Q79)))</f>
        <v>0</v>
      </c>
      <c r="S79">
        <f>IMSUM(J79,R79)</f>
        <v>0</v>
      </c>
      <c r="T79">
        <f>IMDIV("1",IMSUM(K79,IMDIV("1",S79)))</f>
        <v>0</v>
      </c>
      <c r="U79">
        <f>IMSUM(L79,T79)</f>
        <v>0</v>
      </c>
      <c r="V79">
        <f>IMDIV(COMPLEX(I_DM_SOURCE,0),U79)</f>
        <v>0</v>
      </c>
      <c r="W79">
        <f>IMPRODUCT(V79,T79)</f>
        <v>0</v>
      </c>
      <c r="X79">
        <f>IMDIV(W79,S79)</f>
        <v>0</v>
      </c>
      <c r="Y79">
        <f>IMPRODUCT(X79,R79)</f>
        <v>0</v>
      </c>
      <c r="Z79">
        <f>IMDIV(Y79,Q79)</f>
        <v>0</v>
      </c>
      <c r="AA79">
        <f>IMPRODUCT(Z79,P79)</f>
        <v>0</v>
      </c>
      <c r="AB79">
        <f>AA79</f>
        <v>0</v>
      </c>
      <c r="AC79">
        <f>IMPRODUCT("-1",AB79)</f>
        <v>0</v>
      </c>
      <c r="AD79">
        <f>IMDIV(IMSUB(AB79,AC79),"2")</f>
        <v>0</v>
      </c>
      <c r="AE79" s="6">
        <f>IMABS(AB79)</f>
        <v>0</v>
      </c>
      <c r="AF79" s="6">
        <f>IMABS(AC79)</f>
        <v>0</v>
      </c>
      <c r="AG79" s="6">
        <f>IMABS(AD79)</f>
        <v>0</v>
      </c>
      <c r="AH79" s="7">
        <f>20*LOG10(MAX(AE79,1E-300)*1E6)</f>
        <v>0</v>
      </c>
      <c r="AI79" s="7">
        <f>20*LOG10(MAX(AF79,1E-300)*1E6)</f>
        <v>0</v>
      </c>
      <c r="AJ79" s="7">
        <f>20*LOG10(MAX(AG79,1E-300)*1E6)</f>
        <v>0</v>
      </c>
      <c r="AK79" s="7">
        <f>DEGREES(IMARGUMENT(AB79))</f>
        <v>0</v>
      </c>
      <c r="AL79" s="7">
        <f>DEGREES(IMARGUMENT(AC79))</f>
        <v>0</v>
      </c>
      <c r="AM79" s="7">
        <f>DEGREES(IMARGUMENT(AD79))</f>
        <v>0</v>
      </c>
    </row>
    <row r="80" spans="1:39">
      <c r="A80" s="6">
        <f>10^(LOG10(F_START)+(ROW()-ROW($A$2))*(LOG10(F_STOP)-LOG10(F_START))/(N_POINTS-1))</f>
        <v>0</v>
      </c>
      <c r="B80" s="6">
        <f>2*PI()*A80</f>
        <v>0</v>
      </c>
      <c r="C80">
        <f>COMPLEX(2*LINE_PS_DCR,2*B80*LINE_PS_L)</f>
        <v>0</v>
      </c>
      <c r="D80">
        <f>IMSUM(COMPLEX(0,B80*(LINE_PS_CLINE+LINE_PS_CCHA/2)),IMDIV("1",IMPRODUCT("2",COMPLEX(C_THROUGH_ESR,B80*C_THROUGH_ESL-1/(B80*C_THROUGH_C)))))</f>
        <v>0</v>
      </c>
      <c r="E80">
        <f>COMPLEX(2*LINE_INPUT_DCR,2*B80*LINE_INPUT_L)</f>
        <v>0</v>
      </c>
      <c r="F80">
        <f>COMPLEX(0,B80*(LINE_INPUT_CLINE+LINE_INPUT_CCHA/2))</f>
        <v>0</v>
      </c>
      <c r="G80">
        <f>IMPRODUCT("2",IMDIV("1",IMSUM(IMDIV("1",COMPLEX(LDM1_DCR,B80*LDM1_L)),COMPLEX(0,B80*LDM1_CPA))))</f>
        <v>0</v>
      </c>
      <c r="H80">
        <f>IMSUM(IMDIV("1",COMPLEX(CX1_ESR,B80*CX1_ESL-1/(B80*CX1_C))),IMDIV("1",IMSUM(COMPLEX(DUMP1_R,0),COMPLEX(DUMP1_ESR,B80*DUMP1_ESL-1/(B80*DUMP1_C)))))</f>
        <v>0</v>
      </c>
      <c r="I80">
        <f>IMPRODUCT("2",IMDIV("1",IMSUM(IMDIV("1",COMPLEX(LDM2_DCR,B80*LDM2_L)),COMPLEX(0,B80*LDM2_CPA))))</f>
        <v>0</v>
      </c>
      <c r="J80">
        <f>IMSUM(IMDIV("1",COMPLEX(CX2_ESR,B80*CX2_ESL-1/(B80*CX2_C))),IMDIV("1",IMSUM(COMPLEX(DUMP2_R,0),COMPLEX(DUMP2_ESR,B80*DUMP2_ESL-1/(B80*DUMP2_C)))))</f>
        <v>0</v>
      </c>
      <c r="K80">
        <f>IMPRODUCT("2",IMDIV("1",IMSUM(IMDIV("1",COMPLEX(CMC_DCR,B80*CMC_L*(1-CMC_K))),COMPLEX(0,B80*CMC_CPA))))</f>
        <v>0</v>
      </c>
      <c r="L80">
        <f>IMSUM(COMPLEX(0,B80*CMC_CLINE),IMDIV("1",IMPRODUCT("2",COMPLEX(CY_ESR,B80*CY_ESL-1/(B80*CY_C)))),COMPLEX(1/DUMMY_R,0))</f>
        <v>0</v>
      </c>
      <c r="M80">
        <f>IMSUM(D80,IMDIV("1",C80))</f>
        <v>0</v>
      </c>
      <c r="N80">
        <f>IMDIV("1",IMSUM(E80,IMDIV("1",M80)))</f>
        <v>0</v>
      </c>
      <c r="O80">
        <f>IMSUM(F80,N80)</f>
        <v>0</v>
      </c>
      <c r="P80">
        <f>IMDIV("1",IMSUM(G80,IMDIV("1",O80)))</f>
        <v>0</v>
      </c>
      <c r="Q80">
        <f>IMSUM(H80,P80)</f>
        <v>0</v>
      </c>
      <c r="R80">
        <f>IMDIV("1",IMSUM(I80,IMDIV("1",Q80)))</f>
        <v>0</v>
      </c>
      <c r="S80">
        <f>IMSUM(J80,R80)</f>
        <v>0</v>
      </c>
      <c r="T80">
        <f>IMDIV("1",IMSUM(K80,IMDIV("1",S80)))</f>
        <v>0</v>
      </c>
      <c r="U80">
        <f>IMSUM(L80,T80)</f>
        <v>0</v>
      </c>
      <c r="V80">
        <f>IMDIV(COMPLEX(I_DM_SOURCE,0),U80)</f>
        <v>0</v>
      </c>
      <c r="W80">
        <f>IMPRODUCT(V80,T80)</f>
        <v>0</v>
      </c>
      <c r="X80">
        <f>IMDIV(W80,S80)</f>
        <v>0</v>
      </c>
      <c r="Y80">
        <f>IMPRODUCT(X80,R80)</f>
        <v>0</v>
      </c>
      <c r="Z80">
        <f>IMDIV(Y80,Q80)</f>
        <v>0</v>
      </c>
      <c r="AA80">
        <f>IMPRODUCT(Z80,P80)</f>
        <v>0</v>
      </c>
      <c r="AB80">
        <f>AA80</f>
        <v>0</v>
      </c>
      <c r="AC80">
        <f>IMPRODUCT("-1",AB80)</f>
        <v>0</v>
      </c>
      <c r="AD80">
        <f>IMDIV(IMSUB(AB80,AC80),"2")</f>
        <v>0</v>
      </c>
      <c r="AE80" s="6">
        <f>IMABS(AB80)</f>
        <v>0</v>
      </c>
      <c r="AF80" s="6">
        <f>IMABS(AC80)</f>
        <v>0</v>
      </c>
      <c r="AG80" s="6">
        <f>IMABS(AD80)</f>
        <v>0</v>
      </c>
      <c r="AH80" s="7">
        <f>20*LOG10(MAX(AE80,1E-300)*1E6)</f>
        <v>0</v>
      </c>
      <c r="AI80" s="7">
        <f>20*LOG10(MAX(AF80,1E-300)*1E6)</f>
        <v>0</v>
      </c>
      <c r="AJ80" s="7">
        <f>20*LOG10(MAX(AG80,1E-300)*1E6)</f>
        <v>0</v>
      </c>
      <c r="AK80" s="7">
        <f>DEGREES(IMARGUMENT(AB80))</f>
        <v>0</v>
      </c>
      <c r="AL80" s="7">
        <f>DEGREES(IMARGUMENT(AC80))</f>
        <v>0</v>
      </c>
      <c r="AM80" s="7">
        <f>DEGREES(IMARGUMENT(AD80))</f>
        <v>0</v>
      </c>
    </row>
    <row r="81" spans="1:39">
      <c r="A81" s="6">
        <f>10^(LOG10(F_START)+(ROW()-ROW($A$2))*(LOG10(F_STOP)-LOG10(F_START))/(N_POINTS-1))</f>
        <v>0</v>
      </c>
      <c r="B81" s="6">
        <f>2*PI()*A81</f>
        <v>0</v>
      </c>
      <c r="C81">
        <f>COMPLEX(2*LINE_PS_DCR,2*B81*LINE_PS_L)</f>
        <v>0</v>
      </c>
      <c r="D81">
        <f>IMSUM(COMPLEX(0,B81*(LINE_PS_CLINE+LINE_PS_CCHA/2)),IMDIV("1",IMPRODUCT("2",COMPLEX(C_THROUGH_ESR,B81*C_THROUGH_ESL-1/(B81*C_THROUGH_C)))))</f>
        <v>0</v>
      </c>
      <c r="E81">
        <f>COMPLEX(2*LINE_INPUT_DCR,2*B81*LINE_INPUT_L)</f>
        <v>0</v>
      </c>
      <c r="F81">
        <f>COMPLEX(0,B81*(LINE_INPUT_CLINE+LINE_INPUT_CCHA/2))</f>
        <v>0</v>
      </c>
      <c r="G81">
        <f>IMPRODUCT("2",IMDIV("1",IMSUM(IMDIV("1",COMPLEX(LDM1_DCR,B81*LDM1_L)),COMPLEX(0,B81*LDM1_CPA))))</f>
        <v>0</v>
      </c>
      <c r="H81">
        <f>IMSUM(IMDIV("1",COMPLEX(CX1_ESR,B81*CX1_ESL-1/(B81*CX1_C))),IMDIV("1",IMSUM(COMPLEX(DUMP1_R,0),COMPLEX(DUMP1_ESR,B81*DUMP1_ESL-1/(B81*DUMP1_C)))))</f>
        <v>0</v>
      </c>
      <c r="I81">
        <f>IMPRODUCT("2",IMDIV("1",IMSUM(IMDIV("1",COMPLEX(LDM2_DCR,B81*LDM2_L)),COMPLEX(0,B81*LDM2_CPA))))</f>
        <v>0</v>
      </c>
      <c r="J81">
        <f>IMSUM(IMDIV("1",COMPLEX(CX2_ESR,B81*CX2_ESL-1/(B81*CX2_C))),IMDIV("1",IMSUM(COMPLEX(DUMP2_R,0),COMPLEX(DUMP2_ESR,B81*DUMP2_ESL-1/(B81*DUMP2_C)))))</f>
        <v>0</v>
      </c>
      <c r="K81">
        <f>IMPRODUCT("2",IMDIV("1",IMSUM(IMDIV("1",COMPLEX(CMC_DCR,B81*CMC_L*(1-CMC_K))),COMPLEX(0,B81*CMC_CPA))))</f>
        <v>0</v>
      </c>
      <c r="L81">
        <f>IMSUM(COMPLEX(0,B81*CMC_CLINE),IMDIV("1",IMPRODUCT("2",COMPLEX(CY_ESR,B81*CY_ESL-1/(B81*CY_C)))),COMPLEX(1/DUMMY_R,0))</f>
        <v>0</v>
      </c>
      <c r="M81">
        <f>IMSUM(D81,IMDIV("1",C81))</f>
        <v>0</v>
      </c>
      <c r="N81">
        <f>IMDIV("1",IMSUM(E81,IMDIV("1",M81)))</f>
        <v>0</v>
      </c>
      <c r="O81">
        <f>IMSUM(F81,N81)</f>
        <v>0</v>
      </c>
      <c r="P81">
        <f>IMDIV("1",IMSUM(G81,IMDIV("1",O81)))</f>
        <v>0</v>
      </c>
      <c r="Q81">
        <f>IMSUM(H81,P81)</f>
        <v>0</v>
      </c>
      <c r="R81">
        <f>IMDIV("1",IMSUM(I81,IMDIV("1",Q81)))</f>
        <v>0</v>
      </c>
      <c r="S81">
        <f>IMSUM(J81,R81)</f>
        <v>0</v>
      </c>
      <c r="T81">
        <f>IMDIV("1",IMSUM(K81,IMDIV("1",S81)))</f>
        <v>0</v>
      </c>
      <c r="U81">
        <f>IMSUM(L81,T81)</f>
        <v>0</v>
      </c>
      <c r="V81">
        <f>IMDIV(COMPLEX(I_DM_SOURCE,0),U81)</f>
        <v>0</v>
      </c>
      <c r="W81">
        <f>IMPRODUCT(V81,T81)</f>
        <v>0</v>
      </c>
      <c r="X81">
        <f>IMDIV(W81,S81)</f>
        <v>0</v>
      </c>
      <c r="Y81">
        <f>IMPRODUCT(X81,R81)</f>
        <v>0</v>
      </c>
      <c r="Z81">
        <f>IMDIV(Y81,Q81)</f>
        <v>0</v>
      </c>
      <c r="AA81">
        <f>IMPRODUCT(Z81,P81)</f>
        <v>0</v>
      </c>
      <c r="AB81">
        <f>AA81</f>
        <v>0</v>
      </c>
      <c r="AC81">
        <f>IMPRODUCT("-1",AB81)</f>
        <v>0</v>
      </c>
      <c r="AD81">
        <f>IMDIV(IMSUB(AB81,AC81),"2")</f>
        <v>0</v>
      </c>
      <c r="AE81" s="6">
        <f>IMABS(AB81)</f>
        <v>0</v>
      </c>
      <c r="AF81" s="6">
        <f>IMABS(AC81)</f>
        <v>0</v>
      </c>
      <c r="AG81" s="6">
        <f>IMABS(AD81)</f>
        <v>0</v>
      </c>
      <c r="AH81" s="7">
        <f>20*LOG10(MAX(AE81,1E-300)*1E6)</f>
        <v>0</v>
      </c>
      <c r="AI81" s="7">
        <f>20*LOG10(MAX(AF81,1E-300)*1E6)</f>
        <v>0</v>
      </c>
      <c r="AJ81" s="7">
        <f>20*LOG10(MAX(AG81,1E-300)*1E6)</f>
        <v>0</v>
      </c>
      <c r="AK81" s="7">
        <f>DEGREES(IMARGUMENT(AB81))</f>
        <v>0</v>
      </c>
      <c r="AL81" s="7">
        <f>DEGREES(IMARGUMENT(AC81))</f>
        <v>0</v>
      </c>
      <c r="AM81" s="7">
        <f>DEGREES(IMARGUMENT(AD81))</f>
        <v>0</v>
      </c>
    </row>
    <row r="82" spans="1:39">
      <c r="A82" s="6">
        <f>10^(LOG10(F_START)+(ROW()-ROW($A$2))*(LOG10(F_STOP)-LOG10(F_START))/(N_POINTS-1))</f>
        <v>0</v>
      </c>
      <c r="B82" s="6">
        <f>2*PI()*A82</f>
        <v>0</v>
      </c>
      <c r="C82">
        <f>COMPLEX(2*LINE_PS_DCR,2*B82*LINE_PS_L)</f>
        <v>0</v>
      </c>
      <c r="D82">
        <f>IMSUM(COMPLEX(0,B82*(LINE_PS_CLINE+LINE_PS_CCHA/2)),IMDIV("1",IMPRODUCT("2",COMPLEX(C_THROUGH_ESR,B82*C_THROUGH_ESL-1/(B82*C_THROUGH_C)))))</f>
        <v>0</v>
      </c>
      <c r="E82">
        <f>COMPLEX(2*LINE_INPUT_DCR,2*B82*LINE_INPUT_L)</f>
        <v>0</v>
      </c>
      <c r="F82">
        <f>COMPLEX(0,B82*(LINE_INPUT_CLINE+LINE_INPUT_CCHA/2))</f>
        <v>0</v>
      </c>
      <c r="G82">
        <f>IMPRODUCT("2",IMDIV("1",IMSUM(IMDIV("1",COMPLEX(LDM1_DCR,B82*LDM1_L)),COMPLEX(0,B82*LDM1_CPA))))</f>
        <v>0</v>
      </c>
      <c r="H82">
        <f>IMSUM(IMDIV("1",COMPLEX(CX1_ESR,B82*CX1_ESL-1/(B82*CX1_C))),IMDIV("1",IMSUM(COMPLEX(DUMP1_R,0),COMPLEX(DUMP1_ESR,B82*DUMP1_ESL-1/(B82*DUMP1_C)))))</f>
        <v>0</v>
      </c>
      <c r="I82">
        <f>IMPRODUCT("2",IMDIV("1",IMSUM(IMDIV("1",COMPLEX(LDM2_DCR,B82*LDM2_L)),COMPLEX(0,B82*LDM2_CPA))))</f>
        <v>0</v>
      </c>
      <c r="J82">
        <f>IMSUM(IMDIV("1",COMPLEX(CX2_ESR,B82*CX2_ESL-1/(B82*CX2_C))),IMDIV("1",IMSUM(COMPLEX(DUMP2_R,0),COMPLEX(DUMP2_ESR,B82*DUMP2_ESL-1/(B82*DUMP2_C)))))</f>
        <v>0</v>
      </c>
      <c r="K82">
        <f>IMPRODUCT("2",IMDIV("1",IMSUM(IMDIV("1",COMPLEX(CMC_DCR,B82*CMC_L*(1-CMC_K))),COMPLEX(0,B82*CMC_CPA))))</f>
        <v>0</v>
      </c>
      <c r="L82">
        <f>IMSUM(COMPLEX(0,B82*CMC_CLINE),IMDIV("1",IMPRODUCT("2",COMPLEX(CY_ESR,B82*CY_ESL-1/(B82*CY_C)))),COMPLEX(1/DUMMY_R,0))</f>
        <v>0</v>
      </c>
      <c r="M82">
        <f>IMSUM(D82,IMDIV("1",C82))</f>
        <v>0</v>
      </c>
      <c r="N82">
        <f>IMDIV("1",IMSUM(E82,IMDIV("1",M82)))</f>
        <v>0</v>
      </c>
      <c r="O82">
        <f>IMSUM(F82,N82)</f>
        <v>0</v>
      </c>
      <c r="P82">
        <f>IMDIV("1",IMSUM(G82,IMDIV("1",O82)))</f>
        <v>0</v>
      </c>
      <c r="Q82">
        <f>IMSUM(H82,P82)</f>
        <v>0</v>
      </c>
      <c r="R82">
        <f>IMDIV("1",IMSUM(I82,IMDIV("1",Q82)))</f>
        <v>0</v>
      </c>
      <c r="S82">
        <f>IMSUM(J82,R82)</f>
        <v>0</v>
      </c>
      <c r="T82">
        <f>IMDIV("1",IMSUM(K82,IMDIV("1",S82)))</f>
        <v>0</v>
      </c>
      <c r="U82">
        <f>IMSUM(L82,T82)</f>
        <v>0</v>
      </c>
      <c r="V82">
        <f>IMDIV(COMPLEX(I_DM_SOURCE,0),U82)</f>
        <v>0</v>
      </c>
      <c r="W82">
        <f>IMPRODUCT(V82,T82)</f>
        <v>0</v>
      </c>
      <c r="X82">
        <f>IMDIV(W82,S82)</f>
        <v>0</v>
      </c>
      <c r="Y82">
        <f>IMPRODUCT(X82,R82)</f>
        <v>0</v>
      </c>
      <c r="Z82">
        <f>IMDIV(Y82,Q82)</f>
        <v>0</v>
      </c>
      <c r="AA82">
        <f>IMPRODUCT(Z82,P82)</f>
        <v>0</v>
      </c>
      <c r="AB82">
        <f>AA82</f>
        <v>0</v>
      </c>
      <c r="AC82">
        <f>IMPRODUCT("-1",AB82)</f>
        <v>0</v>
      </c>
      <c r="AD82">
        <f>IMDIV(IMSUB(AB82,AC82),"2")</f>
        <v>0</v>
      </c>
      <c r="AE82" s="6">
        <f>IMABS(AB82)</f>
        <v>0</v>
      </c>
      <c r="AF82" s="6">
        <f>IMABS(AC82)</f>
        <v>0</v>
      </c>
      <c r="AG82" s="6">
        <f>IMABS(AD82)</f>
        <v>0</v>
      </c>
      <c r="AH82" s="7">
        <f>20*LOG10(MAX(AE82,1E-300)*1E6)</f>
        <v>0</v>
      </c>
      <c r="AI82" s="7">
        <f>20*LOG10(MAX(AF82,1E-300)*1E6)</f>
        <v>0</v>
      </c>
      <c r="AJ82" s="7">
        <f>20*LOG10(MAX(AG82,1E-300)*1E6)</f>
        <v>0</v>
      </c>
      <c r="AK82" s="7">
        <f>DEGREES(IMARGUMENT(AB82))</f>
        <v>0</v>
      </c>
      <c r="AL82" s="7">
        <f>DEGREES(IMARGUMENT(AC82))</f>
        <v>0</v>
      </c>
      <c r="AM82" s="7">
        <f>DEGREES(IMARGUMENT(AD82))</f>
        <v>0</v>
      </c>
    </row>
    <row r="83" spans="1:39">
      <c r="A83" s="6">
        <f>10^(LOG10(F_START)+(ROW()-ROW($A$2))*(LOG10(F_STOP)-LOG10(F_START))/(N_POINTS-1))</f>
        <v>0</v>
      </c>
      <c r="B83" s="6">
        <f>2*PI()*A83</f>
        <v>0</v>
      </c>
      <c r="C83">
        <f>COMPLEX(2*LINE_PS_DCR,2*B83*LINE_PS_L)</f>
        <v>0</v>
      </c>
      <c r="D83">
        <f>IMSUM(COMPLEX(0,B83*(LINE_PS_CLINE+LINE_PS_CCHA/2)),IMDIV("1",IMPRODUCT("2",COMPLEX(C_THROUGH_ESR,B83*C_THROUGH_ESL-1/(B83*C_THROUGH_C)))))</f>
        <v>0</v>
      </c>
      <c r="E83">
        <f>COMPLEX(2*LINE_INPUT_DCR,2*B83*LINE_INPUT_L)</f>
        <v>0</v>
      </c>
      <c r="F83">
        <f>COMPLEX(0,B83*(LINE_INPUT_CLINE+LINE_INPUT_CCHA/2))</f>
        <v>0</v>
      </c>
      <c r="G83">
        <f>IMPRODUCT("2",IMDIV("1",IMSUM(IMDIV("1",COMPLEX(LDM1_DCR,B83*LDM1_L)),COMPLEX(0,B83*LDM1_CPA))))</f>
        <v>0</v>
      </c>
      <c r="H83">
        <f>IMSUM(IMDIV("1",COMPLEX(CX1_ESR,B83*CX1_ESL-1/(B83*CX1_C))),IMDIV("1",IMSUM(COMPLEX(DUMP1_R,0),COMPLEX(DUMP1_ESR,B83*DUMP1_ESL-1/(B83*DUMP1_C)))))</f>
        <v>0</v>
      </c>
      <c r="I83">
        <f>IMPRODUCT("2",IMDIV("1",IMSUM(IMDIV("1",COMPLEX(LDM2_DCR,B83*LDM2_L)),COMPLEX(0,B83*LDM2_CPA))))</f>
        <v>0</v>
      </c>
      <c r="J83">
        <f>IMSUM(IMDIV("1",COMPLEX(CX2_ESR,B83*CX2_ESL-1/(B83*CX2_C))),IMDIV("1",IMSUM(COMPLEX(DUMP2_R,0),COMPLEX(DUMP2_ESR,B83*DUMP2_ESL-1/(B83*DUMP2_C)))))</f>
        <v>0</v>
      </c>
      <c r="K83">
        <f>IMPRODUCT("2",IMDIV("1",IMSUM(IMDIV("1",COMPLEX(CMC_DCR,B83*CMC_L*(1-CMC_K))),COMPLEX(0,B83*CMC_CPA))))</f>
        <v>0</v>
      </c>
      <c r="L83">
        <f>IMSUM(COMPLEX(0,B83*CMC_CLINE),IMDIV("1",IMPRODUCT("2",COMPLEX(CY_ESR,B83*CY_ESL-1/(B83*CY_C)))),COMPLEX(1/DUMMY_R,0))</f>
        <v>0</v>
      </c>
      <c r="M83">
        <f>IMSUM(D83,IMDIV("1",C83))</f>
        <v>0</v>
      </c>
      <c r="N83">
        <f>IMDIV("1",IMSUM(E83,IMDIV("1",M83)))</f>
        <v>0</v>
      </c>
      <c r="O83">
        <f>IMSUM(F83,N83)</f>
        <v>0</v>
      </c>
      <c r="P83">
        <f>IMDIV("1",IMSUM(G83,IMDIV("1",O83)))</f>
        <v>0</v>
      </c>
      <c r="Q83">
        <f>IMSUM(H83,P83)</f>
        <v>0</v>
      </c>
      <c r="R83">
        <f>IMDIV("1",IMSUM(I83,IMDIV("1",Q83)))</f>
        <v>0</v>
      </c>
      <c r="S83">
        <f>IMSUM(J83,R83)</f>
        <v>0</v>
      </c>
      <c r="T83">
        <f>IMDIV("1",IMSUM(K83,IMDIV("1",S83)))</f>
        <v>0</v>
      </c>
      <c r="U83">
        <f>IMSUM(L83,T83)</f>
        <v>0</v>
      </c>
      <c r="V83">
        <f>IMDIV(COMPLEX(I_DM_SOURCE,0),U83)</f>
        <v>0</v>
      </c>
      <c r="W83">
        <f>IMPRODUCT(V83,T83)</f>
        <v>0</v>
      </c>
      <c r="X83">
        <f>IMDIV(W83,S83)</f>
        <v>0</v>
      </c>
      <c r="Y83">
        <f>IMPRODUCT(X83,R83)</f>
        <v>0</v>
      </c>
      <c r="Z83">
        <f>IMDIV(Y83,Q83)</f>
        <v>0</v>
      </c>
      <c r="AA83">
        <f>IMPRODUCT(Z83,P83)</f>
        <v>0</v>
      </c>
      <c r="AB83">
        <f>AA83</f>
        <v>0</v>
      </c>
      <c r="AC83">
        <f>IMPRODUCT("-1",AB83)</f>
        <v>0</v>
      </c>
      <c r="AD83">
        <f>IMDIV(IMSUB(AB83,AC83),"2")</f>
        <v>0</v>
      </c>
      <c r="AE83" s="6">
        <f>IMABS(AB83)</f>
        <v>0</v>
      </c>
      <c r="AF83" s="6">
        <f>IMABS(AC83)</f>
        <v>0</v>
      </c>
      <c r="AG83" s="6">
        <f>IMABS(AD83)</f>
        <v>0</v>
      </c>
      <c r="AH83" s="7">
        <f>20*LOG10(MAX(AE83,1E-300)*1E6)</f>
        <v>0</v>
      </c>
      <c r="AI83" s="7">
        <f>20*LOG10(MAX(AF83,1E-300)*1E6)</f>
        <v>0</v>
      </c>
      <c r="AJ83" s="7">
        <f>20*LOG10(MAX(AG83,1E-300)*1E6)</f>
        <v>0</v>
      </c>
      <c r="AK83" s="7">
        <f>DEGREES(IMARGUMENT(AB83))</f>
        <v>0</v>
      </c>
      <c r="AL83" s="7">
        <f>DEGREES(IMARGUMENT(AC83))</f>
        <v>0</v>
      </c>
      <c r="AM83" s="7">
        <f>DEGREES(IMARGUMENT(AD83))</f>
        <v>0</v>
      </c>
    </row>
    <row r="84" spans="1:39">
      <c r="A84" s="6">
        <f>10^(LOG10(F_START)+(ROW()-ROW($A$2))*(LOG10(F_STOP)-LOG10(F_START))/(N_POINTS-1))</f>
        <v>0</v>
      </c>
      <c r="B84" s="6">
        <f>2*PI()*A84</f>
        <v>0</v>
      </c>
      <c r="C84">
        <f>COMPLEX(2*LINE_PS_DCR,2*B84*LINE_PS_L)</f>
        <v>0</v>
      </c>
      <c r="D84">
        <f>IMSUM(COMPLEX(0,B84*(LINE_PS_CLINE+LINE_PS_CCHA/2)),IMDIV("1",IMPRODUCT("2",COMPLEX(C_THROUGH_ESR,B84*C_THROUGH_ESL-1/(B84*C_THROUGH_C)))))</f>
        <v>0</v>
      </c>
      <c r="E84">
        <f>COMPLEX(2*LINE_INPUT_DCR,2*B84*LINE_INPUT_L)</f>
        <v>0</v>
      </c>
      <c r="F84">
        <f>COMPLEX(0,B84*(LINE_INPUT_CLINE+LINE_INPUT_CCHA/2))</f>
        <v>0</v>
      </c>
      <c r="G84">
        <f>IMPRODUCT("2",IMDIV("1",IMSUM(IMDIV("1",COMPLEX(LDM1_DCR,B84*LDM1_L)),COMPLEX(0,B84*LDM1_CPA))))</f>
        <v>0</v>
      </c>
      <c r="H84">
        <f>IMSUM(IMDIV("1",COMPLEX(CX1_ESR,B84*CX1_ESL-1/(B84*CX1_C))),IMDIV("1",IMSUM(COMPLEX(DUMP1_R,0),COMPLEX(DUMP1_ESR,B84*DUMP1_ESL-1/(B84*DUMP1_C)))))</f>
        <v>0</v>
      </c>
      <c r="I84">
        <f>IMPRODUCT("2",IMDIV("1",IMSUM(IMDIV("1",COMPLEX(LDM2_DCR,B84*LDM2_L)),COMPLEX(0,B84*LDM2_CPA))))</f>
        <v>0</v>
      </c>
      <c r="J84">
        <f>IMSUM(IMDIV("1",COMPLEX(CX2_ESR,B84*CX2_ESL-1/(B84*CX2_C))),IMDIV("1",IMSUM(COMPLEX(DUMP2_R,0),COMPLEX(DUMP2_ESR,B84*DUMP2_ESL-1/(B84*DUMP2_C)))))</f>
        <v>0</v>
      </c>
      <c r="K84">
        <f>IMPRODUCT("2",IMDIV("1",IMSUM(IMDIV("1",COMPLEX(CMC_DCR,B84*CMC_L*(1-CMC_K))),COMPLEX(0,B84*CMC_CPA))))</f>
        <v>0</v>
      </c>
      <c r="L84">
        <f>IMSUM(COMPLEX(0,B84*CMC_CLINE),IMDIV("1",IMPRODUCT("2",COMPLEX(CY_ESR,B84*CY_ESL-1/(B84*CY_C)))),COMPLEX(1/DUMMY_R,0))</f>
        <v>0</v>
      </c>
      <c r="M84">
        <f>IMSUM(D84,IMDIV("1",C84))</f>
        <v>0</v>
      </c>
      <c r="N84">
        <f>IMDIV("1",IMSUM(E84,IMDIV("1",M84)))</f>
        <v>0</v>
      </c>
      <c r="O84">
        <f>IMSUM(F84,N84)</f>
        <v>0</v>
      </c>
      <c r="P84">
        <f>IMDIV("1",IMSUM(G84,IMDIV("1",O84)))</f>
        <v>0</v>
      </c>
      <c r="Q84">
        <f>IMSUM(H84,P84)</f>
        <v>0</v>
      </c>
      <c r="R84">
        <f>IMDIV("1",IMSUM(I84,IMDIV("1",Q84)))</f>
        <v>0</v>
      </c>
      <c r="S84">
        <f>IMSUM(J84,R84)</f>
        <v>0</v>
      </c>
      <c r="T84">
        <f>IMDIV("1",IMSUM(K84,IMDIV("1",S84)))</f>
        <v>0</v>
      </c>
      <c r="U84">
        <f>IMSUM(L84,T84)</f>
        <v>0</v>
      </c>
      <c r="V84">
        <f>IMDIV(COMPLEX(I_DM_SOURCE,0),U84)</f>
        <v>0</v>
      </c>
      <c r="W84">
        <f>IMPRODUCT(V84,T84)</f>
        <v>0</v>
      </c>
      <c r="X84">
        <f>IMDIV(W84,S84)</f>
        <v>0</v>
      </c>
      <c r="Y84">
        <f>IMPRODUCT(X84,R84)</f>
        <v>0</v>
      </c>
      <c r="Z84">
        <f>IMDIV(Y84,Q84)</f>
        <v>0</v>
      </c>
      <c r="AA84">
        <f>IMPRODUCT(Z84,P84)</f>
        <v>0</v>
      </c>
      <c r="AB84">
        <f>AA84</f>
        <v>0</v>
      </c>
      <c r="AC84">
        <f>IMPRODUCT("-1",AB84)</f>
        <v>0</v>
      </c>
      <c r="AD84">
        <f>IMDIV(IMSUB(AB84,AC84),"2")</f>
        <v>0</v>
      </c>
      <c r="AE84" s="6">
        <f>IMABS(AB84)</f>
        <v>0</v>
      </c>
      <c r="AF84" s="6">
        <f>IMABS(AC84)</f>
        <v>0</v>
      </c>
      <c r="AG84" s="6">
        <f>IMABS(AD84)</f>
        <v>0</v>
      </c>
      <c r="AH84" s="7">
        <f>20*LOG10(MAX(AE84,1E-300)*1E6)</f>
        <v>0</v>
      </c>
      <c r="AI84" s="7">
        <f>20*LOG10(MAX(AF84,1E-300)*1E6)</f>
        <v>0</v>
      </c>
      <c r="AJ84" s="7">
        <f>20*LOG10(MAX(AG84,1E-300)*1E6)</f>
        <v>0</v>
      </c>
      <c r="AK84" s="7">
        <f>DEGREES(IMARGUMENT(AB84))</f>
        <v>0</v>
      </c>
      <c r="AL84" s="7">
        <f>DEGREES(IMARGUMENT(AC84))</f>
        <v>0</v>
      </c>
      <c r="AM84" s="7">
        <f>DEGREES(IMARGUMENT(AD84))</f>
        <v>0</v>
      </c>
    </row>
    <row r="85" spans="1:39">
      <c r="A85" s="6">
        <f>10^(LOG10(F_START)+(ROW()-ROW($A$2))*(LOG10(F_STOP)-LOG10(F_START))/(N_POINTS-1))</f>
        <v>0</v>
      </c>
      <c r="B85" s="6">
        <f>2*PI()*A85</f>
        <v>0</v>
      </c>
      <c r="C85">
        <f>COMPLEX(2*LINE_PS_DCR,2*B85*LINE_PS_L)</f>
        <v>0</v>
      </c>
      <c r="D85">
        <f>IMSUM(COMPLEX(0,B85*(LINE_PS_CLINE+LINE_PS_CCHA/2)),IMDIV("1",IMPRODUCT("2",COMPLEX(C_THROUGH_ESR,B85*C_THROUGH_ESL-1/(B85*C_THROUGH_C)))))</f>
        <v>0</v>
      </c>
      <c r="E85">
        <f>COMPLEX(2*LINE_INPUT_DCR,2*B85*LINE_INPUT_L)</f>
        <v>0</v>
      </c>
      <c r="F85">
        <f>COMPLEX(0,B85*(LINE_INPUT_CLINE+LINE_INPUT_CCHA/2))</f>
        <v>0</v>
      </c>
      <c r="G85">
        <f>IMPRODUCT("2",IMDIV("1",IMSUM(IMDIV("1",COMPLEX(LDM1_DCR,B85*LDM1_L)),COMPLEX(0,B85*LDM1_CPA))))</f>
        <v>0</v>
      </c>
      <c r="H85">
        <f>IMSUM(IMDIV("1",COMPLEX(CX1_ESR,B85*CX1_ESL-1/(B85*CX1_C))),IMDIV("1",IMSUM(COMPLEX(DUMP1_R,0),COMPLEX(DUMP1_ESR,B85*DUMP1_ESL-1/(B85*DUMP1_C)))))</f>
        <v>0</v>
      </c>
      <c r="I85">
        <f>IMPRODUCT("2",IMDIV("1",IMSUM(IMDIV("1",COMPLEX(LDM2_DCR,B85*LDM2_L)),COMPLEX(0,B85*LDM2_CPA))))</f>
        <v>0</v>
      </c>
      <c r="J85">
        <f>IMSUM(IMDIV("1",COMPLEX(CX2_ESR,B85*CX2_ESL-1/(B85*CX2_C))),IMDIV("1",IMSUM(COMPLEX(DUMP2_R,0),COMPLEX(DUMP2_ESR,B85*DUMP2_ESL-1/(B85*DUMP2_C)))))</f>
        <v>0</v>
      </c>
      <c r="K85">
        <f>IMPRODUCT("2",IMDIV("1",IMSUM(IMDIV("1",COMPLEX(CMC_DCR,B85*CMC_L*(1-CMC_K))),COMPLEX(0,B85*CMC_CPA))))</f>
        <v>0</v>
      </c>
      <c r="L85">
        <f>IMSUM(COMPLEX(0,B85*CMC_CLINE),IMDIV("1",IMPRODUCT("2",COMPLEX(CY_ESR,B85*CY_ESL-1/(B85*CY_C)))),COMPLEX(1/DUMMY_R,0))</f>
        <v>0</v>
      </c>
      <c r="M85">
        <f>IMSUM(D85,IMDIV("1",C85))</f>
        <v>0</v>
      </c>
      <c r="N85">
        <f>IMDIV("1",IMSUM(E85,IMDIV("1",M85)))</f>
        <v>0</v>
      </c>
      <c r="O85">
        <f>IMSUM(F85,N85)</f>
        <v>0</v>
      </c>
      <c r="P85">
        <f>IMDIV("1",IMSUM(G85,IMDIV("1",O85)))</f>
        <v>0</v>
      </c>
      <c r="Q85">
        <f>IMSUM(H85,P85)</f>
        <v>0</v>
      </c>
      <c r="R85">
        <f>IMDIV("1",IMSUM(I85,IMDIV("1",Q85)))</f>
        <v>0</v>
      </c>
      <c r="S85">
        <f>IMSUM(J85,R85)</f>
        <v>0</v>
      </c>
      <c r="T85">
        <f>IMDIV("1",IMSUM(K85,IMDIV("1",S85)))</f>
        <v>0</v>
      </c>
      <c r="U85">
        <f>IMSUM(L85,T85)</f>
        <v>0</v>
      </c>
      <c r="V85">
        <f>IMDIV(COMPLEX(I_DM_SOURCE,0),U85)</f>
        <v>0</v>
      </c>
      <c r="W85">
        <f>IMPRODUCT(V85,T85)</f>
        <v>0</v>
      </c>
      <c r="X85">
        <f>IMDIV(W85,S85)</f>
        <v>0</v>
      </c>
      <c r="Y85">
        <f>IMPRODUCT(X85,R85)</f>
        <v>0</v>
      </c>
      <c r="Z85">
        <f>IMDIV(Y85,Q85)</f>
        <v>0</v>
      </c>
      <c r="AA85">
        <f>IMPRODUCT(Z85,P85)</f>
        <v>0</v>
      </c>
      <c r="AB85">
        <f>AA85</f>
        <v>0</v>
      </c>
      <c r="AC85">
        <f>IMPRODUCT("-1",AB85)</f>
        <v>0</v>
      </c>
      <c r="AD85">
        <f>IMDIV(IMSUB(AB85,AC85),"2")</f>
        <v>0</v>
      </c>
      <c r="AE85" s="6">
        <f>IMABS(AB85)</f>
        <v>0</v>
      </c>
      <c r="AF85" s="6">
        <f>IMABS(AC85)</f>
        <v>0</v>
      </c>
      <c r="AG85" s="6">
        <f>IMABS(AD85)</f>
        <v>0</v>
      </c>
      <c r="AH85" s="7">
        <f>20*LOG10(MAX(AE85,1E-300)*1E6)</f>
        <v>0</v>
      </c>
      <c r="AI85" s="7">
        <f>20*LOG10(MAX(AF85,1E-300)*1E6)</f>
        <v>0</v>
      </c>
      <c r="AJ85" s="7">
        <f>20*LOG10(MAX(AG85,1E-300)*1E6)</f>
        <v>0</v>
      </c>
      <c r="AK85" s="7">
        <f>DEGREES(IMARGUMENT(AB85))</f>
        <v>0</v>
      </c>
      <c r="AL85" s="7">
        <f>DEGREES(IMARGUMENT(AC85))</f>
        <v>0</v>
      </c>
      <c r="AM85" s="7">
        <f>DEGREES(IMARGUMENT(AD85))</f>
        <v>0</v>
      </c>
    </row>
    <row r="86" spans="1:39">
      <c r="A86" s="6">
        <f>10^(LOG10(F_START)+(ROW()-ROW($A$2))*(LOG10(F_STOP)-LOG10(F_START))/(N_POINTS-1))</f>
        <v>0</v>
      </c>
      <c r="B86" s="6">
        <f>2*PI()*A86</f>
        <v>0</v>
      </c>
      <c r="C86">
        <f>COMPLEX(2*LINE_PS_DCR,2*B86*LINE_PS_L)</f>
        <v>0</v>
      </c>
      <c r="D86">
        <f>IMSUM(COMPLEX(0,B86*(LINE_PS_CLINE+LINE_PS_CCHA/2)),IMDIV("1",IMPRODUCT("2",COMPLEX(C_THROUGH_ESR,B86*C_THROUGH_ESL-1/(B86*C_THROUGH_C)))))</f>
        <v>0</v>
      </c>
      <c r="E86">
        <f>COMPLEX(2*LINE_INPUT_DCR,2*B86*LINE_INPUT_L)</f>
        <v>0</v>
      </c>
      <c r="F86">
        <f>COMPLEX(0,B86*(LINE_INPUT_CLINE+LINE_INPUT_CCHA/2))</f>
        <v>0</v>
      </c>
      <c r="G86">
        <f>IMPRODUCT("2",IMDIV("1",IMSUM(IMDIV("1",COMPLEX(LDM1_DCR,B86*LDM1_L)),COMPLEX(0,B86*LDM1_CPA))))</f>
        <v>0</v>
      </c>
      <c r="H86">
        <f>IMSUM(IMDIV("1",COMPLEX(CX1_ESR,B86*CX1_ESL-1/(B86*CX1_C))),IMDIV("1",IMSUM(COMPLEX(DUMP1_R,0),COMPLEX(DUMP1_ESR,B86*DUMP1_ESL-1/(B86*DUMP1_C)))))</f>
        <v>0</v>
      </c>
      <c r="I86">
        <f>IMPRODUCT("2",IMDIV("1",IMSUM(IMDIV("1",COMPLEX(LDM2_DCR,B86*LDM2_L)),COMPLEX(0,B86*LDM2_CPA))))</f>
        <v>0</v>
      </c>
      <c r="J86">
        <f>IMSUM(IMDIV("1",COMPLEX(CX2_ESR,B86*CX2_ESL-1/(B86*CX2_C))),IMDIV("1",IMSUM(COMPLEX(DUMP2_R,0),COMPLEX(DUMP2_ESR,B86*DUMP2_ESL-1/(B86*DUMP2_C)))))</f>
        <v>0</v>
      </c>
      <c r="K86">
        <f>IMPRODUCT("2",IMDIV("1",IMSUM(IMDIV("1",COMPLEX(CMC_DCR,B86*CMC_L*(1-CMC_K))),COMPLEX(0,B86*CMC_CPA))))</f>
        <v>0</v>
      </c>
      <c r="L86">
        <f>IMSUM(COMPLEX(0,B86*CMC_CLINE),IMDIV("1",IMPRODUCT("2",COMPLEX(CY_ESR,B86*CY_ESL-1/(B86*CY_C)))),COMPLEX(1/DUMMY_R,0))</f>
        <v>0</v>
      </c>
      <c r="M86">
        <f>IMSUM(D86,IMDIV("1",C86))</f>
        <v>0</v>
      </c>
      <c r="N86">
        <f>IMDIV("1",IMSUM(E86,IMDIV("1",M86)))</f>
        <v>0</v>
      </c>
      <c r="O86">
        <f>IMSUM(F86,N86)</f>
        <v>0</v>
      </c>
      <c r="P86">
        <f>IMDIV("1",IMSUM(G86,IMDIV("1",O86)))</f>
        <v>0</v>
      </c>
      <c r="Q86">
        <f>IMSUM(H86,P86)</f>
        <v>0</v>
      </c>
      <c r="R86">
        <f>IMDIV("1",IMSUM(I86,IMDIV("1",Q86)))</f>
        <v>0</v>
      </c>
      <c r="S86">
        <f>IMSUM(J86,R86)</f>
        <v>0</v>
      </c>
      <c r="T86">
        <f>IMDIV("1",IMSUM(K86,IMDIV("1",S86)))</f>
        <v>0</v>
      </c>
      <c r="U86">
        <f>IMSUM(L86,T86)</f>
        <v>0</v>
      </c>
      <c r="V86">
        <f>IMDIV(COMPLEX(I_DM_SOURCE,0),U86)</f>
        <v>0</v>
      </c>
      <c r="W86">
        <f>IMPRODUCT(V86,T86)</f>
        <v>0</v>
      </c>
      <c r="X86">
        <f>IMDIV(W86,S86)</f>
        <v>0</v>
      </c>
      <c r="Y86">
        <f>IMPRODUCT(X86,R86)</f>
        <v>0</v>
      </c>
      <c r="Z86">
        <f>IMDIV(Y86,Q86)</f>
        <v>0</v>
      </c>
      <c r="AA86">
        <f>IMPRODUCT(Z86,P86)</f>
        <v>0</v>
      </c>
      <c r="AB86">
        <f>AA86</f>
        <v>0</v>
      </c>
      <c r="AC86">
        <f>IMPRODUCT("-1",AB86)</f>
        <v>0</v>
      </c>
      <c r="AD86">
        <f>IMDIV(IMSUB(AB86,AC86),"2")</f>
        <v>0</v>
      </c>
      <c r="AE86" s="6">
        <f>IMABS(AB86)</f>
        <v>0</v>
      </c>
      <c r="AF86" s="6">
        <f>IMABS(AC86)</f>
        <v>0</v>
      </c>
      <c r="AG86" s="6">
        <f>IMABS(AD86)</f>
        <v>0</v>
      </c>
      <c r="AH86" s="7">
        <f>20*LOG10(MAX(AE86,1E-300)*1E6)</f>
        <v>0</v>
      </c>
      <c r="AI86" s="7">
        <f>20*LOG10(MAX(AF86,1E-300)*1E6)</f>
        <v>0</v>
      </c>
      <c r="AJ86" s="7">
        <f>20*LOG10(MAX(AG86,1E-300)*1E6)</f>
        <v>0</v>
      </c>
      <c r="AK86" s="7">
        <f>DEGREES(IMARGUMENT(AB86))</f>
        <v>0</v>
      </c>
      <c r="AL86" s="7">
        <f>DEGREES(IMARGUMENT(AC86))</f>
        <v>0</v>
      </c>
      <c r="AM86" s="7">
        <f>DEGREES(IMARGUMENT(AD86))</f>
        <v>0</v>
      </c>
    </row>
    <row r="87" spans="1:39">
      <c r="A87" s="6">
        <f>10^(LOG10(F_START)+(ROW()-ROW($A$2))*(LOG10(F_STOP)-LOG10(F_START))/(N_POINTS-1))</f>
        <v>0</v>
      </c>
      <c r="B87" s="6">
        <f>2*PI()*A87</f>
        <v>0</v>
      </c>
      <c r="C87">
        <f>COMPLEX(2*LINE_PS_DCR,2*B87*LINE_PS_L)</f>
        <v>0</v>
      </c>
      <c r="D87">
        <f>IMSUM(COMPLEX(0,B87*(LINE_PS_CLINE+LINE_PS_CCHA/2)),IMDIV("1",IMPRODUCT("2",COMPLEX(C_THROUGH_ESR,B87*C_THROUGH_ESL-1/(B87*C_THROUGH_C)))))</f>
        <v>0</v>
      </c>
      <c r="E87">
        <f>COMPLEX(2*LINE_INPUT_DCR,2*B87*LINE_INPUT_L)</f>
        <v>0</v>
      </c>
      <c r="F87">
        <f>COMPLEX(0,B87*(LINE_INPUT_CLINE+LINE_INPUT_CCHA/2))</f>
        <v>0</v>
      </c>
      <c r="G87">
        <f>IMPRODUCT("2",IMDIV("1",IMSUM(IMDIV("1",COMPLEX(LDM1_DCR,B87*LDM1_L)),COMPLEX(0,B87*LDM1_CPA))))</f>
        <v>0</v>
      </c>
      <c r="H87">
        <f>IMSUM(IMDIV("1",COMPLEX(CX1_ESR,B87*CX1_ESL-1/(B87*CX1_C))),IMDIV("1",IMSUM(COMPLEX(DUMP1_R,0),COMPLEX(DUMP1_ESR,B87*DUMP1_ESL-1/(B87*DUMP1_C)))))</f>
        <v>0</v>
      </c>
      <c r="I87">
        <f>IMPRODUCT("2",IMDIV("1",IMSUM(IMDIV("1",COMPLEX(LDM2_DCR,B87*LDM2_L)),COMPLEX(0,B87*LDM2_CPA))))</f>
        <v>0</v>
      </c>
      <c r="J87">
        <f>IMSUM(IMDIV("1",COMPLEX(CX2_ESR,B87*CX2_ESL-1/(B87*CX2_C))),IMDIV("1",IMSUM(COMPLEX(DUMP2_R,0),COMPLEX(DUMP2_ESR,B87*DUMP2_ESL-1/(B87*DUMP2_C)))))</f>
        <v>0</v>
      </c>
      <c r="K87">
        <f>IMPRODUCT("2",IMDIV("1",IMSUM(IMDIV("1",COMPLEX(CMC_DCR,B87*CMC_L*(1-CMC_K))),COMPLEX(0,B87*CMC_CPA))))</f>
        <v>0</v>
      </c>
      <c r="L87">
        <f>IMSUM(COMPLEX(0,B87*CMC_CLINE),IMDIV("1",IMPRODUCT("2",COMPLEX(CY_ESR,B87*CY_ESL-1/(B87*CY_C)))),COMPLEX(1/DUMMY_R,0))</f>
        <v>0</v>
      </c>
      <c r="M87">
        <f>IMSUM(D87,IMDIV("1",C87))</f>
        <v>0</v>
      </c>
      <c r="N87">
        <f>IMDIV("1",IMSUM(E87,IMDIV("1",M87)))</f>
        <v>0</v>
      </c>
      <c r="O87">
        <f>IMSUM(F87,N87)</f>
        <v>0</v>
      </c>
      <c r="P87">
        <f>IMDIV("1",IMSUM(G87,IMDIV("1",O87)))</f>
        <v>0</v>
      </c>
      <c r="Q87">
        <f>IMSUM(H87,P87)</f>
        <v>0</v>
      </c>
      <c r="R87">
        <f>IMDIV("1",IMSUM(I87,IMDIV("1",Q87)))</f>
        <v>0</v>
      </c>
      <c r="S87">
        <f>IMSUM(J87,R87)</f>
        <v>0</v>
      </c>
      <c r="T87">
        <f>IMDIV("1",IMSUM(K87,IMDIV("1",S87)))</f>
        <v>0</v>
      </c>
      <c r="U87">
        <f>IMSUM(L87,T87)</f>
        <v>0</v>
      </c>
      <c r="V87">
        <f>IMDIV(COMPLEX(I_DM_SOURCE,0),U87)</f>
        <v>0</v>
      </c>
      <c r="W87">
        <f>IMPRODUCT(V87,T87)</f>
        <v>0</v>
      </c>
      <c r="X87">
        <f>IMDIV(W87,S87)</f>
        <v>0</v>
      </c>
      <c r="Y87">
        <f>IMPRODUCT(X87,R87)</f>
        <v>0</v>
      </c>
      <c r="Z87">
        <f>IMDIV(Y87,Q87)</f>
        <v>0</v>
      </c>
      <c r="AA87">
        <f>IMPRODUCT(Z87,P87)</f>
        <v>0</v>
      </c>
      <c r="AB87">
        <f>AA87</f>
        <v>0</v>
      </c>
      <c r="AC87">
        <f>IMPRODUCT("-1",AB87)</f>
        <v>0</v>
      </c>
      <c r="AD87">
        <f>IMDIV(IMSUB(AB87,AC87),"2")</f>
        <v>0</v>
      </c>
      <c r="AE87" s="6">
        <f>IMABS(AB87)</f>
        <v>0</v>
      </c>
      <c r="AF87" s="6">
        <f>IMABS(AC87)</f>
        <v>0</v>
      </c>
      <c r="AG87" s="6">
        <f>IMABS(AD87)</f>
        <v>0</v>
      </c>
      <c r="AH87" s="7">
        <f>20*LOG10(MAX(AE87,1E-300)*1E6)</f>
        <v>0</v>
      </c>
      <c r="AI87" s="7">
        <f>20*LOG10(MAX(AF87,1E-300)*1E6)</f>
        <v>0</v>
      </c>
      <c r="AJ87" s="7">
        <f>20*LOG10(MAX(AG87,1E-300)*1E6)</f>
        <v>0</v>
      </c>
      <c r="AK87" s="7">
        <f>DEGREES(IMARGUMENT(AB87))</f>
        <v>0</v>
      </c>
      <c r="AL87" s="7">
        <f>DEGREES(IMARGUMENT(AC87))</f>
        <v>0</v>
      </c>
      <c r="AM87" s="7">
        <f>DEGREES(IMARGUMENT(AD87))</f>
        <v>0</v>
      </c>
    </row>
    <row r="88" spans="1:39">
      <c r="A88" s="6">
        <f>10^(LOG10(F_START)+(ROW()-ROW($A$2))*(LOG10(F_STOP)-LOG10(F_START))/(N_POINTS-1))</f>
        <v>0</v>
      </c>
      <c r="B88" s="6">
        <f>2*PI()*A88</f>
        <v>0</v>
      </c>
      <c r="C88">
        <f>COMPLEX(2*LINE_PS_DCR,2*B88*LINE_PS_L)</f>
        <v>0</v>
      </c>
      <c r="D88">
        <f>IMSUM(COMPLEX(0,B88*(LINE_PS_CLINE+LINE_PS_CCHA/2)),IMDIV("1",IMPRODUCT("2",COMPLEX(C_THROUGH_ESR,B88*C_THROUGH_ESL-1/(B88*C_THROUGH_C)))))</f>
        <v>0</v>
      </c>
      <c r="E88">
        <f>COMPLEX(2*LINE_INPUT_DCR,2*B88*LINE_INPUT_L)</f>
        <v>0</v>
      </c>
      <c r="F88">
        <f>COMPLEX(0,B88*(LINE_INPUT_CLINE+LINE_INPUT_CCHA/2))</f>
        <v>0</v>
      </c>
      <c r="G88">
        <f>IMPRODUCT("2",IMDIV("1",IMSUM(IMDIV("1",COMPLEX(LDM1_DCR,B88*LDM1_L)),COMPLEX(0,B88*LDM1_CPA))))</f>
        <v>0</v>
      </c>
      <c r="H88">
        <f>IMSUM(IMDIV("1",COMPLEX(CX1_ESR,B88*CX1_ESL-1/(B88*CX1_C))),IMDIV("1",IMSUM(COMPLEX(DUMP1_R,0),COMPLEX(DUMP1_ESR,B88*DUMP1_ESL-1/(B88*DUMP1_C)))))</f>
        <v>0</v>
      </c>
      <c r="I88">
        <f>IMPRODUCT("2",IMDIV("1",IMSUM(IMDIV("1",COMPLEX(LDM2_DCR,B88*LDM2_L)),COMPLEX(0,B88*LDM2_CPA))))</f>
        <v>0</v>
      </c>
      <c r="J88">
        <f>IMSUM(IMDIV("1",COMPLEX(CX2_ESR,B88*CX2_ESL-1/(B88*CX2_C))),IMDIV("1",IMSUM(COMPLEX(DUMP2_R,0),COMPLEX(DUMP2_ESR,B88*DUMP2_ESL-1/(B88*DUMP2_C)))))</f>
        <v>0</v>
      </c>
      <c r="K88">
        <f>IMPRODUCT("2",IMDIV("1",IMSUM(IMDIV("1",COMPLEX(CMC_DCR,B88*CMC_L*(1-CMC_K))),COMPLEX(0,B88*CMC_CPA))))</f>
        <v>0</v>
      </c>
      <c r="L88">
        <f>IMSUM(COMPLEX(0,B88*CMC_CLINE),IMDIV("1",IMPRODUCT("2",COMPLEX(CY_ESR,B88*CY_ESL-1/(B88*CY_C)))),COMPLEX(1/DUMMY_R,0))</f>
        <v>0</v>
      </c>
      <c r="M88">
        <f>IMSUM(D88,IMDIV("1",C88))</f>
        <v>0</v>
      </c>
      <c r="N88">
        <f>IMDIV("1",IMSUM(E88,IMDIV("1",M88)))</f>
        <v>0</v>
      </c>
      <c r="O88">
        <f>IMSUM(F88,N88)</f>
        <v>0</v>
      </c>
      <c r="P88">
        <f>IMDIV("1",IMSUM(G88,IMDIV("1",O88)))</f>
        <v>0</v>
      </c>
      <c r="Q88">
        <f>IMSUM(H88,P88)</f>
        <v>0</v>
      </c>
      <c r="R88">
        <f>IMDIV("1",IMSUM(I88,IMDIV("1",Q88)))</f>
        <v>0</v>
      </c>
      <c r="S88">
        <f>IMSUM(J88,R88)</f>
        <v>0</v>
      </c>
      <c r="T88">
        <f>IMDIV("1",IMSUM(K88,IMDIV("1",S88)))</f>
        <v>0</v>
      </c>
      <c r="U88">
        <f>IMSUM(L88,T88)</f>
        <v>0</v>
      </c>
      <c r="V88">
        <f>IMDIV(COMPLEX(I_DM_SOURCE,0),U88)</f>
        <v>0</v>
      </c>
      <c r="W88">
        <f>IMPRODUCT(V88,T88)</f>
        <v>0</v>
      </c>
      <c r="X88">
        <f>IMDIV(W88,S88)</f>
        <v>0</v>
      </c>
      <c r="Y88">
        <f>IMPRODUCT(X88,R88)</f>
        <v>0</v>
      </c>
      <c r="Z88">
        <f>IMDIV(Y88,Q88)</f>
        <v>0</v>
      </c>
      <c r="AA88">
        <f>IMPRODUCT(Z88,P88)</f>
        <v>0</v>
      </c>
      <c r="AB88">
        <f>AA88</f>
        <v>0</v>
      </c>
      <c r="AC88">
        <f>IMPRODUCT("-1",AB88)</f>
        <v>0</v>
      </c>
      <c r="AD88">
        <f>IMDIV(IMSUB(AB88,AC88),"2")</f>
        <v>0</v>
      </c>
      <c r="AE88" s="6">
        <f>IMABS(AB88)</f>
        <v>0</v>
      </c>
      <c r="AF88" s="6">
        <f>IMABS(AC88)</f>
        <v>0</v>
      </c>
      <c r="AG88" s="6">
        <f>IMABS(AD88)</f>
        <v>0</v>
      </c>
      <c r="AH88" s="7">
        <f>20*LOG10(MAX(AE88,1E-300)*1E6)</f>
        <v>0</v>
      </c>
      <c r="AI88" s="7">
        <f>20*LOG10(MAX(AF88,1E-300)*1E6)</f>
        <v>0</v>
      </c>
      <c r="AJ88" s="7">
        <f>20*LOG10(MAX(AG88,1E-300)*1E6)</f>
        <v>0</v>
      </c>
      <c r="AK88" s="7">
        <f>DEGREES(IMARGUMENT(AB88))</f>
        <v>0</v>
      </c>
      <c r="AL88" s="7">
        <f>DEGREES(IMARGUMENT(AC88))</f>
        <v>0</v>
      </c>
      <c r="AM88" s="7">
        <f>DEGREES(IMARGUMENT(AD88))</f>
        <v>0</v>
      </c>
    </row>
    <row r="89" spans="1:39">
      <c r="A89" s="6">
        <f>10^(LOG10(F_START)+(ROW()-ROW($A$2))*(LOG10(F_STOP)-LOG10(F_START))/(N_POINTS-1))</f>
        <v>0</v>
      </c>
      <c r="B89" s="6">
        <f>2*PI()*A89</f>
        <v>0</v>
      </c>
      <c r="C89">
        <f>COMPLEX(2*LINE_PS_DCR,2*B89*LINE_PS_L)</f>
        <v>0</v>
      </c>
      <c r="D89">
        <f>IMSUM(COMPLEX(0,B89*(LINE_PS_CLINE+LINE_PS_CCHA/2)),IMDIV("1",IMPRODUCT("2",COMPLEX(C_THROUGH_ESR,B89*C_THROUGH_ESL-1/(B89*C_THROUGH_C)))))</f>
        <v>0</v>
      </c>
      <c r="E89">
        <f>COMPLEX(2*LINE_INPUT_DCR,2*B89*LINE_INPUT_L)</f>
        <v>0</v>
      </c>
      <c r="F89">
        <f>COMPLEX(0,B89*(LINE_INPUT_CLINE+LINE_INPUT_CCHA/2))</f>
        <v>0</v>
      </c>
      <c r="G89">
        <f>IMPRODUCT("2",IMDIV("1",IMSUM(IMDIV("1",COMPLEX(LDM1_DCR,B89*LDM1_L)),COMPLEX(0,B89*LDM1_CPA))))</f>
        <v>0</v>
      </c>
      <c r="H89">
        <f>IMSUM(IMDIV("1",COMPLEX(CX1_ESR,B89*CX1_ESL-1/(B89*CX1_C))),IMDIV("1",IMSUM(COMPLEX(DUMP1_R,0),COMPLEX(DUMP1_ESR,B89*DUMP1_ESL-1/(B89*DUMP1_C)))))</f>
        <v>0</v>
      </c>
      <c r="I89">
        <f>IMPRODUCT("2",IMDIV("1",IMSUM(IMDIV("1",COMPLEX(LDM2_DCR,B89*LDM2_L)),COMPLEX(0,B89*LDM2_CPA))))</f>
        <v>0</v>
      </c>
      <c r="J89">
        <f>IMSUM(IMDIV("1",COMPLEX(CX2_ESR,B89*CX2_ESL-1/(B89*CX2_C))),IMDIV("1",IMSUM(COMPLEX(DUMP2_R,0),COMPLEX(DUMP2_ESR,B89*DUMP2_ESL-1/(B89*DUMP2_C)))))</f>
        <v>0</v>
      </c>
      <c r="K89">
        <f>IMPRODUCT("2",IMDIV("1",IMSUM(IMDIV("1",COMPLEX(CMC_DCR,B89*CMC_L*(1-CMC_K))),COMPLEX(0,B89*CMC_CPA))))</f>
        <v>0</v>
      </c>
      <c r="L89">
        <f>IMSUM(COMPLEX(0,B89*CMC_CLINE),IMDIV("1",IMPRODUCT("2",COMPLEX(CY_ESR,B89*CY_ESL-1/(B89*CY_C)))),COMPLEX(1/DUMMY_R,0))</f>
        <v>0</v>
      </c>
      <c r="M89">
        <f>IMSUM(D89,IMDIV("1",C89))</f>
        <v>0</v>
      </c>
      <c r="N89">
        <f>IMDIV("1",IMSUM(E89,IMDIV("1",M89)))</f>
        <v>0</v>
      </c>
      <c r="O89">
        <f>IMSUM(F89,N89)</f>
        <v>0</v>
      </c>
      <c r="P89">
        <f>IMDIV("1",IMSUM(G89,IMDIV("1",O89)))</f>
        <v>0</v>
      </c>
      <c r="Q89">
        <f>IMSUM(H89,P89)</f>
        <v>0</v>
      </c>
      <c r="R89">
        <f>IMDIV("1",IMSUM(I89,IMDIV("1",Q89)))</f>
        <v>0</v>
      </c>
      <c r="S89">
        <f>IMSUM(J89,R89)</f>
        <v>0</v>
      </c>
      <c r="T89">
        <f>IMDIV("1",IMSUM(K89,IMDIV("1",S89)))</f>
        <v>0</v>
      </c>
      <c r="U89">
        <f>IMSUM(L89,T89)</f>
        <v>0</v>
      </c>
      <c r="V89">
        <f>IMDIV(COMPLEX(I_DM_SOURCE,0),U89)</f>
        <v>0</v>
      </c>
      <c r="W89">
        <f>IMPRODUCT(V89,T89)</f>
        <v>0</v>
      </c>
      <c r="X89">
        <f>IMDIV(W89,S89)</f>
        <v>0</v>
      </c>
      <c r="Y89">
        <f>IMPRODUCT(X89,R89)</f>
        <v>0</v>
      </c>
      <c r="Z89">
        <f>IMDIV(Y89,Q89)</f>
        <v>0</v>
      </c>
      <c r="AA89">
        <f>IMPRODUCT(Z89,P89)</f>
        <v>0</v>
      </c>
      <c r="AB89">
        <f>AA89</f>
        <v>0</v>
      </c>
      <c r="AC89">
        <f>IMPRODUCT("-1",AB89)</f>
        <v>0</v>
      </c>
      <c r="AD89">
        <f>IMDIV(IMSUB(AB89,AC89),"2")</f>
        <v>0</v>
      </c>
      <c r="AE89" s="6">
        <f>IMABS(AB89)</f>
        <v>0</v>
      </c>
      <c r="AF89" s="6">
        <f>IMABS(AC89)</f>
        <v>0</v>
      </c>
      <c r="AG89" s="6">
        <f>IMABS(AD89)</f>
        <v>0</v>
      </c>
      <c r="AH89" s="7">
        <f>20*LOG10(MAX(AE89,1E-300)*1E6)</f>
        <v>0</v>
      </c>
      <c r="AI89" s="7">
        <f>20*LOG10(MAX(AF89,1E-300)*1E6)</f>
        <v>0</v>
      </c>
      <c r="AJ89" s="7">
        <f>20*LOG10(MAX(AG89,1E-300)*1E6)</f>
        <v>0</v>
      </c>
      <c r="AK89" s="7">
        <f>DEGREES(IMARGUMENT(AB89))</f>
        <v>0</v>
      </c>
      <c r="AL89" s="7">
        <f>DEGREES(IMARGUMENT(AC89))</f>
        <v>0</v>
      </c>
      <c r="AM89" s="7">
        <f>DEGREES(IMARGUMENT(AD89))</f>
        <v>0</v>
      </c>
    </row>
    <row r="90" spans="1:39">
      <c r="A90" s="6">
        <f>10^(LOG10(F_START)+(ROW()-ROW($A$2))*(LOG10(F_STOP)-LOG10(F_START))/(N_POINTS-1))</f>
        <v>0</v>
      </c>
      <c r="B90" s="6">
        <f>2*PI()*A90</f>
        <v>0</v>
      </c>
      <c r="C90">
        <f>COMPLEX(2*LINE_PS_DCR,2*B90*LINE_PS_L)</f>
        <v>0</v>
      </c>
      <c r="D90">
        <f>IMSUM(COMPLEX(0,B90*(LINE_PS_CLINE+LINE_PS_CCHA/2)),IMDIV("1",IMPRODUCT("2",COMPLEX(C_THROUGH_ESR,B90*C_THROUGH_ESL-1/(B90*C_THROUGH_C)))))</f>
        <v>0</v>
      </c>
      <c r="E90">
        <f>COMPLEX(2*LINE_INPUT_DCR,2*B90*LINE_INPUT_L)</f>
        <v>0</v>
      </c>
      <c r="F90">
        <f>COMPLEX(0,B90*(LINE_INPUT_CLINE+LINE_INPUT_CCHA/2))</f>
        <v>0</v>
      </c>
      <c r="G90">
        <f>IMPRODUCT("2",IMDIV("1",IMSUM(IMDIV("1",COMPLEX(LDM1_DCR,B90*LDM1_L)),COMPLEX(0,B90*LDM1_CPA))))</f>
        <v>0</v>
      </c>
      <c r="H90">
        <f>IMSUM(IMDIV("1",COMPLEX(CX1_ESR,B90*CX1_ESL-1/(B90*CX1_C))),IMDIV("1",IMSUM(COMPLEX(DUMP1_R,0),COMPLEX(DUMP1_ESR,B90*DUMP1_ESL-1/(B90*DUMP1_C)))))</f>
        <v>0</v>
      </c>
      <c r="I90">
        <f>IMPRODUCT("2",IMDIV("1",IMSUM(IMDIV("1",COMPLEX(LDM2_DCR,B90*LDM2_L)),COMPLEX(0,B90*LDM2_CPA))))</f>
        <v>0</v>
      </c>
      <c r="J90">
        <f>IMSUM(IMDIV("1",COMPLEX(CX2_ESR,B90*CX2_ESL-1/(B90*CX2_C))),IMDIV("1",IMSUM(COMPLEX(DUMP2_R,0),COMPLEX(DUMP2_ESR,B90*DUMP2_ESL-1/(B90*DUMP2_C)))))</f>
        <v>0</v>
      </c>
      <c r="K90">
        <f>IMPRODUCT("2",IMDIV("1",IMSUM(IMDIV("1",COMPLEX(CMC_DCR,B90*CMC_L*(1-CMC_K))),COMPLEX(0,B90*CMC_CPA))))</f>
        <v>0</v>
      </c>
      <c r="L90">
        <f>IMSUM(COMPLEX(0,B90*CMC_CLINE),IMDIV("1",IMPRODUCT("2",COMPLEX(CY_ESR,B90*CY_ESL-1/(B90*CY_C)))),COMPLEX(1/DUMMY_R,0))</f>
        <v>0</v>
      </c>
      <c r="M90">
        <f>IMSUM(D90,IMDIV("1",C90))</f>
        <v>0</v>
      </c>
      <c r="N90">
        <f>IMDIV("1",IMSUM(E90,IMDIV("1",M90)))</f>
        <v>0</v>
      </c>
      <c r="O90">
        <f>IMSUM(F90,N90)</f>
        <v>0</v>
      </c>
      <c r="P90">
        <f>IMDIV("1",IMSUM(G90,IMDIV("1",O90)))</f>
        <v>0</v>
      </c>
      <c r="Q90">
        <f>IMSUM(H90,P90)</f>
        <v>0</v>
      </c>
      <c r="R90">
        <f>IMDIV("1",IMSUM(I90,IMDIV("1",Q90)))</f>
        <v>0</v>
      </c>
      <c r="S90">
        <f>IMSUM(J90,R90)</f>
        <v>0</v>
      </c>
      <c r="T90">
        <f>IMDIV("1",IMSUM(K90,IMDIV("1",S90)))</f>
        <v>0</v>
      </c>
      <c r="U90">
        <f>IMSUM(L90,T90)</f>
        <v>0</v>
      </c>
      <c r="V90">
        <f>IMDIV(COMPLEX(I_DM_SOURCE,0),U90)</f>
        <v>0</v>
      </c>
      <c r="W90">
        <f>IMPRODUCT(V90,T90)</f>
        <v>0</v>
      </c>
      <c r="X90">
        <f>IMDIV(W90,S90)</f>
        <v>0</v>
      </c>
      <c r="Y90">
        <f>IMPRODUCT(X90,R90)</f>
        <v>0</v>
      </c>
      <c r="Z90">
        <f>IMDIV(Y90,Q90)</f>
        <v>0</v>
      </c>
      <c r="AA90">
        <f>IMPRODUCT(Z90,P90)</f>
        <v>0</v>
      </c>
      <c r="AB90">
        <f>AA90</f>
        <v>0</v>
      </c>
      <c r="AC90">
        <f>IMPRODUCT("-1",AB90)</f>
        <v>0</v>
      </c>
      <c r="AD90">
        <f>IMDIV(IMSUB(AB90,AC90),"2")</f>
        <v>0</v>
      </c>
      <c r="AE90" s="6">
        <f>IMABS(AB90)</f>
        <v>0</v>
      </c>
      <c r="AF90" s="6">
        <f>IMABS(AC90)</f>
        <v>0</v>
      </c>
      <c r="AG90" s="6">
        <f>IMABS(AD90)</f>
        <v>0</v>
      </c>
      <c r="AH90" s="7">
        <f>20*LOG10(MAX(AE90,1E-300)*1E6)</f>
        <v>0</v>
      </c>
      <c r="AI90" s="7">
        <f>20*LOG10(MAX(AF90,1E-300)*1E6)</f>
        <v>0</v>
      </c>
      <c r="AJ90" s="7">
        <f>20*LOG10(MAX(AG90,1E-300)*1E6)</f>
        <v>0</v>
      </c>
      <c r="AK90" s="7">
        <f>DEGREES(IMARGUMENT(AB90))</f>
        <v>0</v>
      </c>
      <c r="AL90" s="7">
        <f>DEGREES(IMARGUMENT(AC90))</f>
        <v>0</v>
      </c>
      <c r="AM90" s="7">
        <f>DEGREES(IMARGUMENT(AD90))</f>
        <v>0</v>
      </c>
    </row>
    <row r="91" spans="1:39">
      <c r="A91" s="6">
        <f>10^(LOG10(F_START)+(ROW()-ROW($A$2))*(LOG10(F_STOP)-LOG10(F_START))/(N_POINTS-1))</f>
        <v>0</v>
      </c>
      <c r="B91" s="6">
        <f>2*PI()*A91</f>
        <v>0</v>
      </c>
      <c r="C91">
        <f>COMPLEX(2*LINE_PS_DCR,2*B91*LINE_PS_L)</f>
        <v>0</v>
      </c>
      <c r="D91">
        <f>IMSUM(COMPLEX(0,B91*(LINE_PS_CLINE+LINE_PS_CCHA/2)),IMDIV("1",IMPRODUCT("2",COMPLEX(C_THROUGH_ESR,B91*C_THROUGH_ESL-1/(B91*C_THROUGH_C)))))</f>
        <v>0</v>
      </c>
      <c r="E91">
        <f>COMPLEX(2*LINE_INPUT_DCR,2*B91*LINE_INPUT_L)</f>
        <v>0</v>
      </c>
      <c r="F91">
        <f>COMPLEX(0,B91*(LINE_INPUT_CLINE+LINE_INPUT_CCHA/2))</f>
        <v>0</v>
      </c>
      <c r="G91">
        <f>IMPRODUCT("2",IMDIV("1",IMSUM(IMDIV("1",COMPLEX(LDM1_DCR,B91*LDM1_L)),COMPLEX(0,B91*LDM1_CPA))))</f>
        <v>0</v>
      </c>
      <c r="H91">
        <f>IMSUM(IMDIV("1",COMPLEX(CX1_ESR,B91*CX1_ESL-1/(B91*CX1_C))),IMDIV("1",IMSUM(COMPLEX(DUMP1_R,0),COMPLEX(DUMP1_ESR,B91*DUMP1_ESL-1/(B91*DUMP1_C)))))</f>
        <v>0</v>
      </c>
      <c r="I91">
        <f>IMPRODUCT("2",IMDIV("1",IMSUM(IMDIV("1",COMPLEX(LDM2_DCR,B91*LDM2_L)),COMPLEX(0,B91*LDM2_CPA))))</f>
        <v>0</v>
      </c>
      <c r="J91">
        <f>IMSUM(IMDIV("1",COMPLEX(CX2_ESR,B91*CX2_ESL-1/(B91*CX2_C))),IMDIV("1",IMSUM(COMPLEX(DUMP2_R,0),COMPLEX(DUMP2_ESR,B91*DUMP2_ESL-1/(B91*DUMP2_C)))))</f>
        <v>0</v>
      </c>
      <c r="K91">
        <f>IMPRODUCT("2",IMDIV("1",IMSUM(IMDIV("1",COMPLEX(CMC_DCR,B91*CMC_L*(1-CMC_K))),COMPLEX(0,B91*CMC_CPA))))</f>
        <v>0</v>
      </c>
      <c r="L91">
        <f>IMSUM(COMPLEX(0,B91*CMC_CLINE),IMDIV("1",IMPRODUCT("2",COMPLEX(CY_ESR,B91*CY_ESL-1/(B91*CY_C)))),COMPLEX(1/DUMMY_R,0))</f>
        <v>0</v>
      </c>
      <c r="M91">
        <f>IMSUM(D91,IMDIV("1",C91))</f>
        <v>0</v>
      </c>
      <c r="N91">
        <f>IMDIV("1",IMSUM(E91,IMDIV("1",M91)))</f>
        <v>0</v>
      </c>
      <c r="O91">
        <f>IMSUM(F91,N91)</f>
        <v>0</v>
      </c>
      <c r="P91">
        <f>IMDIV("1",IMSUM(G91,IMDIV("1",O91)))</f>
        <v>0</v>
      </c>
      <c r="Q91">
        <f>IMSUM(H91,P91)</f>
        <v>0</v>
      </c>
      <c r="R91">
        <f>IMDIV("1",IMSUM(I91,IMDIV("1",Q91)))</f>
        <v>0</v>
      </c>
      <c r="S91">
        <f>IMSUM(J91,R91)</f>
        <v>0</v>
      </c>
      <c r="T91">
        <f>IMDIV("1",IMSUM(K91,IMDIV("1",S91)))</f>
        <v>0</v>
      </c>
      <c r="U91">
        <f>IMSUM(L91,T91)</f>
        <v>0</v>
      </c>
      <c r="V91">
        <f>IMDIV(COMPLEX(I_DM_SOURCE,0),U91)</f>
        <v>0</v>
      </c>
      <c r="W91">
        <f>IMPRODUCT(V91,T91)</f>
        <v>0</v>
      </c>
      <c r="X91">
        <f>IMDIV(W91,S91)</f>
        <v>0</v>
      </c>
      <c r="Y91">
        <f>IMPRODUCT(X91,R91)</f>
        <v>0</v>
      </c>
      <c r="Z91">
        <f>IMDIV(Y91,Q91)</f>
        <v>0</v>
      </c>
      <c r="AA91">
        <f>IMPRODUCT(Z91,P91)</f>
        <v>0</v>
      </c>
      <c r="AB91">
        <f>AA91</f>
        <v>0</v>
      </c>
      <c r="AC91">
        <f>IMPRODUCT("-1",AB91)</f>
        <v>0</v>
      </c>
      <c r="AD91">
        <f>IMDIV(IMSUB(AB91,AC91),"2")</f>
        <v>0</v>
      </c>
      <c r="AE91" s="6">
        <f>IMABS(AB91)</f>
        <v>0</v>
      </c>
      <c r="AF91" s="6">
        <f>IMABS(AC91)</f>
        <v>0</v>
      </c>
      <c r="AG91" s="6">
        <f>IMABS(AD91)</f>
        <v>0</v>
      </c>
      <c r="AH91" s="7">
        <f>20*LOG10(MAX(AE91,1E-300)*1E6)</f>
        <v>0</v>
      </c>
      <c r="AI91" s="7">
        <f>20*LOG10(MAX(AF91,1E-300)*1E6)</f>
        <v>0</v>
      </c>
      <c r="AJ91" s="7">
        <f>20*LOG10(MAX(AG91,1E-300)*1E6)</f>
        <v>0</v>
      </c>
      <c r="AK91" s="7">
        <f>DEGREES(IMARGUMENT(AB91))</f>
        <v>0</v>
      </c>
      <c r="AL91" s="7">
        <f>DEGREES(IMARGUMENT(AC91))</f>
        <v>0</v>
      </c>
      <c r="AM91" s="7">
        <f>DEGREES(IMARGUMENT(AD91))</f>
        <v>0</v>
      </c>
    </row>
    <row r="92" spans="1:39">
      <c r="A92" s="6">
        <f>10^(LOG10(F_START)+(ROW()-ROW($A$2))*(LOG10(F_STOP)-LOG10(F_START))/(N_POINTS-1))</f>
        <v>0</v>
      </c>
      <c r="B92" s="6">
        <f>2*PI()*A92</f>
        <v>0</v>
      </c>
      <c r="C92">
        <f>COMPLEX(2*LINE_PS_DCR,2*B92*LINE_PS_L)</f>
        <v>0</v>
      </c>
      <c r="D92">
        <f>IMSUM(COMPLEX(0,B92*(LINE_PS_CLINE+LINE_PS_CCHA/2)),IMDIV("1",IMPRODUCT("2",COMPLEX(C_THROUGH_ESR,B92*C_THROUGH_ESL-1/(B92*C_THROUGH_C)))))</f>
        <v>0</v>
      </c>
      <c r="E92">
        <f>COMPLEX(2*LINE_INPUT_DCR,2*B92*LINE_INPUT_L)</f>
        <v>0</v>
      </c>
      <c r="F92">
        <f>COMPLEX(0,B92*(LINE_INPUT_CLINE+LINE_INPUT_CCHA/2))</f>
        <v>0</v>
      </c>
      <c r="G92">
        <f>IMPRODUCT("2",IMDIV("1",IMSUM(IMDIV("1",COMPLEX(LDM1_DCR,B92*LDM1_L)),COMPLEX(0,B92*LDM1_CPA))))</f>
        <v>0</v>
      </c>
      <c r="H92">
        <f>IMSUM(IMDIV("1",COMPLEX(CX1_ESR,B92*CX1_ESL-1/(B92*CX1_C))),IMDIV("1",IMSUM(COMPLEX(DUMP1_R,0),COMPLEX(DUMP1_ESR,B92*DUMP1_ESL-1/(B92*DUMP1_C)))))</f>
        <v>0</v>
      </c>
      <c r="I92">
        <f>IMPRODUCT("2",IMDIV("1",IMSUM(IMDIV("1",COMPLEX(LDM2_DCR,B92*LDM2_L)),COMPLEX(0,B92*LDM2_CPA))))</f>
        <v>0</v>
      </c>
      <c r="J92">
        <f>IMSUM(IMDIV("1",COMPLEX(CX2_ESR,B92*CX2_ESL-1/(B92*CX2_C))),IMDIV("1",IMSUM(COMPLEX(DUMP2_R,0),COMPLEX(DUMP2_ESR,B92*DUMP2_ESL-1/(B92*DUMP2_C)))))</f>
        <v>0</v>
      </c>
      <c r="K92">
        <f>IMPRODUCT("2",IMDIV("1",IMSUM(IMDIV("1",COMPLEX(CMC_DCR,B92*CMC_L*(1-CMC_K))),COMPLEX(0,B92*CMC_CPA))))</f>
        <v>0</v>
      </c>
      <c r="L92">
        <f>IMSUM(COMPLEX(0,B92*CMC_CLINE),IMDIV("1",IMPRODUCT("2",COMPLEX(CY_ESR,B92*CY_ESL-1/(B92*CY_C)))),COMPLEX(1/DUMMY_R,0))</f>
        <v>0</v>
      </c>
      <c r="M92">
        <f>IMSUM(D92,IMDIV("1",C92))</f>
        <v>0</v>
      </c>
      <c r="N92">
        <f>IMDIV("1",IMSUM(E92,IMDIV("1",M92)))</f>
        <v>0</v>
      </c>
      <c r="O92">
        <f>IMSUM(F92,N92)</f>
        <v>0</v>
      </c>
      <c r="P92">
        <f>IMDIV("1",IMSUM(G92,IMDIV("1",O92)))</f>
        <v>0</v>
      </c>
      <c r="Q92">
        <f>IMSUM(H92,P92)</f>
        <v>0</v>
      </c>
      <c r="R92">
        <f>IMDIV("1",IMSUM(I92,IMDIV("1",Q92)))</f>
        <v>0</v>
      </c>
      <c r="S92">
        <f>IMSUM(J92,R92)</f>
        <v>0</v>
      </c>
      <c r="T92">
        <f>IMDIV("1",IMSUM(K92,IMDIV("1",S92)))</f>
        <v>0</v>
      </c>
      <c r="U92">
        <f>IMSUM(L92,T92)</f>
        <v>0</v>
      </c>
      <c r="V92">
        <f>IMDIV(COMPLEX(I_DM_SOURCE,0),U92)</f>
        <v>0</v>
      </c>
      <c r="W92">
        <f>IMPRODUCT(V92,T92)</f>
        <v>0</v>
      </c>
      <c r="X92">
        <f>IMDIV(W92,S92)</f>
        <v>0</v>
      </c>
      <c r="Y92">
        <f>IMPRODUCT(X92,R92)</f>
        <v>0</v>
      </c>
      <c r="Z92">
        <f>IMDIV(Y92,Q92)</f>
        <v>0</v>
      </c>
      <c r="AA92">
        <f>IMPRODUCT(Z92,P92)</f>
        <v>0</v>
      </c>
      <c r="AB92">
        <f>AA92</f>
        <v>0</v>
      </c>
      <c r="AC92">
        <f>IMPRODUCT("-1",AB92)</f>
        <v>0</v>
      </c>
      <c r="AD92">
        <f>IMDIV(IMSUB(AB92,AC92),"2")</f>
        <v>0</v>
      </c>
      <c r="AE92" s="6">
        <f>IMABS(AB92)</f>
        <v>0</v>
      </c>
      <c r="AF92" s="6">
        <f>IMABS(AC92)</f>
        <v>0</v>
      </c>
      <c r="AG92" s="6">
        <f>IMABS(AD92)</f>
        <v>0</v>
      </c>
      <c r="AH92" s="7">
        <f>20*LOG10(MAX(AE92,1E-300)*1E6)</f>
        <v>0</v>
      </c>
      <c r="AI92" s="7">
        <f>20*LOG10(MAX(AF92,1E-300)*1E6)</f>
        <v>0</v>
      </c>
      <c r="AJ92" s="7">
        <f>20*LOG10(MAX(AG92,1E-300)*1E6)</f>
        <v>0</v>
      </c>
      <c r="AK92" s="7">
        <f>DEGREES(IMARGUMENT(AB92))</f>
        <v>0</v>
      </c>
      <c r="AL92" s="7">
        <f>DEGREES(IMARGUMENT(AC92))</f>
        <v>0</v>
      </c>
      <c r="AM92" s="7">
        <f>DEGREES(IMARGUMENT(AD92))</f>
        <v>0</v>
      </c>
    </row>
    <row r="93" spans="1:39">
      <c r="A93" s="6">
        <f>10^(LOG10(F_START)+(ROW()-ROW($A$2))*(LOG10(F_STOP)-LOG10(F_START))/(N_POINTS-1))</f>
        <v>0</v>
      </c>
      <c r="B93" s="6">
        <f>2*PI()*A93</f>
        <v>0</v>
      </c>
      <c r="C93">
        <f>COMPLEX(2*LINE_PS_DCR,2*B93*LINE_PS_L)</f>
        <v>0</v>
      </c>
      <c r="D93">
        <f>IMSUM(COMPLEX(0,B93*(LINE_PS_CLINE+LINE_PS_CCHA/2)),IMDIV("1",IMPRODUCT("2",COMPLEX(C_THROUGH_ESR,B93*C_THROUGH_ESL-1/(B93*C_THROUGH_C)))))</f>
        <v>0</v>
      </c>
      <c r="E93">
        <f>COMPLEX(2*LINE_INPUT_DCR,2*B93*LINE_INPUT_L)</f>
        <v>0</v>
      </c>
      <c r="F93">
        <f>COMPLEX(0,B93*(LINE_INPUT_CLINE+LINE_INPUT_CCHA/2))</f>
        <v>0</v>
      </c>
      <c r="G93">
        <f>IMPRODUCT("2",IMDIV("1",IMSUM(IMDIV("1",COMPLEX(LDM1_DCR,B93*LDM1_L)),COMPLEX(0,B93*LDM1_CPA))))</f>
        <v>0</v>
      </c>
      <c r="H93">
        <f>IMSUM(IMDIV("1",COMPLEX(CX1_ESR,B93*CX1_ESL-1/(B93*CX1_C))),IMDIV("1",IMSUM(COMPLEX(DUMP1_R,0),COMPLEX(DUMP1_ESR,B93*DUMP1_ESL-1/(B93*DUMP1_C)))))</f>
        <v>0</v>
      </c>
      <c r="I93">
        <f>IMPRODUCT("2",IMDIV("1",IMSUM(IMDIV("1",COMPLEX(LDM2_DCR,B93*LDM2_L)),COMPLEX(0,B93*LDM2_CPA))))</f>
        <v>0</v>
      </c>
      <c r="J93">
        <f>IMSUM(IMDIV("1",COMPLEX(CX2_ESR,B93*CX2_ESL-1/(B93*CX2_C))),IMDIV("1",IMSUM(COMPLEX(DUMP2_R,0),COMPLEX(DUMP2_ESR,B93*DUMP2_ESL-1/(B93*DUMP2_C)))))</f>
        <v>0</v>
      </c>
      <c r="K93">
        <f>IMPRODUCT("2",IMDIV("1",IMSUM(IMDIV("1",COMPLEX(CMC_DCR,B93*CMC_L*(1-CMC_K))),COMPLEX(0,B93*CMC_CPA))))</f>
        <v>0</v>
      </c>
      <c r="L93">
        <f>IMSUM(COMPLEX(0,B93*CMC_CLINE),IMDIV("1",IMPRODUCT("2",COMPLEX(CY_ESR,B93*CY_ESL-1/(B93*CY_C)))),COMPLEX(1/DUMMY_R,0))</f>
        <v>0</v>
      </c>
      <c r="M93">
        <f>IMSUM(D93,IMDIV("1",C93))</f>
        <v>0</v>
      </c>
      <c r="N93">
        <f>IMDIV("1",IMSUM(E93,IMDIV("1",M93)))</f>
        <v>0</v>
      </c>
      <c r="O93">
        <f>IMSUM(F93,N93)</f>
        <v>0</v>
      </c>
      <c r="P93">
        <f>IMDIV("1",IMSUM(G93,IMDIV("1",O93)))</f>
        <v>0</v>
      </c>
      <c r="Q93">
        <f>IMSUM(H93,P93)</f>
        <v>0</v>
      </c>
      <c r="R93">
        <f>IMDIV("1",IMSUM(I93,IMDIV("1",Q93)))</f>
        <v>0</v>
      </c>
      <c r="S93">
        <f>IMSUM(J93,R93)</f>
        <v>0</v>
      </c>
      <c r="T93">
        <f>IMDIV("1",IMSUM(K93,IMDIV("1",S93)))</f>
        <v>0</v>
      </c>
      <c r="U93">
        <f>IMSUM(L93,T93)</f>
        <v>0</v>
      </c>
      <c r="V93">
        <f>IMDIV(COMPLEX(I_DM_SOURCE,0),U93)</f>
        <v>0</v>
      </c>
      <c r="W93">
        <f>IMPRODUCT(V93,T93)</f>
        <v>0</v>
      </c>
      <c r="X93">
        <f>IMDIV(W93,S93)</f>
        <v>0</v>
      </c>
      <c r="Y93">
        <f>IMPRODUCT(X93,R93)</f>
        <v>0</v>
      </c>
      <c r="Z93">
        <f>IMDIV(Y93,Q93)</f>
        <v>0</v>
      </c>
      <c r="AA93">
        <f>IMPRODUCT(Z93,P93)</f>
        <v>0</v>
      </c>
      <c r="AB93">
        <f>AA93</f>
        <v>0</v>
      </c>
      <c r="AC93">
        <f>IMPRODUCT("-1",AB93)</f>
        <v>0</v>
      </c>
      <c r="AD93">
        <f>IMDIV(IMSUB(AB93,AC93),"2")</f>
        <v>0</v>
      </c>
      <c r="AE93" s="6">
        <f>IMABS(AB93)</f>
        <v>0</v>
      </c>
      <c r="AF93" s="6">
        <f>IMABS(AC93)</f>
        <v>0</v>
      </c>
      <c r="AG93" s="6">
        <f>IMABS(AD93)</f>
        <v>0</v>
      </c>
      <c r="AH93" s="7">
        <f>20*LOG10(MAX(AE93,1E-300)*1E6)</f>
        <v>0</v>
      </c>
      <c r="AI93" s="7">
        <f>20*LOG10(MAX(AF93,1E-300)*1E6)</f>
        <v>0</v>
      </c>
      <c r="AJ93" s="7">
        <f>20*LOG10(MAX(AG93,1E-300)*1E6)</f>
        <v>0</v>
      </c>
      <c r="AK93" s="7">
        <f>DEGREES(IMARGUMENT(AB93))</f>
        <v>0</v>
      </c>
      <c r="AL93" s="7">
        <f>DEGREES(IMARGUMENT(AC93))</f>
        <v>0</v>
      </c>
      <c r="AM93" s="7">
        <f>DEGREES(IMARGUMENT(AD93))</f>
        <v>0</v>
      </c>
    </row>
    <row r="94" spans="1:39">
      <c r="A94" s="6">
        <f>10^(LOG10(F_START)+(ROW()-ROW($A$2))*(LOG10(F_STOP)-LOG10(F_START))/(N_POINTS-1))</f>
        <v>0</v>
      </c>
      <c r="B94" s="6">
        <f>2*PI()*A94</f>
        <v>0</v>
      </c>
      <c r="C94">
        <f>COMPLEX(2*LINE_PS_DCR,2*B94*LINE_PS_L)</f>
        <v>0</v>
      </c>
      <c r="D94">
        <f>IMSUM(COMPLEX(0,B94*(LINE_PS_CLINE+LINE_PS_CCHA/2)),IMDIV("1",IMPRODUCT("2",COMPLEX(C_THROUGH_ESR,B94*C_THROUGH_ESL-1/(B94*C_THROUGH_C)))))</f>
        <v>0</v>
      </c>
      <c r="E94">
        <f>COMPLEX(2*LINE_INPUT_DCR,2*B94*LINE_INPUT_L)</f>
        <v>0</v>
      </c>
      <c r="F94">
        <f>COMPLEX(0,B94*(LINE_INPUT_CLINE+LINE_INPUT_CCHA/2))</f>
        <v>0</v>
      </c>
      <c r="G94">
        <f>IMPRODUCT("2",IMDIV("1",IMSUM(IMDIV("1",COMPLEX(LDM1_DCR,B94*LDM1_L)),COMPLEX(0,B94*LDM1_CPA))))</f>
        <v>0</v>
      </c>
      <c r="H94">
        <f>IMSUM(IMDIV("1",COMPLEX(CX1_ESR,B94*CX1_ESL-1/(B94*CX1_C))),IMDIV("1",IMSUM(COMPLEX(DUMP1_R,0),COMPLEX(DUMP1_ESR,B94*DUMP1_ESL-1/(B94*DUMP1_C)))))</f>
        <v>0</v>
      </c>
      <c r="I94">
        <f>IMPRODUCT("2",IMDIV("1",IMSUM(IMDIV("1",COMPLEX(LDM2_DCR,B94*LDM2_L)),COMPLEX(0,B94*LDM2_CPA))))</f>
        <v>0</v>
      </c>
      <c r="J94">
        <f>IMSUM(IMDIV("1",COMPLEX(CX2_ESR,B94*CX2_ESL-1/(B94*CX2_C))),IMDIV("1",IMSUM(COMPLEX(DUMP2_R,0),COMPLEX(DUMP2_ESR,B94*DUMP2_ESL-1/(B94*DUMP2_C)))))</f>
        <v>0</v>
      </c>
      <c r="K94">
        <f>IMPRODUCT("2",IMDIV("1",IMSUM(IMDIV("1",COMPLEX(CMC_DCR,B94*CMC_L*(1-CMC_K))),COMPLEX(0,B94*CMC_CPA))))</f>
        <v>0</v>
      </c>
      <c r="L94">
        <f>IMSUM(COMPLEX(0,B94*CMC_CLINE),IMDIV("1",IMPRODUCT("2",COMPLEX(CY_ESR,B94*CY_ESL-1/(B94*CY_C)))),COMPLEX(1/DUMMY_R,0))</f>
        <v>0</v>
      </c>
      <c r="M94">
        <f>IMSUM(D94,IMDIV("1",C94))</f>
        <v>0</v>
      </c>
      <c r="N94">
        <f>IMDIV("1",IMSUM(E94,IMDIV("1",M94)))</f>
        <v>0</v>
      </c>
      <c r="O94">
        <f>IMSUM(F94,N94)</f>
        <v>0</v>
      </c>
      <c r="P94">
        <f>IMDIV("1",IMSUM(G94,IMDIV("1",O94)))</f>
        <v>0</v>
      </c>
      <c r="Q94">
        <f>IMSUM(H94,P94)</f>
        <v>0</v>
      </c>
      <c r="R94">
        <f>IMDIV("1",IMSUM(I94,IMDIV("1",Q94)))</f>
        <v>0</v>
      </c>
      <c r="S94">
        <f>IMSUM(J94,R94)</f>
        <v>0</v>
      </c>
      <c r="T94">
        <f>IMDIV("1",IMSUM(K94,IMDIV("1",S94)))</f>
        <v>0</v>
      </c>
      <c r="U94">
        <f>IMSUM(L94,T94)</f>
        <v>0</v>
      </c>
      <c r="V94">
        <f>IMDIV(COMPLEX(I_DM_SOURCE,0),U94)</f>
        <v>0</v>
      </c>
      <c r="W94">
        <f>IMPRODUCT(V94,T94)</f>
        <v>0</v>
      </c>
      <c r="X94">
        <f>IMDIV(W94,S94)</f>
        <v>0</v>
      </c>
      <c r="Y94">
        <f>IMPRODUCT(X94,R94)</f>
        <v>0</v>
      </c>
      <c r="Z94">
        <f>IMDIV(Y94,Q94)</f>
        <v>0</v>
      </c>
      <c r="AA94">
        <f>IMPRODUCT(Z94,P94)</f>
        <v>0</v>
      </c>
      <c r="AB94">
        <f>AA94</f>
        <v>0</v>
      </c>
      <c r="AC94">
        <f>IMPRODUCT("-1",AB94)</f>
        <v>0</v>
      </c>
      <c r="AD94">
        <f>IMDIV(IMSUB(AB94,AC94),"2")</f>
        <v>0</v>
      </c>
      <c r="AE94" s="6">
        <f>IMABS(AB94)</f>
        <v>0</v>
      </c>
      <c r="AF94" s="6">
        <f>IMABS(AC94)</f>
        <v>0</v>
      </c>
      <c r="AG94" s="6">
        <f>IMABS(AD94)</f>
        <v>0</v>
      </c>
      <c r="AH94" s="7">
        <f>20*LOG10(MAX(AE94,1E-300)*1E6)</f>
        <v>0</v>
      </c>
      <c r="AI94" s="7">
        <f>20*LOG10(MAX(AF94,1E-300)*1E6)</f>
        <v>0</v>
      </c>
      <c r="AJ94" s="7">
        <f>20*LOG10(MAX(AG94,1E-300)*1E6)</f>
        <v>0</v>
      </c>
      <c r="AK94" s="7">
        <f>DEGREES(IMARGUMENT(AB94))</f>
        <v>0</v>
      </c>
      <c r="AL94" s="7">
        <f>DEGREES(IMARGUMENT(AC94))</f>
        <v>0</v>
      </c>
      <c r="AM94" s="7">
        <f>DEGREES(IMARGUMENT(AD94))</f>
        <v>0</v>
      </c>
    </row>
    <row r="95" spans="1:39">
      <c r="A95" s="6">
        <f>10^(LOG10(F_START)+(ROW()-ROW($A$2))*(LOG10(F_STOP)-LOG10(F_START))/(N_POINTS-1))</f>
        <v>0</v>
      </c>
      <c r="B95" s="6">
        <f>2*PI()*A95</f>
        <v>0</v>
      </c>
      <c r="C95">
        <f>COMPLEX(2*LINE_PS_DCR,2*B95*LINE_PS_L)</f>
        <v>0</v>
      </c>
      <c r="D95">
        <f>IMSUM(COMPLEX(0,B95*(LINE_PS_CLINE+LINE_PS_CCHA/2)),IMDIV("1",IMPRODUCT("2",COMPLEX(C_THROUGH_ESR,B95*C_THROUGH_ESL-1/(B95*C_THROUGH_C)))))</f>
        <v>0</v>
      </c>
      <c r="E95">
        <f>COMPLEX(2*LINE_INPUT_DCR,2*B95*LINE_INPUT_L)</f>
        <v>0</v>
      </c>
      <c r="F95">
        <f>COMPLEX(0,B95*(LINE_INPUT_CLINE+LINE_INPUT_CCHA/2))</f>
        <v>0</v>
      </c>
      <c r="G95">
        <f>IMPRODUCT("2",IMDIV("1",IMSUM(IMDIV("1",COMPLEX(LDM1_DCR,B95*LDM1_L)),COMPLEX(0,B95*LDM1_CPA))))</f>
        <v>0</v>
      </c>
      <c r="H95">
        <f>IMSUM(IMDIV("1",COMPLEX(CX1_ESR,B95*CX1_ESL-1/(B95*CX1_C))),IMDIV("1",IMSUM(COMPLEX(DUMP1_R,0),COMPLEX(DUMP1_ESR,B95*DUMP1_ESL-1/(B95*DUMP1_C)))))</f>
        <v>0</v>
      </c>
      <c r="I95">
        <f>IMPRODUCT("2",IMDIV("1",IMSUM(IMDIV("1",COMPLEX(LDM2_DCR,B95*LDM2_L)),COMPLEX(0,B95*LDM2_CPA))))</f>
        <v>0</v>
      </c>
      <c r="J95">
        <f>IMSUM(IMDIV("1",COMPLEX(CX2_ESR,B95*CX2_ESL-1/(B95*CX2_C))),IMDIV("1",IMSUM(COMPLEX(DUMP2_R,0),COMPLEX(DUMP2_ESR,B95*DUMP2_ESL-1/(B95*DUMP2_C)))))</f>
        <v>0</v>
      </c>
      <c r="K95">
        <f>IMPRODUCT("2",IMDIV("1",IMSUM(IMDIV("1",COMPLEX(CMC_DCR,B95*CMC_L*(1-CMC_K))),COMPLEX(0,B95*CMC_CPA))))</f>
        <v>0</v>
      </c>
      <c r="L95">
        <f>IMSUM(COMPLEX(0,B95*CMC_CLINE),IMDIV("1",IMPRODUCT("2",COMPLEX(CY_ESR,B95*CY_ESL-1/(B95*CY_C)))),COMPLEX(1/DUMMY_R,0))</f>
        <v>0</v>
      </c>
      <c r="M95">
        <f>IMSUM(D95,IMDIV("1",C95))</f>
        <v>0</v>
      </c>
      <c r="N95">
        <f>IMDIV("1",IMSUM(E95,IMDIV("1",M95)))</f>
        <v>0</v>
      </c>
      <c r="O95">
        <f>IMSUM(F95,N95)</f>
        <v>0</v>
      </c>
      <c r="P95">
        <f>IMDIV("1",IMSUM(G95,IMDIV("1",O95)))</f>
        <v>0</v>
      </c>
      <c r="Q95">
        <f>IMSUM(H95,P95)</f>
        <v>0</v>
      </c>
      <c r="R95">
        <f>IMDIV("1",IMSUM(I95,IMDIV("1",Q95)))</f>
        <v>0</v>
      </c>
      <c r="S95">
        <f>IMSUM(J95,R95)</f>
        <v>0</v>
      </c>
      <c r="T95">
        <f>IMDIV("1",IMSUM(K95,IMDIV("1",S95)))</f>
        <v>0</v>
      </c>
      <c r="U95">
        <f>IMSUM(L95,T95)</f>
        <v>0</v>
      </c>
      <c r="V95">
        <f>IMDIV(COMPLEX(I_DM_SOURCE,0),U95)</f>
        <v>0</v>
      </c>
      <c r="W95">
        <f>IMPRODUCT(V95,T95)</f>
        <v>0</v>
      </c>
      <c r="X95">
        <f>IMDIV(W95,S95)</f>
        <v>0</v>
      </c>
      <c r="Y95">
        <f>IMPRODUCT(X95,R95)</f>
        <v>0</v>
      </c>
      <c r="Z95">
        <f>IMDIV(Y95,Q95)</f>
        <v>0</v>
      </c>
      <c r="AA95">
        <f>IMPRODUCT(Z95,P95)</f>
        <v>0</v>
      </c>
      <c r="AB95">
        <f>AA95</f>
        <v>0</v>
      </c>
      <c r="AC95">
        <f>IMPRODUCT("-1",AB95)</f>
        <v>0</v>
      </c>
      <c r="AD95">
        <f>IMDIV(IMSUB(AB95,AC95),"2")</f>
        <v>0</v>
      </c>
      <c r="AE95" s="6">
        <f>IMABS(AB95)</f>
        <v>0</v>
      </c>
      <c r="AF95" s="6">
        <f>IMABS(AC95)</f>
        <v>0</v>
      </c>
      <c r="AG95" s="6">
        <f>IMABS(AD95)</f>
        <v>0</v>
      </c>
      <c r="AH95" s="7">
        <f>20*LOG10(MAX(AE95,1E-300)*1E6)</f>
        <v>0</v>
      </c>
      <c r="AI95" s="7">
        <f>20*LOG10(MAX(AF95,1E-300)*1E6)</f>
        <v>0</v>
      </c>
      <c r="AJ95" s="7">
        <f>20*LOG10(MAX(AG95,1E-300)*1E6)</f>
        <v>0</v>
      </c>
      <c r="AK95" s="7">
        <f>DEGREES(IMARGUMENT(AB95))</f>
        <v>0</v>
      </c>
      <c r="AL95" s="7">
        <f>DEGREES(IMARGUMENT(AC95))</f>
        <v>0</v>
      </c>
      <c r="AM95" s="7">
        <f>DEGREES(IMARGUMENT(AD95))</f>
        <v>0</v>
      </c>
    </row>
    <row r="96" spans="1:39">
      <c r="A96" s="6">
        <f>10^(LOG10(F_START)+(ROW()-ROW($A$2))*(LOG10(F_STOP)-LOG10(F_START))/(N_POINTS-1))</f>
        <v>0</v>
      </c>
      <c r="B96" s="6">
        <f>2*PI()*A96</f>
        <v>0</v>
      </c>
      <c r="C96">
        <f>COMPLEX(2*LINE_PS_DCR,2*B96*LINE_PS_L)</f>
        <v>0</v>
      </c>
      <c r="D96">
        <f>IMSUM(COMPLEX(0,B96*(LINE_PS_CLINE+LINE_PS_CCHA/2)),IMDIV("1",IMPRODUCT("2",COMPLEX(C_THROUGH_ESR,B96*C_THROUGH_ESL-1/(B96*C_THROUGH_C)))))</f>
        <v>0</v>
      </c>
      <c r="E96">
        <f>COMPLEX(2*LINE_INPUT_DCR,2*B96*LINE_INPUT_L)</f>
        <v>0</v>
      </c>
      <c r="F96">
        <f>COMPLEX(0,B96*(LINE_INPUT_CLINE+LINE_INPUT_CCHA/2))</f>
        <v>0</v>
      </c>
      <c r="G96">
        <f>IMPRODUCT("2",IMDIV("1",IMSUM(IMDIV("1",COMPLEX(LDM1_DCR,B96*LDM1_L)),COMPLEX(0,B96*LDM1_CPA))))</f>
        <v>0</v>
      </c>
      <c r="H96">
        <f>IMSUM(IMDIV("1",COMPLEX(CX1_ESR,B96*CX1_ESL-1/(B96*CX1_C))),IMDIV("1",IMSUM(COMPLEX(DUMP1_R,0),COMPLEX(DUMP1_ESR,B96*DUMP1_ESL-1/(B96*DUMP1_C)))))</f>
        <v>0</v>
      </c>
      <c r="I96">
        <f>IMPRODUCT("2",IMDIV("1",IMSUM(IMDIV("1",COMPLEX(LDM2_DCR,B96*LDM2_L)),COMPLEX(0,B96*LDM2_CPA))))</f>
        <v>0</v>
      </c>
      <c r="J96">
        <f>IMSUM(IMDIV("1",COMPLEX(CX2_ESR,B96*CX2_ESL-1/(B96*CX2_C))),IMDIV("1",IMSUM(COMPLEX(DUMP2_R,0),COMPLEX(DUMP2_ESR,B96*DUMP2_ESL-1/(B96*DUMP2_C)))))</f>
        <v>0</v>
      </c>
      <c r="K96">
        <f>IMPRODUCT("2",IMDIV("1",IMSUM(IMDIV("1",COMPLEX(CMC_DCR,B96*CMC_L*(1-CMC_K))),COMPLEX(0,B96*CMC_CPA))))</f>
        <v>0</v>
      </c>
      <c r="L96">
        <f>IMSUM(COMPLEX(0,B96*CMC_CLINE),IMDIV("1",IMPRODUCT("2",COMPLEX(CY_ESR,B96*CY_ESL-1/(B96*CY_C)))),COMPLEX(1/DUMMY_R,0))</f>
        <v>0</v>
      </c>
      <c r="M96">
        <f>IMSUM(D96,IMDIV("1",C96))</f>
        <v>0</v>
      </c>
      <c r="N96">
        <f>IMDIV("1",IMSUM(E96,IMDIV("1",M96)))</f>
        <v>0</v>
      </c>
      <c r="O96">
        <f>IMSUM(F96,N96)</f>
        <v>0</v>
      </c>
      <c r="P96">
        <f>IMDIV("1",IMSUM(G96,IMDIV("1",O96)))</f>
        <v>0</v>
      </c>
      <c r="Q96">
        <f>IMSUM(H96,P96)</f>
        <v>0</v>
      </c>
      <c r="R96">
        <f>IMDIV("1",IMSUM(I96,IMDIV("1",Q96)))</f>
        <v>0</v>
      </c>
      <c r="S96">
        <f>IMSUM(J96,R96)</f>
        <v>0</v>
      </c>
      <c r="T96">
        <f>IMDIV("1",IMSUM(K96,IMDIV("1",S96)))</f>
        <v>0</v>
      </c>
      <c r="U96">
        <f>IMSUM(L96,T96)</f>
        <v>0</v>
      </c>
      <c r="V96">
        <f>IMDIV(COMPLEX(I_DM_SOURCE,0),U96)</f>
        <v>0</v>
      </c>
      <c r="W96">
        <f>IMPRODUCT(V96,T96)</f>
        <v>0</v>
      </c>
      <c r="X96">
        <f>IMDIV(W96,S96)</f>
        <v>0</v>
      </c>
      <c r="Y96">
        <f>IMPRODUCT(X96,R96)</f>
        <v>0</v>
      </c>
      <c r="Z96">
        <f>IMDIV(Y96,Q96)</f>
        <v>0</v>
      </c>
      <c r="AA96">
        <f>IMPRODUCT(Z96,P96)</f>
        <v>0</v>
      </c>
      <c r="AB96">
        <f>AA96</f>
        <v>0</v>
      </c>
      <c r="AC96">
        <f>IMPRODUCT("-1",AB96)</f>
        <v>0</v>
      </c>
      <c r="AD96">
        <f>IMDIV(IMSUB(AB96,AC96),"2")</f>
        <v>0</v>
      </c>
      <c r="AE96" s="6">
        <f>IMABS(AB96)</f>
        <v>0</v>
      </c>
      <c r="AF96" s="6">
        <f>IMABS(AC96)</f>
        <v>0</v>
      </c>
      <c r="AG96" s="6">
        <f>IMABS(AD96)</f>
        <v>0</v>
      </c>
      <c r="AH96" s="7">
        <f>20*LOG10(MAX(AE96,1E-300)*1E6)</f>
        <v>0</v>
      </c>
      <c r="AI96" s="7">
        <f>20*LOG10(MAX(AF96,1E-300)*1E6)</f>
        <v>0</v>
      </c>
      <c r="AJ96" s="7">
        <f>20*LOG10(MAX(AG96,1E-300)*1E6)</f>
        <v>0</v>
      </c>
      <c r="AK96" s="7">
        <f>DEGREES(IMARGUMENT(AB96))</f>
        <v>0</v>
      </c>
      <c r="AL96" s="7">
        <f>DEGREES(IMARGUMENT(AC96))</f>
        <v>0</v>
      </c>
      <c r="AM96" s="7">
        <f>DEGREES(IMARGUMENT(AD96))</f>
        <v>0</v>
      </c>
    </row>
    <row r="97" spans="1:39">
      <c r="A97" s="6">
        <f>10^(LOG10(F_START)+(ROW()-ROW($A$2))*(LOG10(F_STOP)-LOG10(F_START))/(N_POINTS-1))</f>
        <v>0</v>
      </c>
      <c r="B97" s="6">
        <f>2*PI()*A97</f>
        <v>0</v>
      </c>
      <c r="C97">
        <f>COMPLEX(2*LINE_PS_DCR,2*B97*LINE_PS_L)</f>
        <v>0</v>
      </c>
      <c r="D97">
        <f>IMSUM(COMPLEX(0,B97*(LINE_PS_CLINE+LINE_PS_CCHA/2)),IMDIV("1",IMPRODUCT("2",COMPLEX(C_THROUGH_ESR,B97*C_THROUGH_ESL-1/(B97*C_THROUGH_C)))))</f>
        <v>0</v>
      </c>
      <c r="E97">
        <f>COMPLEX(2*LINE_INPUT_DCR,2*B97*LINE_INPUT_L)</f>
        <v>0</v>
      </c>
      <c r="F97">
        <f>COMPLEX(0,B97*(LINE_INPUT_CLINE+LINE_INPUT_CCHA/2))</f>
        <v>0</v>
      </c>
      <c r="G97">
        <f>IMPRODUCT("2",IMDIV("1",IMSUM(IMDIV("1",COMPLEX(LDM1_DCR,B97*LDM1_L)),COMPLEX(0,B97*LDM1_CPA))))</f>
        <v>0</v>
      </c>
      <c r="H97">
        <f>IMSUM(IMDIV("1",COMPLEX(CX1_ESR,B97*CX1_ESL-1/(B97*CX1_C))),IMDIV("1",IMSUM(COMPLEX(DUMP1_R,0),COMPLEX(DUMP1_ESR,B97*DUMP1_ESL-1/(B97*DUMP1_C)))))</f>
        <v>0</v>
      </c>
      <c r="I97">
        <f>IMPRODUCT("2",IMDIV("1",IMSUM(IMDIV("1",COMPLEX(LDM2_DCR,B97*LDM2_L)),COMPLEX(0,B97*LDM2_CPA))))</f>
        <v>0</v>
      </c>
      <c r="J97">
        <f>IMSUM(IMDIV("1",COMPLEX(CX2_ESR,B97*CX2_ESL-1/(B97*CX2_C))),IMDIV("1",IMSUM(COMPLEX(DUMP2_R,0),COMPLEX(DUMP2_ESR,B97*DUMP2_ESL-1/(B97*DUMP2_C)))))</f>
        <v>0</v>
      </c>
      <c r="K97">
        <f>IMPRODUCT("2",IMDIV("1",IMSUM(IMDIV("1",COMPLEX(CMC_DCR,B97*CMC_L*(1-CMC_K))),COMPLEX(0,B97*CMC_CPA))))</f>
        <v>0</v>
      </c>
      <c r="L97">
        <f>IMSUM(COMPLEX(0,B97*CMC_CLINE),IMDIV("1",IMPRODUCT("2",COMPLEX(CY_ESR,B97*CY_ESL-1/(B97*CY_C)))),COMPLEX(1/DUMMY_R,0))</f>
        <v>0</v>
      </c>
      <c r="M97">
        <f>IMSUM(D97,IMDIV("1",C97))</f>
        <v>0</v>
      </c>
      <c r="N97">
        <f>IMDIV("1",IMSUM(E97,IMDIV("1",M97)))</f>
        <v>0</v>
      </c>
      <c r="O97">
        <f>IMSUM(F97,N97)</f>
        <v>0</v>
      </c>
      <c r="P97">
        <f>IMDIV("1",IMSUM(G97,IMDIV("1",O97)))</f>
        <v>0</v>
      </c>
      <c r="Q97">
        <f>IMSUM(H97,P97)</f>
        <v>0</v>
      </c>
      <c r="R97">
        <f>IMDIV("1",IMSUM(I97,IMDIV("1",Q97)))</f>
        <v>0</v>
      </c>
      <c r="S97">
        <f>IMSUM(J97,R97)</f>
        <v>0</v>
      </c>
      <c r="T97">
        <f>IMDIV("1",IMSUM(K97,IMDIV("1",S97)))</f>
        <v>0</v>
      </c>
      <c r="U97">
        <f>IMSUM(L97,T97)</f>
        <v>0</v>
      </c>
      <c r="V97">
        <f>IMDIV(COMPLEX(I_DM_SOURCE,0),U97)</f>
        <v>0</v>
      </c>
      <c r="W97">
        <f>IMPRODUCT(V97,T97)</f>
        <v>0</v>
      </c>
      <c r="X97">
        <f>IMDIV(W97,S97)</f>
        <v>0</v>
      </c>
      <c r="Y97">
        <f>IMPRODUCT(X97,R97)</f>
        <v>0</v>
      </c>
      <c r="Z97">
        <f>IMDIV(Y97,Q97)</f>
        <v>0</v>
      </c>
      <c r="AA97">
        <f>IMPRODUCT(Z97,P97)</f>
        <v>0</v>
      </c>
      <c r="AB97">
        <f>AA97</f>
        <v>0</v>
      </c>
      <c r="AC97">
        <f>IMPRODUCT("-1",AB97)</f>
        <v>0</v>
      </c>
      <c r="AD97">
        <f>IMDIV(IMSUB(AB97,AC97),"2")</f>
        <v>0</v>
      </c>
      <c r="AE97" s="6">
        <f>IMABS(AB97)</f>
        <v>0</v>
      </c>
      <c r="AF97" s="6">
        <f>IMABS(AC97)</f>
        <v>0</v>
      </c>
      <c r="AG97" s="6">
        <f>IMABS(AD97)</f>
        <v>0</v>
      </c>
      <c r="AH97" s="7">
        <f>20*LOG10(MAX(AE97,1E-300)*1E6)</f>
        <v>0</v>
      </c>
      <c r="AI97" s="7">
        <f>20*LOG10(MAX(AF97,1E-300)*1E6)</f>
        <v>0</v>
      </c>
      <c r="AJ97" s="7">
        <f>20*LOG10(MAX(AG97,1E-300)*1E6)</f>
        <v>0</v>
      </c>
      <c r="AK97" s="7">
        <f>DEGREES(IMARGUMENT(AB97))</f>
        <v>0</v>
      </c>
      <c r="AL97" s="7">
        <f>DEGREES(IMARGUMENT(AC97))</f>
        <v>0</v>
      </c>
      <c r="AM97" s="7">
        <f>DEGREES(IMARGUMENT(AD97))</f>
        <v>0</v>
      </c>
    </row>
    <row r="98" spans="1:39">
      <c r="A98" s="6">
        <f>10^(LOG10(F_START)+(ROW()-ROW($A$2))*(LOG10(F_STOP)-LOG10(F_START))/(N_POINTS-1))</f>
        <v>0</v>
      </c>
      <c r="B98" s="6">
        <f>2*PI()*A98</f>
        <v>0</v>
      </c>
      <c r="C98">
        <f>COMPLEX(2*LINE_PS_DCR,2*B98*LINE_PS_L)</f>
        <v>0</v>
      </c>
      <c r="D98">
        <f>IMSUM(COMPLEX(0,B98*(LINE_PS_CLINE+LINE_PS_CCHA/2)),IMDIV("1",IMPRODUCT("2",COMPLEX(C_THROUGH_ESR,B98*C_THROUGH_ESL-1/(B98*C_THROUGH_C)))))</f>
        <v>0</v>
      </c>
      <c r="E98">
        <f>COMPLEX(2*LINE_INPUT_DCR,2*B98*LINE_INPUT_L)</f>
        <v>0</v>
      </c>
      <c r="F98">
        <f>COMPLEX(0,B98*(LINE_INPUT_CLINE+LINE_INPUT_CCHA/2))</f>
        <v>0</v>
      </c>
      <c r="G98">
        <f>IMPRODUCT("2",IMDIV("1",IMSUM(IMDIV("1",COMPLEX(LDM1_DCR,B98*LDM1_L)),COMPLEX(0,B98*LDM1_CPA))))</f>
        <v>0</v>
      </c>
      <c r="H98">
        <f>IMSUM(IMDIV("1",COMPLEX(CX1_ESR,B98*CX1_ESL-1/(B98*CX1_C))),IMDIV("1",IMSUM(COMPLEX(DUMP1_R,0),COMPLEX(DUMP1_ESR,B98*DUMP1_ESL-1/(B98*DUMP1_C)))))</f>
        <v>0</v>
      </c>
      <c r="I98">
        <f>IMPRODUCT("2",IMDIV("1",IMSUM(IMDIV("1",COMPLEX(LDM2_DCR,B98*LDM2_L)),COMPLEX(0,B98*LDM2_CPA))))</f>
        <v>0</v>
      </c>
      <c r="J98">
        <f>IMSUM(IMDIV("1",COMPLEX(CX2_ESR,B98*CX2_ESL-1/(B98*CX2_C))),IMDIV("1",IMSUM(COMPLEX(DUMP2_R,0),COMPLEX(DUMP2_ESR,B98*DUMP2_ESL-1/(B98*DUMP2_C)))))</f>
        <v>0</v>
      </c>
      <c r="K98">
        <f>IMPRODUCT("2",IMDIV("1",IMSUM(IMDIV("1",COMPLEX(CMC_DCR,B98*CMC_L*(1-CMC_K))),COMPLEX(0,B98*CMC_CPA))))</f>
        <v>0</v>
      </c>
      <c r="L98">
        <f>IMSUM(COMPLEX(0,B98*CMC_CLINE),IMDIV("1",IMPRODUCT("2",COMPLEX(CY_ESR,B98*CY_ESL-1/(B98*CY_C)))),COMPLEX(1/DUMMY_R,0))</f>
        <v>0</v>
      </c>
      <c r="M98">
        <f>IMSUM(D98,IMDIV("1",C98))</f>
        <v>0</v>
      </c>
      <c r="N98">
        <f>IMDIV("1",IMSUM(E98,IMDIV("1",M98)))</f>
        <v>0</v>
      </c>
      <c r="O98">
        <f>IMSUM(F98,N98)</f>
        <v>0</v>
      </c>
      <c r="P98">
        <f>IMDIV("1",IMSUM(G98,IMDIV("1",O98)))</f>
        <v>0</v>
      </c>
      <c r="Q98">
        <f>IMSUM(H98,P98)</f>
        <v>0</v>
      </c>
      <c r="R98">
        <f>IMDIV("1",IMSUM(I98,IMDIV("1",Q98)))</f>
        <v>0</v>
      </c>
      <c r="S98">
        <f>IMSUM(J98,R98)</f>
        <v>0</v>
      </c>
      <c r="T98">
        <f>IMDIV("1",IMSUM(K98,IMDIV("1",S98)))</f>
        <v>0</v>
      </c>
      <c r="U98">
        <f>IMSUM(L98,T98)</f>
        <v>0</v>
      </c>
      <c r="V98">
        <f>IMDIV(COMPLEX(I_DM_SOURCE,0),U98)</f>
        <v>0</v>
      </c>
      <c r="W98">
        <f>IMPRODUCT(V98,T98)</f>
        <v>0</v>
      </c>
      <c r="X98">
        <f>IMDIV(W98,S98)</f>
        <v>0</v>
      </c>
      <c r="Y98">
        <f>IMPRODUCT(X98,R98)</f>
        <v>0</v>
      </c>
      <c r="Z98">
        <f>IMDIV(Y98,Q98)</f>
        <v>0</v>
      </c>
      <c r="AA98">
        <f>IMPRODUCT(Z98,P98)</f>
        <v>0</v>
      </c>
      <c r="AB98">
        <f>AA98</f>
        <v>0</v>
      </c>
      <c r="AC98">
        <f>IMPRODUCT("-1",AB98)</f>
        <v>0</v>
      </c>
      <c r="AD98">
        <f>IMDIV(IMSUB(AB98,AC98),"2")</f>
        <v>0</v>
      </c>
      <c r="AE98" s="6">
        <f>IMABS(AB98)</f>
        <v>0</v>
      </c>
      <c r="AF98" s="6">
        <f>IMABS(AC98)</f>
        <v>0</v>
      </c>
      <c r="AG98" s="6">
        <f>IMABS(AD98)</f>
        <v>0</v>
      </c>
      <c r="AH98" s="7">
        <f>20*LOG10(MAX(AE98,1E-300)*1E6)</f>
        <v>0</v>
      </c>
      <c r="AI98" s="7">
        <f>20*LOG10(MAX(AF98,1E-300)*1E6)</f>
        <v>0</v>
      </c>
      <c r="AJ98" s="7">
        <f>20*LOG10(MAX(AG98,1E-300)*1E6)</f>
        <v>0</v>
      </c>
      <c r="AK98" s="7">
        <f>DEGREES(IMARGUMENT(AB98))</f>
        <v>0</v>
      </c>
      <c r="AL98" s="7">
        <f>DEGREES(IMARGUMENT(AC98))</f>
        <v>0</v>
      </c>
      <c r="AM98" s="7">
        <f>DEGREES(IMARGUMENT(AD98))</f>
        <v>0</v>
      </c>
    </row>
    <row r="99" spans="1:39">
      <c r="A99" s="6">
        <f>10^(LOG10(F_START)+(ROW()-ROW($A$2))*(LOG10(F_STOP)-LOG10(F_START))/(N_POINTS-1))</f>
        <v>0</v>
      </c>
      <c r="B99" s="6">
        <f>2*PI()*A99</f>
        <v>0</v>
      </c>
      <c r="C99">
        <f>COMPLEX(2*LINE_PS_DCR,2*B99*LINE_PS_L)</f>
        <v>0</v>
      </c>
      <c r="D99">
        <f>IMSUM(COMPLEX(0,B99*(LINE_PS_CLINE+LINE_PS_CCHA/2)),IMDIV("1",IMPRODUCT("2",COMPLEX(C_THROUGH_ESR,B99*C_THROUGH_ESL-1/(B99*C_THROUGH_C)))))</f>
        <v>0</v>
      </c>
      <c r="E99">
        <f>COMPLEX(2*LINE_INPUT_DCR,2*B99*LINE_INPUT_L)</f>
        <v>0</v>
      </c>
      <c r="F99">
        <f>COMPLEX(0,B99*(LINE_INPUT_CLINE+LINE_INPUT_CCHA/2))</f>
        <v>0</v>
      </c>
      <c r="G99">
        <f>IMPRODUCT("2",IMDIV("1",IMSUM(IMDIV("1",COMPLEX(LDM1_DCR,B99*LDM1_L)),COMPLEX(0,B99*LDM1_CPA))))</f>
        <v>0</v>
      </c>
      <c r="H99">
        <f>IMSUM(IMDIV("1",COMPLEX(CX1_ESR,B99*CX1_ESL-1/(B99*CX1_C))),IMDIV("1",IMSUM(COMPLEX(DUMP1_R,0),COMPLEX(DUMP1_ESR,B99*DUMP1_ESL-1/(B99*DUMP1_C)))))</f>
        <v>0</v>
      </c>
      <c r="I99">
        <f>IMPRODUCT("2",IMDIV("1",IMSUM(IMDIV("1",COMPLEX(LDM2_DCR,B99*LDM2_L)),COMPLEX(0,B99*LDM2_CPA))))</f>
        <v>0</v>
      </c>
      <c r="J99">
        <f>IMSUM(IMDIV("1",COMPLEX(CX2_ESR,B99*CX2_ESL-1/(B99*CX2_C))),IMDIV("1",IMSUM(COMPLEX(DUMP2_R,0),COMPLEX(DUMP2_ESR,B99*DUMP2_ESL-1/(B99*DUMP2_C)))))</f>
        <v>0</v>
      </c>
      <c r="K99">
        <f>IMPRODUCT("2",IMDIV("1",IMSUM(IMDIV("1",COMPLEX(CMC_DCR,B99*CMC_L*(1-CMC_K))),COMPLEX(0,B99*CMC_CPA))))</f>
        <v>0</v>
      </c>
      <c r="L99">
        <f>IMSUM(COMPLEX(0,B99*CMC_CLINE),IMDIV("1",IMPRODUCT("2",COMPLEX(CY_ESR,B99*CY_ESL-1/(B99*CY_C)))),COMPLEX(1/DUMMY_R,0))</f>
        <v>0</v>
      </c>
      <c r="M99">
        <f>IMSUM(D99,IMDIV("1",C99))</f>
        <v>0</v>
      </c>
      <c r="N99">
        <f>IMDIV("1",IMSUM(E99,IMDIV("1",M99)))</f>
        <v>0</v>
      </c>
      <c r="O99">
        <f>IMSUM(F99,N99)</f>
        <v>0</v>
      </c>
      <c r="P99">
        <f>IMDIV("1",IMSUM(G99,IMDIV("1",O99)))</f>
        <v>0</v>
      </c>
      <c r="Q99">
        <f>IMSUM(H99,P99)</f>
        <v>0</v>
      </c>
      <c r="R99">
        <f>IMDIV("1",IMSUM(I99,IMDIV("1",Q99)))</f>
        <v>0</v>
      </c>
      <c r="S99">
        <f>IMSUM(J99,R99)</f>
        <v>0</v>
      </c>
      <c r="T99">
        <f>IMDIV("1",IMSUM(K99,IMDIV("1",S99)))</f>
        <v>0</v>
      </c>
      <c r="U99">
        <f>IMSUM(L99,T99)</f>
        <v>0</v>
      </c>
      <c r="V99">
        <f>IMDIV(COMPLEX(I_DM_SOURCE,0),U99)</f>
        <v>0</v>
      </c>
      <c r="W99">
        <f>IMPRODUCT(V99,T99)</f>
        <v>0</v>
      </c>
      <c r="X99">
        <f>IMDIV(W99,S99)</f>
        <v>0</v>
      </c>
      <c r="Y99">
        <f>IMPRODUCT(X99,R99)</f>
        <v>0</v>
      </c>
      <c r="Z99">
        <f>IMDIV(Y99,Q99)</f>
        <v>0</v>
      </c>
      <c r="AA99">
        <f>IMPRODUCT(Z99,P99)</f>
        <v>0</v>
      </c>
      <c r="AB99">
        <f>AA99</f>
        <v>0</v>
      </c>
      <c r="AC99">
        <f>IMPRODUCT("-1",AB99)</f>
        <v>0</v>
      </c>
      <c r="AD99">
        <f>IMDIV(IMSUB(AB99,AC99),"2")</f>
        <v>0</v>
      </c>
      <c r="AE99" s="6">
        <f>IMABS(AB99)</f>
        <v>0</v>
      </c>
      <c r="AF99" s="6">
        <f>IMABS(AC99)</f>
        <v>0</v>
      </c>
      <c r="AG99" s="6">
        <f>IMABS(AD99)</f>
        <v>0</v>
      </c>
      <c r="AH99" s="7">
        <f>20*LOG10(MAX(AE99,1E-300)*1E6)</f>
        <v>0</v>
      </c>
      <c r="AI99" s="7">
        <f>20*LOG10(MAX(AF99,1E-300)*1E6)</f>
        <v>0</v>
      </c>
      <c r="AJ99" s="7">
        <f>20*LOG10(MAX(AG99,1E-300)*1E6)</f>
        <v>0</v>
      </c>
      <c r="AK99" s="7">
        <f>DEGREES(IMARGUMENT(AB99))</f>
        <v>0</v>
      </c>
      <c r="AL99" s="7">
        <f>DEGREES(IMARGUMENT(AC99))</f>
        <v>0</v>
      </c>
      <c r="AM99" s="7">
        <f>DEGREES(IMARGUMENT(AD99))</f>
        <v>0</v>
      </c>
    </row>
    <row r="100" spans="1:39">
      <c r="A100" s="6">
        <f>10^(LOG10(F_START)+(ROW()-ROW($A$2))*(LOG10(F_STOP)-LOG10(F_START))/(N_POINTS-1))</f>
        <v>0</v>
      </c>
      <c r="B100" s="6">
        <f>2*PI()*A100</f>
        <v>0</v>
      </c>
      <c r="C100">
        <f>COMPLEX(2*LINE_PS_DCR,2*B100*LINE_PS_L)</f>
        <v>0</v>
      </c>
      <c r="D100">
        <f>IMSUM(COMPLEX(0,B100*(LINE_PS_CLINE+LINE_PS_CCHA/2)),IMDIV("1",IMPRODUCT("2",COMPLEX(C_THROUGH_ESR,B100*C_THROUGH_ESL-1/(B100*C_THROUGH_C)))))</f>
        <v>0</v>
      </c>
      <c r="E100">
        <f>COMPLEX(2*LINE_INPUT_DCR,2*B100*LINE_INPUT_L)</f>
        <v>0</v>
      </c>
      <c r="F100">
        <f>COMPLEX(0,B100*(LINE_INPUT_CLINE+LINE_INPUT_CCHA/2))</f>
        <v>0</v>
      </c>
      <c r="G100">
        <f>IMPRODUCT("2",IMDIV("1",IMSUM(IMDIV("1",COMPLEX(LDM1_DCR,B100*LDM1_L)),COMPLEX(0,B100*LDM1_CPA))))</f>
        <v>0</v>
      </c>
      <c r="H100">
        <f>IMSUM(IMDIV("1",COMPLEX(CX1_ESR,B100*CX1_ESL-1/(B100*CX1_C))),IMDIV("1",IMSUM(COMPLEX(DUMP1_R,0),COMPLEX(DUMP1_ESR,B100*DUMP1_ESL-1/(B100*DUMP1_C)))))</f>
        <v>0</v>
      </c>
      <c r="I100">
        <f>IMPRODUCT("2",IMDIV("1",IMSUM(IMDIV("1",COMPLEX(LDM2_DCR,B100*LDM2_L)),COMPLEX(0,B100*LDM2_CPA))))</f>
        <v>0</v>
      </c>
      <c r="J100">
        <f>IMSUM(IMDIV("1",COMPLEX(CX2_ESR,B100*CX2_ESL-1/(B100*CX2_C))),IMDIV("1",IMSUM(COMPLEX(DUMP2_R,0),COMPLEX(DUMP2_ESR,B100*DUMP2_ESL-1/(B100*DUMP2_C)))))</f>
        <v>0</v>
      </c>
      <c r="K100">
        <f>IMPRODUCT("2",IMDIV("1",IMSUM(IMDIV("1",COMPLEX(CMC_DCR,B100*CMC_L*(1-CMC_K))),COMPLEX(0,B100*CMC_CPA))))</f>
        <v>0</v>
      </c>
      <c r="L100">
        <f>IMSUM(COMPLEX(0,B100*CMC_CLINE),IMDIV("1",IMPRODUCT("2",COMPLEX(CY_ESR,B100*CY_ESL-1/(B100*CY_C)))),COMPLEX(1/DUMMY_R,0))</f>
        <v>0</v>
      </c>
      <c r="M100">
        <f>IMSUM(D100,IMDIV("1",C100))</f>
        <v>0</v>
      </c>
      <c r="N100">
        <f>IMDIV("1",IMSUM(E100,IMDIV("1",M100)))</f>
        <v>0</v>
      </c>
      <c r="O100">
        <f>IMSUM(F100,N100)</f>
        <v>0</v>
      </c>
      <c r="P100">
        <f>IMDIV("1",IMSUM(G100,IMDIV("1",O100)))</f>
        <v>0</v>
      </c>
      <c r="Q100">
        <f>IMSUM(H100,P100)</f>
        <v>0</v>
      </c>
      <c r="R100">
        <f>IMDIV("1",IMSUM(I100,IMDIV("1",Q100)))</f>
        <v>0</v>
      </c>
      <c r="S100">
        <f>IMSUM(J100,R100)</f>
        <v>0</v>
      </c>
      <c r="T100">
        <f>IMDIV("1",IMSUM(K100,IMDIV("1",S100)))</f>
        <v>0</v>
      </c>
      <c r="U100">
        <f>IMSUM(L100,T100)</f>
        <v>0</v>
      </c>
      <c r="V100">
        <f>IMDIV(COMPLEX(I_DM_SOURCE,0),U100)</f>
        <v>0</v>
      </c>
      <c r="W100">
        <f>IMPRODUCT(V100,T100)</f>
        <v>0</v>
      </c>
      <c r="X100">
        <f>IMDIV(W100,S100)</f>
        <v>0</v>
      </c>
      <c r="Y100">
        <f>IMPRODUCT(X100,R100)</f>
        <v>0</v>
      </c>
      <c r="Z100">
        <f>IMDIV(Y100,Q100)</f>
        <v>0</v>
      </c>
      <c r="AA100">
        <f>IMPRODUCT(Z100,P100)</f>
        <v>0</v>
      </c>
      <c r="AB100">
        <f>AA100</f>
        <v>0</v>
      </c>
      <c r="AC100">
        <f>IMPRODUCT("-1",AB100)</f>
        <v>0</v>
      </c>
      <c r="AD100">
        <f>IMDIV(IMSUB(AB100,AC100),"2")</f>
        <v>0</v>
      </c>
      <c r="AE100" s="6">
        <f>IMABS(AB100)</f>
        <v>0</v>
      </c>
      <c r="AF100" s="6">
        <f>IMABS(AC100)</f>
        <v>0</v>
      </c>
      <c r="AG100" s="6">
        <f>IMABS(AD100)</f>
        <v>0</v>
      </c>
      <c r="AH100" s="7">
        <f>20*LOG10(MAX(AE100,1E-300)*1E6)</f>
        <v>0</v>
      </c>
      <c r="AI100" s="7">
        <f>20*LOG10(MAX(AF100,1E-300)*1E6)</f>
        <v>0</v>
      </c>
      <c r="AJ100" s="7">
        <f>20*LOG10(MAX(AG100,1E-300)*1E6)</f>
        <v>0</v>
      </c>
      <c r="AK100" s="7">
        <f>DEGREES(IMARGUMENT(AB100))</f>
        <v>0</v>
      </c>
      <c r="AL100" s="7">
        <f>DEGREES(IMARGUMENT(AC100))</f>
        <v>0</v>
      </c>
      <c r="AM100" s="7">
        <f>DEGREES(IMARGUMENT(AD100))</f>
        <v>0</v>
      </c>
    </row>
    <row r="101" spans="1:39">
      <c r="A101" s="6">
        <f>10^(LOG10(F_START)+(ROW()-ROW($A$2))*(LOG10(F_STOP)-LOG10(F_START))/(N_POINTS-1))</f>
        <v>0</v>
      </c>
      <c r="B101" s="6">
        <f>2*PI()*A101</f>
        <v>0</v>
      </c>
      <c r="C101">
        <f>COMPLEX(2*LINE_PS_DCR,2*B101*LINE_PS_L)</f>
        <v>0</v>
      </c>
      <c r="D101">
        <f>IMSUM(COMPLEX(0,B101*(LINE_PS_CLINE+LINE_PS_CCHA/2)),IMDIV("1",IMPRODUCT("2",COMPLEX(C_THROUGH_ESR,B101*C_THROUGH_ESL-1/(B101*C_THROUGH_C)))))</f>
        <v>0</v>
      </c>
      <c r="E101">
        <f>COMPLEX(2*LINE_INPUT_DCR,2*B101*LINE_INPUT_L)</f>
        <v>0</v>
      </c>
      <c r="F101">
        <f>COMPLEX(0,B101*(LINE_INPUT_CLINE+LINE_INPUT_CCHA/2))</f>
        <v>0</v>
      </c>
      <c r="G101">
        <f>IMPRODUCT("2",IMDIV("1",IMSUM(IMDIV("1",COMPLEX(LDM1_DCR,B101*LDM1_L)),COMPLEX(0,B101*LDM1_CPA))))</f>
        <v>0</v>
      </c>
      <c r="H101">
        <f>IMSUM(IMDIV("1",COMPLEX(CX1_ESR,B101*CX1_ESL-1/(B101*CX1_C))),IMDIV("1",IMSUM(COMPLEX(DUMP1_R,0),COMPLEX(DUMP1_ESR,B101*DUMP1_ESL-1/(B101*DUMP1_C)))))</f>
        <v>0</v>
      </c>
      <c r="I101">
        <f>IMPRODUCT("2",IMDIV("1",IMSUM(IMDIV("1",COMPLEX(LDM2_DCR,B101*LDM2_L)),COMPLEX(0,B101*LDM2_CPA))))</f>
        <v>0</v>
      </c>
      <c r="J101">
        <f>IMSUM(IMDIV("1",COMPLEX(CX2_ESR,B101*CX2_ESL-1/(B101*CX2_C))),IMDIV("1",IMSUM(COMPLEX(DUMP2_R,0),COMPLEX(DUMP2_ESR,B101*DUMP2_ESL-1/(B101*DUMP2_C)))))</f>
        <v>0</v>
      </c>
      <c r="K101">
        <f>IMPRODUCT("2",IMDIV("1",IMSUM(IMDIV("1",COMPLEX(CMC_DCR,B101*CMC_L*(1-CMC_K))),COMPLEX(0,B101*CMC_CPA))))</f>
        <v>0</v>
      </c>
      <c r="L101">
        <f>IMSUM(COMPLEX(0,B101*CMC_CLINE),IMDIV("1",IMPRODUCT("2",COMPLEX(CY_ESR,B101*CY_ESL-1/(B101*CY_C)))),COMPLEX(1/DUMMY_R,0))</f>
        <v>0</v>
      </c>
      <c r="M101">
        <f>IMSUM(D101,IMDIV("1",C101))</f>
        <v>0</v>
      </c>
      <c r="N101">
        <f>IMDIV("1",IMSUM(E101,IMDIV("1",M101)))</f>
        <v>0</v>
      </c>
      <c r="O101">
        <f>IMSUM(F101,N101)</f>
        <v>0</v>
      </c>
      <c r="P101">
        <f>IMDIV("1",IMSUM(G101,IMDIV("1",O101)))</f>
        <v>0</v>
      </c>
      <c r="Q101">
        <f>IMSUM(H101,P101)</f>
        <v>0</v>
      </c>
      <c r="R101">
        <f>IMDIV("1",IMSUM(I101,IMDIV("1",Q101)))</f>
        <v>0</v>
      </c>
      <c r="S101">
        <f>IMSUM(J101,R101)</f>
        <v>0</v>
      </c>
      <c r="T101">
        <f>IMDIV("1",IMSUM(K101,IMDIV("1",S101)))</f>
        <v>0</v>
      </c>
      <c r="U101">
        <f>IMSUM(L101,T101)</f>
        <v>0</v>
      </c>
      <c r="V101">
        <f>IMDIV(COMPLEX(I_DM_SOURCE,0),U101)</f>
        <v>0</v>
      </c>
      <c r="W101">
        <f>IMPRODUCT(V101,T101)</f>
        <v>0</v>
      </c>
      <c r="X101">
        <f>IMDIV(W101,S101)</f>
        <v>0</v>
      </c>
      <c r="Y101">
        <f>IMPRODUCT(X101,R101)</f>
        <v>0</v>
      </c>
      <c r="Z101">
        <f>IMDIV(Y101,Q101)</f>
        <v>0</v>
      </c>
      <c r="AA101">
        <f>IMPRODUCT(Z101,P101)</f>
        <v>0</v>
      </c>
      <c r="AB101">
        <f>AA101</f>
        <v>0</v>
      </c>
      <c r="AC101">
        <f>IMPRODUCT("-1",AB101)</f>
        <v>0</v>
      </c>
      <c r="AD101">
        <f>IMDIV(IMSUB(AB101,AC101),"2")</f>
        <v>0</v>
      </c>
      <c r="AE101" s="6">
        <f>IMABS(AB101)</f>
        <v>0</v>
      </c>
      <c r="AF101" s="6">
        <f>IMABS(AC101)</f>
        <v>0</v>
      </c>
      <c r="AG101" s="6">
        <f>IMABS(AD101)</f>
        <v>0</v>
      </c>
      <c r="AH101" s="7">
        <f>20*LOG10(MAX(AE101,1E-300)*1E6)</f>
        <v>0</v>
      </c>
      <c r="AI101" s="7">
        <f>20*LOG10(MAX(AF101,1E-300)*1E6)</f>
        <v>0</v>
      </c>
      <c r="AJ101" s="7">
        <f>20*LOG10(MAX(AG101,1E-300)*1E6)</f>
        <v>0</v>
      </c>
      <c r="AK101" s="7">
        <f>DEGREES(IMARGUMENT(AB101))</f>
        <v>0</v>
      </c>
      <c r="AL101" s="7">
        <f>DEGREES(IMARGUMENT(AC101))</f>
        <v>0</v>
      </c>
      <c r="AM101" s="7">
        <f>DEGREES(IMARGUMENT(AD101))</f>
        <v>0</v>
      </c>
    </row>
    <row r="102" spans="1:39">
      <c r="A102" s="6">
        <f>10^(LOG10(F_START)+(ROW()-ROW($A$2))*(LOG10(F_STOP)-LOG10(F_START))/(N_POINTS-1))</f>
        <v>0</v>
      </c>
      <c r="B102" s="6">
        <f>2*PI()*A102</f>
        <v>0</v>
      </c>
      <c r="C102">
        <f>COMPLEX(2*LINE_PS_DCR,2*B102*LINE_PS_L)</f>
        <v>0</v>
      </c>
      <c r="D102">
        <f>IMSUM(COMPLEX(0,B102*(LINE_PS_CLINE+LINE_PS_CCHA/2)),IMDIV("1",IMPRODUCT("2",COMPLEX(C_THROUGH_ESR,B102*C_THROUGH_ESL-1/(B102*C_THROUGH_C)))))</f>
        <v>0</v>
      </c>
      <c r="E102">
        <f>COMPLEX(2*LINE_INPUT_DCR,2*B102*LINE_INPUT_L)</f>
        <v>0</v>
      </c>
      <c r="F102">
        <f>COMPLEX(0,B102*(LINE_INPUT_CLINE+LINE_INPUT_CCHA/2))</f>
        <v>0</v>
      </c>
      <c r="G102">
        <f>IMPRODUCT("2",IMDIV("1",IMSUM(IMDIV("1",COMPLEX(LDM1_DCR,B102*LDM1_L)),COMPLEX(0,B102*LDM1_CPA))))</f>
        <v>0</v>
      </c>
      <c r="H102">
        <f>IMSUM(IMDIV("1",COMPLEX(CX1_ESR,B102*CX1_ESL-1/(B102*CX1_C))),IMDIV("1",IMSUM(COMPLEX(DUMP1_R,0),COMPLEX(DUMP1_ESR,B102*DUMP1_ESL-1/(B102*DUMP1_C)))))</f>
        <v>0</v>
      </c>
      <c r="I102">
        <f>IMPRODUCT("2",IMDIV("1",IMSUM(IMDIV("1",COMPLEX(LDM2_DCR,B102*LDM2_L)),COMPLEX(0,B102*LDM2_CPA))))</f>
        <v>0</v>
      </c>
      <c r="J102">
        <f>IMSUM(IMDIV("1",COMPLEX(CX2_ESR,B102*CX2_ESL-1/(B102*CX2_C))),IMDIV("1",IMSUM(COMPLEX(DUMP2_R,0),COMPLEX(DUMP2_ESR,B102*DUMP2_ESL-1/(B102*DUMP2_C)))))</f>
        <v>0</v>
      </c>
      <c r="K102">
        <f>IMPRODUCT("2",IMDIV("1",IMSUM(IMDIV("1",COMPLEX(CMC_DCR,B102*CMC_L*(1-CMC_K))),COMPLEX(0,B102*CMC_CPA))))</f>
        <v>0</v>
      </c>
      <c r="L102">
        <f>IMSUM(COMPLEX(0,B102*CMC_CLINE),IMDIV("1",IMPRODUCT("2",COMPLEX(CY_ESR,B102*CY_ESL-1/(B102*CY_C)))),COMPLEX(1/DUMMY_R,0))</f>
        <v>0</v>
      </c>
      <c r="M102">
        <f>IMSUM(D102,IMDIV("1",C102))</f>
        <v>0</v>
      </c>
      <c r="N102">
        <f>IMDIV("1",IMSUM(E102,IMDIV("1",M102)))</f>
        <v>0</v>
      </c>
      <c r="O102">
        <f>IMSUM(F102,N102)</f>
        <v>0</v>
      </c>
      <c r="P102">
        <f>IMDIV("1",IMSUM(G102,IMDIV("1",O102)))</f>
        <v>0</v>
      </c>
      <c r="Q102">
        <f>IMSUM(H102,P102)</f>
        <v>0</v>
      </c>
      <c r="R102">
        <f>IMDIV("1",IMSUM(I102,IMDIV("1",Q102)))</f>
        <v>0</v>
      </c>
      <c r="S102">
        <f>IMSUM(J102,R102)</f>
        <v>0</v>
      </c>
      <c r="T102">
        <f>IMDIV("1",IMSUM(K102,IMDIV("1",S102)))</f>
        <v>0</v>
      </c>
      <c r="U102">
        <f>IMSUM(L102,T102)</f>
        <v>0</v>
      </c>
      <c r="V102">
        <f>IMDIV(COMPLEX(I_DM_SOURCE,0),U102)</f>
        <v>0</v>
      </c>
      <c r="W102">
        <f>IMPRODUCT(V102,T102)</f>
        <v>0</v>
      </c>
      <c r="X102">
        <f>IMDIV(W102,S102)</f>
        <v>0</v>
      </c>
      <c r="Y102">
        <f>IMPRODUCT(X102,R102)</f>
        <v>0</v>
      </c>
      <c r="Z102">
        <f>IMDIV(Y102,Q102)</f>
        <v>0</v>
      </c>
      <c r="AA102">
        <f>IMPRODUCT(Z102,P102)</f>
        <v>0</v>
      </c>
      <c r="AB102">
        <f>AA102</f>
        <v>0</v>
      </c>
      <c r="AC102">
        <f>IMPRODUCT("-1",AB102)</f>
        <v>0</v>
      </c>
      <c r="AD102">
        <f>IMDIV(IMSUB(AB102,AC102),"2")</f>
        <v>0</v>
      </c>
      <c r="AE102" s="6">
        <f>IMABS(AB102)</f>
        <v>0</v>
      </c>
      <c r="AF102" s="6">
        <f>IMABS(AC102)</f>
        <v>0</v>
      </c>
      <c r="AG102" s="6">
        <f>IMABS(AD102)</f>
        <v>0</v>
      </c>
      <c r="AH102" s="7">
        <f>20*LOG10(MAX(AE102,1E-300)*1E6)</f>
        <v>0</v>
      </c>
      <c r="AI102" s="7">
        <f>20*LOG10(MAX(AF102,1E-300)*1E6)</f>
        <v>0</v>
      </c>
      <c r="AJ102" s="7">
        <f>20*LOG10(MAX(AG102,1E-300)*1E6)</f>
        <v>0</v>
      </c>
      <c r="AK102" s="7">
        <f>DEGREES(IMARGUMENT(AB102))</f>
        <v>0</v>
      </c>
      <c r="AL102" s="7">
        <f>DEGREES(IMARGUMENT(AC102))</f>
        <v>0</v>
      </c>
      <c r="AM102" s="7">
        <f>DEGREES(IMARGUMENT(AD102))</f>
        <v>0</v>
      </c>
    </row>
    <row r="103" spans="1:39">
      <c r="A103" s="6">
        <f>10^(LOG10(F_START)+(ROW()-ROW($A$2))*(LOG10(F_STOP)-LOG10(F_START))/(N_POINTS-1))</f>
        <v>0</v>
      </c>
      <c r="B103" s="6">
        <f>2*PI()*A103</f>
        <v>0</v>
      </c>
      <c r="C103">
        <f>COMPLEX(2*LINE_PS_DCR,2*B103*LINE_PS_L)</f>
        <v>0</v>
      </c>
      <c r="D103">
        <f>IMSUM(COMPLEX(0,B103*(LINE_PS_CLINE+LINE_PS_CCHA/2)),IMDIV("1",IMPRODUCT("2",COMPLEX(C_THROUGH_ESR,B103*C_THROUGH_ESL-1/(B103*C_THROUGH_C)))))</f>
        <v>0</v>
      </c>
      <c r="E103">
        <f>COMPLEX(2*LINE_INPUT_DCR,2*B103*LINE_INPUT_L)</f>
        <v>0</v>
      </c>
      <c r="F103">
        <f>COMPLEX(0,B103*(LINE_INPUT_CLINE+LINE_INPUT_CCHA/2))</f>
        <v>0</v>
      </c>
      <c r="G103">
        <f>IMPRODUCT("2",IMDIV("1",IMSUM(IMDIV("1",COMPLEX(LDM1_DCR,B103*LDM1_L)),COMPLEX(0,B103*LDM1_CPA))))</f>
        <v>0</v>
      </c>
      <c r="H103">
        <f>IMSUM(IMDIV("1",COMPLEX(CX1_ESR,B103*CX1_ESL-1/(B103*CX1_C))),IMDIV("1",IMSUM(COMPLEX(DUMP1_R,0),COMPLEX(DUMP1_ESR,B103*DUMP1_ESL-1/(B103*DUMP1_C)))))</f>
        <v>0</v>
      </c>
      <c r="I103">
        <f>IMPRODUCT("2",IMDIV("1",IMSUM(IMDIV("1",COMPLEX(LDM2_DCR,B103*LDM2_L)),COMPLEX(0,B103*LDM2_CPA))))</f>
        <v>0</v>
      </c>
      <c r="J103">
        <f>IMSUM(IMDIV("1",COMPLEX(CX2_ESR,B103*CX2_ESL-1/(B103*CX2_C))),IMDIV("1",IMSUM(COMPLEX(DUMP2_R,0),COMPLEX(DUMP2_ESR,B103*DUMP2_ESL-1/(B103*DUMP2_C)))))</f>
        <v>0</v>
      </c>
      <c r="K103">
        <f>IMPRODUCT("2",IMDIV("1",IMSUM(IMDIV("1",COMPLEX(CMC_DCR,B103*CMC_L*(1-CMC_K))),COMPLEX(0,B103*CMC_CPA))))</f>
        <v>0</v>
      </c>
      <c r="L103">
        <f>IMSUM(COMPLEX(0,B103*CMC_CLINE),IMDIV("1",IMPRODUCT("2",COMPLEX(CY_ESR,B103*CY_ESL-1/(B103*CY_C)))),COMPLEX(1/DUMMY_R,0))</f>
        <v>0</v>
      </c>
      <c r="M103">
        <f>IMSUM(D103,IMDIV("1",C103))</f>
        <v>0</v>
      </c>
      <c r="N103">
        <f>IMDIV("1",IMSUM(E103,IMDIV("1",M103)))</f>
        <v>0</v>
      </c>
      <c r="O103">
        <f>IMSUM(F103,N103)</f>
        <v>0</v>
      </c>
      <c r="P103">
        <f>IMDIV("1",IMSUM(G103,IMDIV("1",O103)))</f>
        <v>0</v>
      </c>
      <c r="Q103">
        <f>IMSUM(H103,P103)</f>
        <v>0</v>
      </c>
      <c r="R103">
        <f>IMDIV("1",IMSUM(I103,IMDIV("1",Q103)))</f>
        <v>0</v>
      </c>
      <c r="S103">
        <f>IMSUM(J103,R103)</f>
        <v>0</v>
      </c>
      <c r="T103">
        <f>IMDIV("1",IMSUM(K103,IMDIV("1",S103)))</f>
        <v>0</v>
      </c>
      <c r="U103">
        <f>IMSUM(L103,T103)</f>
        <v>0</v>
      </c>
      <c r="V103">
        <f>IMDIV(COMPLEX(I_DM_SOURCE,0),U103)</f>
        <v>0</v>
      </c>
      <c r="W103">
        <f>IMPRODUCT(V103,T103)</f>
        <v>0</v>
      </c>
      <c r="X103">
        <f>IMDIV(W103,S103)</f>
        <v>0</v>
      </c>
      <c r="Y103">
        <f>IMPRODUCT(X103,R103)</f>
        <v>0</v>
      </c>
      <c r="Z103">
        <f>IMDIV(Y103,Q103)</f>
        <v>0</v>
      </c>
      <c r="AA103">
        <f>IMPRODUCT(Z103,P103)</f>
        <v>0</v>
      </c>
      <c r="AB103">
        <f>AA103</f>
        <v>0</v>
      </c>
      <c r="AC103">
        <f>IMPRODUCT("-1",AB103)</f>
        <v>0</v>
      </c>
      <c r="AD103">
        <f>IMDIV(IMSUB(AB103,AC103),"2")</f>
        <v>0</v>
      </c>
      <c r="AE103" s="6">
        <f>IMABS(AB103)</f>
        <v>0</v>
      </c>
      <c r="AF103" s="6">
        <f>IMABS(AC103)</f>
        <v>0</v>
      </c>
      <c r="AG103" s="6">
        <f>IMABS(AD103)</f>
        <v>0</v>
      </c>
      <c r="AH103" s="7">
        <f>20*LOG10(MAX(AE103,1E-300)*1E6)</f>
        <v>0</v>
      </c>
      <c r="AI103" s="7">
        <f>20*LOG10(MAX(AF103,1E-300)*1E6)</f>
        <v>0</v>
      </c>
      <c r="AJ103" s="7">
        <f>20*LOG10(MAX(AG103,1E-300)*1E6)</f>
        <v>0</v>
      </c>
      <c r="AK103" s="7">
        <f>DEGREES(IMARGUMENT(AB103))</f>
        <v>0</v>
      </c>
      <c r="AL103" s="7">
        <f>DEGREES(IMARGUMENT(AC103))</f>
        <v>0</v>
      </c>
      <c r="AM103" s="7">
        <f>DEGREES(IMARGUMENT(AD103))</f>
        <v>0</v>
      </c>
    </row>
    <row r="104" spans="1:39">
      <c r="A104" s="6">
        <f>10^(LOG10(F_START)+(ROW()-ROW($A$2))*(LOG10(F_STOP)-LOG10(F_START))/(N_POINTS-1))</f>
        <v>0</v>
      </c>
      <c r="B104" s="6">
        <f>2*PI()*A104</f>
        <v>0</v>
      </c>
      <c r="C104">
        <f>COMPLEX(2*LINE_PS_DCR,2*B104*LINE_PS_L)</f>
        <v>0</v>
      </c>
      <c r="D104">
        <f>IMSUM(COMPLEX(0,B104*(LINE_PS_CLINE+LINE_PS_CCHA/2)),IMDIV("1",IMPRODUCT("2",COMPLEX(C_THROUGH_ESR,B104*C_THROUGH_ESL-1/(B104*C_THROUGH_C)))))</f>
        <v>0</v>
      </c>
      <c r="E104">
        <f>COMPLEX(2*LINE_INPUT_DCR,2*B104*LINE_INPUT_L)</f>
        <v>0</v>
      </c>
      <c r="F104">
        <f>COMPLEX(0,B104*(LINE_INPUT_CLINE+LINE_INPUT_CCHA/2))</f>
        <v>0</v>
      </c>
      <c r="G104">
        <f>IMPRODUCT("2",IMDIV("1",IMSUM(IMDIV("1",COMPLEX(LDM1_DCR,B104*LDM1_L)),COMPLEX(0,B104*LDM1_CPA))))</f>
        <v>0</v>
      </c>
      <c r="H104">
        <f>IMSUM(IMDIV("1",COMPLEX(CX1_ESR,B104*CX1_ESL-1/(B104*CX1_C))),IMDIV("1",IMSUM(COMPLEX(DUMP1_R,0),COMPLEX(DUMP1_ESR,B104*DUMP1_ESL-1/(B104*DUMP1_C)))))</f>
        <v>0</v>
      </c>
      <c r="I104">
        <f>IMPRODUCT("2",IMDIV("1",IMSUM(IMDIV("1",COMPLEX(LDM2_DCR,B104*LDM2_L)),COMPLEX(0,B104*LDM2_CPA))))</f>
        <v>0</v>
      </c>
      <c r="J104">
        <f>IMSUM(IMDIV("1",COMPLEX(CX2_ESR,B104*CX2_ESL-1/(B104*CX2_C))),IMDIV("1",IMSUM(COMPLEX(DUMP2_R,0),COMPLEX(DUMP2_ESR,B104*DUMP2_ESL-1/(B104*DUMP2_C)))))</f>
        <v>0</v>
      </c>
      <c r="K104">
        <f>IMPRODUCT("2",IMDIV("1",IMSUM(IMDIV("1",COMPLEX(CMC_DCR,B104*CMC_L*(1-CMC_K))),COMPLEX(0,B104*CMC_CPA))))</f>
        <v>0</v>
      </c>
      <c r="L104">
        <f>IMSUM(COMPLEX(0,B104*CMC_CLINE),IMDIV("1",IMPRODUCT("2",COMPLEX(CY_ESR,B104*CY_ESL-1/(B104*CY_C)))),COMPLEX(1/DUMMY_R,0))</f>
        <v>0</v>
      </c>
      <c r="M104">
        <f>IMSUM(D104,IMDIV("1",C104))</f>
        <v>0</v>
      </c>
      <c r="N104">
        <f>IMDIV("1",IMSUM(E104,IMDIV("1",M104)))</f>
        <v>0</v>
      </c>
      <c r="O104">
        <f>IMSUM(F104,N104)</f>
        <v>0</v>
      </c>
      <c r="P104">
        <f>IMDIV("1",IMSUM(G104,IMDIV("1",O104)))</f>
        <v>0</v>
      </c>
      <c r="Q104">
        <f>IMSUM(H104,P104)</f>
        <v>0</v>
      </c>
      <c r="R104">
        <f>IMDIV("1",IMSUM(I104,IMDIV("1",Q104)))</f>
        <v>0</v>
      </c>
      <c r="S104">
        <f>IMSUM(J104,R104)</f>
        <v>0</v>
      </c>
      <c r="T104">
        <f>IMDIV("1",IMSUM(K104,IMDIV("1",S104)))</f>
        <v>0</v>
      </c>
      <c r="U104">
        <f>IMSUM(L104,T104)</f>
        <v>0</v>
      </c>
      <c r="V104">
        <f>IMDIV(COMPLEX(I_DM_SOURCE,0),U104)</f>
        <v>0</v>
      </c>
      <c r="W104">
        <f>IMPRODUCT(V104,T104)</f>
        <v>0</v>
      </c>
      <c r="X104">
        <f>IMDIV(W104,S104)</f>
        <v>0</v>
      </c>
      <c r="Y104">
        <f>IMPRODUCT(X104,R104)</f>
        <v>0</v>
      </c>
      <c r="Z104">
        <f>IMDIV(Y104,Q104)</f>
        <v>0</v>
      </c>
      <c r="AA104">
        <f>IMPRODUCT(Z104,P104)</f>
        <v>0</v>
      </c>
      <c r="AB104">
        <f>AA104</f>
        <v>0</v>
      </c>
      <c r="AC104">
        <f>IMPRODUCT("-1",AB104)</f>
        <v>0</v>
      </c>
      <c r="AD104">
        <f>IMDIV(IMSUB(AB104,AC104),"2")</f>
        <v>0</v>
      </c>
      <c r="AE104" s="6">
        <f>IMABS(AB104)</f>
        <v>0</v>
      </c>
      <c r="AF104" s="6">
        <f>IMABS(AC104)</f>
        <v>0</v>
      </c>
      <c r="AG104" s="6">
        <f>IMABS(AD104)</f>
        <v>0</v>
      </c>
      <c r="AH104" s="7">
        <f>20*LOG10(MAX(AE104,1E-300)*1E6)</f>
        <v>0</v>
      </c>
      <c r="AI104" s="7">
        <f>20*LOG10(MAX(AF104,1E-300)*1E6)</f>
        <v>0</v>
      </c>
      <c r="AJ104" s="7">
        <f>20*LOG10(MAX(AG104,1E-300)*1E6)</f>
        <v>0</v>
      </c>
      <c r="AK104" s="7">
        <f>DEGREES(IMARGUMENT(AB104))</f>
        <v>0</v>
      </c>
      <c r="AL104" s="7">
        <f>DEGREES(IMARGUMENT(AC104))</f>
        <v>0</v>
      </c>
      <c r="AM104" s="7">
        <f>DEGREES(IMARGUMENT(AD104))</f>
        <v>0</v>
      </c>
    </row>
    <row r="105" spans="1:39">
      <c r="A105" s="6">
        <f>10^(LOG10(F_START)+(ROW()-ROW($A$2))*(LOG10(F_STOP)-LOG10(F_START))/(N_POINTS-1))</f>
        <v>0</v>
      </c>
      <c r="B105" s="6">
        <f>2*PI()*A105</f>
        <v>0</v>
      </c>
      <c r="C105">
        <f>COMPLEX(2*LINE_PS_DCR,2*B105*LINE_PS_L)</f>
        <v>0</v>
      </c>
      <c r="D105">
        <f>IMSUM(COMPLEX(0,B105*(LINE_PS_CLINE+LINE_PS_CCHA/2)),IMDIV("1",IMPRODUCT("2",COMPLEX(C_THROUGH_ESR,B105*C_THROUGH_ESL-1/(B105*C_THROUGH_C)))))</f>
        <v>0</v>
      </c>
      <c r="E105">
        <f>COMPLEX(2*LINE_INPUT_DCR,2*B105*LINE_INPUT_L)</f>
        <v>0</v>
      </c>
      <c r="F105">
        <f>COMPLEX(0,B105*(LINE_INPUT_CLINE+LINE_INPUT_CCHA/2))</f>
        <v>0</v>
      </c>
      <c r="G105">
        <f>IMPRODUCT("2",IMDIV("1",IMSUM(IMDIV("1",COMPLEX(LDM1_DCR,B105*LDM1_L)),COMPLEX(0,B105*LDM1_CPA))))</f>
        <v>0</v>
      </c>
      <c r="H105">
        <f>IMSUM(IMDIV("1",COMPLEX(CX1_ESR,B105*CX1_ESL-1/(B105*CX1_C))),IMDIV("1",IMSUM(COMPLEX(DUMP1_R,0),COMPLEX(DUMP1_ESR,B105*DUMP1_ESL-1/(B105*DUMP1_C)))))</f>
        <v>0</v>
      </c>
      <c r="I105">
        <f>IMPRODUCT("2",IMDIV("1",IMSUM(IMDIV("1",COMPLEX(LDM2_DCR,B105*LDM2_L)),COMPLEX(0,B105*LDM2_CPA))))</f>
        <v>0</v>
      </c>
      <c r="J105">
        <f>IMSUM(IMDIV("1",COMPLEX(CX2_ESR,B105*CX2_ESL-1/(B105*CX2_C))),IMDIV("1",IMSUM(COMPLEX(DUMP2_R,0),COMPLEX(DUMP2_ESR,B105*DUMP2_ESL-1/(B105*DUMP2_C)))))</f>
        <v>0</v>
      </c>
      <c r="K105">
        <f>IMPRODUCT("2",IMDIV("1",IMSUM(IMDIV("1",COMPLEX(CMC_DCR,B105*CMC_L*(1-CMC_K))),COMPLEX(0,B105*CMC_CPA))))</f>
        <v>0</v>
      </c>
      <c r="L105">
        <f>IMSUM(COMPLEX(0,B105*CMC_CLINE),IMDIV("1",IMPRODUCT("2",COMPLEX(CY_ESR,B105*CY_ESL-1/(B105*CY_C)))),COMPLEX(1/DUMMY_R,0))</f>
        <v>0</v>
      </c>
      <c r="M105">
        <f>IMSUM(D105,IMDIV("1",C105))</f>
        <v>0</v>
      </c>
      <c r="N105">
        <f>IMDIV("1",IMSUM(E105,IMDIV("1",M105)))</f>
        <v>0</v>
      </c>
      <c r="O105">
        <f>IMSUM(F105,N105)</f>
        <v>0</v>
      </c>
      <c r="P105">
        <f>IMDIV("1",IMSUM(G105,IMDIV("1",O105)))</f>
        <v>0</v>
      </c>
      <c r="Q105">
        <f>IMSUM(H105,P105)</f>
        <v>0</v>
      </c>
      <c r="R105">
        <f>IMDIV("1",IMSUM(I105,IMDIV("1",Q105)))</f>
        <v>0</v>
      </c>
      <c r="S105">
        <f>IMSUM(J105,R105)</f>
        <v>0</v>
      </c>
      <c r="T105">
        <f>IMDIV("1",IMSUM(K105,IMDIV("1",S105)))</f>
        <v>0</v>
      </c>
      <c r="U105">
        <f>IMSUM(L105,T105)</f>
        <v>0</v>
      </c>
      <c r="V105">
        <f>IMDIV(COMPLEX(I_DM_SOURCE,0),U105)</f>
        <v>0</v>
      </c>
      <c r="W105">
        <f>IMPRODUCT(V105,T105)</f>
        <v>0</v>
      </c>
      <c r="X105">
        <f>IMDIV(W105,S105)</f>
        <v>0</v>
      </c>
      <c r="Y105">
        <f>IMPRODUCT(X105,R105)</f>
        <v>0</v>
      </c>
      <c r="Z105">
        <f>IMDIV(Y105,Q105)</f>
        <v>0</v>
      </c>
      <c r="AA105">
        <f>IMPRODUCT(Z105,P105)</f>
        <v>0</v>
      </c>
      <c r="AB105">
        <f>AA105</f>
        <v>0</v>
      </c>
      <c r="AC105">
        <f>IMPRODUCT("-1",AB105)</f>
        <v>0</v>
      </c>
      <c r="AD105">
        <f>IMDIV(IMSUB(AB105,AC105),"2")</f>
        <v>0</v>
      </c>
      <c r="AE105" s="6">
        <f>IMABS(AB105)</f>
        <v>0</v>
      </c>
      <c r="AF105" s="6">
        <f>IMABS(AC105)</f>
        <v>0</v>
      </c>
      <c r="AG105" s="6">
        <f>IMABS(AD105)</f>
        <v>0</v>
      </c>
      <c r="AH105" s="7">
        <f>20*LOG10(MAX(AE105,1E-300)*1E6)</f>
        <v>0</v>
      </c>
      <c r="AI105" s="7">
        <f>20*LOG10(MAX(AF105,1E-300)*1E6)</f>
        <v>0</v>
      </c>
      <c r="AJ105" s="7">
        <f>20*LOG10(MAX(AG105,1E-300)*1E6)</f>
        <v>0</v>
      </c>
      <c r="AK105" s="7">
        <f>DEGREES(IMARGUMENT(AB105))</f>
        <v>0</v>
      </c>
      <c r="AL105" s="7">
        <f>DEGREES(IMARGUMENT(AC105))</f>
        <v>0</v>
      </c>
      <c r="AM105" s="7">
        <f>DEGREES(IMARGUMENT(AD105))</f>
        <v>0</v>
      </c>
    </row>
    <row r="106" spans="1:39">
      <c r="A106" s="6">
        <f>10^(LOG10(F_START)+(ROW()-ROW($A$2))*(LOG10(F_STOP)-LOG10(F_START))/(N_POINTS-1))</f>
        <v>0</v>
      </c>
      <c r="B106" s="6">
        <f>2*PI()*A106</f>
        <v>0</v>
      </c>
      <c r="C106">
        <f>COMPLEX(2*LINE_PS_DCR,2*B106*LINE_PS_L)</f>
        <v>0</v>
      </c>
      <c r="D106">
        <f>IMSUM(COMPLEX(0,B106*(LINE_PS_CLINE+LINE_PS_CCHA/2)),IMDIV("1",IMPRODUCT("2",COMPLEX(C_THROUGH_ESR,B106*C_THROUGH_ESL-1/(B106*C_THROUGH_C)))))</f>
        <v>0</v>
      </c>
      <c r="E106">
        <f>COMPLEX(2*LINE_INPUT_DCR,2*B106*LINE_INPUT_L)</f>
        <v>0</v>
      </c>
      <c r="F106">
        <f>COMPLEX(0,B106*(LINE_INPUT_CLINE+LINE_INPUT_CCHA/2))</f>
        <v>0</v>
      </c>
      <c r="G106">
        <f>IMPRODUCT("2",IMDIV("1",IMSUM(IMDIV("1",COMPLEX(LDM1_DCR,B106*LDM1_L)),COMPLEX(0,B106*LDM1_CPA))))</f>
        <v>0</v>
      </c>
      <c r="H106">
        <f>IMSUM(IMDIV("1",COMPLEX(CX1_ESR,B106*CX1_ESL-1/(B106*CX1_C))),IMDIV("1",IMSUM(COMPLEX(DUMP1_R,0),COMPLEX(DUMP1_ESR,B106*DUMP1_ESL-1/(B106*DUMP1_C)))))</f>
        <v>0</v>
      </c>
      <c r="I106">
        <f>IMPRODUCT("2",IMDIV("1",IMSUM(IMDIV("1",COMPLEX(LDM2_DCR,B106*LDM2_L)),COMPLEX(0,B106*LDM2_CPA))))</f>
        <v>0</v>
      </c>
      <c r="J106">
        <f>IMSUM(IMDIV("1",COMPLEX(CX2_ESR,B106*CX2_ESL-1/(B106*CX2_C))),IMDIV("1",IMSUM(COMPLEX(DUMP2_R,0),COMPLEX(DUMP2_ESR,B106*DUMP2_ESL-1/(B106*DUMP2_C)))))</f>
        <v>0</v>
      </c>
      <c r="K106">
        <f>IMPRODUCT("2",IMDIV("1",IMSUM(IMDIV("1",COMPLEX(CMC_DCR,B106*CMC_L*(1-CMC_K))),COMPLEX(0,B106*CMC_CPA))))</f>
        <v>0</v>
      </c>
      <c r="L106">
        <f>IMSUM(COMPLEX(0,B106*CMC_CLINE),IMDIV("1",IMPRODUCT("2",COMPLEX(CY_ESR,B106*CY_ESL-1/(B106*CY_C)))),COMPLEX(1/DUMMY_R,0))</f>
        <v>0</v>
      </c>
      <c r="M106">
        <f>IMSUM(D106,IMDIV("1",C106))</f>
        <v>0</v>
      </c>
      <c r="N106">
        <f>IMDIV("1",IMSUM(E106,IMDIV("1",M106)))</f>
        <v>0</v>
      </c>
      <c r="O106">
        <f>IMSUM(F106,N106)</f>
        <v>0</v>
      </c>
      <c r="P106">
        <f>IMDIV("1",IMSUM(G106,IMDIV("1",O106)))</f>
        <v>0</v>
      </c>
      <c r="Q106">
        <f>IMSUM(H106,P106)</f>
        <v>0</v>
      </c>
      <c r="R106">
        <f>IMDIV("1",IMSUM(I106,IMDIV("1",Q106)))</f>
        <v>0</v>
      </c>
      <c r="S106">
        <f>IMSUM(J106,R106)</f>
        <v>0</v>
      </c>
      <c r="T106">
        <f>IMDIV("1",IMSUM(K106,IMDIV("1",S106)))</f>
        <v>0</v>
      </c>
      <c r="U106">
        <f>IMSUM(L106,T106)</f>
        <v>0</v>
      </c>
      <c r="V106">
        <f>IMDIV(COMPLEX(I_DM_SOURCE,0),U106)</f>
        <v>0</v>
      </c>
      <c r="W106">
        <f>IMPRODUCT(V106,T106)</f>
        <v>0</v>
      </c>
      <c r="X106">
        <f>IMDIV(W106,S106)</f>
        <v>0</v>
      </c>
      <c r="Y106">
        <f>IMPRODUCT(X106,R106)</f>
        <v>0</v>
      </c>
      <c r="Z106">
        <f>IMDIV(Y106,Q106)</f>
        <v>0</v>
      </c>
      <c r="AA106">
        <f>IMPRODUCT(Z106,P106)</f>
        <v>0</v>
      </c>
      <c r="AB106">
        <f>AA106</f>
        <v>0</v>
      </c>
      <c r="AC106">
        <f>IMPRODUCT("-1",AB106)</f>
        <v>0</v>
      </c>
      <c r="AD106">
        <f>IMDIV(IMSUB(AB106,AC106),"2")</f>
        <v>0</v>
      </c>
      <c r="AE106" s="6">
        <f>IMABS(AB106)</f>
        <v>0</v>
      </c>
      <c r="AF106" s="6">
        <f>IMABS(AC106)</f>
        <v>0</v>
      </c>
      <c r="AG106" s="6">
        <f>IMABS(AD106)</f>
        <v>0</v>
      </c>
      <c r="AH106" s="7">
        <f>20*LOG10(MAX(AE106,1E-300)*1E6)</f>
        <v>0</v>
      </c>
      <c r="AI106" s="7">
        <f>20*LOG10(MAX(AF106,1E-300)*1E6)</f>
        <v>0</v>
      </c>
      <c r="AJ106" s="7">
        <f>20*LOG10(MAX(AG106,1E-300)*1E6)</f>
        <v>0</v>
      </c>
      <c r="AK106" s="7">
        <f>DEGREES(IMARGUMENT(AB106))</f>
        <v>0</v>
      </c>
      <c r="AL106" s="7">
        <f>DEGREES(IMARGUMENT(AC106))</f>
        <v>0</v>
      </c>
      <c r="AM106" s="7">
        <f>DEGREES(IMARGUMENT(AD106))</f>
        <v>0</v>
      </c>
    </row>
    <row r="107" spans="1:39">
      <c r="A107" s="6">
        <f>10^(LOG10(F_START)+(ROW()-ROW($A$2))*(LOG10(F_STOP)-LOG10(F_START))/(N_POINTS-1))</f>
        <v>0</v>
      </c>
      <c r="B107" s="6">
        <f>2*PI()*A107</f>
        <v>0</v>
      </c>
      <c r="C107">
        <f>COMPLEX(2*LINE_PS_DCR,2*B107*LINE_PS_L)</f>
        <v>0</v>
      </c>
      <c r="D107">
        <f>IMSUM(COMPLEX(0,B107*(LINE_PS_CLINE+LINE_PS_CCHA/2)),IMDIV("1",IMPRODUCT("2",COMPLEX(C_THROUGH_ESR,B107*C_THROUGH_ESL-1/(B107*C_THROUGH_C)))))</f>
        <v>0</v>
      </c>
      <c r="E107">
        <f>COMPLEX(2*LINE_INPUT_DCR,2*B107*LINE_INPUT_L)</f>
        <v>0</v>
      </c>
      <c r="F107">
        <f>COMPLEX(0,B107*(LINE_INPUT_CLINE+LINE_INPUT_CCHA/2))</f>
        <v>0</v>
      </c>
      <c r="G107">
        <f>IMPRODUCT("2",IMDIV("1",IMSUM(IMDIV("1",COMPLEX(LDM1_DCR,B107*LDM1_L)),COMPLEX(0,B107*LDM1_CPA))))</f>
        <v>0</v>
      </c>
      <c r="H107">
        <f>IMSUM(IMDIV("1",COMPLEX(CX1_ESR,B107*CX1_ESL-1/(B107*CX1_C))),IMDIV("1",IMSUM(COMPLEX(DUMP1_R,0),COMPLEX(DUMP1_ESR,B107*DUMP1_ESL-1/(B107*DUMP1_C)))))</f>
        <v>0</v>
      </c>
      <c r="I107">
        <f>IMPRODUCT("2",IMDIV("1",IMSUM(IMDIV("1",COMPLEX(LDM2_DCR,B107*LDM2_L)),COMPLEX(0,B107*LDM2_CPA))))</f>
        <v>0</v>
      </c>
      <c r="J107">
        <f>IMSUM(IMDIV("1",COMPLEX(CX2_ESR,B107*CX2_ESL-1/(B107*CX2_C))),IMDIV("1",IMSUM(COMPLEX(DUMP2_R,0),COMPLEX(DUMP2_ESR,B107*DUMP2_ESL-1/(B107*DUMP2_C)))))</f>
        <v>0</v>
      </c>
      <c r="K107">
        <f>IMPRODUCT("2",IMDIV("1",IMSUM(IMDIV("1",COMPLEX(CMC_DCR,B107*CMC_L*(1-CMC_K))),COMPLEX(0,B107*CMC_CPA))))</f>
        <v>0</v>
      </c>
      <c r="L107">
        <f>IMSUM(COMPLEX(0,B107*CMC_CLINE),IMDIV("1",IMPRODUCT("2",COMPLEX(CY_ESR,B107*CY_ESL-1/(B107*CY_C)))),COMPLEX(1/DUMMY_R,0))</f>
        <v>0</v>
      </c>
      <c r="M107">
        <f>IMSUM(D107,IMDIV("1",C107))</f>
        <v>0</v>
      </c>
      <c r="N107">
        <f>IMDIV("1",IMSUM(E107,IMDIV("1",M107)))</f>
        <v>0</v>
      </c>
      <c r="O107">
        <f>IMSUM(F107,N107)</f>
        <v>0</v>
      </c>
      <c r="P107">
        <f>IMDIV("1",IMSUM(G107,IMDIV("1",O107)))</f>
        <v>0</v>
      </c>
      <c r="Q107">
        <f>IMSUM(H107,P107)</f>
        <v>0</v>
      </c>
      <c r="R107">
        <f>IMDIV("1",IMSUM(I107,IMDIV("1",Q107)))</f>
        <v>0</v>
      </c>
      <c r="S107">
        <f>IMSUM(J107,R107)</f>
        <v>0</v>
      </c>
      <c r="T107">
        <f>IMDIV("1",IMSUM(K107,IMDIV("1",S107)))</f>
        <v>0</v>
      </c>
      <c r="U107">
        <f>IMSUM(L107,T107)</f>
        <v>0</v>
      </c>
      <c r="V107">
        <f>IMDIV(COMPLEX(I_DM_SOURCE,0),U107)</f>
        <v>0</v>
      </c>
      <c r="W107">
        <f>IMPRODUCT(V107,T107)</f>
        <v>0</v>
      </c>
      <c r="X107">
        <f>IMDIV(W107,S107)</f>
        <v>0</v>
      </c>
      <c r="Y107">
        <f>IMPRODUCT(X107,R107)</f>
        <v>0</v>
      </c>
      <c r="Z107">
        <f>IMDIV(Y107,Q107)</f>
        <v>0</v>
      </c>
      <c r="AA107">
        <f>IMPRODUCT(Z107,P107)</f>
        <v>0</v>
      </c>
      <c r="AB107">
        <f>AA107</f>
        <v>0</v>
      </c>
      <c r="AC107">
        <f>IMPRODUCT("-1",AB107)</f>
        <v>0</v>
      </c>
      <c r="AD107">
        <f>IMDIV(IMSUB(AB107,AC107),"2")</f>
        <v>0</v>
      </c>
      <c r="AE107" s="6">
        <f>IMABS(AB107)</f>
        <v>0</v>
      </c>
      <c r="AF107" s="6">
        <f>IMABS(AC107)</f>
        <v>0</v>
      </c>
      <c r="AG107" s="6">
        <f>IMABS(AD107)</f>
        <v>0</v>
      </c>
      <c r="AH107" s="7">
        <f>20*LOG10(MAX(AE107,1E-300)*1E6)</f>
        <v>0</v>
      </c>
      <c r="AI107" s="7">
        <f>20*LOG10(MAX(AF107,1E-300)*1E6)</f>
        <v>0</v>
      </c>
      <c r="AJ107" s="7">
        <f>20*LOG10(MAX(AG107,1E-300)*1E6)</f>
        <v>0</v>
      </c>
      <c r="AK107" s="7">
        <f>DEGREES(IMARGUMENT(AB107))</f>
        <v>0</v>
      </c>
      <c r="AL107" s="7">
        <f>DEGREES(IMARGUMENT(AC107))</f>
        <v>0</v>
      </c>
      <c r="AM107" s="7">
        <f>DEGREES(IMARGUMENT(AD107))</f>
        <v>0</v>
      </c>
    </row>
    <row r="108" spans="1:39">
      <c r="A108" s="6">
        <f>10^(LOG10(F_START)+(ROW()-ROW($A$2))*(LOG10(F_STOP)-LOG10(F_START))/(N_POINTS-1))</f>
        <v>0</v>
      </c>
      <c r="B108" s="6">
        <f>2*PI()*A108</f>
        <v>0</v>
      </c>
      <c r="C108">
        <f>COMPLEX(2*LINE_PS_DCR,2*B108*LINE_PS_L)</f>
        <v>0</v>
      </c>
      <c r="D108">
        <f>IMSUM(COMPLEX(0,B108*(LINE_PS_CLINE+LINE_PS_CCHA/2)),IMDIV("1",IMPRODUCT("2",COMPLEX(C_THROUGH_ESR,B108*C_THROUGH_ESL-1/(B108*C_THROUGH_C)))))</f>
        <v>0</v>
      </c>
      <c r="E108">
        <f>COMPLEX(2*LINE_INPUT_DCR,2*B108*LINE_INPUT_L)</f>
        <v>0</v>
      </c>
      <c r="F108">
        <f>COMPLEX(0,B108*(LINE_INPUT_CLINE+LINE_INPUT_CCHA/2))</f>
        <v>0</v>
      </c>
      <c r="G108">
        <f>IMPRODUCT("2",IMDIV("1",IMSUM(IMDIV("1",COMPLEX(LDM1_DCR,B108*LDM1_L)),COMPLEX(0,B108*LDM1_CPA))))</f>
        <v>0</v>
      </c>
      <c r="H108">
        <f>IMSUM(IMDIV("1",COMPLEX(CX1_ESR,B108*CX1_ESL-1/(B108*CX1_C))),IMDIV("1",IMSUM(COMPLEX(DUMP1_R,0),COMPLEX(DUMP1_ESR,B108*DUMP1_ESL-1/(B108*DUMP1_C)))))</f>
        <v>0</v>
      </c>
      <c r="I108">
        <f>IMPRODUCT("2",IMDIV("1",IMSUM(IMDIV("1",COMPLEX(LDM2_DCR,B108*LDM2_L)),COMPLEX(0,B108*LDM2_CPA))))</f>
        <v>0</v>
      </c>
      <c r="J108">
        <f>IMSUM(IMDIV("1",COMPLEX(CX2_ESR,B108*CX2_ESL-1/(B108*CX2_C))),IMDIV("1",IMSUM(COMPLEX(DUMP2_R,0),COMPLEX(DUMP2_ESR,B108*DUMP2_ESL-1/(B108*DUMP2_C)))))</f>
        <v>0</v>
      </c>
      <c r="K108">
        <f>IMPRODUCT("2",IMDIV("1",IMSUM(IMDIV("1",COMPLEX(CMC_DCR,B108*CMC_L*(1-CMC_K))),COMPLEX(0,B108*CMC_CPA))))</f>
        <v>0</v>
      </c>
      <c r="L108">
        <f>IMSUM(COMPLEX(0,B108*CMC_CLINE),IMDIV("1",IMPRODUCT("2",COMPLEX(CY_ESR,B108*CY_ESL-1/(B108*CY_C)))),COMPLEX(1/DUMMY_R,0))</f>
        <v>0</v>
      </c>
      <c r="M108">
        <f>IMSUM(D108,IMDIV("1",C108))</f>
        <v>0</v>
      </c>
      <c r="N108">
        <f>IMDIV("1",IMSUM(E108,IMDIV("1",M108)))</f>
        <v>0</v>
      </c>
      <c r="O108">
        <f>IMSUM(F108,N108)</f>
        <v>0</v>
      </c>
      <c r="P108">
        <f>IMDIV("1",IMSUM(G108,IMDIV("1",O108)))</f>
        <v>0</v>
      </c>
      <c r="Q108">
        <f>IMSUM(H108,P108)</f>
        <v>0</v>
      </c>
      <c r="R108">
        <f>IMDIV("1",IMSUM(I108,IMDIV("1",Q108)))</f>
        <v>0</v>
      </c>
      <c r="S108">
        <f>IMSUM(J108,R108)</f>
        <v>0</v>
      </c>
      <c r="T108">
        <f>IMDIV("1",IMSUM(K108,IMDIV("1",S108)))</f>
        <v>0</v>
      </c>
      <c r="U108">
        <f>IMSUM(L108,T108)</f>
        <v>0</v>
      </c>
      <c r="V108">
        <f>IMDIV(COMPLEX(I_DM_SOURCE,0),U108)</f>
        <v>0</v>
      </c>
      <c r="W108">
        <f>IMPRODUCT(V108,T108)</f>
        <v>0</v>
      </c>
      <c r="X108">
        <f>IMDIV(W108,S108)</f>
        <v>0</v>
      </c>
      <c r="Y108">
        <f>IMPRODUCT(X108,R108)</f>
        <v>0</v>
      </c>
      <c r="Z108">
        <f>IMDIV(Y108,Q108)</f>
        <v>0</v>
      </c>
      <c r="AA108">
        <f>IMPRODUCT(Z108,P108)</f>
        <v>0</v>
      </c>
      <c r="AB108">
        <f>AA108</f>
        <v>0</v>
      </c>
      <c r="AC108">
        <f>IMPRODUCT("-1",AB108)</f>
        <v>0</v>
      </c>
      <c r="AD108">
        <f>IMDIV(IMSUB(AB108,AC108),"2")</f>
        <v>0</v>
      </c>
      <c r="AE108" s="6">
        <f>IMABS(AB108)</f>
        <v>0</v>
      </c>
      <c r="AF108" s="6">
        <f>IMABS(AC108)</f>
        <v>0</v>
      </c>
      <c r="AG108" s="6">
        <f>IMABS(AD108)</f>
        <v>0</v>
      </c>
      <c r="AH108" s="7">
        <f>20*LOG10(MAX(AE108,1E-300)*1E6)</f>
        <v>0</v>
      </c>
      <c r="AI108" s="7">
        <f>20*LOG10(MAX(AF108,1E-300)*1E6)</f>
        <v>0</v>
      </c>
      <c r="AJ108" s="7">
        <f>20*LOG10(MAX(AG108,1E-300)*1E6)</f>
        <v>0</v>
      </c>
      <c r="AK108" s="7">
        <f>DEGREES(IMARGUMENT(AB108))</f>
        <v>0</v>
      </c>
      <c r="AL108" s="7">
        <f>DEGREES(IMARGUMENT(AC108))</f>
        <v>0</v>
      </c>
      <c r="AM108" s="7">
        <f>DEGREES(IMARGUMENT(AD108))</f>
        <v>0</v>
      </c>
    </row>
    <row r="109" spans="1:39">
      <c r="A109" s="6">
        <f>10^(LOG10(F_START)+(ROW()-ROW($A$2))*(LOG10(F_STOP)-LOG10(F_START))/(N_POINTS-1))</f>
        <v>0</v>
      </c>
      <c r="B109" s="6">
        <f>2*PI()*A109</f>
        <v>0</v>
      </c>
      <c r="C109">
        <f>COMPLEX(2*LINE_PS_DCR,2*B109*LINE_PS_L)</f>
        <v>0</v>
      </c>
      <c r="D109">
        <f>IMSUM(COMPLEX(0,B109*(LINE_PS_CLINE+LINE_PS_CCHA/2)),IMDIV("1",IMPRODUCT("2",COMPLEX(C_THROUGH_ESR,B109*C_THROUGH_ESL-1/(B109*C_THROUGH_C)))))</f>
        <v>0</v>
      </c>
      <c r="E109">
        <f>COMPLEX(2*LINE_INPUT_DCR,2*B109*LINE_INPUT_L)</f>
        <v>0</v>
      </c>
      <c r="F109">
        <f>COMPLEX(0,B109*(LINE_INPUT_CLINE+LINE_INPUT_CCHA/2))</f>
        <v>0</v>
      </c>
      <c r="G109">
        <f>IMPRODUCT("2",IMDIV("1",IMSUM(IMDIV("1",COMPLEX(LDM1_DCR,B109*LDM1_L)),COMPLEX(0,B109*LDM1_CPA))))</f>
        <v>0</v>
      </c>
      <c r="H109">
        <f>IMSUM(IMDIV("1",COMPLEX(CX1_ESR,B109*CX1_ESL-1/(B109*CX1_C))),IMDIV("1",IMSUM(COMPLEX(DUMP1_R,0),COMPLEX(DUMP1_ESR,B109*DUMP1_ESL-1/(B109*DUMP1_C)))))</f>
        <v>0</v>
      </c>
      <c r="I109">
        <f>IMPRODUCT("2",IMDIV("1",IMSUM(IMDIV("1",COMPLEX(LDM2_DCR,B109*LDM2_L)),COMPLEX(0,B109*LDM2_CPA))))</f>
        <v>0</v>
      </c>
      <c r="J109">
        <f>IMSUM(IMDIV("1",COMPLEX(CX2_ESR,B109*CX2_ESL-1/(B109*CX2_C))),IMDIV("1",IMSUM(COMPLEX(DUMP2_R,0),COMPLEX(DUMP2_ESR,B109*DUMP2_ESL-1/(B109*DUMP2_C)))))</f>
        <v>0</v>
      </c>
      <c r="K109">
        <f>IMPRODUCT("2",IMDIV("1",IMSUM(IMDIV("1",COMPLEX(CMC_DCR,B109*CMC_L*(1-CMC_K))),COMPLEX(0,B109*CMC_CPA))))</f>
        <v>0</v>
      </c>
      <c r="L109">
        <f>IMSUM(COMPLEX(0,B109*CMC_CLINE),IMDIV("1",IMPRODUCT("2",COMPLEX(CY_ESR,B109*CY_ESL-1/(B109*CY_C)))),COMPLEX(1/DUMMY_R,0))</f>
        <v>0</v>
      </c>
      <c r="M109">
        <f>IMSUM(D109,IMDIV("1",C109))</f>
        <v>0</v>
      </c>
      <c r="N109">
        <f>IMDIV("1",IMSUM(E109,IMDIV("1",M109)))</f>
        <v>0</v>
      </c>
      <c r="O109">
        <f>IMSUM(F109,N109)</f>
        <v>0</v>
      </c>
      <c r="P109">
        <f>IMDIV("1",IMSUM(G109,IMDIV("1",O109)))</f>
        <v>0</v>
      </c>
      <c r="Q109">
        <f>IMSUM(H109,P109)</f>
        <v>0</v>
      </c>
      <c r="R109">
        <f>IMDIV("1",IMSUM(I109,IMDIV("1",Q109)))</f>
        <v>0</v>
      </c>
      <c r="S109">
        <f>IMSUM(J109,R109)</f>
        <v>0</v>
      </c>
      <c r="T109">
        <f>IMDIV("1",IMSUM(K109,IMDIV("1",S109)))</f>
        <v>0</v>
      </c>
      <c r="U109">
        <f>IMSUM(L109,T109)</f>
        <v>0</v>
      </c>
      <c r="V109">
        <f>IMDIV(COMPLEX(I_DM_SOURCE,0),U109)</f>
        <v>0</v>
      </c>
      <c r="W109">
        <f>IMPRODUCT(V109,T109)</f>
        <v>0</v>
      </c>
      <c r="X109">
        <f>IMDIV(W109,S109)</f>
        <v>0</v>
      </c>
      <c r="Y109">
        <f>IMPRODUCT(X109,R109)</f>
        <v>0</v>
      </c>
      <c r="Z109">
        <f>IMDIV(Y109,Q109)</f>
        <v>0</v>
      </c>
      <c r="AA109">
        <f>IMPRODUCT(Z109,P109)</f>
        <v>0</v>
      </c>
      <c r="AB109">
        <f>AA109</f>
        <v>0</v>
      </c>
      <c r="AC109">
        <f>IMPRODUCT("-1",AB109)</f>
        <v>0</v>
      </c>
      <c r="AD109">
        <f>IMDIV(IMSUB(AB109,AC109),"2")</f>
        <v>0</v>
      </c>
      <c r="AE109" s="6">
        <f>IMABS(AB109)</f>
        <v>0</v>
      </c>
      <c r="AF109" s="6">
        <f>IMABS(AC109)</f>
        <v>0</v>
      </c>
      <c r="AG109" s="6">
        <f>IMABS(AD109)</f>
        <v>0</v>
      </c>
      <c r="AH109" s="7">
        <f>20*LOG10(MAX(AE109,1E-300)*1E6)</f>
        <v>0</v>
      </c>
      <c r="AI109" s="7">
        <f>20*LOG10(MAX(AF109,1E-300)*1E6)</f>
        <v>0</v>
      </c>
      <c r="AJ109" s="7">
        <f>20*LOG10(MAX(AG109,1E-300)*1E6)</f>
        <v>0</v>
      </c>
      <c r="AK109" s="7">
        <f>DEGREES(IMARGUMENT(AB109))</f>
        <v>0</v>
      </c>
      <c r="AL109" s="7">
        <f>DEGREES(IMARGUMENT(AC109))</f>
        <v>0</v>
      </c>
      <c r="AM109" s="7">
        <f>DEGREES(IMARGUMENT(AD109))</f>
        <v>0</v>
      </c>
    </row>
    <row r="110" spans="1:39">
      <c r="A110" s="6">
        <f>10^(LOG10(F_START)+(ROW()-ROW($A$2))*(LOG10(F_STOP)-LOG10(F_START))/(N_POINTS-1))</f>
        <v>0</v>
      </c>
      <c r="B110" s="6">
        <f>2*PI()*A110</f>
        <v>0</v>
      </c>
      <c r="C110">
        <f>COMPLEX(2*LINE_PS_DCR,2*B110*LINE_PS_L)</f>
        <v>0</v>
      </c>
      <c r="D110">
        <f>IMSUM(COMPLEX(0,B110*(LINE_PS_CLINE+LINE_PS_CCHA/2)),IMDIV("1",IMPRODUCT("2",COMPLEX(C_THROUGH_ESR,B110*C_THROUGH_ESL-1/(B110*C_THROUGH_C)))))</f>
        <v>0</v>
      </c>
      <c r="E110">
        <f>COMPLEX(2*LINE_INPUT_DCR,2*B110*LINE_INPUT_L)</f>
        <v>0</v>
      </c>
      <c r="F110">
        <f>COMPLEX(0,B110*(LINE_INPUT_CLINE+LINE_INPUT_CCHA/2))</f>
        <v>0</v>
      </c>
      <c r="G110">
        <f>IMPRODUCT("2",IMDIV("1",IMSUM(IMDIV("1",COMPLEX(LDM1_DCR,B110*LDM1_L)),COMPLEX(0,B110*LDM1_CPA))))</f>
        <v>0</v>
      </c>
      <c r="H110">
        <f>IMSUM(IMDIV("1",COMPLEX(CX1_ESR,B110*CX1_ESL-1/(B110*CX1_C))),IMDIV("1",IMSUM(COMPLEX(DUMP1_R,0),COMPLEX(DUMP1_ESR,B110*DUMP1_ESL-1/(B110*DUMP1_C)))))</f>
        <v>0</v>
      </c>
      <c r="I110">
        <f>IMPRODUCT("2",IMDIV("1",IMSUM(IMDIV("1",COMPLEX(LDM2_DCR,B110*LDM2_L)),COMPLEX(0,B110*LDM2_CPA))))</f>
        <v>0</v>
      </c>
      <c r="J110">
        <f>IMSUM(IMDIV("1",COMPLEX(CX2_ESR,B110*CX2_ESL-1/(B110*CX2_C))),IMDIV("1",IMSUM(COMPLEX(DUMP2_R,0),COMPLEX(DUMP2_ESR,B110*DUMP2_ESL-1/(B110*DUMP2_C)))))</f>
        <v>0</v>
      </c>
      <c r="K110">
        <f>IMPRODUCT("2",IMDIV("1",IMSUM(IMDIV("1",COMPLEX(CMC_DCR,B110*CMC_L*(1-CMC_K))),COMPLEX(0,B110*CMC_CPA))))</f>
        <v>0</v>
      </c>
      <c r="L110">
        <f>IMSUM(COMPLEX(0,B110*CMC_CLINE),IMDIV("1",IMPRODUCT("2",COMPLEX(CY_ESR,B110*CY_ESL-1/(B110*CY_C)))),COMPLEX(1/DUMMY_R,0))</f>
        <v>0</v>
      </c>
      <c r="M110">
        <f>IMSUM(D110,IMDIV("1",C110))</f>
        <v>0</v>
      </c>
      <c r="N110">
        <f>IMDIV("1",IMSUM(E110,IMDIV("1",M110)))</f>
        <v>0</v>
      </c>
      <c r="O110">
        <f>IMSUM(F110,N110)</f>
        <v>0</v>
      </c>
      <c r="P110">
        <f>IMDIV("1",IMSUM(G110,IMDIV("1",O110)))</f>
        <v>0</v>
      </c>
      <c r="Q110">
        <f>IMSUM(H110,P110)</f>
        <v>0</v>
      </c>
      <c r="R110">
        <f>IMDIV("1",IMSUM(I110,IMDIV("1",Q110)))</f>
        <v>0</v>
      </c>
      <c r="S110">
        <f>IMSUM(J110,R110)</f>
        <v>0</v>
      </c>
      <c r="T110">
        <f>IMDIV("1",IMSUM(K110,IMDIV("1",S110)))</f>
        <v>0</v>
      </c>
      <c r="U110">
        <f>IMSUM(L110,T110)</f>
        <v>0</v>
      </c>
      <c r="V110">
        <f>IMDIV(COMPLEX(I_DM_SOURCE,0),U110)</f>
        <v>0</v>
      </c>
      <c r="W110">
        <f>IMPRODUCT(V110,T110)</f>
        <v>0</v>
      </c>
      <c r="X110">
        <f>IMDIV(W110,S110)</f>
        <v>0</v>
      </c>
      <c r="Y110">
        <f>IMPRODUCT(X110,R110)</f>
        <v>0</v>
      </c>
      <c r="Z110">
        <f>IMDIV(Y110,Q110)</f>
        <v>0</v>
      </c>
      <c r="AA110">
        <f>IMPRODUCT(Z110,P110)</f>
        <v>0</v>
      </c>
      <c r="AB110">
        <f>AA110</f>
        <v>0</v>
      </c>
      <c r="AC110">
        <f>IMPRODUCT("-1",AB110)</f>
        <v>0</v>
      </c>
      <c r="AD110">
        <f>IMDIV(IMSUB(AB110,AC110),"2")</f>
        <v>0</v>
      </c>
      <c r="AE110" s="6">
        <f>IMABS(AB110)</f>
        <v>0</v>
      </c>
      <c r="AF110" s="6">
        <f>IMABS(AC110)</f>
        <v>0</v>
      </c>
      <c r="AG110" s="6">
        <f>IMABS(AD110)</f>
        <v>0</v>
      </c>
      <c r="AH110" s="7">
        <f>20*LOG10(MAX(AE110,1E-300)*1E6)</f>
        <v>0</v>
      </c>
      <c r="AI110" s="7">
        <f>20*LOG10(MAX(AF110,1E-300)*1E6)</f>
        <v>0</v>
      </c>
      <c r="AJ110" s="7">
        <f>20*LOG10(MAX(AG110,1E-300)*1E6)</f>
        <v>0</v>
      </c>
      <c r="AK110" s="7">
        <f>DEGREES(IMARGUMENT(AB110))</f>
        <v>0</v>
      </c>
      <c r="AL110" s="7">
        <f>DEGREES(IMARGUMENT(AC110))</f>
        <v>0</v>
      </c>
      <c r="AM110" s="7">
        <f>DEGREES(IMARGUMENT(AD110))</f>
        <v>0</v>
      </c>
    </row>
    <row r="111" spans="1:39">
      <c r="A111" s="6">
        <f>10^(LOG10(F_START)+(ROW()-ROW($A$2))*(LOG10(F_STOP)-LOG10(F_START))/(N_POINTS-1))</f>
        <v>0</v>
      </c>
      <c r="B111" s="6">
        <f>2*PI()*A111</f>
        <v>0</v>
      </c>
      <c r="C111">
        <f>COMPLEX(2*LINE_PS_DCR,2*B111*LINE_PS_L)</f>
        <v>0</v>
      </c>
      <c r="D111">
        <f>IMSUM(COMPLEX(0,B111*(LINE_PS_CLINE+LINE_PS_CCHA/2)),IMDIV("1",IMPRODUCT("2",COMPLEX(C_THROUGH_ESR,B111*C_THROUGH_ESL-1/(B111*C_THROUGH_C)))))</f>
        <v>0</v>
      </c>
      <c r="E111">
        <f>COMPLEX(2*LINE_INPUT_DCR,2*B111*LINE_INPUT_L)</f>
        <v>0</v>
      </c>
      <c r="F111">
        <f>COMPLEX(0,B111*(LINE_INPUT_CLINE+LINE_INPUT_CCHA/2))</f>
        <v>0</v>
      </c>
      <c r="G111">
        <f>IMPRODUCT("2",IMDIV("1",IMSUM(IMDIV("1",COMPLEX(LDM1_DCR,B111*LDM1_L)),COMPLEX(0,B111*LDM1_CPA))))</f>
        <v>0</v>
      </c>
      <c r="H111">
        <f>IMSUM(IMDIV("1",COMPLEX(CX1_ESR,B111*CX1_ESL-1/(B111*CX1_C))),IMDIV("1",IMSUM(COMPLEX(DUMP1_R,0),COMPLEX(DUMP1_ESR,B111*DUMP1_ESL-1/(B111*DUMP1_C)))))</f>
        <v>0</v>
      </c>
      <c r="I111">
        <f>IMPRODUCT("2",IMDIV("1",IMSUM(IMDIV("1",COMPLEX(LDM2_DCR,B111*LDM2_L)),COMPLEX(0,B111*LDM2_CPA))))</f>
        <v>0</v>
      </c>
      <c r="J111">
        <f>IMSUM(IMDIV("1",COMPLEX(CX2_ESR,B111*CX2_ESL-1/(B111*CX2_C))),IMDIV("1",IMSUM(COMPLEX(DUMP2_R,0),COMPLEX(DUMP2_ESR,B111*DUMP2_ESL-1/(B111*DUMP2_C)))))</f>
        <v>0</v>
      </c>
      <c r="K111">
        <f>IMPRODUCT("2",IMDIV("1",IMSUM(IMDIV("1",COMPLEX(CMC_DCR,B111*CMC_L*(1-CMC_K))),COMPLEX(0,B111*CMC_CPA))))</f>
        <v>0</v>
      </c>
      <c r="L111">
        <f>IMSUM(COMPLEX(0,B111*CMC_CLINE),IMDIV("1",IMPRODUCT("2",COMPLEX(CY_ESR,B111*CY_ESL-1/(B111*CY_C)))),COMPLEX(1/DUMMY_R,0))</f>
        <v>0</v>
      </c>
      <c r="M111">
        <f>IMSUM(D111,IMDIV("1",C111))</f>
        <v>0</v>
      </c>
      <c r="N111">
        <f>IMDIV("1",IMSUM(E111,IMDIV("1",M111)))</f>
        <v>0</v>
      </c>
      <c r="O111">
        <f>IMSUM(F111,N111)</f>
        <v>0</v>
      </c>
      <c r="P111">
        <f>IMDIV("1",IMSUM(G111,IMDIV("1",O111)))</f>
        <v>0</v>
      </c>
      <c r="Q111">
        <f>IMSUM(H111,P111)</f>
        <v>0</v>
      </c>
      <c r="R111">
        <f>IMDIV("1",IMSUM(I111,IMDIV("1",Q111)))</f>
        <v>0</v>
      </c>
      <c r="S111">
        <f>IMSUM(J111,R111)</f>
        <v>0</v>
      </c>
      <c r="T111">
        <f>IMDIV("1",IMSUM(K111,IMDIV("1",S111)))</f>
        <v>0</v>
      </c>
      <c r="U111">
        <f>IMSUM(L111,T111)</f>
        <v>0</v>
      </c>
      <c r="V111">
        <f>IMDIV(COMPLEX(I_DM_SOURCE,0),U111)</f>
        <v>0</v>
      </c>
      <c r="W111">
        <f>IMPRODUCT(V111,T111)</f>
        <v>0</v>
      </c>
      <c r="X111">
        <f>IMDIV(W111,S111)</f>
        <v>0</v>
      </c>
      <c r="Y111">
        <f>IMPRODUCT(X111,R111)</f>
        <v>0</v>
      </c>
      <c r="Z111">
        <f>IMDIV(Y111,Q111)</f>
        <v>0</v>
      </c>
      <c r="AA111">
        <f>IMPRODUCT(Z111,P111)</f>
        <v>0</v>
      </c>
      <c r="AB111">
        <f>AA111</f>
        <v>0</v>
      </c>
      <c r="AC111">
        <f>IMPRODUCT("-1",AB111)</f>
        <v>0</v>
      </c>
      <c r="AD111">
        <f>IMDIV(IMSUB(AB111,AC111),"2")</f>
        <v>0</v>
      </c>
      <c r="AE111" s="6">
        <f>IMABS(AB111)</f>
        <v>0</v>
      </c>
      <c r="AF111" s="6">
        <f>IMABS(AC111)</f>
        <v>0</v>
      </c>
      <c r="AG111" s="6">
        <f>IMABS(AD111)</f>
        <v>0</v>
      </c>
      <c r="AH111" s="7">
        <f>20*LOG10(MAX(AE111,1E-300)*1E6)</f>
        <v>0</v>
      </c>
      <c r="AI111" s="7">
        <f>20*LOG10(MAX(AF111,1E-300)*1E6)</f>
        <v>0</v>
      </c>
      <c r="AJ111" s="7">
        <f>20*LOG10(MAX(AG111,1E-300)*1E6)</f>
        <v>0</v>
      </c>
      <c r="AK111" s="7">
        <f>DEGREES(IMARGUMENT(AB111))</f>
        <v>0</v>
      </c>
      <c r="AL111" s="7">
        <f>DEGREES(IMARGUMENT(AC111))</f>
        <v>0</v>
      </c>
      <c r="AM111" s="7">
        <f>DEGREES(IMARGUMENT(AD111))</f>
        <v>0</v>
      </c>
    </row>
    <row r="112" spans="1:39">
      <c r="A112" s="6">
        <f>10^(LOG10(F_START)+(ROW()-ROW($A$2))*(LOG10(F_STOP)-LOG10(F_START))/(N_POINTS-1))</f>
        <v>0</v>
      </c>
      <c r="B112" s="6">
        <f>2*PI()*A112</f>
        <v>0</v>
      </c>
      <c r="C112">
        <f>COMPLEX(2*LINE_PS_DCR,2*B112*LINE_PS_L)</f>
        <v>0</v>
      </c>
      <c r="D112">
        <f>IMSUM(COMPLEX(0,B112*(LINE_PS_CLINE+LINE_PS_CCHA/2)),IMDIV("1",IMPRODUCT("2",COMPLEX(C_THROUGH_ESR,B112*C_THROUGH_ESL-1/(B112*C_THROUGH_C)))))</f>
        <v>0</v>
      </c>
      <c r="E112">
        <f>COMPLEX(2*LINE_INPUT_DCR,2*B112*LINE_INPUT_L)</f>
        <v>0</v>
      </c>
      <c r="F112">
        <f>COMPLEX(0,B112*(LINE_INPUT_CLINE+LINE_INPUT_CCHA/2))</f>
        <v>0</v>
      </c>
      <c r="G112">
        <f>IMPRODUCT("2",IMDIV("1",IMSUM(IMDIV("1",COMPLEX(LDM1_DCR,B112*LDM1_L)),COMPLEX(0,B112*LDM1_CPA))))</f>
        <v>0</v>
      </c>
      <c r="H112">
        <f>IMSUM(IMDIV("1",COMPLEX(CX1_ESR,B112*CX1_ESL-1/(B112*CX1_C))),IMDIV("1",IMSUM(COMPLEX(DUMP1_R,0),COMPLEX(DUMP1_ESR,B112*DUMP1_ESL-1/(B112*DUMP1_C)))))</f>
        <v>0</v>
      </c>
      <c r="I112">
        <f>IMPRODUCT("2",IMDIV("1",IMSUM(IMDIV("1",COMPLEX(LDM2_DCR,B112*LDM2_L)),COMPLEX(0,B112*LDM2_CPA))))</f>
        <v>0</v>
      </c>
      <c r="J112">
        <f>IMSUM(IMDIV("1",COMPLEX(CX2_ESR,B112*CX2_ESL-1/(B112*CX2_C))),IMDIV("1",IMSUM(COMPLEX(DUMP2_R,0),COMPLEX(DUMP2_ESR,B112*DUMP2_ESL-1/(B112*DUMP2_C)))))</f>
        <v>0</v>
      </c>
      <c r="K112">
        <f>IMPRODUCT("2",IMDIV("1",IMSUM(IMDIV("1",COMPLEX(CMC_DCR,B112*CMC_L*(1-CMC_K))),COMPLEX(0,B112*CMC_CPA))))</f>
        <v>0</v>
      </c>
      <c r="L112">
        <f>IMSUM(COMPLEX(0,B112*CMC_CLINE),IMDIV("1",IMPRODUCT("2",COMPLEX(CY_ESR,B112*CY_ESL-1/(B112*CY_C)))),COMPLEX(1/DUMMY_R,0))</f>
        <v>0</v>
      </c>
      <c r="M112">
        <f>IMSUM(D112,IMDIV("1",C112))</f>
        <v>0</v>
      </c>
      <c r="N112">
        <f>IMDIV("1",IMSUM(E112,IMDIV("1",M112)))</f>
        <v>0</v>
      </c>
      <c r="O112">
        <f>IMSUM(F112,N112)</f>
        <v>0</v>
      </c>
      <c r="P112">
        <f>IMDIV("1",IMSUM(G112,IMDIV("1",O112)))</f>
        <v>0</v>
      </c>
      <c r="Q112">
        <f>IMSUM(H112,P112)</f>
        <v>0</v>
      </c>
      <c r="R112">
        <f>IMDIV("1",IMSUM(I112,IMDIV("1",Q112)))</f>
        <v>0</v>
      </c>
      <c r="S112">
        <f>IMSUM(J112,R112)</f>
        <v>0</v>
      </c>
      <c r="T112">
        <f>IMDIV("1",IMSUM(K112,IMDIV("1",S112)))</f>
        <v>0</v>
      </c>
      <c r="U112">
        <f>IMSUM(L112,T112)</f>
        <v>0</v>
      </c>
      <c r="V112">
        <f>IMDIV(COMPLEX(I_DM_SOURCE,0),U112)</f>
        <v>0</v>
      </c>
      <c r="W112">
        <f>IMPRODUCT(V112,T112)</f>
        <v>0</v>
      </c>
      <c r="X112">
        <f>IMDIV(W112,S112)</f>
        <v>0</v>
      </c>
      <c r="Y112">
        <f>IMPRODUCT(X112,R112)</f>
        <v>0</v>
      </c>
      <c r="Z112">
        <f>IMDIV(Y112,Q112)</f>
        <v>0</v>
      </c>
      <c r="AA112">
        <f>IMPRODUCT(Z112,P112)</f>
        <v>0</v>
      </c>
      <c r="AB112">
        <f>AA112</f>
        <v>0</v>
      </c>
      <c r="AC112">
        <f>IMPRODUCT("-1",AB112)</f>
        <v>0</v>
      </c>
      <c r="AD112">
        <f>IMDIV(IMSUB(AB112,AC112),"2")</f>
        <v>0</v>
      </c>
      <c r="AE112" s="6">
        <f>IMABS(AB112)</f>
        <v>0</v>
      </c>
      <c r="AF112" s="6">
        <f>IMABS(AC112)</f>
        <v>0</v>
      </c>
      <c r="AG112" s="6">
        <f>IMABS(AD112)</f>
        <v>0</v>
      </c>
      <c r="AH112" s="7">
        <f>20*LOG10(MAX(AE112,1E-300)*1E6)</f>
        <v>0</v>
      </c>
      <c r="AI112" s="7">
        <f>20*LOG10(MAX(AF112,1E-300)*1E6)</f>
        <v>0</v>
      </c>
      <c r="AJ112" s="7">
        <f>20*LOG10(MAX(AG112,1E-300)*1E6)</f>
        <v>0</v>
      </c>
      <c r="AK112" s="7">
        <f>DEGREES(IMARGUMENT(AB112))</f>
        <v>0</v>
      </c>
      <c r="AL112" s="7">
        <f>DEGREES(IMARGUMENT(AC112))</f>
        <v>0</v>
      </c>
      <c r="AM112" s="7">
        <f>DEGREES(IMARGUMENT(AD112))</f>
        <v>0</v>
      </c>
    </row>
    <row r="113" spans="1:39">
      <c r="A113" s="6">
        <f>10^(LOG10(F_START)+(ROW()-ROW($A$2))*(LOG10(F_STOP)-LOG10(F_START))/(N_POINTS-1))</f>
        <v>0</v>
      </c>
      <c r="B113" s="6">
        <f>2*PI()*A113</f>
        <v>0</v>
      </c>
      <c r="C113">
        <f>COMPLEX(2*LINE_PS_DCR,2*B113*LINE_PS_L)</f>
        <v>0</v>
      </c>
      <c r="D113">
        <f>IMSUM(COMPLEX(0,B113*(LINE_PS_CLINE+LINE_PS_CCHA/2)),IMDIV("1",IMPRODUCT("2",COMPLEX(C_THROUGH_ESR,B113*C_THROUGH_ESL-1/(B113*C_THROUGH_C)))))</f>
        <v>0</v>
      </c>
      <c r="E113">
        <f>COMPLEX(2*LINE_INPUT_DCR,2*B113*LINE_INPUT_L)</f>
        <v>0</v>
      </c>
      <c r="F113">
        <f>COMPLEX(0,B113*(LINE_INPUT_CLINE+LINE_INPUT_CCHA/2))</f>
        <v>0</v>
      </c>
      <c r="G113">
        <f>IMPRODUCT("2",IMDIV("1",IMSUM(IMDIV("1",COMPLEX(LDM1_DCR,B113*LDM1_L)),COMPLEX(0,B113*LDM1_CPA))))</f>
        <v>0</v>
      </c>
      <c r="H113">
        <f>IMSUM(IMDIV("1",COMPLEX(CX1_ESR,B113*CX1_ESL-1/(B113*CX1_C))),IMDIV("1",IMSUM(COMPLEX(DUMP1_R,0),COMPLEX(DUMP1_ESR,B113*DUMP1_ESL-1/(B113*DUMP1_C)))))</f>
        <v>0</v>
      </c>
      <c r="I113">
        <f>IMPRODUCT("2",IMDIV("1",IMSUM(IMDIV("1",COMPLEX(LDM2_DCR,B113*LDM2_L)),COMPLEX(0,B113*LDM2_CPA))))</f>
        <v>0</v>
      </c>
      <c r="J113">
        <f>IMSUM(IMDIV("1",COMPLEX(CX2_ESR,B113*CX2_ESL-1/(B113*CX2_C))),IMDIV("1",IMSUM(COMPLEX(DUMP2_R,0),COMPLEX(DUMP2_ESR,B113*DUMP2_ESL-1/(B113*DUMP2_C)))))</f>
        <v>0</v>
      </c>
      <c r="K113">
        <f>IMPRODUCT("2",IMDIV("1",IMSUM(IMDIV("1",COMPLEX(CMC_DCR,B113*CMC_L*(1-CMC_K))),COMPLEX(0,B113*CMC_CPA))))</f>
        <v>0</v>
      </c>
      <c r="L113">
        <f>IMSUM(COMPLEX(0,B113*CMC_CLINE),IMDIV("1",IMPRODUCT("2",COMPLEX(CY_ESR,B113*CY_ESL-1/(B113*CY_C)))),COMPLEX(1/DUMMY_R,0))</f>
        <v>0</v>
      </c>
      <c r="M113">
        <f>IMSUM(D113,IMDIV("1",C113))</f>
        <v>0</v>
      </c>
      <c r="N113">
        <f>IMDIV("1",IMSUM(E113,IMDIV("1",M113)))</f>
        <v>0</v>
      </c>
      <c r="O113">
        <f>IMSUM(F113,N113)</f>
        <v>0</v>
      </c>
      <c r="P113">
        <f>IMDIV("1",IMSUM(G113,IMDIV("1",O113)))</f>
        <v>0</v>
      </c>
      <c r="Q113">
        <f>IMSUM(H113,P113)</f>
        <v>0</v>
      </c>
      <c r="R113">
        <f>IMDIV("1",IMSUM(I113,IMDIV("1",Q113)))</f>
        <v>0</v>
      </c>
      <c r="S113">
        <f>IMSUM(J113,R113)</f>
        <v>0</v>
      </c>
      <c r="T113">
        <f>IMDIV("1",IMSUM(K113,IMDIV("1",S113)))</f>
        <v>0</v>
      </c>
      <c r="U113">
        <f>IMSUM(L113,T113)</f>
        <v>0</v>
      </c>
      <c r="V113">
        <f>IMDIV(COMPLEX(I_DM_SOURCE,0),U113)</f>
        <v>0</v>
      </c>
      <c r="W113">
        <f>IMPRODUCT(V113,T113)</f>
        <v>0</v>
      </c>
      <c r="X113">
        <f>IMDIV(W113,S113)</f>
        <v>0</v>
      </c>
      <c r="Y113">
        <f>IMPRODUCT(X113,R113)</f>
        <v>0</v>
      </c>
      <c r="Z113">
        <f>IMDIV(Y113,Q113)</f>
        <v>0</v>
      </c>
      <c r="AA113">
        <f>IMPRODUCT(Z113,P113)</f>
        <v>0</v>
      </c>
      <c r="AB113">
        <f>AA113</f>
        <v>0</v>
      </c>
      <c r="AC113">
        <f>IMPRODUCT("-1",AB113)</f>
        <v>0</v>
      </c>
      <c r="AD113">
        <f>IMDIV(IMSUB(AB113,AC113),"2")</f>
        <v>0</v>
      </c>
      <c r="AE113" s="6">
        <f>IMABS(AB113)</f>
        <v>0</v>
      </c>
      <c r="AF113" s="6">
        <f>IMABS(AC113)</f>
        <v>0</v>
      </c>
      <c r="AG113" s="6">
        <f>IMABS(AD113)</f>
        <v>0</v>
      </c>
      <c r="AH113" s="7">
        <f>20*LOG10(MAX(AE113,1E-300)*1E6)</f>
        <v>0</v>
      </c>
      <c r="AI113" s="7">
        <f>20*LOG10(MAX(AF113,1E-300)*1E6)</f>
        <v>0</v>
      </c>
      <c r="AJ113" s="7">
        <f>20*LOG10(MAX(AG113,1E-300)*1E6)</f>
        <v>0</v>
      </c>
      <c r="AK113" s="7">
        <f>DEGREES(IMARGUMENT(AB113))</f>
        <v>0</v>
      </c>
      <c r="AL113" s="7">
        <f>DEGREES(IMARGUMENT(AC113))</f>
        <v>0</v>
      </c>
      <c r="AM113" s="7">
        <f>DEGREES(IMARGUMENT(AD113))</f>
        <v>0</v>
      </c>
    </row>
    <row r="114" spans="1:39">
      <c r="A114" s="6">
        <f>10^(LOG10(F_START)+(ROW()-ROW($A$2))*(LOG10(F_STOP)-LOG10(F_START))/(N_POINTS-1))</f>
        <v>0</v>
      </c>
      <c r="B114" s="6">
        <f>2*PI()*A114</f>
        <v>0</v>
      </c>
      <c r="C114">
        <f>COMPLEX(2*LINE_PS_DCR,2*B114*LINE_PS_L)</f>
        <v>0</v>
      </c>
      <c r="D114">
        <f>IMSUM(COMPLEX(0,B114*(LINE_PS_CLINE+LINE_PS_CCHA/2)),IMDIV("1",IMPRODUCT("2",COMPLEX(C_THROUGH_ESR,B114*C_THROUGH_ESL-1/(B114*C_THROUGH_C)))))</f>
        <v>0</v>
      </c>
      <c r="E114">
        <f>COMPLEX(2*LINE_INPUT_DCR,2*B114*LINE_INPUT_L)</f>
        <v>0</v>
      </c>
      <c r="F114">
        <f>COMPLEX(0,B114*(LINE_INPUT_CLINE+LINE_INPUT_CCHA/2))</f>
        <v>0</v>
      </c>
      <c r="G114">
        <f>IMPRODUCT("2",IMDIV("1",IMSUM(IMDIV("1",COMPLEX(LDM1_DCR,B114*LDM1_L)),COMPLEX(0,B114*LDM1_CPA))))</f>
        <v>0</v>
      </c>
      <c r="H114">
        <f>IMSUM(IMDIV("1",COMPLEX(CX1_ESR,B114*CX1_ESL-1/(B114*CX1_C))),IMDIV("1",IMSUM(COMPLEX(DUMP1_R,0),COMPLEX(DUMP1_ESR,B114*DUMP1_ESL-1/(B114*DUMP1_C)))))</f>
        <v>0</v>
      </c>
      <c r="I114">
        <f>IMPRODUCT("2",IMDIV("1",IMSUM(IMDIV("1",COMPLEX(LDM2_DCR,B114*LDM2_L)),COMPLEX(0,B114*LDM2_CPA))))</f>
        <v>0</v>
      </c>
      <c r="J114">
        <f>IMSUM(IMDIV("1",COMPLEX(CX2_ESR,B114*CX2_ESL-1/(B114*CX2_C))),IMDIV("1",IMSUM(COMPLEX(DUMP2_R,0),COMPLEX(DUMP2_ESR,B114*DUMP2_ESL-1/(B114*DUMP2_C)))))</f>
        <v>0</v>
      </c>
      <c r="K114">
        <f>IMPRODUCT("2",IMDIV("1",IMSUM(IMDIV("1",COMPLEX(CMC_DCR,B114*CMC_L*(1-CMC_K))),COMPLEX(0,B114*CMC_CPA))))</f>
        <v>0</v>
      </c>
      <c r="L114">
        <f>IMSUM(COMPLEX(0,B114*CMC_CLINE),IMDIV("1",IMPRODUCT("2",COMPLEX(CY_ESR,B114*CY_ESL-1/(B114*CY_C)))),COMPLEX(1/DUMMY_R,0))</f>
        <v>0</v>
      </c>
      <c r="M114">
        <f>IMSUM(D114,IMDIV("1",C114))</f>
        <v>0</v>
      </c>
      <c r="N114">
        <f>IMDIV("1",IMSUM(E114,IMDIV("1",M114)))</f>
        <v>0</v>
      </c>
      <c r="O114">
        <f>IMSUM(F114,N114)</f>
        <v>0</v>
      </c>
      <c r="P114">
        <f>IMDIV("1",IMSUM(G114,IMDIV("1",O114)))</f>
        <v>0</v>
      </c>
      <c r="Q114">
        <f>IMSUM(H114,P114)</f>
        <v>0</v>
      </c>
      <c r="R114">
        <f>IMDIV("1",IMSUM(I114,IMDIV("1",Q114)))</f>
        <v>0</v>
      </c>
      <c r="S114">
        <f>IMSUM(J114,R114)</f>
        <v>0</v>
      </c>
      <c r="T114">
        <f>IMDIV("1",IMSUM(K114,IMDIV("1",S114)))</f>
        <v>0</v>
      </c>
      <c r="U114">
        <f>IMSUM(L114,T114)</f>
        <v>0</v>
      </c>
      <c r="V114">
        <f>IMDIV(COMPLEX(I_DM_SOURCE,0),U114)</f>
        <v>0</v>
      </c>
      <c r="W114">
        <f>IMPRODUCT(V114,T114)</f>
        <v>0</v>
      </c>
      <c r="X114">
        <f>IMDIV(W114,S114)</f>
        <v>0</v>
      </c>
      <c r="Y114">
        <f>IMPRODUCT(X114,R114)</f>
        <v>0</v>
      </c>
      <c r="Z114">
        <f>IMDIV(Y114,Q114)</f>
        <v>0</v>
      </c>
      <c r="AA114">
        <f>IMPRODUCT(Z114,P114)</f>
        <v>0</v>
      </c>
      <c r="AB114">
        <f>AA114</f>
        <v>0</v>
      </c>
      <c r="AC114">
        <f>IMPRODUCT("-1",AB114)</f>
        <v>0</v>
      </c>
      <c r="AD114">
        <f>IMDIV(IMSUB(AB114,AC114),"2")</f>
        <v>0</v>
      </c>
      <c r="AE114" s="6">
        <f>IMABS(AB114)</f>
        <v>0</v>
      </c>
      <c r="AF114" s="6">
        <f>IMABS(AC114)</f>
        <v>0</v>
      </c>
      <c r="AG114" s="6">
        <f>IMABS(AD114)</f>
        <v>0</v>
      </c>
      <c r="AH114" s="7">
        <f>20*LOG10(MAX(AE114,1E-300)*1E6)</f>
        <v>0</v>
      </c>
      <c r="AI114" s="7">
        <f>20*LOG10(MAX(AF114,1E-300)*1E6)</f>
        <v>0</v>
      </c>
      <c r="AJ114" s="7">
        <f>20*LOG10(MAX(AG114,1E-300)*1E6)</f>
        <v>0</v>
      </c>
      <c r="AK114" s="7">
        <f>DEGREES(IMARGUMENT(AB114))</f>
        <v>0</v>
      </c>
      <c r="AL114" s="7">
        <f>DEGREES(IMARGUMENT(AC114))</f>
        <v>0</v>
      </c>
      <c r="AM114" s="7">
        <f>DEGREES(IMARGUMENT(AD114))</f>
        <v>0</v>
      </c>
    </row>
    <row r="115" spans="1:39">
      <c r="A115" s="6">
        <f>10^(LOG10(F_START)+(ROW()-ROW($A$2))*(LOG10(F_STOP)-LOG10(F_START))/(N_POINTS-1))</f>
        <v>0</v>
      </c>
      <c r="B115" s="6">
        <f>2*PI()*A115</f>
        <v>0</v>
      </c>
      <c r="C115">
        <f>COMPLEX(2*LINE_PS_DCR,2*B115*LINE_PS_L)</f>
        <v>0</v>
      </c>
      <c r="D115">
        <f>IMSUM(COMPLEX(0,B115*(LINE_PS_CLINE+LINE_PS_CCHA/2)),IMDIV("1",IMPRODUCT("2",COMPLEX(C_THROUGH_ESR,B115*C_THROUGH_ESL-1/(B115*C_THROUGH_C)))))</f>
        <v>0</v>
      </c>
      <c r="E115">
        <f>COMPLEX(2*LINE_INPUT_DCR,2*B115*LINE_INPUT_L)</f>
        <v>0</v>
      </c>
      <c r="F115">
        <f>COMPLEX(0,B115*(LINE_INPUT_CLINE+LINE_INPUT_CCHA/2))</f>
        <v>0</v>
      </c>
      <c r="G115">
        <f>IMPRODUCT("2",IMDIV("1",IMSUM(IMDIV("1",COMPLEX(LDM1_DCR,B115*LDM1_L)),COMPLEX(0,B115*LDM1_CPA))))</f>
        <v>0</v>
      </c>
      <c r="H115">
        <f>IMSUM(IMDIV("1",COMPLEX(CX1_ESR,B115*CX1_ESL-1/(B115*CX1_C))),IMDIV("1",IMSUM(COMPLEX(DUMP1_R,0),COMPLEX(DUMP1_ESR,B115*DUMP1_ESL-1/(B115*DUMP1_C)))))</f>
        <v>0</v>
      </c>
      <c r="I115">
        <f>IMPRODUCT("2",IMDIV("1",IMSUM(IMDIV("1",COMPLEX(LDM2_DCR,B115*LDM2_L)),COMPLEX(0,B115*LDM2_CPA))))</f>
        <v>0</v>
      </c>
      <c r="J115">
        <f>IMSUM(IMDIV("1",COMPLEX(CX2_ESR,B115*CX2_ESL-1/(B115*CX2_C))),IMDIV("1",IMSUM(COMPLEX(DUMP2_R,0),COMPLEX(DUMP2_ESR,B115*DUMP2_ESL-1/(B115*DUMP2_C)))))</f>
        <v>0</v>
      </c>
      <c r="K115">
        <f>IMPRODUCT("2",IMDIV("1",IMSUM(IMDIV("1",COMPLEX(CMC_DCR,B115*CMC_L*(1-CMC_K))),COMPLEX(0,B115*CMC_CPA))))</f>
        <v>0</v>
      </c>
      <c r="L115">
        <f>IMSUM(COMPLEX(0,B115*CMC_CLINE),IMDIV("1",IMPRODUCT("2",COMPLEX(CY_ESR,B115*CY_ESL-1/(B115*CY_C)))),COMPLEX(1/DUMMY_R,0))</f>
        <v>0</v>
      </c>
      <c r="M115">
        <f>IMSUM(D115,IMDIV("1",C115))</f>
        <v>0</v>
      </c>
      <c r="N115">
        <f>IMDIV("1",IMSUM(E115,IMDIV("1",M115)))</f>
        <v>0</v>
      </c>
      <c r="O115">
        <f>IMSUM(F115,N115)</f>
        <v>0</v>
      </c>
      <c r="P115">
        <f>IMDIV("1",IMSUM(G115,IMDIV("1",O115)))</f>
        <v>0</v>
      </c>
      <c r="Q115">
        <f>IMSUM(H115,P115)</f>
        <v>0</v>
      </c>
      <c r="R115">
        <f>IMDIV("1",IMSUM(I115,IMDIV("1",Q115)))</f>
        <v>0</v>
      </c>
      <c r="S115">
        <f>IMSUM(J115,R115)</f>
        <v>0</v>
      </c>
      <c r="T115">
        <f>IMDIV("1",IMSUM(K115,IMDIV("1",S115)))</f>
        <v>0</v>
      </c>
      <c r="U115">
        <f>IMSUM(L115,T115)</f>
        <v>0</v>
      </c>
      <c r="V115">
        <f>IMDIV(COMPLEX(I_DM_SOURCE,0),U115)</f>
        <v>0</v>
      </c>
      <c r="W115">
        <f>IMPRODUCT(V115,T115)</f>
        <v>0</v>
      </c>
      <c r="X115">
        <f>IMDIV(W115,S115)</f>
        <v>0</v>
      </c>
      <c r="Y115">
        <f>IMPRODUCT(X115,R115)</f>
        <v>0</v>
      </c>
      <c r="Z115">
        <f>IMDIV(Y115,Q115)</f>
        <v>0</v>
      </c>
      <c r="AA115">
        <f>IMPRODUCT(Z115,P115)</f>
        <v>0</v>
      </c>
      <c r="AB115">
        <f>AA115</f>
        <v>0</v>
      </c>
      <c r="AC115">
        <f>IMPRODUCT("-1",AB115)</f>
        <v>0</v>
      </c>
      <c r="AD115">
        <f>IMDIV(IMSUB(AB115,AC115),"2")</f>
        <v>0</v>
      </c>
      <c r="AE115" s="6">
        <f>IMABS(AB115)</f>
        <v>0</v>
      </c>
      <c r="AF115" s="6">
        <f>IMABS(AC115)</f>
        <v>0</v>
      </c>
      <c r="AG115" s="6">
        <f>IMABS(AD115)</f>
        <v>0</v>
      </c>
      <c r="AH115" s="7">
        <f>20*LOG10(MAX(AE115,1E-300)*1E6)</f>
        <v>0</v>
      </c>
      <c r="AI115" s="7">
        <f>20*LOG10(MAX(AF115,1E-300)*1E6)</f>
        <v>0</v>
      </c>
      <c r="AJ115" s="7">
        <f>20*LOG10(MAX(AG115,1E-300)*1E6)</f>
        <v>0</v>
      </c>
      <c r="AK115" s="7">
        <f>DEGREES(IMARGUMENT(AB115))</f>
        <v>0</v>
      </c>
      <c r="AL115" s="7">
        <f>DEGREES(IMARGUMENT(AC115))</f>
        <v>0</v>
      </c>
      <c r="AM115" s="7">
        <f>DEGREES(IMARGUMENT(AD115))</f>
        <v>0</v>
      </c>
    </row>
    <row r="116" spans="1:39">
      <c r="A116" s="6">
        <f>10^(LOG10(F_START)+(ROW()-ROW($A$2))*(LOG10(F_STOP)-LOG10(F_START))/(N_POINTS-1))</f>
        <v>0</v>
      </c>
      <c r="B116" s="6">
        <f>2*PI()*A116</f>
        <v>0</v>
      </c>
      <c r="C116">
        <f>COMPLEX(2*LINE_PS_DCR,2*B116*LINE_PS_L)</f>
        <v>0</v>
      </c>
      <c r="D116">
        <f>IMSUM(COMPLEX(0,B116*(LINE_PS_CLINE+LINE_PS_CCHA/2)),IMDIV("1",IMPRODUCT("2",COMPLEX(C_THROUGH_ESR,B116*C_THROUGH_ESL-1/(B116*C_THROUGH_C)))))</f>
        <v>0</v>
      </c>
      <c r="E116">
        <f>COMPLEX(2*LINE_INPUT_DCR,2*B116*LINE_INPUT_L)</f>
        <v>0</v>
      </c>
      <c r="F116">
        <f>COMPLEX(0,B116*(LINE_INPUT_CLINE+LINE_INPUT_CCHA/2))</f>
        <v>0</v>
      </c>
      <c r="G116">
        <f>IMPRODUCT("2",IMDIV("1",IMSUM(IMDIV("1",COMPLEX(LDM1_DCR,B116*LDM1_L)),COMPLEX(0,B116*LDM1_CPA))))</f>
        <v>0</v>
      </c>
      <c r="H116">
        <f>IMSUM(IMDIV("1",COMPLEX(CX1_ESR,B116*CX1_ESL-1/(B116*CX1_C))),IMDIV("1",IMSUM(COMPLEX(DUMP1_R,0),COMPLEX(DUMP1_ESR,B116*DUMP1_ESL-1/(B116*DUMP1_C)))))</f>
        <v>0</v>
      </c>
      <c r="I116">
        <f>IMPRODUCT("2",IMDIV("1",IMSUM(IMDIV("1",COMPLEX(LDM2_DCR,B116*LDM2_L)),COMPLEX(0,B116*LDM2_CPA))))</f>
        <v>0</v>
      </c>
      <c r="J116">
        <f>IMSUM(IMDIV("1",COMPLEX(CX2_ESR,B116*CX2_ESL-1/(B116*CX2_C))),IMDIV("1",IMSUM(COMPLEX(DUMP2_R,0),COMPLEX(DUMP2_ESR,B116*DUMP2_ESL-1/(B116*DUMP2_C)))))</f>
        <v>0</v>
      </c>
      <c r="K116">
        <f>IMPRODUCT("2",IMDIV("1",IMSUM(IMDIV("1",COMPLEX(CMC_DCR,B116*CMC_L*(1-CMC_K))),COMPLEX(0,B116*CMC_CPA))))</f>
        <v>0</v>
      </c>
      <c r="L116">
        <f>IMSUM(COMPLEX(0,B116*CMC_CLINE),IMDIV("1",IMPRODUCT("2",COMPLEX(CY_ESR,B116*CY_ESL-1/(B116*CY_C)))),COMPLEX(1/DUMMY_R,0))</f>
        <v>0</v>
      </c>
      <c r="M116">
        <f>IMSUM(D116,IMDIV("1",C116))</f>
        <v>0</v>
      </c>
      <c r="N116">
        <f>IMDIV("1",IMSUM(E116,IMDIV("1",M116)))</f>
        <v>0</v>
      </c>
      <c r="O116">
        <f>IMSUM(F116,N116)</f>
        <v>0</v>
      </c>
      <c r="P116">
        <f>IMDIV("1",IMSUM(G116,IMDIV("1",O116)))</f>
        <v>0</v>
      </c>
      <c r="Q116">
        <f>IMSUM(H116,P116)</f>
        <v>0</v>
      </c>
      <c r="R116">
        <f>IMDIV("1",IMSUM(I116,IMDIV("1",Q116)))</f>
        <v>0</v>
      </c>
      <c r="S116">
        <f>IMSUM(J116,R116)</f>
        <v>0</v>
      </c>
      <c r="T116">
        <f>IMDIV("1",IMSUM(K116,IMDIV("1",S116)))</f>
        <v>0</v>
      </c>
      <c r="U116">
        <f>IMSUM(L116,T116)</f>
        <v>0</v>
      </c>
      <c r="V116">
        <f>IMDIV(COMPLEX(I_DM_SOURCE,0),U116)</f>
        <v>0</v>
      </c>
      <c r="W116">
        <f>IMPRODUCT(V116,T116)</f>
        <v>0</v>
      </c>
      <c r="X116">
        <f>IMDIV(W116,S116)</f>
        <v>0</v>
      </c>
      <c r="Y116">
        <f>IMPRODUCT(X116,R116)</f>
        <v>0</v>
      </c>
      <c r="Z116">
        <f>IMDIV(Y116,Q116)</f>
        <v>0</v>
      </c>
      <c r="AA116">
        <f>IMPRODUCT(Z116,P116)</f>
        <v>0</v>
      </c>
      <c r="AB116">
        <f>AA116</f>
        <v>0</v>
      </c>
      <c r="AC116">
        <f>IMPRODUCT("-1",AB116)</f>
        <v>0</v>
      </c>
      <c r="AD116">
        <f>IMDIV(IMSUB(AB116,AC116),"2")</f>
        <v>0</v>
      </c>
      <c r="AE116" s="6">
        <f>IMABS(AB116)</f>
        <v>0</v>
      </c>
      <c r="AF116" s="6">
        <f>IMABS(AC116)</f>
        <v>0</v>
      </c>
      <c r="AG116" s="6">
        <f>IMABS(AD116)</f>
        <v>0</v>
      </c>
      <c r="AH116" s="7">
        <f>20*LOG10(MAX(AE116,1E-300)*1E6)</f>
        <v>0</v>
      </c>
      <c r="AI116" s="7">
        <f>20*LOG10(MAX(AF116,1E-300)*1E6)</f>
        <v>0</v>
      </c>
      <c r="AJ116" s="7">
        <f>20*LOG10(MAX(AG116,1E-300)*1E6)</f>
        <v>0</v>
      </c>
      <c r="AK116" s="7">
        <f>DEGREES(IMARGUMENT(AB116))</f>
        <v>0</v>
      </c>
      <c r="AL116" s="7">
        <f>DEGREES(IMARGUMENT(AC116))</f>
        <v>0</v>
      </c>
      <c r="AM116" s="7">
        <f>DEGREES(IMARGUMENT(AD116))</f>
        <v>0</v>
      </c>
    </row>
    <row r="117" spans="1:39">
      <c r="A117" s="6">
        <f>10^(LOG10(F_START)+(ROW()-ROW($A$2))*(LOG10(F_STOP)-LOG10(F_START))/(N_POINTS-1))</f>
        <v>0</v>
      </c>
      <c r="B117" s="6">
        <f>2*PI()*A117</f>
        <v>0</v>
      </c>
      <c r="C117">
        <f>COMPLEX(2*LINE_PS_DCR,2*B117*LINE_PS_L)</f>
        <v>0</v>
      </c>
      <c r="D117">
        <f>IMSUM(COMPLEX(0,B117*(LINE_PS_CLINE+LINE_PS_CCHA/2)),IMDIV("1",IMPRODUCT("2",COMPLEX(C_THROUGH_ESR,B117*C_THROUGH_ESL-1/(B117*C_THROUGH_C)))))</f>
        <v>0</v>
      </c>
      <c r="E117">
        <f>COMPLEX(2*LINE_INPUT_DCR,2*B117*LINE_INPUT_L)</f>
        <v>0</v>
      </c>
      <c r="F117">
        <f>COMPLEX(0,B117*(LINE_INPUT_CLINE+LINE_INPUT_CCHA/2))</f>
        <v>0</v>
      </c>
      <c r="G117">
        <f>IMPRODUCT("2",IMDIV("1",IMSUM(IMDIV("1",COMPLEX(LDM1_DCR,B117*LDM1_L)),COMPLEX(0,B117*LDM1_CPA))))</f>
        <v>0</v>
      </c>
      <c r="H117">
        <f>IMSUM(IMDIV("1",COMPLEX(CX1_ESR,B117*CX1_ESL-1/(B117*CX1_C))),IMDIV("1",IMSUM(COMPLEX(DUMP1_R,0),COMPLEX(DUMP1_ESR,B117*DUMP1_ESL-1/(B117*DUMP1_C)))))</f>
        <v>0</v>
      </c>
      <c r="I117">
        <f>IMPRODUCT("2",IMDIV("1",IMSUM(IMDIV("1",COMPLEX(LDM2_DCR,B117*LDM2_L)),COMPLEX(0,B117*LDM2_CPA))))</f>
        <v>0</v>
      </c>
      <c r="J117">
        <f>IMSUM(IMDIV("1",COMPLEX(CX2_ESR,B117*CX2_ESL-1/(B117*CX2_C))),IMDIV("1",IMSUM(COMPLEX(DUMP2_R,0),COMPLEX(DUMP2_ESR,B117*DUMP2_ESL-1/(B117*DUMP2_C)))))</f>
        <v>0</v>
      </c>
      <c r="K117">
        <f>IMPRODUCT("2",IMDIV("1",IMSUM(IMDIV("1",COMPLEX(CMC_DCR,B117*CMC_L*(1-CMC_K))),COMPLEX(0,B117*CMC_CPA))))</f>
        <v>0</v>
      </c>
      <c r="L117">
        <f>IMSUM(COMPLEX(0,B117*CMC_CLINE),IMDIV("1",IMPRODUCT("2",COMPLEX(CY_ESR,B117*CY_ESL-1/(B117*CY_C)))),COMPLEX(1/DUMMY_R,0))</f>
        <v>0</v>
      </c>
      <c r="M117">
        <f>IMSUM(D117,IMDIV("1",C117))</f>
        <v>0</v>
      </c>
      <c r="N117">
        <f>IMDIV("1",IMSUM(E117,IMDIV("1",M117)))</f>
        <v>0</v>
      </c>
      <c r="O117">
        <f>IMSUM(F117,N117)</f>
        <v>0</v>
      </c>
      <c r="P117">
        <f>IMDIV("1",IMSUM(G117,IMDIV("1",O117)))</f>
        <v>0</v>
      </c>
      <c r="Q117">
        <f>IMSUM(H117,P117)</f>
        <v>0</v>
      </c>
      <c r="R117">
        <f>IMDIV("1",IMSUM(I117,IMDIV("1",Q117)))</f>
        <v>0</v>
      </c>
      <c r="S117">
        <f>IMSUM(J117,R117)</f>
        <v>0</v>
      </c>
      <c r="T117">
        <f>IMDIV("1",IMSUM(K117,IMDIV("1",S117)))</f>
        <v>0</v>
      </c>
      <c r="U117">
        <f>IMSUM(L117,T117)</f>
        <v>0</v>
      </c>
      <c r="V117">
        <f>IMDIV(COMPLEX(I_DM_SOURCE,0),U117)</f>
        <v>0</v>
      </c>
      <c r="W117">
        <f>IMPRODUCT(V117,T117)</f>
        <v>0</v>
      </c>
      <c r="X117">
        <f>IMDIV(W117,S117)</f>
        <v>0</v>
      </c>
      <c r="Y117">
        <f>IMPRODUCT(X117,R117)</f>
        <v>0</v>
      </c>
      <c r="Z117">
        <f>IMDIV(Y117,Q117)</f>
        <v>0</v>
      </c>
      <c r="AA117">
        <f>IMPRODUCT(Z117,P117)</f>
        <v>0</v>
      </c>
      <c r="AB117">
        <f>AA117</f>
        <v>0</v>
      </c>
      <c r="AC117">
        <f>IMPRODUCT("-1",AB117)</f>
        <v>0</v>
      </c>
      <c r="AD117">
        <f>IMDIV(IMSUB(AB117,AC117),"2")</f>
        <v>0</v>
      </c>
      <c r="AE117" s="6">
        <f>IMABS(AB117)</f>
        <v>0</v>
      </c>
      <c r="AF117" s="6">
        <f>IMABS(AC117)</f>
        <v>0</v>
      </c>
      <c r="AG117" s="6">
        <f>IMABS(AD117)</f>
        <v>0</v>
      </c>
      <c r="AH117" s="7">
        <f>20*LOG10(MAX(AE117,1E-300)*1E6)</f>
        <v>0</v>
      </c>
      <c r="AI117" s="7">
        <f>20*LOG10(MAX(AF117,1E-300)*1E6)</f>
        <v>0</v>
      </c>
      <c r="AJ117" s="7">
        <f>20*LOG10(MAX(AG117,1E-300)*1E6)</f>
        <v>0</v>
      </c>
      <c r="AK117" s="7">
        <f>DEGREES(IMARGUMENT(AB117))</f>
        <v>0</v>
      </c>
      <c r="AL117" s="7">
        <f>DEGREES(IMARGUMENT(AC117))</f>
        <v>0</v>
      </c>
      <c r="AM117" s="7">
        <f>DEGREES(IMARGUMENT(AD117))</f>
        <v>0</v>
      </c>
    </row>
    <row r="118" spans="1:39">
      <c r="A118" s="6">
        <f>10^(LOG10(F_START)+(ROW()-ROW($A$2))*(LOG10(F_STOP)-LOG10(F_START))/(N_POINTS-1))</f>
        <v>0</v>
      </c>
      <c r="B118" s="6">
        <f>2*PI()*A118</f>
        <v>0</v>
      </c>
      <c r="C118">
        <f>COMPLEX(2*LINE_PS_DCR,2*B118*LINE_PS_L)</f>
        <v>0</v>
      </c>
      <c r="D118">
        <f>IMSUM(COMPLEX(0,B118*(LINE_PS_CLINE+LINE_PS_CCHA/2)),IMDIV("1",IMPRODUCT("2",COMPLEX(C_THROUGH_ESR,B118*C_THROUGH_ESL-1/(B118*C_THROUGH_C)))))</f>
        <v>0</v>
      </c>
      <c r="E118">
        <f>COMPLEX(2*LINE_INPUT_DCR,2*B118*LINE_INPUT_L)</f>
        <v>0</v>
      </c>
      <c r="F118">
        <f>COMPLEX(0,B118*(LINE_INPUT_CLINE+LINE_INPUT_CCHA/2))</f>
        <v>0</v>
      </c>
      <c r="G118">
        <f>IMPRODUCT("2",IMDIV("1",IMSUM(IMDIV("1",COMPLEX(LDM1_DCR,B118*LDM1_L)),COMPLEX(0,B118*LDM1_CPA))))</f>
        <v>0</v>
      </c>
      <c r="H118">
        <f>IMSUM(IMDIV("1",COMPLEX(CX1_ESR,B118*CX1_ESL-1/(B118*CX1_C))),IMDIV("1",IMSUM(COMPLEX(DUMP1_R,0),COMPLEX(DUMP1_ESR,B118*DUMP1_ESL-1/(B118*DUMP1_C)))))</f>
        <v>0</v>
      </c>
      <c r="I118">
        <f>IMPRODUCT("2",IMDIV("1",IMSUM(IMDIV("1",COMPLEX(LDM2_DCR,B118*LDM2_L)),COMPLEX(0,B118*LDM2_CPA))))</f>
        <v>0</v>
      </c>
      <c r="J118">
        <f>IMSUM(IMDIV("1",COMPLEX(CX2_ESR,B118*CX2_ESL-1/(B118*CX2_C))),IMDIV("1",IMSUM(COMPLEX(DUMP2_R,0),COMPLEX(DUMP2_ESR,B118*DUMP2_ESL-1/(B118*DUMP2_C)))))</f>
        <v>0</v>
      </c>
      <c r="K118">
        <f>IMPRODUCT("2",IMDIV("1",IMSUM(IMDIV("1",COMPLEX(CMC_DCR,B118*CMC_L*(1-CMC_K))),COMPLEX(0,B118*CMC_CPA))))</f>
        <v>0</v>
      </c>
      <c r="L118">
        <f>IMSUM(COMPLEX(0,B118*CMC_CLINE),IMDIV("1",IMPRODUCT("2",COMPLEX(CY_ESR,B118*CY_ESL-1/(B118*CY_C)))),COMPLEX(1/DUMMY_R,0))</f>
        <v>0</v>
      </c>
      <c r="M118">
        <f>IMSUM(D118,IMDIV("1",C118))</f>
        <v>0</v>
      </c>
      <c r="N118">
        <f>IMDIV("1",IMSUM(E118,IMDIV("1",M118)))</f>
        <v>0</v>
      </c>
      <c r="O118">
        <f>IMSUM(F118,N118)</f>
        <v>0</v>
      </c>
      <c r="P118">
        <f>IMDIV("1",IMSUM(G118,IMDIV("1",O118)))</f>
        <v>0</v>
      </c>
      <c r="Q118">
        <f>IMSUM(H118,P118)</f>
        <v>0</v>
      </c>
      <c r="R118">
        <f>IMDIV("1",IMSUM(I118,IMDIV("1",Q118)))</f>
        <v>0</v>
      </c>
      <c r="S118">
        <f>IMSUM(J118,R118)</f>
        <v>0</v>
      </c>
      <c r="T118">
        <f>IMDIV("1",IMSUM(K118,IMDIV("1",S118)))</f>
        <v>0</v>
      </c>
      <c r="U118">
        <f>IMSUM(L118,T118)</f>
        <v>0</v>
      </c>
      <c r="V118">
        <f>IMDIV(COMPLEX(I_DM_SOURCE,0),U118)</f>
        <v>0</v>
      </c>
      <c r="W118">
        <f>IMPRODUCT(V118,T118)</f>
        <v>0</v>
      </c>
      <c r="X118">
        <f>IMDIV(W118,S118)</f>
        <v>0</v>
      </c>
      <c r="Y118">
        <f>IMPRODUCT(X118,R118)</f>
        <v>0</v>
      </c>
      <c r="Z118">
        <f>IMDIV(Y118,Q118)</f>
        <v>0</v>
      </c>
      <c r="AA118">
        <f>IMPRODUCT(Z118,P118)</f>
        <v>0</v>
      </c>
      <c r="AB118">
        <f>AA118</f>
        <v>0</v>
      </c>
      <c r="AC118">
        <f>IMPRODUCT("-1",AB118)</f>
        <v>0</v>
      </c>
      <c r="AD118">
        <f>IMDIV(IMSUB(AB118,AC118),"2")</f>
        <v>0</v>
      </c>
      <c r="AE118" s="6">
        <f>IMABS(AB118)</f>
        <v>0</v>
      </c>
      <c r="AF118" s="6">
        <f>IMABS(AC118)</f>
        <v>0</v>
      </c>
      <c r="AG118" s="6">
        <f>IMABS(AD118)</f>
        <v>0</v>
      </c>
      <c r="AH118" s="7">
        <f>20*LOG10(MAX(AE118,1E-300)*1E6)</f>
        <v>0</v>
      </c>
      <c r="AI118" s="7">
        <f>20*LOG10(MAX(AF118,1E-300)*1E6)</f>
        <v>0</v>
      </c>
      <c r="AJ118" s="7">
        <f>20*LOG10(MAX(AG118,1E-300)*1E6)</f>
        <v>0</v>
      </c>
      <c r="AK118" s="7">
        <f>DEGREES(IMARGUMENT(AB118))</f>
        <v>0</v>
      </c>
      <c r="AL118" s="7">
        <f>DEGREES(IMARGUMENT(AC118))</f>
        <v>0</v>
      </c>
      <c r="AM118" s="7">
        <f>DEGREES(IMARGUMENT(AD118))</f>
        <v>0</v>
      </c>
    </row>
    <row r="119" spans="1:39">
      <c r="A119" s="6">
        <f>10^(LOG10(F_START)+(ROW()-ROW($A$2))*(LOG10(F_STOP)-LOG10(F_START))/(N_POINTS-1))</f>
        <v>0</v>
      </c>
      <c r="B119" s="6">
        <f>2*PI()*A119</f>
        <v>0</v>
      </c>
      <c r="C119">
        <f>COMPLEX(2*LINE_PS_DCR,2*B119*LINE_PS_L)</f>
        <v>0</v>
      </c>
      <c r="D119">
        <f>IMSUM(COMPLEX(0,B119*(LINE_PS_CLINE+LINE_PS_CCHA/2)),IMDIV("1",IMPRODUCT("2",COMPLEX(C_THROUGH_ESR,B119*C_THROUGH_ESL-1/(B119*C_THROUGH_C)))))</f>
        <v>0</v>
      </c>
      <c r="E119">
        <f>COMPLEX(2*LINE_INPUT_DCR,2*B119*LINE_INPUT_L)</f>
        <v>0</v>
      </c>
      <c r="F119">
        <f>COMPLEX(0,B119*(LINE_INPUT_CLINE+LINE_INPUT_CCHA/2))</f>
        <v>0</v>
      </c>
      <c r="G119">
        <f>IMPRODUCT("2",IMDIV("1",IMSUM(IMDIV("1",COMPLEX(LDM1_DCR,B119*LDM1_L)),COMPLEX(0,B119*LDM1_CPA))))</f>
        <v>0</v>
      </c>
      <c r="H119">
        <f>IMSUM(IMDIV("1",COMPLEX(CX1_ESR,B119*CX1_ESL-1/(B119*CX1_C))),IMDIV("1",IMSUM(COMPLEX(DUMP1_R,0),COMPLEX(DUMP1_ESR,B119*DUMP1_ESL-1/(B119*DUMP1_C)))))</f>
        <v>0</v>
      </c>
      <c r="I119">
        <f>IMPRODUCT("2",IMDIV("1",IMSUM(IMDIV("1",COMPLEX(LDM2_DCR,B119*LDM2_L)),COMPLEX(0,B119*LDM2_CPA))))</f>
        <v>0</v>
      </c>
      <c r="J119">
        <f>IMSUM(IMDIV("1",COMPLEX(CX2_ESR,B119*CX2_ESL-1/(B119*CX2_C))),IMDIV("1",IMSUM(COMPLEX(DUMP2_R,0),COMPLEX(DUMP2_ESR,B119*DUMP2_ESL-1/(B119*DUMP2_C)))))</f>
        <v>0</v>
      </c>
      <c r="K119">
        <f>IMPRODUCT("2",IMDIV("1",IMSUM(IMDIV("1",COMPLEX(CMC_DCR,B119*CMC_L*(1-CMC_K))),COMPLEX(0,B119*CMC_CPA))))</f>
        <v>0</v>
      </c>
      <c r="L119">
        <f>IMSUM(COMPLEX(0,B119*CMC_CLINE),IMDIV("1",IMPRODUCT("2",COMPLEX(CY_ESR,B119*CY_ESL-1/(B119*CY_C)))),COMPLEX(1/DUMMY_R,0))</f>
        <v>0</v>
      </c>
      <c r="M119">
        <f>IMSUM(D119,IMDIV("1",C119))</f>
        <v>0</v>
      </c>
      <c r="N119">
        <f>IMDIV("1",IMSUM(E119,IMDIV("1",M119)))</f>
        <v>0</v>
      </c>
      <c r="O119">
        <f>IMSUM(F119,N119)</f>
        <v>0</v>
      </c>
      <c r="P119">
        <f>IMDIV("1",IMSUM(G119,IMDIV("1",O119)))</f>
        <v>0</v>
      </c>
      <c r="Q119">
        <f>IMSUM(H119,P119)</f>
        <v>0</v>
      </c>
      <c r="R119">
        <f>IMDIV("1",IMSUM(I119,IMDIV("1",Q119)))</f>
        <v>0</v>
      </c>
      <c r="S119">
        <f>IMSUM(J119,R119)</f>
        <v>0</v>
      </c>
      <c r="T119">
        <f>IMDIV("1",IMSUM(K119,IMDIV("1",S119)))</f>
        <v>0</v>
      </c>
      <c r="U119">
        <f>IMSUM(L119,T119)</f>
        <v>0</v>
      </c>
      <c r="V119">
        <f>IMDIV(COMPLEX(I_DM_SOURCE,0),U119)</f>
        <v>0</v>
      </c>
      <c r="W119">
        <f>IMPRODUCT(V119,T119)</f>
        <v>0</v>
      </c>
      <c r="X119">
        <f>IMDIV(W119,S119)</f>
        <v>0</v>
      </c>
      <c r="Y119">
        <f>IMPRODUCT(X119,R119)</f>
        <v>0</v>
      </c>
      <c r="Z119">
        <f>IMDIV(Y119,Q119)</f>
        <v>0</v>
      </c>
      <c r="AA119">
        <f>IMPRODUCT(Z119,P119)</f>
        <v>0</v>
      </c>
      <c r="AB119">
        <f>AA119</f>
        <v>0</v>
      </c>
      <c r="AC119">
        <f>IMPRODUCT("-1",AB119)</f>
        <v>0</v>
      </c>
      <c r="AD119">
        <f>IMDIV(IMSUB(AB119,AC119),"2")</f>
        <v>0</v>
      </c>
      <c r="AE119" s="6">
        <f>IMABS(AB119)</f>
        <v>0</v>
      </c>
      <c r="AF119" s="6">
        <f>IMABS(AC119)</f>
        <v>0</v>
      </c>
      <c r="AG119" s="6">
        <f>IMABS(AD119)</f>
        <v>0</v>
      </c>
      <c r="AH119" s="7">
        <f>20*LOG10(MAX(AE119,1E-300)*1E6)</f>
        <v>0</v>
      </c>
      <c r="AI119" s="7">
        <f>20*LOG10(MAX(AF119,1E-300)*1E6)</f>
        <v>0</v>
      </c>
      <c r="AJ119" s="7">
        <f>20*LOG10(MAX(AG119,1E-300)*1E6)</f>
        <v>0</v>
      </c>
      <c r="AK119" s="7">
        <f>DEGREES(IMARGUMENT(AB119))</f>
        <v>0</v>
      </c>
      <c r="AL119" s="7">
        <f>DEGREES(IMARGUMENT(AC119))</f>
        <v>0</v>
      </c>
      <c r="AM119" s="7">
        <f>DEGREES(IMARGUMENT(AD119))</f>
        <v>0</v>
      </c>
    </row>
    <row r="120" spans="1:39">
      <c r="A120" s="6">
        <f>10^(LOG10(F_START)+(ROW()-ROW($A$2))*(LOG10(F_STOP)-LOG10(F_START))/(N_POINTS-1))</f>
        <v>0</v>
      </c>
      <c r="B120" s="6">
        <f>2*PI()*A120</f>
        <v>0</v>
      </c>
      <c r="C120">
        <f>COMPLEX(2*LINE_PS_DCR,2*B120*LINE_PS_L)</f>
        <v>0</v>
      </c>
      <c r="D120">
        <f>IMSUM(COMPLEX(0,B120*(LINE_PS_CLINE+LINE_PS_CCHA/2)),IMDIV("1",IMPRODUCT("2",COMPLEX(C_THROUGH_ESR,B120*C_THROUGH_ESL-1/(B120*C_THROUGH_C)))))</f>
        <v>0</v>
      </c>
      <c r="E120">
        <f>COMPLEX(2*LINE_INPUT_DCR,2*B120*LINE_INPUT_L)</f>
        <v>0</v>
      </c>
      <c r="F120">
        <f>COMPLEX(0,B120*(LINE_INPUT_CLINE+LINE_INPUT_CCHA/2))</f>
        <v>0</v>
      </c>
      <c r="G120">
        <f>IMPRODUCT("2",IMDIV("1",IMSUM(IMDIV("1",COMPLEX(LDM1_DCR,B120*LDM1_L)),COMPLEX(0,B120*LDM1_CPA))))</f>
        <v>0</v>
      </c>
      <c r="H120">
        <f>IMSUM(IMDIV("1",COMPLEX(CX1_ESR,B120*CX1_ESL-1/(B120*CX1_C))),IMDIV("1",IMSUM(COMPLEX(DUMP1_R,0),COMPLEX(DUMP1_ESR,B120*DUMP1_ESL-1/(B120*DUMP1_C)))))</f>
        <v>0</v>
      </c>
      <c r="I120">
        <f>IMPRODUCT("2",IMDIV("1",IMSUM(IMDIV("1",COMPLEX(LDM2_DCR,B120*LDM2_L)),COMPLEX(0,B120*LDM2_CPA))))</f>
        <v>0</v>
      </c>
      <c r="J120">
        <f>IMSUM(IMDIV("1",COMPLEX(CX2_ESR,B120*CX2_ESL-1/(B120*CX2_C))),IMDIV("1",IMSUM(COMPLEX(DUMP2_R,0),COMPLEX(DUMP2_ESR,B120*DUMP2_ESL-1/(B120*DUMP2_C)))))</f>
        <v>0</v>
      </c>
      <c r="K120">
        <f>IMPRODUCT("2",IMDIV("1",IMSUM(IMDIV("1",COMPLEX(CMC_DCR,B120*CMC_L*(1-CMC_K))),COMPLEX(0,B120*CMC_CPA))))</f>
        <v>0</v>
      </c>
      <c r="L120">
        <f>IMSUM(COMPLEX(0,B120*CMC_CLINE),IMDIV("1",IMPRODUCT("2",COMPLEX(CY_ESR,B120*CY_ESL-1/(B120*CY_C)))),COMPLEX(1/DUMMY_R,0))</f>
        <v>0</v>
      </c>
      <c r="M120">
        <f>IMSUM(D120,IMDIV("1",C120))</f>
        <v>0</v>
      </c>
      <c r="N120">
        <f>IMDIV("1",IMSUM(E120,IMDIV("1",M120)))</f>
        <v>0</v>
      </c>
      <c r="O120">
        <f>IMSUM(F120,N120)</f>
        <v>0</v>
      </c>
      <c r="P120">
        <f>IMDIV("1",IMSUM(G120,IMDIV("1",O120)))</f>
        <v>0</v>
      </c>
      <c r="Q120">
        <f>IMSUM(H120,P120)</f>
        <v>0</v>
      </c>
      <c r="R120">
        <f>IMDIV("1",IMSUM(I120,IMDIV("1",Q120)))</f>
        <v>0</v>
      </c>
      <c r="S120">
        <f>IMSUM(J120,R120)</f>
        <v>0</v>
      </c>
      <c r="T120">
        <f>IMDIV("1",IMSUM(K120,IMDIV("1",S120)))</f>
        <v>0</v>
      </c>
      <c r="U120">
        <f>IMSUM(L120,T120)</f>
        <v>0</v>
      </c>
      <c r="V120">
        <f>IMDIV(COMPLEX(I_DM_SOURCE,0),U120)</f>
        <v>0</v>
      </c>
      <c r="W120">
        <f>IMPRODUCT(V120,T120)</f>
        <v>0</v>
      </c>
      <c r="X120">
        <f>IMDIV(W120,S120)</f>
        <v>0</v>
      </c>
      <c r="Y120">
        <f>IMPRODUCT(X120,R120)</f>
        <v>0</v>
      </c>
      <c r="Z120">
        <f>IMDIV(Y120,Q120)</f>
        <v>0</v>
      </c>
      <c r="AA120">
        <f>IMPRODUCT(Z120,P120)</f>
        <v>0</v>
      </c>
      <c r="AB120">
        <f>AA120</f>
        <v>0</v>
      </c>
      <c r="AC120">
        <f>IMPRODUCT("-1",AB120)</f>
        <v>0</v>
      </c>
      <c r="AD120">
        <f>IMDIV(IMSUB(AB120,AC120),"2")</f>
        <v>0</v>
      </c>
      <c r="AE120" s="6">
        <f>IMABS(AB120)</f>
        <v>0</v>
      </c>
      <c r="AF120" s="6">
        <f>IMABS(AC120)</f>
        <v>0</v>
      </c>
      <c r="AG120" s="6">
        <f>IMABS(AD120)</f>
        <v>0</v>
      </c>
      <c r="AH120" s="7">
        <f>20*LOG10(MAX(AE120,1E-300)*1E6)</f>
        <v>0</v>
      </c>
      <c r="AI120" s="7">
        <f>20*LOG10(MAX(AF120,1E-300)*1E6)</f>
        <v>0</v>
      </c>
      <c r="AJ120" s="7">
        <f>20*LOG10(MAX(AG120,1E-300)*1E6)</f>
        <v>0</v>
      </c>
      <c r="AK120" s="7">
        <f>DEGREES(IMARGUMENT(AB120))</f>
        <v>0</v>
      </c>
      <c r="AL120" s="7">
        <f>DEGREES(IMARGUMENT(AC120))</f>
        <v>0</v>
      </c>
      <c r="AM120" s="7">
        <f>DEGREES(IMARGUMENT(AD120))</f>
        <v>0</v>
      </c>
    </row>
    <row r="121" spans="1:39">
      <c r="A121" s="6">
        <f>10^(LOG10(F_START)+(ROW()-ROW($A$2))*(LOG10(F_STOP)-LOG10(F_START))/(N_POINTS-1))</f>
        <v>0</v>
      </c>
      <c r="B121" s="6">
        <f>2*PI()*A121</f>
        <v>0</v>
      </c>
      <c r="C121">
        <f>COMPLEX(2*LINE_PS_DCR,2*B121*LINE_PS_L)</f>
        <v>0</v>
      </c>
      <c r="D121">
        <f>IMSUM(COMPLEX(0,B121*(LINE_PS_CLINE+LINE_PS_CCHA/2)),IMDIV("1",IMPRODUCT("2",COMPLEX(C_THROUGH_ESR,B121*C_THROUGH_ESL-1/(B121*C_THROUGH_C)))))</f>
        <v>0</v>
      </c>
      <c r="E121">
        <f>COMPLEX(2*LINE_INPUT_DCR,2*B121*LINE_INPUT_L)</f>
        <v>0</v>
      </c>
      <c r="F121">
        <f>COMPLEX(0,B121*(LINE_INPUT_CLINE+LINE_INPUT_CCHA/2))</f>
        <v>0</v>
      </c>
      <c r="G121">
        <f>IMPRODUCT("2",IMDIV("1",IMSUM(IMDIV("1",COMPLEX(LDM1_DCR,B121*LDM1_L)),COMPLEX(0,B121*LDM1_CPA))))</f>
        <v>0</v>
      </c>
      <c r="H121">
        <f>IMSUM(IMDIV("1",COMPLEX(CX1_ESR,B121*CX1_ESL-1/(B121*CX1_C))),IMDIV("1",IMSUM(COMPLEX(DUMP1_R,0),COMPLEX(DUMP1_ESR,B121*DUMP1_ESL-1/(B121*DUMP1_C)))))</f>
        <v>0</v>
      </c>
      <c r="I121">
        <f>IMPRODUCT("2",IMDIV("1",IMSUM(IMDIV("1",COMPLEX(LDM2_DCR,B121*LDM2_L)),COMPLEX(0,B121*LDM2_CPA))))</f>
        <v>0</v>
      </c>
      <c r="J121">
        <f>IMSUM(IMDIV("1",COMPLEX(CX2_ESR,B121*CX2_ESL-1/(B121*CX2_C))),IMDIV("1",IMSUM(COMPLEX(DUMP2_R,0),COMPLEX(DUMP2_ESR,B121*DUMP2_ESL-1/(B121*DUMP2_C)))))</f>
        <v>0</v>
      </c>
      <c r="K121">
        <f>IMPRODUCT("2",IMDIV("1",IMSUM(IMDIV("1",COMPLEX(CMC_DCR,B121*CMC_L*(1-CMC_K))),COMPLEX(0,B121*CMC_CPA))))</f>
        <v>0</v>
      </c>
      <c r="L121">
        <f>IMSUM(COMPLEX(0,B121*CMC_CLINE),IMDIV("1",IMPRODUCT("2",COMPLEX(CY_ESR,B121*CY_ESL-1/(B121*CY_C)))),COMPLEX(1/DUMMY_R,0))</f>
        <v>0</v>
      </c>
      <c r="M121">
        <f>IMSUM(D121,IMDIV("1",C121))</f>
        <v>0</v>
      </c>
      <c r="N121">
        <f>IMDIV("1",IMSUM(E121,IMDIV("1",M121)))</f>
        <v>0</v>
      </c>
      <c r="O121">
        <f>IMSUM(F121,N121)</f>
        <v>0</v>
      </c>
      <c r="P121">
        <f>IMDIV("1",IMSUM(G121,IMDIV("1",O121)))</f>
        <v>0</v>
      </c>
      <c r="Q121">
        <f>IMSUM(H121,P121)</f>
        <v>0</v>
      </c>
      <c r="R121">
        <f>IMDIV("1",IMSUM(I121,IMDIV("1",Q121)))</f>
        <v>0</v>
      </c>
      <c r="S121">
        <f>IMSUM(J121,R121)</f>
        <v>0</v>
      </c>
      <c r="T121">
        <f>IMDIV("1",IMSUM(K121,IMDIV("1",S121)))</f>
        <v>0</v>
      </c>
      <c r="U121">
        <f>IMSUM(L121,T121)</f>
        <v>0</v>
      </c>
      <c r="V121">
        <f>IMDIV(COMPLEX(I_DM_SOURCE,0),U121)</f>
        <v>0</v>
      </c>
      <c r="W121">
        <f>IMPRODUCT(V121,T121)</f>
        <v>0</v>
      </c>
      <c r="X121">
        <f>IMDIV(W121,S121)</f>
        <v>0</v>
      </c>
      <c r="Y121">
        <f>IMPRODUCT(X121,R121)</f>
        <v>0</v>
      </c>
      <c r="Z121">
        <f>IMDIV(Y121,Q121)</f>
        <v>0</v>
      </c>
      <c r="AA121">
        <f>IMPRODUCT(Z121,P121)</f>
        <v>0</v>
      </c>
      <c r="AB121">
        <f>AA121</f>
        <v>0</v>
      </c>
      <c r="AC121">
        <f>IMPRODUCT("-1",AB121)</f>
        <v>0</v>
      </c>
      <c r="AD121">
        <f>IMDIV(IMSUB(AB121,AC121),"2")</f>
        <v>0</v>
      </c>
      <c r="AE121" s="6">
        <f>IMABS(AB121)</f>
        <v>0</v>
      </c>
      <c r="AF121" s="6">
        <f>IMABS(AC121)</f>
        <v>0</v>
      </c>
      <c r="AG121" s="6">
        <f>IMABS(AD121)</f>
        <v>0</v>
      </c>
      <c r="AH121" s="7">
        <f>20*LOG10(MAX(AE121,1E-300)*1E6)</f>
        <v>0</v>
      </c>
      <c r="AI121" s="7">
        <f>20*LOG10(MAX(AF121,1E-300)*1E6)</f>
        <v>0</v>
      </c>
      <c r="AJ121" s="7">
        <f>20*LOG10(MAX(AG121,1E-300)*1E6)</f>
        <v>0</v>
      </c>
      <c r="AK121" s="7">
        <f>DEGREES(IMARGUMENT(AB121))</f>
        <v>0</v>
      </c>
      <c r="AL121" s="7">
        <f>DEGREES(IMARGUMENT(AC121))</f>
        <v>0</v>
      </c>
      <c r="AM121" s="7">
        <f>DEGREES(IMARGUMENT(AD121))</f>
        <v>0</v>
      </c>
    </row>
    <row r="122" spans="1:39">
      <c r="A122" s="6">
        <f>10^(LOG10(F_START)+(ROW()-ROW($A$2))*(LOG10(F_STOP)-LOG10(F_START))/(N_POINTS-1))</f>
        <v>0</v>
      </c>
      <c r="B122" s="6">
        <f>2*PI()*A122</f>
        <v>0</v>
      </c>
      <c r="C122">
        <f>COMPLEX(2*LINE_PS_DCR,2*B122*LINE_PS_L)</f>
        <v>0</v>
      </c>
      <c r="D122">
        <f>IMSUM(COMPLEX(0,B122*(LINE_PS_CLINE+LINE_PS_CCHA/2)),IMDIV("1",IMPRODUCT("2",COMPLEX(C_THROUGH_ESR,B122*C_THROUGH_ESL-1/(B122*C_THROUGH_C)))))</f>
        <v>0</v>
      </c>
      <c r="E122">
        <f>COMPLEX(2*LINE_INPUT_DCR,2*B122*LINE_INPUT_L)</f>
        <v>0</v>
      </c>
      <c r="F122">
        <f>COMPLEX(0,B122*(LINE_INPUT_CLINE+LINE_INPUT_CCHA/2))</f>
        <v>0</v>
      </c>
      <c r="G122">
        <f>IMPRODUCT("2",IMDIV("1",IMSUM(IMDIV("1",COMPLEX(LDM1_DCR,B122*LDM1_L)),COMPLEX(0,B122*LDM1_CPA))))</f>
        <v>0</v>
      </c>
      <c r="H122">
        <f>IMSUM(IMDIV("1",COMPLEX(CX1_ESR,B122*CX1_ESL-1/(B122*CX1_C))),IMDIV("1",IMSUM(COMPLEX(DUMP1_R,0),COMPLEX(DUMP1_ESR,B122*DUMP1_ESL-1/(B122*DUMP1_C)))))</f>
        <v>0</v>
      </c>
      <c r="I122">
        <f>IMPRODUCT("2",IMDIV("1",IMSUM(IMDIV("1",COMPLEX(LDM2_DCR,B122*LDM2_L)),COMPLEX(0,B122*LDM2_CPA))))</f>
        <v>0</v>
      </c>
      <c r="J122">
        <f>IMSUM(IMDIV("1",COMPLEX(CX2_ESR,B122*CX2_ESL-1/(B122*CX2_C))),IMDIV("1",IMSUM(COMPLEX(DUMP2_R,0),COMPLEX(DUMP2_ESR,B122*DUMP2_ESL-1/(B122*DUMP2_C)))))</f>
        <v>0</v>
      </c>
      <c r="K122">
        <f>IMPRODUCT("2",IMDIV("1",IMSUM(IMDIV("1",COMPLEX(CMC_DCR,B122*CMC_L*(1-CMC_K))),COMPLEX(0,B122*CMC_CPA))))</f>
        <v>0</v>
      </c>
      <c r="L122">
        <f>IMSUM(COMPLEX(0,B122*CMC_CLINE),IMDIV("1",IMPRODUCT("2",COMPLEX(CY_ESR,B122*CY_ESL-1/(B122*CY_C)))),COMPLEX(1/DUMMY_R,0))</f>
        <v>0</v>
      </c>
      <c r="M122">
        <f>IMSUM(D122,IMDIV("1",C122))</f>
        <v>0</v>
      </c>
      <c r="N122">
        <f>IMDIV("1",IMSUM(E122,IMDIV("1",M122)))</f>
        <v>0</v>
      </c>
      <c r="O122">
        <f>IMSUM(F122,N122)</f>
        <v>0</v>
      </c>
      <c r="P122">
        <f>IMDIV("1",IMSUM(G122,IMDIV("1",O122)))</f>
        <v>0</v>
      </c>
      <c r="Q122">
        <f>IMSUM(H122,P122)</f>
        <v>0</v>
      </c>
      <c r="R122">
        <f>IMDIV("1",IMSUM(I122,IMDIV("1",Q122)))</f>
        <v>0</v>
      </c>
      <c r="S122">
        <f>IMSUM(J122,R122)</f>
        <v>0</v>
      </c>
      <c r="T122">
        <f>IMDIV("1",IMSUM(K122,IMDIV("1",S122)))</f>
        <v>0</v>
      </c>
      <c r="U122">
        <f>IMSUM(L122,T122)</f>
        <v>0</v>
      </c>
      <c r="V122">
        <f>IMDIV(COMPLEX(I_DM_SOURCE,0),U122)</f>
        <v>0</v>
      </c>
      <c r="W122">
        <f>IMPRODUCT(V122,T122)</f>
        <v>0</v>
      </c>
      <c r="X122">
        <f>IMDIV(W122,S122)</f>
        <v>0</v>
      </c>
      <c r="Y122">
        <f>IMPRODUCT(X122,R122)</f>
        <v>0</v>
      </c>
      <c r="Z122">
        <f>IMDIV(Y122,Q122)</f>
        <v>0</v>
      </c>
      <c r="AA122">
        <f>IMPRODUCT(Z122,P122)</f>
        <v>0</v>
      </c>
      <c r="AB122">
        <f>AA122</f>
        <v>0</v>
      </c>
      <c r="AC122">
        <f>IMPRODUCT("-1",AB122)</f>
        <v>0</v>
      </c>
      <c r="AD122">
        <f>IMDIV(IMSUB(AB122,AC122),"2")</f>
        <v>0</v>
      </c>
      <c r="AE122" s="6">
        <f>IMABS(AB122)</f>
        <v>0</v>
      </c>
      <c r="AF122" s="6">
        <f>IMABS(AC122)</f>
        <v>0</v>
      </c>
      <c r="AG122" s="6">
        <f>IMABS(AD122)</f>
        <v>0</v>
      </c>
      <c r="AH122" s="7">
        <f>20*LOG10(MAX(AE122,1E-300)*1E6)</f>
        <v>0</v>
      </c>
      <c r="AI122" s="7">
        <f>20*LOG10(MAX(AF122,1E-300)*1E6)</f>
        <v>0</v>
      </c>
      <c r="AJ122" s="7">
        <f>20*LOG10(MAX(AG122,1E-300)*1E6)</f>
        <v>0</v>
      </c>
      <c r="AK122" s="7">
        <f>DEGREES(IMARGUMENT(AB122))</f>
        <v>0</v>
      </c>
      <c r="AL122" s="7">
        <f>DEGREES(IMARGUMENT(AC122))</f>
        <v>0</v>
      </c>
      <c r="AM122" s="7">
        <f>DEGREES(IMARGUMENT(AD122))</f>
        <v>0</v>
      </c>
    </row>
    <row r="123" spans="1:39">
      <c r="A123" s="6">
        <f>10^(LOG10(F_START)+(ROW()-ROW($A$2))*(LOG10(F_STOP)-LOG10(F_START))/(N_POINTS-1))</f>
        <v>0</v>
      </c>
      <c r="B123" s="6">
        <f>2*PI()*A123</f>
        <v>0</v>
      </c>
      <c r="C123">
        <f>COMPLEX(2*LINE_PS_DCR,2*B123*LINE_PS_L)</f>
        <v>0</v>
      </c>
      <c r="D123">
        <f>IMSUM(COMPLEX(0,B123*(LINE_PS_CLINE+LINE_PS_CCHA/2)),IMDIV("1",IMPRODUCT("2",COMPLEX(C_THROUGH_ESR,B123*C_THROUGH_ESL-1/(B123*C_THROUGH_C)))))</f>
        <v>0</v>
      </c>
      <c r="E123">
        <f>COMPLEX(2*LINE_INPUT_DCR,2*B123*LINE_INPUT_L)</f>
        <v>0</v>
      </c>
      <c r="F123">
        <f>COMPLEX(0,B123*(LINE_INPUT_CLINE+LINE_INPUT_CCHA/2))</f>
        <v>0</v>
      </c>
      <c r="G123">
        <f>IMPRODUCT("2",IMDIV("1",IMSUM(IMDIV("1",COMPLEX(LDM1_DCR,B123*LDM1_L)),COMPLEX(0,B123*LDM1_CPA))))</f>
        <v>0</v>
      </c>
      <c r="H123">
        <f>IMSUM(IMDIV("1",COMPLEX(CX1_ESR,B123*CX1_ESL-1/(B123*CX1_C))),IMDIV("1",IMSUM(COMPLEX(DUMP1_R,0),COMPLEX(DUMP1_ESR,B123*DUMP1_ESL-1/(B123*DUMP1_C)))))</f>
        <v>0</v>
      </c>
      <c r="I123">
        <f>IMPRODUCT("2",IMDIV("1",IMSUM(IMDIV("1",COMPLEX(LDM2_DCR,B123*LDM2_L)),COMPLEX(0,B123*LDM2_CPA))))</f>
        <v>0</v>
      </c>
      <c r="J123">
        <f>IMSUM(IMDIV("1",COMPLEX(CX2_ESR,B123*CX2_ESL-1/(B123*CX2_C))),IMDIV("1",IMSUM(COMPLEX(DUMP2_R,0),COMPLEX(DUMP2_ESR,B123*DUMP2_ESL-1/(B123*DUMP2_C)))))</f>
        <v>0</v>
      </c>
      <c r="K123">
        <f>IMPRODUCT("2",IMDIV("1",IMSUM(IMDIV("1",COMPLEX(CMC_DCR,B123*CMC_L*(1-CMC_K))),COMPLEX(0,B123*CMC_CPA))))</f>
        <v>0</v>
      </c>
      <c r="L123">
        <f>IMSUM(COMPLEX(0,B123*CMC_CLINE),IMDIV("1",IMPRODUCT("2",COMPLEX(CY_ESR,B123*CY_ESL-1/(B123*CY_C)))),COMPLEX(1/DUMMY_R,0))</f>
        <v>0</v>
      </c>
      <c r="M123">
        <f>IMSUM(D123,IMDIV("1",C123))</f>
        <v>0</v>
      </c>
      <c r="N123">
        <f>IMDIV("1",IMSUM(E123,IMDIV("1",M123)))</f>
        <v>0</v>
      </c>
      <c r="O123">
        <f>IMSUM(F123,N123)</f>
        <v>0</v>
      </c>
      <c r="P123">
        <f>IMDIV("1",IMSUM(G123,IMDIV("1",O123)))</f>
        <v>0</v>
      </c>
      <c r="Q123">
        <f>IMSUM(H123,P123)</f>
        <v>0</v>
      </c>
      <c r="R123">
        <f>IMDIV("1",IMSUM(I123,IMDIV("1",Q123)))</f>
        <v>0</v>
      </c>
      <c r="S123">
        <f>IMSUM(J123,R123)</f>
        <v>0</v>
      </c>
      <c r="T123">
        <f>IMDIV("1",IMSUM(K123,IMDIV("1",S123)))</f>
        <v>0</v>
      </c>
      <c r="U123">
        <f>IMSUM(L123,T123)</f>
        <v>0</v>
      </c>
      <c r="V123">
        <f>IMDIV(COMPLEX(I_DM_SOURCE,0),U123)</f>
        <v>0</v>
      </c>
      <c r="W123">
        <f>IMPRODUCT(V123,T123)</f>
        <v>0</v>
      </c>
      <c r="X123">
        <f>IMDIV(W123,S123)</f>
        <v>0</v>
      </c>
      <c r="Y123">
        <f>IMPRODUCT(X123,R123)</f>
        <v>0</v>
      </c>
      <c r="Z123">
        <f>IMDIV(Y123,Q123)</f>
        <v>0</v>
      </c>
      <c r="AA123">
        <f>IMPRODUCT(Z123,P123)</f>
        <v>0</v>
      </c>
      <c r="AB123">
        <f>AA123</f>
        <v>0</v>
      </c>
      <c r="AC123">
        <f>IMPRODUCT("-1",AB123)</f>
        <v>0</v>
      </c>
      <c r="AD123">
        <f>IMDIV(IMSUB(AB123,AC123),"2")</f>
        <v>0</v>
      </c>
      <c r="AE123" s="6">
        <f>IMABS(AB123)</f>
        <v>0</v>
      </c>
      <c r="AF123" s="6">
        <f>IMABS(AC123)</f>
        <v>0</v>
      </c>
      <c r="AG123" s="6">
        <f>IMABS(AD123)</f>
        <v>0</v>
      </c>
      <c r="AH123" s="7">
        <f>20*LOG10(MAX(AE123,1E-300)*1E6)</f>
        <v>0</v>
      </c>
      <c r="AI123" s="7">
        <f>20*LOG10(MAX(AF123,1E-300)*1E6)</f>
        <v>0</v>
      </c>
      <c r="AJ123" s="7">
        <f>20*LOG10(MAX(AG123,1E-300)*1E6)</f>
        <v>0</v>
      </c>
      <c r="AK123" s="7">
        <f>DEGREES(IMARGUMENT(AB123))</f>
        <v>0</v>
      </c>
      <c r="AL123" s="7">
        <f>DEGREES(IMARGUMENT(AC123))</f>
        <v>0</v>
      </c>
      <c r="AM123" s="7">
        <f>DEGREES(IMARGUMENT(AD123))</f>
        <v>0</v>
      </c>
    </row>
    <row r="124" spans="1:39">
      <c r="A124" s="6">
        <f>10^(LOG10(F_START)+(ROW()-ROW($A$2))*(LOG10(F_STOP)-LOG10(F_START))/(N_POINTS-1))</f>
        <v>0</v>
      </c>
      <c r="B124" s="6">
        <f>2*PI()*A124</f>
        <v>0</v>
      </c>
      <c r="C124">
        <f>COMPLEX(2*LINE_PS_DCR,2*B124*LINE_PS_L)</f>
        <v>0</v>
      </c>
      <c r="D124">
        <f>IMSUM(COMPLEX(0,B124*(LINE_PS_CLINE+LINE_PS_CCHA/2)),IMDIV("1",IMPRODUCT("2",COMPLEX(C_THROUGH_ESR,B124*C_THROUGH_ESL-1/(B124*C_THROUGH_C)))))</f>
        <v>0</v>
      </c>
      <c r="E124">
        <f>COMPLEX(2*LINE_INPUT_DCR,2*B124*LINE_INPUT_L)</f>
        <v>0</v>
      </c>
      <c r="F124">
        <f>COMPLEX(0,B124*(LINE_INPUT_CLINE+LINE_INPUT_CCHA/2))</f>
        <v>0</v>
      </c>
      <c r="G124">
        <f>IMPRODUCT("2",IMDIV("1",IMSUM(IMDIV("1",COMPLEX(LDM1_DCR,B124*LDM1_L)),COMPLEX(0,B124*LDM1_CPA))))</f>
        <v>0</v>
      </c>
      <c r="H124">
        <f>IMSUM(IMDIV("1",COMPLEX(CX1_ESR,B124*CX1_ESL-1/(B124*CX1_C))),IMDIV("1",IMSUM(COMPLEX(DUMP1_R,0),COMPLEX(DUMP1_ESR,B124*DUMP1_ESL-1/(B124*DUMP1_C)))))</f>
        <v>0</v>
      </c>
      <c r="I124">
        <f>IMPRODUCT("2",IMDIV("1",IMSUM(IMDIV("1",COMPLEX(LDM2_DCR,B124*LDM2_L)),COMPLEX(0,B124*LDM2_CPA))))</f>
        <v>0</v>
      </c>
      <c r="J124">
        <f>IMSUM(IMDIV("1",COMPLEX(CX2_ESR,B124*CX2_ESL-1/(B124*CX2_C))),IMDIV("1",IMSUM(COMPLEX(DUMP2_R,0),COMPLEX(DUMP2_ESR,B124*DUMP2_ESL-1/(B124*DUMP2_C)))))</f>
        <v>0</v>
      </c>
      <c r="K124">
        <f>IMPRODUCT("2",IMDIV("1",IMSUM(IMDIV("1",COMPLEX(CMC_DCR,B124*CMC_L*(1-CMC_K))),COMPLEX(0,B124*CMC_CPA))))</f>
        <v>0</v>
      </c>
      <c r="L124">
        <f>IMSUM(COMPLEX(0,B124*CMC_CLINE),IMDIV("1",IMPRODUCT("2",COMPLEX(CY_ESR,B124*CY_ESL-1/(B124*CY_C)))),COMPLEX(1/DUMMY_R,0))</f>
        <v>0</v>
      </c>
      <c r="M124">
        <f>IMSUM(D124,IMDIV("1",C124))</f>
        <v>0</v>
      </c>
      <c r="N124">
        <f>IMDIV("1",IMSUM(E124,IMDIV("1",M124)))</f>
        <v>0</v>
      </c>
      <c r="O124">
        <f>IMSUM(F124,N124)</f>
        <v>0</v>
      </c>
      <c r="P124">
        <f>IMDIV("1",IMSUM(G124,IMDIV("1",O124)))</f>
        <v>0</v>
      </c>
      <c r="Q124">
        <f>IMSUM(H124,P124)</f>
        <v>0</v>
      </c>
      <c r="R124">
        <f>IMDIV("1",IMSUM(I124,IMDIV("1",Q124)))</f>
        <v>0</v>
      </c>
      <c r="S124">
        <f>IMSUM(J124,R124)</f>
        <v>0</v>
      </c>
      <c r="T124">
        <f>IMDIV("1",IMSUM(K124,IMDIV("1",S124)))</f>
        <v>0</v>
      </c>
      <c r="U124">
        <f>IMSUM(L124,T124)</f>
        <v>0</v>
      </c>
      <c r="V124">
        <f>IMDIV(COMPLEX(I_DM_SOURCE,0),U124)</f>
        <v>0</v>
      </c>
      <c r="W124">
        <f>IMPRODUCT(V124,T124)</f>
        <v>0</v>
      </c>
      <c r="X124">
        <f>IMDIV(W124,S124)</f>
        <v>0</v>
      </c>
      <c r="Y124">
        <f>IMPRODUCT(X124,R124)</f>
        <v>0</v>
      </c>
      <c r="Z124">
        <f>IMDIV(Y124,Q124)</f>
        <v>0</v>
      </c>
      <c r="AA124">
        <f>IMPRODUCT(Z124,P124)</f>
        <v>0</v>
      </c>
      <c r="AB124">
        <f>AA124</f>
        <v>0</v>
      </c>
      <c r="AC124">
        <f>IMPRODUCT("-1",AB124)</f>
        <v>0</v>
      </c>
      <c r="AD124">
        <f>IMDIV(IMSUB(AB124,AC124),"2")</f>
        <v>0</v>
      </c>
      <c r="AE124" s="6">
        <f>IMABS(AB124)</f>
        <v>0</v>
      </c>
      <c r="AF124" s="6">
        <f>IMABS(AC124)</f>
        <v>0</v>
      </c>
      <c r="AG124" s="6">
        <f>IMABS(AD124)</f>
        <v>0</v>
      </c>
      <c r="AH124" s="7">
        <f>20*LOG10(MAX(AE124,1E-300)*1E6)</f>
        <v>0</v>
      </c>
      <c r="AI124" s="7">
        <f>20*LOG10(MAX(AF124,1E-300)*1E6)</f>
        <v>0</v>
      </c>
      <c r="AJ124" s="7">
        <f>20*LOG10(MAX(AG124,1E-300)*1E6)</f>
        <v>0</v>
      </c>
      <c r="AK124" s="7">
        <f>DEGREES(IMARGUMENT(AB124))</f>
        <v>0</v>
      </c>
      <c r="AL124" s="7">
        <f>DEGREES(IMARGUMENT(AC124))</f>
        <v>0</v>
      </c>
      <c r="AM124" s="7">
        <f>DEGREES(IMARGUMENT(AD124))</f>
        <v>0</v>
      </c>
    </row>
    <row r="125" spans="1:39">
      <c r="A125" s="6">
        <f>10^(LOG10(F_START)+(ROW()-ROW($A$2))*(LOG10(F_STOP)-LOG10(F_START))/(N_POINTS-1))</f>
        <v>0</v>
      </c>
      <c r="B125" s="6">
        <f>2*PI()*A125</f>
        <v>0</v>
      </c>
      <c r="C125">
        <f>COMPLEX(2*LINE_PS_DCR,2*B125*LINE_PS_L)</f>
        <v>0</v>
      </c>
      <c r="D125">
        <f>IMSUM(COMPLEX(0,B125*(LINE_PS_CLINE+LINE_PS_CCHA/2)),IMDIV("1",IMPRODUCT("2",COMPLEX(C_THROUGH_ESR,B125*C_THROUGH_ESL-1/(B125*C_THROUGH_C)))))</f>
        <v>0</v>
      </c>
      <c r="E125">
        <f>COMPLEX(2*LINE_INPUT_DCR,2*B125*LINE_INPUT_L)</f>
        <v>0</v>
      </c>
      <c r="F125">
        <f>COMPLEX(0,B125*(LINE_INPUT_CLINE+LINE_INPUT_CCHA/2))</f>
        <v>0</v>
      </c>
      <c r="G125">
        <f>IMPRODUCT("2",IMDIV("1",IMSUM(IMDIV("1",COMPLEX(LDM1_DCR,B125*LDM1_L)),COMPLEX(0,B125*LDM1_CPA))))</f>
        <v>0</v>
      </c>
      <c r="H125">
        <f>IMSUM(IMDIV("1",COMPLEX(CX1_ESR,B125*CX1_ESL-1/(B125*CX1_C))),IMDIV("1",IMSUM(COMPLEX(DUMP1_R,0),COMPLEX(DUMP1_ESR,B125*DUMP1_ESL-1/(B125*DUMP1_C)))))</f>
        <v>0</v>
      </c>
      <c r="I125">
        <f>IMPRODUCT("2",IMDIV("1",IMSUM(IMDIV("1",COMPLEX(LDM2_DCR,B125*LDM2_L)),COMPLEX(0,B125*LDM2_CPA))))</f>
        <v>0</v>
      </c>
      <c r="J125">
        <f>IMSUM(IMDIV("1",COMPLEX(CX2_ESR,B125*CX2_ESL-1/(B125*CX2_C))),IMDIV("1",IMSUM(COMPLEX(DUMP2_R,0),COMPLEX(DUMP2_ESR,B125*DUMP2_ESL-1/(B125*DUMP2_C)))))</f>
        <v>0</v>
      </c>
      <c r="K125">
        <f>IMPRODUCT("2",IMDIV("1",IMSUM(IMDIV("1",COMPLEX(CMC_DCR,B125*CMC_L*(1-CMC_K))),COMPLEX(0,B125*CMC_CPA))))</f>
        <v>0</v>
      </c>
      <c r="L125">
        <f>IMSUM(COMPLEX(0,B125*CMC_CLINE),IMDIV("1",IMPRODUCT("2",COMPLEX(CY_ESR,B125*CY_ESL-1/(B125*CY_C)))),COMPLEX(1/DUMMY_R,0))</f>
        <v>0</v>
      </c>
      <c r="M125">
        <f>IMSUM(D125,IMDIV("1",C125))</f>
        <v>0</v>
      </c>
      <c r="N125">
        <f>IMDIV("1",IMSUM(E125,IMDIV("1",M125)))</f>
        <v>0</v>
      </c>
      <c r="O125">
        <f>IMSUM(F125,N125)</f>
        <v>0</v>
      </c>
      <c r="P125">
        <f>IMDIV("1",IMSUM(G125,IMDIV("1",O125)))</f>
        <v>0</v>
      </c>
      <c r="Q125">
        <f>IMSUM(H125,P125)</f>
        <v>0</v>
      </c>
      <c r="R125">
        <f>IMDIV("1",IMSUM(I125,IMDIV("1",Q125)))</f>
        <v>0</v>
      </c>
      <c r="S125">
        <f>IMSUM(J125,R125)</f>
        <v>0</v>
      </c>
      <c r="T125">
        <f>IMDIV("1",IMSUM(K125,IMDIV("1",S125)))</f>
        <v>0</v>
      </c>
      <c r="U125">
        <f>IMSUM(L125,T125)</f>
        <v>0</v>
      </c>
      <c r="V125">
        <f>IMDIV(COMPLEX(I_DM_SOURCE,0),U125)</f>
        <v>0</v>
      </c>
      <c r="W125">
        <f>IMPRODUCT(V125,T125)</f>
        <v>0</v>
      </c>
      <c r="X125">
        <f>IMDIV(W125,S125)</f>
        <v>0</v>
      </c>
      <c r="Y125">
        <f>IMPRODUCT(X125,R125)</f>
        <v>0</v>
      </c>
      <c r="Z125">
        <f>IMDIV(Y125,Q125)</f>
        <v>0</v>
      </c>
      <c r="AA125">
        <f>IMPRODUCT(Z125,P125)</f>
        <v>0</v>
      </c>
      <c r="AB125">
        <f>AA125</f>
        <v>0</v>
      </c>
      <c r="AC125">
        <f>IMPRODUCT("-1",AB125)</f>
        <v>0</v>
      </c>
      <c r="AD125">
        <f>IMDIV(IMSUB(AB125,AC125),"2")</f>
        <v>0</v>
      </c>
      <c r="AE125" s="6">
        <f>IMABS(AB125)</f>
        <v>0</v>
      </c>
      <c r="AF125" s="6">
        <f>IMABS(AC125)</f>
        <v>0</v>
      </c>
      <c r="AG125" s="6">
        <f>IMABS(AD125)</f>
        <v>0</v>
      </c>
      <c r="AH125" s="7">
        <f>20*LOG10(MAX(AE125,1E-300)*1E6)</f>
        <v>0</v>
      </c>
      <c r="AI125" s="7">
        <f>20*LOG10(MAX(AF125,1E-300)*1E6)</f>
        <v>0</v>
      </c>
      <c r="AJ125" s="7">
        <f>20*LOG10(MAX(AG125,1E-300)*1E6)</f>
        <v>0</v>
      </c>
      <c r="AK125" s="7">
        <f>DEGREES(IMARGUMENT(AB125))</f>
        <v>0</v>
      </c>
      <c r="AL125" s="7">
        <f>DEGREES(IMARGUMENT(AC125))</f>
        <v>0</v>
      </c>
      <c r="AM125" s="7">
        <f>DEGREES(IMARGUMENT(AD125))</f>
        <v>0</v>
      </c>
    </row>
    <row r="126" spans="1:39">
      <c r="A126" s="6">
        <f>10^(LOG10(F_START)+(ROW()-ROW($A$2))*(LOG10(F_STOP)-LOG10(F_START))/(N_POINTS-1))</f>
        <v>0</v>
      </c>
      <c r="B126" s="6">
        <f>2*PI()*A126</f>
        <v>0</v>
      </c>
      <c r="C126">
        <f>COMPLEX(2*LINE_PS_DCR,2*B126*LINE_PS_L)</f>
        <v>0</v>
      </c>
      <c r="D126">
        <f>IMSUM(COMPLEX(0,B126*(LINE_PS_CLINE+LINE_PS_CCHA/2)),IMDIV("1",IMPRODUCT("2",COMPLEX(C_THROUGH_ESR,B126*C_THROUGH_ESL-1/(B126*C_THROUGH_C)))))</f>
        <v>0</v>
      </c>
      <c r="E126">
        <f>COMPLEX(2*LINE_INPUT_DCR,2*B126*LINE_INPUT_L)</f>
        <v>0</v>
      </c>
      <c r="F126">
        <f>COMPLEX(0,B126*(LINE_INPUT_CLINE+LINE_INPUT_CCHA/2))</f>
        <v>0</v>
      </c>
      <c r="G126">
        <f>IMPRODUCT("2",IMDIV("1",IMSUM(IMDIV("1",COMPLEX(LDM1_DCR,B126*LDM1_L)),COMPLEX(0,B126*LDM1_CPA))))</f>
        <v>0</v>
      </c>
      <c r="H126">
        <f>IMSUM(IMDIV("1",COMPLEX(CX1_ESR,B126*CX1_ESL-1/(B126*CX1_C))),IMDIV("1",IMSUM(COMPLEX(DUMP1_R,0),COMPLEX(DUMP1_ESR,B126*DUMP1_ESL-1/(B126*DUMP1_C)))))</f>
        <v>0</v>
      </c>
      <c r="I126">
        <f>IMPRODUCT("2",IMDIV("1",IMSUM(IMDIV("1",COMPLEX(LDM2_DCR,B126*LDM2_L)),COMPLEX(0,B126*LDM2_CPA))))</f>
        <v>0</v>
      </c>
      <c r="J126">
        <f>IMSUM(IMDIV("1",COMPLEX(CX2_ESR,B126*CX2_ESL-1/(B126*CX2_C))),IMDIV("1",IMSUM(COMPLEX(DUMP2_R,0),COMPLEX(DUMP2_ESR,B126*DUMP2_ESL-1/(B126*DUMP2_C)))))</f>
        <v>0</v>
      </c>
      <c r="K126">
        <f>IMPRODUCT("2",IMDIV("1",IMSUM(IMDIV("1",COMPLEX(CMC_DCR,B126*CMC_L*(1-CMC_K))),COMPLEX(0,B126*CMC_CPA))))</f>
        <v>0</v>
      </c>
      <c r="L126">
        <f>IMSUM(COMPLEX(0,B126*CMC_CLINE),IMDIV("1",IMPRODUCT("2",COMPLEX(CY_ESR,B126*CY_ESL-1/(B126*CY_C)))),COMPLEX(1/DUMMY_R,0))</f>
        <v>0</v>
      </c>
      <c r="M126">
        <f>IMSUM(D126,IMDIV("1",C126))</f>
        <v>0</v>
      </c>
      <c r="N126">
        <f>IMDIV("1",IMSUM(E126,IMDIV("1",M126)))</f>
        <v>0</v>
      </c>
      <c r="O126">
        <f>IMSUM(F126,N126)</f>
        <v>0</v>
      </c>
      <c r="P126">
        <f>IMDIV("1",IMSUM(G126,IMDIV("1",O126)))</f>
        <v>0</v>
      </c>
      <c r="Q126">
        <f>IMSUM(H126,P126)</f>
        <v>0</v>
      </c>
      <c r="R126">
        <f>IMDIV("1",IMSUM(I126,IMDIV("1",Q126)))</f>
        <v>0</v>
      </c>
      <c r="S126">
        <f>IMSUM(J126,R126)</f>
        <v>0</v>
      </c>
      <c r="T126">
        <f>IMDIV("1",IMSUM(K126,IMDIV("1",S126)))</f>
        <v>0</v>
      </c>
      <c r="U126">
        <f>IMSUM(L126,T126)</f>
        <v>0</v>
      </c>
      <c r="V126">
        <f>IMDIV(COMPLEX(I_DM_SOURCE,0),U126)</f>
        <v>0</v>
      </c>
      <c r="W126">
        <f>IMPRODUCT(V126,T126)</f>
        <v>0</v>
      </c>
      <c r="X126">
        <f>IMDIV(W126,S126)</f>
        <v>0</v>
      </c>
      <c r="Y126">
        <f>IMPRODUCT(X126,R126)</f>
        <v>0</v>
      </c>
      <c r="Z126">
        <f>IMDIV(Y126,Q126)</f>
        <v>0</v>
      </c>
      <c r="AA126">
        <f>IMPRODUCT(Z126,P126)</f>
        <v>0</v>
      </c>
      <c r="AB126">
        <f>AA126</f>
        <v>0</v>
      </c>
      <c r="AC126">
        <f>IMPRODUCT("-1",AB126)</f>
        <v>0</v>
      </c>
      <c r="AD126">
        <f>IMDIV(IMSUB(AB126,AC126),"2")</f>
        <v>0</v>
      </c>
      <c r="AE126" s="6">
        <f>IMABS(AB126)</f>
        <v>0</v>
      </c>
      <c r="AF126" s="6">
        <f>IMABS(AC126)</f>
        <v>0</v>
      </c>
      <c r="AG126" s="6">
        <f>IMABS(AD126)</f>
        <v>0</v>
      </c>
      <c r="AH126" s="7">
        <f>20*LOG10(MAX(AE126,1E-300)*1E6)</f>
        <v>0</v>
      </c>
      <c r="AI126" s="7">
        <f>20*LOG10(MAX(AF126,1E-300)*1E6)</f>
        <v>0</v>
      </c>
      <c r="AJ126" s="7">
        <f>20*LOG10(MAX(AG126,1E-300)*1E6)</f>
        <v>0</v>
      </c>
      <c r="AK126" s="7">
        <f>DEGREES(IMARGUMENT(AB126))</f>
        <v>0</v>
      </c>
      <c r="AL126" s="7">
        <f>DEGREES(IMARGUMENT(AC126))</f>
        <v>0</v>
      </c>
      <c r="AM126" s="7">
        <f>DEGREES(IMARGUMENT(AD126))</f>
        <v>0</v>
      </c>
    </row>
    <row r="127" spans="1:39">
      <c r="A127" s="6">
        <f>10^(LOG10(F_START)+(ROW()-ROW($A$2))*(LOG10(F_STOP)-LOG10(F_START))/(N_POINTS-1))</f>
        <v>0</v>
      </c>
      <c r="B127" s="6">
        <f>2*PI()*A127</f>
        <v>0</v>
      </c>
      <c r="C127">
        <f>COMPLEX(2*LINE_PS_DCR,2*B127*LINE_PS_L)</f>
        <v>0</v>
      </c>
      <c r="D127">
        <f>IMSUM(COMPLEX(0,B127*(LINE_PS_CLINE+LINE_PS_CCHA/2)),IMDIV("1",IMPRODUCT("2",COMPLEX(C_THROUGH_ESR,B127*C_THROUGH_ESL-1/(B127*C_THROUGH_C)))))</f>
        <v>0</v>
      </c>
      <c r="E127">
        <f>COMPLEX(2*LINE_INPUT_DCR,2*B127*LINE_INPUT_L)</f>
        <v>0</v>
      </c>
      <c r="F127">
        <f>COMPLEX(0,B127*(LINE_INPUT_CLINE+LINE_INPUT_CCHA/2))</f>
        <v>0</v>
      </c>
      <c r="G127">
        <f>IMPRODUCT("2",IMDIV("1",IMSUM(IMDIV("1",COMPLEX(LDM1_DCR,B127*LDM1_L)),COMPLEX(0,B127*LDM1_CPA))))</f>
        <v>0</v>
      </c>
      <c r="H127">
        <f>IMSUM(IMDIV("1",COMPLEX(CX1_ESR,B127*CX1_ESL-1/(B127*CX1_C))),IMDIV("1",IMSUM(COMPLEX(DUMP1_R,0),COMPLEX(DUMP1_ESR,B127*DUMP1_ESL-1/(B127*DUMP1_C)))))</f>
        <v>0</v>
      </c>
      <c r="I127">
        <f>IMPRODUCT("2",IMDIV("1",IMSUM(IMDIV("1",COMPLEX(LDM2_DCR,B127*LDM2_L)),COMPLEX(0,B127*LDM2_CPA))))</f>
        <v>0</v>
      </c>
      <c r="J127">
        <f>IMSUM(IMDIV("1",COMPLEX(CX2_ESR,B127*CX2_ESL-1/(B127*CX2_C))),IMDIV("1",IMSUM(COMPLEX(DUMP2_R,0),COMPLEX(DUMP2_ESR,B127*DUMP2_ESL-1/(B127*DUMP2_C)))))</f>
        <v>0</v>
      </c>
      <c r="K127">
        <f>IMPRODUCT("2",IMDIV("1",IMSUM(IMDIV("1",COMPLEX(CMC_DCR,B127*CMC_L*(1-CMC_K))),COMPLEX(0,B127*CMC_CPA))))</f>
        <v>0</v>
      </c>
      <c r="L127">
        <f>IMSUM(COMPLEX(0,B127*CMC_CLINE),IMDIV("1",IMPRODUCT("2",COMPLEX(CY_ESR,B127*CY_ESL-1/(B127*CY_C)))),COMPLEX(1/DUMMY_R,0))</f>
        <v>0</v>
      </c>
      <c r="M127">
        <f>IMSUM(D127,IMDIV("1",C127))</f>
        <v>0</v>
      </c>
      <c r="N127">
        <f>IMDIV("1",IMSUM(E127,IMDIV("1",M127)))</f>
        <v>0</v>
      </c>
      <c r="O127">
        <f>IMSUM(F127,N127)</f>
        <v>0</v>
      </c>
      <c r="P127">
        <f>IMDIV("1",IMSUM(G127,IMDIV("1",O127)))</f>
        <v>0</v>
      </c>
      <c r="Q127">
        <f>IMSUM(H127,P127)</f>
        <v>0</v>
      </c>
      <c r="R127">
        <f>IMDIV("1",IMSUM(I127,IMDIV("1",Q127)))</f>
        <v>0</v>
      </c>
      <c r="S127">
        <f>IMSUM(J127,R127)</f>
        <v>0</v>
      </c>
      <c r="T127">
        <f>IMDIV("1",IMSUM(K127,IMDIV("1",S127)))</f>
        <v>0</v>
      </c>
      <c r="U127">
        <f>IMSUM(L127,T127)</f>
        <v>0</v>
      </c>
      <c r="V127">
        <f>IMDIV(COMPLEX(I_DM_SOURCE,0),U127)</f>
        <v>0</v>
      </c>
      <c r="W127">
        <f>IMPRODUCT(V127,T127)</f>
        <v>0</v>
      </c>
      <c r="X127">
        <f>IMDIV(W127,S127)</f>
        <v>0</v>
      </c>
      <c r="Y127">
        <f>IMPRODUCT(X127,R127)</f>
        <v>0</v>
      </c>
      <c r="Z127">
        <f>IMDIV(Y127,Q127)</f>
        <v>0</v>
      </c>
      <c r="AA127">
        <f>IMPRODUCT(Z127,P127)</f>
        <v>0</v>
      </c>
      <c r="AB127">
        <f>AA127</f>
        <v>0</v>
      </c>
      <c r="AC127">
        <f>IMPRODUCT("-1",AB127)</f>
        <v>0</v>
      </c>
      <c r="AD127">
        <f>IMDIV(IMSUB(AB127,AC127),"2")</f>
        <v>0</v>
      </c>
      <c r="AE127" s="6">
        <f>IMABS(AB127)</f>
        <v>0</v>
      </c>
      <c r="AF127" s="6">
        <f>IMABS(AC127)</f>
        <v>0</v>
      </c>
      <c r="AG127" s="6">
        <f>IMABS(AD127)</f>
        <v>0</v>
      </c>
      <c r="AH127" s="7">
        <f>20*LOG10(MAX(AE127,1E-300)*1E6)</f>
        <v>0</v>
      </c>
      <c r="AI127" s="7">
        <f>20*LOG10(MAX(AF127,1E-300)*1E6)</f>
        <v>0</v>
      </c>
      <c r="AJ127" s="7">
        <f>20*LOG10(MAX(AG127,1E-300)*1E6)</f>
        <v>0</v>
      </c>
      <c r="AK127" s="7">
        <f>DEGREES(IMARGUMENT(AB127))</f>
        <v>0</v>
      </c>
      <c r="AL127" s="7">
        <f>DEGREES(IMARGUMENT(AC127))</f>
        <v>0</v>
      </c>
      <c r="AM127" s="7">
        <f>DEGREES(IMARGUMENT(AD127))</f>
        <v>0</v>
      </c>
    </row>
    <row r="128" spans="1:39">
      <c r="A128" s="6">
        <f>10^(LOG10(F_START)+(ROW()-ROW($A$2))*(LOG10(F_STOP)-LOG10(F_START))/(N_POINTS-1))</f>
        <v>0</v>
      </c>
      <c r="B128" s="6">
        <f>2*PI()*A128</f>
        <v>0</v>
      </c>
      <c r="C128">
        <f>COMPLEX(2*LINE_PS_DCR,2*B128*LINE_PS_L)</f>
        <v>0</v>
      </c>
      <c r="D128">
        <f>IMSUM(COMPLEX(0,B128*(LINE_PS_CLINE+LINE_PS_CCHA/2)),IMDIV("1",IMPRODUCT("2",COMPLEX(C_THROUGH_ESR,B128*C_THROUGH_ESL-1/(B128*C_THROUGH_C)))))</f>
        <v>0</v>
      </c>
      <c r="E128">
        <f>COMPLEX(2*LINE_INPUT_DCR,2*B128*LINE_INPUT_L)</f>
        <v>0</v>
      </c>
      <c r="F128">
        <f>COMPLEX(0,B128*(LINE_INPUT_CLINE+LINE_INPUT_CCHA/2))</f>
        <v>0</v>
      </c>
      <c r="G128">
        <f>IMPRODUCT("2",IMDIV("1",IMSUM(IMDIV("1",COMPLEX(LDM1_DCR,B128*LDM1_L)),COMPLEX(0,B128*LDM1_CPA))))</f>
        <v>0</v>
      </c>
      <c r="H128">
        <f>IMSUM(IMDIV("1",COMPLEX(CX1_ESR,B128*CX1_ESL-1/(B128*CX1_C))),IMDIV("1",IMSUM(COMPLEX(DUMP1_R,0),COMPLEX(DUMP1_ESR,B128*DUMP1_ESL-1/(B128*DUMP1_C)))))</f>
        <v>0</v>
      </c>
      <c r="I128">
        <f>IMPRODUCT("2",IMDIV("1",IMSUM(IMDIV("1",COMPLEX(LDM2_DCR,B128*LDM2_L)),COMPLEX(0,B128*LDM2_CPA))))</f>
        <v>0</v>
      </c>
      <c r="J128">
        <f>IMSUM(IMDIV("1",COMPLEX(CX2_ESR,B128*CX2_ESL-1/(B128*CX2_C))),IMDIV("1",IMSUM(COMPLEX(DUMP2_R,0),COMPLEX(DUMP2_ESR,B128*DUMP2_ESL-1/(B128*DUMP2_C)))))</f>
        <v>0</v>
      </c>
      <c r="K128">
        <f>IMPRODUCT("2",IMDIV("1",IMSUM(IMDIV("1",COMPLEX(CMC_DCR,B128*CMC_L*(1-CMC_K))),COMPLEX(0,B128*CMC_CPA))))</f>
        <v>0</v>
      </c>
      <c r="L128">
        <f>IMSUM(COMPLEX(0,B128*CMC_CLINE),IMDIV("1",IMPRODUCT("2",COMPLEX(CY_ESR,B128*CY_ESL-1/(B128*CY_C)))),COMPLEX(1/DUMMY_R,0))</f>
        <v>0</v>
      </c>
      <c r="M128">
        <f>IMSUM(D128,IMDIV("1",C128))</f>
        <v>0</v>
      </c>
      <c r="N128">
        <f>IMDIV("1",IMSUM(E128,IMDIV("1",M128)))</f>
        <v>0</v>
      </c>
      <c r="O128">
        <f>IMSUM(F128,N128)</f>
        <v>0</v>
      </c>
      <c r="P128">
        <f>IMDIV("1",IMSUM(G128,IMDIV("1",O128)))</f>
        <v>0</v>
      </c>
      <c r="Q128">
        <f>IMSUM(H128,P128)</f>
        <v>0</v>
      </c>
      <c r="R128">
        <f>IMDIV("1",IMSUM(I128,IMDIV("1",Q128)))</f>
        <v>0</v>
      </c>
      <c r="S128">
        <f>IMSUM(J128,R128)</f>
        <v>0</v>
      </c>
      <c r="T128">
        <f>IMDIV("1",IMSUM(K128,IMDIV("1",S128)))</f>
        <v>0</v>
      </c>
      <c r="U128">
        <f>IMSUM(L128,T128)</f>
        <v>0</v>
      </c>
      <c r="V128">
        <f>IMDIV(COMPLEX(I_DM_SOURCE,0),U128)</f>
        <v>0</v>
      </c>
      <c r="W128">
        <f>IMPRODUCT(V128,T128)</f>
        <v>0</v>
      </c>
      <c r="X128">
        <f>IMDIV(W128,S128)</f>
        <v>0</v>
      </c>
      <c r="Y128">
        <f>IMPRODUCT(X128,R128)</f>
        <v>0</v>
      </c>
      <c r="Z128">
        <f>IMDIV(Y128,Q128)</f>
        <v>0</v>
      </c>
      <c r="AA128">
        <f>IMPRODUCT(Z128,P128)</f>
        <v>0</v>
      </c>
      <c r="AB128">
        <f>AA128</f>
        <v>0</v>
      </c>
      <c r="AC128">
        <f>IMPRODUCT("-1",AB128)</f>
        <v>0</v>
      </c>
      <c r="AD128">
        <f>IMDIV(IMSUB(AB128,AC128),"2")</f>
        <v>0</v>
      </c>
      <c r="AE128" s="6">
        <f>IMABS(AB128)</f>
        <v>0</v>
      </c>
      <c r="AF128" s="6">
        <f>IMABS(AC128)</f>
        <v>0</v>
      </c>
      <c r="AG128" s="6">
        <f>IMABS(AD128)</f>
        <v>0</v>
      </c>
      <c r="AH128" s="7">
        <f>20*LOG10(MAX(AE128,1E-300)*1E6)</f>
        <v>0</v>
      </c>
      <c r="AI128" s="7">
        <f>20*LOG10(MAX(AF128,1E-300)*1E6)</f>
        <v>0</v>
      </c>
      <c r="AJ128" s="7">
        <f>20*LOG10(MAX(AG128,1E-300)*1E6)</f>
        <v>0</v>
      </c>
      <c r="AK128" s="7">
        <f>DEGREES(IMARGUMENT(AB128))</f>
        <v>0</v>
      </c>
      <c r="AL128" s="7">
        <f>DEGREES(IMARGUMENT(AC128))</f>
        <v>0</v>
      </c>
      <c r="AM128" s="7">
        <f>DEGREES(IMARGUMENT(AD128))</f>
        <v>0</v>
      </c>
    </row>
    <row r="129" spans="1:39">
      <c r="A129" s="6">
        <f>10^(LOG10(F_START)+(ROW()-ROW($A$2))*(LOG10(F_STOP)-LOG10(F_START))/(N_POINTS-1))</f>
        <v>0</v>
      </c>
      <c r="B129" s="6">
        <f>2*PI()*A129</f>
        <v>0</v>
      </c>
      <c r="C129">
        <f>COMPLEX(2*LINE_PS_DCR,2*B129*LINE_PS_L)</f>
        <v>0</v>
      </c>
      <c r="D129">
        <f>IMSUM(COMPLEX(0,B129*(LINE_PS_CLINE+LINE_PS_CCHA/2)),IMDIV("1",IMPRODUCT("2",COMPLEX(C_THROUGH_ESR,B129*C_THROUGH_ESL-1/(B129*C_THROUGH_C)))))</f>
        <v>0</v>
      </c>
      <c r="E129">
        <f>COMPLEX(2*LINE_INPUT_DCR,2*B129*LINE_INPUT_L)</f>
        <v>0</v>
      </c>
      <c r="F129">
        <f>COMPLEX(0,B129*(LINE_INPUT_CLINE+LINE_INPUT_CCHA/2))</f>
        <v>0</v>
      </c>
      <c r="G129">
        <f>IMPRODUCT("2",IMDIV("1",IMSUM(IMDIV("1",COMPLEX(LDM1_DCR,B129*LDM1_L)),COMPLEX(0,B129*LDM1_CPA))))</f>
        <v>0</v>
      </c>
      <c r="H129">
        <f>IMSUM(IMDIV("1",COMPLEX(CX1_ESR,B129*CX1_ESL-1/(B129*CX1_C))),IMDIV("1",IMSUM(COMPLEX(DUMP1_R,0),COMPLEX(DUMP1_ESR,B129*DUMP1_ESL-1/(B129*DUMP1_C)))))</f>
        <v>0</v>
      </c>
      <c r="I129">
        <f>IMPRODUCT("2",IMDIV("1",IMSUM(IMDIV("1",COMPLEX(LDM2_DCR,B129*LDM2_L)),COMPLEX(0,B129*LDM2_CPA))))</f>
        <v>0</v>
      </c>
      <c r="J129">
        <f>IMSUM(IMDIV("1",COMPLEX(CX2_ESR,B129*CX2_ESL-1/(B129*CX2_C))),IMDIV("1",IMSUM(COMPLEX(DUMP2_R,0),COMPLEX(DUMP2_ESR,B129*DUMP2_ESL-1/(B129*DUMP2_C)))))</f>
        <v>0</v>
      </c>
      <c r="K129">
        <f>IMPRODUCT("2",IMDIV("1",IMSUM(IMDIV("1",COMPLEX(CMC_DCR,B129*CMC_L*(1-CMC_K))),COMPLEX(0,B129*CMC_CPA))))</f>
        <v>0</v>
      </c>
      <c r="L129">
        <f>IMSUM(COMPLEX(0,B129*CMC_CLINE),IMDIV("1",IMPRODUCT("2",COMPLEX(CY_ESR,B129*CY_ESL-1/(B129*CY_C)))),COMPLEX(1/DUMMY_R,0))</f>
        <v>0</v>
      </c>
      <c r="M129">
        <f>IMSUM(D129,IMDIV("1",C129))</f>
        <v>0</v>
      </c>
      <c r="N129">
        <f>IMDIV("1",IMSUM(E129,IMDIV("1",M129)))</f>
        <v>0</v>
      </c>
      <c r="O129">
        <f>IMSUM(F129,N129)</f>
        <v>0</v>
      </c>
      <c r="P129">
        <f>IMDIV("1",IMSUM(G129,IMDIV("1",O129)))</f>
        <v>0</v>
      </c>
      <c r="Q129">
        <f>IMSUM(H129,P129)</f>
        <v>0</v>
      </c>
      <c r="R129">
        <f>IMDIV("1",IMSUM(I129,IMDIV("1",Q129)))</f>
        <v>0</v>
      </c>
      <c r="S129">
        <f>IMSUM(J129,R129)</f>
        <v>0</v>
      </c>
      <c r="T129">
        <f>IMDIV("1",IMSUM(K129,IMDIV("1",S129)))</f>
        <v>0</v>
      </c>
      <c r="U129">
        <f>IMSUM(L129,T129)</f>
        <v>0</v>
      </c>
      <c r="V129">
        <f>IMDIV(COMPLEX(I_DM_SOURCE,0),U129)</f>
        <v>0</v>
      </c>
      <c r="W129">
        <f>IMPRODUCT(V129,T129)</f>
        <v>0</v>
      </c>
      <c r="X129">
        <f>IMDIV(W129,S129)</f>
        <v>0</v>
      </c>
      <c r="Y129">
        <f>IMPRODUCT(X129,R129)</f>
        <v>0</v>
      </c>
      <c r="Z129">
        <f>IMDIV(Y129,Q129)</f>
        <v>0</v>
      </c>
      <c r="AA129">
        <f>IMPRODUCT(Z129,P129)</f>
        <v>0</v>
      </c>
      <c r="AB129">
        <f>AA129</f>
        <v>0</v>
      </c>
      <c r="AC129">
        <f>IMPRODUCT("-1",AB129)</f>
        <v>0</v>
      </c>
      <c r="AD129">
        <f>IMDIV(IMSUB(AB129,AC129),"2")</f>
        <v>0</v>
      </c>
      <c r="AE129" s="6">
        <f>IMABS(AB129)</f>
        <v>0</v>
      </c>
      <c r="AF129" s="6">
        <f>IMABS(AC129)</f>
        <v>0</v>
      </c>
      <c r="AG129" s="6">
        <f>IMABS(AD129)</f>
        <v>0</v>
      </c>
      <c r="AH129" s="7">
        <f>20*LOG10(MAX(AE129,1E-300)*1E6)</f>
        <v>0</v>
      </c>
      <c r="AI129" s="7">
        <f>20*LOG10(MAX(AF129,1E-300)*1E6)</f>
        <v>0</v>
      </c>
      <c r="AJ129" s="7">
        <f>20*LOG10(MAX(AG129,1E-300)*1E6)</f>
        <v>0</v>
      </c>
      <c r="AK129" s="7">
        <f>DEGREES(IMARGUMENT(AB129))</f>
        <v>0</v>
      </c>
      <c r="AL129" s="7">
        <f>DEGREES(IMARGUMENT(AC129))</f>
        <v>0</v>
      </c>
      <c r="AM129" s="7">
        <f>DEGREES(IMARGUMENT(AD129))</f>
        <v>0</v>
      </c>
    </row>
    <row r="130" spans="1:39">
      <c r="A130" s="6">
        <f>10^(LOG10(F_START)+(ROW()-ROW($A$2))*(LOG10(F_STOP)-LOG10(F_START))/(N_POINTS-1))</f>
        <v>0</v>
      </c>
      <c r="B130" s="6">
        <f>2*PI()*A130</f>
        <v>0</v>
      </c>
      <c r="C130">
        <f>COMPLEX(2*LINE_PS_DCR,2*B130*LINE_PS_L)</f>
        <v>0</v>
      </c>
      <c r="D130">
        <f>IMSUM(COMPLEX(0,B130*(LINE_PS_CLINE+LINE_PS_CCHA/2)),IMDIV("1",IMPRODUCT("2",COMPLEX(C_THROUGH_ESR,B130*C_THROUGH_ESL-1/(B130*C_THROUGH_C)))))</f>
        <v>0</v>
      </c>
      <c r="E130">
        <f>COMPLEX(2*LINE_INPUT_DCR,2*B130*LINE_INPUT_L)</f>
        <v>0</v>
      </c>
      <c r="F130">
        <f>COMPLEX(0,B130*(LINE_INPUT_CLINE+LINE_INPUT_CCHA/2))</f>
        <v>0</v>
      </c>
      <c r="G130">
        <f>IMPRODUCT("2",IMDIV("1",IMSUM(IMDIV("1",COMPLEX(LDM1_DCR,B130*LDM1_L)),COMPLEX(0,B130*LDM1_CPA))))</f>
        <v>0</v>
      </c>
      <c r="H130">
        <f>IMSUM(IMDIV("1",COMPLEX(CX1_ESR,B130*CX1_ESL-1/(B130*CX1_C))),IMDIV("1",IMSUM(COMPLEX(DUMP1_R,0),COMPLEX(DUMP1_ESR,B130*DUMP1_ESL-1/(B130*DUMP1_C)))))</f>
        <v>0</v>
      </c>
      <c r="I130">
        <f>IMPRODUCT("2",IMDIV("1",IMSUM(IMDIV("1",COMPLEX(LDM2_DCR,B130*LDM2_L)),COMPLEX(0,B130*LDM2_CPA))))</f>
        <v>0</v>
      </c>
      <c r="J130">
        <f>IMSUM(IMDIV("1",COMPLEX(CX2_ESR,B130*CX2_ESL-1/(B130*CX2_C))),IMDIV("1",IMSUM(COMPLEX(DUMP2_R,0),COMPLEX(DUMP2_ESR,B130*DUMP2_ESL-1/(B130*DUMP2_C)))))</f>
        <v>0</v>
      </c>
      <c r="K130">
        <f>IMPRODUCT("2",IMDIV("1",IMSUM(IMDIV("1",COMPLEX(CMC_DCR,B130*CMC_L*(1-CMC_K))),COMPLEX(0,B130*CMC_CPA))))</f>
        <v>0</v>
      </c>
      <c r="L130">
        <f>IMSUM(COMPLEX(0,B130*CMC_CLINE),IMDIV("1",IMPRODUCT("2",COMPLEX(CY_ESR,B130*CY_ESL-1/(B130*CY_C)))),COMPLEX(1/DUMMY_R,0))</f>
        <v>0</v>
      </c>
      <c r="M130">
        <f>IMSUM(D130,IMDIV("1",C130))</f>
        <v>0</v>
      </c>
      <c r="N130">
        <f>IMDIV("1",IMSUM(E130,IMDIV("1",M130)))</f>
        <v>0</v>
      </c>
      <c r="O130">
        <f>IMSUM(F130,N130)</f>
        <v>0</v>
      </c>
      <c r="P130">
        <f>IMDIV("1",IMSUM(G130,IMDIV("1",O130)))</f>
        <v>0</v>
      </c>
      <c r="Q130">
        <f>IMSUM(H130,P130)</f>
        <v>0</v>
      </c>
      <c r="R130">
        <f>IMDIV("1",IMSUM(I130,IMDIV("1",Q130)))</f>
        <v>0</v>
      </c>
      <c r="S130">
        <f>IMSUM(J130,R130)</f>
        <v>0</v>
      </c>
      <c r="T130">
        <f>IMDIV("1",IMSUM(K130,IMDIV("1",S130)))</f>
        <v>0</v>
      </c>
      <c r="U130">
        <f>IMSUM(L130,T130)</f>
        <v>0</v>
      </c>
      <c r="V130">
        <f>IMDIV(COMPLEX(I_DM_SOURCE,0),U130)</f>
        <v>0</v>
      </c>
      <c r="W130">
        <f>IMPRODUCT(V130,T130)</f>
        <v>0</v>
      </c>
      <c r="X130">
        <f>IMDIV(W130,S130)</f>
        <v>0</v>
      </c>
      <c r="Y130">
        <f>IMPRODUCT(X130,R130)</f>
        <v>0</v>
      </c>
      <c r="Z130">
        <f>IMDIV(Y130,Q130)</f>
        <v>0</v>
      </c>
      <c r="AA130">
        <f>IMPRODUCT(Z130,P130)</f>
        <v>0</v>
      </c>
      <c r="AB130">
        <f>AA130</f>
        <v>0</v>
      </c>
      <c r="AC130">
        <f>IMPRODUCT("-1",AB130)</f>
        <v>0</v>
      </c>
      <c r="AD130">
        <f>IMDIV(IMSUB(AB130,AC130),"2")</f>
        <v>0</v>
      </c>
      <c r="AE130" s="6">
        <f>IMABS(AB130)</f>
        <v>0</v>
      </c>
      <c r="AF130" s="6">
        <f>IMABS(AC130)</f>
        <v>0</v>
      </c>
      <c r="AG130" s="6">
        <f>IMABS(AD130)</f>
        <v>0</v>
      </c>
      <c r="AH130" s="7">
        <f>20*LOG10(MAX(AE130,1E-300)*1E6)</f>
        <v>0</v>
      </c>
      <c r="AI130" s="7">
        <f>20*LOG10(MAX(AF130,1E-300)*1E6)</f>
        <v>0</v>
      </c>
      <c r="AJ130" s="7">
        <f>20*LOG10(MAX(AG130,1E-300)*1E6)</f>
        <v>0</v>
      </c>
      <c r="AK130" s="7">
        <f>DEGREES(IMARGUMENT(AB130))</f>
        <v>0</v>
      </c>
      <c r="AL130" s="7">
        <f>DEGREES(IMARGUMENT(AC130))</f>
        <v>0</v>
      </c>
      <c r="AM130" s="7">
        <f>DEGREES(IMARGUMENT(AD130))</f>
        <v>0</v>
      </c>
    </row>
    <row r="131" spans="1:39">
      <c r="A131" s="6">
        <f>10^(LOG10(F_START)+(ROW()-ROW($A$2))*(LOG10(F_STOP)-LOG10(F_START))/(N_POINTS-1))</f>
        <v>0</v>
      </c>
      <c r="B131" s="6">
        <f>2*PI()*A131</f>
        <v>0</v>
      </c>
      <c r="C131">
        <f>COMPLEX(2*LINE_PS_DCR,2*B131*LINE_PS_L)</f>
        <v>0</v>
      </c>
      <c r="D131">
        <f>IMSUM(COMPLEX(0,B131*(LINE_PS_CLINE+LINE_PS_CCHA/2)),IMDIV("1",IMPRODUCT("2",COMPLEX(C_THROUGH_ESR,B131*C_THROUGH_ESL-1/(B131*C_THROUGH_C)))))</f>
        <v>0</v>
      </c>
      <c r="E131">
        <f>COMPLEX(2*LINE_INPUT_DCR,2*B131*LINE_INPUT_L)</f>
        <v>0</v>
      </c>
      <c r="F131">
        <f>COMPLEX(0,B131*(LINE_INPUT_CLINE+LINE_INPUT_CCHA/2))</f>
        <v>0</v>
      </c>
      <c r="G131">
        <f>IMPRODUCT("2",IMDIV("1",IMSUM(IMDIV("1",COMPLEX(LDM1_DCR,B131*LDM1_L)),COMPLEX(0,B131*LDM1_CPA))))</f>
        <v>0</v>
      </c>
      <c r="H131">
        <f>IMSUM(IMDIV("1",COMPLEX(CX1_ESR,B131*CX1_ESL-1/(B131*CX1_C))),IMDIV("1",IMSUM(COMPLEX(DUMP1_R,0),COMPLEX(DUMP1_ESR,B131*DUMP1_ESL-1/(B131*DUMP1_C)))))</f>
        <v>0</v>
      </c>
      <c r="I131">
        <f>IMPRODUCT("2",IMDIV("1",IMSUM(IMDIV("1",COMPLEX(LDM2_DCR,B131*LDM2_L)),COMPLEX(0,B131*LDM2_CPA))))</f>
        <v>0</v>
      </c>
      <c r="J131">
        <f>IMSUM(IMDIV("1",COMPLEX(CX2_ESR,B131*CX2_ESL-1/(B131*CX2_C))),IMDIV("1",IMSUM(COMPLEX(DUMP2_R,0),COMPLEX(DUMP2_ESR,B131*DUMP2_ESL-1/(B131*DUMP2_C)))))</f>
        <v>0</v>
      </c>
      <c r="K131">
        <f>IMPRODUCT("2",IMDIV("1",IMSUM(IMDIV("1",COMPLEX(CMC_DCR,B131*CMC_L*(1-CMC_K))),COMPLEX(0,B131*CMC_CPA))))</f>
        <v>0</v>
      </c>
      <c r="L131">
        <f>IMSUM(COMPLEX(0,B131*CMC_CLINE),IMDIV("1",IMPRODUCT("2",COMPLEX(CY_ESR,B131*CY_ESL-1/(B131*CY_C)))),COMPLEX(1/DUMMY_R,0))</f>
        <v>0</v>
      </c>
      <c r="M131">
        <f>IMSUM(D131,IMDIV("1",C131))</f>
        <v>0</v>
      </c>
      <c r="N131">
        <f>IMDIV("1",IMSUM(E131,IMDIV("1",M131)))</f>
        <v>0</v>
      </c>
      <c r="O131">
        <f>IMSUM(F131,N131)</f>
        <v>0</v>
      </c>
      <c r="P131">
        <f>IMDIV("1",IMSUM(G131,IMDIV("1",O131)))</f>
        <v>0</v>
      </c>
      <c r="Q131">
        <f>IMSUM(H131,P131)</f>
        <v>0</v>
      </c>
      <c r="R131">
        <f>IMDIV("1",IMSUM(I131,IMDIV("1",Q131)))</f>
        <v>0</v>
      </c>
      <c r="S131">
        <f>IMSUM(J131,R131)</f>
        <v>0</v>
      </c>
      <c r="T131">
        <f>IMDIV("1",IMSUM(K131,IMDIV("1",S131)))</f>
        <v>0</v>
      </c>
      <c r="U131">
        <f>IMSUM(L131,T131)</f>
        <v>0</v>
      </c>
      <c r="V131">
        <f>IMDIV(COMPLEX(I_DM_SOURCE,0),U131)</f>
        <v>0</v>
      </c>
      <c r="W131">
        <f>IMPRODUCT(V131,T131)</f>
        <v>0</v>
      </c>
      <c r="X131">
        <f>IMDIV(W131,S131)</f>
        <v>0</v>
      </c>
      <c r="Y131">
        <f>IMPRODUCT(X131,R131)</f>
        <v>0</v>
      </c>
      <c r="Z131">
        <f>IMDIV(Y131,Q131)</f>
        <v>0</v>
      </c>
      <c r="AA131">
        <f>IMPRODUCT(Z131,P131)</f>
        <v>0</v>
      </c>
      <c r="AB131">
        <f>AA131</f>
        <v>0</v>
      </c>
      <c r="AC131">
        <f>IMPRODUCT("-1",AB131)</f>
        <v>0</v>
      </c>
      <c r="AD131">
        <f>IMDIV(IMSUB(AB131,AC131),"2")</f>
        <v>0</v>
      </c>
      <c r="AE131" s="6">
        <f>IMABS(AB131)</f>
        <v>0</v>
      </c>
      <c r="AF131" s="6">
        <f>IMABS(AC131)</f>
        <v>0</v>
      </c>
      <c r="AG131" s="6">
        <f>IMABS(AD131)</f>
        <v>0</v>
      </c>
      <c r="AH131" s="7">
        <f>20*LOG10(MAX(AE131,1E-300)*1E6)</f>
        <v>0</v>
      </c>
      <c r="AI131" s="7">
        <f>20*LOG10(MAX(AF131,1E-300)*1E6)</f>
        <v>0</v>
      </c>
      <c r="AJ131" s="7">
        <f>20*LOG10(MAX(AG131,1E-300)*1E6)</f>
        <v>0</v>
      </c>
      <c r="AK131" s="7">
        <f>DEGREES(IMARGUMENT(AB131))</f>
        <v>0</v>
      </c>
      <c r="AL131" s="7">
        <f>DEGREES(IMARGUMENT(AC131))</f>
        <v>0</v>
      </c>
      <c r="AM131" s="7">
        <f>DEGREES(IMARGUMENT(AD131))</f>
        <v>0</v>
      </c>
    </row>
    <row r="132" spans="1:39">
      <c r="A132" s="6">
        <f>10^(LOG10(F_START)+(ROW()-ROW($A$2))*(LOG10(F_STOP)-LOG10(F_START))/(N_POINTS-1))</f>
        <v>0</v>
      </c>
      <c r="B132" s="6">
        <f>2*PI()*A132</f>
        <v>0</v>
      </c>
      <c r="C132">
        <f>COMPLEX(2*LINE_PS_DCR,2*B132*LINE_PS_L)</f>
        <v>0</v>
      </c>
      <c r="D132">
        <f>IMSUM(COMPLEX(0,B132*(LINE_PS_CLINE+LINE_PS_CCHA/2)),IMDIV("1",IMPRODUCT("2",COMPLEX(C_THROUGH_ESR,B132*C_THROUGH_ESL-1/(B132*C_THROUGH_C)))))</f>
        <v>0</v>
      </c>
      <c r="E132">
        <f>COMPLEX(2*LINE_INPUT_DCR,2*B132*LINE_INPUT_L)</f>
        <v>0</v>
      </c>
      <c r="F132">
        <f>COMPLEX(0,B132*(LINE_INPUT_CLINE+LINE_INPUT_CCHA/2))</f>
        <v>0</v>
      </c>
      <c r="G132">
        <f>IMPRODUCT("2",IMDIV("1",IMSUM(IMDIV("1",COMPLEX(LDM1_DCR,B132*LDM1_L)),COMPLEX(0,B132*LDM1_CPA))))</f>
        <v>0</v>
      </c>
      <c r="H132">
        <f>IMSUM(IMDIV("1",COMPLEX(CX1_ESR,B132*CX1_ESL-1/(B132*CX1_C))),IMDIV("1",IMSUM(COMPLEX(DUMP1_R,0),COMPLEX(DUMP1_ESR,B132*DUMP1_ESL-1/(B132*DUMP1_C)))))</f>
        <v>0</v>
      </c>
      <c r="I132">
        <f>IMPRODUCT("2",IMDIV("1",IMSUM(IMDIV("1",COMPLEX(LDM2_DCR,B132*LDM2_L)),COMPLEX(0,B132*LDM2_CPA))))</f>
        <v>0</v>
      </c>
      <c r="J132">
        <f>IMSUM(IMDIV("1",COMPLEX(CX2_ESR,B132*CX2_ESL-1/(B132*CX2_C))),IMDIV("1",IMSUM(COMPLEX(DUMP2_R,0),COMPLEX(DUMP2_ESR,B132*DUMP2_ESL-1/(B132*DUMP2_C)))))</f>
        <v>0</v>
      </c>
      <c r="K132">
        <f>IMPRODUCT("2",IMDIV("1",IMSUM(IMDIV("1",COMPLEX(CMC_DCR,B132*CMC_L*(1-CMC_K))),COMPLEX(0,B132*CMC_CPA))))</f>
        <v>0</v>
      </c>
      <c r="L132">
        <f>IMSUM(COMPLEX(0,B132*CMC_CLINE),IMDIV("1",IMPRODUCT("2",COMPLEX(CY_ESR,B132*CY_ESL-1/(B132*CY_C)))),COMPLEX(1/DUMMY_R,0))</f>
        <v>0</v>
      </c>
      <c r="M132">
        <f>IMSUM(D132,IMDIV("1",C132))</f>
        <v>0</v>
      </c>
      <c r="N132">
        <f>IMDIV("1",IMSUM(E132,IMDIV("1",M132)))</f>
        <v>0</v>
      </c>
      <c r="O132">
        <f>IMSUM(F132,N132)</f>
        <v>0</v>
      </c>
      <c r="P132">
        <f>IMDIV("1",IMSUM(G132,IMDIV("1",O132)))</f>
        <v>0</v>
      </c>
      <c r="Q132">
        <f>IMSUM(H132,P132)</f>
        <v>0</v>
      </c>
      <c r="R132">
        <f>IMDIV("1",IMSUM(I132,IMDIV("1",Q132)))</f>
        <v>0</v>
      </c>
      <c r="S132">
        <f>IMSUM(J132,R132)</f>
        <v>0</v>
      </c>
      <c r="T132">
        <f>IMDIV("1",IMSUM(K132,IMDIV("1",S132)))</f>
        <v>0</v>
      </c>
      <c r="U132">
        <f>IMSUM(L132,T132)</f>
        <v>0</v>
      </c>
      <c r="V132">
        <f>IMDIV(COMPLEX(I_DM_SOURCE,0),U132)</f>
        <v>0</v>
      </c>
      <c r="W132">
        <f>IMPRODUCT(V132,T132)</f>
        <v>0</v>
      </c>
      <c r="X132">
        <f>IMDIV(W132,S132)</f>
        <v>0</v>
      </c>
      <c r="Y132">
        <f>IMPRODUCT(X132,R132)</f>
        <v>0</v>
      </c>
      <c r="Z132">
        <f>IMDIV(Y132,Q132)</f>
        <v>0</v>
      </c>
      <c r="AA132">
        <f>IMPRODUCT(Z132,P132)</f>
        <v>0</v>
      </c>
      <c r="AB132">
        <f>AA132</f>
        <v>0</v>
      </c>
      <c r="AC132">
        <f>IMPRODUCT("-1",AB132)</f>
        <v>0</v>
      </c>
      <c r="AD132">
        <f>IMDIV(IMSUB(AB132,AC132),"2")</f>
        <v>0</v>
      </c>
      <c r="AE132" s="6">
        <f>IMABS(AB132)</f>
        <v>0</v>
      </c>
      <c r="AF132" s="6">
        <f>IMABS(AC132)</f>
        <v>0</v>
      </c>
      <c r="AG132" s="6">
        <f>IMABS(AD132)</f>
        <v>0</v>
      </c>
      <c r="AH132" s="7">
        <f>20*LOG10(MAX(AE132,1E-300)*1E6)</f>
        <v>0</v>
      </c>
      <c r="AI132" s="7">
        <f>20*LOG10(MAX(AF132,1E-300)*1E6)</f>
        <v>0</v>
      </c>
      <c r="AJ132" s="7">
        <f>20*LOG10(MAX(AG132,1E-300)*1E6)</f>
        <v>0</v>
      </c>
      <c r="AK132" s="7">
        <f>DEGREES(IMARGUMENT(AB132))</f>
        <v>0</v>
      </c>
      <c r="AL132" s="7">
        <f>DEGREES(IMARGUMENT(AC132))</f>
        <v>0</v>
      </c>
      <c r="AM132" s="7">
        <f>DEGREES(IMARGUMENT(AD132))</f>
        <v>0</v>
      </c>
    </row>
    <row r="133" spans="1:39">
      <c r="A133" s="6">
        <f>10^(LOG10(F_START)+(ROW()-ROW($A$2))*(LOG10(F_STOP)-LOG10(F_START))/(N_POINTS-1))</f>
        <v>0</v>
      </c>
      <c r="B133" s="6">
        <f>2*PI()*A133</f>
        <v>0</v>
      </c>
      <c r="C133">
        <f>COMPLEX(2*LINE_PS_DCR,2*B133*LINE_PS_L)</f>
        <v>0</v>
      </c>
      <c r="D133">
        <f>IMSUM(COMPLEX(0,B133*(LINE_PS_CLINE+LINE_PS_CCHA/2)),IMDIV("1",IMPRODUCT("2",COMPLEX(C_THROUGH_ESR,B133*C_THROUGH_ESL-1/(B133*C_THROUGH_C)))))</f>
        <v>0</v>
      </c>
      <c r="E133">
        <f>COMPLEX(2*LINE_INPUT_DCR,2*B133*LINE_INPUT_L)</f>
        <v>0</v>
      </c>
      <c r="F133">
        <f>COMPLEX(0,B133*(LINE_INPUT_CLINE+LINE_INPUT_CCHA/2))</f>
        <v>0</v>
      </c>
      <c r="G133">
        <f>IMPRODUCT("2",IMDIV("1",IMSUM(IMDIV("1",COMPLEX(LDM1_DCR,B133*LDM1_L)),COMPLEX(0,B133*LDM1_CPA))))</f>
        <v>0</v>
      </c>
      <c r="H133">
        <f>IMSUM(IMDIV("1",COMPLEX(CX1_ESR,B133*CX1_ESL-1/(B133*CX1_C))),IMDIV("1",IMSUM(COMPLEX(DUMP1_R,0),COMPLEX(DUMP1_ESR,B133*DUMP1_ESL-1/(B133*DUMP1_C)))))</f>
        <v>0</v>
      </c>
      <c r="I133">
        <f>IMPRODUCT("2",IMDIV("1",IMSUM(IMDIV("1",COMPLEX(LDM2_DCR,B133*LDM2_L)),COMPLEX(0,B133*LDM2_CPA))))</f>
        <v>0</v>
      </c>
      <c r="J133">
        <f>IMSUM(IMDIV("1",COMPLEX(CX2_ESR,B133*CX2_ESL-1/(B133*CX2_C))),IMDIV("1",IMSUM(COMPLEX(DUMP2_R,0),COMPLEX(DUMP2_ESR,B133*DUMP2_ESL-1/(B133*DUMP2_C)))))</f>
        <v>0</v>
      </c>
      <c r="K133">
        <f>IMPRODUCT("2",IMDIV("1",IMSUM(IMDIV("1",COMPLEX(CMC_DCR,B133*CMC_L*(1-CMC_K))),COMPLEX(0,B133*CMC_CPA))))</f>
        <v>0</v>
      </c>
      <c r="L133">
        <f>IMSUM(COMPLEX(0,B133*CMC_CLINE),IMDIV("1",IMPRODUCT("2",COMPLEX(CY_ESR,B133*CY_ESL-1/(B133*CY_C)))),COMPLEX(1/DUMMY_R,0))</f>
        <v>0</v>
      </c>
      <c r="M133">
        <f>IMSUM(D133,IMDIV("1",C133))</f>
        <v>0</v>
      </c>
      <c r="N133">
        <f>IMDIV("1",IMSUM(E133,IMDIV("1",M133)))</f>
        <v>0</v>
      </c>
      <c r="O133">
        <f>IMSUM(F133,N133)</f>
        <v>0</v>
      </c>
      <c r="P133">
        <f>IMDIV("1",IMSUM(G133,IMDIV("1",O133)))</f>
        <v>0</v>
      </c>
      <c r="Q133">
        <f>IMSUM(H133,P133)</f>
        <v>0</v>
      </c>
      <c r="R133">
        <f>IMDIV("1",IMSUM(I133,IMDIV("1",Q133)))</f>
        <v>0</v>
      </c>
      <c r="S133">
        <f>IMSUM(J133,R133)</f>
        <v>0</v>
      </c>
      <c r="T133">
        <f>IMDIV("1",IMSUM(K133,IMDIV("1",S133)))</f>
        <v>0</v>
      </c>
      <c r="U133">
        <f>IMSUM(L133,T133)</f>
        <v>0</v>
      </c>
      <c r="V133">
        <f>IMDIV(COMPLEX(I_DM_SOURCE,0),U133)</f>
        <v>0</v>
      </c>
      <c r="W133">
        <f>IMPRODUCT(V133,T133)</f>
        <v>0</v>
      </c>
      <c r="X133">
        <f>IMDIV(W133,S133)</f>
        <v>0</v>
      </c>
      <c r="Y133">
        <f>IMPRODUCT(X133,R133)</f>
        <v>0</v>
      </c>
      <c r="Z133">
        <f>IMDIV(Y133,Q133)</f>
        <v>0</v>
      </c>
      <c r="AA133">
        <f>IMPRODUCT(Z133,P133)</f>
        <v>0</v>
      </c>
      <c r="AB133">
        <f>AA133</f>
        <v>0</v>
      </c>
      <c r="AC133">
        <f>IMPRODUCT("-1",AB133)</f>
        <v>0</v>
      </c>
      <c r="AD133">
        <f>IMDIV(IMSUB(AB133,AC133),"2")</f>
        <v>0</v>
      </c>
      <c r="AE133" s="6">
        <f>IMABS(AB133)</f>
        <v>0</v>
      </c>
      <c r="AF133" s="6">
        <f>IMABS(AC133)</f>
        <v>0</v>
      </c>
      <c r="AG133" s="6">
        <f>IMABS(AD133)</f>
        <v>0</v>
      </c>
      <c r="AH133" s="7">
        <f>20*LOG10(MAX(AE133,1E-300)*1E6)</f>
        <v>0</v>
      </c>
      <c r="AI133" s="7">
        <f>20*LOG10(MAX(AF133,1E-300)*1E6)</f>
        <v>0</v>
      </c>
      <c r="AJ133" s="7">
        <f>20*LOG10(MAX(AG133,1E-300)*1E6)</f>
        <v>0</v>
      </c>
      <c r="AK133" s="7">
        <f>DEGREES(IMARGUMENT(AB133))</f>
        <v>0</v>
      </c>
      <c r="AL133" s="7">
        <f>DEGREES(IMARGUMENT(AC133))</f>
        <v>0</v>
      </c>
      <c r="AM133" s="7">
        <f>DEGREES(IMARGUMENT(AD133))</f>
        <v>0</v>
      </c>
    </row>
    <row r="134" spans="1:39">
      <c r="A134" s="6">
        <f>10^(LOG10(F_START)+(ROW()-ROW($A$2))*(LOG10(F_STOP)-LOG10(F_START))/(N_POINTS-1))</f>
        <v>0</v>
      </c>
      <c r="B134" s="6">
        <f>2*PI()*A134</f>
        <v>0</v>
      </c>
      <c r="C134">
        <f>COMPLEX(2*LINE_PS_DCR,2*B134*LINE_PS_L)</f>
        <v>0</v>
      </c>
      <c r="D134">
        <f>IMSUM(COMPLEX(0,B134*(LINE_PS_CLINE+LINE_PS_CCHA/2)),IMDIV("1",IMPRODUCT("2",COMPLEX(C_THROUGH_ESR,B134*C_THROUGH_ESL-1/(B134*C_THROUGH_C)))))</f>
        <v>0</v>
      </c>
      <c r="E134">
        <f>COMPLEX(2*LINE_INPUT_DCR,2*B134*LINE_INPUT_L)</f>
        <v>0</v>
      </c>
      <c r="F134">
        <f>COMPLEX(0,B134*(LINE_INPUT_CLINE+LINE_INPUT_CCHA/2))</f>
        <v>0</v>
      </c>
      <c r="G134">
        <f>IMPRODUCT("2",IMDIV("1",IMSUM(IMDIV("1",COMPLEX(LDM1_DCR,B134*LDM1_L)),COMPLEX(0,B134*LDM1_CPA))))</f>
        <v>0</v>
      </c>
      <c r="H134">
        <f>IMSUM(IMDIV("1",COMPLEX(CX1_ESR,B134*CX1_ESL-1/(B134*CX1_C))),IMDIV("1",IMSUM(COMPLEX(DUMP1_R,0),COMPLEX(DUMP1_ESR,B134*DUMP1_ESL-1/(B134*DUMP1_C)))))</f>
        <v>0</v>
      </c>
      <c r="I134">
        <f>IMPRODUCT("2",IMDIV("1",IMSUM(IMDIV("1",COMPLEX(LDM2_DCR,B134*LDM2_L)),COMPLEX(0,B134*LDM2_CPA))))</f>
        <v>0</v>
      </c>
      <c r="J134">
        <f>IMSUM(IMDIV("1",COMPLEX(CX2_ESR,B134*CX2_ESL-1/(B134*CX2_C))),IMDIV("1",IMSUM(COMPLEX(DUMP2_R,0),COMPLEX(DUMP2_ESR,B134*DUMP2_ESL-1/(B134*DUMP2_C)))))</f>
        <v>0</v>
      </c>
      <c r="K134">
        <f>IMPRODUCT("2",IMDIV("1",IMSUM(IMDIV("1",COMPLEX(CMC_DCR,B134*CMC_L*(1-CMC_K))),COMPLEX(0,B134*CMC_CPA))))</f>
        <v>0</v>
      </c>
      <c r="L134">
        <f>IMSUM(COMPLEX(0,B134*CMC_CLINE),IMDIV("1",IMPRODUCT("2",COMPLEX(CY_ESR,B134*CY_ESL-1/(B134*CY_C)))),COMPLEX(1/DUMMY_R,0))</f>
        <v>0</v>
      </c>
      <c r="M134">
        <f>IMSUM(D134,IMDIV("1",C134))</f>
        <v>0</v>
      </c>
      <c r="N134">
        <f>IMDIV("1",IMSUM(E134,IMDIV("1",M134)))</f>
        <v>0</v>
      </c>
      <c r="O134">
        <f>IMSUM(F134,N134)</f>
        <v>0</v>
      </c>
      <c r="P134">
        <f>IMDIV("1",IMSUM(G134,IMDIV("1",O134)))</f>
        <v>0</v>
      </c>
      <c r="Q134">
        <f>IMSUM(H134,P134)</f>
        <v>0</v>
      </c>
      <c r="R134">
        <f>IMDIV("1",IMSUM(I134,IMDIV("1",Q134)))</f>
        <v>0</v>
      </c>
      <c r="S134">
        <f>IMSUM(J134,R134)</f>
        <v>0</v>
      </c>
      <c r="T134">
        <f>IMDIV("1",IMSUM(K134,IMDIV("1",S134)))</f>
        <v>0</v>
      </c>
      <c r="U134">
        <f>IMSUM(L134,T134)</f>
        <v>0</v>
      </c>
      <c r="V134">
        <f>IMDIV(COMPLEX(I_DM_SOURCE,0),U134)</f>
        <v>0</v>
      </c>
      <c r="W134">
        <f>IMPRODUCT(V134,T134)</f>
        <v>0</v>
      </c>
      <c r="X134">
        <f>IMDIV(W134,S134)</f>
        <v>0</v>
      </c>
      <c r="Y134">
        <f>IMPRODUCT(X134,R134)</f>
        <v>0</v>
      </c>
      <c r="Z134">
        <f>IMDIV(Y134,Q134)</f>
        <v>0</v>
      </c>
      <c r="AA134">
        <f>IMPRODUCT(Z134,P134)</f>
        <v>0</v>
      </c>
      <c r="AB134">
        <f>AA134</f>
        <v>0</v>
      </c>
      <c r="AC134">
        <f>IMPRODUCT("-1",AB134)</f>
        <v>0</v>
      </c>
      <c r="AD134">
        <f>IMDIV(IMSUB(AB134,AC134),"2")</f>
        <v>0</v>
      </c>
      <c r="AE134" s="6">
        <f>IMABS(AB134)</f>
        <v>0</v>
      </c>
      <c r="AF134" s="6">
        <f>IMABS(AC134)</f>
        <v>0</v>
      </c>
      <c r="AG134" s="6">
        <f>IMABS(AD134)</f>
        <v>0</v>
      </c>
      <c r="AH134" s="7">
        <f>20*LOG10(MAX(AE134,1E-300)*1E6)</f>
        <v>0</v>
      </c>
      <c r="AI134" s="7">
        <f>20*LOG10(MAX(AF134,1E-300)*1E6)</f>
        <v>0</v>
      </c>
      <c r="AJ134" s="7">
        <f>20*LOG10(MAX(AG134,1E-300)*1E6)</f>
        <v>0</v>
      </c>
      <c r="AK134" s="7">
        <f>DEGREES(IMARGUMENT(AB134))</f>
        <v>0</v>
      </c>
      <c r="AL134" s="7">
        <f>DEGREES(IMARGUMENT(AC134))</f>
        <v>0</v>
      </c>
      <c r="AM134" s="7">
        <f>DEGREES(IMARGUMENT(AD134))</f>
        <v>0</v>
      </c>
    </row>
    <row r="135" spans="1:39">
      <c r="A135" s="6">
        <f>10^(LOG10(F_START)+(ROW()-ROW($A$2))*(LOG10(F_STOP)-LOG10(F_START))/(N_POINTS-1))</f>
        <v>0</v>
      </c>
      <c r="B135" s="6">
        <f>2*PI()*A135</f>
        <v>0</v>
      </c>
      <c r="C135">
        <f>COMPLEX(2*LINE_PS_DCR,2*B135*LINE_PS_L)</f>
        <v>0</v>
      </c>
      <c r="D135">
        <f>IMSUM(COMPLEX(0,B135*(LINE_PS_CLINE+LINE_PS_CCHA/2)),IMDIV("1",IMPRODUCT("2",COMPLEX(C_THROUGH_ESR,B135*C_THROUGH_ESL-1/(B135*C_THROUGH_C)))))</f>
        <v>0</v>
      </c>
      <c r="E135">
        <f>COMPLEX(2*LINE_INPUT_DCR,2*B135*LINE_INPUT_L)</f>
        <v>0</v>
      </c>
      <c r="F135">
        <f>COMPLEX(0,B135*(LINE_INPUT_CLINE+LINE_INPUT_CCHA/2))</f>
        <v>0</v>
      </c>
      <c r="G135">
        <f>IMPRODUCT("2",IMDIV("1",IMSUM(IMDIV("1",COMPLEX(LDM1_DCR,B135*LDM1_L)),COMPLEX(0,B135*LDM1_CPA))))</f>
        <v>0</v>
      </c>
      <c r="H135">
        <f>IMSUM(IMDIV("1",COMPLEX(CX1_ESR,B135*CX1_ESL-1/(B135*CX1_C))),IMDIV("1",IMSUM(COMPLEX(DUMP1_R,0),COMPLEX(DUMP1_ESR,B135*DUMP1_ESL-1/(B135*DUMP1_C)))))</f>
        <v>0</v>
      </c>
      <c r="I135">
        <f>IMPRODUCT("2",IMDIV("1",IMSUM(IMDIV("1",COMPLEX(LDM2_DCR,B135*LDM2_L)),COMPLEX(0,B135*LDM2_CPA))))</f>
        <v>0</v>
      </c>
      <c r="J135">
        <f>IMSUM(IMDIV("1",COMPLEX(CX2_ESR,B135*CX2_ESL-1/(B135*CX2_C))),IMDIV("1",IMSUM(COMPLEX(DUMP2_R,0),COMPLEX(DUMP2_ESR,B135*DUMP2_ESL-1/(B135*DUMP2_C)))))</f>
        <v>0</v>
      </c>
      <c r="K135">
        <f>IMPRODUCT("2",IMDIV("1",IMSUM(IMDIV("1",COMPLEX(CMC_DCR,B135*CMC_L*(1-CMC_K))),COMPLEX(0,B135*CMC_CPA))))</f>
        <v>0</v>
      </c>
      <c r="L135">
        <f>IMSUM(COMPLEX(0,B135*CMC_CLINE),IMDIV("1",IMPRODUCT("2",COMPLEX(CY_ESR,B135*CY_ESL-1/(B135*CY_C)))),COMPLEX(1/DUMMY_R,0))</f>
        <v>0</v>
      </c>
      <c r="M135">
        <f>IMSUM(D135,IMDIV("1",C135))</f>
        <v>0</v>
      </c>
      <c r="N135">
        <f>IMDIV("1",IMSUM(E135,IMDIV("1",M135)))</f>
        <v>0</v>
      </c>
      <c r="O135">
        <f>IMSUM(F135,N135)</f>
        <v>0</v>
      </c>
      <c r="P135">
        <f>IMDIV("1",IMSUM(G135,IMDIV("1",O135)))</f>
        <v>0</v>
      </c>
      <c r="Q135">
        <f>IMSUM(H135,P135)</f>
        <v>0</v>
      </c>
      <c r="R135">
        <f>IMDIV("1",IMSUM(I135,IMDIV("1",Q135)))</f>
        <v>0</v>
      </c>
      <c r="S135">
        <f>IMSUM(J135,R135)</f>
        <v>0</v>
      </c>
      <c r="T135">
        <f>IMDIV("1",IMSUM(K135,IMDIV("1",S135)))</f>
        <v>0</v>
      </c>
      <c r="U135">
        <f>IMSUM(L135,T135)</f>
        <v>0</v>
      </c>
      <c r="V135">
        <f>IMDIV(COMPLEX(I_DM_SOURCE,0),U135)</f>
        <v>0</v>
      </c>
      <c r="W135">
        <f>IMPRODUCT(V135,T135)</f>
        <v>0</v>
      </c>
      <c r="X135">
        <f>IMDIV(W135,S135)</f>
        <v>0</v>
      </c>
      <c r="Y135">
        <f>IMPRODUCT(X135,R135)</f>
        <v>0</v>
      </c>
      <c r="Z135">
        <f>IMDIV(Y135,Q135)</f>
        <v>0</v>
      </c>
      <c r="AA135">
        <f>IMPRODUCT(Z135,P135)</f>
        <v>0</v>
      </c>
      <c r="AB135">
        <f>AA135</f>
        <v>0</v>
      </c>
      <c r="AC135">
        <f>IMPRODUCT("-1",AB135)</f>
        <v>0</v>
      </c>
      <c r="AD135">
        <f>IMDIV(IMSUB(AB135,AC135),"2")</f>
        <v>0</v>
      </c>
      <c r="AE135" s="6">
        <f>IMABS(AB135)</f>
        <v>0</v>
      </c>
      <c r="AF135" s="6">
        <f>IMABS(AC135)</f>
        <v>0</v>
      </c>
      <c r="AG135" s="6">
        <f>IMABS(AD135)</f>
        <v>0</v>
      </c>
      <c r="AH135" s="7">
        <f>20*LOG10(MAX(AE135,1E-300)*1E6)</f>
        <v>0</v>
      </c>
      <c r="AI135" s="7">
        <f>20*LOG10(MAX(AF135,1E-300)*1E6)</f>
        <v>0</v>
      </c>
      <c r="AJ135" s="7">
        <f>20*LOG10(MAX(AG135,1E-300)*1E6)</f>
        <v>0</v>
      </c>
      <c r="AK135" s="7">
        <f>DEGREES(IMARGUMENT(AB135))</f>
        <v>0</v>
      </c>
      <c r="AL135" s="7">
        <f>DEGREES(IMARGUMENT(AC135))</f>
        <v>0</v>
      </c>
      <c r="AM135" s="7">
        <f>DEGREES(IMARGUMENT(AD135))</f>
        <v>0</v>
      </c>
    </row>
    <row r="136" spans="1:39">
      <c r="A136" s="6">
        <f>10^(LOG10(F_START)+(ROW()-ROW($A$2))*(LOG10(F_STOP)-LOG10(F_START))/(N_POINTS-1))</f>
        <v>0</v>
      </c>
      <c r="B136" s="6">
        <f>2*PI()*A136</f>
        <v>0</v>
      </c>
      <c r="C136">
        <f>COMPLEX(2*LINE_PS_DCR,2*B136*LINE_PS_L)</f>
        <v>0</v>
      </c>
      <c r="D136">
        <f>IMSUM(COMPLEX(0,B136*(LINE_PS_CLINE+LINE_PS_CCHA/2)),IMDIV("1",IMPRODUCT("2",COMPLEX(C_THROUGH_ESR,B136*C_THROUGH_ESL-1/(B136*C_THROUGH_C)))))</f>
        <v>0</v>
      </c>
      <c r="E136">
        <f>COMPLEX(2*LINE_INPUT_DCR,2*B136*LINE_INPUT_L)</f>
        <v>0</v>
      </c>
      <c r="F136">
        <f>COMPLEX(0,B136*(LINE_INPUT_CLINE+LINE_INPUT_CCHA/2))</f>
        <v>0</v>
      </c>
      <c r="G136">
        <f>IMPRODUCT("2",IMDIV("1",IMSUM(IMDIV("1",COMPLEX(LDM1_DCR,B136*LDM1_L)),COMPLEX(0,B136*LDM1_CPA))))</f>
        <v>0</v>
      </c>
      <c r="H136">
        <f>IMSUM(IMDIV("1",COMPLEX(CX1_ESR,B136*CX1_ESL-1/(B136*CX1_C))),IMDIV("1",IMSUM(COMPLEX(DUMP1_R,0),COMPLEX(DUMP1_ESR,B136*DUMP1_ESL-1/(B136*DUMP1_C)))))</f>
        <v>0</v>
      </c>
      <c r="I136">
        <f>IMPRODUCT("2",IMDIV("1",IMSUM(IMDIV("1",COMPLEX(LDM2_DCR,B136*LDM2_L)),COMPLEX(0,B136*LDM2_CPA))))</f>
        <v>0</v>
      </c>
      <c r="J136">
        <f>IMSUM(IMDIV("1",COMPLEX(CX2_ESR,B136*CX2_ESL-1/(B136*CX2_C))),IMDIV("1",IMSUM(COMPLEX(DUMP2_R,0),COMPLEX(DUMP2_ESR,B136*DUMP2_ESL-1/(B136*DUMP2_C)))))</f>
        <v>0</v>
      </c>
      <c r="K136">
        <f>IMPRODUCT("2",IMDIV("1",IMSUM(IMDIV("1",COMPLEX(CMC_DCR,B136*CMC_L*(1-CMC_K))),COMPLEX(0,B136*CMC_CPA))))</f>
        <v>0</v>
      </c>
      <c r="L136">
        <f>IMSUM(COMPLEX(0,B136*CMC_CLINE),IMDIV("1",IMPRODUCT("2",COMPLEX(CY_ESR,B136*CY_ESL-1/(B136*CY_C)))),COMPLEX(1/DUMMY_R,0))</f>
        <v>0</v>
      </c>
      <c r="M136">
        <f>IMSUM(D136,IMDIV("1",C136))</f>
        <v>0</v>
      </c>
      <c r="N136">
        <f>IMDIV("1",IMSUM(E136,IMDIV("1",M136)))</f>
        <v>0</v>
      </c>
      <c r="O136">
        <f>IMSUM(F136,N136)</f>
        <v>0</v>
      </c>
      <c r="P136">
        <f>IMDIV("1",IMSUM(G136,IMDIV("1",O136)))</f>
        <v>0</v>
      </c>
      <c r="Q136">
        <f>IMSUM(H136,P136)</f>
        <v>0</v>
      </c>
      <c r="R136">
        <f>IMDIV("1",IMSUM(I136,IMDIV("1",Q136)))</f>
        <v>0</v>
      </c>
      <c r="S136">
        <f>IMSUM(J136,R136)</f>
        <v>0</v>
      </c>
      <c r="T136">
        <f>IMDIV("1",IMSUM(K136,IMDIV("1",S136)))</f>
        <v>0</v>
      </c>
      <c r="U136">
        <f>IMSUM(L136,T136)</f>
        <v>0</v>
      </c>
      <c r="V136">
        <f>IMDIV(COMPLEX(I_DM_SOURCE,0),U136)</f>
        <v>0</v>
      </c>
      <c r="W136">
        <f>IMPRODUCT(V136,T136)</f>
        <v>0</v>
      </c>
      <c r="X136">
        <f>IMDIV(W136,S136)</f>
        <v>0</v>
      </c>
      <c r="Y136">
        <f>IMPRODUCT(X136,R136)</f>
        <v>0</v>
      </c>
      <c r="Z136">
        <f>IMDIV(Y136,Q136)</f>
        <v>0</v>
      </c>
      <c r="AA136">
        <f>IMPRODUCT(Z136,P136)</f>
        <v>0</v>
      </c>
      <c r="AB136">
        <f>AA136</f>
        <v>0</v>
      </c>
      <c r="AC136">
        <f>IMPRODUCT("-1",AB136)</f>
        <v>0</v>
      </c>
      <c r="AD136">
        <f>IMDIV(IMSUB(AB136,AC136),"2")</f>
        <v>0</v>
      </c>
      <c r="AE136" s="6">
        <f>IMABS(AB136)</f>
        <v>0</v>
      </c>
      <c r="AF136" s="6">
        <f>IMABS(AC136)</f>
        <v>0</v>
      </c>
      <c r="AG136" s="6">
        <f>IMABS(AD136)</f>
        <v>0</v>
      </c>
      <c r="AH136" s="7">
        <f>20*LOG10(MAX(AE136,1E-300)*1E6)</f>
        <v>0</v>
      </c>
      <c r="AI136" s="7">
        <f>20*LOG10(MAX(AF136,1E-300)*1E6)</f>
        <v>0</v>
      </c>
      <c r="AJ136" s="7">
        <f>20*LOG10(MAX(AG136,1E-300)*1E6)</f>
        <v>0</v>
      </c>
      <c r="AK136" s="7">
        <f>DEGREES(IMARGUMENT(AB136))</f>
        <v>0</v>
      </c>
      <c r="AL136" s="7">
        <f>DEGREES(IMARGUMENT(AC136))</f>
        <v>0</v>
      </c>
      <c r="AM136" s="7">
        <f>DEGREES(IMARGUMENT(AD136))</f>
        <v>0</v>
      </c>
    </row>
    <row r="137" spans="1:39">
      <c r="A137" s="6">
        <f>10^(LOG10(F_START)+(ROW()-ROW($A$2))*(LOG10(F_STOP)-LOG10(F_START))/(N_POINTS-1))</f>
        <v>0</v>
      </c>
      <c r="B137" s="6">
        <f>2*PI()*A137</f>
        <v>0</v>
      </c>
      <c r="C137">
        <f>COMPLEX(2*LINE_PS_DCR,2*B137*LINE_PS_L)</f>
        <v>0</v>
      </c>
      <c r="D137">
        <f>IMSUM(COMPLEX(0,B137*(LINE_PS_CLINE+LINE_PS_CCHA/2)),IMDIV("1",IMPRODUCT("2",COMPLEX(C_THROUGH_ESR,B137*C_THROUGH_ESL-1/(B137*C_THROUGH_C)))))</f>
        <v>0</v>
      </c>
      <c r="E137">
        <f>COMPLEX(2*LINE_INPUT_DCR,2*B137*LINE_INPUT_L)</f>
        <v>0</v>
      </c>
      <c r="F137">
        <f>COMPLEX(0,B137*(LINE_INPUT_CLINE+LINE_INPUT_CCHA/2))</f>
        <v>0</v>
      </c>
      <c r="G137">
        <f>IMPRODUCT("2",IMDIV("1",IMSUM(IMDIV("1",COMPLEX(LDM1_DCR,B137*LDM1_L)),COMPLEX(0,B137*LDM1_CPA))))</f>
        <v>0</v>
      </c>
      <c r="H137">
        <f>IMSUM(IMDIV("1",COMPLEX(CX1_ESR,B137*CX1_ESL-1/(B137*CX1_C))),IMDIV("1",IMSUM(COMPLEX(DUMP1_R,0),COMPLEX(DUMP1_ESR,B137*DUMP1_ESL-1/(B137*DUMP1_C)))))</f>
        <v>0</v>
      </c>
      <c r="I137">
        <f>IMPRODUCT("2",IMDIV("1",IMSUM(IMDIV("1",COMPLEX(LDM2_DCR,B137*LDM2_L)),COMPLEX(0,B137*LDM2_CPA))))</f>
        <v>0</v>
      </c>
      <c r="J137">
        <f>IMSUM(IMDIV("1",COMPLEX(CX2_ESR,B137*CX2_ESL-1/(B137*CX2_C))),IMDIV("1",IMSUM(COMPLEX(DUMP2_R,0),COMPLEX(DUMP2_ESR,B137*DUMP2_ESL-1/(B137*DUMP2_C)))))</f>
        <v>0</v>
      </c>
      <c r="K137">
        <f>IMPRODUCT("2",IMDIV("1",IMSUM(IMDIV("1",COMPLEX(CMC_DCR,B137*CMC_L*(1-CMC_K))),COMPLEX(0,B137*CMC_CPA))))</f>
        <v>0</v>
      </c>
      <c r="L137">
        <f>IMSUM(COMPLEX(0,B137*CMC_CLINE),IMDIV("1",IMPRODUCT("2",COMPLEX(CY_ESR,B137*CY_ESL-1/(B137*CY_C)))),COMPLEX(1/DUMMY_R,0))</f>
        <v>0</v>
      </c>
      <c r="M137">
        <f>IMSUM(D137,IMDIV("1",C137))</f>
        <v>0</v>
      </c>
      <c r="N137">
        <f>IMDIV("1",IMSUM(E137,IMDIV("1",M137)))</f>
        <v>0</v>
      </c>
      <c r="O137">
        <f>IMSUM(F137,N137)</f>
        <v>0</v>
      </c>
      <c r="P137">
        <f>IMDIV("1",IMSUM(G137,IMDIV("1",O137)))</f>
        <v>0</v>
      </c>
      <c r="Q137">
        <f>IMSUM(H137,P137)</f>
        <v>0</v>
      </c>
      <c r="R137">
        <f>IMDIV("1",IMSUM(I137,IMDIV("1",Q137)))</f>
        <v>0</v>
      </c>
      <c r="S137">
        <f>IMSUM(J137,R137)</f>
        <v>0</v>
      </c>
      <c r="T137">
        <f>IMDIV("1",IMSUM(K137,IMDIV("1",S137)))</f>
        <v>0</v>
      </c>
      <c r="U137">
        <f>IMSUM(L137,T137)</f>
        <v>0</v>
      </c>
      <c r="V137">
        <f>IMDIV(COMPLEX(I_DM_SOURCE,0),U137)</f>
        <v>0</v>
      </c>
      <c r="W137">
        <f>IMPRODUCT(V137,T137)</f>
        <v>0</v>
      </c>
      <c r="X137">
        <f>IMDIV(W137,S137)</f>
        <v>0</v>
      </c>
      <c r="Y137">
        <f>IMPRODUCT(X137,R137)</f>
        <v>0</v>
      </c>
      <c r="Z137">
        <f>IMDIV(Y137,Q137)</f>
        <v>0</v>
      </c>
      <c r="AA137">
        <f>IMPRODUCT(Z137,P137)</f>
        <v>0</v>
      </c>
      <c r="AB137">
        <f>AA137</f>
        <v>0</v>
      </c>
      <c r="AC137">
        <f>IMPRODUCT("-1",AB137)</f>
        <v>0</v>
      </c>
      <c r="AD137">
        <f>IMDIV(IMSUB(AB137,AC137),"2")</f>
        <v>0</v>
      </c>
      <c r="AE137" s="6">
        <f>IMABS(AB137)</f>
        <v>0</v>
      </c>
      <c r="AF137" s="6">
        <f>IMABS(AC137)</f>
        <v>0</v>
      </c>
      <c r="AG137" s="6">
        <f>IMABS(AD137)</f>
        <v>0</v>
      </c>
      <c r="AH137" s="7">
        <f>20*LOG10(MAX(AE137,1E-300)*1E6)</f>
        <v>0</v>
      </c>
      <c r="AI137" s="7">
        <f>20*LOG10(MAX(AF137,1E-300)*1E6)</f>
        <v>0</v>
      </c>
      <c r="AJ137" s="7">
        <f>20*LOG10(MAX(AG137,1E-300)*1E6)</f>
        <v>0</v>
      </c>
      <c r="AK137" s="7">
        <f>DEGREES(IMARGUMENT(AB137))</f>
        <v>0</v>
      </c>
      <c r="AL137" s="7">
        <f>DEGREES(IMARGUMENT(AC137))</f>
        <v>0</v>
      </c>
      <c r="AM137" s="7">
        <f>DEGREES(IMARGUMENT(AD137))</f>
        <v>0</v>
      </c>
    </row>
    <row r="138" spans="1:39">
      <c r="A138" s="6">
        <f>10^(LOG10(F_START)+(ROW()-ROW($A$2))*(LOG10(F_STOP)-LOG10(F_START))/(N_POINTS-1))</f>
        <v>0</v>
      </c>
      <c r="B138" s="6">
        <f>2*PI()*A138</f>
        <v>0</v>
      </c>
      <c r="C138">
        <f>COMPLEX(2*LINE_PS_DCR,2*B138*LINE_PS_L)</f>
        <v>0</v>
      </c>
      <c r="D138">
        <f>IMSUM(COMPLEX(0,B138*(LINE_PS_CLINE+LINE_PS_CCHA/2)),IMDIV("1",IMPRODUCT("2",COMPLEX(C_THROUGH_ESR,B138*C_THROUGH_ESL-1/(B138*C_THROUGH_C)))))</f>
        <v>0</v>
      </c>
      <c r="E138">
        <f>COMPLEX(2*LINE_INPUT_DCR,2*B138*LINE_INPUT_L)</f>
        <v>0</v>
      </c>
      <c r="F138">
        <f>COMPLEX(0,B138*(LINE_INPUT_CLINE+LINE_INPUT_CCHA/2))</f>
        <v>0</v>
      </c>
      <c r="G138">
        <f>IMPRODUCT("2",IMDIV("1",IMSUM(IMDIV("1",COMPLEX(LDM1_DCR,B138*LDM1_L)),COMPLEX(0,B138*LDM1_CPA))))</f>
        <v>0</v>
      </c>
      <c r="H138">
        <f>IMSUM(IMDIV("1",COMPLEX(CX1_ESR,B138*CX1_ESL-1/(B138*CX1_C))),IMDIV("1",IMSUM(COMPLEX(DUMP1_R,0),COMPLEX(DUMP1_ESR,B138*DUMP1_ESL-1/(B138*DUMP1_C)))))</f>
        <v>0</v>
      </c>
      <c r="I138">
        <f>IMPRODUCT("2",IMDIV("1",IMSUM(IMDIV("1",COMPLEX(LDM2_DCR,B138*LDM2_L)),COMPLEX(0,B138*LDM2_CPA))))</f>
        <v>0</v>
      </c>
      <c r="J138">
        <f>IMSUM(IMDIV("1",COMPLEX(CX2_ESR,B138*CX2_ESL-1/(B138*CX2_C))),IMDIV("1",IMSUM(COMPLEX(DUMP2_R,0),COMPLEX(DUMP2_ESR,B138*DUMP2_ESL-1/(B138*DUMP2_C)))))</f>
        <v>0</v>
      </c>
      <c r="K138">
        <f>IMPRODUCT("2",IMDIV("1",IMSUM(IMDIV("1",COMPLEX(CMC_DCR,B138*CMC_L*(1-CMC_K))),COMPLEX(0,B138*CMC_CPA))))</f>
        <v>0</v>
      </c>
      <c r="L138">
        <f>IMSUM(COMPLEX(0,B138*CMC_CLINE),IMDIV("1",IMPRODUCT("2",COMPLEX(CY_ESR,B138*CY_ESL-1/(B138*CY_C)))),COMPLEX(1/DUMMY_R,0))</f>
        <v>0</v>
      </c>
      <c r="M138">
        <f>IMSUM(D138,IMDIV("1",C138))</f>
        <v>0</v>
      </c>
      <c r="N138">
        <f>IMDIV("1",IMSUM(E138,IMDIV("1",M138)))</f>
        <v>0</v>
      </c>
      <c r="O138">
        <f>IMSUM(F138,N138)</f>
        <v>0</v>
      </c>
      <c r="P138">
        <f>IMDIV("1",IMSUM(G138,IMDIV("1",O138)))</f>
        <v>0</v>
      </c>
      <c r="Q138">
        <f>IMSUM(H138,P138)</f>
        <v>0</v>
      </c>
      <c r="R138">
        <f>IMDIV("1",IMSUM(I138,IMDIV("1",Q138)))</f>
        <v>0</v>
      </c>
      <c r="S138">
        <f>IMSUM(J138,R138)</f>
        <v>0</v>
      </c>
      <c r="T138">
        <f>IMDIV("1",IMSUM(K138,IMDIV("1",S138)))</f>
        <v>0</v>
      </c>
      <c r="U138">
        <f>IMSUM(L138,T138)</f>
        <v>0</v>
      </c>
      <c r="V138">
        <f>IMDIV(COMPLEX(I_DM_SOURCE,0),U138)</f>
        <v>0</v>
      </c>
      <c r="W138">
        <f>IMPRODUCT(V138,T138)</f>
        <v>0</v>
      </c>
      <c r="X138">
        <f>IMDIV(W138,S138)</f>
        <v>0</v>
      </c>
      <c r="Y138">
        <f>IMPRODUCT(X138,R138)</f>
        <v>0</v>
      </c>
      <c r="Z138">
        <f>IMDIV(Y138,Q138)</f>
        <v>0</v>
      </c>
      <c r="AA138">
        <f>IMPRODUCT(Z138,P138)</f>
        <v>0</v>
      </c>
      <c r="AB138">
        <f>AA138</f>
        <v>0</v>
      </c>
      <c r="AC138">
        <f>IMPRODUCT("-1",AB138)</f>
        <v>0</v>
      </c>
      <c r="AD138">
        <f>IMDIV(IMSUB(AB138,AC138),"2")</f>
        <v>0</v>
      </c>
      <c r="AE138" s="6">
        <f>IMABS(AB138)</f>
        <v>0</v>
      </c>
      <c r="AF138" s="6">
        <f>IMABS(AC138)</f>
        <v>0</v>
      </c>
      <c r="AG138" s="6">
        <f>IMABS(AD138)</f>
        <v>0</v>
      </c>
      <c r="AH138" s="7">
        <f>20*LOG10(MAX(AE138,1E-300)*1E6)</f>
        <v>0</v>
      </c>
      <c r="AI138" s="7">
        <f>20*LOG10(MAX(AF138,1E-300)*1E6)</f>
        <v>0</v>
      </c>
      <c r="AJ138" s="7">
        <f>20*LOG10(MAX(AG138,1E-300)*1E6)</f>
        <v>0</v>
      </c>
      <c r="AK138" s="7">
        <f>DEGREES(IMARGUMENT(AB138))</f>
        <v>0</v>
      </c>
      <c r="AL138" s="7">
        <f>DEGREES(IMARGUMENT(AC138))</f>
        <v>0</v>
      </c>
      <c r="AM138" s="7">
        <f>DEGREES(IMARGUMENT(AD138))</f>
        <v>0</v>
      </c>
    </row>
    <row r="139" spans="1:39">
      <c r="A139" s="6">
        <f>10^(LOG10(F_START)+(ROW()-ROW($A$2))*(LOG10(F_STOP)-LOG10(F_START))/(N_POINTS-1))</f>
        <v>0</v>
      </c>
      <c r="B139" s="6">
        <f>2*PI()*A139</f>
        <v>0</v>
      </c>
      <c r="C139">
        <f>COMPLEX(2*LINE_PS_DCR,2*B139*LINE_PS_L)</f>
        <v>0</v>
      </c>
      <c r="D139">
        <f>IMSUM(COMPLEX(0,B139*(LINE_PS_CLINE+LINE_PS_CCHA/2)),IMDIV("1",IMPRODUCT("2",COMPLEX(C_THROUGH_ESR,B139*C_THROUGH_ESL-1/(B139*C_THROUGH_C)))))</f>
        <v>0</v>
      </c>
      <c r="E139">
        <f>COMPLEX(2*LINE_INPUT_DCR,2*B139*LINE_INPUT_L)</f>
        <v>0</v>
      </c>
      <c r="F139">
        <f>COMPLEX(0,B139*(LINE_INPUT_CLINE+LINE_INPUT_CCHA/2))</f>
        <v>0</v>
      </c>
      <c r="G139">
        <f>IMPRODUCT("2",IMDIV("1",IMSUM(IMDIV("1",COMPLEX(LDM1_DCR,B139*LDM1_L)),COMPLEX(0,B139*LDM1_CPA))))</f>
        <v>0</v>
      </c>
      <c r="H139">
        <f>IMSUM(IMDIV("1",COMPLEX(CX1_ESR,B139*CX1_ESL-1/(B139*CX1_C))),IMDIV("1",IMSUM(COMPLEX(DUMP1_R,0),COMPLEX(DUMP1_ESR,B139*DUMP1_ESL-1/(B139*DUMP1_C)))))</f>
        <v>0</v>
      </c>
      <c r="I139">
        <f>IMPRODUCT("2",IMDIV("1",IMSUM(IMDIV("1",COMPLEX(LDM2_DCR,B139*LDM2_L)),COMPLEX(0,B139*LDM2_CPA))))</f>
        <v>0</v>
      </c>
      <c r="J139">
        <f>IMSUM(IMDIV("1",COMPLEX(CX2_ESR,B139*CX2_ESL-1/(B139*CX2_C))),IMDIV("1",IMSUM(COMPLEX(DUMP2_R,0),COMPLEX(DUMP2_ESR,B139*DUMP2_ESL-1/(B139*DUMP2_C)))))</f>
        <v>0</v>
      </c>
      <c r="K139">
        <f>IMPRODUCT("2",IMDIV("1",IMSUM(IMDIV("1",COMPLEX(CMC_DCR,B139*CMC_L*(1-CMC_K))),COMPLEX(0,B139*CMC_CPA))))</f>
        <v>0</v>
      </c>
      <c r="L139">
        <f>IMSUM(COMPLEX(0,B139*CMC_CLINE),IMDIV("1",IMPRODUCT("2",COMPLEX(CY_ESR,B139*CY_ESL-1/(B139*CY_C)))),COMPLEX(1/DUMMY_R,0))</f>
        <v>0</v>
      </c>
      <c r="M139">
        <f>IMSUM(D139,IMDIV("1",C139))</f>
        <v>0</v>
      </c>
      <c r="N139">
        <f>IMDIV("1",IMSUM(E139,IMDIV("1",M139)))</f>
        <v>0</v>
      </c>
      <c r="O139">
        <f>IMSUM(F139,N139)</f>
        <v>0</v>
      </c>
      <c r="P139">
        <f>IMDIV("1",IMSUM(G139,IMDIV("1",O139)))</f>
        <v>0</v>
      </c>
      <c r="Q139">
        <f>IMSUM(H139,P139)</f>
        <v>0</v>
      </c>
      <c r="R139">
        <f>IMDIV("1",IMSUM(I139,IMDIV("1",Q139)))</f>
        <v>0</v>
      </c>
      <c r="S139">
        <f>IMSUM(J139,R139)</f>
        <v>0</v>
      </c>
      <c r="T139">
        <f>IMDIV("1",IMSUM(K139,IMDIV("1",S139)))</f>
        <v>0</v>
      </c>
      <c r="U139">
        <f>IMSUM(L139,T139)</f>
        <v>0</v>
      </c>
      <c r="V139">
        <f>IMDIV(COMPLEX(I_DM_SOURCE,0),U139)</f>
        <v>0</v>
      </c>
      <c r="W139">
        <f>IMPRODUCT(V139,T139)</f>
        <v>0</v>
      </c>
      <c r="X139">
        <f>IMDIV(W139,S139)</f>
        <v>0</v>
      </c>
      <c r="Y139">
        <f>IMPRODUCT(X139,R139)</f>
        <v>0</v>
      </c>
      <c r="Z139">
        <f>IMDIV(Y139,Q139)</f>
        <v>0</v>
      </c>
      <c r="AA139">
        <f>IMPRODUCT(Z139,P139)</f>
        <v>0</v>
      </c>
      <c r="AB139">
        <f>AA139</f>
        <v>0</v>
      </c>
      <c r="AC139">
        <f>IMPRODUCT("-1",AB139)</f>
        <v>0</v>
      </c>
      <c r="AD139">
        <f>IMDIV(IMSUB(AB139,AC139),"2")</f>
        <v>0</v>
      </c>
      <c r="AE139" s="6">
        <f>IMABS(AB139)</f>
        <v>0</v>
      </c>
      <c r="AF139" s="6">
        <f>IMABS(AC139)</f>
        <v>0</v>
      </c>
      <c r="AG139" s="6">
        <f>IMABS(AD139)</f>
        <v>0</v>
      </c>
      <c r="AH139" s="7">
        <f>20*LOG10(MAX(AE139,1E-300)*1E6)</f>
        <v>0</v>
      </c>
      <c r="AI139" s="7">
        <f>20*LOG10(MAX(AF139,1E-300)*1E6)</f>
        <v>0</v>
      </c>
      <c r="AJ139" s="7">
        <f>20*LOG10(MAX(AG139,1E-300)*1E6)</f>
        <v>0</v>
      </c>
      <c r="AK139" s="7">
        <f>DEGREES(IMARGUMENT(AB139))</f>
        <v>0</v>
      </c>
      <c r="AL139" s="7">
        <f>DEGREES(IMARGUMENT(AC139))</f>
        <v>0</v>
      </c>
      <c r="AM139" s="7">
        <f>DEGREES(IMARGUMENT(AD139))</f>
        <v>0</v>
      </c>
    </row>
    <row r="140" spans="1:39">
      <c r="A140" s="6">
        <f>10^(LOG10(F_START)+(ROW()-ROW($A$2))*(LOG10(F_STOP)-LOG10(F_START))/(N_POINTS-1))</f>
        <v>0</v>
      </c>
      <c r="B140" s="6">
        <f>2*PI()*A140</f>
        <v>0</v>
      </c>
      <c r="C140">
        <f>COMPLEX(2*LINE_PS_DCR,2*B140*LINE_PS_L)</f>
        <v>0</v>
      </c>
      <c r="D140">
        <f>IMSUM(COMPLEX(0,B140*(LINE_PS_CLINE+LINE_PS_CCHA/2)),IMDIV("1",IMPRODUCT("2",COMPLEX(C_THROUGH_ESR,B140*C_THROUGH_ESL-1/(B140*C_THROUGH_C)))))</f>
        <v>0</v>
      </c>
      <c r="E140">
        <f>COMPLEX(2*LINE_INPUT_DCR,2*B140*LINE_INPUT_L)</f>
        <v>0</v>
      </c>
      <c r="F140">
        <f>COMPLEX(0,B140*(LINE_INPUT_CLINE+LINE_INPUT_CCHA/2))</f>
        <v>0</v>
      </c>
      <c r="G140">
        <f>IMPRODUCT("2",IMDIV("1",IMSUM(IMDIV("1",COMPLEX(LDM1_DCR,B140*LDM1_L)),COMPLEX(0,B140*LDM1_CPA))))</f>
        <v>0</v>
      </c>
      <c r="H140">
        <f>IMSUM(IMDIV("1",COMPLEX(CX1_ESR,B140*CX1_ESL-1/(B140*CX1_C))),IMDIV("1",IMSUM(COMPLEX(DUMP1_R,0),COMPLEX(DUMP1_ESR,B140*DUMP1_ESL-1/(B140*DUMP1_C)))))</f>
        <v>0</v>
      </c>
      <c r="I140">
        <f>IMPRODUCT("2",IMDIV("1",IMSUM(IMDIV("1",COMPLEX(LDM2_DCR,B140*LDM2_L)),COMPLEX(0,B140*LDM2_CPA))))</f>
        <v>0</v>
      </c>
      <c r="J140">
        <f>IMSUM(IMDIV("1",COMPLEX(CX2_ESR,B140*CX2_ESL-1/(B140*CX2_C))),IMDIV("1",IMSUM(COMPLEX(DUMP2_R,0),COMPLEX(DUMP2_ESR,B140*DUMP2_ESL-1/(B140*DUMP2_C)))))</f>
        <v>0</v>
      </c>
      <c r="K140">
        <f>IMPRODUCT("2",IMDIV("1",IMSUM(IMDIV("1",COMPLEX(CMC_DCR,B140*CMC_L*(1-CMC_K))),COMPLEX(0,B140*CMC_CPA))))</f>
        <v>0</v>
      </c>
      <c r="L140">
        <f>IMSUM(COMPLEX(0,B140*CMC_CLINE),IMDIV("1",IMPRODUCT("2",COMPLEX(CY_ESR,B140*CY_ESL-1/(B140*CY_C)))),COMPLEX(1/DUMMY_R,0))</f>
        <v>0</v>
      </c>
      <c r="M140">
        <f>IMSUM(D140,IMDIV("1",C140))</f>
        <v>0</v>
      </c>
      <c r="N140">
        <f>IMDIV("1",IMSUM(E140,IMDIV("1",M140)))</f>
        <v>0</v>
      </c>
      <c r="O140">
        <f>IMSUM(F140,N140)</f>
        <v>0</v>
      </c>
      <c r="P140">
        <f>IMDIV("1",IMSUM(G140,IMDIV("1",O140)))</f>
        <v>0</v>
      </c>
      <c r="Q140">
        <f>IMSUM(H140,P140)</f>
        <v>0</v>
      </c>
      <c r="R140">
        <f>IMDIV("1",IMSUM(I140,IMDIV("1",Q140)))</f>
        <v>0</v>
      </c>
      <c r="S140">
        <f>IMSUM(J140,R140)</f>
        <v>0</v>
      </c>
      <c r="T140">
        <f>IMDIV("1",IMSUM(K140,IMDIV("1",S140)))</f>
        <v>0</v>
      </c>
      <c r="U140">
        <f>IMSUM(L140,T140)</f>
        <v>0</v>
      </c>
      <c r="V140">
        <f>IMDIV(COMPLEX(I_DM_SOURCE,0),U140)</f>
        <v>0</v>
      </c>
      <c r="W140">
        <f>IMPRODUCT(V140,T140)</f>
        <v>0</v>
      </c>
      <c r="X140">
        <f>IMDIV(W140,S140)</f>
        <v>0</v>
      </c>
      <c r="Y140">
        <f>IMPRODUCT(X140,R140)</f>
        <v>0</v>
      </c>
      <c r="Z140">
        <f>IMDIV(Y140,Q140)</f>
        <v>0</v>
      </c>
      <c r="AA140">
        <f>IMPRODUCT(Z140,P140)</f>
        <v>0</v>
      </c>
      <c r="AB140">
        <f>AA140</f>
        <v>0</v>
      </c>
      <c r="AC140">
        <f>IMPRODUCT("-1",AB140)</f>
        <v>0</v>
      </c>
      <c r="AD140">
        <f>IMDIV(IMSUB(AB140,AC140),"2")</f>
        <v>0</v>
      </c>
      <c r="AE140" s="6">
        <f>IMABS(AB140)</f>
        <v>0</v>
      </c>
      <c r="AF140" s="6">
        <f>IMABS(AC140)</f>
        <v>0</v>
      </c>
      <c r="AG140" s="6">
        <f>IMABS(AD140)</f>
        <v>0</v>
      </c>
      <c r="AH140" s="7">
        <f>20*LOG10(MAX(AE140,1E-300)*1E6)</f>
        <v>0</v>
      </c>
      <c r="AI140" s="7">
        <f>20*LOG10(MAX(AF140,1E-300)*1E6)</f>
        <v>0</v>
      </c>
      <c r="AJ140" s="7">
        <f>20*LOG10(MAX(AG140,1E-300)*1E6)</f>
        <v>0</v>
      </c>
      <c r="AK140" s="7">
        <f>DEGREES(IMARGUMENT(AB140))</f>
        <v>0</v>
      </c>
      <c r="AL140" s="7">
        <f>DEGREES(IMARGUMENT(AC140))</f>
        <v>0</v>
      </c>
      <c r="AM140" s="7">
        <f>DEGREES(IMARGUMENT(AD140))</f>
        <v>0</v>
      </c>
    </row>
    <row r="141" spans="1:39">
      <c r="A141" s="6">
        <f>10^(LOG10(F_START)+(ROW()-ROW($A$2))*(LOG10(F_STOP)-LOG10(F_START))/(N_POINTS-1))</f>
        <v>0</v>
      </c>
      <c r="B141" s="6">
        <f>2*PI()*A141</f>
        <v>0</v>
      </c>
      <c r="C141">
        <f>COMPLEX(2*LINE_PS_DCR,2*B141*LINE_PS_L)</f>
        <v>0</v>
      </c>
      <c r="D141">
        <f>IMSUM(COMPLEX(0,B141*(LINE_PS_CLINE+LINE_PS_CCHA/2)),IMDIV("1",IMPRODUCT("2",COMPLEX(C_THROUGH_ESR,B141*C_THROUGH_ESL-1/(B141*C_THROUGH_C)))))</f>
        <v>0</v>
      </c>
      <c r="E141">
        <f>COMPLEX(2*LINE_INPUT_DCR,2*B141*LINE_INPUT_L)</f>
        <v>0</v>
      </c>
      <c r="F141">
        <f>COMPLEX(0,B141*(LINE_INPUT_CLINE+LINE_INPUT_CCHA/2))</f>
        <v>0</v>
      </c>
      <c r="G141">
        <f>IMPRODUCT("2",IMDIV("1",IMSUM(IMDIV("1",COMPLEX(LDM1_DCR,B141*LDM1_L)),COMPLEX(0,B141*LDM1_CPA))))</f>
        <v>0</v>
      </c>
      <c r="H141">
        <f>IMSUM(IMDIV("1",COMPLEX(CX1_ESR,B141*CX1_ESL-1/(B141*CX1_C))),IMDIV("1",IMSUM(COMPLEX(DUMP1_R,0),COMPLEX(DUMP1_ESR,B141*DUMP1_ESL-1/(B141*DUMP1_C)))))</f>
        <v>0</v>
      </c>
      <c r="I141">
        <f>IMPRODUCT("2",IMDIV("1",IMSUM(IMDIV("1",COMPLEX(LDM2_DCR,B141*LDM2_L)),COMPLEX(0,B141*LDM2_CPA))))</f>
        <v>0</v>
      </c>
      <c r="J141">
        <f>IMSUM(IMDIV("1",COMPLEX(CX2_ESR,B141*CX2_ESL-1/(B141*CX2_C))),IMDIV("1",IMSUM(COMPLEX(DUMP2_R,0),COMPLEX(DUMP2_ESR,B141*DUMP2_ESL-1/(B141*DUMP2_C)))))</f>
        <v>0</v>
      </c>
      <c r="K141">
        <f>IMPRODUCT("2",IMDIV("1",IMSUM(IMDIV("1",COMPLEX(CMC_DCR,B141*CMC_L*(1-CMC_K))),COMPLEX(0,B141*CMC_CPA))))</f>
        <v>0</v>
      </c>
      <c r="L141">
        <f>IMSUM(COMPLEX(0,B141*CMC_CLINE),IMDIV("1",IMPRODUCT("2",COMPLEX(CY_ESR,B141*CY_ESL-1/(B141*CY_C)))),COMPLEX(1/DUMMY_R,0))</f>
        <v>0</v>
      </c>
      <c r="M141">
        <f>IMSUM(D141,IMDIV("1",C141))</f>
        <v>0</v>
      </c>
      <c r="N141">
        <f>IMDIV("1",IMSUM(E141,IMDIV("1",M141)))</f>
        <v>0</v>
      </c>
      <c r="O141">
        <f>IMSUM(F141,N141)</f>
        <v>0</v>
      </c>
      <c r="P141">
        <f>IMDIV("1",IMSUM(G141,IMDIV("1",O141)))</f>
        <v>0</v>
      </c>
      <c r="Q141">
        <f>IMSUM(H141,P141)</f>
        <v>0</v>
      </c>
      <c r="R141">
        <f>IMDIV("1",IMSUM(I141,IMDIV("1",Q141)))</f>
        <v>0</v>
      </c>
      <c r="S141">
        <f>IMSUM(J141,R141)</f>
        <v>0</v>
      </c>
      <c r="T141">
        <f>IMDIV("1",IMSUM(K141,IMDIV("1",S141)))</f>
        <v>0</v>
      </c>
      <c r="U141">
        <f>IMSUM(L141,T141)</f>
        <v>0</v>
      </c>
      <c r="V141">
        <f>IMDIV(COMPLEX(I_DM_SOURCE,0),U141)</f>
        <v>0</v>
      </c>
      <c r="W141">
        <f>IMPRODUCT(V141,T141)</f>
        <v>0</v>
      </c>
      <c r="X141">
        <f>IMDIV(W141,S141)</f>
        <v>0</v>
      </c>
      <c r="Y141">
        <f>IMPRODUCT(X141,R141)</f>
        <v>0</v>
      </c>
      <c r="Z141">
        <f>IMDIV(Y141,Q141)</f>
        <v>0</v>
      </c>
      <c r="AA141">
        <f>IMPRODUCT(Z141,P141)</f>
        <v>0</v>
      </c>
      <c r="AB141">
        <f>AA141</f>
        <v>0</v>
      </c>
      <c r="AC141">
        <f>IMPRODUCT("-1",AB141)</f>
        <v>0</v>
      </c>
      <c r="AD141">
        <f>IMDIV(IMSUB(AB141,AC141),"2")</f>
        <v>0</v>
      </c>
      <c r="AE141" s="6">
        <f>IMABS(AB141)</f>
        <v>0</v>
      </c>
      <c r="AF141" s="6">
        <f>IMABS(AC141)</f>
        <v>0</v>
      </c>
      <c r="AG141" s="6">
        <f>IMABS(AD141)</f>
        <v>0</v>
      </c>
      <c r="AH141" s="7">
        <f>20*LOG10(MAX(AE141,1E-300)*1E6)</f>
        <v>0</v>
      </c>
      <c r="AI141" s="7">
        <f>20*LOG10(MAX(AF141,1E-300)*1E6)</f>
        <v>0</v>
      </c>
      <c r="AJ141" s="7">
        <f>20*LOG10(MAX(AG141,1E-300)*1E6)</f>
        <v>0</v>
      </c>
      <c r="AK141" s="7">
        <f>DEGREES(IMARGUMENT(AB141))</f>
        <v>0</v>
      </c>
      <c r="AL141" s="7">
        <f>DEGREES(IMARGUMENT(AC141))</f>
        <v>0</v>
      </c>
      <c r="AM141" s="7">
        <f>DEGREES(IMARGUMENT(AD141))</f>
        <v>0</v>
      </c>
    </row>
    <row r="142" spans="1:39">
      <c r="A142" s="6">
        <f>10^(LOG10(F_START)+(ROW()-ROW($A$2))*(LOG10(F_STOP)-LOG10(F_START))/(N_POINTS-1))</f>
        <v>0</v>
      </c>
      <c r="B142" s="6">
        <f>2*PI()*A142</f>
        <v>0</v>
      </c>
      <c r="C142">
        <f>COMPLEX(2*LINE_PS_DCR,2*B142*LINE_PS_L)</f>
        <v>0</v>
      </c>
      <c r="D142">
        <f>IMSUM(COMPLEX(0,B142*(LINE_PS_CLINE+LINE_PS_CCHA/2)),IMDIV("1",IMPRODUCT("2",COMPLEX(C_THROUGH_ESR,B142*C_THROUGH_ESL-1/(B142*C_THROUGH_C)))))</f>
        <v>0</v>
      </c>
      <c r="E142">
        <f>COMPLEX(2*LINE_INPUT_DCR,2*B142*LINE_INPUT_L)</f>
        <v>0</v>
      </c>
      <c r="F142">
        <f>COMPLEX(0,B142*(LINE_INPUT_CLINE+LINE_INPUT_CCHA/2))</f>
        <v>0</v>
      </c>
      <c r="G142">
        <f>IMPRODUCT("2",IMDIV("1",IMSUM(IMDIV("1",COMPLEX(LDM1_DCR,B142*LDM1_L)),COMPLEX(0,B142*LDM1_CPA))))</f>
        <v>0</v>
      </c>
      <c r="H142">
        <f>IMSUM(IMDIV("1",COMPLEX(CX1_ESR,B142*CX1_ESL-1/(B142*CX1_C))),IMDIV("1",IMSUM(COMPLEX(DUMP1_R,0),COMPLEX(DUMP1_ESR,B142*DUMP1_ESL-1/(B142*DUMP1_C)))))</f>
        <v>0</v>
      </c>
      <c r="I142">
        <f>IMPRODUCT("2",IMDIV("1",IMSUM(IMDIV("1",COMPLEX(LDM2_DCR,B142*LDM2_L)),COMPLEX(0,B142*LDM2_CPA))))</f>
        <v>0</v>
      </c>
      <c r="J142">
        <f>IMSUM(IMDIV("1",COMPLEX(CX2_ESR,B142*CX2_ESL-1/(B142*CX2_C))),IMDIV("1",IMSUM(COMPLEX(DUMP2_R,0),COMPLEX(DUMP2_ESR,B142*DUMP2_ESL-1/(B142*DUMP2_C)))))</f>
        <v>0</v>
      </c>
      <c r="K142">
        <f>IMPRODUCT("2",IMDIV("1",IMSUM(IMDIV("1",COMPLEX(CMC_DCR,B142*CMC_L*(1-CMC_K))),COMPLEX(0,B142*CMC_CPA))))</f>
        <v>0</v>
      </c>
      <c r="L142">
        <f>IMSUM(COMPLEX(0,B142*CMC_CLINE),IMDIV("1",IMPRODUCT("2",COMPLEX(CY_ESR,B142*CY_ESL-1/(B142*CY_C)))),COMPLEX(1/DUMMY_R,0))</f>
        <v>0</v>
      </c>
      <c r="M142">
        <f>IMSUM(D142,IMDIV("1",C142))</f>
        <v>0</v>
      </c>
      <c r="N142">
        <f>IMDIV("1",IMSUM(E142,IMDIV("1",M142)))</f>
        <v>0</v>
      </c>
      <c r="O142">
        <f>IMSUM(F142,N142)</f>
        <v>0</v>
      </c>
      <c r="P142">
        <f>IMDIV("1",IMSUM(G142,IMDIV("1",O142)))</f>
        <v>0</v>
      </c>
      <c r="Q142">
        <f>IMSUM(H142,P142)</f>
        <v>0</v>
      </c>
      <c r="R142">
        <f>IMDIV("1",IMSUM(I142,IMDIV("1",Q142)))</f>
        <v>0</v>
      </c>
      <c r="S142">
        <f>IMSUM(J142,R142)</f>
        <v>0</v>
      </c>
      <c r="T142">
        <f>IMDIV("1",IMSUM(K142,IMDIV("1",S142)))</f>
        <v>0</v>
      </c>
      <c r="U142">
        <f>IMSUM(L142,T142)</f>
        <v>0</v>
      </c>
      <c r="V142">
        <f>IMDIV(COMPLEX(I_DM_SOURCE,0),U142)</f>
        <v>0</v>
      </c>
      <c r="W142">
        <f>IMPRODUCT(V142,T142)</f>
        <v>0</v>
      </c>
      <c r="X142">
        <f>IMDIV(W142,S142)</f>
        <v>0</v>
      </c>
      <c r="Y142">
        <f>IMPRODUCT(X142,R142)</f>
        <v>0</v>
      </c>
      <c r="Z142">
        <f>IMDIV(Y142,Q142)</f>
        <v>0</v>
      </c>
      <c r="AA142">
        <f>IMPRODUCT(Z142,P142)</f>
        <v>0</v>
      </c>
      <c r="AB142">
        <f>AA142</f>
        <v>0</v>
      </c>
      <c r="AC142">
        <f>IMPRODUCT("-1",AB142)</f>
        <v>0</v>
      </c>
      <c r="AD142">
        <f>IMDIV(IMSUB(AB142,AC142),"2")</f>
        <v>0</v>
      </c>
      <c r="AE142" s="6">
        <f>IMABS(AB142)</f>
        <v>0</v>
      </c>
      <c r="AF142" s="6">
        <f>IMABS(AC142)</f>
        <v>0</v>
      </c>
      <c r="AG142" s="6">
        <f>IMABS(AD142)</f>
        <v>0</v>
      </c>
      <c r="AH142" s="7">
        <f>20*LOG10(MAX(AE142,1E-300)*1E6)</f>
        <v>0</v>
      </c>
      <c r="AI142" s="7">
        <f>20*LOG10(MAX(AF142,1E-300)*1E6)</f>
        <v>0</v>
      </c>
      <c r="AJ142" s="7">
        <f>20*LOG10(MAX(AG142,1E-300)*1E6)</f>
        <v>0</v>
      </c>
      <c r="AK142" s="7">
        <f>DEGREES(IMARGUMENT(AB142))</f>
        <v>0</v>
      </c>
      <c r="AL142" s="7">
        <f>DEGREES(IMARGUMENT(AC142))</f>
        <v>0</v>
      </c>
      <c r="AM142" s="7">
        <f>DEGREES(IMARGUMENT(AD142))</f>
        <v>0</v>
      </c>
    </row>
    <row r="143" spans="1:39">
      <c r="A143" s="6">
        <f>10^(LOG10(F_START)+(ROW()-ROW($A$2))*(LOG10(F_STOP)-LOG10(F_START))/(N_POINTS-1))</f>
        <v>0</v>
      </c>
      <c r="B143" s="6">
        <f>2*PI()*A143</f>
        <v>0</v>
      </c>
      <c r="C143">
        <f>COMPLEX(2*LINE_PS_DCR,2*B143*LINE_PS_L)</f>
        <v>0</v>
      </c>
      <c r="D143">
        <f>IMSUM(COMPLEX(0,B143*(LINE_PS_CLINE+LINE_PS_CCHA/2)),IMDIV("1",IMPRODUCT("2",COMPLEX(C_THROUGH_ESR,B143*C_THROUGH_ESL-1/(B143*C_THROUGH_C)))))</f>
        <v>0</v>
      </c>
      <c r="E143">
        <f>COMPLEX(2*LINE_INPUT_DCR,2*B143*LINE_INPUT_L)</f>
        <v>0</v>
      </c>
      <c r="F143">
        <f>COMPLEX(0,B143*(LINE_INPUT_CLINE+LINE_INPUT_CCHA/2))</f>
        <v>0</v>
      </c>
      <c r="G143">
        <f>IMPRODUCT("2",IMDIV("1",IMSUM(IMDIV("1",COMPLEX(LDM1_DCR,B143*LDM1_L)),COMPLEX(0,B143*LDM1_CPA))))</f>
        <v>0</v>
      </c>
      <c r="H143">
        <f>IMSUM(IMDIV("1",COMPLEX(CX1_ESR,B143*CX1_ESL-1/(B143*CX1_C))),IMDIV("1",IMSUM(COMPLEX(DUMP1_R,0),COMPLEX(DUMP1_ESR,B143*DUMP1_ESL-1/(B143*DUMP1_C)))))</f>
        <v>0</v>
      </c>
      <c r="I143">
        <f>IMPRODUCT("2",IMDIV("1",IMSUM(IMDIV("1",COMPLEX(LDM2_DCR,B143*LDM2_L)),COMPLEX(0,B143*LDM2_CPA))))</f>
        <v>0</v>
      </c>
      <c r="J143">
        <f>IMSUM(IMDIV("1",COMPLEX(CX2_ESR,B143*CX2_ESL-1/(B143*CX2_C))),IMDIV("1",IMSUM(COMPLEX(DUMP2_R,0),COMPLEX(DUMP2_ESR,B143*DUMP2_ESL-1/(B143*DUMP2_C)))))</f>
        <v>0</v>
      </c>
      <c r="K143">
        <f>IMPRODUCT("2",IMDIV("1",IMSUM(IMDIV("1",COMPLEX(CMC_DCR,B143*CMC_L*(1-CMC_K))),COMPLEX(0,B143*CMC_CPA))))</f>
        <v>0</v>
      </c>
      <c r="L143">
        <f>IMSUM(COMPLEX(0,B143*CMC_CLINE),IMDIV("1",IMPRODUCT("2",COMPLEX(CY_ESR,B143*CY_ESL-1/(B143*CY_C)))),COMPLEX(1/DUMMY_R,0))</f>
        <v>0</v>
      </c>
      <c r="M143">
        <f>IMSUM(D143,IMDIV("1",C143))</f>
        <v>0</v>
      </c>
      <c r="N143">
        <f>IMDIV("1",IMSUM(E143,IMDIV("1",M143)))</f>
        <v>0</v>
      </c>
      <c r="O143">
        <f>IMSUM(F143,N143)</f>
        <v>0</v>
      </c>
      <c r="P143">
        <f>IMDIV("1",IMSUM(G143,IMDIV("1",O143)))</f>
        <v>0</v>
      </c>
      <c r="Q143">
        <f>IMSUM(H143,P143)</f>
        <v>0</v>
      </c>
      <c r="R143">
        <f>IMDIV("1",IMSUM(I143,IMDIV("1",Q143)))</f>
        <v>0</v>
      </c>
      <c r="S143">
        <f>IMSUM(J143,R143)</f>
        <v>0</v>
      </c>
      <c r="T143">
        <f>IMDIV("1",IMSUM(K143,IMDIV("1",S143)))</f>
        <v>0</v>
      </c>
      <c r="U143">
        <f>IMSUM(L143,T143)</f>
        <v>0</v>
      </c>
      <c r="V143">
        <f>IMDIV(COMPLEX(I_DM_SOURCE,0),U143)</f>
        <v>0</v>
      </c>
      <c r="W143">
        <f>IMPRODUCT(V143,T143)</f>
        <v>0</v>
      </c>
      <c r="X143">
        <f>IMDIV(W143,S143)</f>
        <v>0</v>
      </c>
      <c r="Y143">
        <f>IMPRODUCT(X143,R143)</f>
        <v>0</v>
      </c>
      <c r="Z143">
        <f>IMDIV(Y143,Q143)</f>
        <v>0</v>
      </c>
      <c r="AA143">
        <f>IMPRODUCT(Z143,P143)</f>
        <v>0</v>
      </c>
      <c r="AB143">
        <f>AA143</f>
        <v>0</v>
      </c>
      <c r="AC143">
        <f>IMPRODUCT("-1",AB143)</f>
        <v>0</v>
      </c>
      <c r="AD143">
        <f>IMDIV(IMSUB(AB143,AC143),"2")</f>
        <v>0</v>
      </c>
      <c r="AE143" s="6">
        <f>IMABS(AB143)</f>
        <v>0</v>
      </c>
      <c r="AF143" s="6">
        <f>IMABS(AC143)</f>
        <v>0</v>
      </c>
      <c r="AG143" s="6">
        <f>IMABS(AD143)</f>
        <v>0</v>
      </c>
      <c r="AH143" s="7">
        <f>20*LOG10(MAX(AE143,1E-300)*1E6)</f>
        <v>0</v>
      </c>
      <c r="AI143" s="7">
        <f>20*LOG10(MAX(AF143,1E-300)*1E6)</f>
        <v>0</v>
      </c>
      <c r="AJ143" s="7">
        <f>20*LOG10(MAX(AG143,1E-300)*1E6)</f>
        <v>0</v>
      </c>
      <c r="AK143" s="7">
        <f>DEGREES(IMARGUMENT(AB143))</f>
        <v>0</v>
      </c>
      <c r="AL143" s="7">
        <f>DEGREES(IMARGUMENT(AC143))</f>
        <v>0</v>
      </c>
      <c r="AM143" s="7">
        <f>DEGREES(IMARGUMENT(AD143))</f>
        <v>0</v>
      </c>
    </row>
    <row r="144" spans="1:39">
      <c r="A144" s="6">
        <f>10^(LOG10(F_START)+(ROW()-ROW($A$2))*(LOG10(F_STOP)-LOG10(F_START))/(N_POINTS-1))</f>
        <v>0</v>
      </c>
      <c r="B144" s="6">
        <f>2*PI()*A144</f>
        <v>0</v>
      </c>
      <c r="C144">
        <f>COMPLEX(2*LINE_PS_DCR,2*B144*LINE_PS_L)</f>
        <v>0</v>
      </c>
      <c r="D144">
        <f>IMSUM(COMPLEX(0,B144*(LINE_PS_CLINE+LINE_PS_CCHA/2)),IMDIV("1",IMPRODUCT("2",COMPLEX(C_THROUGH_ESR,B144*C_THROUGH_ESL-1/(B144*C_THROUGH_C)))))</f>
        <v>0</v>
      </c>
      <c r="E144">
        <f>COMPLEX(2*LINE_INPUT_DCR,2*B144*LINE_INPUT_L)</f>
        <v>0</v>
      </c>
      <c r="F144">
        <f>COMPLEX(0,B144*(LINE_INPUT_CLINE+LINE_INPUT_CCHA/2))</f>
        <v>0</v>
      </c>
      <c r="G144">
        <f>IMPRODUCT("2",IMDIV("1",IMSUM(IMDIV("1",COMPLEX(LDM1_DCR,B144*LDM1_L)),COMPLEX(0,B144*LDM1_CPA))))</f>
        <v>0</v>
      </c>
      <c r="H144">
        <f>IMSUM(IMDIV("1",COMPLEX(CX1_ESR,B144*CX1_ESL-1/(B144*CX1_C))),IMDIV("1",IMSUM(COMPLEX(DUMP1_R,0),COMPLEX(DUMP1_ESR,B144*DUMP1_ESL-1/(B144*DUMP1_C)))))</f>
        <v>0</v>
      </c>
      <c r="I144">
        <f>IMPRODUCT("2",IMDIV("1",IMSUM(IMDIV("1",COMPLEX(LDM2_DCR,B144*LDM2_L)),COMPLEX(0,B144*LDM2_CPA))))</f>
        <v>0</v>
      </c>
      <c r="J144">
        <f>IMSUM(IMDIV("1",COMPLEX(CX2_ESR,B144*CX2_ESL-1/(B144*CX2_C))),IMDIV("1",IMSUM(COMPLEX(DUMP2_R,0),COMPLEX(DUMP2_ESR,B144*DUMP2_ESL-1/(B144*DUMP2_C)))))</f>
        <v>0</v>
      </c>
      <c r="K144">
        <f>IMPRODUCT("2",IMDIV("1",IMSUM(IMDIV("1",COMPLEX(CMC_DCR,B144*CMC_L*(1-CMC_K))),COMPLEX(0,B144*CMC_CPA))))</f>
        <v>0</v>
      </c>
      <c r="L144">
        <f>IMSUM(COMPLEX(0,B144*CMC_CLINE),IMDIV("1",IMPRODUCT("2",COMPLEX(CY_ESR,B144*CY_ESL-1/(B144*CY_C)))),COMPLEX(1/DUMMY_R,0))</f>
        <v>0</v>
      </c>
      <c r="M144">
        <f>IMSUM(D144,IMDIV("1",C144))</f>
        <v>0</v>
      </c>
      <c r="N144">
        <f>IMDIV("1",IMSUM(E144,IMDIV("1",M144)))</f>
        <v>0</v>
      </c>
      <c r="O144">
        <f>IMSUM(F144,N144)</f>
        <v>0</v>
      </c>
      <c r="P144">
        <f>IMDIV("1",IMSUM(G144,IMDIV("1",O144)))</f>
        <v>0</v>
      </c>
      <c r="Q144">
        <f>IMSUM(H144,P144)</f>
        <v>0</v>
      </c>
      <c r="R144">
        <f>IMDIV("1",IMSUM(I144,IMDIV("1",Q144)))</f>
        <v>0</v>
      </c>
      <c r="S144">
        <f>IMSUM(J144,R144)</f>
        <v>0</v>
      </c>
      <c r="T144">
        <f>IMDIV("1",IMSUM(K144,IMDIV("1",S144)))</f>
        <v>0</v>
      </c>
      <c r="U144">
        <f>IMSUM(L144,T144)</f>
        <v>0</v>
      </c>
      <c r="V144">
        <f>IMDIV(COMPLEX(I_DM_SOURCE,0),U144)</f>
        <v>0</v>
      </c>
      <c r="W144">
        <f>IMPRODUCT(V144,T144)</f>
        <v>0</v>
      </c>
      <c r="X144">
        <f>IMDIV(W144,S144)</f>
        <v>0</v>
      </c>
      <c r="Y144">
        <f>IMPRODUCT(X144,R144)</f>
        <v>0</v>
      </c>
      <c r="Z144">
        <f>IMDIV(Y144,Q144)</f>
        <v>0</v>
      </c>
      <c r="AA144">
        <f>IMPRODUCT(Z144,P144)</f>
        <v>0</v>
      </c>
      <c r="AB144">
        <f>AA144</f>
        <v>0</v>
      </c>
      <c r="AC144">
        <f>IMPRODUCT("-1",AB144)</f>
        <v>0</v>
      </c>
      <c r="AD144">
        <f>IMDIV(IMSUB(AB144,AC144),"2")</f>
        <v>0</v>
      </c>
      <c r="AE144" s="6">
        <f>IMABS(AB144)</f>
        <v>0</v>
      </c>
      <c r="AF144" s="6">
        <f>IMABS(AC144)</f>
        <v>0</v>
      </c>
      <c r="AG144" s="6">
        <f>IMABS(AD144)</f>
        <v>0</v>
      </c>
      <c r="AH144" s="7">
        <f>20*LOG10(MAX(AE144,1E-300)*1E6)</f>
        <v>0</v>
      </c>
      <c r="AI144" s="7">
        <f>20*LOG10(MAX(AF144,1E-300)*1E6)</f>
        <v>0</v>
      </c>
      <c r="AJ144" s="7">
        <f>20*LOG10(MAX(AG144,1E-300)*1E6)</f>
        <v>0</v>
      </c>
      <c r="AK144" s="7">
        <f>DEGREES(IMARGUMENT(AB144))</f>
        <v>0</v>
      </c>
      <c r="AL144" s="7">
        <f>DEGREES(IMARGUMENT(AC144))</f>
        <v>0</v>
      </c>
      <c r="AM144" s="7">
        <f>DEGREES(IMARGUMENT(AD144))</f>
        <v>0</v>
      </c>
    </row>
    <row r="145" spans="1:39">
      <c r="A145" s="6">
        <f>10^(LOG10(F_START)+(ROW()-ROW($A$2))*(LOG10(F_STOP)-LOG10(F_START))/(N_POINTS-1))</f>
        <v>0</v>
      </c>
      <c r="B145" s="6">
        <f>2*PI()*A145</f>
        <v>0</v>
      </c>
      <c r="C145">
        <f>COMPLEX(2*LINE_PS_DCR,2*B145*LINE_PS_L)</f>
        <v>0</v>
      </c>
      <c r="D145">
        <f>IMSUM(COMPLEX(0,B145*(LINE_PS_CLINE+LINE_PS_CCHA/2)),IMDIV("1",IMPRODUCT("2",COMPLEX(C_THROUGH_ESR,B145*C_THROUGH_ESL-1/(B145*C_THROUGH_C)))))</f>
        <v>0</v>
      </c>
      <c r="E145">
        <f>COMPLEX(2*LINE_INPUT_DCR,2*B145*LINE_INPUT_L)</f>
        <v>0</v>
      </c>
      <c r="F145">
        <f>COMPLEX(0,B145*(LINE_INPUT_CLINE+LINE_INPUT_CCHA/2))</f>
        <v>0</v>
      </c>
      <c r="G145">
        <f>IMPRODUCT("2",IMDIV("1",IMSUM(IMDIV("1",COMPLEX(LDM1_DCR,B145*LDM1_L)),COMPLEX(0,B145*LDM1_CPA))))</f>
        <v>0</v>
      </c>
      <c r="H145">
        <f>IMSUM(IMDIV("1",COMPLEX(CX1_ESR,B145*CX1_ESL-1/(B145*CX1_C))),IMDIV("1",IMSUM(COMPLEX(DUMP1_R,0),COMPLEX(DUMP1_ESR,B145*DUMP1_ESL-1/(B145*DUMP1_C)))))</f>
        <v>0</v>
      </c>
      <c r="I145">
        <f>IMPRODUCT("2",IMDIV("1",IMSUM(IMDIV("1",COMPLEX(LDM2_DCR,B145*LDM2_L)),COMPLEX(0,B145*LDM2_CPA))))</f>
        <v>0</v>
      </c>
      <c r="J145">
        <f>IMSUM(IMDIV("1",COMPLEX(CX2_ESR,B145*CX2_ESL-1/(B145*CX2_C))),IMDIV("1",IMSUM(COMPLEX(DUMP2_R,0),COMPLEX(DUMP2_ESR,B145*DUMP2_ESL-1/(B145*DUMP2_C)))))</f>
        <v>0</v>
      </c>
      <c r="K145">
        <f>IMPRODUCT("2",IMDIV("1",IMSUM(IMDIV("1",COMPLEX(CMC_DCR,B145*CMC_L*(1-CMC_K))),COMPLEX(0,B145*CMC_CPA))))</f>
        <v>0</v>
      </c>
      <c r="L145">
        <f>IMSUM(COMPLEX(0,B145*CMC_CLINE),IMDIV("1",IMPRODUCT("2",COMPLEX(CY_ESR,B145*CY_ESL-1/(B145*CY_C)))),COMPLEX(1/DUMMY_R,0))</f>
        <v>0</v>
      </c>
      <c r="M145">
        <f>IMSUM(D145,IMDIV("1",C145))</f>
        <v>0</v>
      </c>
      <c r="N145">
        <f>IMDIV("1",IMSUM(E145,IMDIV("1",M145)))</f>
        <v>0</v>
      </c>
      <c r="O145">
        <f>IMSUM(F145,N145)</f>
        <v>0</v>
      </c>
      <c r="P145">
        <f>IMDIV("1",IMSUM(G145,IMDIV("1",O145)))</f>
        <v>0</v>
      </c>
      <c r="Q145">
        <f>IMSUM(H145,P145)</f>
        <v>0</v>
      </c>
      <c r="R145">
        <f>IMDIV("1",IMSUM(I145,IMDIV("1",Q145)))</f>
        <v>0</v>
      </c>
      <c r="S145">
        <f>IMSUM(J145,R145)</f>
        <v>0</v>
      </c>
      <c r="T145">
        <f>IMDIV("1",IMSUM(K145,IMDIV("1",S145)))</f>
        <v>0</v>
      </c>
      <c r="U145">
        <f>IMSUM(L145,T145)</f>
        <v>0</v>
      </c>
      <c r="V145">
        <f>IMDIV(COMPLEX(I_DM_SOURCE,0),U145)</f>
        <v>0</v>
      </c>
      <c r="W145">
        <f>IMPRODUCT(V145,T145)</f>
        <v>0</v>
      </c>
      <c r="X145">
        <f>IMDIV(W145,S145)</f>
        <v>0</v>
      </c>
      <c r="Y145">
        <f>IMPRODUCT(X145,R145)</f>
        <v>0</v>
      </c>
      <c r="Z145">
        <f>IMDIV(Y145,Q145)</f>
        <v>0</v>
      </c>
      <c r="AA145">
        <f>IMPRODUCT(Z145,P145)</f>
        <v>0</v>
      </c>
      <c r="AB145">
        <f>AA145</f>
        <v>0</v>
      </c>
      <c r="AC145">
        <f>IMPRODUCT("-1",AB145)</f>
        <v>0</v>
      </c>
      <c r="AD145">
        <f>IMDIV(IMSUB(AB145,AC145),"2")</f>
        <v>0</v>
      </c>
      <c r="AE145" s="6">
        <f>IMABS(AB145)</f>
        <v>0</v>
      </c>
      <c r="AF145" s="6">
        <f>IMABS(AC145)</f>
        <v>0</v>
      </c>
      <c r="AG145" s="6">
        <f>IMABS(AD145)</f>
        <v>0</v>
      </c>
      <c r="AH145" s="7">
        <f>20*LOG10(MAX(AE145,1E-300)*1E6)</f>
        <v>0</v>
      </c>
      <c r="AI145" s="7">
        <f>20*LOG10(MAX(AF145,1E-300)*1E6)</f>
        <v>0</v>
      </c>
      <c r="AJ145" s="7">
        <f>20*LOG10(MAX(AG145,1E-300)*1E6)</f>
        <v>0</v>
      </c>
      <c r="AK145" s="7">
        <f>DEGREES(IMARGUMENT(AB145))</f>
        <v>0</v>
      </c>
      <c r="AL145" s="7">
        <f>DEGREES(IMARGUMENT(AC145))</f>
        <v>0</v>
      </c>
      <c r="AM145" s="7">
        <f>DEGREES(IMARGUMENT(AD145))</f>
        <v>0</v>
      </c>
    </row>
    <row r="146" spans="1:39">
      <c r="A146" s="6">
        <f>10^(LOG10(F_START)+(ROW()-ROW($A$2))*(LOG10(F_STOP)-LOG10(F_START))/(N_POINTS-1))</f>
        <v>0</v>
      </c>
      <c r="B146" s="6">
        <f>2*PI()*A146</f>
        <v>0</v>
      </c>
      <c r="C146">
        <f>COMPLEX(2*LINE_PS_DCR,2*B146*LINE_PS_L)</f>
        <v>0</v>
      </c>
      <c r="D146">
        <f>IMSUM(COMPLEX(0,B146*(LINE_PS_CLINE+LINE_PS_CCHA/2)),IMDIV("1",IMPRODUCT("2",COMPLEX(C_THROUGH_ESR,B146*C_THROUGH_ESL-1/(B146*C_THROUGH_C)))))</f>
        <v>0</v>
      </c>
      <c r="E146">
        <f>COMPLEX(2*LINE_INPUT_DCR,2*B146*LINE_INPUT_L)</f>
        <v>0</v>
      </c>
      <c r="F146">
        <f>COMPLEX(0,B146*(LINE_INPUT_CLINE+LINE_INPUT_CCHA/2))</f>
        <v>0</v>
      </c>
      <c r="G146">
        <f>IMPRODUCT("2",IMDIV("1",IMSUM(IMDIV("1",COMPLEX(LDM1_DCR,B146*LDM1_L)),COMPLEX(0,B146*LDM1_CPA))))</f>
        <v>0</v>
      </c>
      <c r="H146">
        <f>IMSUM(IMDIV("1",COMPLEX(CX1_ESR,B146*CX1_ESL-1/(B146*CX1_C))),IMDIV("1",IMSUM(COMPLEX(DUMP1_R,0),COMPLEX(DUMP1_ESR,B146*DUMP1_ESL-1/(B146*DUMP1_C)))))</f>
        <v>0</v>
      </c>
      <c r="I146">
        <f>IMPRODUCT("2",IMDIV("1",IMSUM(IMDIV("1",COMPLEX(LDM2_DCR,B146*LDM2_L)),COMPLEX(0,B146*LDM2_CPA))))</f>
        <v>0</v>
      </c>
      <c r="J146">
        <f>IMSUM(IMDIV("1",COMPLEX(CX2_ESR,B146*CX2_ESL-1/(B146*CX2_C))),IMDIV("1",IMSUM(COMPLEX(DUMP2_R,0),COMPLEX(DUMP2_ESR,B146*DUMP2_ESL-1/(B146*DUMP2_C)))))</f>
        <v>0</v>
      </c>
      <c r="K146">
        <f>IMPRODUCT("2",IMDIV("1",IMSUM(IMDIV("1",COMPLEX(CMC_DCR,B146*CMC_L*(1-CMC_K))),COMPLEX(0,B146*CMC_CPA))))</f>
        <v>0</v>
      </c>
      <c r="L146">
        <f>IMSUM(COMPLEX(0,B146*CMC_CLINE),IMDIV("1",IMPRODUCT("2",COMPLEX(CY_ESR,B146*CY_ESL-1/(B146*CY_C)))),COMPLEX(1/DUMMY_R,0))</f>
        <v>0</v>
      </c>
      <c r="M146">
        <f>IMSUM(D146,IMDIV("1",C146))</f>
        <v>0</v>
      </c>
      <c r="N146">
        <f>IMDIV("1",IMSUM(E146,IMDIV("1",M146)))</f>
        <v>0</v>
      </c>
      <c r="O146">
        <f>IMSUM(F146,N146)</f>
        <v>0</v>
      </c>
      <c r="P146">
        <f>IMDIV("1",IMSUM(G146,IMDIV("1",O146)))</f>
        <v>0</v>
      </c>
      <c r="Q146">
        <f>IMSUM(H146,P146)</f>
        <v>0</v>
      </c>
      <c r="R146">
        <f>IMDIV("1",IMSUM(I146,IMDIV("1",Q146)))</f>
        <v>0</v>
      </c>
      <c r="S146">
        <f>IMSUM(J146,R146)</f>
        <v>0</v>
      </c>
      <c r="T146">
        <f>IMDIV("1",IMSUM(K146,IMDIV("1",S146)))</f>
        <v>0</v>
      </c>
      <c r="U146">
        <f>IMSUM(L146,T146)</f>
        <v>0</v>
      </c>
      <c r="V146">
        <f>IMDIV(COMPLEX(I_DM_SOURCE,0),U146)</f>
        <v>0</v>
      </c>
      <c r="W146">
        <f>IMPRODUCT(V146,T146)</f>
        <v>0</v>
      </c>
      <c r="X146">
        <f>IMDIV(W146,S146)</f>
        <v>0</v>
      </c>
      <c r="Y146">
        <f>IMPRODUCT(X146,R146)</f>
        <v>0</v>
      </c>
      <c r="Z146">
        <f>IMDIV(Y146,Q146)</f>
        <v>0</v>
      </c>
      <c r="AA146">
        <f>IMPRODUCT(Z146,P146)</f>
        <v>0</v>
      </c>
      <c r="AB146">
        <f>AA146</f>
        <v>0</v>
      </c>
      <c r="AC146">
        <f>IMPRODUCT("-1",AB146)</f>
        <v>0</v>
      </c>
      <c r="AD146">
        <f>IMDIV(IMSUB(AB146,AC146),"2")</f>
        <v>0</v>
      </c>
      <c r="AE146" s="6">
        <f>IMABS(AB146)</f>
        <v>0</v>
      </c>
      <c r="AF146" s="6">
        <f>IMABS(AC146)</f>
        <v>0</v>
      </c>
      <c r="AG146" s="6">
        <f>IMABS(AD146)</f>
        <v>0</v>
      </c>
      <c r="AH146" s="7">
        <f>20*LOG10(MAX(AE146,1E-300)*1E6)</f>
        <v>0</v>
      </c>
      <c r="AI146" s="7">
        <f>20*LOG10(MAX(AF146,1E-300)*1E6)</f>
        <v>0</v>
      </c>
      <c r="AJ146" s="7">
        <f>20*LOG10(MAX(AG146,1E-300)*1E6)</f>
        <v>0</v>
      </c>
      <c r="AK146" s="7">
        <f>DEGREES(IMARGUMENT(AB146))</f>
        <v>0</v>
      </c>
      <c r="AL146" s="7">
        <f>DEGREES(IMARGUMENT(AC146))</f>
        <v>0</v>
      </c>
      <c r="AM146" s="7">
        <f>DEGREES(IMARGUMENT(AD146))</f>
        <v>0</v>
      </c>
    </row>
    <row r="147" spans="1:39">
      <c r="A147" s="6">
        <f>10^(LOG10(F_START)+(ROW()-ROW($A$2))*(LOG10(F_STOP)-LOG10(F_START))/(N_POINTS-1))</f>
        <v>0</v>
      </c>
      <c r="B147" s="6">
        <f>2*PI()*A147</f>
        <v>0</v>
      </c>
      <c r="C147">
        <f>COMPLEX(2*LINE_PS_DCR,2*B147*LINE_PS_L)</f>
        <v>0</v>
      </c>
      <c r="D147">
        <f>IMSUM(COMPLEX(0,B147*(LINE_PS_CLINE+LINE_PS_CCHA/2)),IMDIV("1",IMPRODUCT("2",COMPLEX(C_THROUGH_ESR,B147*C_THROUGH_ESL-1/(B147*C_THROUGH_C)))))</f>
        <v>0</v>
      </c>
      <c r="E147">
        <f>COMPLEX(2*LINE_INPUT_DCR,2*B147*LINE_INPUT_L)</f>
        <v>0</v>
      </c>
      <c r="F147">
        <f>COMPLEX(0,B147*(LINE_INPUT_CLINE+LINE_INPUT_CCHA/2))</f>
        <v>0</v>
      </c>
      <c r="G147">
        <f>IMPRODUCT("2",IMDIV("1",IMSUM(IMDIV("1",COMPLEX(LDM1_DCR,B147*LDM1_L)),COMPLEX(0,B147*LDM1_CPA))))</f>
        <v>0</v>
      </c>
      <c r="H147">
        <f>IMSUM(IMDIV("1",COMPLEX(CX1_ESR,B147*CX1_ESL-1/(B147*CX1_C))),IMDIV("1",IMSUM(COMPLEX(DUMP1_R,0),COMPLEX(DUMP1_ESR,B147*DUMP1_ESL-1/(B147*DUMP1_C)))))</f>
        <v>0</v>
      </c>
      <c r="I147">
        <f>IMPRODUCT("2",IMDIV("1",IMSUM(IMDIV("1",COMPLEX(LDM2_DCR,B147*LDM2_L)),COMPLEX(0,B147*LDM2_CPA))))</f>
        <v>0</v>
      </c>
      <c r="J147">
        <f>IMSUM(IMDIV("1",COMPLEX(CX2_ESR,B147*CX2_ESL-1/(B147*CX2_C))),IMDIV("1",IMSUM(COMPLEX(DUMP2_R,0),COMPLEX(DUMP2_ESR,B147*DUMP2_ESL-1/(B147*DUMP2_C)))))</f>
        <v>0</v>
      </c>
      <c r="K147">
        <f>IMPRODUCT("2",IMDIV("1",IMSUM(IMDIV("1",COMPLEX(CMC_DCR,B147*CMC_L*(1-CMC_K))),COMPLEX(0,B147*CMC_CPA))))</f>
        <v>0</v>
      </c>
      <c r="L147">
        <f>IMSUM(COMPLEX(0,B147*CMC_CLINE),IMDIV("1",IMPRODUCT("2",COMPLEX(CY_ESR,B147*CY_ESL-1/(B147*CY_C)))),COMPLEX(1/DUMMY_R,0))</f>
        <v>0</v>
      </c>
      <c r="M147">
        <f>IMSUM(D147,IMDIV("1",C147))</f>
        <v>0</v>
      </c>
      <c r="N147">
        <f>IMDIV("1",IMSUM(E147,IMDIV("1",M147)))</f>
        <v>0</v>
      </c>
      <c r="O147">
        <f>IMSUM(F147,N147)</f>
        <v>0</v>
      </c>
      <c r="P147">
        <f>IMDIV("1",IMSUM(G147,IMDIV("1",O147)))</f>
        <v>0</v>
      </c>
      <c r="Q147">
        <f>IMSUM(H147,P147)</f>
        <v>0</v>
      </c>
      <c r="R147">
        <f>IMDIV("1",IMSUM(I147,IMDIV("1",Q147)))</f>
        <v>0</v>
      </c>
      <c r="S147">
        <f>IMSUM(J147,R147)</f>
        <v>0</v>
      </c>
      <c r="T147">
        <f>IMDIV("1",IMSUM(K147,IMDIV("1",S147)))</f>
        <v>0</v>
      </c>
      <c r="U147">
        <f>IMSUM(L147,T147)</f>
        <v>0</v>
      </c>
      <c r="V147">
        <f>IMDIV(COMPLEX(I_DM_SOURCE,0),U147)</f>
        <v>0</v>
      </c>
      <c r="W147">
        <f>IMPRODUCT(V147,T147)</f>
        <v>0</v>
      </c>
      <c r="X147">
        <f>IMDIV(W147,S147)</f>
        <v>0</v>
      </c>
      <c r="Y147">
        <f>IMPRODUCT(X147,R147)</f>
        <v>0</v>
      </c>
      <c r="Z147">
        <f>IMDIV(Y147,Q147)</f>
        <v>0</v>
      </c>
      <c r="AA147">
        <f>IMPRODUCT(Z147,P147)</f>
        <v>0</v>
      </c>
      <c r="AB147">
        <f>AA147</f>
        <v>0</v>
      </c>
      <c r="AC147">
        <f>IMPRODUCT("-1",AB147)</f>
        <v>0</v>
      </c>
      <c r="AD147">
        <f>IMDIV(IMSUB(AB147,AC147),"2")</f>
        <v>0</v>
      </c>
      <c r="AE147" s="6">
        <f>IMABS(AB147)</f>
        <v>0</v>
      </c>
      <c r="AF147" s="6">
        <f>IMABS(AC147)</f>
        <v>0</v>
      </c>
      <c r="AG147" s="6">
        <f>IMABS(AD147)</f>
        <v>0</v>
      </c>
      <c r="AH147" s="7">
        <f>20*LOG10(MAX(AE147,1E-300)*1E6)</f>
        <v>0</v>
      </c>
      <c r="AI147" s="7">
        <f>20*LOG10(MAX(AF147,1E-300)*1E6)</f>
        <v>0</v>
      </c>
      <c r="AJ147" s="7">
        <f>20*LOG10(MAX(AG147,1E-300)*1E6)</f>
        <v>0</v>
      </c>
      <c r="AK147" s="7">
        <f>DEGREES(IMARGUMENT(AB147))</f>
        <v>0</v>
      </c>
      <c r="AL147" s="7">
        <f>DEGREES(IMARGUMENT(AC147))</f>
        <v>0</v>
      </c>
      <c r="AM147" s="7">
        <f>DEGREES(IMARGUMENT(AD147))</f>
        <v>0</v>
      </c>
    </row>
    <row r="148" spans="1:39">
      <c r="A148" s="6">
        <f>10^(LOG10(F_START)+(ROW()-ROW($A$2))*(LOG10(F_STOP)-LOG10(F_START))/(N_POINTS-1))</f>
        <v>0</v>
      </c>
      <c r="B148" s="6">
        <f>2*PI()*A148</f>
        <v>0</v>
      </c>
      <c r="C148">
        <f>COMPLEX(2*LINE_PS_DCR,2*B148*LINE_PS_L)</f>
        <v>0</v>
      </c>
      <c r="D148">
        <f>IMSUM(COMPLEX(0,B148*(LINE_PS_CLINE+LINE_PS_CCHA/2)),IMDIV("1",IMPRODUCT("2",COMPLEX(C_THROUGH_ESR,B148*C_THROUGH_ESL-1/(B148*C_THROUGH_C)))))</f>
        <v>0</v>
      </c>
      <c r="E148">
        <f>COMPLEX(2*LINE_INPUT_DCR,2*B148*LINE_INPUT_L)</f>
        <v>0</v>
      </c>
      <c r="F148">
        <f>COMPLEX(0,B148*(LINE_INPUT_CLINE+LINE_INPUT_CCHA/2))</f>
        <v>0</v>
      </c>
      <c r="G148">
        <f>IMPRODUCT("2",IMDIV("1",IMSUM(IMDIV("1",COMPLEX(LDM1_DCR,B148*LDM1_L)),COMPLEX(0,B148*LDM1_CPA))))</f>
        <v>0</v>
      </c>
      <c r="H148">
        <f>IMSUM(IMDIV("1",COMPLEX(CX1_ESR,B148*CX1_ESL-1/(B148*CX1_C))),IMDIV("1",IMSUM(COMPLEX(DUMP1_R,0),COMPLEX(DUMP1_ESR,B148*DUMP1_ESL-1/(B148*DUMP1_C)))))</f>
        <v>0</v>
      </c>
      <c r="I148">
        <f>IMPRODUCT("2",IMDIV("1",IMSUM(IMDIV("1",COMPLEX(LDM2_DCR,B148*LDM2_L)),COMPLEX(0,B148*LDM2_CPA))))</f>
        <v>0</v>
      </c>
      <c r="J148">
        <f>IMSUM(IMDIV("1",COMPLEX(CX2_ESR,B148*CX2_ESL-1/(B148*CX2_C))),IMDIV("1",IMSUM(COMPLEX(DUMP2_R,0),COMPLEX(DUMP2_ESR,B148*DUMP2_ESL-1/(B148*DUMP2_C)))))</f>
        <v>0</v>
      </c>
      <c r="K148">
        <f>IMPRODUCT("2",IMDIV("1",IMSUM(IMDIV("1",COMPLEX(CMC_DCR,B148*CMC_L*(1-CMC_K))),COMPLEX(0,B148*CMC_CPA))))</f>
        <v>0</v>
      </c>
      <c r="L148">
        <f>IMSUM(COMPLEX(0,B148*CMC_CLINE),IMDIV("1",IMPRODUCT("2",COMPLEX(CY_ESR,B148*CY_ESL-1/(B148*CY_C)))),COMPLEX(1/DUMMY_R,0))</f>
        <v>0</v>
      </c>
      <c r="M148">
        <f>IMSUM(D148,IMDIV("1",C148))</f>
        <v>0</v>
      </c>
      <c r="N148">
        <f>IMDIV("1",IMSUM(E148,IMDIV("1",M148)))</f>
        <v>0</v>
      </c>
      <c r="O148">
        <f>IMSUM(F148,N148)</f>
        <v>0</v>
      </c>
      <c r="P148">
        <f>IMDIV("1",IMSUM(G148,IMDIV("1",O148)))</f>
        <v>0</v>
      </c>
      <c r="Q148">
        <f>IMSUM(H148,P148)</f>
        <v>0</v>
      </c>
      <c r="R148">
        <f>IMDIV("1",IMSUM(I148,IMDIV("1",Q148)))</f>
        <v>0</v>
      </c>
      <c r="S148">
        <f>IMSUM(J148,R148)</f>
        <v>0</v>
      </c>
      <c r="T148">
        <f>IMDIV("1",IMSUM(K148,IMDIV("1",S148)))</f>
        <v>0</v>
      </c>
      <c r="U148">
        <f>IMSUM(L148,T148)</f>
        <v>0</v>
      </c>
      <c r="V148">
        <f>IMDIV(COMPLEX(I_DM_SOURCE,0),U148)</f>
        <v>0</v>
      </c>
      <c r="W148">
        <f>IMPRODUCT(V148,T148)</f>
        <v>0</v>
      </c>
      <c r="X148">
        <f>IMDIV(W148,S148)</f>
        <v>0</v>
      </c>
      <c r="Y148">
        <f>IMPRODUCT(X148,R148)</f>
        <v>0</v>
      </c>
      <c r="Z148">
        <f>IMDIV(Y148,Q148)</f>
        <v>0</v>
      </c>
      <c r="AA148">
        <f>IMPRODUCT(Z148,P148)</f>
        <v>0</v>
      </c>
      <c r="AB148">
        <f>AA148</f>
        <v>0</v>
      </c>
      <c r="AC148">
        <f>IMPRODUCT("-1",AB148)</f>
        <v>0</v>
      </c>
      <c r="AD148">
        <f>IMDIV(IMSUB(AB148,AC148),"2")</f>
        <v>0</v>
      </c>
      <c r="AE148" s="6">
        <f>IMABS(AB148)</f>
        <v>0</v>
      </c>
      <c r="AF148" s="6">
        <f>IMABS(AC148)</f>
        <v>0</v>
      </c>
      <c r="AG148" s="6">
        <f>IMABS(AD148)</f>
        <v>0</v>
      </c>
      <c r="AH148" s="7">
        <f>20*LOG10(MAX(AE148,1E-300)*1E6)</f>
        <v>0</v>
      </c>
      <c r="AI148" s="7">
        <f>20*LOG10(MAX(AF148,1E-300)*1E6)</f>
        <v>0</v>
      </c>
      <c r="AJ148" s="7">
        <f>20*LOG10(MAX(AG148,1E-300)*1E6)</f>
        <v>0</v>
      </c>
      <c r="AK148" s="7">
        <f>DEGREES(IMARGUMENT(AB148))</f>
        <v>0</v>
      </c>
      <c r="AL148" s="7">
        <f>DEGREES(IMARGUMENT(AC148))</f>
        <v>0</v>
      </c>
      <c r="AM148" s="7">
        <f>DEGREES(IMARGUMENT(AD148))</f>
        <v>0</v>
      </c>
    </row>
    <row r="149" spans="1:39">
      <c r="A149" s="6">
        <f>10^(LOG10(F_START)+(ROW()-ROW($A$2))*(LOG10(F_STOP)-LOG10(F_START))/(N_POINTS-1))</f>
        <v>0</v>
      </c>
      <c r="B149" s="6">
        <f>2*PI()*A149</f>
        <v>0</v>
      </c>
      <c r="C149">
        <f>COMPLEX(2*LINE_PS_DCR,2*B149*LINE_PS_L)</f>
        <v>0</v>
      </c>
      <c r="D149">
        <f>IMSUM(COMPLEX(0,B149*(LINE_PS_CLINE+LINE_PS_CCHA/2)),IMDIV("1",IMPRODUCT("2",COMPLEX(C_THROUGH_ESR,B149*C_THROUGH_ESL-1/(B149*C_THROUGH_C)))))</f>
        <v>0</v>
      </c>
      <c r="E149">
        <f>COMPLEX(2*LINE_INPUT_DCR,2*B149*LINE_INPUT_L)</f>
        <v>0</v>
      </c>
      <c r="F149">
        <f>COMPLEX(0,B149*(LINE_INPUT_CLINE+LINE_INPUT_CCHA/2))</f>
        <v>0</v>
      </c>
      <c r="G149">
        <f>IMPRODUCT("2",IMDIV("1",IMSUM(IMDIV("1",COMPLEX(LDM1_DCR,B149*LDM1_L)),COMPLEX(0,B149*LDM1_CPA))))</f>
        <v>0</v>
      </c>
      <c r="H149">
        <f>IMSUM(IMDIV("1",COMPLEX(CX1_ESR,B149*CX1_ESL-1/(B149*CX1_C))),IMDIV("1",IMSUM(COMPLEX(DUMP1_R,0),COMPLEX(DUMP1_ESR,B149*DUMP1_ESL-1/(B149*DUMP1_C)))))</f>
        <v>0</v>
      </c>
      <c r="I149">
        <f>IMPRODUCT("2",IMDIV("1",IMSUM(IMDIV("1",COMPLEX(LDM2_DCR,B149*LDM2_L)),COMPLEX(0,B149*LDM2_CPA))))</f>
        <v>0</v>
      </c>
      <c r="J149">
        <f>IMSUM(IMDIV("1",COMPLEX(CX2_ESR,B149*CX2_ESL-1/(B149*CX2_C))),IMDIV("1",IMSUM(COMPLEX(DUMP2_R,0),COMPLEX(DUMP2_ESR,B149*DUMP2_ESL-1/(B149*DUMP2_C)))))</f>
        <v>0</v>
      </c>
      <c r="K149">
        <f>IMPRODUCT("2",IMDIV("1",IMSUM(IMDIV("1",COMPLEX(CMC_DCR,B149*CMC_L*(1-CMC_K))),COMPLEX(0,B149*CMC_CPA))))</f>
        <v>0</v>
      </c>
      <c r="L149">
        <f>IMSUM(COMPLEX(0,B149*CMC_CLINE),IMDIV("1",IMPRODUCT("2",COMPLEX(CY_ESR,B149*CY_ESL-1/(B149*CY_C)))),COMPLEX(1/DUMMY_R,0))</f>
        <v>0</v>
      </c>
      <c r="M149">
        <f>IMSUM(D149,IMDIV("1",C149))</f>
        <v>0</v>
      </c>
      <c r="N149">
        <f>IMDIV("1",IMSUM(E149,IMDIV("1",M149)))</f>
        <v>0</v>
      </c>
      <c r="O149">
        <f>IMSUM(F149,N149)</f>
        <v>0</v>
      </c>
      <c r="P149">
        <f>IMDIV("1",IMSUM(G149,IMDIV("1",O149)))</f>
        <v>0</v>
      </c>
      <c r="Q149">
        <f>IMSUM(H149,P149)</f>
        <v>0</v>
      </c>
      <c r="R149">
        <f>IMDIV("1",IMSUM(I149,IMDIV("1",Q149)))</f>
        <v>0</v>
      </c>
      <c r="S149">
        <f>IMSUM(J149,R149)</f>
        <v>0</v>
      </c>
      <c r="T149">
        <f>IMDIV("1",IMSUM(K149,IMDIV("1",S149)))</f>
        <v>0</v>
      </c>
      <c r="U149">
        <f>IMSUM(L149,T149)</f>
        <v>0</v>
      </c>
      <c r="V149">
        <f>IMDIV(COMPLEX(I_DM_SOURCE,0),U149)</f>
        <v>0</v>
      </c>
      <c r="W149">
        <f>IMPRODUCT(V149,T149)</f>
        <v>0</v>
      </c>
      <c r="X149">
        <f>IMDIV(W149,S149)</f>
        <v>0</v>
      </c>
      <c r="Y149">
        <f>IMPRODUCT(X149,R149)</f>
        <v>0</v>
      </c>
      <c r="Z149">
        <f>IMDIV(Y149,Q149)</f>
        <v>0</v>
      </c>
      <c r="AA149">
        <f>IMPRODUCT(Z149,P149)</f>
        <v>0</v>
      </c>
      <c r="AB149">
        <f>AA149</f>
        <v>0</v>
      </c>
      <c r="AC149">
        <f>IMPRODUCT("-1",AB149)</f>
        <v>0</v>
      </c>
      <c r="AD149">
        <f>IMDIV(IMSUB(AB149,AC149),"2")</f>
        <v>0</v>
      </c>
      <c r="AE149" s="6">
        <f>IMABS(AB149)</f>
        <v>0</v>
      </c>
      <c r="AF149" s="6">
        <f>IMABS(AC149)</f>
        <v>0</v>
      </c>
      <c r="AG149" s="6">
        <f>IMABS(AD149)</f>
        <v>0</v>
      </c>
      <c r="AH149" s="7">
        <f>20*LOG10(MAX(AE149,1E-300)*1E6)</f>
        <v>0</v>
      </c>
      <c r="AI149" s="7">
        <f>20*LOG10(MAX(AF149,1E-300)*1E6)</f>
        <v>0</v>
      </c>
      <c r="AJ149" s="7">
        <f>20*LOG10(MAX(AG149,1E-300)*1E6)</f>
        <v>0</v>
      </c>
      <c r="AK149" s="7">
        <f>DEGREES(IMARGUMENT(AB149))</f>
        <v>0</v>
      </c>
      <c r="AL149" s="7">
        <f>DEGREES(IMARGUMENT(AC149))</f>
        <v>0</v>
      </c>
      <c r="AM149" s="7">
        <f>DEGREES(IMARGUMENT(AD149))</f>
        <v>0</v>
      </c>
    </row>
    <row r="150" spans="1:39">
      <c r="A150" s="6">
        <f>10^(LOG10(F_START)+(ROW()-ROW($A$2))*(LOG10(F_STOP)-LOG10(F_START))/(N_POINTS-1))</f>
        <v>0</v>
      </c>
      <c r="B150" s="6">
        <f>2*PI()*A150</f>
        <v>0</v>
      </c>
      <c r="C150">
        <f>COMPLEX(2*LINE_PS_DCR,2*B150*LINE_PS_L)</f>
        <v>0</v>
      </c>
      <c r="D150">
        <f>IMSUM(COMPLEX(0,B150*(LINE_PS_CLINE+LINE_PS_CCHA/2)),IMDIV("1",IMPRODUCT("2",COMPLEX(C_THROUGH_ESR,B150*C_THROUGH_ESL-1/(B150*C_THROUGH_C)))))</f>
        <v>0</v>
      </c>
      <c r="E150">
        <f>COMPLEX(2*LINE_INPUT_DCR,2*B150*LINE_INPUT_L)</f>
        <v>0</v>
      </c>
      <c r="F150">
        <f>COMPLEX(0,B150*(LINE_INPUT_CLINE+LINE_INPUT_CCHA/2))</f>
        <v>0</v>
      </c>
      <c r="G150">
        <f>IMPRODUCT("2",IMDIV("1",IMSUM(IMDIV("1",COMPLEX(LDM1_DCR,B150*LDM1_L)),COMPLEX(0,B150*LDM1_CPA))))</f>
        <v>0</v>
      </c>
      <c r="H150">
        <f>IMSUM(IMDIV("1",COMPLEX(CX1_ESR,B150*CX1_ESL-1/(B150*CX1_C))),IMDIV("1",IMSUM(COMPLEX(DUMP1_R,0),COMPLEX(DUMP1_ESR,B150*DUMP1_ESL-1/(B150*DUMP1_C)))))</f>
        <v>0</v>
      </c>
      <c r="I150">
        <f>IMPRODUCT("2",IMDIV("1",IMSUM(IMDIV("1",COMPLEX(LDM2_DCR,B150*LDM2_L)),COMPLEX(0,B150*LDM2_CPA))))</f>
        <v>0</v>
      </c>
      <c r="J150">
        <f>IMSUM(IMDIV("1",COMPLEX(CX2_ESR,B150*CX2_ESL-1/(B150*CX2_C))),IMDIV("1",IMSUM(COMPLEX(DUMP2_R,0),COMPLEX(DUMP2_ESR,B150*DUMP2_ESL-1/(B150*DUMP2_C)))))</f>
        <v>0</v>
      </c>
      <c r="K150">
        <f>IMPRODUCT("2",IMDIV("1",IMSUM(IMDIV("1",COMPLEX(CMC_DCR,B150*CMC_L*(1-CMC_K))),COMPLEX(0,B150*CMC_CPA))))</f>
        <v>0</v>
      </c>
      <c r="L150">
        <f>IMSUM(COMPLEX(0,B150*CMC_CLINE),IMDIV("1",IMPRODUCT("2",COMPLEX(CY_ESR,B150*CY_ESL-1/(B150*CY_C)))),COMPLEX(1/DUMMY_R,0))</f>
        <v>0</v>
      </c>
      <c r="M150">
        <f>IMSUM(D150,IMDIV("1",C150))</f>
        <v>0</v>
      </c>
      <c r="N150">
        <f>IMDIV("1",IMSUM(E150,IMDIV("1",M150)))</f>
        <v>0</v>
      </c>
      <c r="O150">
        <f>IMSUM(F150,N150)</f>
        <v>0</v>
      </c>
      <c r="P150">
        <f>IMDIV("1",IMSUM(G150,IMDIV("1",O150)))</f>
        <v>0</v>
      </c>
      <c r="Q150">
        <f>IMSUM(H150,P150)</f>
        <v>0</v>
      </c>
      <c r="R150">
        <f>IMDIV("1",IMSUM(I150,IMDIV("1",Q150)))</f>
        <v>0</v>
      </c>
      <c r="S150">
        <f>IMSUM(J150,R150)</f>
        <v>0</v>
      </c>
      <c r="T150">
        <f>IMDIV("1",IMSUM(K150,IMDIV("1",S150)))</f>
        <v>0</v>
      </c>
      <c r="U150">
        <f>IMSUM(L150,T150)</f>
        <v>0</v>
      </c>
      <c r="V150">
        <f>IMDIV(COMPLEX(I_DM_SOURCE,0),U150)</f>
        <v>0</v>
      </c>
      <c r="W150">
        <f>IMPRODUCT(V150,T150)</f>
        <v>0</v>
      </c>
      <c r="X150">
        <f>IMDIV(W150,S150)</f>
        <v>0</v>
      </c>
      <c r="Y150">
        <f>IMPRODUCT(X150,R150)</f>
        <v>0</v>
      </c>
      <c r="Z150">
        <f>IMDIV(Y150,Q150)</f>
        <v>0</v>
      </c>
      <c r="AA150">
        <f>IMPRODUCT(Z150,P150)</f>
        <v>0</v>
      </c>
      <c r="AB150">
        <f>AA150</f>
        <v>0</v>
      </c>
      <c r="AC150">
        <f>IMPRODUCT("-1",AB150)</f>
        <v>0</v>
      </c>
      <c r="AD150">
        <f>IMDIV(IMSUB(AB150,AC150),"2")</f>
        <v>0</v>
      </c>
      <c r="AE150" s="6">
        <f>IMABS(AB150)</f>
        <v>0</v>
      </c>
      <c r="AF150" s="6">
        <f>IMABS(AC150)</f>
        <v>0</v>
      </c>
      <c r="AG150" s="6">
        <f>IMABS(AD150)</f>
        <v>0</v>
      </c>
      <c r="AH150" s="7">
        <f>20*LOG10(MAX(AE150,1E-300)*1E6)</f>
        <v>0</v>
      </c>
      <c r="AI150" s="7">
        <f>20*LOG10(MAX(AF150,1E-300)*1E6)</f>
        <v>0</v>
      </c>
      <c r="AJ150" s="7">
        <f>20*LOG10(MAX(AG150,1E-300)*1E6)</f>
        <v>0</v>
      </c>
      <c r="AK150" s="7">
        <f>DEGREES(IMARGUMENT(AB150))</f>
        <v>0</v>
      </c>
      <c r="AL150" s="7">
        <f>DEGREES(IMARGUMENT(AC150))</f>
        <v>0</v>
      </c>
      <c r="AM150" s="7">
        <f>DEGREES(IMARGUMENT(AD150))</f>
        <v>0</v>
      </c>
    </row>
    <row r="151" spans="1:39">
      <c r="A151" s="6">
        <f>10^(LOG10(F_START)+(ROW()-ROW($A$2))*(LOG10(F_STOP)-LOG10(F_START))/(N_POINTS-1))</f>
        <v>0</v>
      </c>
      <c r="B151" s="6">
        <f>2*PI()*A151</f>
        <v>0</v>
      </c>
      <c r="C151">
        <f>COMPLEX(2*LINE_PS_DCR,2*B151*LINE_PS_L)</f>
        <v>0</v>
      </c>
      <c r="D151">
        <f>IMSUM(COMPLEX(0,B151*(LINE_PS_CLINE+LINE_PS_CCHA/2)),IMDIV("1",IMPRODUCT("2",COMPLEX(C_THROUGH_ESR,B151*C_THROUGH_ESL-1/(B151*C_THROUGH_C)))))</f>
        <v>0</v>
      </c>
      <c r="E151">
        <f>COMPLEX(2*LINE_INPUT_DCR,2*B151*LINE_INPUT_L)</f>
        <v>0</v>
      </c>
      <c r="F151">
        <f>COMPLEX(0,B151*(LINE_INPUT_CLINE+LINE_INPUT_CCHA/2))</f>
        <v>0</v>
      </c>
      <c r="G151">
        <f>IMPRODUCT("2",IMDIV("1",IMSUM(IMDIV("1",COMPLEX(LDM1_DCR,B151*LDM1_L)),COMPLEX(0,B151*LDM1_CPA))))</f>
        <v>0</v>
      </c>
      <c r="H151">
        <f>IMSUM(IMDIV("1",COMPLEX(CX1_ESR,B151*CX1_ESL-1/(B151*CX1_C))),IMDIV("1",IMSUM(COMPLEX(DUMP1_R,0),COMPLEX(DUMP1_ESR,B151*DUMP1_ESL-1/(B151*DUMP1_C)))))</f>
        <v>0</v>
      </c>
      <c r="I151">
        <f>IMPRODUCT("2",IMDIV("1",IMSUM(IMDIV("1",COMPLEX(LDM2_DCR,B151*LDM2_L)),COMPLEX(0,B151*LDM2_CPA))))</f>
        <v>0</v>
      </c>
      <c r="J151">
        <f>IMSUM(IMDIV("1",COMPLEX(CX2_ESR,B151*CX2_ESL-1/(B151*CX2_C))),IMDIV("1",IMSUM(COMPLEX(DUMP2_R,0),COMPLEX(DUMP2_ESR,B151*DUMP2_ESL-1/(B151*DUMP2_C)))))</f>
        <v>0</v>
      </c>
      <c r="K151">
        <f>IMPRODUCT("2",IMDIV("1",IMSUM(IMDIV("1",COMPLEX(CMC_DCR,B151*CMC_L*(1-CMC_K))),COMPLEX(0,B151*CMC_CPA))))</f>
        <v>0</v>
      </c>
      <c r="L151">
        <f>IMSUM(COMPLEX(0,B151*CMC_CLINE),IMDIV("1",IMPRODUCT("2",COMPLEX(CY_ESR,B151*CY_ESL-1/(B151*CY_C)))),COMPLEX(1/DUMMY_R,0))</f>
        <v>0</v>
      </c>
      <c r="M151">
        <f>IMSUM(D151,IMDIV("1",C151))</f>
        <v>0</v>
      </c>
      <c r="N151">
        <f>IMDIV("1",IMSUM(E151,IMDIV("1",M151)))</f>
        <v>0</v>
      </c>
      <c r="O151">
        <f>IMSUM(F151,N151)</f>
        <v>0</v>
      </c>
      <c r="P151">
        <f>IMDIV("1",IMSUM(G151,IMDIV("1",O151)))</f>
        <v>0</v>
      </c>
      <c r="Q151">
        <f>IMSUM(H151,P151)</f>
        <v>0</v>
      </c>
      <c r="R151">
        <f>IMDIV("1",IMSUM(I151,IMDIV("1",Q151)))</f>
        <v>0</v>
      </c>
      <c r="S151">
        <f>IMSUM(J151,R151)</f>
        <v>0</v>
      </c>
      <c r="T151">
        <f>IMDIV("1",IMSUM(K151,IMDIV("1",S151)))</f>
        <v>0</v>
      </c>
      <c r="U151">
        <f>IMSUM(L151,T151)</f>
        <v>0</v>
      </c>
      <c r="V151">
        <f>IMDIV(COMPLEX(I_DM_SOURCE,0),U151)</f>
        <v>0</v>
      </c>
      <c r="W151">
        <f>IMPRODUCT(V151,T151)</f>
        <v>0</v>
      </c>
      <c r="X151">
        <f>IMDIV(W151,S151)</f>
        <v>0</v>
      </c>
      <c r="Y151">
        <f>IMPRODUCT(X151,R151)</f>
        <v>0</v>
      </c>
      <c r="Z151">
        <f>IMDIV(Y151,Q151)</f>
        <v>0</v>
      </c>
      <c r="AA151">
        <f>IMPRODUCT(Z151,P151)</f>
        <v>0</v>
      </c>
      <c r="AB151">
        <f>AA151</f>
        <v>0</v>
      </c>
      <c r="AC151">
        <f>IMPRODUCT("-1",AB151)</f>
        <v>0</v>
      </c>
      <c r="AD151">
        <f>IMDIV(IMSUB(AB151,AC151),"2")</f>
        <v>0</v>
      </c>
      <c r="AE151" s="6">
        <f>IMABS(AB151)</f>
        <v>0</v>
      </c>
      <c r="AF151" s="6">
        <f>IMABS(AC151)</f>
        <v>0</v>
      </c>
      <c r="AG151" s="6">
        <f>IMABS(AD151)</f>
        <v>0</v>
      </c>
      <c r="AH151" s="7">
        <f>20*LOG10(MAX(AE151,1E-300)*1E6)</f>
        <v>0</v>
      </c>
      <c r="AI151" s="7">
        <f>20*LOG10(MAX(AF151,1E-300)*1E6)</f>
        <v>0</v>
      </c>
      <c r="AJ151" s="7">
        <f>20*LOG10(MAX(AG151,1E-300)*1E6)</f>
        <v>0</v>
      </c>
      <c r="AK151" s="7">
        <f>DEGREES(IMARGUMENT(AB151))</f>
        <v>0</v>
      </c>
      <c r="AL151" s="7">
        <f>DEGREES(IMARGUMENT(AC151))</f>
        <v>0</v>
      </c>
      <c r="AM151" s="7">
        <f>DEGREES(IMARGUMENT(AD151))</f>
        <v>0</v>
      </c>
    </row>
    <row r="152" spans="1:39">
      <c r="A152" s="6">
        <f>10^(LOG10(F_START)+(ROW()-ROW($A$2))*(LOG10(F_STOP)-LOG10(F_START))/(N_POINTS-1))</f>
        <v>0</v>
      </c>
      <c r="B152" s="6">
        <f>2*PI()*A152</f>
        <v>0</v>
      </c>
      <c r="C152">
        <f>COMPLEX(2*LINE_PS_DCR,2*B152*LINE_PS_L)</f>
        <v>0</v>
      </c>
      <c r="D152">
        <f>IMSUM(COMPLEX(0,B152*(LINE_PS_CLINE+LINE_PS_CCHA/2)),IMDIV("1",IMPRODUCT("2",COMPLEX(C_THROUGH_ESR,B152*C_THROUGH_ESL-1/(B152*C_THROUGH_C)))))</f>
        <v>0</v>
      </c>
      <c r="E152">
        <f>COMPLEX(2*LINE_INPUT_DCR,2*B152*LINE_INPUT_L)</f>
        <v>0</v>
      </c>
      <c r="F152">
        <f>COMPLEX(0,B152*(LINE_INPUT_CLINE+LINE_INPUT_CCHA/2))</f>
        <v>0</v>
      </c>
      <c r="G152">
        <f>IMPRODUCT("2",IMDIV("1",IMSUM(IMDIV("1",COMPLEX(LDM1_DCR,B152*LDM1_L)),COMPLEX(0,B152*LDM1_CPA))))</f>
        <v>0</v>
      </c>
      <c r="H152">
        <f>IMSUM(IMDIV("1",COMPLEX(CX1_ESR,B152*CX1_ESL-1/(B152*CX1_C))),IMDIV("1",IMSUM(COMPLEX(DUMP1_R,0),COMPLEX(DUMP1_ESR,B152*DUMP1_ESL-1/(B152*DUMP1_C)))))</f>
        <v>0</v>
      </c>
      <c r="I152">
        <f>IMPRODUCT("2",IMDIV("1",IMSUM(IMDIV("1",COMPLEX(LDM2_DCR,B152*LDM2_L)),COMPLEX(0,B152*LDM2_CPA))))</f>
        <v>0</v>
      </c>
      <c r="J152">
        <f>IMSUM(IMDIV("1",COMPLEX(CX2_ESR,B152*CX2_ESL-1/(B152*CX2_C))),IMDIV("1",IMSUM(COMPLEX(DUMP2_R,0),COMPLEX(DUMP2_ESR,B152*DUMP2_ESL-1/(B152*DUMP2_C)))))</f>
        <v>0</v>
      </c>
      <c r="K152">
        <f>IMPRODUCT("2",IMDIV("1",IMSUM(IMDIV("1",COMPLEX(CMC_DCR,B152*CMC_L*(1-CMC_K))),COMPLEX(0,B152*CMC_CPA))))</f>
        <v>0</v>
      </c>
      <c r="L152">
        <f>IMSUM(COMPLEX(0,B152*CMC_CLINE),IMDIV("1",IMPRODUCT("2",COMPLEX(CY_ESR,B152*CY_ESL-1/(B152*CY_C)))),COMPLEX(1/DUMMY_R,0))</f>
        <v>0</v>
      </c>
      <c r="M152">
        <f>IMSUM(D152,IMDIV("1",C152))</f>
        <v>0</v>
      </c>
      <c r="N152">
        <f>IMDIV("1",IMSUM(E152,IMDIV("1",M152)))</f>
        <v>0</v>
      </c>
      <c r="O152">
        <f>IMSUM(F152,N152)</f>
        <v>0</v>
      </c>
      <c r="P152">
        <f>IMDIV("1",IMSUM(G152,IMDIV("1",O152)))</f>
        <v>0</v>
      </c>
      <c r="Q152">
        <f>IMSUM(H152,P152)</f>
        <v>0</v>
      </c>
      <c r="R152">
        <f>IMDIV("1",IMSUM(I152,IMDIV("1",Q152)))</f>
        <v>0</v>
      </c>
      <c r="S152">
        <f>IMSUM(J152,R152)</f>
        <v>0</v>
      </c>
      <c r="T152">
        <f>IMDIV("1",IMSUM(K152,IMDIV("1",S152)))</f>
        <v>0</v>
      </c>
      <c r="U152">
        <f>IMSUM(L152,T152)</f>
        <v>0</v>
      </c>
      <c r="V152">
        <f>IMDIV(COMPLEX(I_DM_SOURCE,0),U152)</f>
        <v>0</v>
      </c>
      <c r="W152">
        <f>IMPRODUCT(V152,T152)</f>
        <v>0</v>
      </c>
      <c r="X152">
        <f>IMDIV(W152,S152)</f>
        <v>0</v>
      </c>
      <c r="Y152">
        <f>IMPRODUCT(X152,R152)</f>
        <v>0</v>
      </c>
      <c r="Z152">
        <f>IMDIV(Y152,Q152)</f>
        <v>0</v>
      </c>
      <c r="AA152">
        <f>IMPRODUCT(Z152,P152)</f>
        <v>0</v>
      </c>
      <c r="AB152">
        <f>AA152</f>
        <v>0</v>
      </c>
      <c r="AC152">
        <f>IMPRODUCT("-1",AB152)</f>
        <v>0</v>
      </c>
      <c r="AD152">
        <f>IMDIV(IMSUB(AB152,AC152),"2")</f>
        <v>0</v>
      </c>
      <c r="AE152" s="6">
        <f>IMABS(AB152)</f>
        <v>0</v>
      </c>
      <c r="AF152" s="6">
        <f>IMABS(AC152)</f>
        <v>0</v>
      </c>
      <c r="AG152" s="6">
        <f>IMABS(AD152)</f>
        <v>0</v>
      </c>
      <c r="AH152" s="7">
        <f>20*LOG10(MAX(AE152,1E-300)*1E6)</f>
        <v>0</v>
      </c>
      <c r="AI152" s="7">
        <f>20*LOG10(MAX(AF152,1E-300)*1E6)</f>
        <v>0</v>
      </c>
      <c r="AJ152" s="7">
        <f>20*LOG10(MAX(AG152,1E-300)*1E6)</f>
        <v>0</v>
      </c>
      <c r="AK152" s="7">
        <f>DEGREES(IMARGUMENT(AB152))</f>
        <v>0</v>
      </c>
      <c r="AL152" s="7">
        <f>DEGREES(IMARGUMENT(AC152))</f>
        <v>0</v>
      </c>
      <c r="AM152" s="7">
        <f>DEGREES(IMARGUMENT(AD152))</f>
        <v>0</v>
      </c>
    </row>
    <row r="153" spans="1:39">
      <c r="A153" s="6">
        <f>10^(LOG10(F_START)+(ROW()-ROW($A$2))*(LOG10(F_STOP)-LOG10(F_START))/(N_POINTS-1))</f>
        <v>0</v>
      </c>
      <c r="B153" s="6">
        <f>2*PI()*A153</f>
        <v>0</v>
      </c>
      <c r="C153">
        <f>COMPLEX(2*LINE_PS_DCR,2*B153*LINE_PS_L)</f>
        <v>0</v>
      </c>
      <c r="D153">
        <f>IMSUM(COMPLEX(0,B153*(LINE_PS_CLINE+LINE_PS_CCHA/2)),IMDIV("1",IMPRODUCT("2",COMPLEX(C_THROUGH_ESR,B153*C_THROUGH_ESL-1/(B153*C_THROUGH_C)))))</f>
        <v>0</v>
      </c>
      <c r="E153">
        <f>COMPLEX(2*LINE_INPUT_DCR,2*B153*LINE_INPUT_L)</f>
        <v>0</v>
      </c>
      <c r="F153">
        <f>COMPLEX(0,B153*(LINE_INPUT_CLINE+LINE_INPUT_CCHA/2))</f>
        <v>0</v>
      </c>
      <c r="G153">
        <f>IMPRODUCT("2",IMDIV("1",IMSUM(IMDIV("1",COMPLEX(LDM1_DCR,B153*LDM1_L)),COMPLEX(0,B153*LDM1_CPA))))</f>
        <v>0</v>
      </c>
      <c r="H153">
        <f>IMSUM(IMDIV("1",COMPLEX(CX1_ESR,B153*CX1_ESL-1/(B153*CX1_C))),IMDIV("1",IMSUM(COMPLEX(DUMP1_R,0),COMPLEX(DUMP1_ESR,B153*DUMP1_ESL-1/(B153*DUMP1_C)))))</f>
        <v>0</v>
      </c>
      <c r="I153">
        <f>IMPRODUCT("2",IMDIV("1",IMSUM(IMDIV("1",COMPLEX(LDM2_DCR,B153*LDM2_L)),COMPLEX(0,B153*LDM2_CPA))))</f>
        <v>0</v>
      </c>
      <c r="J153">
        <f>IMSUM(IMDIV("1",COMPLEX(CX2_ESR,B153*CX2_ESL-1/(B153*CX2_C))),IMDIV("1",IMSUM(COMPLEX(DUMP2_R,0),COMPLEX(DUMP2_ESR,B153*DUMP2_ESL-1/(B153*DUMP2_C)))))</f>
        <v>0</v>
      </c>
      <c r="K153">
        <f>IMPRODUCT("2",IMDIV("1",IMSUM(IMDIV("1",COMPLEX(CMC_DCR,B153*CMC_L*(1-CMC_K))),COMPLEX(0,B153*CMC_CPA))))</f>
        <v>0</v>
      </c>
      <c r="L153">
        <f>IMSUM(COMPLEX(0,B153*CMC_CLINE),IMDIV("1",IMPRODUCT("2",COMPLEX(CY_ESR,B153*CY_ESL-1/(B153*CY_C)))),COMPLEX(1/DUMMY_R,0))</f>
        <v>0</v>
      </c>
      <c r="M153">
        <f>IMSUM(D153,IMDIV("1",C153))</f>
        <v>0</v>
      </c>
      <c r="N153">
        <f>IMDIV("1",IMSUM(E153,IMDIV("1",M153)))</f>
        <v>0</v>
      </c>
      <c r="O153">
        <f>IMSUM(F153,N153)</f>
        <v>0</v>
      </c>
      <c r="P153">
        <f>IMDIV("1",IMSUM(G153,IMDIV("1",O153)))</f>
        <v>0</v>
      </c>
      <c r="Q153">
        <f>IMSUM(H153,P153)</f>
        <v>0</v>
      </c>
      <c r="R153">
        <f>IMDIV("1",IMSUM(I153,IMDIV("1",Q153)))</f>
        <v>0</v>
      </c>
      <c r="S153">
        <f>IMSUM(J153,R153)</f>
        <v>0</v>
      </c>
      <c r="T153">
        <f>IMDIV("1",IMSUM(K153,IMDIV("1",S153)))</f>
        <v>0</v>
      </c>
      <c r="U153">
        <f>IMSUM(L153,T153)</f>
        <v>0</v>
      </c>
      <c r="V153">
        <f>IMDIV(COMPLEX(I_DM_SOURCE,0),U153)</f>
        <v>0</v>
      </c>
      <c r="W153">
        <f>IMPRODUCT(V153,T153)</f>
        <v>0</v>
      </c>
      <c r="X153">
        <f>IMDIV(W153,S153)</f>
        <v>0</v>
      </c>
      <c r="Y153">
        <f>IMPRODUCT(X153,R153)</f>
        <v>0</v>
      </c>
      <c r="Z153">
        <f>IMDIV(Y153,Q153)</f>
        <v>0</v>
      </c>
      <c r="AA153">
        <f>IMPRODUCT(Z153,P153)</f>
        <v>0</v>
      </c>
      <c r="AB153">
        <f>AA153</f>
        <v>0</v>
      </c>
      <c r="AC153">
        <f>IMPRODUCT("-1",AB153)</f>
        <v>0</v>
      </c>
      <c r="AD153">
        <f>IMDIV(IMSUB(AB153,AC153),"2")</f>
        <v>0</v>
      </c>
      <c r="AE153" s="6">
        <f>IMABS(AB153)</f>
        <v>0</v>
      </c>
      <c r="AF153" s="6">
        <f>IMABS(AC153)</f>
        <v>0</v>
      </c>
      <c r="AG153" s="6">
        <f>IMABS(AD153)</f>
        <v>0</v>
      </c>
      <c r="AH153" s="7">
        <f>20*LOG10(MAX(AE153,1E-300)*1E6)</f>
        <v>0</v>
      </c>
      <c r="AI153" s="7">
        <f>20*LOG10(MAX(AF153,1E-300)*1E6)</f>
        <v>0</v>
      </c>
      <c r="AJ153" s="7">
        <f>20*LOG10(MAX(AG153,1E-300)*1E6)</f>
        <v>0</v>
      </c>
      <c r="AK153" s="7">
        <f>DEGREES(IMARGUMENT(AB153))</f>
        <v>0</v>
      </c>
      <c r="AL153" s="7">
        <f>DEGREES(IMARGUMENT(AC153))</f>
        <v>0</v>
      </c>
      <c r="AM153" s="7">
        <f>DEGREES(IMARGUMENT(AD153))</f>
        <v>0</v>
      </c>
    </row>
    <row r="154" spans="1:39">
      <c r="A154" s="6">
        <f>10^(LOG10(F_START)+(ROW()-ROW($A$2))*(LOG10(F_STOP)-LOG10(F_START))/(N_POINTS-1))</f>
        <v>0</v>
      </c>
      <c r="B154" s="6">
        <f>2*PI()*A154</f>
        <v>0</v>
      </c>
      <c r="C154">
        <f>COMPLEX(2*LINE_PS_DCR,2*B154*LINE_PS_L)</f>
        <v>0</v>
      </c>
      <c r="D154">
        <f>IMSUM(COMPLEX(0,B154*(LINE_PS_CLINE+LINE_PS_CCHA/2)),IMDIV("1",IMPRODUCT("2",COMPLEX(C_THROUGH_ESR,B154*C_THROUGH_ESL-1/(B154*C_THROUGH_C)))))</f>
        <v>0</v>
      </c>
      <c r="E154">
        <f>COMPLEX(2*LINE_INPUT_DCR,2*B154*LINE_INPUT_L)</f>
        <v>0</v>
      </c>
      <c r="F154">
        <f>COMPLEX(0,B154*(LINE_INPUT_CLINE+LINE_INPUT_CCHA/2))</f>
        <v>0</v>
      </c>
      <c r="G154">
        <f>IMPRODUCT("2",IMDIV("1",IMSUM(IMDIV("1",COMPLEX(LDM1_DCR,B154*LDM1_L)),COMPLEX(0,B154*LDM1_CPA))))</f>
        <v>0</v>
      </c>
      <c r="H154">
        <f>IMSUM(IMDIV("1",COMPLEX(CX1_ESR,B154*CX1_ESL-1/(B154*CX1_C))),IMDIV("1",IMSUM(COMPLEX(DUMP1_R,0),COMPLEX(DUMP1_ESR,B154*DUMP1_ESL-1/(B154*DUMP1_C)))))</f>
        <v>0</v>
      </c>
      <c r="I154">
        <f>IMPRODUCT("2",IMDIV("1",IMSUM(IMDIV("1",COMPLEX(LDM2_DCR,B154*LDM2_L)),COMPLEX(0,B154*LDM2_CPA))))</f>
        <v>0</v>
      </c>
      <c r="J154">
        <f>IMSUM(IMDIV("1",COMPLEX(CX2_ESR,B154*CX2_ESL-1/(B154*CX2_C))),IMDIV("1",IMSUM(COMPLEX(DUMP2_R,0),COMPLEX(DUMP2_ESR,B154*DUMP2_ESL-1/(B154*DUMP2_C)))))</f>
        <v>0</v>
      </c>
      <c r="K154">
        <f>IMPRODUCT("2",IMDIV("1",IMSUM(IMDIV("1",COMPLEX(CMC_DCR,B154*CMC_L*(1-CMC_K))),COMPLEX(0,B154*CMC_CPA))))</f>
        <v>0</v>
      </c>
      <c r="L154">
        <f>IMSUM(COMPLEX(0,B154*CMC_CLINE),IMDIV("1",IMPRODUCT("2",COMPLEX(CY_ESR,B154*CY_ESL-1/(B154*CY_C)))),COMPLEX(1/DUMMY_R,0))</f>
        <v>0</v>
      </c>
      <c r="M154">
        <f>IMSUM(D154,IMDIV("1",C154))</f>
        <v>0</v>
      </c>
      <c r="N154">
        <f>IMDIV("1",IMSUM(E154,IMDIV("1",M154)))</f>
        <v>0</v>
      </c>
      <c r="O154">
        <f>IMSUM(F154,N154)</f>
        <v>0</v>
      </c>
      <c r="P154">
        <f>IMDIV("1",IMSUM(G154,IMDIV("1",O154)))</f>
        <v>0</v>
      </c>
      <c r="Q154">
        <f>IMSUM(H154,P154)</f>
        <v>0</v>
      </c>
      <c r="R154">
        <f>IMDIV("1",IMSUM(I154,IMDIV("1",Q154)))</f>
        <v>0</v>
      </c>
      <c r="S154">
        <f>IMSUM(J154,R154)</f>
        <v>0</v>
      </c>
      <c r="T154">
        <f>IMDIV("1",IMSUM(K154,IMDIV("1",S154)))</f>
        <v>0</v>
      </c>
      <c r="U154">
        <f>IMSUM(L154,T154)</f>
        <v>0</v>
      </c>
      <c r="V154">
        <f>IMDIV(COMPLEX(I_DM_SOURCE,0),U154)</f>
        <v>0</v>
      </c>
      <c r="W154">
        <f>IMPRODUCT(V154,T154)</f>
        <v>0</v>
      </c>
      <c r="X154">
        <f>IMDIV(W154,S154)</f>
        <v>0</v>
      </c>
      <c r="Y154">
        <f>IMPRODUCT(X154,R154)</f>
        <v>0</v>
      </c>
      <c r="Z154">
        <f>IMDIV(Y154,Q154)</f>
        <v>0</v>
      </c>
      <c r="AA154">
        <f>IMPRODUCT(Z154,P154)</f>
        <v>0</v>
      </c>
      <c r="AB154">
        <f>AA154</f>
        <v>0</v>
      </c>
      <c r="AC154">
        <f>IMPRODUCT("-1",AB154)</f>
        <v>0</v>
      </c>
      <c r="AD154">
        <f>IMDIV(IMSUB(AB154,AC154),"2")</f>
        <v>0</v>
      </c>
      <c r="AE154" s="6">
        <f>IMABS(AB154)</f>
        <v>0</v>
      </c>
      <c r="AF154" s="6">
        <f>IMABS(AC154)</f>
        <v>0</v>
      </c>
      <c r="AG154" s="6">
        <f>IMABS(AD154)</f>
        <v>0</v>
      </c>
      <c r="AH154" s="7">
        <f>20*LOG10(MAX(AE154,1E-300)*1E6)</f>
        <v>0</v>
      </c>
      <c r="AI154" s="7">
        <f>20*LOG10(MAX(AF154,1E-300)*1E6)</f>
        <v>0</v>
      </c>
      <c r="AJ154" s="7">
        <f>20*LOG10(MAX(AG154,1E-300)*1E6)</f>
        <v>0</v>
      </c>
      <c r="AK154" s="7">
        <f>DEGREES(IMARGUMENT(AB154))</f>
        <v>0</v>
      </c>
      <c r="AL154" s="7">
        <f>DEGREES(IMARGUMENT(AC154))</f>
        <v>0</v>
      </c>
      <c r="AM154" s="7">
        <f>DEGREES(IMARGUMENT(AD154))</f>
        <v>0</v>
      </c>
    </row>
    <row r="155" spans="1:39">
      <c r="A155" s="6">
        <f>10^(LOG10(F_START)+(ROW()-ROW($A$2))*(LOG10(F_STOP)-LOG10(F_START))/(N_POINTS-1))</f>
        <v>0</v>
      </c>
      <c r="B155" s="6">
        <f>2*PI()*A155</f>
        <v>0</v>
      </c>
      <c r="C155">
        <f>COMPLEX(2*LINE_PS_DCR,2*B155*LINE_PS_L)</f>
        <v>0</v>
      </c>
      <c r="D155">
        <f>IMSUM(COMPLEX(0,B155*(LINE_PS_CLINE+LINE_PS_CCHA/2)),IMDIV("1",IMPRODUCT("2",COMPLEX(C_THROUGH_ESR,B155*C_THROUGH_ESL-1/(B155*C_THROUGH_C)))))</f>
        <v>0</v>
      </c>
      <c r="E155">
        <f>COMPLEX(2*LINE_INPUT_DCR,2*B155*LINE_INPUT_L)</f>
        <v>0</v>
      </c>
      <c r="F155">
        <f>COMPLEX(0,B155*(LINE_INPUT_CLINE+LINE_INPUT_CCHA/2))</f>
        <v>0</v>
      </c>
      <c r="G155">
        <f>IMPRODUCT("2",IMDIV("1",IMSUM(IMDIV("1",COMPLEX(LDM1_DCR,B155*LDM1_L)),COMPLEX(0,B155*LDM1_CPA))))</f>
        <v>0</v>
      </c>
      <c r="H155">
        <f>IMSUM(IMDIV("1",COMPLEX(CX1_ESR,B155*CX1_ESL-1/(B155*CX1_C))),IMDIV("1",IMSUM(COMPLEX(DUMP1_R,0),COMPLEX(DUMP1_ESR,B155*DUMP1_ESL-1/(B155*DUMP1_C)))))</f>
        <v>0</v>
      </c>
      <c r="I155">
        <f>IMPRODUCT("2",IMDIV("1",IMSUM(IMDIV("1",COMPLEX(LDM2_DCR,B155*LDM2_L)),COMPLEX(0,B155*LDM2_CPA))))</f>
        <v>0</v>
      </c>
      <c r="J155">
        <f>IMSUM(IMDIV("1",COMPLEX(CX2_ESR,B155*CX2_ESL-1/(B155*CX2_C))),IMDIV("1",IMSUM(COMPLEX(DUMP2_R,0),COMPLEX(DUMP2_ESR,B155*DUMP2_ESL-1/(B155*DUMP2_C)))))</f>
        <v>0</v>
      </c>
      <c r="K155">
        <f>IMPRODUCT("2",IMDIV("1",IMSUM(IMDIV("1",COMPLEX(CMC_DCR,B155*CMC_L*(1-CMC_K))),COMPLEX(0,B155*CMC_CPA))))</f>
        <v>0</v>
      </c>
      <c r="L155">
        <f>IMSUM(COMPLEX(0,B155*CMC_CLINE),IMDIV("1",IMPRODUCT("2",COMPLEX(CY_ESR,B155*CY_ESL-1/(B155*CY_C)))),COMPLEX(1/DUMMY_R,0))</f>
        <v>0</v>
      </c>
      <c r="M155">
        <f>IMSUM(D155,IMDIV("1",C155))</f>
        <v>0</v>
      </c>
      <c r="N155">
        <f>IMDIV("1",IMSUM(E155,IMDIV("1",M155)))</f>
        <v>0</v>
      </c>
      <c r="O155">
        <f>IMSUM(F155,N155)</f>
        <v>0</v>
      </c>
      <c r="P155">
        <f>IMDIV("1",IMSUM(G155,IMDIV("1",O155)))</f>
        <v>0</v>
      </c>
      <c r="Q155">
        <f>IMSUM(H155,P155)</f>
        <v>0</v>
      </c>
      <c r="R155">
        <f>IMDIV("1",IMSUM(I155,IMDIV("1",Q155)))</f>
        <v>0</v>
      </c>
      <c r="S155">
        <f>IMSUM(J155,R155)</f>
        <v>0</v>
      </c>
      <c r="T155">
        <f>IMDIV("1",IMSUM(K155,IMDIV("1",S155)))</f>
        <v>0</v>
      </c>
      <c r="U155">
        <f>IMSUM(L155,T155)</f>
        <v>0</v>
      </c>
      <c r="V155">
        <f>IMDIV(COMPLEX(I_DM_SOURCE,0),U155)</f>
        <v>0</v>
      </c>
      <c r="W155">
        <f>IMPRODUCT(V155,T155)</f>
        <v>0</v>
      </c>
      <c r="X155">
        <f>IMDIV(W155,S155)</f>
        <v>0</v>
      </c>
      <c r="Y155">
        <f>IMPRODUCT(X155,R155)</f>
        <v>0</v>
      </c>
      <c r="Z155">
        <f>IMDIV(Y155,Q155)</f>
        <v>0</v>
      </c>
      <c r="AA155">
        <f>IMPRODUCT(Z155,P155)</f>
        <v>0</v>
      </c>
      <c r="AB155">
        <f>AA155</f>
        <v>0</v>
      </c>
      <c r="AC155">
        <f>IMPRODUCT("-1",AB155)</f>
        <v>0</v>
      </c>
      <c r="AD155">
        <f>IMDIV(IMSUB(AB155,AC155),"2")</f>
        <v>0</v>
      </c>
      <c r="AE155" s="6">
        <f>IMABS(AB155)</f>
        <v>0</v>
      </c>
      <c r="AF155" s="6">
        <f>IMABS(AC155)</f>
        <v>0</v>
      </c>
      <c r="AG155" s="6">
        <f>IMABS(AD155)</f>
        <v>0</v>
      </c>
      <c r="AH155" s="7">
        <f>20*LOG10(MAX(AE155,1E-300)*1E6)</f>
        <v>0</v>
      </c>
      <c r="AI155" s="7">
        <f>20*LOG10(MAX(AF155,1E-300)*1E6)</f>
        <v>0</v>
      </c>
      <c r="AJ155" s="7">
        <f>20*LOG10(MAX(AG155,1E-300)*1E6)</f>
        <v>0</v>
      </c>
      <c r="AK155" s="7">
        <f>DEGREES(IMARGUMENT(AB155))</f>
        <v>0</v>
      </c>
      <c r="AL155" s="7">
        <f>DEGREES(IMARGUMENT(AC155))</f>
        <v>0</v>
      </c>
      <c r="AM155" s="7">
        <f>DEGREES(IMARGUMENT(AD155))</f>
        <v>0</v>
      </c>
    </row>
    <row r="156" spans="1:39">
      <c r="A156" s="6">
        <f>10^(LOG10(F_START)+(ROW()-ROW($A$2))*(LOG10(F_STOP)-LOG10(F_START))/(N_POINTS-1))</f>
        <v>0</v>
      </c>
      <c r="B156" s="6">
        <f>2*PI()*A156</f>
        <v>0</v>
      </c>
      <c r="C156">
        <f>COMPLEX(2*LINE_PS_DCR,2*B156*LINE_PS_L)</f>
        <v>0</v>
      </c>
      <c r="D156">
        <f>IMSUM(COMPLEX(0,B156*(LINE_PS_CLINE+LINE_PS_CCHA/2)),IMDIV("1",IMPRODUCT("2",COMPLEX(C_THROUGH_ESR,B156*C_THROUGH_ESL-1/(B156*C_THROUGH_C)))))</f>
        <v>0</v>
      </c>
      <c r="E156">
        <f>COMPLEX(2*LINE_INPUT_DCR,2*B156*LINE_INPUT_L)</f>
        <v>0</v>
      </c>
      <c r="F156">
        <f>COMPLEX(0,B156*(LINE_INPUT_CLINE+LINE_INPUT_CCHA/2))</f>
        <v>0</v>
      </c>
      <c r="G156">
        <f>IMPRODUCT("2",IMDIV("1",IMSUM(IMDIV("1",COMPLEX(LDM1_DCR,B156*LDM1_L)),COMPLEX(0,B156*LDM1_CPA))))</f>
        <v>0</v>
      </c>
      <c r="H156">
        <f>IMSUM(IMDIV("1",COMPLEX(CX1_ESR,B156*CX1_ESL-1/(B156*CX1_C))),IMDIV("1",IMSUM(COMPLEX(DUMP1_R,0),COMPLEX(DUMP1_ESR,B156*DUMP1_ESL-1/(B156*DUMP1_C)))))</f>
        <v>0</v>
      </c>
      <c r="I156">
        <f>IMPRODUCT("2",IMDIV("1",IMSUM(IMDIV("1",COMPLEX(LDM2_DCR,B156*LDM2_L)),COMPLEX(0,B156*LDM2_CPA))))</f>
        <v>0</v>
      </c>
      <c r="J156">
        <f>IMSUM(IMDIV("1",COMPLEX(CX2_ESR,B156*CX2_ESL-1/(B156*CX2_C))),IMDIV("1",IMSUM(COMPLEX(DUMP2_R,0),COMPLEX(DUMP2_ESR,B156*DUMP2_ESL-1/(B156*DUMP2_C)))))</f>
        <v>0</v>
      </c>
      <c r="K156">
        <f>IMPRODUCT("2",IMDIV("1",IMSUM(IMDIV("1",COMPLEX(CMC_DCR,B156*CMC_L*(1-CMC_K))),COMPLEX(0,B156*CMC_CPA))))</f>
        <v>0</v>
      </c>
      <c r="L156">
        <f>IMSUM(COMPLEX(0,B156*CMC_CLINE),IMDIV("1",IMPRODUCT("2",COMPLEX(CY_ESR,B156*CY_ESL-1/(B156*CY_C)))),COMPLEX(1/DUMMY_R,0))</f>
        <v>0</v>
      </c>
      <c r="M156">
        <f>IMSUM(D156,IMDIV("1",C156))</f>
        <v>0</v>
      </c>
      <c r="N156">
        <f>IMDIV("1",IMSUM(E156,IMDIV("1",M156)))</f>
        <v>0</v>
      </c>
      <c r="O156">
        <f>IMSUM(F156,N156)</f>
        <v>0</v>
      </c>
      <c r="P156">
        <f>IMDIV("1",IMSUM(G156,IMDIV("1",O156)))</f>
        <v>0</v>
      </c>
      <c r="Q156">
        <f>IMSUM(H156,P156)</f>
        <v>0</v>
      </c>
      <c r="R156">
        <f>IMDIV("1",IMSUM(I156,IMDIV("1",Q156)))</f>
        <v>0</v>
      </c>
      <c r="S156">
        <f>IMSUM(J156,R156)</f>
        <v>0</v>
      </c>
      <c r="T156">
        <f>IMDIV("1",IMSUM(K156,IMDIV("1",S156)))</f>
        <v>0</v>
      </c>
      <c r="U156">
        <f>IMSUM(L156,T156)</f>
        <v>0</v>
      </c>
      <c r="V156">
        <f>IMDIV(COMPLEX(I_DM_SOURCE,0),U156)</f>
        <v>0</v>
      </c>
      <c r="W156">
        <f>IMPRODUCT(V156,T156)</f>
        <v>0</v>
      </c>
      <c r="X156">
        <f>IMDIV(W156,S156)</f>
        <v>0</v>
      </c>
      <c r="Y156">
        <f>IMPRODUCT(X156,R156)</f>
        <v>0</v>
      </c>
      <c r="Z156">
        <f>IMDIV(Y156,Q156)</f>
        <v>0</v>
      </c>
      <c r="AA156">
        <f>IMPRODUCT(Z156,P156)</f>
        <v>0</v>
      </c>
      <c r="AB156">
        <f>AA156</f>
        <v>0</v>
      </c>
      <c r="AC156">
        <f>IMPRODUCT("-1",AB156)</f>
        <v>0</v>
      </c>
      <c r="AD156">
        <f>IMDIV(IMSUB(AB156,AC156),"2")</f>
        <v>0</v>
      </c>
      <c r="AE156" s="6">
        <f>IMABS(AB156)</f>
        <v>0</v>
      </c>
      <c r="AF156" s="6">
        <f>IMABS(AC156)</f>
        <v>0</v>
      </c>
      <c r="AG156" s="6">
        <f>IMABS(AD156)</f>
        <v>0</v>
      </c>
      <c r="AH156" s="7">
        <f>20*LOG10(MAX(AE156,1E-300)*1E6)</f>
        <v>0</v>
      </c>
      <c r="AI156" s="7">
        <f>20*LOG10(MAX(AF156,1E-300)*1E6)</f>
        <v>0</v>
      </c>
      <c r="AJ156" s="7">
        <f>20*LOG10(MAX(AG156,1E-300)*1E6)</f>
        <v>0</v>
      </c>
      <c r="AK156" s="7">
        <f>DEGREES(IMARGUMENT(AB156))</f>
        <v>0</v>
      </c>
      <c r="AL156" s="7">
        <f>DEGREES(IMARGUMENT(AC156))</f>
        <v>0</v>
      </c>
      <c r="AM156" s="7">
        <f>DEGREES(IMARGUMENT(AD156))</f>
        <v>0</v>
      </c>
    </row>
    <row r="157" spans="1:39">
      <c r="A157" s="6">
        <f>10^(LOG10(F_START)+(ROW()-ROW($A$2))*(LOG10(F_STOP)-LOG10(F_START))/(N_POINTS-1))</f>
        <v>0</v>
      </c>
      <c r="B157" s="6">
        <f>2*PI()*A157</f>
        <v>0</v>
      </c>
      <c r="C157">
        <f>COMPLEX(2*LINE_PS_DCR,2*B157*LINE_PS_L)</f>
        <v>0</v>
      </c>
      <c r="D157">
        <f>IMSUM(COMPLEX(0,B157*(LINE_PS_CLINE+LINE_PS_CCHA/2)),IMDIV("1",IMPRODUCT("2",COMPLEX(C_THROUGH_ESR,B157*C_THROUGH_ESL-1/(B157*C_THROUGH_C)))))</f>
        <v>0</v>
      </c>
      <c r="E157">
        <f>COMPLEX(2*LINE_INPUT_DCR,2*B157*LINE_INPUT_L)</f>
        <v>0</v>
      </c>
      <c r="F157">
        <f>COMPLEX(0,B157*(LINE_INPUT_CLINE+LINE_INPUT_CCHA/2))</f>
        <v>0</v>
      </c>
      <c r="G157">
        <f>IMPRODUCT("2",IMDIV("1",IMSUM(IMDIV("1",COMPLEX(LDM1_DCR,B157*LDM1_L)),COMPLEX(0,B157*LDM1_CPA))))</f>
        <v>0</v>
      </c>
      <c r="H157">
        <f>IMSUM(IMDIV("1",COMPLEX(CX1_ESR,B157*CX1_ESL-1/(B157*CX1_C))),IMDIV("1",IMSUM(COMPLEX(DUMP1_R,0),COMPLEX(DUMP1_ESR,B157*DUMP1_ESL-1/(B157*DUMP1_C)))))</f>
        <v>0</v>
      </c>
      <c r="I157">
        <f>IMPRODUCT("2",IMDIV("1",IMSUM(IMDIV("1",COMPLEX(LDM2_DCR,B157*LDM2_L)),COMPLEX(0,B157*LDM2_CPA))))</f>
        <v>0</v>
      </c>
      <c r="J157">
        <f>IMSUM(IMDIV("1",COMPLEX(CX2_ESR,B157*CX2_ESL-1/(B157*CX2_C))),IMDIV("1",IMSUM(COMPLEX(DUMP2_R,0),COMPLEX(DUMP2_ESR,B157*DUMP2_ESL-1/(B157*DUMP2_C)))))</f>
        <v>0</v>
      </c>
      <c r="K157">
        <f>IMPRODUCT("2",IMDIV("1",IMSUM(IMDIV("1",COMPLEX(CMC_DCR,B157*CMC_L*(1-CMC_K))),COMPLEX(0,B157*CMC_CPA))))</f>
        <v>0</v>
      </c>
      <c r="L157">
        <f>IMSUM(COMPLEX(0,B157*CMC_CLINE),IMDIV("1",IMPRODUCT("2",COMPLEX(CY_ESR,B157*CY_ESL-1/(B157*CY_C)))),COMPLEX(1/DUMMY_R,0))</f>
        <v>0</v>
      </c>
      <c r="M157">
        <f>IMSUM(D157,IMDIV("1",C157))</f>
        <v>0</v>
      </c>
      <c r="N157">
        <f>IMDIV("1",IMSUM(E157,IMDIV("1",M157)))</f>
        <v>0</v>
      </c>
      <c r="O157">
        <f>IMSUM(F157,N157)</f>
        <v>0</v>
      </c>
      <c r="P157">
        <f>IMDIV("1",IMSUM(G157,IMDIV("1",O157)))</f>
        <v>0</v>
      </c>
      <c r="Q157">
        <f>IMSUM(H157,P157)</f>
        <v>0</v>
      </c>
      <c r="R157">
        <f>IMDIV("1",IMSUM(I157,IMDIV("1",Q157)))</f>
        <v>0</v>
      </c>
      <c r="S157">
        <f>IMSUM(J157,R157)</f>
        <v>0</v>
      </c>
      <c r="T157">
        <f>IMDIV("1",IMSUM(K157,IMDIV("1",S157)))</f>
        <v>0</v>
      </c>
      <c r="U157">
        <f>IMSUM(L157,T157)</f>
        <v>0</v>
      </c>
      <c r="V157">
        <f>IMDIV(COMPLEX(I_DM_SOURCE,0),U157)</f>
        <v>0</v>
      </c>
      <c r="W157">
        <f>IMPRODUCT(V157,T157)</f>
        <v>0</v>
      </c>
      <c r="X157">
        <f>IMDIV(W157,S157)</f>
        <v>0</v>
      </c>
      <c r="Y157">
        <f>IMPRODUCT(X157,R157)</f>
        <v>0</v>
      </c>
      <c r="Z157">
        <f>IMDIV(Y157,Q157)</f>
        <v>0</v>
      </c>
      <c r="AA157">
        <f>IMPRODUCT(Z157,P157)</f>
        <v>0</v>
      </c>
      <c r="AB157">
        <f>AA157</f>
        <v>0</v>
      </c>
      <c r="AC157">
        <f>IMPRODUCT("-1",AB157)</f>
        <v>0</v>
      </c>
      <c r="AD157">
        <f>IMDIV(IMSUB(AB157,AC157),"2")</f>
        <v>0</v>
      </c>
      <c r="AE157" s="6">
        <f>IMABS(AB157)</f>
        <v>0</v>
      </c>
      <c r="AF157" s="6">
        <f>IMABS(AC157)</f>
        <v>0</v>
      </c>
      <c r="AG157" s="6">
        <f>IMABS(AD157)</f>
        <v>0</v>
      </c>
      <c r="AH157" s="7">
        <f>20*LOG10(MAX(AE157,1E-300)*1E6)</f>
        <v>0</v>
      </c>
      <c r="AI157" s="7">
        <f>20*LOG10(MAX(AF157,1E-300)*1E6)</f>
        <v>0</v>
      </c>
      <c r="AJ157" s="7">
        <f>20*LOG10(MAX(AG157,1E-300)*1E6)</f>
        <v>0</v>
      </c>
      <c r="AK157" s="7">
        <f>DEGREES(IMARGUMENT(AB157))</f>
        <v>0</v>
      </c>
      <c r="AL157" s="7">
        <f>DEGREES(IMARGUMENT(AC157))</f>
        <v>0</v>
      </c>
      <c r="AM157" s="7">
        <f>DEGREES(IMARGUMENT(AD157))</f>
        <v>0</v>
      </c>
    </row>
    <row r="158" spans="1:39">
      <c r="A158" s="6">
        <f>10^(LOG10(F_START)+(ROW()-ROW($A$2))*(LOG10(F_STOP)-LOG10(F_START))/(N_POINTS-1))</f>
        <v>0</v>
      </c>
      <c r="B158" s="6">
        <f>2*PI()*A158</f>
        <v>0</v>
      </c>
      <c r="C158">
        <f>COMPLEX(2*LINE_PS_DCR,2*B158*LINE_PS_L)</f>
        <v>0</v>
      </c>
      <c r="D158">
        <f>IMSUM(COMPLEX(0,B158*(LINE_PS_CLINE+LINE_PS_CCHA/2)),IMDIV("1",IMPRODUCT("2",COMPLEX(C_THROUGH_ESR,B158*C_THROUGH_ESL-1/(B158*C_THROUGH_C)))))</f>
        <v>0</v>
      </c>
      <c r="E158">
        <f>COMPLEX(2*LINE_INPUT_DCR,2*B158*LINE_INPUT_L)</f>
        <v>0</v>
      </c>
      <c r="F158">
        <f>COMPLEX(0,B158*(LINE_INPUT_CLINE+LINE_INPUT_CCHA/2))</f>
        <v>0</v>
      </c>
      <c r="G158">
        <f>IMPRODUCT("2",IMDIV("1",IMSUM(IMDIV("1",COMPLEX(LDM1_DCR,B158*LDM1_L)),COMPLEX(0,B158*LDM1_CPA))))</f>
        <v>0</v>
      </c>
      <c r="H158">
        <f>IMSUM(IMDIV("1",COMPLEX(CX1_ESR,B158*CX1_ESL-1/(B158*CX1_C))),IMDIV("1",IMSUM(COMPLEX(DUMP1_R,0),COMPLEX(DUMP1_ESR,B158*DUMP1_ESL-1/(B158*DUMP1_C)))))</f>
        <v>0</v>
      </c>
      <c r="I158">
        <f>IMPRODUCT("2",IMDIV("1",IMSUM(IMDIV("1",COMPLEX(LDM2_DCR,B158*LDM2_L)),COMPLEX(0,B158*LDM2_CPA))))</f>
        <v>0</v>
      </c>
      <c r="J158">
        <f>IMSUM(IMDIV("1",COMPLEX(CX2_ESR,B158*CX2_ESL-1/(B158*CX2_C))),IMDIV("1",IMSUM(COMPLEX(DUMP2_R,0),COMPLEX(DUMP2_ESR,B158*DUMP2_ESL-1/(B158*DUMP2_C)))))</f>
        <v>0</v>
      </c>
      <c r="K158">
        <f>IMPRODUCT("2",IMDIV("1",IMSUM(IMDIV("1",COMPLEX(CMC_DCR,B158*CMC_L*(1-CMC_K))),COMPLEX(0,B158*CMC_CPA))))</f>
        <v>0</v>
      </c>
      <c r="L158">
        <f>IMSUM(COMPLEX(0,B158*CMC_CLINE),IMDIV("1",IMPRODUCT("2",COMPLEX(CY_ESR,B158*CY_ESL-1/(B158*CY_C)))),COMPLEX(1/DUMMY_R,0))</f>
        <v>0</v>
      </c>
      <c r="M158">
        <f>IMSUM(D158,IMDIV("1",C158))</f>
        <v>0</v>
      </c>
      <c r="N158">
        <f>IMDIV("1",IMSUM(E158,IMDIV("1",M158)))</f>
        <v>0</v>
      </c>
      <c r="O158">
        <f>IMSUM(F158,N158)</f>
        <v>0</v>
      </c>
      <c r="P158">
        <f>IMDIV("1",IMSUM(G158,IMDIV("1",O158)))</f>
        <v>0</v>
      </c>
      <c r="Q158">
        <f>IMSUM(H158,P158)</f>
        <v>0</v>
      </c>
      <c r="R158">
        <f>IMDIV("1",IMSUM(I158,IMDIV("1",Q158)))</f>
        <v>0</v>
      </c>
      <c r="S158">
        <f>IMSUM(J158,R158)</f>
        <v>0</v>
      </c>
      <c r="T158">
        <f>IMDIV("1",IMSUM(K158,IMDIV("1",S158)))</f>
        <v>0</v>
      </c>
      <c r="U158">
        <f>IMSUM(L158,T158)</f>
        <v>0</v>
      </c>
      <c r="V158">
        <f>IMDIV(COMPLEX(I_DM_SOURCE,0),U158)</f>
        <v>0</v>
      </c>
      <c r="W158">
        <f>IMPRODUCT(V158,T158)</f>
        <v>0</v>
      </c>
      <c r="X158">
        <f>IMDIV(W158,S158)</f>
        <v>0</v>
      </c>
      <c r="Y158">
        <f>IMPRODUCT(X158,R158)</f>
        <v>0</v>
      </c>
      <c r="Z158">
        <f>IMDIV(Y158,Q158)</f>
        <v>0</v>
      </c>
      <c r="AA158">
        <f>IMPRODUCT(Z158,P158)</f>
        <v>0</v>
      </c>
      <c r="AB158">
        <f>AA158</f>
        <v>0</v>
      </c>
      <c r="AC158">
        <f>IMPRODUCT("-1",AB158)</f>
        <v>0</v>
      </c>
      <c r="AD158">
        <f>IMDIV(IMSUB(AB158,AC158),"2")</f>
        <v>0</v>
      </c>
      <c r="AE158" s="6">
        <f>IMABS(AB158)</f>
        <v>0</v>
      </c>
      <c r="AF158" s="6">
        <f>IMABS(AC158)</f>
        <v>0</v>
      </c>
      <c r="AG158" s="6">
        <f>IMABS(AD158)</f>
        <v>0</v>
      </c>
      <c r="AH158" s="7">
        <f>20*LOG10(MAX(AE158,1E-300)*1E6)</f>
        <v>0</v>
      </c>
      <c r="AI158" s="7">
        <f>20*LOG10(MAX(AF158,1E-300)*1E6)</f>
        <v>0</v>
      </c>
      <c r="AJ158" s="7">
        <f>20*LOG10(MAX(AG158,1E-300)*1E6)</f>
        <v>0</v>
      </c>
      <c r="AK158" s="7">
        <f>DEGREES(IMARGUMENT(AB158))</f>
        <v>0</v>
      </c>
      <c r="AL158" s="7">
        <f>DEGREES(IMARGUMENT(AC158))</f>
        <v>0</v>
      </c>
      <c r="AM158" s="7">
        <f>DEGREES(IMARGUMENT(AD158))</f>
        <v>0</v>
      </c>
    </row>
    <row r="159" spans="1:39">
      <c r="A159" s="6">
        <f>10^(LOG10(F_START)+(ROW()-ROW($A$2))*(LOG10(F_STOP)-LOG10(F_START))/(N_POINTS-1))</f>
        <v>0</v>
      </c>
      <c r="B159" s="6">
        <f>2*PI()*A159</f>
        <v>0</v>
      </c>
      <c r="C159">
        <f>COMPLEX(2*LINE_PS_DCR,2*B159*LINE_PS_L)</f>
        <v>0</v>
      </c>
      <c r="D159">
        <f>IMSUM(COMPLEX(0,B159*(LINE_PS_CLINE+LINE_PS_CCHA/2)),IMDIV("1",IMPRODUCT("2",COMPLEX(C_THROUGH_ESR,B159*C_THROUGH_ESL-1/(B159*C_THROUGH_C)))))</f>
        <v>0</v>
      </c>
      <c r="E159">
        <f>COMPLEX(2*LINE_INPUT_DCR,2*B159*LINE_INPUT_L)</f>
        <v>0</v>
      </c>
      <c r="F159">
        <f>COMPLEX(0,B159*(LINE_INPUT_CLINE+LINE_INPUT_CCHA/2))</f>
        <v>0</v>
      </c>
      <c r="G159">
        <f>IMPRODUCT("2",IMDIV("1",IMSUM(IMDIV("1",COMPLEX(LDM1_DCR,B159*LDM1_L)),COMPLEX(0,B159*LDM1_CPA))))</f>
        <v>0</v>
      </c>
      <c r="H159">
        <f>IMSUM(IMDIV("1",COMPLEX(CX1_ESR,B159*CX1_ESL-1/(B159*CX1_C))),IMDIV("1",IMSUM(COMPLEX(DUMP1_R,0),COMPLEX(DUMP1_ESR,B159*DUMP1_ESL-1/(B159*DUMP1_C)))))</f>
        <v>0</v>
      </c>
      <c r="I159">
        <f>IMPRODUCT("2",IMDIV("1",IMSUM(IMDIV("1",COMPLEX(LDM2_DCR,B159*LDM2_L)),COMPLEX(0,B159*LDM2_CPA))))</f>
        <v>0</v>
      </c>
      <c r="J159">
        <f>IMSUM(IMDIV("1",COMPLEX(CX2_ESR,B159*CX2_ESL-1/(B159*CX2_C))),IMDIV("1",IMSUM(COMPLEX(DUMP2_R,0),COMPLEX(DUMP2_ESR,B159*DUMP2_ESL-1/(B159*DUMP2_C)))))</f>
        <v>0</v>
      </c>
      <c r="K159">
        <f>IMPRODUCT("2",IMDIV("1",IMSUM(IMDIV("1",COMPLEX(CMC_DCR,B159*CMC_L*(1-CMC_K))),COMPLEX(0,B159*CMC_CPA))))</f>
        <v>0</v>
      </c>
      <c r="L159">
        <f>IMSUM(COMPLEX(0,B159*CMC_CLINE),IMDIV("1",IMPRODUCT("2",COMPLEX(CY_ESR,B159*CY_ESL-1/(B159*CY_C)))),COMPLEX(1/DUMMY_R,0))</f>
        <v>0</v>
      </c>
      <c r="M159">
        <f>IMSUM(D159,IMDIV("1",C159))</f>
        <v>0</v>
      </c>
      <c r="N159">
        <f>IMDIV("1",IMSUM(E159,IMDIV("1",M159)))</f>
        <v>0</v>
      </c>
      <c r="O159">
        <f>IMSUM(F159,N159)</f>
        <v>0</v>
      </c>
      <c r="P159">
        <f>IMDIV("1",IMSUM(G159,IMDIV("1",O159)))</f>
        <v>0</v>
      </c>
      <c r="Q159">
        <f>IMSUM(H159,P159)</f>
        <v>0</v>
      </c>
      <c r="R159">
        <f>IMDIV("1",IMSUM(I159,IMDIV("1",Q159)))</f>
        <v>0</v>
      </c>
      <c r="S159">
        <f>IMSUM(J159,R159)</f>
        <v>0</v>
      </c>
      <c r="T159">
        <f>IMDIV("1",IMSUM(K159,IMDIV("1",S159)))</f>
        <v>0</v>
      </c>
      <c r="U159">
        <f>IMSUM(L159,T159)</f>
        <v>0</v>
      </c>
      <c r="V159">
        <f>IMDIV(COMPLEX(I_DM_SOURCE,0),U159)</f>
        <v>0</v>
      </c>
      <c r="W159">
        <f>IMPRODUCT(V159,T159)</f>
        <v>0</v>
      </c>
      <c r="X159">
        <f>IMDIV(W159,S159)</f>
        <v>0</v>
      </c>
      <c r="Y159">
        <f>IMPRODUCT(X159,R159)</f>
        <v>0</v>
      </c>
      <c r="Z159">
        <f>IMDIV(Y159,Q159)</f>
        <v>0</v>
      </c>
      <c r="AA159">
        <f>IMPRODUCT(Z159,P159)</f>
        <v>0</v>
      </c>
      <c r="AB159">
        <f>AA159</f>
        <v>0</v>
      </c>
      <c r="AC159">
        <f>IMPRODUCT("-1",AB159)</f>
        <v>0</v>
      </c>
      <c r="AD159">
        <f>IMDIV(IMSUB(AB159,AC159),"2")</f>
        <v>0</v>
      </c>
      <c r="AE159" s="6">
        <f>IMABS(AB159)</f>
        <v>0</v>
      </c>
      <c r="AF159" s="6">
        <f>IMABS(AC159)</f>
        <v>0</v>
      </c>
      <c r="AG159" s="6">
        <f>IMABS(AD159)</f>
        <v>0</v>
      </c>
      <c r="AH159" s="7">
        <f>20*LOG10(MAX(AE159,1E-300)*1E6)</f>
        <v>0</v>
      </c>
      <c r="AI159" s="7">
        <f>20*LOG10(MAX(AF159,1E-300)*1E6)</f>
        <v>0</v>
      </c>
      <c r="AJ159" s="7">
        <f>20*LOG10(MAX(AG159,1E-300)*1E6)</f>
        <v>0</v>
      </c>
      <c r="AK159" s="7">
        <f>DEGREES(IMARGUMENT(AB159))</f>
        <v>0</v>
      </c>
      <c r="AL159" s="7">
        <f>DEGREES(IMARGUMENT(AC159))</f>
        <v>0</v>
      </c>
      <c r="AM159" s="7">
        <f>DEGREES(IMARGUMENT(AD159))</f>
        <v>0</v>
      </c>
    </row>
    <row r="160" spans="1:39">
      <c r="A160" s="6">
        <f>10^(LOG10(F_START)+(ROW()-ROW($A$2))*(LOG10(F_STOP)-LOG10(F_START))/(N_POINTS-1))</f>
        <v>0</v>
      </c>
      <c r="B160" s="6">
        <f>2*PI()*A160</f>
        <v>0</v>
      </c>
      <c r="C160">
        <f>COMPLEX(2*LINE_PS_DCR,2*B160*LINE_PS_L)</f>
        <v>0</v>
      </c>
      <c r="D160">
        <f>IMSUM(COMPLEX(0,B160*(LINE_PS_CLINE+LINE_PS_CCHA/2)),IMDIV("1",IMPRODUCT("2",COMPLEX(C_THROUGH_ESR,B160*C_THROUGH_ESL-1/(B160*C_THROUGH_C)))))</f>
        <v>0</v>
      </c>
      <c r="E160">
        <f>COMPLEX(2*LINE_INPUT_DCR,2*B160*LINE_INPUT_L)</f>
        <v>0</v>
      </c>
      <c r="F160">
        <f>COMPLEX(0,B160*(LINE_INPUT_CLINE+LINE_INPUT_CCHA/2))</f>
        <v>0</v>
      </c>
      <c r="G160">
        <f>IMPRODUCT("2",IMDIV("1",IMSUM(IMDIV("1",COMPLEX(LDM1_DCR,B160*LDM1_L)),COMPLEX(0,B160*LDM1_CPA))))</f>
        <v>0</v>
      </c>
      <c r="H160">
        <f>IMSUM(IMDIV("1",COMPLEX(CX1_ESR,B160*CX1_ESL-1/(B160*CX1_C))),IMDIV("1",IMSUM(COMPLEX(DUMP1_R,0),COMPLEX(DUMP1_ESR,B160*DUMP1_ESL-1/(B160*DUMP1_C)))))</f>
        <v>0</v>
      </c>
      <c r="I160">
        <f>IMPRODUCT("2",IMDIV("1",IMSUM(IMDIV("1",COMPLEX(LDM2_DCR,B160*LDM2_L)),COMPLEX(0,B160*LDM2_CPA))))</f>
        <v>0</v>
      </c>
      <c r="J160">
        <f>IMSUM(IMDIV("1",COMPLEX(CX2_ESR,B160*CX2_ESL-1/(B160*CX2_C))),IMDIV("1",IMSUM(COMPLEX(DUMP2_R,0),COMPLEX(DUMP2_ESR,B160*DUMP2_ESL-1/(B160*DUMP2_C)))))</f>
        <v>0</v>
      </c>
      <c r="K160">
        <f>IMPRODUCT("2",IMDIV("1",IMSUM(IMDIV("1",COMPLEX(CMC_DCR,B160*CMC_L*(1-CMC_K))),COMPLEX(0,B160*CMC_CPA))))</f>
        <v>0</v>
      </c>
      <c r="L160">
        <f>IMSUM(COMPLEX(0,B160*CMC_CLINE),IMDIV("1",IMPRODUCT("2",COMPLEX(CY_ESR,B160*CY_ESL-1/(B160*CY_C)))),COMPLEX(1/DUMMY_R,0))</f>
        <v>0</v>
      </c>
      <c r="M160">
        <f>IMSUM(D160,IMDIV("1",C160))</f>
        <v>0</v>
      </c>
      <c r="N160">
        <f>IMDIV("1",IMSUM(E160,IMDIV("1",M160)))</f>
        <v>0</v>
      </c>
      <c r="O160">
        <f>IMSUM(F160,N160)</f>
        <v>0</v>
      </c>
      <c r="P160">
        <f>IMDIV("1",IMSUM(G160,IMDIV("1",O160)))</f>
        <v>0</v>
      </c>
      <c r="Q160">
        <f>IMSUM(H160,P160)</f>
        <v>0</v>
      </c>
      <c r="R160">
        <f>IMDIV("1",IMSUM(I160,IMDIV("1",Q160)))</f>
        <v>0</v>
      </c>
      <c r="S160">
        <f>IMSUM(J160,R160)</f>
        <v>0</v>
      </c>
      <c r="T160">
        <f>IMDIV("1",IMSUM(K160,IMDIV("1",S160)))</f>
        <v>0</v>
      </c>
      <c r="U160">
        <f>IMSUM(L160,T160)</f>
        <v>0</v>
      </c>
      <c r="V160">
        <f>IMDIV(COMPLEX(I_DM_SOURCE,0),U160)</f>
        <v>0</v>
      </c>
      <c r="W160">
        <f>IMPRODUCT(V160,T160)</f>
        <v>0</v>
      </c>
      <c r="X160">
        <f>IMDIV(W160,S160)</f>
        <v>0</v>
      </c>
      <c r="Y160">
        <f>IMPRODUCT(X160,R160)</f>
        <v>0</v>
      </c>
      <c r="Z160">
        <f>IMDIV(Y160,Q160)</f>
        <v>0</v>
      </c>
      <c r="AA160">
        <f>IMPRODUCT(Z160,P160)</f>
        <v>0</v>
      </c>
      <c r="AB160">
        <f>AA160</f>
        <v>0</v>
      </c>
      <c r="AC160">
        <f>IMPRODUCT("-1",AB160)</f>
        <v>0</v>
      </c>
      <c r="AD160">
        <f>IMDIV(IMSUB(AB160,AC160),"2")</f>
        <v>0</v>
      </c>
      <c r="AE160" s="6">
        <f>IMABS(AB160)</f>
        <v>0</v>
      </c>
      <c r="AF160" s="6">
        <f>IMABS(AC160)</f>
        <v>0</v>
      </c>
      <c r="AG160" s="6">
        <f>IMABS(AD160)</f>
        <v>0</v>
      </c>
      <c r="AH160" s="7">
        <f>20*LOG10(MAX(AE160,1E-300)*1E6)</f>
        <v>0</v>
      </c>
      <c r="AI160" s="7">
        <f>20*LOG10(MAX(AF160,1E-300)*1E6)</f>
        <v>0</v>
      </c>
      <c r="AJ160" s="7">
        <f>20*LOG10(MAX(AG160,1E-300)*1E6)</f>
        <v>0</v>
      </c>
      <c r="AK160" s="7">
        <f>DEGREES(IMARGUMENT(AB160))</f>
        <v>0</v>
      </c>
      <c r="AL160" s="7">
        <f>DEGREES(IMARGUMENT(AC160))</f>
        <v>0</v>
      </c>
      <c r="AM160" s="7">
        <f>DEGREES(IMARGUMENT(AD160))</f>
        <v>0</v>
      </c>
    </row>
    <row r="161" spans="1:39">
      <c r="A161" s="6">
        <f>10^(LOG10(F_START)+(ROW()-ROW($A$2))*(LOG10(F_STOP)-LOG10(F_START))/(N_POINTS-1))</f>
        <v>0</v>
      </c>
      <c r="B161" s="6">
        <f>2*PI()*A161</f>
        <v>0</v>
      </c>
      <c r="C161">
        <f>COMPLEX(2*LINE_PS_DCR,2*B161*LINE_PS_L)</f>
        <v>0</v>
      </c>
      <c r="D161">
        <f>IMSUM(COMPLEX(0,B161*(LINE_PS_CLINE+LINE_PS_CCHA/2)),IMDIV("1",IMPRODUCT("2",COMPLEX(C_THROUGH_ESR,B161*C_THROUGH_ESL-1/(B161*C_THROUGH_C)))))</f>
        <v>0</v>
      </c>
      <c r="E161">
        <f>COMPLEX(2*LINE_INPUT_DCR,2*B161*LINE_INPUT_L)</f>
        <v>0</v>
      </c>
      <c r="F161">
        <f>COMPLEX(0,B161*(LINE_INPUT_CLINE+LINE_INPUT_CCHA/2))</f>
        <v>0</v>
      </c>
      <c r="G161">
        <f>IMPRODUCT("2",IMDIV("1",IMSUM(IMDIV("1",COMPLEX(LDM1_DCR,B161*LDM1_L)),COMPLEX(0,B161*LDM1_CPA))))</f>
        <v>0</v>
      </c>
      <c r="H161">
        <f>IMSUM(IMDIV("1",COMPLEX(CX1_ESR,B161*CX1_ESL-1/(B161*CX1_C))),IMDIV("1",IMSUM(COMPLEX(DUMP1_R,0),COMPLEX(DUMP1_ESR,B161*DUMP1_ESL-1/(B161*DUMP1_C)))))</f>
        <v>0</v>
      </c>
      <c r="I161">
        <f>IMPRODUCT("2",IMDIV("1",IMSUM(IMDIV("1",COMPLEX(LDM2_DCR,B161*LDM2_L)),COMPLEX(0,B161*LDM2_CPA))))</f>
        <v>0</v>
      </c>
      <c r="J161">
        <f>IMSUM(IMDIV("1",COMPLEX(CX2_ESR,B161*CX2_ESL-1/(B161*CX2_C))),IMDIV("1",IMSUM(COMPLEX(DUMP2_R,0),COMPLEX(DUMP2_ESR,B161*DUMP2_ESL-1/(B161*DUMP2_C)))))</f>
        <v>0</v>
      </c>
      <c r="K161">
        <f>IMPRODUCT("2",IMDIV("1",IMSUM(IMDIV("1",COMPLEX(CMC_DCR,B161*CMC_L*(1-CMC_K))),COMPLEX(0,B161*CMC_CPA))))</f>
        <v>0</v>
      </c>
      <c r="L161">
        <f>IMSUM(COMPLEX(0,B161*CMC_CLINE),IMDIV("1",IMPRODUCT("2",COMPLEX(CY_ESR,B161*CY_ESL-1/(B161*CY_C)))),COMPLEX(1/DUMMY_R,0))</f>
        <v>0</v>
      </c>
      <c r="M161">
        <f>IMSUM(D161,IMDIV("1",C161))</f>
        <v>0</v>
      </c>
      <c r="N161">
        <f>IMDIV("1",IMSUM(E161,IMDIV("1",M161)))</f>
        <v>0</v>
      </c>
      <c r="O161">
        <f>IMSUM(F161,N161)</f>
        <v>0</v>
      </c>
      <c r="P161">
        <f>IMDIV("1",IMSUM(G161,IMDIV("1",O161)))</f>
        <v>0</v>
      </c>
      <c r="Q161">
        <f>IMSUM(H161,P161)</f>
        <v>0</v>
      </c>
      <c r="R161">
        <f>IMDIV("1",IMSUM(I161,IMDIV("1",Q161)))</f>
        <v>0</v>
      </c>
      <c r="S161">
        <f>IMSUM(J161,R161)</f>
        <v>0</v>
      </c>
      <c r="T161">
        <f>IMDIV("1",IMSUM(K161,IMDIV("1",S161)))</f>
        <v>0</v>
      </c>
      <c r="U161">
        <f>IMSUM(L161,T161)</f>
        <v>0</v>
      </c>
      <c r="V161">
        <f>IMDIV(COMPLEX(I_DM_SOURCE,0),U161)</f>
        <v>0</v>
      </c>
      <c r="W161">
        <f>IMPRODUCT(V161,T161)</f>
        <v>0</v>
      </c>
      <c r="X161">
        <f>IMDIV(W161,S161)</f>
        <v>0</v>
      </c>
      <c r="Y161">
        <f>IMPRODUCT(X161,R161)</f>
        <v>0</v>
      </c>
      <c r="Z161">
        <f>IMDIV(Y161,Q161)</f>
        <v>0</v>
      </c>
      <c r="AA161">
        <f>IMPRODUCT(Z161,P161)</f>
        <v>0</v>
      </c>
      <c r="AB161">
        <f>AA161</f>
        <v>0</v>
      </c>
      <c r="AC161">
        <f>IMPRODUCT("-1",AB161)</f>
        <v>0</v>
      </c>
      <c r="AD161">
        <f>IMDIV(IMSUB(AB161,AC161),"2")</f>
        <v>0</v>
      </c>
      <c r="AE161" s="6">
        <f>IMABS(AB161)</f>
        <v>0</v>
      </c>
      <c r="AF161" s="6">
        <f>IMABS(AC161)</f>
        <v>0</v>
      </c>
      <c r="AG161" s="6">
        <f>IMABS(AD161)</f>
        <v>0</v>
      </c>
      <c r="AH161" s="7">
        <f>20*LOG10(MAX(AE161,1E-300)*1E6)</f>
        <v>0</v>
      </c>
      <c r="AI161" s="7">
        <f>20*LOG10(MAX(AF161,1E-300)*1E6)</f>
        <v>0</v>
      </c>
      <c r="AJ161" s="7">
        <f>20*LOG10(MAX(AG161,1E-300)*1E6)</f>
        <v>0</v>
      </c>
      <c r="AK161" s="7">
        <f>DEGREES(IMARGUMENT(AB161))</f>
        <v>0</v>
      </c>
      <c r="AL161" s="7">
        <f>DEGREES(IMARGUMENT(AC161))</f>
        <v>0</v>
      </c>
      <c r="AM161" s="7">
        <f>DEGREES(IMARGUMENT(AD161))</f>
        <v>0</v>
      </c>
    </row>
    <row r="162" spans="1:39">
      <c r="A162" s="6">
        <f>10^(LOG10(F_START)+(ROW()-ROW($A$2))*(LOG10(F_STOP)-LOG10(F_START))/(N_POINTS-1))</f>
        <v>0</v>
      </c>
      <c r="B162" s="6">
        <f>2*PI()*A162</f>
        <v>0</v>
      </c>
      <c r="C162">
        <f>COMPLEX(2*LINE_PS_DCR,2*B162*LINE_PS_L)</f>
        <v>0</v>
      </c>
      <c r="D162">
        <f>IMSUM(COMPLEX(0,B162*(LINE_PS_CLINE+LINE_PS_CCHA/2)),IMDIV("1",IMPRODUCT("2",COMPLEX(C_THROUGH_ESR,B162*C_THROUGH_ESL-1/(B162*C_THROUGH_C)))))</f>
        <v>0</v>
      </c>
      <c r="E162">
        <f>COMPLEX(2*LINE_INPUT_DCR,2*B162*LINE_INPUT_L)</f>
        <v>0</v>
      </c>
      <c r="F162">
        <f>COMPLEX(0,B162*(LINE_INPUT_CLINE+LINE_INPUT_CCHA/2))</f>
        <v>0</v>
      </c>
      <c r="G162">
        <f>IMPRODUCT("2",IMDIV("1",IMSUM(IMDIV("1",COMPLEX(LDM1_DCR,B162*LDM1_L)),COMPLEX(0,B162*LDM1_CPA))))</f>
        <v>0</v>
      </c>
      <c r="H162">
        <f>IMSUM(IMDIV("1",COMPLEX(CX1_ESR,B162*CX1_ESL-1/(B162*CX1_C))),IMDIV("1",IMSUM(COMPLEX(DUMP1_R,0),COMPLEX(DUMP1_ESR,B162*DUMP1_ESL-1/(B162*DUMP1_C)))))</f>
        <v>0</v>
      </c>
      <c r="I162">
        <f>IMPRODUCT("2",IMDIV("1",IMSUM(IMDIV("1",COMPLEX(LDM2_DCR,B162*LDM2_L)),COMPLEX(0,B162*LDM2_CPA))))</f>
        <v>0</v>
      </c>
      <c r="J162">
        <f>IMSUM(IMDIV("1",COMPLEX(CX2_ESR,B162*CX2_ESL-1/(B162*CX2_C))),IMDIV("1",IMSUM(COMPLEX(DUMP2_R,0),COMPLEX(DUMP2_ESR,B162*DUMP2_ESL-1/(B162*DUMP2_C)))))</f>
        <v>0</v>
      </c>
      <c r="K162">
        <f>IMPRODUCT("2",IMDIV("1",IMSUM(IMDIV("1",COMPLEX(CMC_DCR,B162*CMC_L*(1-CMC_K))),COMPLEX(0,B162*CMC_CPA))))</f>
        <v>0</v>
      </c>
      <c r="L162">
        <f>IMSUM(COMPLEX(0,B162*CMC_CLINE),IMDIV("1",IMPRODUCT("2",COMPLEX(CY_ESR,B162*CY_ESL-1/(B162*CY_C)))),COMPLEX(1/DUMMY_R,0))</f>
        <v>0</v>
      </c>
      <c r="M162">
        <f>IMSUM(D162,IMDIV("1",C162))</f>
        <v>0</v>
      </c>
      <c r="N162">
        <f>IMDIV("1",IMSUM(E162,IMDIV("1",M162)))</f>
        <v>0</v>
      </c>
      <c r="O162">
        <f>IMSUM(F162,N162)</f>
        <v>0</v>
      </c>
      <c r="P162">
        <f>IMDIV("1",IMSUM(G162,IMDIV("1",O162)))</f>
        <v>0</v>
      </c>
      <c r="Q162">
        <f>IMSUM(H162,P162)</f>
        <v>0</v>
      </c>
      <c r="R162">
        <f>IMDIV("1",IMSUM(I162,IMDIV("1",Q162)))</f>
        <v>0</v>
      </c>
      <c r="S162">
        <f>IMSUM(J162,R162)</f>
        <v>0</v>
      </c>
      <c r="T162">
        <f>IMDIV("1",IMSUM(K162,IMDIV("1",S162)))</f>
        <v>0</v>
      </c>
      <c r="U162">
        <f>IMSUM(L162,T162)</f>
        <v>0</v>
      </c>
      <c r="V162">
        <f>IMDIV(COMPLEX(I_DM_SOURCE,0),U162)</f>
        <v>0</v>
      </c>
      <c r="W162">
        <f>IMPRODUCT(V162,T162)</f>
        <v>0</v>
      </c>
      <c r="X162">
        <f>IMDIV(W162,S162)</f>
        <v>0</v>
      </c>
      <c r="Y162">
        <f>IMPRODUCT(X162,R162)</f>
        <v>0</v>
      </c>
      <c r="Z162">
        <f>IMDIV(Y162,Q162)</f>
        <v>0</v>
      </c>
      <c r="AA162">
        <f>IMPRODUCT(Z162,P162)</f>
        <v>0</v>
      </c>
      <c r="AB162">
        <f>AA162</f>
        <v>0</v>
      </c>
      <c r="AC162">
        <f>IMPRODUCT("-1",AB162)</f>
        <v>0</v>
      </c>
      <c r="AD162">
        <f>IMDIV(IMSUB(AB162,AC162),"2")</f>
        <v>0</v>
      </c>
      <c r="AE162" s="6">
        <f>IMABS(AB162)</f>
        <v>0</v>
      </c>
      <c r="AF162" s="6">
        <f>IMABS(AC162)</f>
        <v>0</v>
      </c>
      <c r="AG162" s="6">
        <f>IMABS(AD162)</f>
        <v>0</v>
      </c>
      <c r="AH162" s="7">
        <f>20*LOG10(MAX(AE162,1E-300)*1E6)</f>
        <v>0</v>
      </c>
      <c r="AI162" s="7">
        <f>20*LOG10(MAX(AF162,1E-300)*1E6)</f>
        <v>0</v>
      </c>
      <c r="AJ162" s="7">
        <f>20*LOG10(MAX(AG162,1E-300)*1E6)</f>
        <v>0</v>
      </c>
      <c r="AK162" s="7">
        <f>DEGREES(IMARGUMENT(AB162))</f>
        <v>0</v>
      </c>
      <c r="AL162" s="7">
        <f>DEGREES(IMARGUMENT(AC162))</f>
        <v>0</v>
      </c>
      <c r="AM162" s="7">
        <f>DEGREES(IMARGUMENT(AD162))</f>
        <v>0</v>
      </c>
    </row>
    <row r="163" spans="1:39">
      <c r="A163" s="6">
        <f>10^(LOG10(F_START)+(ROW()-ROW($A$2))*(LOG10(F_STOP)-LOG10(F_START))/(N_POINTS-1))</f>
        <v>0</v>
      </c>
      <c r="B163" s="6">
        <f>2*PI()*A163</f>
        <v>0</v>
      </c>
      <c r="C163">
        <f>COMPLEX(2*LINE_PS_DCR,2*B163*LINE_PS_L)</f>
        <v>0</v>
      </c>
      <c r="D163">
        <f>IMSUM(COMPLEX(0,B163*(LINE_PS_CLINE+LINE_PS_CCHA/2)),IMDIV("1",IMPRODUCT("2",COMPLEX(C_THROUGH_ESR,B163*C_THROUGH_ESL-1/(B163*C_THROUGH_C)))))</f>
        <v>0</v>
      </c>
      <c r="E163">
        <f>COMPLEX(2*LINE_INPUT_DCR,2*B163*LINE_INPUT_L)</f>
        <v>0</v>
      </c>
      <c r="F163">
        <f>COMPLEX(0,B163*(LINE_INPUT_CLINE+LINE_INPUT_CCHA/2))</f>
        <v>0</v>
      </c>
      <c r="G163">
        <f>IMPRODUCT("2",IMDIV("1",IMSUM(IMDIV("1",COMPLEX(LDM1_DCR,B163*LDM1_L)),COMPLEX(0,B163*LDM1_CPA))))</f>
        <v>0</v>
      </c>
      <c r="H163">
        <f>IMSUM(IMDIV("1",COMPLEX(CX1_ESR,B163*CX1_ESL-1/(B163*CX1_C))),IMDIV("1",IMSUM(COMPLEX(DUMP1_R,0),COMPLEX(DUMP1_ESR,B163*DUMP1_ESL-1/(B163*DUMP1_C)))))</f>
        <v>0</v>
      </c>
      <c r="I163">
        <f>IMPRODUCT("2",IMDIV("1",IMSUM(IMDIV("1",COMPLEX(LDM2_DCR,B163*LDM2_L)),COMPLEX(0,B163*LDM2_CPA))))</f>
        <v>0</v>
      </c>
      <c r="J163">
        <f>IMSUM(IMDIV("1",COMPLEX(CX2_ESR,B163*CX2_ESL-1/(B163*CX2_C))),IMDIV("1",IMSUM(COMPLEX(DUMP2_R,0),COMPLEX(DUMP2_ESR,B163*DUMP2_ESL-1/(B163*DUMP2_C)))))</f>
        <v>0</v>
      </c>
      <c r="K163">
        <f>IMPRODUCT("2",IMDIV("1",IMSUM(IMDIV("1",COMPLEX(CMC_DCR,B163*CMC_L*(1-CMC_K))),COMPLEX(0,B163*CMC_CPA))))</f>
        <v>0</v>
      </c>
      <c r="L163">
        <f>IMSUM(COMPLEX(0,B163*CMC_CLINE),IMDIV("1",IMPRODUCT("2",COMPLEX(CY_ESR,B163*CY_ESL-1/(B163*CY_C)))),COMPLEX(1/DUMMY_R,0))</f>
        <v>0</v>
      </c>
      <c r="M163">
        <f>IMSUM(D163,IMDIV("1",C163))</f>
        <v>0</v>
      </c>
      <c r="N163">
        <f>IMDIV("1",IMSUM(E163,IMDIV("1",M163)))</f>
        <v>0</v>
      </c>
      <c r="O163">
        <f>IMSUM(F163,N163)</f>
        <v>0</v>
      </c>
      <c r="P163">
        <f>IMDIV("1",IMSUM(G163,IMDIV("1",O163)))</f>
        <v>0</v>
      </c>
      <c r="Q163">
        <f>IMSUM(H163,P163)</f>
        <v>0</v>
      </c>
      <c r="R163">
        <f>IMDIV("1",IMSUM(I163,IMDIV("1",Q163)))</f>
        <v>0</v>
      </c>
      <c r="S163">
        <f>IMSUM(J163,R163)</f>
        <v>0</v>
      </c>
      <c r="T163">
        <f>IMDIV("1",IMSUM(K163,IMDIV("1",S163)))</f>
        <v>0</v>
      </c>
      <c r="U163">
        <f>IMSUM(L163,T163)</f>
        <v>0</v>
      </c>
      <c r="V163">
        <f>IMDIV(COMPLEX(I_DM_SOURCE,0),U163)</f>
        <v>0</v>
      </c>
      <c r="W163">
        <f>IMPRODUCT(V163,T163)</f>
        <v>0</v>
      </c>
      <c r="X163">
        <f>IMDIV(W163,S163)</f>
        <v>0</v>
      </c>
      <c r="Y163">
        <f>IMPRODUCT(X163,R163)</f>
        <v>0</v>
      </c>
      <c r="Z163">
        <f>IMDIV(Y163,Q163)</f>
        <v>0</v>
      </c>
      <c r="AA163">
        <f>IMPRODUCT(Z163,P163)</f>
        <v>0</v>
      </c>
      <c r="AB163">
        <f>AA163</f>
        <v>0</v>
      </c>
      <c r="AC163">
        <f>IMPRODUCT("-1",AB163)</f>
        <v>0</v>
      </c>
      <c r="AD163">
        <f>IMDIV(IMSUB(AB163,AC163),"2")</f>
        <v>0</v>
      </c>
      <c r="AE163" s="6">
        <f>IMABS(AB163)</f>
        <v>0</v>
      </c>
      <c r="AF163" s="6">
        <f>IMABS(AC163)</f>
        <v>0</v>
      </c>
      <c r="AG163" s="6">
        <f>IMABS(AD163)</f>
        <v>0</v>
      </c>
      <c r="AH163" s="7">
        <f>20*LOG10(MAX(AE163,1E-300)*1E6)</f>
        <v>0</v>
      </c>
      <c r="AI163" s="7">
        <f>20*LOG10(MAX(AF163,1E-300)*1E6)</f>
        <v>0</v>
      </c>
      <c r="AJ163" s="7">
        <f>20*LOG10(MAX(AG163,1E-300)*1E6)</f>
        <v>0</v>
      </c>
      <c r="AK163" s="7">
        <f>DEGREES(IMARGUMENT(AB163))</f>
        <v>0</v>
      </c>
      <c r="AL163" s="7">
        <f>DEGREES(IMARGUMENT(AC163))</f>
        <v>0</v>
      </c>
      <c r="AM163" s="7">
        <f>DEGREES(IMARGUMENT(AD163))</f>
        <v>0</v>
      </c>
    </row>
    <row r="164" spans="1:39">
      <c r="A164" s="6">
        <f>10^(LOG10(F_START)+(ROW()-ROW($A$2))*(LOG10(F_STOP)-LOG10(F_START))/(N_POINTS-1))</f>
        <v>0</v>
      </c>
      <c r="B164" s="6">
        <f>2*PI()*A164</f>
        <v>0</v>
      </c>
      <c r="C164">
        <f>COMPLEX(2*LINE_PS_DCR,2*B164*LINE_PS_L)</f>
        <v>0</v>
      </c>
      <c r="D164">
        <f>IMSUM(COMPLEX(0,B164*(LINE_PS_CLINE+LINE_PS_CCHA/2)),IMDIV("1",IMPRODUCT("2",COMPLEX(C_THROUGH_ESR,B164*C_THROUGH_ESL-1/(B164*C_THROUGH_C)))))</f>
        <v>0</v>
      </c>
      <c r="E164">
        <f>COMPLEX(2*LINE_INPUT_DCR,2*B164*LINE_INPUT_L)</f>
        <v>0</v>
      </c>
      <c r="F164">
        <f>COMPLEX(0,B164*(LINE_INPUT_CLINE+LINE_INPUT_CCHA/2))</f>
        <v>0</v>
      </c>
      <c r="G164">
        <f>IMPRODUCT("2",IMDIV("1",IMSUM(IMDIV("1",COMPLEX(LDM1_DCR,B164*LDM1_L)),COMPLEX(0,B164*LDM1_CPA))))</f>
        <v>0</v>
      </c>
      <c r="H164">
        <f>IMSUM(IMDIV("1",COMPLEX(CX1_ESR,B164*CX1_ESL-1/(B164*CX1_C))),IMDIV("1",IMSUM(COMPLEX(DUMP1_R,0),COMPLEX(DUMP1_ESR,B164*DUMP1_ESL-1/(B164*DUMP1_C)))))</f>
        <v>0</v>
      </c>
      <c r="I164">
        <f>IMPRODUCT("2",IMDIV("1",IMSUM(IMDIV("1",COMPLEX(LDM2_DCR,B164*LDM2_L)),COMPLEX(0,B164*LDM2_CPA))))</f>
        <v>0</v>
      </c>
      <c r="J164">
        <f>IMSUM(IMDIV("1",COMPLEX(CX2_ESR,B164*CX2_ESL-1/(B164*CX2_C))),IMDIV("1",IMSUM(COMPLEX(DUMP2_R,0),COMPLEX(DUMP2_ESR,B164*DUMP2_ESL-1/(B164*DUMP2_C)))))</f>
        <v>0</v>
      </c>
      <c r="K164">
        <f>IMPRODUCT("2",IMDIV("1",IMSUM(IMDIV("1",COMPLEX(CMC_DCR,B164*CMC_L*(1-CMC_K))),COMPLEX(0,B164*CMC_CPA))))</f>
        <v>0</v>
      </c>
      <c r="L164">
        <f>IMSUM(COMPLEX(0,B164*CMC_CLINE),IMDIV("1",IMPRODUCT("2",COMPLEX(CY_ESR,B164*CY_ESL-1/(B164*CY_C)))),COMPLEX(1/DUMMY_R,0))</f>
        <v>0</v>
      </c>
      <c r="M164">
        <f>IMSUM(D164,IMDIV("1",C164))</f>
        <v>0</v>
      </c>
      <c r="N164">
        <f>IMDIV("1",IMSUM(E164,IMDIV("1",M164)))</f>
        <v>0</v>
      </c>
      <c r="O164">
        <f>IMSUM(F164,N164)</f>
        <v>0</v>
      </c>
      <c r="P164">
        <f>IMDIV("1",IMSUM(G164,IMDIV("1",O164)))</f>
        <v>0</v>
      </c>
      <c r="Q164">
        <f>IMSUM(H164,P164)</f>
        <v>0</v>
      </c>
      <c r="R164">
        <f>IMDIV("1",IMSUM(I164,IMDIV("1",Q164)))</f>
        <v>0</v>
      </c>
      <c r="S164">
        <f>IMSUM(J164,R164)</f>
        <v>0</v>
      </c>
      <c r="T164">
        <f>IMDIV("1",IMSUM(K164,IMDIV("1",S164)))</f>
        <v>0</v>
      </c>
      <c r="U164">
        <f>IMSUM(L164,T164)</f>
        <v>0</v>
      </c>
      <c r="V164">
        <f>IMDIV(COMPLEX(I_DM_SOURCE,0),U164)</f>
        <v>0</v>
      </c>
      <c r="W164">
        <f>IMPRODUCT(V164,T164)</f>
        <v>0</v>
      </c>
      <c r="X164">
        <f>IMDIV(W164,S164)</f>
        <v>0</v>
      </c>
      <c r="Y164">
        <f>IMPRODUCT(X164,R164)</f>
        <v>0</v>
      </c>
      <c r="Z164">
        <f>IMDIV(Y164,Q164)</f>
        <v>0</v>
      </c>
      <c r="AA164">
        <f>IMPRODUCT(Z164,P164)</f>
        <v>0</v>
      </c>
      <c r="AB164">
        <f>AA164</f>
        <v>0</v>
      </c>
      <c r="AC164">
        <f>IMPRODUCT("-1",AB164)</f>
        <v>0</v>
      </c>
      <c r="AD164">
        <f>IMDIV(IMSUB(AB164,AC164),"2")</f>
        <v>0</v>
      </c>
      <c r="AE164" s="6">
        <f>IMABS(AB164)</f>
        <v>0</v>
      </c>
      <c r="AF164" s="6">
        <f>IMABS(AC164)</f>
        <v>0</v>
      </c>
      <c r="AG164" s="6">
        <f>IMABS(AD164)</f>
        <v>0</v>
      </c>
      <c r="AH164" s="7">
        <f>20*LOG10(MAX(AE164,1E-300)*1E6)</f>
        <v>0</v>
      </c>
      <c r="AI164" s="7">
        <f>20*LOG10(MAX(AF164,1E-300)*1E6)</f>
        <v>0</v>
      </c>
      <c r="AJ164" s="7">
        <f>20*LOG10(MAX(AG164,1E-300)*1E6)</f>
        <v>0</v>
      </c>
      <c r="AK164" s="7">
        <f>DEGREES(IMARGUMENT(AB164))</f>
        <v>0</v>
      </c>
      <c r="AL164" s="7">
        <f>DEGREES(IMARGUMENT(AC164))</f>
        <v>0</v>
      </c>
      <c r="AM164" s="7">
        <f>DEGREES(IMARGUMENT(AD164))</f>
        <v>0</v>
      </c>
    </row>
    <row r="165" spans="1:39">
      <c r="A165" s="6">
        <f>10^(LOG10(F_START)+(ROW()-ROW($A$2))*(LOG10(F_STOP)-LOG10(F_START))/(N_POINTS-1))</f>
        <v>0</v>
      </c>
      <c r="B165" s="6">
        <f>2*PI()*A165</f>
        <v>0</v>
      </c>
      <c r="C165">
        <f>COMPLEX(2*LINE_PS_DCR,2*B165*LINE_PS_L)</f>
        <v>0</v>
      </c>
      <c r="D165">
        <f>IMSUM(COMPLEX(0,B165*(LINE_PS_CLINE+LINE_PS_CCHA/2)),IMDIV("1",IMPRODUCT("2",COMPLEX(C_THROUGH_ESR,B165*C_THROUGH_ESL-1/(B165*C_THROUGH_C)))))</f>
        <v>0</v>
      </c>
      <c r="E165">
        <f>COMPLEX(2*LINE_INPUT_DCR,2*B165*LINE_INPUT_L)</f>
        <v>0</v>
      </c>
      <c r="F165">
        <f>COMPLEX(0,B165*(LINE_INPUT_CLINE+LINE_INPUT_CCHA/2))</f>
        <v>0</v>
      </c>
      <c r="G165">
        <f>IMPRODUCT("2",IMDIV("1",IMSUM(IMDIV("1",COMPLEX(LDM1_DCR,B165*LDM1_L)),COMPLEX(0,B165*LDM1_CPA))))</f>
        <v>0</v>
      </c>
      <c r="H165">
        <f>IMSUM(IMDIV("1",COMPLEX(CX1_ESR,B165*CX1_ESL-1/(B165*CX1_C))),IMDIV("1",IMSUM(COMPLEX(DUMP1_R,0),COMPLEX(DUMP1_ESR,B165*DUMP1_ESL-1/(B165*DUMP1_C)))))</f>
        <v>0</v>
      </c>
      <c r="I165">
        <f>IMPRODUCT("2",IMDIV("1",IMSUM(IMDIV("1",COMPLEX(LDM2_DCR,B165*LDM2_L)),COMPLEX(0,B165*LDM2_CPA))))</f>
        <v>0</v>
      </c>
      <c r="J165">
        <f>IMSUM(IMDIV("1",COMPLEX(CX2_ESR,B165*CX2_ESL-1/(B165*CX2_C))),IMDIV("1",IMSUM(COMPLEX(DUMP2_R,0),COMPLEX(DUMP2_ESR,B165*DUMP2_ESL-1/(B165*DUMP2_C)))))</f>
        <v>0</v>
      </c>
      <c r="K165">
        <f>IMPRODUCT("2",IMDIV("1",IMSUM(IMDIV("1",COMPLEX(CMC_DCR,B165*CMC_L*(1-CMC_K))),COMPLEX(0,B165*CMC_CPA))))</f>
        <v>0</v>
      </c>
      <c r="L165">
        <f>IMSUM(COMPLEX(0,B165*CMC_CLINE),IMDIV("1",IMPRODUCT("2",COMPLEX(CY_ESR,B165*CY_ESL-1/(B165*CY_C)))),COMPLEX(1/DUMMY_R,0))</f>
        <v>0</v>
      </c>
      <c r="M165">
        <f>IMSUM(D165,IMDIV("1",C165))</f>
        <v>0</v>
      </c>
      <c r="N165">
        <f>IMDIV("1",IMSUM(E165,IMDIV("1",M165)))</f>
        <v>0</v>
      </c>
      <c r="O165">
        <f>IMSUM(F165,N165)</f>
        <v>0</v>
      </c>
      <c r="P165">
        <f>IMDIV("1",IMSUM(G165,IMDIV("1",O165)))</f>
        <v>0</v>
      </c>
      <c r="Q165">
        <f>IMSUM(H165,P165)</f>
        <v>0</v>
      </c>
      <c r="R165">
        <f>IMDIV("1",IMSUM(I165,IMDIV("1",Q165)))</f>
        <v>0</v>
      </c>
      <c r="S165">
        <f>IMSUM(J165,R165)</f>
        <v>0</v>
      </c>
      <c r="T165">
        <f>IMDIV("1",IMSUM(K165,IMDIV("1",S165)))</f>
        <v>0</v>
      </c>
      <c r="U165">
        <f>IMSUM(L165,T165)</f>
        <v>0</v>
      </c>
      <c r="V165">
        <f>IMDIV(COMPLEX(I_DM_SOURCE,0),U165)</f>
        <v>0</v>
      </c>
      <c r="W165">
        <f>IMPRODUCT(V165,T165)</f>
        <v>0</v>
      </c>
      <c r="X165">
        <f>IMDIV(W165,S165)</f>
        <v>0</v>
      </c>
      <c r="Y165">
        <f>IMPRODUCT(X165,R165)</f>
        <v>0</v>
      </c>
      <c r="Z165">
        <f>IMDIV(Y165,Q165)</f>
        <v>0</v>
      </c>
      <c r="AA165">
        <f>IMPRODUCT(Z165,P165)</f>
        <v>0</v>
      </c>
      <c r="AB165">
        <f>AA165</f>
        <v>0</v>
      </c>
      <c r="AC165">
        <f>IMPRODUCT("-1",AB165)</f>
        <v>0</v>
      </c>
      <c r="AD165">
        <f>IMDIV(IMSUB(AB165,AC165),"2")</f>
        <v>0</v>
      </c>
      <c r="AE165" s="6">
        <f>IMABS(AB165)</f>
        <v>0</v>
      </c>
      <c r="AF165" s="6">
        <f>IMABS(AC165)</f>
        <v>0</v>
      </c>
      <c r="AG165" s="6">
        <f>IMABS(AD165)</f>
        <v>0</v>
      </c>
      <c r="AH165" s="7">
        <f>20*LOG10(MAX(AE165,1E-300)*1E6)</f>
        <v>0</v>
      </c>
      <c r="AI165" s="7">
        <f>20*LOG10(MAX(AF165,1E-300)*1E6)</f>
        <v>0</v>
      </c>
      <c r="AJ165" s="7">
        <f>20*LOG10(MAX(AG165,1E-300)*1E6)</f>
        <v>0</v>
      </c>
      <c r="AK165" s="7">
        <f>DEGREES(IMARGUMENT(AB165))</f>
        <v>0</v>
      </c>
      <c r="AL165" s="7">
        <f>DEGREES(IMARGUMENT(AC165))</f>
        <v>0</v>
      </c>
      <c r="AM165" s="7">
        <f>DEGREES(IMARGUMENT(AD165))</f>
        <v>0</v>
      </c>
    </row>
    <row r="166" spans="1:39">
      <c r="A166" s="6">
        <f>10^(LOG10(F_START)+(ROW()-ROW($A$2))*(LOG10(F_STOP)-LOG10(F_START))/(N_POINTS-1))</f>
        <v>0</v>
      </c>
      <c r="B166" s="6">
        <f>2*PI()*A166</f>
        <v>0</v>
      </c>
      <c r="C166">
        <f>COMPLEX(2*LINE_PS_DCR,2*B166*LINE_PS_L)</f>
        <v>0</v>
      </c>
      <c r="D166">
        <f>IMSUM(COMPLEX(0,B166*(LINE_PS_CLINE+LINE_PS_CCHA/2)),IMDIV("1",IMPRODUCT("2",COMPLEX(C_THROUGH_ESR,B166*C_THROUGH_ESL-1/(B166*C_THROUGH_C)))))</f>
        <v>0</v>
      </c>
      <c r="E166">
        <f>COMPLEX(2*LINE_INPUT_DCR,2*B166*LINE_INPUT_L)</f>
        <v>0</v>
      </c>
      <c r="F166">
        <f>COMPLEX(0,B166*(LINE_INPUT_CLINE+LINE_INPUT_CCHA/2))</f>
        <v>0</v>
      </c>
      <c r="G166">
        <f>IMPRODUCT("2",IMDIV("1",IMSUM(IMDIV("1",COMPLEX(LDM1_DCR,B166*LDM1_L)),COMPLEX(0,B166*LDM1_CPA))))</f>
        <v>0</v>
      </c>
      <c r="H166">
        <f>IMSUM(IMDIV("1",COMPLEX(CX1_ESR,B166*CX1_ESL-1/(B166*CX1_C))),IMDIV("1",IMSUM(COMPLEX(DUMP1_R,0),COMPLEX(DUMP1_ESR,B166*DUMP1_ESL-1/(B166*DUMP1_C)))))</f>
        <v>0</v>
      </c>
      <c r="I166">
        <f>IMPRODUCT("2",IMDIV("1",IMSUM(IMDIV("1",COMPLEX(LDM2_DCR,B166*LDM2_L)),COMPLEX(0,B166*LDM2_CPA))))</f>
        <v>0</v>
      </c>
      <c r="J166">
        <f>IMSUM(IMDIV("1",COMPLEX(CX2_ESR,B166*CX2_ESL-1/(B166*CX2_C))),IMDIV("1",IMSUM(COMPLEX(DUMP2_R,0),COMPLEX(DUMP2_ESR,B166*DUMP2_ESL-1/(B166*DUMP2_C)))))</f>
        <v>0</v>
      </c>
      <c r="K166">
        <f>IMPRODUCT("2",IMDIV("1",IMSUM(IMDIV("1",COMPLEX(CMC_DCR,B166*CMC_L*(1-CMC_K))),COMPLEX(0,B166*CMC_CPA))))</f>
        <v>0</v>
      </c>
      <c r="L166">
        <f>IMSUM(COMPLEX(0,B166*CMC_CLINE),IMDIV("1",IMPRODUCT("2",COMPLEX(CY_ESR,B166*CY_ESL-1/(B166*CY_C)))),COMPLEX(1/DUMMY_R,0))</f>
        <v>0</v>
      </c>
      <c r="M166">
        <f>IMSUM(D166,IMDIV("1",C166))</f>
        <v>0</v>
      </c>
      <c r="N166">
        <f>IMDIV("1",IMSUM(E166,IMDIV("1",M166)))</f>
        <v>0</v>
      </c>
      <c r="O166">
        <f>IMSUM(F166,N166)</f>
        <v>0</v>
      </c>
      <c r="P166">
        <f>IMDIV("1",IMSUM(G166,IMDIV("1",O166)))</f>
        <v>0</v>
      </c>
      <c r="Q166">
        <f>IMSUM(H166,P166)</f>
        <v>0</v>
      </c>
      <c r="R166">
        <f>IMDIV("1",IMSUM(I166,IMDIV("1",Q166)))</f>
        <v>0</v>
      </c>
      <c r="S166">
        <f>IMSUM(J166,R166)</f>
        <v>0</v>
      </c>
      <c r="T166">
        <f>IMDIV("1",IMSUM(K166,IMDIV("1",S166)))</f>
        <v>0</v>
      </c>
      <c r="U166">
        <f>IMSUM(L166,T166)</f>
        <v>0</v>
      </c>
      <c r="V166">
        <f>IMDIV(COMPLEX(I_DM_SOURCE,0),U166)</f>
        <v>0</v>
      </c>
      <c r="W166">
        <f>IMPRODUCT(V166,T166)</f>
        <v>0</v>
      </c>
      <c r="X166">
        <f>IMDIV(W166,S166)</f>
        <v>0</v>
      </c>
      <c r="Y166">
        <f>IMPRODUCT(X166,R166)</f>
        <v>0</v>
      </c>
      <c r="Z166">
        <f>IMDIV(Y166,Q166)</f>
        <v>0</v>
      </c>
      <c r="AA166">
        <f>IMPRODUCT(Z166,P166)</f>
        <v>0</v>
      </c>
      <c r="AB166">
        <f>AA166</f>
        <v>0</v>
      </c>
      <c r="AC166">
        <f>IMPRODUCT("-1",AB166)</f>
        <v>0</v>
      </c>
      <c r="AD166">
        <f>IMDIV(IMSUB(AB166,AC166),"2")</f>
        <v>0</v>
      </c>
      <c r="AE166" s="6">
        <f>IMABS(AB166)</f>
        <v>0</v>
      </c>
      <c r="AF166" s="6">
        <f>IMABS(AC166)</f>
        <v>0</v>
      </c>
      <c r="AG166" s="6">
        <f>IMABS(AD166)</f>
        <v>0</v>
      </c>
      <c r="AH166" s="7">
        <f>20*LOG10(MAX(AE166,1E-300)*1E6)</f>
        <v>0</v>
      </c>
      <c r="AI166" s="7">
        <f>20*LOG10(MAX(AF166,1E-300)*1E6)</f>
        <v>0</v>
      </c>
      <c r="AJ166" s="7">
        <f>20*LOG10(MAX(AG166,1E-300)*1E6)</f>
        <v>0</v>
      </c>
      <c r="AK166" s="7">
        <f>DEGREES(IMARGUMENT(AB166))</f>
        <v>0</v>
      </c>
      <c r="AL166" s="7">
        <f>DEGREES(IMARGUMENT(AC166))</f>
        <v>0</v>
      </c>
      <c r="AM166" s="7">
        <f>DEGREES(IMARGUMENT(AD166))</f>
        <v>0</v>
      </c>
    </row>
    <row r="167" spans="1:39">
      <c r="A167" s="6">
        <f>10^(LOG10(F_START)+(ROW()-ROW($A$2))*(LOG10(F_STOP)-LOG10(F_START))/(N_POINTS-1))</f>
        <v>0</v>
      </c>
      <c r="B167" s="6">
        <f>2*PI()*A167</f>
        <v>0</v>
      </c>
      <c r="C167">
        <f>COMPLEX(2*LINE_PS_DCR,2*B167*LINE_PS_L)</f>
        <v>0</v>
      </c>
      <c r="D167">
        <f>IMSUM(COMPLEX(0,B167*(LINE_PS_CLINE+LINE_PS_CCHA/2)),IMDIV("1",IMPRODUCT("2",COMPLEX(C_THROUGH_ESR,B167*C_THROUGH_ESL-1/(B167*C_THROUGH_C)))))</f>
        <v>0</v>
      </c>
      <c r="E167">
        <f>COMPLEX(2*LINE_INPUT_DCR,2*B167*LINE_INPUT_L)</f>
        <v>0</v>
      </c>
      <c r="F167">
        <f>COMPLEX(0,B167*(LINE_INPUT_CLINE+LINE_INPUT_CCHA/2))</f>
        <v>0</v>
      </c>
      <c r="G167">
        <f>IMPRODUCT("2",IMDIV("1",IMSUM(IMDIV("1",COMPLEX(LDM1_DCR,B167*LDM1_L)),COMPLEX(0,B167*LDM1_CPA))))</f>
        <v>0</v>
      </c>
      <c r="H167">
        <f>IMSUM(IMDIV("1",COMPLEX(CX1_ESR,B167*CX1_ESL-1/(B167*CX1_C))),IMDIV("1",IMSUM(COMPLEX(DUMP1_R,0),COMPLEX(DUMP1_ESR,B167*DUMP1_ESL-1/(B167*DUMP1_C)))))</f>
        <v>0</v>
      </c>
      <c r="I167">
        <f>IMPRODUCT("2",IMDIV("1",IMSUM(IMDIV("1",COMPLEX(LDM2_DCR,B167*LDM2_L)),COMPLEX(0,B167*LDM2_CPA))))</f>
        <v>0</v>
      </c>
      <c r="J167">
        <f>IMSUM(IMDIV("1",COMPLEX(CX2_ESR,B167*CX2_ESL-1/(B167*CX2_C))),IMDIV("1",IMSUM(COMPLEX(DUMP2_R,0),COMPLEX(DUMP2_ESR,B167*DUMP2_ESL-1/(B167*DUMP2_C)))))</f>
        <v>0</v>
      </c>
      <c r="K167">
        <f>IMPRODUCT("2",IMDIV("1",IMSUM(IMDIV("1",COMPLEX(CMC_DCR,B167*CMC_L*(1-CMC_K))),COMPLEX(0,B167*CMC_CPA))))</f>
        <v>0</v>
      </c>
      <c r="L167">
        <f>IMSUM(COMPLEX(0,B167*CMC_CLINE),IMDIV("1",IMPRODUCT("2",COMPLEX(CY_ESR,B167*CY_ESL-1/(B167*CY_C)))),COMPLEX(1/DUMMY_R,0))</f>
        <v>0</v>
      </c>
      <c r="M167">
        <f>IMSUM(D167,IMDIV("1",C167))</f>
        <v>0</v>
      </c>
      <c r="N167">
        <f>IMDIV("1",IMSUM(E167,IMDIV("1",M167)))</f>
        <v>0</v>
      </c>
      <c r="O167">
        <f>IMSUM(F167,N167)</f>
        <v>0</v>
      </c>
      <c r="P167">
        <f>IMDIV("1",IMSUM(G167,IMDIV("1",O167)))</f>
        <v>0</v>
      </c>
      <c r="Q167">
        <f>IMSUM(H167,P167)</f>
        <v>0</v>
      </c>
      <c r="R167">
        <f>IMDIV("1",IMSUM(I167,IMDIV("1",Q167)))</f>
        <v>0</v>
      </c>
      <c r="S167">
        <f>IMSUM(J167,R167)</f>
        <v>0</v>
      </c>
      <c r="T167">
        <f>IMDIV("1",IMSUM(K167,IMDIV("1",S167)))</f>
        <v>0</v>
      </c>
      <c r="U167">
        <f>IMSUM(L167,T167)</f>
        <v>0</v>
      </c>
      <c r="V167">
        <f>IMDIV(COMPLEX(I_DM_SOURCE,0),U167)</f>
        <v>0</v>
      </c>
      <c r="W167">
        <f>IMPRODUCT(V167,T167)</f>
        <v>0</v>
      </c>
      <c r="X167">
        <f>IMDIV(W167,S167)</f>
        <v>0</v>
      </c>
      <c r="Y167">
        <f>IMPRODUCT(X167,R167)</f>
        <v>0</v>
      </c>
      <c r="Z167">
        <f>IMDIV(Y167,Q167)</f>
        <v>0</v>
      </c>
      <c r="AA167">
        <f>IMPRODUCT(Z167,P167)</f>
        <v>0</v>
      </c>
      <c r="AB167">
        <f>AA167</f>
        <v>0</v>
      </c>
      <c r="AC167">
        <f>IMPRODUCT("-1",AB167)</f>
        <v>0</v>
      </c>
      <c r="AD167">
        <f>IMDIV(IMSUB(AB167,AC167),"2")</f>
        <v>0</v>
      </c>
      <c r="AE167" s="6">
        <f>IMABS(AB167)</f>
        <v>0</v>
      </c>
      <c r="AF167" s="6">
        <f>IMABS(AC167)</f>
        <v>0</v>
      </c>
      <c r="AG167" s="6">
        <f>IMABS(AD167)</f>
        <v>0</v>
      </c>
      <c r="AH167" s="7">
        <f>20*LOG10(MAX(AE167,1E-300)*1E6)</f>
        <v>0</v>
      </c>
      <c r="AI167" s="7">
        <f>20*LOG10(MAX(AF167,1E-300)*1E6)</f>
        <v>0</v>
      </c>
      <c r="AJ167" s="7">
        <f>20*LOG10(MAX(AG167,1E-300)*1E6)</f>
        <v>0</v>
      </c>
      <c r="AK167" s="7">
        <f>DEGREES(IMARGUMENT(AB167))</f>
        <v>0</v>
      </c>
      <c r="AL167" s="7">
        <f>DEGREES(IMARGUMENT(AC167))</f>
        <v>0</v>
      </c>
      <c r="AM167" s="7">
        <f>DEGREES(IMARGUMENT(AD167))</f>
        <v>0</v>
      </c>
    </row>
    <row r="168" spans="1:39">
      <c r="A168" s="6">
        <f>10^(LOG10(F_START)+(ROW()-ROW($A$2))*(LOG10(F_STOP)-LOG10(F_START))/(N_POINTS-1))</f>
        <v>0</v>
      </c>
      <c r="B168" s="6">
        <f>2*PI()*A168</f>
        <v>0</v>
      </c>
      <c r="C168">
        <f>COMPLEX(2*LINE_PS_DCR,2*B168*LINE_PS_L)</f>
        <v>0</v>
      </c>
      <c r="D168">
        <f>IMSUM(COMPLEX(0,B168*(LINE_PS_CLINE+LINE_PS_CCHA/2)),IMDIV("1",IMPRODUCT("2",COMPLEX(C_THROUGH_ESR,B168*C_THROUGH_ESL-1/(B168*C_THROUGH_C)))))</f>
        <v>0</v>
      </c>
      <c r="E168">
        <f>COMPLEX(2*LINE_INPUT_DCR,2*B168*LINE_INPUT_L)</f>
        <v>0</v>
      </c>
      <c r="F168">
        <f>COMPLEX(0,B168*(LINE_INPUT_CLINE+LINE_INPUT_CCHA/2))</f>
        <v>0</v>
      </c>
      <c r="G168">
        <f>IMPRODUCT("2",IMDIV("1",IMSUM(IMDIV("1",COMPLEX(LDM1_DCR,B168*LDM1_L)),COMPLEX(0,B168*LDM1_CPA))))</f>
        <v>0</v>
      </c>
      <c r="H168">
        <f>IMSUM(IMDIV("1",COMPLEX(CX1_ESR,B168*CX1_ESL-1/(B168*CX1_C))),IMDIV("1",IMSUM(COMPLEX(DUMP1_R,0),COMPLEX(DUMP1_ESR,B168*DUMP1_ESL-1/(B168*DUMP1_C)))))</f>
        <v>0</v>
      </c>
      <c r="I168">
        <f>IMPRODUCT("2",IMDIV("1",IMSUM(IMDIV("1",COMPLEX(LDM2_DCR,B168*LDM2_L)),COMPLEX(0,B168*LDM2_CPA))))</f>
        <v>0</v>
      </c>
      <c r="J168">
        <f>IMSUM(IMDIV("1",COMPLEX(CX2_ESR,B168*CX2_ESL-1/(B168*CX2_C))),IMDIV("1",IMSUM(COMPLEX(DUMP2_R,0),COMPLEX(DUMP2_ESR,B168*DUMP2_ESL-1/(B168*DUMP2_C)))))</f>
        <v>0</v>
      </c>
      <c r="K168">
        <f>IMPRODUCT("2",IMDIV("1",IMSUM(IMDIV("1",COMPLEX(CMC_DCR,B168*CMC_L*(1-CMC_K))),COMPLEX(0,B168*CMC_CPA))))</f>
        <v>0</v>
      </c>
      <c r="L168">
        <f>IMSUM(COMPLEX(0,B168*CMC_CLINE),IMDIV("1",IMPRODUCT("2",COMPLEX(CY_ESR,B168*CY_ESL-1/(B168*CY_C)))),COMPLEX(1/DUMMY_R,0))</f>
        <v>0</v>
      </c>
      <c r="M168">
        <f>IMSUM(D168,IMDIV("1",C168))</f>
        <v>0</v>
      </c>
      <c r="N168">
        <f>IMDIV("1",IMSUM(E168,IMDIV("1",M168)))</f>
        <v>0</v>
      </c>
      <c r="O168">
        <f>IMSUM(F168,N168)</f>
        <v>0</v>
      </c>
      <c r="P168">
        <f>IMDIV("1",IMSUM(G168,IMDIV("1",O168)))</f>
        <v>0</v>
      </c>
      <c r="Q168">
        <f>IMSUM(H168,P168)</f>
        <v>0</v>
      </c>
      <c r="R168">
        <f>IMDIV("1",IMSUM(I168,IMDIV("1",Q168)))</f>
        <v>0</v>
      </c>
      <c r="S168">
        <f>IMSUM(J168,R168)</f>
        <v>0</v>
      </c>
      <c r="T168">
        <f>IMDIV("1",IMSUM(K168,IMDIV("1",S168)))</f>
        <v>0</v>
      </c>
      <c r="U168">
        <f>IMSUM(L168,T168)</f>
        <v>0</v>
      </c>
      <c r="V168">
        <f>IMDIV(COMPLEX(I_DM_SOURCE,0),U168)</f>
        <v>0</v>
      </c>
      <c r="W168">
        <f>IMPRODUCT(V168,T168)</f>
        <v>0</v>
      </c>
      <c r="X168">
        <f>IMDIV(W168,S168)</f>
        <v>0</v>
      </c>
      <c r="Y168">
        <f>IMPRODUCT(X168,R168)</f>
        <v>0</v>
      </c>
      <c r="Z168">
        <f>IMDIV(Y168,Q168)</f>
        <v>0</v>
      </c>
      <c r="AA168">
        <f>IMPRODUCT(Z168,P168)</f>
        <v>0</v>
      </c>
      <c r="AB168">
        <f>AA168</f>
        <v>0</v>
      </c>
      <c r="AC168">
        <f>IMPRODUCT("-1",AB168)</f>
        <v>0</v>
      </c>
      <c r="AD168">
        <f>IMDIV(IMSUB(AB168,AC168),"2")</f>
        <v>0</v>
      </c>
      <c r="AE168" s="6">
        <f>IMABS(AB168)</f>
        <v>0</v>
      </c>
      <c r="AF168" s="6">
        <f>IMABS(AC168)</f>
        <v>0</v>
      </c>
      <c r="AG168" s="6">
        <f>IMABS(AD168)</f>
        <v>0</v>
      </c>
      <c r="AH168" s="7">
        <f>20*LOG10(MAX(AE168,1E-300)*1E6)</f>
        <v>0</v>
      </c>
      <c r="AI168" s="7">
        <f>20*LOG10(MAX(AF168,1E-300)*1E6)</f>
        <v>0</v>
      </c>
      <c r="AJ168" s="7">
        <f>20*LOG10(MAX(AG168,1E-300)*1E6)</f>
        <v>0</v>
      </c>
      <c r="AK168" s="7">
        <f>DEGREES(IMARGUMENT(AB168))</f>
        <v>0</v>
      </c>
      <c r="AL168" s="7">
        <f>DEGREES(IMARGUMENT(AC168))</f>
        <v>0</v>
      </c>
      <c r="AM168" s="7">
        <f>DEGREES(IMARGUMENT(AD168))</f>
        <v>0</v>
      </c>
    </row>
    <row r="169" spans="1:39">
      <c r="A169" s="6">
        <f>10^(LOG10(F_START)+(ROW()-ROW($A$2))*(LOG10(F_STOP)-LOG10(F_START))/(N_POINTS-1))</f>
        <v>0</v>
      </c>
      <c r="B169" s="6">
        <f>2*PI()*A169</f>
        <v>0</v>
      </c>
      <c r="C169">
        <f>COMPLEX(2*LINE_PS_DCR,2*B169*LINE_PS_L)</f>
        <v>0</v>
      </c>
      <c r="D169">
        <f>IMSUM(COMPLEX(0,B169*(LINE_PS_CLINE+LINE_PS_CCHA/2)),IMDIV("1",IMPRODUCT("2",COMPLEX(C_THROUGH_ESR,B169*C_THROUGH_ESL-1/(B169*C_THROUGH_C)))))</f>
        <v>0</v>
      </c>
      <c r="E169">
        <f>COMPLEX(2*LINE_INPUT_DCR,2*B169*LINE_INPUT_L)</f>
        <v>0</v>
      </c>
      <c r="F169">
        <f>COMPLEX(0,B169*(LINE_INPUT_CLINE+LINE_INPUT_CCHA/2))</f>
        <v>0</v>
      </c>
      <c r="G169">
        <f>IMPRODUCT("2",IMDIV("1",IMSUM(IMDIV("1",COMPLEX(LDM1_DCR,B169*LDM1_L)),COMPLEX(0,B169*LDM1_CPA))))</f>
        <v>0</v>
      </c>
      <c r="H169">
        <f>IMSUM(IMDIV("1",COMPLEX(CX1_ESR,B169*CX1_ESL-1/(B169*CX1_C))),IMDIV("1",IMSUM(COMPLEX(DUMP1_R,0),COMPLEX(DUMP1_ESR,B169*DUMP1_ESL-1/(B169*DUMP1_C)))))</f>
        <v>0</v>
      </c>
      <c r="I169">
        <f>IMPRODUCT("2",IMDIV("1",IMSUM(IMDIV("1",COMPLEX(LDM2_DCR,B169*LDM2_L)),COMPLEX(0,B169*LDM2_CPA))))</f>
        <v>0</v>
      </c>
      <c r="J169">
        <f>IMSUM(IMDIV("1",COMPLEX(CX2_ESR,B169*CX2_ESL-1/(B169*CX2_C))),IMDIV("1",IMSUM(COMPLEX(DUMP2_R,0),COMPLEX(DUMP2_ESR,B169*DUMP2_ESL-1/(B169*DUMP2_C)))))</f>
        <v>0</v>
      </c>
      <c r="K169">
        <f>IMPRODUCT("2",IMDIV("1",IMSUM(IMDIV("1",COMPLEX(CMC_DCR,B169*CMC_L*(1-CMC_K))),COMPLEX(0,B169*CMC_CPA))))</f>
        <v>0</v>
      </c>
      <c r="L169">
        <f>IMSUM(COMPLEX(0,B169*CMC_CLINE),IMDIV("1",IMPRODUCT("2",COMPLEX(CY_ESR,B169*CY_ESL-1/(B169*CY_C)))),COMPLEX(1/DUMMY_R,0))</f>
        <v>0</v>
      </c>
      <c r="M169">
        <f>IMSUM(D169,IMDIV("1",C169))</f>
        <v>0</v>
      </c>
      <c r="N169">
        <f>IMDIV("1",IMSUM(E169,IMDIV("1",M169)))</f>
        <v>0</v>
      </c>
      <c r="O169">
        <f>IMSUM(F169,N169)</f>
        <v>0</v>
      </c>
      <c r="P169">
        <f>IMDIV("1",IMSUM(G169,IMDIV("1",O169)))</f>
        <v>0</v>
      </c>
      <c r="Q169">
        <f>IMSUM(H169,P169)</f>
        <v>0</v>
      </c>
      <c r="R169">
        <f>IMDIV("1",IMSUM(I169,IMDIV("1",Q169)))</f>
        <v>0</v>
      </c>
      <c r="S169">
        <f>IMSUM(J169,R169)</f>
        <v>0</v>
      </c>
      <c r="T169">
        <f>IMDIV("1",IMSUM(K169,IMDIV("1",S169)))</f>
        <v>0</v>
      </c>
      <c r="U169">
        <f>IMSUM(L169,T169)</f>
        <v>0</v>
      </c>
      <c r="V169">
        <f>IMDIV(COMPLEX(I_DM_SOURCE,0),U169)</f>
        <v>0</v>
      </c>
      <c r="W169">
        <f>IMPRODUCT(V169,T169)</f>
        <v>0</v>
      </c>
      <c r="X169">
        <f>IMDIV(W169,S169)</f>
        <v>0</v>
      </c>
      <c r="Y169">
        <f>IMPRODUCT(X169,R169)</f>
        <v>0</v>
      </c>
      <c r="Z169">
        <f>IMDIV(Y169,Q169)</f>
        <v>0</v>
      </c>
      <c r="AA169">
        <f>IMPRODUCT(Z169,P169)</f>
        <v>0</v>
      </c>
      <c r="AB169">
        <f>AA169</f>
        <v>0</v>
      </c>
      <c r="AC169">
        <f>IMPRODUCT("-1",AB169)</f>
        <v>0</v>
      </c>
      <c r="AD169">
        <f>IMDIV(IMSUB(AB169,AC169),"2")</f>
        <v>0</v>
      </c>
      <c r="AE169" s="6">
        <f>IMABS(AB169)</f>
        <v>0</v>
      </c>
      <c r="AF169" s="6">
        <f>IMABS(AC169)</f>
        <v>0</v>
      </c>
      <c r="AG169" s="6">
        <f>IMABS(AD169)</f>
        <v>0</v>
      </c>
      <c r="AH169" s="7">
        <f>20*LOG10(MAX(AE169,1E-300)*1E6)</f>
        <v>0</v>
      </c>
      <c r="AI169" s="7">
        <f>20*LOG10(MAX(AF169,1E-300)*1E6)</f>
        <v>0</v>
      </c>
      <c r="AJ169" s="7">
        <f>20*LOG10(MAX(AG169,1E-300)*1E6)</f>
        <v>0</v>
      </c>
      <c r="AK169" s="7">
        <f>DEGREES(IMARGUMENT(AB169))</f>
        <v>0</v>
      </c>
      <c r="AL169" s="7">
        <f>DEGREES(IMARGUMENT(AC169))</f>
        <v>0</v>
      </c>
      <c r="AM169" s="7">
        <f>DEGREES(IMARGUMENT(AD169))</f>
        <v>0</v>
      </c>
    </row>
    <row r="170" spans="1:39">
      <c r="A170" s="6">
        <f>10^(LOG10(F_START)+(ROW()-ROW($A$2))*(LOG10(F_STOP)-LOG10(F_START))/(N_POINTS-1))</f>
        <v>0</v>
      </c>
      <c r="B170" s="6">
        <f>2*PI()*A170</f>
        <v>0</v>
      </c>
      <c r="C170">
        <f>COMPLEX(2*LINE_PS_DCR,2*B170*LINE_PS_L)</f>
        <v>0</v>
      </c>
      <c r="D170">
        <f>IMSUM(COMPLEX(0,B170*(LINE_PS_CLINE+LINE_PS_CCHA/2)),IMDIV("1",IMPRODUCT("2",COMPLEX(C_THROUGH_ESR,B170*C_THROUGH_ESL-1/(B170*C_THROUGH_C)))))</f>
        <v>0</v>
      </c>
      <c r="E170">
        <f>COMPLEX(2*LINE_INPUT_DCR,2*B170*LINE_INPUT_L)</f>
        <v>0</v>
      </c>
      <c r="F170">
        <f>COMPLEX(0,B170*(LINE_INPUT_CLINE+LINE_INPUT_CCHA/2))</f>
        <v>0</v>
      </c>
      <c r="G170">
        <f>IMPRODUCT("2",IMDIV("1",IMSUM(IMDIV("1",COMPLEX(LDM1_DCR,B170*LDM1_L)),COMPLEX(0,B170*LDM1_CPA))))</f>
        <v>0</v>
      </c>
      <c r="H170">
        <f>IMSUM(IMDIV("1",COMPLEX(CX1_ESR,B170*CX1_ESL-1/(B170*CX1_C))),IMDIV("1",IMSUM(COMPLEX(DUMP1_R,0),COMPLEX(DUMP1_ESR,B170*DUMP1_ESL-1/(B170*DUMP1_C)))))</f>
        <v>0</v>
      </c>
      <c r="I170">
        <f>IMPRODUCT("2",IMDIV("1",IMSUM(IMDIV("1",COMPLEX(LDM2_DCR,B170*LDM2_L)),COMPLEX(0,B170*LDM2_CPA))))</f>
        <v>0</v>
      </c>
      <c r="J170">
        <f>IMSUM(IMDIV("1",COMPLEX(CX2_ESR,B170*CX2_ESL-1/(B170*CX2_C))),IMDIV("1",IMSUM(COMPLEX(DUMP2_R,0),COMPLEX(DUMP2_ESR,B170*DUMP2_ESL-1/(B170*DUMP2_C)))))</f>
        <v>0</v>
      </c>
      <c r="K170">
        <f>IMPRODUCT("2",IMDIV("1",IMSUM(IMDIV("1",COMPLEX(CMC_DCR,B170*CMC_L*(1-CMC_K))),COMPLEX(0,B170*CMC_CPA))))</f>
        <v>0</v>
      </c>
      <c r="L170">
        <f>IMSUM(COMPLEX(0,B170*CMC_CLINE),IMDIV("1",IMPRODUCT("2",COMPLEX(CY_ESR,B170*CY_ESL-1/(B170*CY_C)))),COMPLEX(1/DUMMY_R,0))</f>
        <v>0</v>
      </c>
      <c r="M170">
        <f>IMSUM(D170,IMDIV("1",C170))</f>
        <v>0</v>
      </c>
      <c r="N170">
        <f>IMDIV("1",IMSUM(E170,IMDIV("1",M170)))</f>
        <v>0</v>
      </c>
      <c r="O170">
        <f>IMSUM(F170,N170)</f>
        <v>0</v>
      </c>
      <c r="P170">
        <f>IMDIV("1",IMSUM(G170,IMDIV("1",O170)))</f>
        <v>0</v>
      </c>
      <c r="Q170">
        <f>IMSUM(H170,P170)</f>
        <v>0</v>
      </c>
      <c r="R170">
        <f>IMDIV("1",IMSUM(I170,IMDIV("1",Q170)))</f>
        <v>0</v>
      </c>
      <c r="S170">
        <f>IMSUM(J170,R170)</f>
        <v>0</v>
      </c>
      <c r="T170">
        <f>IMDIV("1",IMSUM(K170,IMDIV("1",S170)))</f>
        <v>0</v>
      </c>
      <c r="U170">
        <f>IMSUM(L170,T170)</f>
        <v>0</v>
      </c>
      <c r="V170">
        <f>IMDIV(COMPLEX(I_DM_SOURCE,0),U170)</f>
        <v>0</v>
      </c>
      <c r="W170">
        <f>IMPRODUCT(V170,T170)</f>
        <v>0</v>
      </c>
      <c r="X170">
        <f>IMDIV(W170,S170)</f>
        <v>0</v>
      </c>
      <c r="Y170">
        <f>IMPRODUCT(X170,R170)</f>
        <v>0</v>
      </c>
      <c r="Z170">
        <f>IMDIV(Y170,Q170)</f>
        <v>0</v>
      </c>
      <c r="AA170">
        <f>IMPRODUCT(Z170,P170)</f>
        <v>0</v>
      </c>
      <c r="AB170">
        <f>AA170</f>
        <v>0</v>
      </c>
      <c r="AC170">
        <f>IMPRODUCT("-1",AB170)</f>
        <v>0</v>
      </c>
      <c r="AD170">
        <f>IMDIV(IMSUB(AB170,AC170),"2")</f>
        <v>0</v>
      </c>
      <c r="AE170" s="6">
        <f>IMABS(AB170)</f>
        <v>0</v>
      </c>
      <c r="AF170" s="6">
        <f>IMABS(AC170)</f>
        <v>0</v>
      </c>
      <c r="AG170" s="6">
        <f>IMABS(AD170)</f>
        <v>0</v>
      </c>
      <c r="AH170" s="7">
        <f>20*LOG10(MAX(AE170,1E-300)*1E6)</f>
        <v>0</v>
      </c>
      <c r="AI170" s="7">
        <f>20*LOG10(MAX(AF170,1E-300)*1E6)</f>
        <v>0</v>
      </c>
      <c r="AJ170" s="7">
        <f>20*LOG10(MAX(AG170,1E-300)*1E6)</f>
        <v>0</v>
      </c>
      <c r="AK170" s="7">
        <f>DEGREES(IMARGUMENT(AB170))</f>
        <v>0</v>
      </c>
      <c r="AL170" s="7">
        <f>DEGREES(IMARGUMENT(AC170))</f>
        <v>0</v>
      </c>
      <c r="AM170" s="7">
        <f>DEGREES(IMARGUMENT(AD170))</f>
        <v>0</v>
      </c>
    </row>
    <row r="171" spans="1:39">
      <c r="A171" s="6">
        <f>10^(LOG10(F_START)+(ROW()-ROW($A$2))*(LOG10(F_STOP)-LOG10(F_START))/(N_POINTS-1))</f>
        <v>0</v>
      </c>
      <c r="B171" s="6">
        <f>2*PI()*A171</f>
        <v>0</v>
      </c>
      <c r="C171">
        <f>COMPLEX(2*LINE_PS_DCR,2*B171*LINE_PS_L)</f>
        <v>0</v>
      </c>
      <c r="D171">
        <f>IMSUM(COMPLEX(0,B171*(LINE_PS_CLINE+LINE_PS_CCHA/2)),IMDIV("1",IMPRODUCT("2",COMPLEX(C_THROUGH_ESR,B171*C_THROUGH_ESL-1/(B171*C_THROUGH_C)))))</f>
        <v>0</v>
      </c>
      <c r="E171">
        <f>COMPLEX(2*LINE_INPUT_DCR,2*B171*LINE_INPUT_L)</f>
        <v>0</v>
      </c>
      <c r="F171">
        <f>COMPLEX(0,B171*(LINE_INPUT_CLINE+LINE_INPUT_CCHA/2))</f>
        <v>0</v>
      </c>
      <c r="G171">
        <f>IMPRODUCT("2",IMDIV("1",IMSUM(IMDIV("1",COMPLEX(LDM1_DCR,B171*LDM1_L)),COMPLEX(0,B171*LDM1_CPA))))</f>
        <v>0</v>
      </c>
      <c r="H171">
        <f>IMSUM(IMDIV("1",COMPLEX(CX1_ESR,B171*CX1_ESL-1/(B171*CX1_C))),IMDIV("1",IMSUM(COMPLEX(DUMP1_R,0),COMPLEX(DUMP1_ESR,B171*DUMP1_ESL-1/(B171*DUMP1_C)))))</f>
        <v>0</v>
      </c>
      <c r="I171">
        <f>IMPRODUCT("2",IMDIV("1",IMSUM(IMDIV("1",COMPLEX(LDM2_DCR,B171*LDM2_L)),COMPLEX(0,B171*LDM2_CPA))))</f>
        <v>0</v>
      </c>
      <c r="J171">
        <f>IMSUM(IMDIV("1",COMPLEX(CX2_ESR,B171*CX2_ESL-1/(B171*CX2_C))),IMDIV("1",IMSUM(COMPLEX(DUMP2_R,0),COMPLEX(DUMP2_ESR,B171*DUMP2_ESL-1/(B171*DUMP2_C)))))</f>
        <v>0</v>
      </c>
      <c r="K171">
        <f>IMPRODUCT("2",IMDIV("1",IMSUM(IMDIV("1",COMPLEX(CMC_DCR,B171*CMC_L*(1-CMC_K))),COMPLEX(0,B171*CMC_CPA))))</f>
        <v>0</v>
      </c>
      <c r="L171">
        <f>IMSUM(COMPLEX(0,B171*CMC_CLINE),IMDIV("1",IMPRODUCT("2",COMPLEX(CY_ESR,B171*CY_ESL-1/(B171*CY_C)))),COMPLEX(1/DUMMY_R,0))</f>
        <v>0</v>
      </c>
      <c r="M171">
        <f>IMSUM(D171,IMDIV("1",C171))</f>
        <v>0</v>
      </c>
      <c r="N171">
        <f>IMDIV("1",IMSUM(E171,IMDIV("1",M171)))</f>
        <v>0</v>
      </c>
      <c r="O171">
        <f>IMSUM(F171,N171)</f>
        <v>0</v>
      </c>
      <c r="P171">
        <f>IMDIV("1",IMSUM(G171,IMDIV("1",O171)))</f>
        <v>0</v>
      </c>
      <c r="Q171">
        <f>IMSUM(H171,P171)</f>
        <v>0</v>
      </c>
      <c r="R171">
        <f>IMDIV("1",IMSUM(I171,IMDIV("1",Q171)))</f>
        <v>0</v>
      </c>
      <c r="S171">
        <f>IMSUM(J171,R171)</f>
        <v>0</v>
      </c>
      <c r="T171">
        <f>IMDIV("1",IMSUM(K171,IMDIV("1",S171)))</f>
        <v>0</v>
      </c>
      <c r="U171">
        <f>IMSUM(L171,T171)</f>
        <v>0</v>
      </c>
      <c r="V171">
        <f>IMDIV(COMPLEX(I_DM_SOURCE,0),U171)</f>
        <v>0</v>
      </c>
      <c r="W171">
        <f>IMPRODUCT(V171,T171)</f>
        <v>0</v>
      </c>
      <c r="X171">
        <f>IMDIV(W171,S171)</f>
        <v>0</v>
      </c>
      <c r="Y171">
        <f>IMPRODUCT(X171,R171)</f>
        <v>0</v>
      </c>
      <c r="Z171">
        <f>IMDIV(Y171,Q171)</f>
        <v>0</v>
      </c>
      <c r="AA171">
        <f>IMPRODUCT(Z171,P171)</f>
        <v>0</v>
      </c>
      <c r="AB171">
        <f>AA171</f>
        <v>0</v>
      </c>
      <c r="AC171">
        <f>IMPRODUCT("-1",AB171)</f>
        <v>0</v>
      </c>
      <c r="AD171">
        <f>IMDIV(IMSUB(AB171,AC171),"2")</f>
        <v>0</v>
      </c>
      <c r="AE171" s="6">
        <f>IMABS(AB171)</f>
        <v>0</v>
      </c>
      <c r="AF171" s="6">
        <f>IMABS(AC171)</f>
        <v>0</v>
      </c>
      <c r="AG171" s="6">
        <f>IMABS(AD171)</f>
        <v>0</v>
      </c>
      <c r="AH171" s="7">
        <f>20*LOG10(MAX(AE171,1E-300)*1E6)</f>
        <v>0</v>
      </c>
      <c r="AI171" s="7">
        <f>20*LOG10(MAX(AF171,1E-300)*1E6)</f>
        <v>0</v>
      </c>
      <c r="AJ171" s="7">
        <f>20*LOG10(MAX(AG171,1E-300)*1E6)</f>
        <v>0</v>
      </c>
      <c r="AK171" s="7">
        <f>DEGREES(IMARGUMENT(AB171))</f>
        <v>0</v>
      </c>
      <c r="AL171" s="7">
        <f>DEGREES(IMARGUMENT(AC171))</f>
        <v>0</v>
      </c>
      <c r="AM171" s="7">
        <f>DEGREES(IMARGUMENT(AD171))</f>
        <v>0</v>
      </c>
    </row>
    <row r="172" spans="1:39">
      <c r="A172" s="6">
        <f>10^(LOG10(F_START)+(ROW()-ROW($A$2))*(LOG10(F_STOP)-LOG10(F_START))/(N_POINTS-1))</f>
        <v>0</v>
      </c>
      <c r="B172" s="6">
        <f>2*PI()*A172</f>
        <v>0</v>
      </c>
      <c r="C172">
        <f>COMPLEX(2*LINE_PS_DCR,2*B172*LINE_PS_L)</f>
        <v>0</v>
      </c>
      <c r="D172">
        <f>IMSUM(COMPLEX(0,B172*(LINE_PS_CLINE+LINE_PS_CCHA/2)),IMDIV("1",IMPRODUCT("2",COMPLEX(C_THROUGH_ESR,B172*C_THROUGH_ESL-1/(B172*C_THROUGH_C)))))</f>
        <v>0</v>
      </c>
      <c r="E172">
        <f>COMPLEX(2*LINE_INPUT_DCR,2*B172*LINE_INPUT_L)</f>
        <v>0</v>
      </c>
      <c r="F172">
        <f>COMPLEX(0,B172*(LINE_INPUT_CLINE+LINE_INPUT_CCHA/2))</f>
        <v>0</v>
      </c>
      <c r="G172">
        <f>IMPRODUCT("2",IMDIV("1",IMSUM(IMDIV("1",COMPLEX(LDM1_DCR,B172*LDM1_L)),COMPLEX(0,B172*LDM1_CPA))))</f>
        <v>0</v>
      </c>
      <c r="H172">
        <f>IMSUM(IMDIV("1",COMPLEX(CX1_ESR,B172*CX1_ESL-1/(B172*CX1_C))),IMDIV("1",IMSUM(COMPLEX(DUMP1_R,0),COMPLEX(DUMP1_ESR,B172*DUMP1_ESL-1/(B172*DUMP1_C)))))</f>
        <v>0</v>
      </c>
      <c r="I172">
        <f>IMPRODUCT("2",IMDIV("1",IMSUM(IMDIV("1",COMPLEX(LDM2_DCR,B172*LDM2_L)),COMPLEX(0,B172*LDM2_CPA))))</f>
        <v>0</v>
      </c>
      <c r="J172">
        <f>IMSUM(IMDIV("1",COMPLEX(CX2_ESR,B172*CX2_ESL-1/(B172*CX2_C))),IMDIV("1",IMSUM(COMPLEX(DUMP2_R,0),COMPLEX(DUMP2_ESR,B172*DUMP2_ESL-1/(B172*DUMP2_C)))))</f>
        <v>0</v>
      </c>
      <c r="K172">
        <f>IMPRODUCT("2",IMDIV("1",IMSUM(IMDIV("1",COMPLEX(CMC_DCR,B172*CMC_L*(1-CMC_K))),COMPLEX(0,B172*CMC_CPA))))</f>
        <v>0</v>
      </c>
      <c r="L172">
        <f>IMSUM(COMPLEX(0,B172*CMC_CLINE),IMDIV("1",IMPRODUCT("2",COMPLEX(CY_ESR,B172*CY_ESL-1/(B172*CY_C)))),COMPLEX(1/DUMMY_R,0))</f>
        <v>0</v>
      </c>
      <c r="M172">
        <f>IMSUM(D172,IMDIV("1",C172))</f>
        <v>0</v>
      </c>
      <c r="N172">
        <f>IMDIV("1",IMSUM(E172,IMDIV("1",M172)))</f>
        <v>0</v>
      </c>
      <c r="O172">
        <f>IMSUM(F172,N172)</f>
        <v>0</v>
      </c>
      <c r="P172">
        <f>IMDIV("1",IMSUM(G172,IMDIV("1",O172)))</f>
        <v>0</v>
      </c>
      <c r="Q172">
        <f>IMSUM(H172,P172)</f>
        <v>0</v>
      </c>
      <c r="R172">
        <f>IMDIV("1",IMSUM(I172,IMDIV("1",Q172)))</f>
        <v>0</v>
      </c>
      <c r="S172">
        <f>IMSUM(J172,R172)</f>
        <v>0</v>
      </c>
      <c r="T172">
        <f>IMDIV("1",IMSUM(K172,IMDIV("1",S172)))</f>
        <v>0</v>
      </c>
      <c r="U172">
        <f>IMSUM(L172,T172)</f>
        <v>0</v>
      </c>
      <c r="V172">
        <f>IMDIV(COMPLEX(I_DM_SOURCE,0),U172)</f>
        <v>0</v>
      </c>
      <c r="W172">
        <f>IMPRODUCT(V172,T172)</f>
        <v>0</v>
      </c>
      <c r="X172">
        <f>IMDIV(W172,S172)</f>
        <v>0</v>
      </c>
      <c r="Y172">
        <f>IMPRODUCT(X172,R172)</f>
        <v>0</v>
      </c>
      <c r="Z172">
        <f>IMDIV(Y172,Q172)</f>
        <v>0</v>
      </c>
      <c r="AA172">
        <f>IMPRODUCT(Z172,P172)</f>
        <v>0</v>
      </c>
      <c r="AB172">
        <f>AA172</f>
        <v>0</v>
      </c>
      <c r="AC172">
        <f>IMPRODUCT("-1",AB172)</f>
        <v>0</v>
      </c>
      <c r="AD172">
        <f>IMDIV(IMSUB(AB172,AC172),"2")</f>
        <v>0</v>
      </c>
      <c r="AE172" s="6">
        <f>IMABS(AB172)</f>
        <v>0</v>
      </c>
      <c r="AF172" s="6">
        <f>IMABS(AC172)</f>
        <v>0</v>
      </c>
      <c r="AG172" s="6">
        <f>IMABS(AD172)</f>
        <v>0</v>
      </c>
      <c r="AH172" s="7">
        <f>20*LOG10(MAX(AE172,1E-300)*1E6)</f>
        <v>0</v>
      </c>
      <c r="AI172" s="7">
        <f>20*LOG10(MAX(AF172,1E-300)*1E6)</f>
        <v>0</v>
      </c>
      <c r="AJ172" s="7">
        <f>20*LOG10(MAX(AG172,1E-300)*1E6)</f>
        <v>0</v>
      </c>
      <c r="AK172" s="7">
        <f>DEGREES(IMARGUMENT(AB172))</f>
        <v>0</v>
      </c>
      <c r="AL172" s="7">
        <f>DEGREES(IMARGUMENT(AC172))</f>
        <v>0</v>
      </c>
      <c r="AM172" s="7">
        <f>DEGREES(IMARGUMENT(AD172))</f>
        <v>0</v>
      </c>
    </row>
    <row r="173" spans="1:39">
      <c r="A173" s="6">
        <f>10^(LOG10(F_START)+(ROW()-ROW($A$2))*(LOG10(F_STOP)-LOG10(F_START))/(N_POINTS-1))</f>
        <v>0</v>
      </c>
      <c r="B173" s="6">
        <f>2*PI()*A173</f>
        <v>0</v>
      </c>
      <c r="C173">
        <f>COMPLEX(2*LINE_PS_DCR,2*B173*LINE_PS_L)</f>
        <v>0</v>
      </c>
      <c r="D173">
        <f>IMSUM(COMPLEX(0,B173*(LINE_PS_CLINE+LINE_PS_CCHA/2)),IMDIV("1",IMPRODUCT("2",COMPLEX(C_THROUGH_ESR,B173*C_THROUGH_ESL-1/(B173*C_THROUGH_C)))))</f>
        <v>0</v>
      </c>
      <c r="E173">
        <f>COMPLEX(2*LINE_INPUT_DCR,2*B173*LINE_INPUT_L)</f>
        <v>0</v>
      </c>
      <c r="F173">
        <f>COMPLEX(0,B173*(LINE_INPUT_CLINE+LINE_INPUT_CCHA/2))</f>
        <v>0</v>
      </c>
      <c r="G173">
        <f>IMPRODUCT("2",IMDIV("1",IMSUM(IMDIV("1",COMPLEX(LDM1_DCR,B173*LDM1_L)),COMPLEX(0,B173*LDM1_CPA))))</f>
        <v>0</v>
      </c>
      <c r="H173">
        <f>IMSUM(IMDIV("1",COMPLEX(CX1_ESR,B173*CX1_ESL-1/(B173*CX1_C))),IMDIV("1",IMSUM(COMPLEX(DUMP1_R,0),COMPLEX(DUMP1_ESR,B173*DUMP1_ESL-1/(B173*DUMP1_C)))))</f>
        <v>0</v>
      </c>
      <c r="I173">
        <f>IMPRODUCT("2",IMDIV("1",IMSUM(IMDIV("1",COMPLEX(LDM2_DCR,B173*LDM2_L)),COMPLEX(0,B173*LDM2_CPA))))</f>
        <v>0</v>
      </c>
      <c r="J173">
        <f>IMSUM(IMDIV("1",COMPLEX(CX2_ESR,B173*CX2_ESL-1/(B173*CX2_C))),IMDIV("1",IMSUM(COMPLEX(DUMP2_R,0),COMPLEX(DUMP2_ESR,B173*DUMP2_ESL-1/(B173*DUMP2_C)))))</f>
        <v>0</v>
      </c>
      <c r="K173">
        <f>IMPRODUCT("2",IMDIV("1",IMSUM(IMDIV("1",COMPLEX(CMC_DCR,B173*CMC_L*(1-CMC_K))),COMPLEX(0,B173*CMC_CPA))))</f>
        <v>0</v>
      </c>
      <c r="L173">
        <f>IMSUM(COMPLEX(0,B173*CMC_CLINE),IMDIV("1",IMPRODUCT("2",COMPLEX(CY_ESR,B173*CY_ESL-1/(B173*CY_C)))),COMPLEX(1/DUMMY_R,0))</f>
        <v>0</v>
      </c>
      <c r="M173">
        <f>IMSUM(D173,IMDIV("1",C173))</f>
        <v>0</v>
      </c>
      <c r="N173">
        <f>IMDIV("1",IMSUM(E173,IMDIV("1",M173)))</f>
        <v>0</v>
      </c>
      <c r="O173">
        <f>IMSUM(F173,N173)</f>
        <v>0</v>
      </c>
      <c r="P173">
        <f>IMDIV("1",IMSUM(G173,IMDIV("1",O173)))</f>
        <v>0</v>
      </c>
      <c r="Q173">
        <f>IMSUM(H173,P173)</f>
        <v>0</v>
      </c>
      <c r="R173">
        <f>IMDIV("1",IMSUM(I173,IMDIV("1",Q173)))</f>
        <v>0</v>
      </c>
      <c r="S173">
        <f>IMSUM(J173,R173)</f>
        <v>0</v>
      </c>
      <c r="T173">
        <f>IMDIV("1",IMSUM(K173,IMDIV("1",S173)))</f>
        <v>0</v>
      </c>
      <c r="U173">
        <f>IMSUM(L173,T173)</f>
        <v>0</v>
      </c>
      <c r="V173">
        <f>IMDIV(COMPLEX(I_DM_SOURCE,0),U173)</f>
        <v>0</v>
      </c>
      <c r="W173">
        <f>IMPRODUCT(V173,T173)</f>
        <v>0</v>
      </c>
      <c r="X173">
        <f>IMDIV(W173,S173)</f>
        <v>0</v>
      </c>
      <c r="Y173">
        <f>IMPRODUCT(X173,R173)</f>
        <v>0</v>
      </c>
      <c r="Z173">
        <f>IMDIV(Y173,Q173)</f>
        <v>0</v>
      </c>
      <c r="AA173">
        <f>IMPRODUCT(Z173,P173)</f>
        <v>0</v>
      </c>
      <c r="AB173">
        <f>AA173</f>
        <v>0</v>
      </c>
      <c r="AC173">
        <f>IMPRODUCT("-1",AB173)</f>
        <v>0</v>
      </c>
      <c r="AD173">
        <f>IMDIV(IMSUB(AB173,AC173),"2")</f>
        <v>0</v>
      </c>
      <c r="AE173" s="6">
        <f>IMABS(AB173)</f>
        <v>0</v>
      </c>
      <c r="AF173" s="6">
        <f>IMABS(AC173)</f>
        <v>0</v>
      </c>
      <c r="AG173" s="6">
        <f>IMABS(AD173)</f>
        <v>0</v>
      </c>
      <c r="AH173" s="7">
        <f>20*LOG10(MAX(AE173,1E-300)*1E6)</f>
        <v>0</v>
      </c>
      <c r="AI173" s="7">
        <f>20*LOG10(MAX(AF173,1E-300)*1E6)</f>
        <v>0</v>
      </c>
      <c r="AJ173" s="7">
        <f>20*LOG10(MAX(AG173,1E-300)*1E6)</f>
        <v>0</v>
      </c>
      <c r="AK173" s="7">
        <f>DEGREES(IMARGUMENT(AB173))</f>
        <v>0</v>
      </c>
      <c r="AL173" s="7">
        <f>DEGREES(IMARGUMENT(AC173))</f>
        <v>0</v>
      </c>
      <c r="AM173" s="7">
        <f>DEGREES(IMARGUMENT(AD173))</f>
        <v>0</v>
      </c>
    </row>
    <row r="174" spans="1:39">
      <c r="A174" s="6">
        <f>10^(LOG10(F_START)+(ROW()-ROW($A$2))*(LOG10(F_STOP)-LOG10(F_START))/(N_POINTS-1))</f>
        <v>0</v>
      </c>
      <c r="B174" s="6">
        <f>2*PI()*A174</f>
        <v>0</v>
      </c>
      <c r="C174">
        <f>COMPLEX(2*LINE_PS_DCR,2*B174*LINE_PS_L)</f>
        <v>0</v>
      </c>
      <c r="D174">
        <f>IMSUM(COMPLEX(0,B174*(LINE_PS_CLINE+LINE_PS_CCHA/2)),IMDIV("1",IMPRODUCT("2",COMPLEX(C_THROUGH_ESR,B174*C_THROUGH_ESL-1/(B174*C_THROUGH_C)))))</f>
        <v>0</v>
      </c>
      <c r="E174">
        <f>COMPLEX(2*LINE_INPUT_DCR,2*B174*LINE_INPUT_L)</f>
        <v>0</v>
      </c>
      <c r="F174">
        <f>COMPLEX(0,B174*(LINE_INPUT_CLINE+LINE_INPUT_CCHA/2))</f>
        <v>0</v>
      </c>
      <c r="G174">
        <f>IMPRODUCT("2",IMDIV("1",IMSUM(IMDIV("1",COMPLEX(LDM1_DCR,B174*LDM1_L)),COMPLEX(0,B174*LDM1_CPA))))</f>
        <v>0</v>
      </c>
      <c r="H174">
        <f>IMSUM(IMDIV("1",COMPLEX(CX1_ESR,B174*CX1_ESL-1/(B174*CX1_C))),IMDIV("1",IMSUM(COMPLEX(DUMP1_R,0),COMPLEX(DUMP1_ESR,B174*DUMP1_ESL-1/(B174*DUMP1_C)))))</f>
        <v>0</v>
      </c>
      <c r="I174">
        <f>IMPRODUCT("2",IMDIV("1",IMSUM(IMDIV("1",COMPLEX(LDM2_DCR,B174*LDM2_L)),COMPLEX(0,B174*LDM2_CPA))))</f>
        <v>0</v>
      </c>
      <c r="J174">
        <f>IMSUM(IMDIV("1",COMPLEX(CX2_ESR,B174*CX2_ESL-1/(B174*CX2_C))),IMDIV("1",IMSUM(COMPLEX(DUMP2_R,0),COMPLEX(DUMP2_ESR,B174*DUMP2_ESL-1/(B174*DUMP2_C)))))</f>
        <v>0</v>
      </c>
      <c r="K174">
        <f>IMPRODUCT("2",IMDIV("1",IMSUM(IMDIV("1",COMPLEX(CMC_DCR,B174*CMC_L*(1-CMC_K))),COMPLEX(0,B174*CMC_CPA))))</f>
        <v>0</v>
      </c>
      <c r="L174">
        <f>IMSUM(COMPLEX(0,B174*CMC_CLINE),IMDIV("1",IMPRODUCT("2",COMPLEX(CY_ESR,B174*CY_ESL-1/(B174*CY_C)))),COMPLEX(1/DUMMY_R,0))</f>
        <v>0</v>
      </c>
      <c r="M174">
        <f>IMSUM(D174,IMDIV("1",C174))</f>
        <v>0</v>
      </c>
      <c r="N174">
        <f>IMDIV("1",IMSUM(E174,IMDIV("1",M174)))</f>
        <v>0</v>
      </c>
      <c r="O174">
        <f>IMSUM(F174,N174)</f>
        <v>0</v>
      </c>
      <c r="P174">
        <f>IMDIV("1",IMSUM(G174,IMDIV("1",O174)))</f>
        <v>0</v>
      </c>
      <c r="Q174">
        <f>IMSUM(H174,P174)</f>
        <v>0</v>
      </c>
      <c r="R174">
        <f>IMDIV("1",IMSUM(I174,IMDIV("1",Q174)))</f>
        <v>0</v>
      </c>
      <c r="S174">
        <f>IMSUM(J174,R174)</f>
        <v>0</v>
      </c>
      <c r="T174">
        <f>IMDIV("1",IMSUM(K174,IMDIV("1",S174)))</f>
        <v>0</v>
      </c>
      <c r="U174">
        <f>IMSUM(L174,T174)</f>
        <v>0</v>
      </c>
      <c r="V174">
        <f>IMDIV(COMPLEX(I_DM_SOURCE,0),U174)</f>
        <v>0</v>
      </c>
      <c r="W174">
        <f>IMPRODUCT(V174,T174)</f>
        <v>0</v>
      </c>
      <c r="X174">
        <f>IMDIV(W174,S174)</f>
        <v>0</v>
      </c>
      <c r="Y174">
        <f>IMPRODUCT(X174,R174)</f>
        <v>0</v>
      </c>
      <c r="Z174">
        <f>IMDIV(Y174,Q174)</f>
        <v>0</v>
      </c>
      <c r="AA174">
        <f>IMPRODUCT(Z174,P174)</f>
        <v>0</v>
      </c>
      <c r="AB174">
        <f>AA174</f>
        <v>0</v>
      </c>
      <c r="AC174">
        <f>IMPRODUCT("-1",AB174)</f>
        <v>0</v>
      </c>
      <c r="AD174">
        <f>IMDIV(IMSUB(AB174,AC174),"2")</f>
        <v>0</v>
      </c>
      <c r="AE174" s="6">
        <f>IMABS(AB174)</f>
        <v>0</v>
      </c>
      <c r="AF174" s="6">
        <f>IMABS(AC174)</f>
        <v>0</v>
      </c>
      <c r="AG174" s="6">
        <f>IMABS(AD174)</f>
        <v>0</v>
      </c>
      <c r="AH174" s="7">
        <f>20*LOG10(MAX(AE174,1E-300)*1E6)</f>
        <v>0</v>
      </c>
      <c r="AI174" s="7">
        <f>20*LOG10(MAX(AF174,1E-300)*1E6)</f>
        <v>0</v>
      </c>
      <c r="AJ174" s="7">
        <f>20*LOG10(MAX(AG174,1E-300)*1E6)</f>
        <v>0</v>
      </c>
      <c r="AK174" s="7">
        <f>DEGREES(IMARGUMENT(AB174))</f>
        <v>0</v>
      </c>
      <c r="AL174" s="7">
        <f>DEGREES(IMARGUMENT(AC174))</f>
        <v>0</v>
      </c>
      <c r="AM174" s="7">
        <f>DEGREES(IMARGUMENT(AD174))</f>
        <v>0</v>
      </c>
    </row>
    <row r="175" spans="1:39">
      <c r="A175" s="6">
        <f>10^(LOG10(F_START)+(ROW()-ROW($A$2))*(LOG10(F_STOP)-LOG10(F_START))/(N_POINTS-1))</f>
        <v>0</v>
      </c>
      <c r="B175" s="6">
        <f>2*PI()*A175</f>
        <v>0</v>
      </c>
      <c r="C175">
        <f>COMPLEX(2*LINE_PS_DCR,2*B175*LINE_PS_L)</f>
        <v>0</v>
      </c>
      <c r="D175">
        <f>IMSUM(COMPLEX(0,B175*(LINE_PS_CLINE+LINE_PS_CCHA/2)),IMDIV("1",IMPRODUCT("2",COMPLEX(C_THROUGH_ESR,B175*C_THROUGH_ESL-1/(B175*C_THROUGH_C)))))</f>
        <v>0</v>
      </c>
      <c r="E175">
        <f>COMPLEX(2*LINE_INPUT_DCR,2*B175*LINE_INPUT_L)</f>
        <v>0</v>
      </c>
      <c r="F175">
        <f>COMPLEX(0,B175*(LINE_INPUT_CLINE+LINE_INPUT_CCHA/2))</f>
        <v>0</v>
      </c>
      <c r="G175">
        <f>IMPRODUCT("2",IMDIV("1",IMSUM(IMDIV("1",COMPLEX(LDM1_DCR,B175*LDM1_L)),COMPLEX(0,B175*LDM1_CPA))))</f>
        <v>0</v>
      </c>
      <c r="H175">
        <f>IMSUM(IMDIV("1",COMPLEX(CX1_ESR,B175*CX1_ESL-1/(B175*CX1_C))),IMDIV("1",IMSUM(COMPLEX(DUMP1_R,0),COMPLEX(DUMP1_ESR,B175*DUMP1_ESL-1/(B175*DUMP1_C)))))</f>
        <v>0</v>
      </c>
      <c r="I175">
        <f>IMPRODUCT("2",IMDIV("1",IMSUM(IMDIV("1",COMPLEX(LDM2_DCR,B175*LDM2_L)),COMPLEX(0,B175*LDM2_CPA))))</f>
        <v>0</v>
      </c>
      <c r="J175">
        <f>IMSUM(IMDIV("1",COMPLEX(CX2_ESR,B175*CX2_ESL-1/(B175*CX2_C))),IMDIV("1",IMSUM(COMPLEX(DUMP2_R,0),COMPLEX(DUMP2_ESR,B175*DUMP2_ESL-1/(B175*DUMP2_C)))))</f>
        <v>0</v>
      </c>
      <c r="K175">
        <f>IMPRODUCT("2",IMDIV("1",IMSUM(IMDIV("1",COMPLEX(CMC_DCR,B175*CMC_L*(1-CMC_K))),COMPLEX(0,B175*CMC_CPA))))</f>
        <v>0</v>
      </c>
      <c r="L175">
        <f>IMSUM(COMPLEX(0,B175*CMC_CLINE),IMDIV("1",IMPRODUCT("2",COMPLEX(CY_ESR,B175*CY_ESL-1/(B175*CY_C)))),COMPLEX(1/DUMMY_R,0))</f>
        <v>0</v>
      </c>
      <c r="M175">
        <f>IMSUM(D175,IMDIV("1",C175))</f>
        <v>0</v>
      </c>
      <c r="N175">
        <f>IMDIV("1",IMSUM(E175,IMDIV("1",M175)))</f>
        <v>0</v>
      </c>
      <c r="O175">
        <f>IMSUM(F175,N175)</f>
        <v>0</v>
      </c>
      <c r="P175">
        <f>IMDIV("1",IMSUM(G175,IMDIV("1",O175)))</f>
        <v>0</v>
      </c>
      <c r="Q175">
        <f>IMSUM(H175,P175)</f>
        <v>0</v>
      </c>
      <c r="R175">
        <f>IMDIV("1",IMSUM(I175,IMDIV("1",Q175)))</f>
        <v>0</v>
      </c>
      <c r="S175">
        <f>IMSUM(J175,R175)</f>
        <v>0</v>
      </c>
      <c r="T175">
        <f>IMDIV("1",IMSUM(K175,IMDIV("1",S175)))</f>
        <v>0</v>
      </c>
      <c r="U175">
        <f>IMSUM(L175,T175)</f>
        <v>0</v>
      </c>
      <c r="V175">
        <f>IMDIV(COMPLEX(I_DM_SOURCE,0),U175)</f>
        <v>0</v>
      </c>
      <c r="W175">
        <f>IMPRODUCT(V175,T175)</f>
        <v>0</v>
      </c>
      <c r="X175">
        <f>IMDIV(W175,S175)</f>
        <v>0</v>
      </c>
      <c r="Y175">
        <f>IMPRODUCT(X175,R175)</f>
        <v>0</v>
      </c>
      <c r="Z175">
        <f>IMDIV(Y175,Q175)</f>
        <v>0</v>
      </c>
      <c r="AA175">
        <f>IMPRODUCT(Z175,P175)</f>
        <v>0</v>
      </c>
      <c r="AB175">
        <f>AA175</f>
        <v>0</v>
      </c>
      <c r="AC175">
        <f>IMPRODUCT("-1",AB175)</f>
        <v>0</v>
      </c>
      <c r="AD175">
        <f>IMDIV(IMSUB(AB175,AC175),"2")</f>
        <v>0</v>
      </c>
      <c r="AE175" s="6">
        <f>IMABS(AB175)</f>
        <v>0</v>
      </c>
      <c r="AF175" s="6">
        <f>IMABS(AC175)</f>
        <v>0</v>
      </c>
      <c r="AG175" s="6">
        <f>IMABS(AD175)</f>
        <v>0</v>
      </c>
      <c r="AH175" s="7">
        <f>20*LOG10(MAX(AE175,1E-300)*1E6)</f>
        <v>0</v>
      </c>
      <c r="AI175" s="7">
        <f>20*LOG10(MAX(AF175,1E-300)*1E6)</f>
        <v>0</v>
      </c>
      <c r="AJ175" s="7">
        <f>20*LOG10(MAX(AG175,1E-300)*1E6)</f>
        <v>0</v>
      </c>
      <c r="AK175" s="7">
        <f>DEGREES(IMARGUMENT(AB175))</f>
        <v>0</v>
      </c>
      <c r="AL175" s="7">
        <f>DEGREES(IMARGUMENT(AC175))</f>
        <v>0</v>
      </c>
      <c r="AM175" s="7">
        <f>DEGREES(IMARGUMENT(AD175))</f>
        <v>0</v>
      </c>
    </row>
    <row r="176" spans="1:39">
      <c r="A176" s="6">
        <f>10^(LOG10(F_START)+(ROW()-ROW($A$2))*(LOG10(F_STOP)-LOG10(F_START))/(N_POINTS-1))</f>
        <v>0</v>
      </c>
      <c r="B176" s="6">
        <f>2*PI()*A176</f>
        <v>0</v>
      </c>
      <c r="C176">
        <f>COMPLEX(2*LINE_PS_DCR,2*B176*LINE_PS_L)</f>
        <v>0</v>
      </c>
      <c r="D176">
        <f>IMSUM(COMPLEX(0,B176*(LINE_PS_CLINE+LINE_PS_CCHA/2)),IMDIV("1",IMPRODUCT("2",COMPLEX(C_THROUGH_ESR,B176*C_THROUGH_ESL-1/(B176*C_THROUGH_C)))))</f>
        <v>0</v>
      </c>
      <c r="E176">
        <f>COMPLEX(2*LINE_INPUT_DCR,2*B176*LINE_INPUT_L)</f>
        <v>0</v>
      </c>
      <c r="F176">
        <f>COMPLEX(0,B176*(LINE_INPUT_CLINE+LINE_INPUT_CCHA/2))</f>
        <v>0</v>
      </c>
      <c r="G176">
        <f>IMPRODUCT("2",IMDIV("1",IMSUM(IMDIV("1",COMPLEX(LDM1_DCR,B176*LDM1_L)),COMPLEX(0,B176*LDM1_CPA))))</f>
        <v>0</v>
      </c>
      <c r="H176">
        <f>IMSUM(IMDIV("1",COMPLEX(CX1_ESR,B176*CX1_ESL-1/(B176*CX1_C))),IMDIV("1",IMSUM(COMPLEX(DUMP1_R,0),COMPLEX(DUMP1_ESR,B176*DUMP1_ESL-1/(B176*DUMP1_C)))))</f>
        <v>0</v>
      </c>
      <c r="I176">
        <f>IMPRODUCT("2",IMDIV("1",IMSUM(IMDIV("1",COMPLEX(LDM2_DCR,B176*LDM2_L)),COMPLEX(0,B176*LDM2_CPA))))</f>
        <v>0</v>
      </c>
      <c r="J176">
        <f>IMSUM(IMDIV("1",COMPLEX(CX2_ESR,B176*CX2_ESL-1/(B176*CX2_C))),IMDIV("1",IMSUM(COMPLEX(DUMP2_R,0),COMPLEX(DUMP2_ESR,B176*DUMP2_ESL-1/(B176*DUMP2_C)))))</f>
        <v>0</v>
      </c>
      <c r="K176">
        <f>IMPRODUCT("2",IMDIV("1",IMSUM(IMDIV("1",COMPLEX(CMC_DCR,B176*CMC_L*(1-CMC_K))),COMPLEX(0,B176*CMC_CPA))))</f>
        <v>0</v>
      </c>
      <c r="L176">
        <f>IMSUM(COMPLEX(0,B176*CMC_CLINE),IMDIV("1",IMPRODUCT("2",COMPLEX(CY_ESR,B176*CY_ESL-1/(B176*CY_C)))),COMPLEX(1/DUMMY_R,0))</f>
        <v>0</v>
      </c>
      <c r="M176">
        <f>IMSUM(D176,IMDIV("1",C176))</f>
        <v>0</v>
      </c>
      <c r="N176">
        <f>IMDIV("1",IMSUM(E176,IMDIV("1",M176)))</f>
        <v>0</v>
      </c>
      <c r="O176">
        <f>IMSUM(F176,N176)</f>
        <v>0</v>
      </c>
      <c r="P176">
        <f>IMDIV("1",IMSUM(G176,IMDIV("1",O176)))</f>
        <v>0</v>
      </c>
      <c r="Q176">
        <f>IMSUM(H176,P176)</f>
        <v>0</v>
      </c>
      <c r="R176">
        <f>IMDIV("1",IMSUM(I176,IMDIV("1",Q176)))</f>
        <v>0</v>
      </c>
      <c r="S176">
        <f>IMSUM(J176,R176)</f>
        <v>0</v>
      </c>
      <c r="T176">
        <f>IMDIV("1",IMSUM(K176,IMDIV("1",S176)))</f>
        <v>0</v>
      </c>
      <c r="U176">
        <f>IMSUM(L176,T176)</f>
        <v>0</v>
      </c>
      <c r="V176">
        <f>IMDIV(COMPLEX(I_DM_SOURCE,0),U176)</f>
        <v>0</v>
      </c>
      <c r="W176">
        <f>IMPRODUCT(V176,T176)</f>
        <v>0</v>
      </c>
      <c r="X176">
        <f>IMDIV(W176,S176)</f>
        <v>0</v>
      </c>
      <c r="Y176">
        <f>IMPRODUCT(X176,R176)</f>
        <v>0</v>
      </c>
      <c r="Z176">
        <f>IMDIV(Y176,Q176)</f>
        <v>0</v>
      </c>
      <c r="AA176">
        <f>IMPRODUCT(Z176,P176)</f>
        <v>0</v>
      </c>
      <c r="AB176">
        <f>AA176</f>
        <v>0</v>
      </c>
      <c r="AC176">
        <f>IMPRODUCT("-1",AB176)</f>
        <v>0</v>
      </c>
      <c r="AD176">
        <f>IMDIV(IMSUB(AB176,AC176),"2")</f>
        <v>0</v>
      </c>
      <c r="AE176" s="6">
        <f>IMABS(AB176)</f>
        <v>0</v>
      </c>
      <c r="AF176" s="6">
        <f>IMABS(AC176)</f>
        <v>0</v>
      </c>
      <c r="AG176" s="6">
        <f>IMABS(AD176)</f>
        <v>0</v>
      </c>
      <c r="AH176" s="7">
        <f>20*LOG10(MAX(AE176,1E-300)*1E6)</f>
        <v>0</v>
      </c>
      <c r="AI176" s="7">
        <f>20*LOG10(MAX(AF176,1E-300)*1E6)</f>
        <v>0</v>
      </c>
      <c r="AJ176" s="7">
        <f>20*LOG10(MAX(AG176,1E-300)*1E6)</f>
        <v>0</v>
      </c>
      <c r="AK176" s="7">
        <f>DEGREES(IMARGUMENT(AB176))</f>
        <v>0</v>
      </c>
      <c r="AL176" s="7">
        <f>DEGREES(IMARGUMENT(AC176))</f>
        <v>0</v>
      </c>
      <c r="AM176" s="7">
        <f>DEGREES(IMARGUMENT(AD176))</f>
        <v>0</v>
      </c>
    </row>
    <row r="177" spans="1:39">
      <c r="A177" s="6">
        <f>10^(LOG10(F_START)+(ROW()-ROW($A$2))*(LOG10(F_STOP)-LOG10(F_START))/(N_POINTS-1))</f>
        <v>0</v>
      </c>
      <c r="B177" s="6">
        <f>2*PI()*A177</f>
        <v>0</v>
      </c>
      <c r="C177">
        <f>COMPLEX(2*LINE_PS_DCR,2*B177*LINE_PS_L)</f>
        <v>0</v>
      </c>
      <c r="D177">
        <f>IMSUM(COMPLEX(0,B177*(LINE_PS_CLINE+LINE_PS_CCHA/2)),IMDIV("1",IMPRODUCT("2",COMPLEX(C_THROUGH_ESR,B177*C_THROUGH_ESL-1/(B177*C_THROUGH_C)))))</f>
        <v>0</v>
      </c>
      <c r="E177">
        <f>COMPLEX(2*LINE_INPUT_DCR,2*B177*LINE_INPUT_L)</f>
        <v>0</v>
      </c>
      <c r="F177">
        <f>COMPLEX(0,B177*(LINE_INPUT_CLINE+LINE_INPUT_CCHA/2))</f>
        <v>0</v>
      </c>
      <c r="G177">
        <f>IMPRODUCT("2",IMDIV("1",IMSUM(IMDIV("1",COMPLEX(LDM1_DCR,B177*LDM1_L)),COMPLEX(0,B177*LDM1_CPA))))</f>
        <v>0</v>
      </c>
      <c r="H177">
        <f>IMSUM(IMDIV("1",COMPLEX(CX1_ESR,B177*CX1_ESL-1/(B177*CX1_C))),IMDIV("1",IMSUM(COMPLEX(DUMP1_R,0),COMPLEX(DUMP1_ESR,B177*DUMP1_ESL-1/(B177*DUMP1_C)))))</f>
        <v>0</v>
      </c>
      <c r="I177">
        <f>IMPRODUCT("2",IMDIV("1",IMSUM(IMDIV("1",COMPLEX(LDM2_DCR,B177*LDM2_L)),COMPLEX(0,B177*LDM2_CPA))))</f>
        <v>0</v>
      </c>
      <c r="J177">
        <f>IMSUM(IMDIV("1",COMPLEX(CX2_ESR,B177*CX2_ESL-1/(B177*CX2_C))),IMDIV("1",IMSUM(COMPLEX(DUMP2_R,0),COMPLEX(DUMP2_ESR,B177*DUMP2_ESL-1/(B177*DUMP2_C)))))</f>
        <v>0</v>
      </c>
      <c r="K177">
        <f>IMPRODUCT("2",IMDIV("1",IMSUM(IMDIV("1",COMPLEX(CMC_DCR,B177*CMC_L*(1-CMC_K))),COMPLEX(0,B177*CMC_CPA))))</f>
        <v>0</v>
      </c>
      <c r="L177">
        <f>IMSUM(COMPLEX(0,B177*CMC_CLINE),IMDIV("1",IMPRODUCT("2",COMPLEX(CY_ESR,B177*CY_ESL-1/(B177*CY_C)))),COMPLEX(1/DUMMY_R,0))</f>
        <v>0</v>
      </c>
      <c r="M177">
        <f>IMSUM(D177,IMDIV("1",C177))</f>
        <v>0</v>
      </c>
      <c r="N177">
        <f>IMDIV("1",IMSUM(E177,IMDIV("1",M177)))</f>
        <v>0</v>
      </c>
      <c r="O177">
        <f>IMSUM(F177,N177)</f>
        <v>0</v>
      </c>
      <c r="P177">
        <f>IMDIV("1",IMSUM(G177,IMDIV("1",O177)))</f>
        <v>0</v>
      </c>
      <c r="Q177">
        <f>IMSUM(H177,P177)</f>
        <v>0</v>
      </c>
      <c r="R177">
        <f>IMDIV("1",IMSUM(I177,IMDIV("1",Q177)))</f>
        <v>0</v>
      </c>
      <c r="S177">
        <f>IMSUM(J177,R177)</f>
        <v>0</v>
      </c>
      <c r="T177">
        <f>IMDIV("1",IMSUM(K177,IMDIV("1",S177)))</f>
        <v>0</v>
      </c>
      <c r="U177">
        <f>IMSUM(L177,T177)</f>
        <v>0</v>
      </c>
      <c r="V177">
        <f>IMDIV(COMPLEX(I_DM_SOURCE,0),U177)</f>
        <v>0</v>
      </c>
      <c r="W177">
        <f>IMPRODUCT(V177,T177)</f>
        <v>0</v>
      </c>
      <c r="X177">
        <f>IMDIV(W177,S177)</f>
        <v>0</v>
      </c>
      <c r="Y177">
        <f>IMPRODUCT(X177,R177)</f>
        <v>0</v>
      </c>
      <c r="Z177">
        <f>IMDIV(Y177,Q177)</f>
        <v>0</v>
      </c>
      <c r="AA177">
        <f>IMPRODUCT(Z177,P177)</f>
        <v>0</v>
      </c>
      <c r="AB177">
        <f>AA177</f>
        <v>0</v>
      </c>
      <c r="AC177">
        <f>IMPRODUCT("-1",AB177)</f>
        <v>0</v>
      </c>
      <c r="AD177">
        <f>IMDIV(IMSUB(AB177,AC177),"2")</f>
        <v>0</v>
      </c>
      <c r="AE177" s="6">
        <f>IMABS(AB177)</f>
        <v>0</v>
      </c>
      <c r="AF177" s="6">
        <f>IMABS(AC177)</f>
        <v>0</v>
      </c>
      <c r="AG177" s="6">
        <f>IMABS(AD177)</f>
        <v>0</v>
      </c>
      <c r="AH177" s="7">
        <f>20*LOG10(MAX(AE177,1E-300)*1E6)</f>
        <v>0</v>
      </c>
      <c r="AI177" s="7">
        <f>20*LOG10(MAX(AF177,1E-300)*1E6)</f>
        <v>0</v>
      </c>
      <c r="AJ177" s="7">
        <f>20*LOG10(MAX(AG177,1E-300)*1E6)</f>
        <v>0</v>
      </c>
      <c r="AK177" s="7">
        <f>DEGREES(IMARGUMENT(AB177))</f>
        <v>0</v>
      </c>
      <c r="AL177" s="7">
        <f>DEGREES(IMARGUMENT(AC177))</f>
        <v>0</v>
      </c>
      <c r="AM177" s="7">
        <f>DEGREES(IMARGUMENT(AD177))</f>
        <v>0</v>
      </c>
    </row>
    <row r="178" spans="1:39">
      <c r="A178" s="6">
        <f>10^(LOG10(F_START)+(ROW()-ROW($A$2))*(LOG10(F_STOP)-LOG10(F_START))/(N_POINTS-1))</f>
        <v>0</v>
      </c>
      <c r="B178" s="6">
        <f>2*PI()*A178</f>
        <v>0</v>
      </c>
      <c r="C178">
        <f>COMPLEX(2*LINE_PS_DCR,2*B178*LINE_PS_L)</f>
        <v>0</v>
      </c>
      <c r="D178">
        <f>IMSUM(COMPLEX(0,B178*(LINE_PS_CLINE+LINE_PS_CCHA/2)),IMDIV("1",IMPRODUCT("2",COMPLEX(C_THROUGH_ESR,B178*C_THROUGH_ESL-1/(B178*C_THROUGH_C)))))</f>
        <v>0</v>
      </c>
      <c r="E178">
        <f>COMPLEX(2*LINE_INPUT_DCR,2*B178*LINE_INPUT_L)</f>
        <v>0</v>
      </c>
      <c r="F178">
        <f>COMPLEX(0,B178*(LINE_INPUT_CLINE+LINE_INPUT_CCHA/2))</f>
        <v>0</v>
      </c>
      <c r="G178">
        <f>IMPRODUCT("2",IMDIV("1",IMSUM(IMDIV("1",COMPLEX(LDM1_DCR,B178*LDM1_L)),COMPLEX(0,B178*LDM1_CPA))))</f>
        <v>0</v>
      </c>
      <c r="H178">
        <f>IMSUM(IMDIV("1",COMPLEX(CX1_ESR,B178*CX1_ESL-1/(B178*CX1_C))),IMDIV("1",IMSUM(COMPLEX(DUMP1_R,0),COMPLEX(DUMP1_ESR,B178*DUMP1_ESL-1/(B178*DUMP1_C)))))</f>
        <v>0</v>
      </c>
      <c r="I178">
        <f>IMPRODUCT("2",IMDIV("1",IMSUM(IMDIV("1",COMPLEX(LDM2_DCR,B178*LDM2_L)),COMPLEX(0,B178*LDM2_CPA))))</f>
        <v>0</v>
      </c>
      <c r="J178">
        <f>IMSUM(IMDIV("1",COMPLEX(CX2_ESR,B178*CX2_ESL-1/(B178*CX2_C))),IMDIV("1",IMSUM(COMPLEX(DUMP2_R,0),COMPLEX(DUMP2_ESR,B178*DUMP2_ESL-1/(B178*DUMP2_C)))))</f>
        <v>0</v>
      </c>
      <c r="K178">
        <f>IMPRODUCT("2",IMDIV("1",IMSUM(IMDIV("1",COMPLEX(CMC_DCR,B178*CMC_L*(1-CMC_K))),COMPLEX(0,B178*CMC_CPA))))</f>
        <v>0</v>
      </c>
      <c r="L178">
        <f>IMSUM(COMPLEX(0,B178*CMC_CLINE),IMDIV("1",IMPRODUCT("2",COMPLEX(CY_ESR,B178*CY_ESL-1/(B178*CY_C)))),COMPLEX(1/DUMMY_R,0))</f>
        <v>0</v>
      </c>
      <c r="M178">
        <f>IMSUM(D178,IMDIV("1",C178))</f>
        <v>0</v>
      </c>
      <c r="N178">
        <f>IMDIV("1",IMSUM(E178,IMDIV("1",M178)))</f>
        <v>0</v>
      </c>
      <c r="O178">
        <f>IMSUM(F178,N178)</f>
        <v>0</v>
      </c>
      <c r="P178">
        <f>IMDIV("1",IMSUM(G178,IMDIV("1",O178)))</f>
        <v>0</v>
      </c>
      <c r="Q178">
        <f>IMSUM(H178,P178)</f>
        <v>0</v>
      </c>
      <c r="R178">
        <f>IMDIV("1",IMSUM(I178,IMDIV("1",Q178)))</f>
        <v>0</v>
      </c>
      <c r="S178">
        <f>IMSUM(J178,R178)</f>
        <v>0</v>
      </c>
      <c r="T178">
        <f>IMDIV("1",IMSUM(K178,IMDIV("1",S178)))</f>
        <v>0</v>
      </c>
      <c r="U178">
        <f>IMSUM(L178,T178)</f>
        <v>0</v>
      </c>
      <c r="V178">
        <f>IMDIV(COMPLEX(I_DM_SOURCE,0),U178)</f>
        <v>0</v>
      </c>
      <c r="W178">
        <f>IMPRODUCT(V178,T178)</f>
        <v>0</v>
      </c>
      <c r="X178">
        <f>IMDIV(W178,S178)</f>
        <v>0</v>
      </c>
      <c r="Y178">
        <f>IMPRODUCT(X178,R178)</f>
        <v>0</v>
      </c>
      <c r="Z178">
        <f>IMDIV(Y178,Q178)</f>
        <v>0</v>
      </c>
      <c r="AA178">
        <f>IMPRODUCT(Z178,P178)</f>
        <v>0</v>
      </c>
      <c r="AB178">
        <f>AA178</f>
        <v>0</v>
      </c>
      <c r="AC178">
        <f>IMPRODUCT("-1",AB178)</f>
        <v>0</v>
      </c>
      <c r="AD178">
        <f>IMDIV(IMSUB(AB178,AC178),"2")</f>
        <v>0</v>
      </c>
      <c r="AE178" s="6">
        <f>IMABS(AB178)</f>
        <v>0</v>
      </c>
      <c r="AF178" s="6">
        <f>IMABS(AC178)</f>
        <v>0</v>
      </c>
      <c r="AG178" s="6">
        <f>IMABS(AD178)</f>
        <v>0</v>
      </c>
      <c r="AH178" s="7">
        <f>20*LOG10(MAX(AE178,1E-300)*1E6)</f>
        <v>0</v>
      </c>
      <c r="AI178" s="7">
        <f>20*LOG10(MAX(AF178,1E-300)*1E6)</f>
        <v>0</v>
      </c>
      <c r="AJ178" s="7">
        <f>20*LOG10(MAX(AG178,1E-300)*1E6)</f>
        <v>0</v>
      </c>
      <c r="AK178" s="7">
        <f>DEGREES(IMARGUMENT(AB178))</f>
        <v>0</v>
      </c>
      <c r="AL178" s="7">
        <f>DEGREES(IMARGUMENT(AC178))</f>
        <v>0</v>
      </c>
      <c r="AM178" s="7">
        <f>DEGREES(IMARGUMENT(AD178))</f>
        <v>0</v>
      </c>
    </row>
    <row r="179" spans="1:39">
      <c r="A179" s="6">
        <f>10^(LOG10(F_START)+(ROW()-ROW($A$2))*(LOG10(F_STOP)-LOG10(F_START))/(N_POINTS-1))</f>
        <v>0</v>
      </c>
      <c r="B179" s="6">
        <f>2*PI()*A179</f>
        <v>0</v>
      </c>
      <c r="C179">
        <f>COMPLEX(2*LINE_PS_DCR,2*B179*LINE_PS_L)</f>
        <v>0</v>
      </c>
      <c r="D179">
        <f>IMSUM(COMPLEX(0,B179*(LINE_PS_CLINE+LINE_PS_CCHA/2)),IMDIV("1",IMPRODUCT("2",COMPLEX(C_THROUGH_ESR,B179*C_THROUGH_ESL-1/(B179*C_THROUGH_C)))))</f>
        <v>0</v>
      </c>
      <c r="E179">
        <f>COMPLEX(2*LINE_INPUT_DCR,2*B179*LINE_INPUT_L)</f>
        <v>0</v>
      </c>
      <c r="F179">
        <f>COMPLEX(0,B179*(LINE_INPUT_CLINE+LINE_INPUT_CCHA/2))</f>
        <v>0</v>
      </c>
      <c r="G179">
        <f>IMPRODUCT("2",IMDIV("1",IMSUM(IMDIV("1",COMPLEX(LDM1_DCR,B179*LDM1_L)),COMPLEX(0,B179*LDM1_CPA))))</f>
        <v>0</v>
      </c>
      <c r="H179">
        <f>IMSUM(IMDIV("1",COMPLEX(CX1_ESR,B179*CX1_ESL-1/(B179*CX1_C))),IMDIV("1",IMSUM(COMPLEX(DUMP1_R,0),COMPLEX(DUMP1_ESR,B179*DUMP1_ESL-1/(B179*DUMP1_C)))))</f>
        <v>0</v>
      </c>
      <c r="I179">
        <f>IMPRODUCT("2",IMDIV("1",IMSUM(IMDIV("1",COMPLEX(LDM2_DCR,B179*LDM2_L)),COMPLEX(0,B179*LDM2_CPA))))</f>
        <v>0</v>
      </c>
      <c r="J179">
        <f>IMSUM(IMDIV("1",COMPLEX(CX2_ESR,B179*CX2_ESL-1/(B179*CX2_C))),IMDIV("1",IMSUM(COMPLEX(DUMP2_R,0),COMPLEX(DUMP2_ESR,B179*DUMP2_ESL-1/(B179*DUMP2_C)))))</f>
        <v>0</v>
      </c>
      <c r="K179">
        <f>IMPRODUCT("2",IMDIV("1",IMSUM(IMDIV("1",COMPLEX(CMC_DCR,B179*CMC_L*(1-CMC_K))),COMPLEX(0,B179*CMC_CPA))))</f>
        <v>0</v>
      </c>
      <c r="L179">
        <f>IMSUM(COMPLEX(0,B179*CMC_CLINE),IMDIV("1",IMPRODUCT("2",COMPLEX(CY_ESR,B179*CY_ESL-1/(B179*CY_C)))),COMPLEX(1/DUMMY_R,0))</f>
        <v>0</v>
      </c>
      <c r="M179">
        <f>IMSUM(D179,IMDIV("1",C179))</f>
        <v>0</v>
      </c>
      <c r="N179">
        <f>IMDIV("1",IMSUM(E179,IMDIV("1",M179)))</f>
        <v>0</v>
      </c>
      <c r="O179">
        <f>IMSUM(F179,N179)</f>
        <v>0</v>
      </c>
      <c r="P179">
        <f>IMDIV("1",IMSUM(G179,IMDIV("1",O179)))</f>
        <v>0</v>
      </c>
      <c r="Q179">
        <f>IMSUM(H179,P179)</f>
        <v>0</v>
      </c>
      <c r="R179">
        <f>IMDIV("1",IMSUM(I179,IMDIV("1",Q179)))</f>
        <v>0</v>
      </c>
      <c r="S179">
        <f>IMSUM(J179,R179)</f>
        <v>0</v>
      </c>
      <c r="T179">
        <f>IMDIV("1",IMSUM(K179,IMDIV("1",S179)))</f>
        <v>0</v>
      </c>
      <c r="U179">
        <f>IMSUM(L179,T179)</f>
        <v>0</v>
      </c>
      <c r="V179">
        <f>IMDIV(COMPLEX(I_DM_SOURCE,0),U179)</f>
        <v>0</v>
      </c>
      <c r="W179">
        <f>IMPRODUCT(V179,T179)</f>
        <v>0</v>
      </c>
      <c r="X179">
        <f>IMDIV(W179,S179)</f>
        <v>0</v>
      </c>
      <c r="Y179">
        <f>IMPRODUCT(X179,R179)</f>
        <v>0</v>
      </c>
      <c r="Z179">
        <f>IMDIV(Y179,Q179)</f>
        <v>0</v>
      </c>
      <c r="AA179">
        <f>IMPRODUCT(Z179,P179)</f>
        <v>0</v>
      </c>
      <c r="AB179">
        <f>AA179</f>
        <v>0</v>
      </c>
      <c r="AC179">
        <f>IMPRODUCT("-1",AB179)</f>
        <v>0</v>
      </c>
      <c r="AD179">
        <f>IMDIV(IMSUB(AB179,AC179),"2")</f>
        <v>0</v>
      </c>
      <c r="AE179" s="6">
        <f>IMABS(AB179)</f>
        <v>0</v>
      </c>
      <c r="AF179" s="6">
        <f>IMABS(AC179)</f>
        <v>0</v>
      </c>
      <c r="AG179" s="6">
        <f>IMABS(AD179)</f>
        <v>0</v>
      </c>
      <c r="AH179" s="7">
        <f>20*LOG10(MAX(AE179,1E-300)*1E6)</f>
        <v>0</v>
      </c>
      <c r="AI179" s="7">
        <f>20*LOG10(MAX(AF179,1E-300)*1E6)</f>
        <v>0</v>
      </c>
      <c r="AJ179" s="7">
        <f>20*LOG10(MAX(AG179,1E-300)*1E6)</f>
        <v>0</v>
      </c>
      <c r="AK179" s="7">
        <f>DEGREES(IMARGUMENT(AB179))</f>
        <v>0</v>
      </c>
      <c r="AL179" s="7">
        <f>DEGREES(IMARGUMENT(AC179))</f>
        <v>0</v>
      </c>
      <c r="AM179" s="7">
        <f>DEGREES(IMARGUMENT(AD179))</f>
        <v>0</v>
      </c>
    </row>
    <row r="180" spans="1:39">
      <c r="A180" s="6">
        <f>10^(LOG10(F_START)+(ROW()-ROW($A$2))*(LOG10(F_STOP)-LOG10(F_START))/(N_POINTS-1))</f>
        <v>0</v>
      </c>
      <c r="B180" s="6">
        <f>2*PI()*A180</f>
        <v>0</v>
      </c>
      <c r="C180">
        <f>COMPLEX(2*LINE_PS_DCR,2*B180*LINE_PS_L)</f>
        <v>0</v>
      </c>
      <c r="D180">
        <f>IMSUM(COMPLEX(0,B180*(LINE_PS_CLINE+LINE_PS_CCHA/2)),IMDIV("1",IMPRODUCT("2",COMPLEX(C_THROUGH_ESR,B180*C_THROUGH_ESL-1/(B180*C_THROUGH_C)))))</f>
        <v>0</v>
      </c>
      <c r="E180">
        <f>COMPLEX(2*LINE_INPUT_DCR,2*B180*LINE_INPUT_L)</f>
        <v>0</v>
      </c>
      <c r="F180">
        <f>COMPLEX(0,B180*(LINE_INPUT_CLINE+LINE_INPUT_CCHA/2))</f>
        <v>0</v>
      </c>
      <c r="G180">
        <f>IMPRODUCT("2",IMDIV("1",IMSUM(IMDIV("1",COMPLEX(LDM1_DCR,B180*LDM1_L)),COMPLEX(0,B180*LDM1_CPA))))</f>
        <v>0</v>
      </c>
      <c r="H180">
        <f>IMSUM(IMDIV("1",COMPLEX(CX1_ESR,B180*CX1_ESL-1/(B180*CX1_C))),IMDIV("1",IMSUM(COMPLEX(DUMP1_R,0),COMPLEX(DUMP1_ESR,B180*DUMP1_ESL-1/(B180*DUMP1_C)))))</f>
        <v>0</v>
      </c>
      <c r="I180">
        <f>IMPRODUCT("2",IMDIV("1",IMSUM(IMDIV("1",COMPLEX(LDM2_DCR,B180*LDM2_L)),COMPLEX(0,B180*LDM2_CPA))))</f>
        <v>0</v>
      </c>
      <c r="J180">
        <f>IMSUM(IMDIV("1",COMPLEX(CX2_ESR,B180*CX2_ESL-1/(B180*CX2_C))),IMDIV("1",IMSUM(COMPLEX(DUMP2_R,0),COMPLEX(DUMP2_ESR,B180*DUMP2_ESL-1/(B180*DUMP2_C)))))</f>
        <v>0</v>
      </c>
      <c r="K180">
        <f>IMPRODUCT("2",IMDIV("1",IMSUM(IMDIV("1",COMPLEX(CMC_DCR,B180*CMC_L*(1-CMC_K))),COMPLEX(0,B180*CMC_CPA))))</f>
        <v>0</v>
      </c>
      <c r="L180">
        <f>IMSUM(COMPLEX(0,B180*CMC_CLINE),IMDIV("1",IMPRODUCT("2",COMPLEX(CY_ESR,B180*CY_ESL-1/(B180*CY_C)))),COMPLEX(1/DUMMY_R,0))</f>
        <v>0</v>
      </c>
      <c r="M180">
        <f>IMSUM(D180,IMDIV("1",C180))</f>
        <v>0</v>
      </c>
      <c r="N180">
        <f>IMDIV("1",IMSUM(E180,IMDIV("1",M180)))</f>
        <v>0</v>
      </c>
      <c r="O180">
        <f>IMSUM(F180,N180)</f>
        <v>0</v>
      </c>
      <c r="P180">
        <f>IMDIV("1",IMSUM(G180,IMDIV("1",O180)))</f>
        <v>0</v>
      </c>
      <c r="Q180">
        <f>IMSUM(H180,P180)</f>
        <v>0</v>
      </c>
      <c r="R180">
        <f>IMDIV("1",IMSUM(I180,IMDIV("1",Q180)))</f>
        <v>0</v>
      </c>
      <c r="S180">
        <f>IMSUM(J180,R180)</f>
        <v>0</v>
      </c>
      <c r="T180">
        <f>IMDIV("1",IMSUM(K180,IMDIV("1",S180)))</f>
        <v>0</v>
      </c>
      <c r="U180">
        <f>IMSUM(L180,T180)</f>
        <v>0</v>
      </c>
      <c r="V180">
        <f>IMDIV(COMPLEX(I_DM_SOURCE,0),U180)</f>
        <v>0</v>
      </c>
      <c r="W180">
        <f>IMPRODUCT(V180,T180)</f>
        <v>0</v>
      </c>
      <c r="X180">
        <f>IMDIV(W180,S180)</f>
        <v>0</v>
      </c>
      <c r="Y180">
        <f>IMPRODUCT(X180,R180)</f>
        <v>0</v>
      </c>
      <c r="Z180">
        <f>IMDIV(Y180,Q180)</f>
        <v>0</v>
      </c>
      <c r="AA180">
        <f>IMPRODUCT(Z180,P180)</f>
        <v>0</v>
      </c>
      <c r="AB180">
        <f>AA180</f>
        <v>0</v>
      </c>
      <c r="AC180">
        <f>IMPRODUCT("-1",AB180)</f>
        <v>0</v>
      </c>
      <c r="AD180">
        <f>IMDIV(IMSUB(AB180,AC180),"2")</f>
        <v>0</v>
      </c>
      <c r="AE180" s="6">
        <f>IMABS(AB180)</f>
        <v>0</v>
      </c>
      <c r="AF180" s="6">
        <f>IMABS(AC180)</f>
        <v>0</v>
      </c>
      <c r="AG180" s="6">
        <f>IMABS(AD180)</f>
        <v>0</v>
      </c>
      <c r="AH180" s="7">
        <f>20*LOG10(MAX(AE180,1E-300)*1E6)</f>
        <v>0</v>
      </c>
      <c r="AI180" s="7">
        <f>20*LOG10(MAX(AF180,1E-300)*1E6)</f>
        <v>0</v>
      </c>
      <c r="AJ180" s="7">
        <f>20*LOG10(MAX(AG180,1E-300)*1E6)</f>
        <v>0</v>
      </c>
      <c r="AK180" s="7">
        <f>DEGREES(IMARGUMENT(AB180))</f>
        <v>0</v>
      </c>
      <c r="AL180" s="7">
        <f>DEGREES(IMARGUMENT(AC180))</f>
        <v>0</v>
      </c>
      <c r="AM180" s="7">
        <f>DEGREES(IMARGUMENT(AD180))</f>
        <v>0</v>
      </c>
    </row>
    <row r="181" spans="1:39">
      <c r="A181" s="6">
        <f>10^(LOG10(F_START)+(ROW()-ROW($A$2))*(LOG10(F_STOP)-LOG10(F_START))/(N_POINTS-1))</f>
        <v>0</v>
      </c>
      <c r="B181" s="6">
        <f>2*PI()*A181</f>
        <v>0</v>
      </c>
      <c r="C181">
        <f>COMPLEX(2*LINE_PS_DCR,2*B181*LINE_PS_L)</f>
        <v>0</v>
      </c>
      <c r="D181">
        <f>IMSUM(COMPLEX(0,B181*(LINE_PS_CLINE+LINE_PS_CCHA/2)),IMDIV("1",IMPRODUCT("2",COMPLEX(C_THROUGH_ESR,B181*C_THROUGH_ESL-1/(B181*C_THROUGH_C)))))</f>
        <v>0</v>
      </c>
      <c r="E181">
        <f>COMPLEX(2*LINE_INPUT_DCR,2*B181*LINE_INPUT_L)</f>
        <v>0</v>
      </c>
      <c r="F181">
        <f>COMPLEX(0,B181*(LINE_INPUT_CLINE+LINE_INPUT_CCHA/2))</f>
        <v>0</v>
      </c>
      <c r="G181">
        <f>IMPRODUCT("2",IMDIV("1",IMSUM(IMDIV("1",COMPLEX(LDM1_DCR,B181*LDM1_L)),COMPLEX(0,B181*LDM1_CPA))))</f>
        <v>0</v>
      </c>
      <c r="H181">
        <f>IMSUM(IMDIV("1",COMPLEX(CX1_ESR,B181*CX1_ESL-1/(B181*CX1_C))),IMDIV("1",IMSUM(COMPLEX(DUMP1_R,0),COMPLEX(DUMP1_ESR,B181*DUMP1_ESL-1/(B181*DUMP1_C)))))</f>
        <v>0</v>
      </c>
      <c r="I181">
        <f>IMPRODUCT("2",IMDIV("1",IMSUM(IMDIV("1",COMPLEX(LDM2_DCR,B181*LDM2_L)),COMPLEX(0,B181*LDM2_CPA))))</f>
        <v>0</v>
      </c>
      <c r="J181">
        <f>IMSUM(IMDIV("1",COMPLEX(CX2_ESR,B181*CX2_ESL-1/(B181*CX2_C))),IMDIV("1",IMSUM(COMPLEX(DUMP2_R,0),COMPLEX(DUMP2_ESR,B181*DUMP2_ESL-1/(B181*DUMP2_C)))))</f>
        <v>0</v>
      </c>
      <c r="K181">
        <f>IMPRODUCT("2",IMDIV("1",IMSUM(IMDIV("1",COMPLEX(CMC_DCR,B181*CMC_L*(1-CMC_K))),COMPLEX(0,B181*CMC_CPA))))</f>
        <v>0</v>
      </c>
      <c r="L181">
        <f>IMSUM(COMPLEX(0,B181*CMC_CLINE),IMDIV("1",IMPRODUCT("2",COMPLEX(CY_ESR,B181*CY_ESL-1/(B181*CY_C)))),COMPLEX(1/DUMMY_R,0))</f>
        <v>0</v>
      </c>
      <c r="M181">
        <f>IMSUM(D181,IMDIV("1",C181))</f>
        <v>0</v>
      </c>
      <c r="N181">
        <f>IMDIV("1",IMSUM(E181,IMDIV("1",M181)))</f>
        <v>0</v>
      </c>
      <c r="O181">
        <f>IMSUM(F181,N181)</f>
        <v>0</v>
      </c>
      <c r="P181">
        <f>IMDIV("1",IMSUM(G181,IMDIV("1",O181)))</f>
        <v>0</v>
      </c>
      <c r="Q181">
        <f>IMSUM(H181,P181)</f>
        <v>0</v>
      </c>
      <c r="R181">
        <f>IMDIV("1",IMSUM(I181,IMDIV("1",Q181)))</f>
        <v>0</v>
      </c>
      <c r="S181">
        <f>IMSUM(J181,R181)</f>
        <v>0</v>
      </c>
      <c r="T181">
        <f>IMDIV("1",IMSUM(K181,IMDIV("1",S181)))</f>
        <v>0</v>
      </c>
      <c r="U181">
        <f>IMSUM(L181,T181)</f>
        <v>0</v>
      </c>
      <c r="V181">
        <f>IMDIV(COMPLEX(I_DM_SOURCE,0),U181)</f>
        <v>0</v>
      </c>
      <c r="W181">
        <f>IMPRODUCT(V181,T181)</f>
        <v>0</v>
      </c>
      <c r="X181">
        <f>IMDIV(W181,S181)</f>
        <v>0</v>
      </c>
      <c r="Y181">
        <f>IMPRODUCT(X181,R181)</f>
        <v>0</v>
      </c>
      <c r="Z181">
        <f>IMDIV(Y181,Q181)</f>
        <v>0</v>
      </c>
      <c r="AA181">
        <f>IMPRODUCT(Z181,P181)</f>
        <v>0</v>
      </c>
      <c r="AB181">
        <f>AA181</f>
        <v>0</v>
      </c>
      <c r="AC181">
        <f>IMPRODUCT("-1",AB181)</f>
        <v>0</v>
      </c>
      <c r="AD181">
        <f>IMDIV(IMSUB(AB181,AC181),"2")</f>
        <v>0</v>
      </c>
      <c r="AE181" s="6">
        <f>IMABS(AB181)</f>
        <v>0</v>
      </c>
      <c r="AF181" s="6">
        <f>IMABS(AC181)</f>
        <v>0</v>
      </c>
      <c r="AG181" s="6">
        <f>IMABS(AD181)</f>
        <v>0</v>
      </c>
      <c r="AH181" s="7">
        <f>20*LOG10(MAX(AE181,1E-300)*1E6)</f>
        <v>0</v>
      </c>
      <c r="AI181" s="7">
        <f>20*LOG10(MAX(AF181,1E-300)*1E6)</f>
        <v>0</v>
      </c>
      <c r="AJ181" s="7">
        <f>20*LOG10(MAX(AG181,1E-300)*1E6)</f>
        <v>0</v>
      </c>
      <c r="AK181" s="7">
        <f>DEGREES(IMARGUMENT(AB181))</f>
        <v>0</v>
      </c>
      <c r="AL181" s="7">
        <f>DEGREES(IMARGUMENT(AC181))</f>
        <v>0</v>
      </c>
      <c r="AM181" s="7">
        <f>DEGREES(IMARGUMENT(AD181))</f>
        <v>0</v>
      </c>
    </row>
    <row r="182" spans="1:39">
      <c r="A182" s="6">
        <f>10^(LOG10(F_START)+(ROW()-ROW($A$2))*(LOG10(F_STOP)-LOG10(F_START))/(N_POINTS-1))</f>
        <v>0</v>
      </c>
      <c r="B182" s="6">
        <f>2*PI()*A182</f>
        <v>0</v>
      </c>
      <c r="C182">
        <f>COMPLEX(2*LINE_PS_DCR,2*B182*LINE_PS_L)</f>
        <v>0</v>
      </c>
      <c r="D182">
        <f>IMSUM(COMPLEX(0,B182*(LINE_PS_CLINE+LINE_PS_CCHA/2)),IMDIV("1",IMPRODUCT("2",COMPLEX(C_THROUGH_ESR,B182*C_THROUGH_ESL-1/(B182*C_THROUGH_C)))))</f>
        <v>0</v>
      </c>
      <c r="E182">
        <f>COMPLEX(2*LINE_INPUT_DCR,2*B182*LINE_INPUT_L)</f>
        <v>0</v>
      </c>
      <c r="F182">
        <f>COMPLEX(0,B182*(LINE_INPUT_CLINE+LINE_INPUT_CCHA/2))</f>
        <v>0</v>
      </c>
      <c r="G182">
        <f>IMPRODUCT("2",IMDIV("1",IMSUM(IMDIV("1",COMPLEX(LDM1_DCR,B182*LDM1_L)),COMPLEX(0,B182*LDM1_CPA))))</f>
        <v>0</v>
      </c>
      <c r="H182">
        <f>IMSUM(IMDIV("1",COMPLEX(CX1_ESR,B182*CX1_ESL-1/(B182*CX1_C))),IMDIV("1",IMSUM(COMPLEX(DUMP1_R,0),COMPLEX(DUMP1_ESR,B182*DUMP1_ESL-1/(B182*DUMP1_C)))))</f>
        <v>0</v>
      </c>
      <c r="I182">
        <f>IMPRODUCT("2",IMDIV("1",IMSUM(IMDIV("1",COMPLEX(LDM2_DCR,B182*LDM2_L)),COMPLEX(0,B182*LDM2_CPA))))</f>
        <v>0</v>
      </c>
      <c r="J182">
        <f>IMSUM(IMDIV("1",COMPLEX(CX2_ESR,B182*CX2_ESL-1/(B182*CX2_C))),IMDIV("1",IMSUM(COMPLEX(DUMP2_R,0),COMPLEX(DUMP2_ESR,B182*DUMP2_ESL-1/(B182*DUMP2_C)))))</f>
        <v>0</v>
      </c>
      <c r="K182">
        <f>IMPRODUCT("2",IMDIV("1",IMSUM(IMDIV("1",COMPLEX(CMC_DCR,B182*CMC_L*(1-CMC_K))),COMPLEX(0,B182*CMC_CPA))))</f>
        <v>0</v>
      </c>
      <c r="L182">
        <f>IMSUM(COMPLEX(0,B182*CMC_CLINE),IMDIV("1",IMPRODUCT("2",COMPLEX(CY_ESR,B182*CY_ESL-1/(B182*CY_C)))),COMPLEX(1/DUMMY_R,0))</f>
        <v>0</v>
      </c>
      <c r="M182">
        <f>IMSUM(D182,IMDIV("1",C182))</f>
        <v>0</v>
      </c>
      <c r="N182">
        <f>IMDIV("1",IMSUM(E182,IMDIV("1",M182)))</f>
        <v>0</v>
      </c>
      <c r="O182">
        <f>IMSUM(F182,N182)</f>
        <v>0</v>
      </c>
      <c r="P182">
        <f>IMDIV("1",IMSUM(G182,IMDIV("1",O182)))</f>
        <v>0</v>
      </c>
      <c r="Q182">
        <f>IMSUM(H182,P182)</f>
        <v>0</v>
      </c>
      <c r="R182">
        <f>IMDIV("1",IMSUM(I182,IMDIV("1",Q182)))</f>
        <v>0</v>
      </c>
      <c r="S182">
        <f>IMSUM(J182,R182)</f>
        <v>0</v>
      </c>
      <c r="T182">
        <f>IMDIV("1",IMSUM(K182,IMDIV("1",S182)))</f>
        <v>0</v>
      </c>
      <c r="U182">
        <f>IMSUM(L182,T182)</f>
        <v>0</v>
      </c>
      <c r="V182">
        <f>IMDIV(COMPLEX(I_DM_SOURCE,0),U182)</f>
        <v>0</v>
      </c>
      <c r="W182">
        <f>IMPRODUCT(V182,T182)</f>
        <v>0</v>
      </c>
      <c r="X182">
        <f>IMDIV(W182,S182)</f>
        <v>0</v>
      </c>
      <c r="Y182">
        <f>IMPRODUCT(X182,R182)</f>
        <v>0</v>
      </c>
      <c r="Z182">
        <f>IMDIV(Y182,Q182)</f>
        <v>0</v>
      </c>
      <c r="AA182">
        <f>IMPRODUCT(Z182,P182)</f>
        <v>0</v>
      </c>
      <c r="AB182">
        <f>AA182</f>
        <v>0</v>
      </c>
      <c r="AC182">
        <f>IMPRODUCT("-1",AB182)</f>
        <v>0</v>
      </c>
      <c r="AD182">
        <f>IMDIV(IMSUB(AB182,AC182),"2")</f>
        <v>0</v>
      </c>
      <c r="AE182" s="6">
        <f>IMABS(AB182)</f>
        <v>0</v>
      </c>
      <c r="AF182" s="6">
        <f>IMABS(AC182)</f>
        <v>0</v>
      </c>
      <c r="AG182" s="6">
        <f>IMABS(AD182)</f>
        <v>0</v>
      </c>
      <c r="AH182" s="7">
        <f>20*LOG10(MAX(AE182,1E-300)*1E6)</f>
        <v>0</v>
      </c>
      <c r="AI182" s="7">
        <f>20*LOG10(MAX(AF182,1E-300)*1E6)</f>
        <v>0</v>
      </c>
      <c r="AJ182" s="7">
        <f>20*LOG10(MAX(AG182,1E-300)*1E6)</f>
        <v>0</v>
      </c>
      <c r="AK182" s="7">
        <f>DEGREES(IMARGUMENT(AB182))</f>
        <v>0</v>
      </c>
      <c r="AL182" s="7">
        <f>DEGREES(IMARGUMENT(AC182))</f>
        <v>0</v>
      </c>
      <c r="AM182" s="7">
        <f>DEGREES(IMARGUMENT(AD182))</f>
        <v>0</v>
      </c>
    </row>
    <row r="183" spans="1:39">
      <c r="A183" s="6">
        <f>10^(LOG10(F_START)+(ROW()-ROW($A$2))*(LOG10(F_STOP)-LOG10(F_START))/(N_POINTS-1))</f>
        <v>0</v>
      </c>
      <c r="B183" s="6">
        <f>2*PI()*A183</f>
        <v>0</v>
      </c>
      <c r="C183">
        <f>COMPLEX(2*LINE_PS_DCR,2*B183*LINE_PS_L)</f>
        <v>0</v>
      </c>
      <c r="D183">
        <f>IMSUM(COMPLEX(0,B183*(LINE_PS_CLINE+LINE_PS_CCHA/2)),IMDIV("1",IMPRODUCT("2",COMPLEX(C_THROUGH_ESR,B183*C_THROUGH_ESL-1/(B183*C_THROUGH_C)))))</f>
        <v>0</v>
      </c>
      <c r="E183">
        <f>COMPLEX(2*LINE_INPUT_DCR,2*B183*LINE_INPUT_L)</f>
        <v>0</v>
      </c>
      <c r="F183">
        <f>COMPLEX(0,B183*(LINE_INPUT_CLINE+LINE_INPUT_CCHA/2))</f>
        <v>0</v>
      </c>
      <c r="G183">
        <f>IMPRODUCT("2",IMDIV("1",IMSUM(IMDIV("1",COMPLEX(LDM1_DCR,B183*LDM1_L)),COMPLEX(0,B183*LDM1_CPA))))</f>
        <v>0</v>
      </c>
      <c r="H183">
        <f>IMSUM(IMDIV("1",COMPLEX(CX1_ESR,B183*CX1_ESL-1/(B183*CX1_C))),IMDIV("1",IMSUM(COMPLEX(DUMP1_R,0),COMPLEX(DUMP1_ESR,B183*DUMP1_ESL-1/(B183*DUMP1_C)))))</f>
        <v>0</v>
      </c>
      <c r="I183">
        <f>IMPRODUCT("2",IMDIV("1",IMSUM(IMDIV("1",COMPLEX(LDM2_DCR,B183*LDM2_L)),COMPLEX(0,B183*LDM2_CPA))))</f>
        <v>0</v>
      </c>
      <c r="J183">
        <f>IMSUM(IMDIV("1",COMPLEX(CX2_ESR,B183*CX2_ESL-1/(B183*CX2_C))),IMDIV("1",IMSUM(COMPLEX(DUMP2_R,0),COMPLEX(DUMP2_ESR,B183*DUMP2_ESL-1/(B183*DUMP2_C)))))</f>
        <v>0</v>
      </c>
      <c r="K183">
        <f>IMPRODUCT("2",IMDIV("1",IMSUM(IMDIV("1",COMPLEX(CMC_DCR,B183*CMC_L*(1-CMC_K))),COMPLEX(0,B183*CMC_CPA))))</f>
        <v>0</v>
      </c>
      <c r="L183">
        <f>IMSUM(COMPLEX(0,B183*CMC_CLINE),IMDIV("1",IMPRODUCT("2",COMPLEX(CY_ESR,B183*CY_ESL-1/(B183*CY_C)))),COMPLEX(1/DUMMY_R,0))</f>
        <v>0</v>
      </c>
      <c r="M183">
        <f>IMSUM(D183,IMDIV("1",C183))</f>
        <v>0</v>
      </c>
      <c r="N183">
        <f>IMDIV("1",IMSUM(E183,IMDIV("1",M183)))</f>
        <v>0</v>
      </c>
      <c r="O183">
        <f>IMSUM(F183,N183)</f>
        <v>0</v>
      </c>
      <c r="P183">
        <f>IMDIV("1",IMSUM(G183,IMDIV("1",O183)))</f>
        <v>0</v>
      </c>
      <c r="Q183">
        <f>IMSUM(H183,P183)</f>
        <v>0</v>
      </c>
      <c r="R183">
        <f>IMDIV("1",IMSUM(I183,IMDIV("1",Q183)))</f>
        <v>0</v>
      </c>
      <c r="S183">
        <f>IMSUM(J183,R183)</f>
        <v>0</v>
      </c>
      <c r="T183">
        <f>IMDIV("1",IMSUM(K183,IMDIV("1",S183)))</f>
        <v>0</v>
      </c>
      <c r="U183">
        <f>IMSUM(L183,T183)</f>
        <v>0</v>
      </c>
      <c r="V183">
        <f>IMDIV(COMPLEX(I_DM_SOURCE,0),U183)</f>
        <v>0</v>
      </c>
      <c r="W183">
        <f>IMPRODUCT(V183,T183)</f>
        <v>0</v>
      </c>
      <c r="X183">
        <f>IMDIV(W183,S183)</f>
        <v>0</v>
      </c>
      <c r="Y183">
        <f>IMPRODUCT(X183,R183)</f>
        <v>0</v>
      </c>
      <c r="Z183">
        <f>IMDIV(Y183,Q183)</f>
        <v>0</v>
      </c>
      <c r="AA183">
        <f>IMPRODUCT(Z183,P183)</f>
        <v>0</v>
      </c>
      <c r="AB183">
        <f>AA183</f>
        <v>0</v>
      </c>
      <c r="AC183">
        <f>IMPRODUCT("-1",AB183)</f>
        <v>0</v>
      </c>
      <c r="AD183">
        <f>IMDIV(IMSUB(AB183,AC183),"2")</f>
        <v>0</v>
      </c>
      <c r="AE183" s="6">
        <f>IMABS(AB183)</f>
        <v>0</v>
      </c>
      <c r="AF183" s="6">
        <f>IMABS(AC183)</f>
        <v>0</v>
      </c>
      <c r="AG183" s="6">
        <f>IMABS(AD183)</f>
        <v>0</v>
      </c>
      <c r="AH183" s="7">
        <f>20*LOG10(MAX(AE183,1E-300)*1E6)</f>
        <v>0</v>
      </c>
      <c r="AI183" s="7">
        <f>20*LOG10(MAX(AF183,1E-300)*1E6)</f>
        <v>0</v>
      </c>
      <c r="AJ183" s="7">
        <f>20*LOG10(MAX(AG183,1E-300)*1E6)</f>
        <v>0</v>
      </c>
      <c r="AK183" s="7">
        <f>DEGREES(IMARGUMENT(AB183))</f>
        <v>0</v>
      </c>
      <c r="AL183" s="7">
        <f>DEGREES(IMARGUMENT(AC183))</f>
        <v>0</v>
      </c>
      <c r="AM183" s="7">
        <f>DEGREES(IMARGUMENT(AD183))</f>
        <v>0</v>
      </c>
    </row>
    <row r="184" spans="1:39">
      <c r="A184" s="6">
        <f>10^(LOG10(F_START)+(ROW()-ROW($A$2))*(LOG10(F_STOP)-LOG10(F_START))/(N_POINTS-1))</f>
        <v>0</v>
      </c>
      <c r="B184" s="6">
        <f>2*PI()*A184</f>
        <v>0</v>
      </c>
      <c r="C184">
        <f>COMPLEX(2*LINE_PS_DCR,2*B184*LINE_PS_L)</f>
        <v>0</v>
      </c>
      <c r="D184">
        <f>IMSUM(COMPLEX(0,B184*(LINE_PS_CLINE+LINE_PS_CCHA/2)),IMDIV("1",IMPRODUCT("2",COMPLEX(C_THROUGH_ESR,B184*C_THROUGH_ESL-1/(B184*C_THROUGH_C)))))</f>
        <v>0</v>
      </c>
      <c r="E184">
        <f>COMPLEX(2*LINE_INPUT_DCR,2*B184*LINE_INPUT_L)</f>
        <v>0</v>
      </c>
      <c r="F184">
        <f>COMPLEX(0,B184*(LINE_INPUT_CLINE+LINE_INPUT_CCHA/2))</f>
        <v>0</v>
      </c>
      <c r="G184">
        <f>IMPRODUCT("2",IMDIV("1",IMSUM(IMDIV("1",COMPLEX(LDM1_DCR,B184*LDM1_L)),COMPLEX(0,B184*LDM1_CPA))))</f>
        <v>0</v>
      </c>
      <c r="H184">
        <f>IMSUM(IMDIV("1",COMPLEX(CX1_ESR,B184*CX1_ESL-1/(B184*CX1_C))),IMDIV("1",IMSUM(COMPLEX(DUMP1_R,0),COMPLEX(DUMP1_ESR,B184*DUMP1_ESL-1/(B184*DUMP1_C)))))</f>
        <v>0</v>
      </c>
      <c r="I184">
        <f>IMPRODUCT("2",IMDIV("1",IMSUM(IMDIV("1",COMPLEX(LDM2_DCR,B184*LDM2_L)),COMPLEX(0,B184*LDM2_CPA))))</f>
        <v>0</v>
      </c>
      <c r="J184">
        <f>IMSUM(IMDIV("1",COMPLEX(CX2_ESR,B184*CX2_ESL-1/(B184*CX2_C))),IMDIV("1",IMSUM(COMPLEX(DUMP2_R,0),COMPLEX(DUMP2_ESR,B184*DUMP2_ESL-1/(B184*DUMP2_C)))))</f>
        <v>0</v>
      </c>
      <c r="K184">
        <f>IMPRODUCT("2",IMDIV("1",IMSUM(IMDIV("1",COMPLEX(CMC_DCR,B184*CMC_L*(1-CMC_K))),COMPLEX(0,B184*CMC_CPA))))</f>
        <v>0</v>
      </c>
      <c r="L184">
        <f>IMSUM(COMPLEX(0,B184*CMC_CLINE),IMDIV("1",IMPRODUCT("2",COMPLEX(CY_ESR,B184*CY_ESL-1/(B184*CY_C)))),COMPLEX(1/DUMMY_R,0))</f>
        <v>0</v>
      </c>
      <c r="M184">
        <f>IMSUM(D184,IMDIV("1",C184))</f>
        <v>0</v>
      </c>
      <c r="N184">
        <f>IMDIV("1",IMSUM(E184,IMDIV("1",M184)))</f>
        <v>0</v>
      </c>
      <c r="O184">
        <f>IMSUM(F184,N184)</f>
        <v>0</v>
      </c>
      <c r="P184">
        <f>IMDIV("1",IMSUM(G184,IMDIV("1",O184)))</f>
        <v>0</v>
      </c>
      <c r="Q184">
        <f>IMSUM(H184,P184)</f>
        <v>0</v>
      </c>
      <c r="R184">
        <f>IMDIV("1",IMSUM(I184,IMDIV("1",Q184)))</f>
        <v>0</v>
      </c>
      <c r="S184">
        <f>IMSUM(J184,R184)</f>
        <v>0</v>
      </c>
      <c r="T184">
        <f>IMDIV("1",IMSUM(K184,IMDIV("1",S184)))</f>
        <v>0</v>
      </c>
      <c r="U184">
        <f>IMSUM(L184,T184)</f>
        <v>0</v>
      </c>
      <c r="V184">
        <f>IMDIV(COMPLEX(I_DM_SOURCE,0),U184)</f>
        <v>0</v>
      </c>
      <c r="W184">
        <f>IMPRODUCT(V184,T184)</f>
        <v>0</v>
      </c>
      <c r="X184">
        <f>IMDIV(W184,S184)</f>
        <v>0</v>
      </c>
      <c r="Y184">
        <f>IMPRODUCT(X184,R184)</f>
        <v>0</v>
      </c>
      <c r="Z184">
        <f>IMDIV(Y184,Q184)</f>
        <v>0</v>
      </c>
      <c r="AA184">
        <f>IMPRODUCT(Z184,P184)</f>
        <v>0</v>
      </c>
      <c r="AB184">
        <f>AA184</f>
        <v>0</v>
      </c>
      <c r="AC184">
        <f>IMPRODUCT("-1",AB184)</f>
        <v>0</v>
      </c>
      <c r="AD184">
        <f>IMDIV(IMSUB(AB184,AC184),"2")</f>
        <v>0</v>
      </c>
      <c r="AE184" s="6">
        <f>IMABS(AB184)</f>
        <v>0</v>
      </c>
      <c r="AF184" s="6">
        <f>IMABS(AC184)</f>
        <v>0</v>
      </c>
      <c r="AG184" s="6">
        <f>IMABS(AD184)</f>
        <v>0</v>
      </c>
      <c r="AH184" s="7">
        <f>20*LOG10(MAX(AE184,1E-300)*1E6)</f>
        <v>0</v>
      </c>
      <c r="AI184" s="7">
        <f>20*LOG10(MAX(AF184,1E-300)*1E6)</f>
        <v>0</v>
      </c>
      <c r="AJ184" s="7">
        <f>20*LOG10(MAX(AG184,1E-300)*1E6)</f>
        <v>0</v>
      </c>
      <c r="AK184" s="7">
        <f>DEGREES(IMARGUMENT(AB184))</f>
        <v>0</v>
      </c>
      <c r="AL184" s="7">
        <f>DEGREES(IMARGUMENT(AC184))</f>
        <v>0</v>
      </c>
      <c r="AM184" s="7">
        <f>DEGREES(IMARGUMENT(AD184))</f>
        <v>0</v>
      </c>
    </row>
    <row r="185" spans="1:39">
      <c r="A185" s="6">
        <f>10^(LOG10(F_START)+(ROW()-ROW($A$2))*(LOG10(F_STOP)-LOG10(F_START))/(N_POINTS-1))</f>
        <v>0</v>
      </c>
      <c r="B185" s="6">
        <f>2*PI()*A185</f>
        <v>0</v>
      </c>
      <c r="C185">
        <f>COMPLEX(2*LINE_PS_DCR,2*B185*LINE_PS_L)</f>
        <v>0</v>
      </c>
      <c r="D185">
        <f>IMSUM(COMPLEX(0,B185*(LINE_PS_CLINE+LINE_PS_CCHA/2)),IMDIV("1",IMPRODUCT("2",COMPLEX(C_THROUGH_ESR,B185*C_THROUGH_ESL-1/(B185*C_THROUGH_C)))))</f>
        <v>0</v>
      </c>
      <c r="E185">
        <f>COMPLEX(2*LINE_INPUT_DCR,2*B185*LINE_INPUT_L)</f>
        <v>0</v>
      </c>
      <c r="F185">
        <f>COMPLEX(0,B185*(LINE_INPUT_CLINE+LINE_INPUT_CCHA/2))</f>
        <v>0</v>
      </c>
      <c r="G185">
        <f>IMPRODUCT("2",IMDIV("1",IMSUM(IMDIV("1",COMPLEX(LDM1_DCR,B185*LDM1_L)),COMPLEX(0,B185*LDM1_CPA))))</f>
        <v>0</v>
      </c>
      <c r="H185">
        <f>IMSUM(IMDIV("1",COMPLEX(CX1_ESR,B185*CX1_ESL-1/(B185*CX1_C))),IMDIV("1",IMSUM(COMPLEX(DUMP1_R,0),COMPLEX(DUMP1_ESR,B185*DUMP1_ESL-1/(B185*DUMP1_C)))))</f>
        <v>0</v>
      </c>
      <c r="I185">
        <f>IMPRODUCT("2",IMDIV("1",IMSUM(IMDIV("1",COMPLEX(LDM2_DCR,B185*LDM2_L)),COMPLEX(0,B185*LDM2_CPA))))</f>
        <v>0</v>
      </c>
      <c r="J185">
        <f>IMSUM(IMDIV("1",COMPLEX(CX2_ESR,B185*CX2_ESL-1/(B185*CX2_C))),IMDIV("1",IMSUM(COMPLEX(DUMP2_R,0),COMPLEX(DUMP2_ESR,B185*DUMP2_ESL-1/(B185*DUMP2_C)))))</f>
        <v>0</v>
      </c>
      <c r="K185">
        <f>IMPRODUCT("2",IMDIV("1",IMSUM(IMDIV("1",COMPLEX(CMC_DCR,B185*CMC_L*(1-CMC_K))),COMPLEX(0,B185*CMC_CPA))))</f>
        <v>0</v>
      </c>
      <c r="L185">
        <f>IMSUM(COMPLEX(0,B185*CMC_CLINE),IMDIV("1",IMPRODUCT("2",COMPLEX(CY_ESR,B185*CY_ESL-1/(B185*CY_C)))),COMPLEX(1/DUMMY_R,0))</f>
        <v>0</v>
      </c>
      <c r="M185">
        <f>IMSUM(D185,IMDIV("1",C185))</f>
        <v>0</v>
      </c>
      <c r="N185">
        <f>IMDIV("1",IMSUM(E185,IMDIV("1",M185)))</f>
        <v>0</v>
      </c>
      <c r="O185">
        <f>IMSUM(F185,N185)</f>
        <v>0</v>
      </c>
      <c r="P185">
        <f>IMDIV("1",IMSUM(G185,IMDIV("1",O185)))</f>
        <v>0</v>
      </c>
      <c r="Q185">
        <f>IMSUM(H185,P185)</f>
        <v>0</v>
      </c>
      <c r="R185">
        <f>IMDIV("1",IMSUM(I185,IMDIV("1",Q185)))</f>
        <v>0</v>
      </c>
      <c r="S185">
        <f>IMSUM(J185,R185)</f>
        <v>0</v>
      </c>
      <c r="T185">
        <f>IMDIV("1",IMSUM(K185,IMDIV("1",S185)))</f>
        <v>0</v>
      </c>
      <c r="U185">
        <f>IMSUM(L185,T185)</f>
        <v>0</v>
      </c>
      <c r="V185">
        <f>IMDIV(COMPLEX(I_DM_SOURCE,0),U185)</f>
        <v>0</v>
      </c>
      <c r="W185">
        <f>IMPRODUCT(V185,T185)</f>
        <v>0</v>
      </c>
      <c r="X185">
        <f>IMDIV(W185,S185)</f>
        <v>0</v>
      </c>
      <c r="Y185">
        <f>IMPRODUCT(X185,R185)</f>
        <v>0</v>
      </c>
      <c r="Z185">
        <f>IMDIV(Y185,Q185)</f>
        <v>0</v>
      </c>
      <c r="AA185">
        <f>IMPRODUCT(Z185,P185)</f>
        <v>0</v>
      </c>
      <c r="AB185">
        <f>AA185</f>
        <v>0</v>
      </c>
      <c r="AC185">
        <f>IMPRODUCT("-1",AB185)</f>
        <v>0</v>
      </c>
      <c r="AD185">
        <f>IMDIV(IMSUB(AB185,AC185),"2")</f>
        <v>0</v>
      </c>
      <c r="AE185" s="6">
        <f>IMABS(AB185)</f>
        <v>0</v>
      </c>
      <c r="AF185" s="6">
        <f>IMABS(AC185)</f>
        <v>0</v>
      </c>
      <c r="AG185" s="6">
        <f>IMABS(AD185)</f>
        <v>0</v>
      </c>
      <c r="AH185" s="7">
        <f>20*LOG10(MAX(AE185,1E-300)*1E6)</f>
        <v>0</v>
      </c>
      <c r="AI185" s="7">
        <f>20*LOG10(MAX(AF185,1E-300)*1E6)</f>
        <v>0</v>
      </c>
      <c r="AJ185" s="7">
        <f>20*LOG10(MAX(AG185,1E-300)*1E6)</f>
        <v>0</v>
      </c>
      <c r="AK185" s="7">
        <f>DEGREES(IMARGUMENT(AB185))</f>
        <v>0</v>
      </c>
      <c r="AL185" s="7">
        <f>DEGREES(IMARGUMENT(AC185))</f>
        <v>0</v>
      </c>
      <c r="AM185" s="7">
        <f>DEGREES(IMARGUMENT(AD185))</f>
        <v>0</v>
      </c>
    </row>
    <row r="186" spans="1:39">
      <c r="A186" s="6">
        <f>10^(LOG10(F_START)+(ROW()-ROW($A$2))*(LOG10(F_STOP)-LOG10(F_START))/(N_POINTS-1))</f>
        <v>0</v>
      </c>
      <c r="B186" s="6">
        <f>2*PI()*A186</f>
        <v>0</v>
      </c>
      <c r="C186">
        <f>COMPLEX(2*LINE_PS_DCR,2*B186*LINE_PS_L)</f>
        <v>0</v>
      </c>
      <c r="D186">
        <f>IMSUM(COMPLEX(0,B186*(LINE_PS_CLINE+LINE_PS_CCHA/2)),IMDIV("1",IMPRODUCT("2",COMPLEX(C_THROUGH_ESR,B186*C_THROUGH_ESL-1/(B186*C_THROUGH_C)))))</f>
        <v>0</v>
      </c>
      <c r="E186">
        <f>COMPLEX(2*LINE_INPUT_DCR,2*B186*LINE_INPUT_L)</f>
        <v>0</v>
      </c>
      <c r="F186">
        <f>COMPLEX(0,B186*(LINE_INPUT_CLINE+LINE_INPUT_CCHA/2))</f>
        <v>0</v>
      </c>
      <c r="G186">
        <f>IMPRODUCT("2",IMDIV("1",IMSUM(IMDIV("1",COMPLEX(LDM1_DCR,B186*LDM1_L)),COMPLEX(0,B186*LDM1_CPA))))</f>
        <v>0</v>
      </c>
      <c r="H186">
        <f>IMSUM(IMDIV("1",COMPLEX(CX1_ESR,B186*CX1_ESL-1/(B186*CX1_C))),IMDIV("1",IMSUM(COMPLEX(DUMP1_R,0),COMPLEX(DUMP1_ESR,B186*DUMP1_ESL-1/(B186*DUMP1_C)))))</f>
        <v>0</v>
      </c>
      <c r="I186">
        <f>IMPRODUCT("2",IMDIV("1",IMSUM(IMDIV("1",COMPLEX(LDM2_DCR,B186*LDM2_L)),COMPLEX(0,B186*LDM2_CPA))))</f>
        <v>0</v>
      </c>
      <c r="J186">
        <f>IMSUM(IMDIV("1",COMPLEX(CX2_ESR,B186*CX2_ESL-1/(B186*CX2_C))),IMDIV("1",IMSUM(COMPLEX(DUMP2_R,0),COMPLEX(DUMP2_ESR,B186*DUMP2_ESL-1/(B186*DUMP2_C)))))</f>
        <v>0</v>
      </c>
      <c r="K186">
        <f>IMPRODUCT("2",IMDIV("1",IMSUM(IMDIV("1",COMPLEX(CMC_DCR,B186*CMC_L*(1-CMC_K))),COMPLEX(0,B186*CMC_CPA))))</f>
        <v>0</v>
      </c>
      <c r="L186">
        <f>IMSUM(COMPLEX(0,B186*CMC_CLINE),IMDIV("1",IMPRODUCT("2",COMPLEX(CY_ESR,B186*CY_ESL-1/(B186*CY_C)))),COMPLEX(1/DUMMY_R,0))</f>
        <v>0</v>
      </c>
      <c r="M186">
        <f>IMSUM(D186,IMDIV("1",C186))</f>
        <v>0</v>
      </c>
      <c r="N186">
        <f>IMDIV("1",IMSUM(E186,IMDIV("1",M186)))</f>
        <v>0</v>
      </c>
      <c r="O186">
        <f>IMSUM(F186,N186)</f>
        <v>0</v>
      </c>
      <c r="P186">
        <f>IMDIV("1",IMSUM(G186,IMDIV("1",O186)))</f>
        <v>0</v>
      </c>
      <c r="Q186">
        <f>IMSUM(H186,P186)</f>
        <v>0</v>
      </c>
      <c r="R186">
        <f>IMDIV("1",IMSUM(I186,IMDIV("1",Q186)))</f>
        <v>0</v>
      </c>
      <c r="S186">
        <f>IMSUM(J186,R186)</f>
        <v>0</v>
      </c>
      <c r="T186">
        <f>IMDIV("1",IMSUM(K186,IMDIV("1",S186)))</f>
        <v>0</v>
      </c>
      <c r="U186">
        <f>IMSUM(L186,T186)</f>
        <v>0</v>
      </c>
      <c r="V186">
        <f>IMDIV(COMPLEX(I_DM_SOURCE,0),U186)</f>
        <v>0</v>
      </c>
      <c r="W186">
        <f>IMPRODUCT(V186,T186)</f>
        <v>0</v>
      </c>
      <c r="X186">
        <f>IMDIV(W186,S186)</f>
        <v>0</v>
      </c>
      <c r="Y186">
        <f>IMPRODUCT(X186,R186)</f>
        <v>0</v>
      </c>
      <c r="Z186">
        <f>IMDIV(Y186,Q186)</f>
        <v>0</v>
      </c>
      <c r="AA186">
        <f>IMPRODUCT(Z186,P186)</f>
        <v>0</v>
      </c>
      <c r="AB186">
        <f>AA186</f>
        <v>0</v>
      </c>
      <c r="AC186">
        <f>IMPRODUCT("-1",AB186)</f>
        <v>0</v>
      </c>
      <c r="AD186">
        <f>IMDIV(IMSUB(AB186,AC186),"2")</f>
        <v>0</v>
      </c>
      <c r="AE186" s="6">
        <f>IMABS(AB186)</f>
        <v>0</v>
      </c>
      <c r="AF186" s="6">
        <f>IMABS(AC186)</f>
        <v>0</v>
      </c>
      <c r="AG186" s="6">
        <f>IMABS(AD186)</f>
        <v>0</v>
      </c>
      <c r="AH186" s="7">
        <f>20*LOG10(MAX(AE186,1E-300)*1E6)</f>
        <v>0</v>
      </c>
      <c r="AI186" s="7">
        <f>20*LOG10(MAX(AF186,1E-300)*1E6)</f>
        <v>0</v>
      </c>
      <c r="AJ186" s="7">
        <f>20*LOG10(MAX(AG186,1E-300)*1E6)</f>
        <v>0</v>
      </c>
      <c r="AK186" s="7">
        <f>DEGREES(IMARGUMENT(AB186))</f>
        <v>0</v>
      </c>
      <c r="AL186" s="7">
        <f>DEGREES(IMARGUMENT(AC186))</f>
        <v>0</v>
      </c>
      <c r="AM186" s="7">
        <f>DEGREES(IMARGUMENT(AD186))</f>
        <v>0</v>
      </c>
    </row>
    <row r="187" spans="1:39">
      <c r="A187" s="6">
        <f>10^(LOG10(F_START)+(ROW()-ROW($A$2))*(LOG10(F_STOP)-LOG10(F_START))/(N_POINTS-1))</f>
        <v>0</v>
      </c>
      <c r="B187" s="6">
        <f>2*PI()*A187</f>
        <v>0</v>
      </c>
      <c r="C187">
        <f>COMPLEX(2*LINE_PS_DCR,2*B187*LINE_PS_L)</f>
        <v>0</v>
      </c>
      <c r="D187">
        <f>IMSUM(COMPLEX(0,B187*(LINE_PS_CLINE+LINE_PS_CCHA/2)),IMDIV("1",IMPRODUCT("2",COMPLEX(C_THROUGH_ESR,B187*C_THROUGH_ESL-1/(B187*C_THROUGH_C)))))</f>
        <v>0</v>
      </c>
      <c r="E187">
        <f>COMPLEX(2*LINE_INPUT_DCR,2*B187*LINE_INPUT_L)</f>
        <v>0</v>
      </c>
      <c r="F187">
        <f>COMPLEX(0,B187*(LINE_INPUT_CLINE+LINE_INPUT_CCHA/2))</f>
        <v>0</v>
      </c>
      <c r="G187">
        <f>IMPRODUCT("2",IMDIV("1",IMSUM(IMDIV("1",COMPLEX(LDM1_DCR,B187*LDM1_L)),COMPLEX(0,B187*LDM1_CPA))))</f>
        <v>0</v>
      </c>
      <c r="H187">
        <f>IMSUM(IMDIV("1",COMPLEX(CX1_ESR,B187*CX1_ESL-1/(B187*CX1_C))),IMDIV("1",IMSUM(COMPLEX(DUMP1_R,0),COMPLEX(DUMP1_ESR,B187*DUMP1_ESL-1/(B187*DUMP1_C)))))</f>
        <v>0</v>
      </c>
      <c r="I187">
        <f>IMPRODUCT("2",IMDIV("1",IMSUM(IMDIV("1",COMPLEX(LDM2_DCR,B187*LDM2_L)),COMPLEX(0,B187*LDM2_CPA))))</f>
        <v>0</v>
      </c>
      <c r="J187">
        <f>IMSUM(IMDIV("1",COMPLEX(CX2_ESR,B187*CX2_ESL-1/(B187*CX2_C))),IMDIV("1",IMSUM(COMPLEX(DUMP2_R,0),COMPLEX(DUMP2_ESR,B187*DUMP2_ESL-1/(B187*DUMP2_C)))))</f>
        <v>0</v>
      </c>
      <c r="K187">
        <f>IMPRODUCT("2",IMDIV("1",IMSUM(IMDIV("1",COMPLEX(CMC_DCR,B187*CMC_L*(1-CMC_K))),COMPLEX(0,B187*CMC_CPA))))</f>
        <v>0</v>
      </c>
      <c r="L187">
        <f>IMSUM(COMPLEX(0,B187*CMC_CLINE),IMDIV("1",IMPRODUCT("2",COMPLEX(CY_ESR,B187*CY_ESL-1/(B187*CY_C)))),COMPLEX(1/DUMMY_R,0))</f>
        <v>0</v>
      </c>
      <c r="M187">
        <f>IMSUM(D187,IMDIV("1",C187))</f>
        <v>0</v>
      </c>
      <c r="N187">
        <f>IMDIV("1",IMSUM(E187,IMDIV("1",M187)))</f>
        <v>0</v>
      </c>
      <c r="O187">
        <f>IMSUM(F187,N187)</f>
        <v>0</v>
      </c>
      <c r="P187">
        <f>IMDIV("1",IMSUM(G187,IMDIV("1",O187)))</f>
        <v>0</v>
      </c>
      <c r="Q187">
        <f>IMSUM(H187,P187)</f>
        <v>0</v>
      </c>
      <c r="R187">
        <f>IMDIV("1",IMSUM(I187,IMDIV("1",Q187)))</f>
        <v>0</v>
      </c>
      <c r="S187">
        <f>IMSUM(J187,R187)</f>
        <v>0</v>
      </c>
      <c r="T187">
        <f>IMDIV("1",IMSUM(K187,IMDIV("1",S187)))</f>
        <v>0</v>
      </c>
      <c r="U187">
        <f>IMSUM(L187,T187)</f>
        <v>0</v>
      </c>
      <c r="V187">
        <f>IMDIV(COMPLEX(I_DM_SOURCE,0),U187)</f>
        <v>0</v>
      </c>
      <c r="W187">
        <f>IMPRODUCT(V187,T187)</f>
        <v>0</v>
      </c>
      <c r="X187">
        <f>IMDIV(W187,S187)</f>
        <v>0</v>
      </c>
      <c r="Y187">
        <f>IMPRODUCT(X187,R187)</f>
        <v>0</v>
      </c>
      <c r="Z187">
        <f>IMDIV(Y187,Q187)</f>
        <v>0</v>
      </c>
      <c r="AA187">
        <f>IMPRODUCT(Z187,P187)</f>
        <v>0</v>
      </c>
      <c r="AB187">
        <f>AA187</f>
        <v>0</v>
      </c>
      <c r="AC187">
        <f>IMPRODUCT("-1",AB187)</f>
        <v>0</v>
      </c>
      <c r="AD187">
        <f>IMDIV(IMSUB(AB187,AC187),"2")</f>
        <v>0</v>
      </c>
      <c r="AE187" s="6">
        <f>IMABS(AB187)</f>
        <v>0</v>
      </c>
      <c r="AF187" s="6">
        <f>IMABS(AC187)</f>
        <v>0</v>
      </c>
      <c r="AG187" s="6">
        <f>IMABS(AD187)</f>
        <v>0</v>
      </c>
      <c r="AH187" s="7">
        <f>20*LOG10(MAX(AE187,1E-300)*1E6)</f>
        <v>0</v>
      </c>
      <c r="AI187" s="7">
        <f>20*LOG10(MAX(AF187,1E-300)*1E6)</f>
        <v>0</v>
      </c>
      <c r="AJ187" s="7">
        <f>20*LOG10(MAX(AG187,1E-300)*1E6)</f>
        <v>0</v>
      </c>
      <c r="AK187" s="7">
        <f>DEGREES(IMARGUMENT(AB187))</f>
        <v>0</v>
      </c>
      <c r="AL187" s="7">
        <f>DEGREES(IMARGUMENT(AC187))</f>
        <v>0</v>
      </c>
      <c r="AM187" s="7">
        <f>DEGREES(IMARGUMENT(AD187))</f>
        <v>0</v>
      </c>
    </row>
    <row r="188" spans="1:39">
      <c r="A188" s="6">
        <f>10^(LOG10(F_START)+(ROW()-ROW($A$2))*(LOG10(F_STOP)-LOG10(F_START))/(N_POINTS-1))</f>
        <v>0</v>
      </c>
      <c r="B188" s="6">
        <f>2*PI()*A188</f>
        <v>0</v>
      </c>
      <c r="C188">
        <f>COMPLEX(2*LINE_PS_DCR,2*B188*LINE_PS_L)</f>
        <v>0</v>
      </c>
      <c r="D188">
        <f>IMSUM(COMPLEX(0,B188*(LINE_PS_CLINE+LINE_PS_CCHA/2)),IMDIV("1",IMPRODUCT("2",COMPLEX(C_THROUGH_ESR,B188*C_THROUGH_ESL-1/(B188*C_THROUGH_C)))))</f>
        <v>0</v>
      </c>
      <c r="E188">
        <f>COMPLEX(2*LINE_INPUT_DCR,2*B188*LINE_INPUT_L)</f>
        <v>0</v>
      </c>
      <c r="F188">
        <f>COMPLEX(0,B188*(LINE_INPUT_CLINE+LINE_INPUT_CCHA/2))</f>
        <v>0</v>
      </c>
      <c r="G188">
        <f>IMPRODUCT("2",IMDIV("1",IMSUM(IMDIV("1",COMPLEX(LDM1_DCR,B188*LDM1_L)),COMPLEX(0,B188*LDM1_CPA))))</f>
        <v>0</v>
      </c>
      <c r="H188">
        <f>IMSUM(IMDIV("1",COMPLEX(CX1_ESR,B188*CX1_ESL-1/(B188*CX1_C))),IMDIV("1",IMSUM(COMPLEX(DUMP1_R,0),COMPLEX(DUMP1_ESR,B188*DUMP1_ESL-1/(B188*DUMP1_C)))))</f>
        <v>0</v>
      </c>
      <c r="I188">
        <f>IMPRODUCT("2",IMDIV("1",IMSUM(IMDIV("1",COMPLEX(LDM2_DCR,B188*LDM2_L)),COMPLEX(0,B188*LDM2_CPA))))</f>
        <v>0</v>
      </c>
      <c r="J188">
        <f>IMSUM(IMDIV("1",COMPLEX(CX2_ESR,B188*CX2_ESL-1/(B188*CX2_C))),IMDIV("1",IMSUM(COMPLEX(DUMP2_R,0),COMPLEX(DUMP2_ESR,B188*DUMP2_ESL-1/(B188*DUMP2_C)))))</f>
        <v>0</v>
      </c>
      <c r="K188">
        <f>IMPRODUCT("2",IMDIV("1",IMSUM(IMDIV("1",COMPLEX(CMC_DCR,B188*CMC_L*(1-CMC_K))),COMPLEX(0,B188*CMC_CPA))))</f>
        <v>0</v>
      </c>
      <c r="L188">
        <f>IMSUM(COMPLEX(0,B188*CMC_CLINE),IMDIV("1",IMPRODUCT("2",COMPLEX(CY_ESR,B188*CY_ESL-1/(B188*CY_C)))),COMPLEX(1/DUMMY_R,0))</f>
        <v>0</v>
      </c>
      <c r="M188">
        <f>IMSUM(D188,IMDIV("1",C188))</f>
        <v>0</v>
      </c>
      <c r="N188">
        <f>IMDIV("1",IMSUM(E188,IMDIV("1",M188)))</f>
        <v>0</v>
      </c>
      <c r="O188">
        <f>IMSUM(F188,N188)</f>
        <v>0</v>
      </c>
      <c r="P188">
        <f>IMDIV("1",IMSUM(G188,IMDIV("1",O188)))</f>
        <v>0</v>
      </c>
      <c r="Q188">
        <f>IMSUM(H188,P188)</f>
        <v>0</v>
      </c>
      <c r="R188">
        <f>IMDIV("1",IMSUM(I188,IMDIV("1",Q188)))</f>
        <v>0</v>
      </c>
      <c r="S188">
        <f>IMSUM(J188,R188)</f>
        <v>0</v>
      </c>
      <c r="T188">
        <f>IMDIV("1",IMSUM(K188,IMDIV("1",S188)))</f>
        <v>0</v>
      </c>
      <c r="U188">
        <f>IMSUM(L188,T188)</f>
        <v>0</v>
      </c>
      <c r="V188">
        <f>IMDIV(COMPLEX(I_DM_SOURCE,0),U188)</f>
        <v>0</v>
      </c>
      <c r="W188">
        <f>IMPRODUCT(V188,T188)</f>
        <v>0</v>
      </c>
      <c r="X188">
        <f>IMDIV(W188,S188)</f>
        <v>0</v>
      </c>
      <c r="Y188">
        <f>IMPRODUCT(X188,R188)</f>
        <v>0</v>
      </c>
      <c r="Z188">
        <f>IMDIV(Y188,Q188)</f>
        <v>0</v>
      </c>
      <c r="AA188">
        <f>IMPRODUCT(Z188,P188)</f>
        <v>0</v>
      </c>
      <c r="AB188">
        <f>AA188</f>
        <v>0</v>
      </c>
      <c r="AC188">
        <f>IMPRODUCT("-1",AB188)</f>
        <v>0</v>
      </c>
      <c r="AD188">
        <f>IMDIV(IMSUB(AB188,AC188),"2")</f>
        <v>0</v>
      </c>
      <c r="AE188" s="6">
        <f>IMABS(AB188)</f>
        <v>0</v>
      </c>
      <c r="AF188" s="6">
        <f>IMABS(AC188)</f>
        <v>0</v>
      </c>
      <c r="AG188" s="6">
        <f>IMABS(AD188)</f>
        <v>0</v>
      </c>
      <c r="AH188" s="7">
        <f>20*LOG10(MAX(AE188,1E-300)*1E6)</f>
        <v>0</v>
      </c>
      <c r="AI188" s="7">
        <f>20*LOG10(MAX(AF188,1E-300)*1E6)</f>
        <v>0</v>
      </c>
      <c r="AJ188" s="7">
        <f>20*LOG10(MAX(AG188,1E-300)*1E6)</f>
        <v>0</v>
      </c>
      <c r="AK188" s="7">
        <f>DEGREES(IMARGUMENT(AB188))</f>
        <v>0</v>
      </c>
      <c r="AL188" s="7">
        <f>DEGREES(IMARGUMENT(AC188))</f>
        <v>0</v>
      </c>
      <c r="AM188" s="7">
        <f>DEGREES(IMARGUMENT(AD188))</f>
        <v>0</v>
      </c>
    </row>
    <row r="189" spans="1:39">
      <c r="A189" s="6">
        <f>10^(LOG10(F_START)+(ROW()-ROW($A$2))*(LOG10(F_STOP)-LOG10(F_START))/(N_POINTS-1))</f>
        <v>0</v>
      </c>
      <c r="B189" s="6">
        <f>2*PI()*A189</f>
        <v>0</v>
      </c>
      <c r="C189">
        <f>COMPLEX(2*LINE_PS_DCR,2*B189*LINE_PS_L)</f>
        <v>0</v>
      </c>
      <c r="D189">
        <f>IMSUM(COMPLEX(0,B189*(LINE_PS_CLINE+LINE_PS_CCHA/2)),IMDIV("1",IMPRODUCT("2",COMPLEX(C_THROUGH_ESR,B189*C_THROUGH_ESL-1/(B189*C_THROUGH_C)))))</f>
        <v>0</v>
      </c>
      <c r="E189">
        <f>COMPLEX(2*LINE_INPUT_DCR,2*B189*LINE_INPUT_L)</f>
        <v>0</v>
      </c>
      <c r="F189">
        <f>COMPLEX(0,B189*(LINE_INPUT_CLINE+LINE_INPUT_CCHA/2))</f>
        <v>0</v>
      </c>
      <c r="G189">
        <f>IMPRODUCT("2",IMDIV("1",IMSUM(IMDIV("1",COMPLEX(LDM1_DCR,B189*LDM1_L)),COMPLEX(0,B189*LDM1_CPA))))</f>
        <v>0</v>
      </c>
      <c r="H189">
        <f>IMSUM(IMDIV("1",COMPLEX(CX1_ESR,B189*CX1_ESL-1/(B189*CX1_C))),IMDIV("1",IMSUM(COMPLEX(DUMP1_R,0),COMPLEX(DUMP1_ESR,B189*DUMP1_ESL-1/(B189*DUMP1_C)))))</f>
        <v>0</v>
      </c>
      <c r="I189">
        <f>IMPRODUCT("2",IMDIV("1",IMSUM(IMDIV("1",COMPLEX(LDM2_DCR,B189*LDM2_L)),COMPLEX(0,B189*LDM2_CPA))))</f>
        <v>0</v>
      </c>
      <c r="J189">
        <f>IMSUM(IMDIV("1",COMPLEX(CX2_ESR,B189*CX2_ESL-1/(B189*CX2_C))),IMDIV("1",IMSUM(COMPLEX(DUMP2_R,0),COMPLEX(DUMP2_ESR,B189*DUMP2_ESL-1/(B189*DUMP2_C)))))</f>
        <v>0</v>
      </c>
      <c r="K189">
        <f>IMPRODUCT("2",IMDIV("1",IMSUM(IMDIV("1",COMPLEX(CMC_DCR,B189*CMC_L*(1-CMC_K))),COMPLEX(0,B189*CMC_CPA))))</f>
        <v>0</v>
      </c>
      <c r="L189">
        <f>IMSUM(COMPLEX(0,B189*CMC_CLINE),IMDIV("1",IMPRODUCT("2",COMPLEX(CY_ESR,B189*CY_ESL-1/(B189*CY_C)))),COMPLEX(1/DUMMY_R,0))</f>
        <v>0</v>
      </c>
      <c r="M189">
        <f>IMSUM(D189,IMDIV("1",C189))</f>
        <v>0</v>
      </c>
      <c r="N189">
        <f>IMDIV("1",IMSUM(E189,IMDIV("1",M189)))</f>
        <v>0</v>
      </c>
      <c r="O189">
        <f>IMSUM(F189,N189)</f>
        <v>0</v>
      </c>
      <c r="P189">
        <f>IMDIV("1",IMSUM(G189,IMDIV("1",O189)))</f>
        <v>0</v>
      </c>
      <c r="Q189">
        <f>IMSUM(H189,P189)</f>
        <v>0</v>
      </c>
      <c r="R189">
        <f>IMDIV("1",IMSUM(I189,IMDIV("1",Q189)))</f>
        <v>0</v>
      </c>
      <c r="S189">
        <f>IMSUM(J189,R189)</f>
        <v>0</v>
      </c>
      <c r="T189">
        <f>IMDIV("1",IMSUM(K189,IMDIV("1",S189)))</f>
        <v>0</v>
      </c>
      <c r="U189">
        <f>IMSUM(L189,T189)</f>
        <v>0</v>
      </c>
      <c r="V189">
        <f>IMDIV(COMPLEX(I_DM_SOURCE,0),U189)</f>
        <v>0</v>
      </c>
      <c r="W189">
        <f>IMPRODUCT(V189,T189)</f>
        <v>0</v>
      </c>
      <c r="X189">
        <f>IMDIV(W189,S189)</f>
        <v>0</v>
      </c>
      <c r="Y189">
        <f>IMPRODUCT(X189,R189)</f>
        <v>0</v>
      </c>
      <c r="Z189">
        <f>IMDIV(Y189,Q189)</f>
        <v>0</v>
      </c>
      <c r="AA189">
        <f>IMPRODUCT(Z189,P189)</f>
        <v>0</v>
      </c>
      <c r="AB189">
        <f>AA189</f>
        <v>0</v>
      </c>
      <c r="AC189">
        <f>IMPRODUCT("-1",AB189)</f>
        <v>0</v>
      </c>
      <c r="AD189">
        <f>IMDIV(IMSUB(AB189,AC189),"2")</f>
        <v>0</v>
      </c>
      <c r="AE189" s="6">
        <f>IMABS(AB189)</f>
        <v>0</v>
      </c>
      <c r="AF189" s="6">
        <f>IMABS(AC189)</f>
        <v>0</v>
      </c>
      <c r="AG189" s="6">
        <f>IMABS(AD189)</f>
        <v>0</v>
      </c>
      <c r="AH189" s="7">
        <f>20*LOG10(MAX(AE189,1E-300)*1E6)</f>
        <v>0</v>
      </c>
      <c r="AI189" s="7">
        <f>20*LOG10(MAX(AF189,1E-300)*1E6)</f>
        <v>0</v>
      </c>
      <c r="AJ189" s="7">
        <f>20*LOG10(MAX(AG189,1E-300)*1E6)</f>
        <v>0</v>
      </c>
      <c r="AK189" s="7">
        <f>DEGREES(IMARGUMENT(AB189))</f>
        <v>0</v>
      </c>
      <c r="AL189" s="7">
        <f>DEGREES(IMARGUMENT(AC189))</f>
        <v>0</v>
      </c>
      <c r="AM189" s="7">
        <f>DEGREES(IMARGUMENT(AD189))</f>
        <v>0</v>
      </c>
    </row>
    <row r="190" spans="1:39">
      <c r="A190" s="6">
        <f>10^(LOG10(F_START)+(ROW()-ROW($A$2))*(LOG10(F_STOP)-LOG10(F_START))/(N_POINTS-1))</f>
        <v>0</v>
      </c>
      <c r="B190" s="6">
        <f>2*PI()*A190</f>
        <v>0</v>
      </c>
      <c r="C190">
        <f>COMPLEX(2*LINE_PS_DCR,2*B190*LINE_PS_L)</f>
        <v>0</v>
      </c>
      <c r="D190">
        <f>IMSUM(COMPLEX(0,B190*(LINE_PS_CLINE+LINE_PS_CCHA/2)),IMDIV("1",IMPRODUCT("2",COMPLEX(C_THROUGH_ESR,B190*C_THROUGH_ESL-1/(B190*C_THROUGH_C)))))</f>
        <v>0</v>
      </c>
      <c r="E190">
        <f>COMPLEX(2*LINE_INPUT_DCR,2*B190*LINE_INPUT_L)</f>
        <v>0</v>
      </c>
      <c r="F190">
        <f>COMPLEX(0,B190*(LINE_INPUT_CLINE+LINE_INPUT_CCHA/2))</f>
        <v>0</v>
      </c>
      <c r="G190">
        <f>IMPRODUCT("2",IMDIV("1",IMSUM(IMDIV("1",COMPLEX(LDM1_DCR,B190*LDM1_L)),COMPLEX(0,B190*LDM1_CPA))))</f>
        <v>0</v>
      </c>
      <c r="H190">
        <f>IMSUM(IMDIV("1",COMPLEX(CX1_ESR,B190*CX1_ESL-1/(B190*CX1_C))),IMDIV("1",IMSUM(COMPLEX(DUMP1_R,0),COMPLEX(DUMP1_ESR,B190*DUMP1_ESL-1/(B190*DUMP1_C)))))</f>
        <v>0</v>
      </c>
      <c r="I190">
        <f>IMPRODUCT("2",IMDIV("1",IMSUM(IMDIV("1",COMPLEX(LDM2_DCR,B190*LDM2_L)),COMPLEX(0,B190*LDM2_CPA))))</f>
        <v>0</v>
      </c>
      <c r="J190">
        <f>IMSUM(IMDIV("1",COMPLEX(CX2_ESR,B190*CX2_ESL-1/(B190*CX2_C))),IMDIV("1",IMSUM(COMPLEX(DUMP2_R,0),COMPLEX(DUMP2_ESR,B190*DUMP2_ESL-1/(B190*DUMP2_C)))))</f>
        <v>0</v>
      </c>
      <c r="K190">
        <f>IMPRODUCT("2",IMDIV("1",IMSUM(IMDIV("1",COMPLEX(CMC_DCR,B190*CMC_L*(1-CMC_K))),COMPLEX(0,B190*CMC_CPA))))</f>
        <v>0</v>
      </c>
      <c r="L190">
        <f>IMSUM(COMPLEX(0,B190*CMC_CLINE),IMDIV("1",IMPRODUCT("2",COMPLEX(CY_ESR,B190*CY_ESL-1/(B190*CY_C)))),COMPLEX(1/DUMMY_R,0))</f>
        <v>0</v>
      </c>
      <c r="M190">
        <f>IMSUM(D190,IMDIV("1",C190))</f>
        <v>0</v>
      </c>
      <c r="N190">
        <f>IMDIV("1",IMSUM(E190,IMDIV("1",M190)))</f>
        <v>0</v>
      </c>
      <c r="O190">
        <f>IMSUM(F190,N190)</f>
        <v>0</v>
      </c>
      <c r="P190">
        <f>IMDIV("1",IMSUM(G190,IMDIV("1",O190)))</f>
        <v>0</v>
      </c>
      <c r="Q190">
        <f>IMSUM(H190,P190)</f>
        <v>0</v>
      </c>
      <c r="R190">
        <f>IMDIV("1",IMSUM(I190,IMDIV("1",Q190)))</f>
        <v>0</v>
      </c>
      <c r="S190">
        <f>IMSUM(J190,R190)</f>
        <v>0</v>
      </c>
      <c r="T190">
        <f>IMDIV("1",IMSUM(K190,IMDIV("1",S190)))</f>
        <v>0</v>
      </c>
      <c r="U190">
        <f>IMSUM(L190,T190)</f>
        <v>0</v>
      </c>
      <c r="V190">
        <f>IMDIV(COMPLEX(I_DM_SOURCE,0),U190)</f>
        <v>0</v>
      </c>
      <c r="W190">
        <f>IMPRODUCT(V190,T190)</f>
        <v>0</v>
      </c>
      <c r="X190">
        <f>IMDIV(W190,S190)</f>
        <v>0</v>
      </c>
      <c r="Y190">
        <f>IMPRODUCT(X190,R190)</f>
        <v>0</v>
      </c>
      <c r="Z190">
        <f>IMDIV(Y190,Q190)</f>
        <v>0</v>
      </c>
      <c r="AA190">
        <f>IMPRODUCT(Z190,P190)</f>
        <v>0</v>
      </c>
      <c r="AB190">
        <f>AA190</f>
        <v>0</v>
      </c>
      <c r="AC190">
        <f>IMPRODUCT("-1",AB190)</f>
        <v>0</v>
      </c>
      <c r="AD190">
        <f>IMDIV(IMSUB(AB190,AC190),"2")</f>
        <v>0</v>
      </c>
      <c r="AE190" s="6">
        <f>IMABS(AB190)</f>
        <v>0</v>
      </c>
      <c r="AF190" s="6">
        <f>IMABS(AC190)</f>
        <v>0</v>
      </c>
      <c r="AG190" s="6">
        <f>IMABS(AD190)</f>
        <v>0</v>
      </c>
      <c r="AH190" s="7">
        <f>20*LOG10(MAX(AE190,1E-300)*1E6)</f>
        <v>0</v>
      </c>
      <c r="AI190" s="7">
        <f>20*LOG10(MAX(AF190,1E-300)*1E6)</f>
        <v>0</v>
      </c>
      <c r="AJ190" s="7">
        <f>20*LOG10(MAX(AG190,1E-300)*1E6)</f>
        <v>0</v>
      </c>
      <c r="AK190" s="7">
        <f>DEGREES(IMARGUMENT(AB190))</f>
        <v>0</v>
      </c>
      <c r="AL190" s="7">
        <f>DEGREES(IMARGUMENT(AC190))</f>
        <v>0</v>
      </c>
      <c r="AM190" s="7">
        <f>DEGREES(IMARGUMENT(AD190))</f>
        <v>0</v>
      </c>
    </row>
    <row r="191" spans="1:39">
      <c r="A191" s="6">
        <f>10^(LOG10(F_START)+(ROW()-ROW($A$2))*(LOG10(F_STOP)-LOG10(F_START))/(N_POINTS-1))</f>
        <v>0</v>
      </c>
      <c r="B191" s="6">
        <f>2*PI()*A191</f>
        <v>0</v>
      </c>
      <c r="C191">
        <f>COMPLEX(2*LINE_PS_DCR,2*B191*LINE_PS_L)</f>
        <v>0</v>
      </c>
      <c r="D191">
        <f>IMSUM(COMPLEX(0,B191*(LINE_PS_CLINE+LINE_PS_CCHA/2)),IMDIV("1",IMPRODUCT("2",COMPLEX(C_THROUGH_ESR,B191*C_THROUGH_ESL-1/(B191*C_THROUGH_C)))))</f>
        <v>0</v>
      </c>
      <c r="E191">
        <f>COMPLEX(2*LINE_INPUT_DCR,2*B191*LINE_INPUT_L)</f>
        <v>0</v>
      </c>
      <c r="F191">
        <f>COMPLEX(0,B191*(LINE_INPUT_CLINE+LINE_INPUT_CCHA/2))</f>
        <v>0</v>
      </c>
      <c r="G191">
        <f>IMPRODUCT("2",IMDIV("1",IMSUM(IMDIV("1",COMPLEX(LDM1_DCR,B191*LDM1_L)),COMPLEX(0,B191*LDM1_CPA))))</f>
        <v>0</v>
      </c>
      <c r="H191">
        <f>IMSUM(IMDIV("1",COMPLEX(CX1_ESR,B191*CX1_ESL-1/(B191*CX1_C))),IMDIV("1",IMSUM(COMPLEX(DUMP1_R,0),COMPLEX(DUMP1_ESR,B191*DUMP1_ESL-1/(B191*DUMP1_C)))))</f>
        <v>0</v>
      </c>
      <c r="I191">
        <f>IMPRODUCT("2",IMDIV("1",IMSUM(IMDIV("1",COMPLEX(LDM2_DCR,B191*LDM2_L)),COMPLEX(0,B191*LDM2_CPA))))</f>
        <v>0</v>
      </c>
      <c r="J191">
        <f>IMSUM(IMDIV("1",COMPLEX(CX2_ESR,B191*CX2_ESL-1/(B191*CX2_C))),IMDIV("1",IMSUM(COMPLEX(DUMP2_R,0),COMPLEX(DUMP2_ESR,B191*DUMP2_ESL-1/(B191*DUMP2_C)))))</f>
        <v>0</v>
      </c>
      <c r="K191">
        <f>IMPRODUCT("2",IMDIV("1",IMSUM(IMDIV("1",COMPLEX(CMC_DCR,B191*CMC_L*(1-CMC_K))),COMPLEX(0,B191*CMC_CPA))))</f>
        <v>0</v>
      </c>
      <c r="L191">
        <f>IMSUM(COMPLEX(0,B191*CMC_CLINE),IMDIV("1",IMPRODUCT("2",COMPLEX(CY_ESR,B191*CY_ESL-1/(B191*CY_C)))),COMPLEX(1/DUMMY_R,0))</f>
        <v>0</v>
      </c>
      <c r="M191">
        <f>IMSUM(D191,IMDIV("1",C191))</f>
        <v>0</v>
      </c>
      <c r="N191">
        <f>IMDIV("1",IMSUM(E191,IMDIV("1",M191)))</f>
        <v>0</v>
      </c>
      <c r="O191">
        <f>IMSUM(F191,N191)</f>
        <v>0</v>
      </c>
      <c r="P191">
        <f>IMDIV("1",IMSUM(G191,IMDIV("1",O191)))</f>
        <v>0</v>
      </c>
      <c r="Q191">
        <f>IMSUM(H191,P191)</f>
        <v>0</v>
      </c>
      <c r="R191">
        <f>IMDIV("1",IMSUM(I191,IMDIV("1",Q191)))</f>
        <v>0</v>
      </c>
      <c r="S191">
        <f>IMSUM(J191,R191)</f>
        <v>0</v>
      </c>
      <c r="T191">
        <f>IMDIV("1",IMSUM(K191,IMDIV("1",S191)))</f>
        <v>0</v>
      </c>
      <c r="U191">
        <f>IMSUM(L191,T191)</f>
        <v>0</v>
      </c>
      <c r="V191">
        <f>IMDIV(COMPLEX(I_DM_SOURCE,0),U191)</f>
        <v>0</v>
      </c>
      <c r="W191">
        <f>IMPRODUCT(V191,T191)</f>
        <v>0</v>
      </c>
      <c r="X191">
        <f>IMDIV(W191,S191)</f>
        <v>0</v>
      </c>
      <c r="Y191">
        <f>IMPRODUCT(X191,R191)</f>
        <v>0</v>
      </c>
      <c r="Z191">
        <f>IMDIV(Y191,Q191)</f>
        <v>0</v>
      </c>
      <c r="AA191">
        <f>IMPRODUCT(Z191,P191)</f>
        <v>0</v>
      </c>
      <c r="AB191">
        <f>AA191</f>
        <v>0</v>
      </c>
      <c r="AC191">
        <f>IMPRODUCT("-1",AB191)</f>
        <v>0</v>
      </c>
      <c r="AD191">
        <f>IMDIV(IMSUB(AB191,AC191),"2")</f>
        <v>0</v>
      </c>
      <c r="AE191" s="6">
        <f>IMABS(AB191)</f>
        <v>0</v>
      </c>
      <c r="AF191" s="6">
        <f>IMABS(AC191)</f>
        <v>0</v>
      </c>
      <c r="AG191" s="6">
        <f>IMABS(AD191)</f>
        <v>0</v>
      </c>
      <c r="AH191" s="7">
        <f>20*LOG10(MAX(AE191,1E-300)*1E6)</f>
        <v>0</v>
      </c>
      <c r="AI191" s="7">
        <f>20*LOG10(MAX(AF191,1E-300)*1E6)</f>
        <v>0</v>
      </c>
      <c r="AJ191" s="7">
        <f>20*LOG10(MAX(AG191,1E-300)*1E6)</f>
        <v>0</v>
      </c>
      <c r="AK191" s="7">
        <f>DEGREES(IMARGUMENT(AB191))</f>
        <v>0</v>
      </c>
      <c r="AL191" s="7">
        <f>DEGREES(IMARGUMENT(AC191))</f>
        <v>0</v>
      </c>
      <c r="AM191" s="7">
        <f>DEGREES(IMARGUMENT(AD191))</f>
        <v>0</v>
      </c>
    </row>
    <row r="192" spans="1:39">
      <c r="A192" s="6">
        <f>10^(LOG10(F_START)+(ROW()-ROW($A$2))*(LOG10(F_STOP)-LOG10(F_START))/(N_POINTS-1))</f>
        <v>0</v>
      </c>
      <c r="B192" s="6">
        <f>2*PI()*A192</f>
        <v>0</v>
      </c>
      <c r="C192">
        <f>COMPLEX(2*LINE_PS_DCR,2*B192*LINE_PS_L)</f>
        <v>0</v>
      </c>
      <c r="D192">
        <f>IMSUM(COMPLEX(0,B192*(LINE_PS_CLINE+LINE_PS_CCHA/2)),IMDIV("1",IMPRODUCT("2",COMPLEX(C_THROUGH_ESR,B192*C_THROUGH_ESL-1/(B192*C_THROUGH_C)))))</f>
        <v>0</v>
      </c>
      <c r="E192">
        <f>COMPLEX(2*LINE_INPUT_DCR,2*B192*LINE_INPUT_L)</f>
        <v>0</v>
      </c>
      <c r="F192">
        <f>COMPLEX(0,B192*(LINE_INPUT_CLINE+LINE_INPUT_CCHA/2))</f>
        <v>0</v>
      </c>
      <c r="G192">
        <f>IMPRODUCT("2",IMDIV("1",IMSUM(IMDIV("1",COMPLEX(LDM1_DCR,B192*LDM1_L)),COMPLEX(0,B192*LDM1_CPA))))</f>
        <v>0</v>
      </c>
      <c r="H192">
        <f>IMSUM(IMDIV("1",COMPLEX(CX1_ESR,B192*CX1_ESL-1/(B192*CX1_C))),IMDIV("1",IMSUM(COMPLEX(DUMP1_R,0),COMPLEX(DUMP1_ESR,B192*DUMP1_ESL-1/(B192*DUMP1_C)))))</f>
        <v>0</v>
      </c>
      <c r="I192">
        <f>IMPRODUCT("2",IMDIV("1",IMSUM(IMDIV("1",COMPLEX(LDM2_DCR,B192*LDM2_L)),COMPLEX(0,B192*LDM2_CPA))))</f>
        <v>0</v>
      </c>
      <c r="J192">
        <f>IMSUM(IMDIV("1",COMPLEX(CX2_ESR,B192*CX2_ESL-1/(B192*CX2_C))),IMDIV("1",IMSUM(COMPLEX(DUMP2_R,0),COMPLEX(DUMP2_ESR,B192*DUMP2_ESL-1/(B192*DUMP2_C)))))</f>
        <v>0</v>
      </c>
      <c r="K192">
        <f>IMPRODUCT("2",IMDIV("1",IMSUM(IMDIV("1",COMPLEX(CMC_DCR,B192*CMC_L*(1-CMC_K))),COMPLEX(0,B192*CMC_CPA))))</f>
        <v>0</v>
      </c>
      <c r="L192">
        <f>IMSUM(COMPLEX(0,B192*CMC_CLINE),IMDIV("1",IMPRODUCT("2",COMPLEX(CY_ESR,B192*CY_ESL-1/(B192*CY_C)))),COMPLEX(1/DUMMY_R,0))</f>
        <v>0</v>
      </c>
      <c r="M192">
        <f>IMSUM(D192,IMDIV("1",C192))</f>
        <v>0</v>
      </c>
      <c r="N192">
        <f>IMDIV("1",IMSUM(E192,IMDIV("1",M192)))</f>
        <v>0</v>
      </c>
      <c r="O192">
        <f>IMSUM(F192,N192)</f>
        <v>0</v>
      </c>
      <c r="P192">
        <f>IMDIV("1",IMSUM(G192,IMDIV("1",O192)))</f>
        <v>0</v>
      </c>
      <c r="Q192">
        <f>IMSUM(H192,P192)</f>
        <v>0</v>
      </c>
      <c r="R192">
        <f>IMDIV("1",IMSUM(I192,IMDIV("1",Q192)))</f>
        <v>0</v>
      </c>
      <c r="S192">
        <f>IMSUM(J192,R192)</f>
        <v>0</v>
      </c>
      <c r="T192">
        <f>IMDIV("1",IMSUM(K192,IMDIV("1",S192)))</f>
        <v>0</v>
      </c>
      <c r="U192">
        <f>IMSUM(L192,T192)</f>
        <v>0</v>
      </c>
      <c r="V192">
        <f>IMDIV(COMPLEX(I_DM_SOURCE,0),U192)</f>
        <v>0</v>
      </c>
      <c r="W192">
        <f>IMPRODUCT(V192,T192)</f>
        <v>0</v>
      </c>
      <c r="X192">
        <f>IMDIV(W192,S192)</f>
        <v>0</v>
      </c>
      <c r="Y192">
        <f>IMPRODUCT(X192,R192)</f>
        <v>0</v>
      </c>
      <c r="Z192">
        <f>IMDIV(Y192,Q192)</f>
        <v>0</v>
      </c>
      <c r="AA192">
        <f>IMPRODUCT(Z192,P192)</f>
        <v>0</v>
      </c>
      <c r="AB192">
        <f>AA192</f>
        <v>0</v>
      </c>
      <c r="AC192">
        <f>IMPRODUCT("-1",AB192)</f>
        <v>0</v>
      </c>
      <c r="AD192">
        <f>IMDIV(IMSUB(AB192,AC192),"2")</f>
        <v>0</v>
      </c>
      <c r="AE192" s="6">
        <f>IMABS(AB192)</f>
        <v>0</v>
      </c>
      <c r="AF192" s="6">
        <f>IMABS(AC192)</f>
        <v>0</v>
      </c>
      <c r="AG192" s="6">
        <f>IMABS(AD192)</f>
        <v>0</v>
      </c>
      <c r="AH192" s="7">
        <f>20*LOG10(MAX(AE192,1E-300)*1E6)</f>
        <v>0</v>
      </c>
      <c r="AI192" s="7">
        <f>20*LOG10(MAX(AF192,1E-300)*1E6)</f>
        <v>0</v>
      </c>
      <c r="AJ192" s="7">
        <f>20*LOG10(MAX(AG192,1E-300)*1E6)</f>
        <v>0</v>
      </c>
      <c r="AK192" s="7">
        <f>DEGREES(IMARGUMENT(AB192))</f>
        <v>0</v>
      </c>
      <c r="AL192" s="7">
        <f>DEGREES(IMARGUMENT(AC192))</f>
        <v>0</v>
      </c>
      <c r="AM192" s="7">
        <f>DEGREES(IMARGUMENT(AD192))</f>
        <v>0</v>
      </c>
    </row>
    <row r="193" spans="1:39">
      <c r="A193" s="6">
        <f>10^(LOG10(F_START)+(ROW()-ROW($A$2))*(LOG10(F_STOP)-LOG10(F_START))/(N_POINTS-1))</f>
        <v>0</v>
      </c>
      <c r="B193" s="6">
        <f>2*PI()*A193</f>
        <v>0</v>
      </c>
      <c r="C193">
        <f>COMPLEX(2*LINE_PS_DCR,2*B193*LINE_PS_L)</f>
        <v>0</v>
      </c>
      <c r="D193">
        <f>IMSUM(COMPLEX(0,B193*(LINE_PS_CLINE+LINE_PS_CCHA/2)),IMDIV("1",IMPRODUCT("2",COMPLEX(C_THROUGH_ESR,B193*C_THROUGH_ESL-1/(B193*C_THROUGH_C)))))</f>
        <v>0</v>
      </c>
      <c r="E193">
        <f>COMPLEX(2*LINE_INPUT_DCR,2*B193*LINE_INPUT_L)</f>
        <v>0</v>
      </c>
      <c r="F193">
        <f>COMPLEX(0,B193*(LINE_INPUT_CLINE+LINE_INPUT_CCHA/2))</f>
        <v>0</v>
      </c>
      <c r="G193">
        <f>IMPRODUCT("2",IMDIV("1",IMSUM(IMDIV("1",COMPLEX(LDM1_DCR,B193*LDM1_L)),COMPLEX(0,B193*LDM1_CPA))))</f>
        <v>0</v>
      </c>
      <c r="H193">
        <f>IMSUM(IMDIV("1",COMPLEX(CX1_ESR,B193*CX1_ESL-1/(B193*CX1_C))),IMDIV("1",IMSUM(COMPLEX(DUMP1_R,0),COMPLEX(DUMP1_ESR,B193*DUMP1_ESL-1/(B193*DUMP1_C)))))</f>
        <v>0</v>
      </c>
      <c r="I193">
        <f>IMPRODUCT("2",IMDIV("1",IMSUM(IMDIV("1",COMPLEX(LDM2_DCR,B193*LDM2_L)),COMPLEX(0,B193*LDM2_CPA))))</f>
        <v>0</v>
      </c>
      <c r="J193">
        <f>IMSUM(IMDIV("1",COMPLEX(CX2_ESR,B193*CX2_ESL-1/(B193*CX2_C))),IMDIV("1",IMSUM(COMPLEX(DUMP2_R,0),COMPLEX(DUMP2_ESR,B193*DUMP2_ESL-1/(B193*DUMP2_C)))))</f>
        <v>0</v>
      </c>
      <c r="K193">
        <f>IMPRODUCT("2",IMDIV("1",IMSUM(IMDIV("1",COMPLEX(CMC_DCR,B193*CMC_L*(1-CMC_K))),COMPLEX(0,B193*CMC_CPA))))</f>
        <v>0</v>
      </c>
      <c r="L193">
        <f>IMSUM(COMPLEX(0,B193*CMC_CLINE),IMDIV("1",IMPRODUCT("2",COMPLEX(CY_ESR,B193*CY_ESL-1/(B193*CY_C)))),COMPLEX(1/DUMMY_R,0))</f>
        <v>0</v>
      </c>
      <c r="M193">
        <f>IMSUM(D193,IMDIV("1",C193))</f>
        <v>0</v>
      </c>
      <c r="N193">
        <f>IMDIV("1",IMSUM(E193,IMDIV("1",M193)))</f>
        <v>0</v>
      </c>
      <c r="O193">
        <f>IMSUM(F193,N193)</f>
        <v>0</v>
      </c>
      <c r="P193">
        <f>IMDIV("1",IMSUM(G193,IMDIV("1",O193)))</f>
        <v>0</v>
      </c>
      <c r="Q193">
        <f>IMSUM(H193,P193)</f>
        <v>0</v>
      </c>
      <c r="R193">
        <f>IMDIV("1",IMSUM(I193,IMDIV("1",Q193)))</f>
        <v>0</v>
      </c>
      <c r="S193">
        <f>IMSUM(J193,R193)</f>
        <v>0</v>
      </c>
      <c r="T193">
        <f>IMDIV("1",IMSUM(K193,IMDIV("1",S193)))</f>
        <v>0</v>
      </c>
      <c r="U193">
        <f>IMSUM(L193,T193)</f>
        <v>0</v>
      </c>
      <c r="V193">
        <f>IMDIV(COMPLEX(I_DM_SOURCE,0),U193)</f>
        <v>0</v>
      </c>
      <c r="W193">
        <f>IMPRODUCT(V193,T193)</f>
        <v>0</v>
      </c>
      <c r="X193">
        <f>IMDIV(W193,S193)</f>
        <v>0</v>
      </c>
      <c r="Y193">
        <f>IMPRODUCT(X193,R193)</f>
        <v>0</v>
      </c>
      <c r="Z193">
        <f>IMDIV(Y193,Q193)</f>
        <v>0</v>
      </c>
      <c r="AA193">
        <f>IMPRODUCT(Z193,P193)</f>
        <v>0</v>
      </c>
      <c r="AB193">
        <f>AA193</f>
        <v>0</v>
      </c>
      <c r="AC193">
        <f>IMPRODUCT("-1",AB193)</f>
        <v>0</v>
      </c>
      <c r="AD193">
        <f>IMDIV(IMSUB(AB193,AC193),"2")</f>
        <v>0</v>
      </c>
      <c r="AE193" s="6">
        <f>IMABS(AB193)</f>
        <v>0</v>
      </c>
      <c r="AF193" s="6">
        <f>IMABS(AC193)</f>
        <v>0</v>
      </c>
      <c r="AG193" s="6">
        <f>IMABS(AD193)</f>
        <v>0</v>
      </c>
      <c r="AH193" s="7">
        <f>20*LOG10(MAX(AE193,1E-300)*1E6)</f>
        <v>0</v>
      </c>
      <c r="AI193" s="7">
        <f>20*LOG10(MAX(AF193,1E-300)*1E6)</f>
        <v>0</v>
      </c>
      <c r="AJ193" s="7">
        <f>20*LOG10(MAX(AG193,1E-300)*1E6)</f>
        <v>0</v>
      </c>
      <c r="AK193" s="7">
        <f>DEGREES(IMARGUMENT(AB193))</f>
        <v>0</v>
      </c>
      <c r="AL193" s="7">
        <f>DEGREES(IMARGUMENT(AC193))</f>
        <v>0</v>
      </c>
      <c r="AM193" s="7">
        <f>DEGREES(IMARGUMENT(AD193))</f>
        <v>0</v>
      </c>
    </row>
    <row r="194" spans="1:39">
      <c r="A194" s="6">
        <f>10^(LOG10(F_START)+(ROW()-ROW($A$2))*(LOG10(F_STOP)-LOG10(F_START))/(N_POINTS-1))</f>
        <v>0</v>
      </c>
      <c r="B194" s="6">
        <f>2*PI()*A194</f>
        <v>0</v>
      </c>
      <c r="C194">
        <f>COMPLEX(2*LINE_PS_DCR,2*B194*LINE_PS_L)</f>
        <v>0</v>
      </c>
      <c r="D194">
        <f>IMSUM(COMPLEX(0,B194*(LINE_PS_CLINE+LINE_PS_CCHA/2)),IMDIV("1",IMPRODUCT("2",COMPLEX(C_THROUGH_ESR,B194*C_THROUGH_ESL-1/(B194*C_THROUGH_C)))))</f>
        <v>0</v>
      </c>
      <c r="E194">
        <f>COMPLEX(2*LINE_INPUT_DCR,2*B194*LINE_INPUT_L)</f>
        <v>0</v>
      </c>
      <c r="F194">
        <f>COMPLEX(0,B194*(LINE_INPUT_CLINE+LINE_INPUT_CCHA/2))</f>
        <v>0</v>
      </c>
      <c r="G194">
        <f>IMPRODUCT("2",IMDIV("1",IMSUM(IMDIV("1",COMPLEX(LDM1_DCR,B194*LDM1_L)),COMPLEX(0,B194*LDM1_CPA))))</f>
        <v>0</v>
      </c>
      <c r="H194">
        <f>IMSUM(IMDIV("1",COMPLEX(CX1_ESR,B194*CX1_ESL-1/(B194*CX1_C))),IMDIV("1",IMSUM(COMPLEX(DUMP1_R,0),COMPLEX(DUMP1_ESR,B194*DUMP1_ESL-1/(B194*DUMP1_C)))))</f>
        <v>0</v>
      </c>
      <c r="I194">
        <f>IMPRODUCT("2",IMDIV("1",IMSUM(IMDIV("1",COMPLEX(LDM2_DCR,B194*LDM2_L)),COMPLEX(0,B194*LDM2_CPA))))</f>
        <v>0</v>
      </c>
      <c r="J194">
        <f>IMSUM(IMDIV("1",COMPLEX(CX2_ESR,B194*CX2_ESL-1/(B194*CX2_C))),IMDIV("1",IMSUM(COMPLEX(DUMP2_R,0),COMPLEX(DUMP2_ESR,B194*DUMP2_ESL-1/(B194*DUMP2_C)))))</f>
        <v>0</v>
      </c>
      <c r="K194">
        <f>IMPRODUCT("2",IMDIV("1",IMSUM(IMDIV("1",COMPLEX(CMC_DCR,B194*CMC_L*(1-CMC_K))),COMPLEX(0,B194*CMC_CPA))))</f>
        <v>0</v>
      </c>
      <c r="L194">
        <f>IMSUM(COMPLEX(0,B194*CMC_CLINE),IMDIV("1",IMPRODUCT("2",COMPLEX(CY_ESR,B194*CY_ESL-1/(B194*CY_C)))),COMPLEX(1/DUMMY_R,0))</f>
        <v>0</v>
      </c>
      <c r="M194">
        <f>IMSUM(D194,IMDIV("1",C194))</f>
        <v>0</v>
      </c>
      <c r="N194">
        <f>IMDIV("1",IMSUM(E194,IMDIV("1",M194)))</f>
        <v>0</v>
      </c>
      <c r="O194">
        <f>IMSUM(F194,N194)</f>
        <v>0</v>
      </c>
      <c r="P194">
        <f>IMDIV("1",IMSUM(G194,IMDIV("1",O194)))</f>
        <v>0</v>
      </c>
      <c r="Q194">
        <f>IMSUM(H194,P194)</f>
        <v>0</v>
      </c>
      <c r="R194">
        <f>IMDIV("1",IMSUM(I194,IMDIV("1",Q194)))</f>
        <v>0</v>
      </c>
      <c r="S194">
        <f>IMSUM(J194,R194)</f>
        <v>0</v>
      </c>
      <c r="T194">
        <f>IMDIV("1",IMSUM(K194,IMDIV("1",S194)))</f>
        <v>0</v>
      </c>
      <c r="U194">
        <f>IMSUM(L194,T194)</f>
        <v>0</v>
      </c>
      <c r="V194">
        <f>IMDIV(COMPLEX(I_DM_SOURCE,0),U194)</f>
        <v>0</v>
      </c>
      <c r="W194">
        <f>IMPRODUCT(V194,T194)</f>
        <v>0</v>
      </c>
      <c r="X194">
        <f>IMDIV(W194,S194)</f>
        <v>0</v>
      </c>
      <c r="Y194">
        <f>IMPRODUCT(X194,R194)</f>
        <v>0</v>
      </c>
      <c r="Z194">
        <f>IMDIV(Y194,Q194)</f>
        <v>0</v>
      </c>
      <c r="AA194">
        <f>IMPRODUCT(Z194,P194)</f>
        <v>0</v>
      </c>
      <c r="AB194">
        <f>AA194</f>
        <v>0</v>
      </c>
      <c r="AC194">
        <f>IMPRODUCT("-1",AB194)</f>
        <v>0</v>
      </c>
      <c r="AD194">
        <f>IMDIV(IMSUB(AB194,AC194),"2")</f>
        <v>0</v>
      </c>
      <c r="AE194" s="6">
        <f>IMABS(AB194)</f>
        <v>0</v>
      </c>
      <c r="AF194" s="6">
        <f>IMABS(AC194)</f>
        <v>0</v>
      </c>
      <c r="AG194" s="6">
        <f>IMABS(AD194)</f>
        <v>0</v>
      </c>
      <c r="AH194" s="7">
        <f>20*LOG10(MAX(AE194,1E-300)*1E6)</f>
        <v>0</v>
      </c>
      <c r="AI194" s="7">
        <f>20*LOG10(MAX(AF194,1E-300)*1E6)</f>
        <v>0</v>
      </c>
      <c r="AJ194" s="7">
        <f>20*LOG10(MAX(AG194,1E-300)*1E6)</f>
        <v>0</v>
      </c>
      <c r="AK194" s="7">
        <f>DEGREES(IMARGUMENT(AB194))</f>
        <v>0</v>
      </c>
      <c r="AL194" s="7">
        <f>DEGREES(IMARGUMENT(AC194))</f>
        <v>0</v>
      </c>
      <c r="AM194" s="7">
        <f>DEGREES(IMARGUMENT(AD194))</f>
        <v>0</v>
      </c>
    </row>
    <row r="195" spans="1:39">
      <c r="A195" s="6">
        <f>10^(LOG10(F_START)+(ROW()-ROW($A$2))*(LOG10(F_STOP)-LOG10(F_START))/(N_POINTS-1))</f>
        <v>0</v>
      </c>
      <c r="B195" s="6">
        <f>2*PI()*A195</f>
        <v>0</v>
      </c>
      <c r="C195">
        <f>COMPLEX(2*LINE_PS_DCR,2*B195*LINE_PS_L)</f>
        <v>0</v>
      </c>
      <c r="D195">
        <f>IMSUM(COMPLEX(0,B195*(LINE_PS_CLINE+LINE_PS_CCHA/2)),IMDIV("1",IMPRODUCT("2",COMPLEX(C_THROUGH_ESR,B195*C_THROUGH_ESL-1/(B195*C_THROUGH_C)))))</f>
        <v>0</v>
      </c>
      <c r="E195">
        <f>COMPLEX(2*LINE_INPUT_DCR,2*B195*LINE_INPUT_L)</f>
        <v>0</v>
      </c>
      <c r="F195">
        <f>COMPLEX(0,B195*(LINE_INPUT_CLINE+LINE_INPUT_CCHA/2))</f>
        <v>0</v>
      </c>
      <c r="G195">
        <f>IMPRODUCT("2",IMDIV("1",IMSUM(IMDIV("1",COMPLEX(LDM1_DCR,B195*LDM1_L)),COMPLEX(0,B195*LDM1_CPA))))</f>
        <v>0</v>
      </c>
      <c r="H195">
        <f>IMSUM(IMDIV("1",COMPLEX(CX1_ESR,B195*CX1_ESL-1/(B195*CX1_C))),IMDIV("1",IMSUM(COMPLEX(DUMP1_R,0),COMPLEX(DUMP1_ESR,B195*DUMP1_ESL-1/(B195*DUMP1_C)))))</f>
        <v>0</v>
      </c>
      <c r="I195">
        <f>IMPRODUCT("2",IMDIV("1",IMSUM(IMDIV("1",COMPLEX(LDM2_DCR,B195*LDM2_L)),COMPLEX(0,B195*LDM2_CPA))))</f>
        <v>0</v>
      </c>
      <c r="J195">
        <f>IMSUM(IMDIV("1",COMPLEX(CX2_ESR,B195*CX2_ESL-1/(B195*CX2_C))),IMDIV("1",IMSUM(COMPLEX(DUMP2_R,0),COMPLEX(DUMP2_ESR,B195*DUMP2_ESL-1/(B195*DUMP2_C)))))</f>
        <v>0</v>
      </c>
      <c r="K195">
        <f>IMPRODUCT("2",IMDIV("1",IMSUM(IMDIV("1",COMPLEX(CMC_DCR,B195*CMC_L*(1-CMC_K))),COMPLEX(0,B195*CMC_CPA))))</f>
        <v>0</v>
      </c>
      <c r="L195">
        <f>IMSUM(COMPLEX(0,B195*CMC_CLINE),IMDIV("1",IMPRODUCT("2",COMPLEX(CY_ESR,B195*CY_ESL-1/(B195*CY_C)))),COMPLEX(1/DUMMY_R,0))</f>
        <v>0</v>
      </c>
      <c r="M195">
        <f>IMSUM(D195,IMDIV("1",C195))</f>
        <v>0</v>
      </c>
      <c r="N195">
        <f>IMDIV("1",IMSUM(E195,IMDIV("1",M195)))</f>
        <v>0</v>
      </c>
      <c r="O195">
        <f>IMSUM(F195,N195)</f>
        <v>0</v>
      </c>
      <c r="P195">
        <f>IMDIV("1",IMSUM(G195,IMDIV("1",O195)))</f>
        <v>0</v>
      </c>
      <c r="Q195">
        <f>IMSUM(H195,P195)</f>
        <v>0</v>
      </c>
      <c r="R195">
        <f>IMDIV("1",IMSUM(I195,IMDIV("1",Q195)))</f>
        <v>0</v>
      </c>
      <c r="S195">
        <f>IMSUM(J195,R195)</f>
        <v>0</v>
      </c>
      <c r="T195">
        <f>IMDIV("1",IMSUM(K195,IMDIV("1",S195)))</f>
        <v>0</v>
      </c>
      <c r="U195">
        <f>IMSUM(L195,T195)</f>
        <v>0</v>
      </c>
      <c r="V195">
        <f>IMDIV(COMPLEX(I_DM_SOURCE,0),U195)</f>
        <v>0</v>
      </c>
      <c r="W195">
        <f>IMPRODUCT(V195,T195)</f>
        <v>0</v>
      </c>
      <c r="X195">
        <f>IMDIV(W195,S195)</f>
        <v>0</v>
      </c>
      <c r="Y195">
        <f>IMPRODUCT(X195,R195)</f>
        <v>0</v>
      </c>
      <c r="Z195">
        <f>IMDIV(Y195,Q195)</f>
        <v>0</v>
      </c>
      <c r="AA195">
        <f>IMPRODUCT(Z195,P195)</f>
        <v>0</v>
      </c>
      <c r="AB195">
        <f>AA195</f>
        <v>0</v>
      </c>
      <c r="AC195">
        <f>IMPRODUCT("-1",AB195)</f>
        <v>0</v>
      </c>
      <c r="AD195">
        <f>IMDIV(IMSUB(AB195,AC195),"2")</f>
        <v>0</v>
      </c>
      <c r="AE195" s="6">
        <f>IMABS(AB195)</f>
        <v>0</v>
      </c>
      <c r="AF195" s="6">
        <f>IMABS(AC195)</f>
        <v>0</v>
      </c>
      <c r="AG195" s="6">
        <f>IMABS(AD195)</f>
        <v>0</v>
      </c>
      <c r="AH195" s="7">
        <f>20*LOG10(MAX(AE195,1E-300)*1E6)</f>
        <v>0</v>
      </c>
      <c r="AI195" s="7">
        <f>20*LOG10(MAX(AF195,1E-300)*1E6)</f>
        <v>0</v>
      </c>
      <c r="AJ195" s="7">
        <f>20*LOG10(MAX(AG195,1E-300)*1E6)</f>
        <v>0</v>
      </c>
      <c r="AK195" s="7">
        <f>DEGREES(IMARGUMENT(AB195))</f>
        <v>0</v>
      </c>
      <c r="AL195" s="7">
        <f>DEGREES(IMARGUMENT(AC195))</f>
        <v>0</v>
      </c>
      <c r="AM195" s="7">
        <f>DEGREES(IMARGUMENT(AD195))</f>
        <v>0</v>
      </c>
    </row>
    <row r="196" spans="1:39">
      <c r="A196" s="6">
        <f>10^(LOG10(F_START)+(ROW()-ROW($A$2))*(LOG10(F_STOP)-LOG10(F_START))/(N_POINTS-1))</f>
        <v>0</v>
      </c>
      <c r="B196" s="6">
        <f>2*PI()*A196</f>
        <v>0</v>
      </c>
      <c r="C196">
        <f>COMPLEX(2*LINE_PS_DCR,2*B196*LINE_PS_L)</f>
        <v>0</v>
      </c>
      <c r="D196">
        <f>IMSUM(COMPLEX(0,B196*(LINE_PS_CLINE+LINE_PS_CCHA/2)),IMDIV("1",IMPRODUCT("2",COMPLEX(C_THROUGH_ESR,B196*C_THROUGH_ESL-1/(B196*C_THROUGH_C)))))</f>
        <v>0</v>
      </c>
      <c r="E196">
        <f>COMPLEX(2*LINE_INPUT_DCR,2*B196*LINE_INPUT_L)</f>
        <v>0</v>
      </c>
      <c r="F196">
        <f>COMPLEX(0,B196*(LINE_INPUT_CLINE+LINE_INPUT_CCHA/2))</f>
        <v>0</v>
      </c>
      <c r="G196">
        <f>IMPRODUCT("2",IMDIV("1",IMSUM(IMDIV("1",COMPLEX(LDM1_DCR,B196*LDM1_L)),COMPLEX(0,B196*LDM1_CPA))))</f>
        <v>0</v>
      </c>
      <c r="H196">
        <f>IMSUM(IMDIV("1",COMPLEX(CX1_ESR,B196*CX1_ESL-1/(B196*CX1_C))),IMDIV("1",IMSUM(COMPLEX(DUMP1_R,0),COMPLEX(DUMP1_ESR,B196*DUMP1_ESL-1/(B196*DUMP1_C)))))</f>
        <v>0</v>
      </c>
      <c r="I196">
        <f>IMPRODUCT("2",IMDIV("1",IMSUM(IMDIV("1",COMPLEX(LDM2_DCR,B196*LDM2_L)),COMPLEX(0,B196*LDM2_CPA))))</f>
        <v>0</v>
      </c>
      <c r="J196">
        <f>IMSUM(IMDIV("1",COMPLEX(CX2_ESR,B196*CX2_ESL-1/(B196*CX2_C))),IMDIV("1",IMSUM(COMPLEX(DUMP2_R,0),COMPLEX(DUMP2_ESR,B196*DUMP2_ESL-1/(B196*DUMP2_C)))))</f>
        <v>0</v>
      </c>
      <c r="K196">
        <f>IMPRODUCT("2",IMDIV("1",IMSUM(IMDIV("1",COMPLEX(CMC_DCR,B196*CMC_L*(1-CMC_K))),COMPLEX(0,B196*CMC_CPA))))</f>
        <v>0</v>
      </c>
      <c r="L196">
        <f>IMSUM(COMPLEX(0,B196*CMC_CLINE),IMDIV("1",IMPRODUCT("2",COMPLEX(CY_ESR,B196*CY_ESL-1/(B196*CY_C)))),COMPLEX(1/DUMMY_R,0))</f>
        <v>0</v>
      </c>
      <c r="M196">
        <f>IMSUM(D196,IMDIV("1",C196))</f>
        <v>0</v>
      </c>
      <c r="N196">
        <f>IMDIV("1",IMSUM(E196,IMDIV("1",M196)))</f>
        <v>0</v>
      </c>
      <c r="O196">
        <f>IMSUM(F196,N196)</f>
        <v>0</v>
      </c>
      <c r="P196">
        <f>IMDIV("1",IMSUM(G196,IMDIV("1",O196)))</f>
        <v>0</v>
      </c>
      <c r="Q196">
        <f>IMSUM(H196,P196)</f>
        <v>0</v>
      </c>
      <c r="R196">
        <f>IMDIV("1",IMSUM(I196,IMDIV("1",Q196)))</f>
        <v>0</v>
      </c>
      <c r="S196">
        <f>IMSUM(J196,R196)</f>
        <v>0</v>
      </c>
      <c r="T196">
        <f>IMDIV("1",IMSUM(K196,IMDIV("1",S196)))</f>
        <v>0</v>
      </c>
      <c r="U196">
        <f>IMSUM(L196,T196)</f>
        <v>0</v>
      </c>
      <c r="V196">
        <f>IMDIV(COMPLEX(I_DM_SOURCE,0),U196)</f>
        <v>0</v>
      </c>
      <c r="W196">
        <f>IMPRODUCT(V196,T196)</f>
        <v>0</v>
      </c>
      <c r="X196">
        <f>IMDIV(W196,S196)</f>
        <v>0</v>
      </c>
      <c r="Y196">
        <f>IMPRODUCT(X196,R196)</f>
        <v>0</v>
      </c>
      <c r="Z196">
        <f>IMDIV(Y196,Q196)</f>
        <v>0</v>
      </c>
      <c r="AA196">
        <f>IMPRODUCT(Z196,P196)</f>
        <v>0</v>
      </c>
      <c r="AB196">
        <f>AA196</f>
        <v>0</v>
      </c>
      <c r="AC196">
        <f>IMPRODUCT("-1",AB196)</f>
        <v>0</v>
      </c>
      <c r="AD196">
        <f>IMDIV(IMSUB(AB196,AC196),"2")</f>
        <v>0</v>
      </c>
      <c r="AE196" s="6">
        <f>IMABS(AB196)</f>
        <v>0</v>
      </c>
      <c r="AF196" s="6">
        <f>IMABS(AC196)</f>
        <v>0</v>
      </c>
      <c r="AG196" s="6">
        <f>IMABS(AD196)</f>
        <v>0</v>
      </c>
      <c r="AH196" s="7">
        <f>20*LOG10(MAX(AE196,1E-300)*1E6)</f>
        <v>0</v>
      </c>
      <c r="AI196" s="7">
        <f>20*LOG10(MAX(AF196,1E-300)*1E6)</f>
        <v>0</v>
      </c>
      <c r="AJ196" s="7">
        <f>20*LOG10(MAX(AG196,1E-300)*1E6)</f>
        <v>0</v>
      </c>
      <c r="AK196" s="7">
        <f>DEGREES(IMARGUMENT(AB196))</f>
        <v>0</v>
      </c>
      <c r="AL196" s="7">
        <f>DEGREES(IMARGUMENT(AC196))</f>
        <v>0</v>
      </c>
      <c r="AM196" s="7">
        <f>DEGREES(IMARGUMENT(AD196))</f>
        <v>0</v>
      </c>
    </row>
    <row r="197" spans="1:39">
      <c r="A197" s="6">
        <f>10^(LOG10(F_START)+(ROW()-ROW($A$2))*(LOG10(F_STOP)-LOG10(F_START))/(N_POINTS-1))</f>
        <v>0</v>
      </c>
      <c r="B197" s="6">
        <f>2*PI()*A197</f>
        <v>0</v>
      </c>
      <c r="C197">
        <f>COMPLEX(2*LINE_PS_DCR,2*B197*LINE_PS_L)</f>
        <v>0</v>
      </c>
      <c r="D197">
        <f>IMSUM(COMPLEX(0,B197*(LINE_PS_CLINE+LINE_PS_CCHA/2)),IMDIV("1",IMPRODUCT("2",COMPLEX(C_THROUGH_ESR,B197*C_THROUGH_ESL-1/(B197*C_THROUGH_C)))))</f>
        <v>0</v>
      </c>
      <c r="E197">
        <f>COMPLEX(2*LINE_INPUT_DCR,2*B197*LINE_INPUT_L)</f>
        <v>0</v>
      </c>
      <c r="F197">
        <f>COMPLEX(0,B197*(LINE_INPUT_CLINE+LINE_INPUT_CCHA/2))</f>
        <v>0</v>
      </c>
      <c r="G197">
        <f>IMPRODUCT("2",IMDIV("1",IMSUM(IMDIV("1",COMPLEX(LDM1_DCR,B197*LDM1_L)),COMPLEX(0,B197*LDM1_CPA))))</f>
        <v>0</v>
      </c>
      <c r="H197">
        <f>IMSUM(IMDIV("1",COMPLEX(CX1_ESR,B197*CX1_ESL-1/(B197*CX1_C))),IMDIV("1",IMSUM(COMPLEX(DUMP1_R,0),COMPLEX(DUMP1_ESR,B197*DUMP1_ESL-1/(B197*DUMP1_C)))))</f>
        <v>0</v>
      </c>
      <c r="I197">
        <f>IMPRODUCT("2",IMDIV("1",IMSUM(IMDIV("1",COMPLEX(LDM2_DCR,B197*LDM2_L)),COMPLEX(0,B197*LDM2_CPA))))</f>
        <v>0</v>
      </c>
      <c r="J197">
        <f>IMSUM(IMDIV("1",COMPLEX(CX2_ESR,B197*CX2_ESL-1/(B197*CX2_C))),IMDIV("1",IMSUM(COMPLEX(DUMP2_R,0),COMPLEX(DUMP2_ESR,B197*DUMP2_ESL-1/(B197*DUMP2_C)))))</f>
        <v>0</v>
      </c>
      <c r="K197">
        <f>IMPRODUCT("2",IMDIV("1",IMSUM(IMDIV("1",COMPLEX(CMC_DCR,B197*CMC_L*(1-CMC_K))),COMPLEX(0,B197*CMC_CPA))))</f>
        <v>0</v>
      </c>
      <c r="L197">
        <f>IMSUM(COMPLEX(0,B197*CMC_CLINE),IMDIV("1",IMPRODUCT("2",COMPLEX(CY_ESR,B197*CY_ESL-1/(B197*CY_C)))),COMPLEX(1/DUMMY_R,0))</f>
        <v>0</v>
      </c>
      <c r="M197">
        <f>IMSUM(D197,IMDIV("1",C197))</f>
        <v>0</v>
      </c>
      <c r="N197">
        <f>IMDIV("1",IMSUM(E197,IMDIV("1",M197)))</f>
        <v>0</v>
      </c>
      <c r="O197">
        <f>IMSUM(F197,N197)</f>
        <v>0</v>
      </c>
      <c r="P197">
        <f>IMDIV("1",IMSUM(G197,IMDIV("1",O197)))</f>
        <v>0</v>
      </c>
      <c r="Q197">
        <f>IMSUM(H197,P197)</f>
        <v>0</v>
      </c>
      <c r="R197">
        <f>IMDIV("1",IMSUM(I197,IMDIV("1",Q197)))</f>
        <v>0</v>
      </c>
      <c r="S197">
        <f>IMSUM(J197,R197)</f>
        <v>0</v>
      </c>
      <c r="T197">
        <f>IMDIV("1",IMSUM(K197,IMDIV("1",S197)))</f>
        <v>0</v>
      </c>
      <c r="U197">
        <f>IMSUM(L197,T197)</f>
        <v>0</v>
      </c>
      <c r="V197">
        <f>IMDIV(COMPLEX(I_DM_SOURCE,0),U197)</f>
        <v>0</v>
      </c>
      <c r="W197">
        <f>IMPRODUCT(V197,T197)</f>
        <v>0</v>
      </c>
      <c r="X197">
        <f>IMDIV(W197,S197)</f>
        <v>0</v>
      </c>
      <c r="Y197">
        <f>IMPRODUCT(X197,R197)</f>
        <v>0</v>
      </c>
      <c r="Z197">
        <f>IMDIV(Y197,Q197)</f>
        <v>0</v>
      </c>
      <c r="AA197">
        <f>IMPRODUCT(Z197,P197)</f>
        <v>0</v>
      </c>
      <c r="AB197">
        <f>AA197</f>
        <v>0</v>
      </c>
      <c r="AC197">
        <f>IMPRODUCT("-1",AB197)</f>
        <v>0</v>
      </c>
      <c r="AD197">
        <f>IMDIV(IMSUB(AB197,AC197),"2")</f>
        <v>0</v>
      </c>
      <c r="AE197" s="6">
        <f>IMABS(AB197)</f>
        <v>0</v>
      </c>
      <c r="AF197" s="6">
        <f>IMABS(AC197)</f>
        <v>0</v>
      </c>
      <c r="AG197" s="6">
        <f>IMABS(AD197)</f>
        <v>0</v>
      </c>
      <c r="AH197" s="7">
        <f>20*LOG10(MAX(AE197,1E-300)*1E6)</f>
        <v>0</v>
      </c>
      <c r="AI197" s="7">
        <f>20*LOG10(MAX(AF197,1E-300)*1E6)</f>
        <v>0</v>
      </c>
      <c r="AJ197" s="7">
        <f>20*LOG10(MAX(AG197,1E-300)*1E6)</f>
        <v>0</v>
      </c>
      <c r="AK197" s="7">
        <f>DEGREES(IMARGUMENT(AB197))</f>
        <v>0</v>
      </c>
      <c r="AL197" s="7">
        <f>DEGREES(IMARGUMENT(AC197))</f>
        <v>0</v>
      </c>
      <c r="AM197" s="7">
        <f>DEGREES(IMARGUMENT(AD197))</f>
        <v>0</v>
      </c>
    </row>
    <row r="198" spans="1:39">
      <c r="A198" s="6">
        <f>10^(LOG10(F_START)+(ROW()-ROW($A$2))*(LOG10(F_STOP)-LOG10(F_START))/(N_POINTS-1))</f>
        <v>0</v>
      </c>
      <c r="B198" s="6">
        <f>2*PI()*A198</f>
        <v>0</v>
      </c>
      <c r="C198">
        <f>COMPLEX(2*LINE_PS_DCR,2*B198*LINE_PS_L)</f>
        <v>0</v>
      </c>
      <c r="D198">
        <f>IMSUM(COMPLEX(0,B198*(LINE_PS_CLINE+LINE_PS_CCHA/2)),IMDIV("1",IMPRODUCT("2",COMPLEX(C_THROUGH_ESR,B198*C_THROUGH_ESL-1/(B198*C_THROUGH_C)))))</f>
        <v>0</v>
      </c>
      <c r="E198">
        <f>COMPLEX(2*LINE_INPUT_DCR,2*B198*LINE_INPUT_L)</f>
        <v>0</v>
      </c>
      <c r="F198">
        <f>COMPLEX(0,B198*(LINE_INPUT_CLINE+LINE_INPUT_CCHA/2))</f>
        <v>0</v>
      </c>
      <c r="G198">
        <f>IMPRODUCT("2",IMDIV("1",IMSUM(IMDIV("1",COMPLEX(LDM1_DCR,B198*LDM1_L)),COMPLEX(0,B198*LDM1_CPA))))</f>
        <v>0</v>
      </c>
      <c r="H198">
        <f>IMSUM(IMDIV("1",COMPLEX(CX1_ESR,B198*CX1_ESL-1/(B198*CX1_C))),IMDIV("1",IMSUM(COMPLEX(DUMP1_R,0),COMPLEX(DUMP1_ESR,B198*DUMP1_ESL-1/(B198*DUMP1_C)))))</f>
        <v>0</v>
      </c>
      <c r="I198">
        <f>IMPRODUCT("2",IMDIV("1",IMSUM(IMDIV("1",COMPLEX(LDM2_DCR,B198*LDM2_L)),COMPLEX(0,B198*LDM2_CPA))))</f>
        <v>0</v>
      </c>
      <c r="J198">
        <f>IMSUM(IMDIV("1",COMPLEX(CX2_ESR,B198*CX2_ESL-1/(B198*CX2_C))),IMDIV("1",IMSUM(COMPLEX(DUMP2_R,0),COMPLEX(DUMP2_ESR,B198*DUMP2_ESL-1/(B198*DUMP2_C)))))</f>
        <v>0</v>
      </c>
      <c r="K198">
        <f>IMPRODUCT("2",IMDIV("1",IMSUM(IMDIV("1",COMPLEX(CMC_DCR,B198*CMC_L*(1-CMC_K))),COMPLEX(0,B198*CMC_CPA))))</f>
        <v>0</v>
      </c>
      <c r="L198">
        <f>IMSUM(COMPLEX(0,B198*CMC_CLINE),IMDIV("1",IMPRODUCT("2",COMPLEX(CY_ESR,B198*CY_ESL-1/(B198*CY_C)))),COMPLEX(1/DUMMY_R,0))</f>
        <v>0</v>
      </c>
      <c r="M198">
        <f>IMSUM(D198,IMDIV("1",C198))</f>
        <v>0</v>
      </c>
      <c r="N198">
        <f>IMDIV("1",IMSUM(E198,IMDIV("1",M198)))</f>
        <v>0</v>
      </c>
      <c r="O198">
        <f>IMSUM(F198,N198)</f>
        <v>0</v>
      </c>
      <c r="P198">
        <f>IMDIV("1",IMSUM(G198,IMDIV("1",O198)))</f>
        <v>0</v>
      </c>
      <c r="Q198">
        <f>IMSUM(H198,P198)</f>
        <v>0</v>
      </c>
      <c r="R198">
        <f>IMDIV("1",IMSUM(I198,IMDIV("1",Q198)))</f>
        <v>0</v>
      </c>
      <c r="S198">
        <f>IMSUM(J198,R198)</f>
        <v>0</v>
      </c>
      <c r="T198">
        <f>IMDIV("1",IMSUM(K198,IMDIV("1",S198)))</f>
        <v>0</v>
      </c>
      <c r="U198">
        <f>IMSUM(L198,T198)</f>
        <v>0</v>
      </c>
      <c r="V198">
        <f>IMDIV(COMPLEX(I_DM_SOURCE,0),U198)</f>
        <v>0</v>
      </c>
      <c r="W198">
        <f>IMPRODUCT(V198,T198)</f>
        <v>0</v>
      </c>
      <c r="X198">
        <f>IMDIV(W198,S198)</f>
        <v>0</v>
      </c>
      <c r="Y198">
        <f>IMPRODUCT(X198,R198)</f>
        <v>0</v>
      </c>
      <c r="Z198">
        <f>IMDIV(Y198,Q198)</f>
        <v>0</v>
      </c>
      <c r="AA198">
        <f>IMPRODUCT(Z198,P198)</f>
        <v>0</v>
      </c>
      <c r="AB198">
        <f>AA198</f>
        <v>0</v>
      </c>
      <c r="AC198">
        <f>IMPRODUCT("-1",AB198)</f>
        <v>0</v>
      </c>
      <c r="AD198">
        <f>IMDIV(IMSUB(AB198,AC198),"2")</f>
        <v>0</v>
      </c>
      <c r="AE198" s="6">
        <f>IMABS(AB198)</f>
        <v>0</v>
      </c>
      <c r="AF198" s="6">
        <f>IMABS(AC198)</f>
        <v>0</v>
      </c>
      <c r="AG198" s="6">
        <f>IMABS(AD198)</f>
        <v>0</v>
      </c>
      <c r="AH198" s="7">
        <f>20*LOG10(MAX(AE198,1E-300)*1E6)</f>
        <v>0</v>
      </c>
      <c r="AI198" s="7">
        <f>20*LOG10(MAX(AF198,1E-300)*1E6)</f>
        <v>0</v>
      </c>
      <c r="AJ198" s="7">
        <f>20*LOG10(MAX(AG198,1E-300)*1E6)</f>
        <v>0</v>
      </c>
      <c r="AK198" s="7">
        <f>DEGREES(IMARGUMENT(AB198))</f>
        <v>0</v>
      </c>
      <c r="AL198" s="7">
        <f>DEGREES(IMARGUMENT(AC198))</f>
        <v>0</v>
      </c>
      <c r="AM198" s="7">
        <f>DEGREES(IMARGUMENT(AD198))</f>
        <v>0</v>
      </c>
    </row>
    <row r="199" spans="1:39">
      <c r="A199" s="6">
        <f>10^(LOG10(F_START)+(ROW()-ROW($A$2))*(LOG10(F_STOP)-LOG10(F_START))/(N_POINTS-1))</f>
        <v>0</v>
      </c>
      <c r="B199" s="6">
        <f>2*PI()*A199</f>
        <v>0</v>
      </c>
      <c r="C199">
        <f>COMPLEX(2*LINE_PS_DCR,2*B199*LINE_PS_L)</f>
        <v>0</v>
      </c>
      <c r="D199">
        <f>IMSUM(COMPLEX(0,B199*(LINE_PS_CLINE+LINE_PS_CCHA/2)),IMDIV("1",IMPRODUCT("2",COMPLEX(C_THROUGH_ESR,B199*C_THROUGH_ESL-1/(B199*C_THROUGH_C)))))</f>
        <v>0</v>
      </c>
      <c r="E199">
        <f>COMPLEX(2*LINE_INPUT_DCR,2*B199*LINE_INPUT_L)</f>
        <v>0</v>
      </c>
      <c r="F199">
        <f>COMPLEX(0,B199*(LINE_INPUT_CLINE+LINE_INPUT_CCHA/2))</f>
        <v>0</v>
      </c>
      <c r="G199">
        <f>IMPRODUCT("2",IMDIV("1",IMSUM(IMDIV("1",COMPLEX(LDM1_DCR,B199*LDM1_L)),COMPLEX(0,B199*LDM1_CPA))))</f>
        <v>0</v>
      </c>
      <c r="H199">
        <f>IMSUM(IMDIV("1",COMPLEX(CX1_ESR,B199*CX1_ESL-1/(B199*CX1_C))),IMDIV("1",IMSUM(COMPLEX(DUMP1_R,0),COMPLEX(DUMP1_ESR,B199*DUMP1_ESL-1/(B199*DUMP1_C)))))</f>
        <v>0</v>
      </c>
      <c r="I199">
        <f>IMPRODUCT("2",IMDIV("1",IMSUM(IMDIV("1",COMPLEX(LDM2_DCR,B199*LDM2_L)),COMPLEX(0,B199*LDM2_CPA))))</f>
        <v>0</v>
      </c>
      <c r="J199">
        <f>IMSUM(IMDIV("1",COMPLEX(CX2_ESR,B199*CX2_ESL-1/(B199*CX2_C))),IMDIV("1",IMSUM(COMPLEX(DUMP2_R,0),COMPLEX(DUMP2_ESR,B199*DUMP2_ESL-1/(B199*DUMP2_C)))))</f>
        <v>0</v>
      </c>
      <c r="K199">
        <f>IMPRODUCT("2",IMDIV("1",IMSUM(IMDIV("1",COMPLEX(CMC_DCR,B199*CMC_L*(1-CMC_K))),COMPLEX(0,B199*CMC_CPA))))</f>
        <v>0</v>
      </c>
      <c r="L199">
        <f>IMSUM(COMPLEX(0,B199*CMC_CLINE),IMDIV("1",IMPRODUCT("2",COMPLEX(CY_ESR,B199*CY_ESL-1/(B199*CY_C)))),COMPLEX(1/DUMMY_R,0))</f>
        <v>0</v>
      </c>
      <c r="M199">
        <f>IMSUM(D199,IMDIV("1",C199))</f>
        <v>0</v>
      </c>
      <c r="N199">
        <f>IMDIV("1",IMSUM(E199,IMDIV("1",M199)))</f>
        <v>0</v>
      </c>
      <c r="O199">
        <f>IMSUM(F199,N199)</f>
        <v>0</v>
      </c>
      <c r="P199">
        <f>IMDIV("1",IMSUM(G199,IMDIV("1",O199)))</f>
        <v>0</v>
      </c>
      <c r="Q199">
        <f>IMSUM(H199,P199)</f>
        <v>0</v>
      </c>
      <c r="R199">
        <f>IMDIV("1",IMSUM(I199,IMDIV("1",Q199)))</f>
        <v>0</v>
      </c>
      <c r="S199">
        <f>IMSUM(J199,R199)</f>
        <v>0</v>
      </c>
      <c r="T199">
        <f>IMDIV("1",IMSUM(K199,IMDIV("1",S199)))</f>
        <v>0</v>
      </c>
      <c r="U199">
        <f>IMSUM(L199,T199)</f>
        <v>0</v>
      </c>
      <c r="V199">
        <f>IMDIV(COMPLEX(I_DM_SOURCE,0),U199)</f>
        <v>0</v>
      </c>
      <c r="W199">
        <f>IMPRODUCT(V199,T199)</f>
        <v>0</v>
      </c>
      <c r="X199">
        <f>IMDIV(W199,S199)</f>
        <v>0</v>
      </c>
      <c r="Y199">
        <f>IMPRODUCT(X199,R199)</f>
        <v>0</v>
      </c>
      <c r="Z199">
        <f>IMDIV(Y199,Q199)</f>
        <v>0</v>
      </c>
      <c r="AA199">
        <f>IMPRODUCT(Z199,P199)</f>
        <v>0</v>
      </c>
      <c r="AB199">
        <f>AA199</f>
        <v>0</v>
      </c>
      <c r="AC199">
        <f>IMPRODUCT("-1",AB199)</f>
        <v>0</v>
      </c>
      <c r="AD199">
        <f>IMDIV(IMSUB(AB199,AC199),"2")</f>
        <v>0</v>
      </c>
      <c r="AE199" s="6">
        <f>IMABS(AB199)</f>
        <v>0</v>
      </c>
      <c r="AF199" s="6">
        <f>IMABS(AC199)</f>
        <v>0</v>
      </c>
      <c r="AG199" s="6">
        <f>IMABS(AD199)</f>
        <v>0</v>
      </c>
      <c r="AH199" s="7">
        <f>20*LOG10(MAX(AE199,1E-300)*1E6)</f>
        <v>0</v>
      </c>
      <c r="AI199" s="7">
        <f>20*LOG10(MAX(AF199,1E-300)*1E6)</f>
        <v>0</v>
      </c>
      <c r="AJ199" s="7">
        <f>20*LOG10(MAX(AG199,1E-300)*1E6)</f>
        <v>0</v>
      </c>
      <c r="AK199" s="7">
        <f>DEGREES(IMARGUMENT(AB199))</f>
        <v>0</v>
      </c>
      <c r="AL199" s="7">
        <f>DEGREES(IMARGUMENT(AC199))</f>
        <v>0</v>
      </c>
      <c r="AM199" s="7">
        <f>DEGREES(IMARGUMENT(AD199))</f>
        <v>0</v>
      </c>
    </row>
    <row r="200" spans="1:39">
      <c r="A200" s="6">
        <f>10^(LOG10(F_START)+(ROW()-ROW($A$2))*(LOG10(F_STOP)-LOG10(F_START))/(N_POINTS-1))</f>
        <v>0</v>
      </c>
      <c r="B200" s="6">
        <f>2*PI()*A200</f>
        <v>0</v>
      </c>
      <c r="C200">
        <f>COMPLEX(2*LINE_PS_DCR,2*B200*LINE_PS_L)</f>
        <v>0</v>
      </c>
      <c r="D200">
        <f>IMSUM(COMPLEX(0,B200*(LINE_PS_CLINE+LINE_PS_CCHA/2)),IMDIV("1",IMPRODUCT("2",COMPLEX(C_THROUGH_ESR,B200*C_THROUGH_ESL-1/(B200*C_THROUGH_C)))))</f>
        <v>0</v>
      </c>
      <c r="E200">
        <f>COMPLEX(2*LINE_INPUT_DCR,2*B200*LINE_INPUT_L)</f>
        <v>0</v>
      </c>
      <c r="F200">
        <f>COMPLEX(0,B200*(LINE_INPUT_CLINE+LINE_INPUT_CCHA/2))</f>
        <v>0</v>
      </c>
      <c r="G200">
        <f>IMPRODUCT("2",IMDIV("1",IMSUM(IMDIV("1",COMPLEX(LDM1_DCR,B200*LDM1_L)),COMPLEX(0,B200*LDM1_CPA))))</f>
        <v>0</v>
      </c>
      <c r="H200">
        <f>IMSUM(IMDIV("1",COMPLEX(CX1_ESR,B200*CX1_ESL-1/(B200*CX1_C))),IMDIV("1",IMSUM(COMPLEX(DUMP1_R,0),COMPLEX(DUMP1_ESR,B200*DUMP1_ESL-1/(B200*DUMP1_C)))))</f>
        <v>0</v>
      </c>
      <c r="I200">
        <f>IMPRODUCT("2",IMDIV("1",IMSUM(IMDIV("1",COMPLEX(LDM2_DCR,B200*LDM2_L)),COMPLEX(0,B200*LDM2_CPA))))</f>
        <v>0</v>
      </c>
      <c r="J200">
        <f>IMSUM(IMDIV("1",COMPLEX(CX2_ESR,B200*CX2_ESL-1/(B200*CX2_C))),IMDIV("1",IMSUM(COMPLEX(DUMP2_R,0),COMPLEX(DUMP2_ESR,B200*DUMP2_ESL-1/(B200*DUMP2_C)))))</f>
        <v>0</v>
      </c>
      <c r="K200">
        <f>IMPRODUCT("2",IMDIV("1",IMSUM(IMDIV("1",COMPLEX(CMC_DCR,B200*CMC_L*(1-CMC_K))),COMPLEX(0,B200*CMC_CPA))))</f>
        <v>0</v>
      </c>
      <c r="L200">
        <f>IMSUM(COMPLEX(0,B200*CMC_CLINE),IMDIV("1",IMPRODUCT("2",COMPLEX(CY_ESR,B200*CY_ESL-1/(B200*CY_C)))),COMPLEX(1/DUMMY_R,0))</f>
        <v>0</v>
      </c>
      <c r="M200">
        <f>IMSUM(D200,IMDIV("1",C200))</f>
        <v>0</v>
      </c>
      <c r="N200">
        <f>IMDIV("1",IMSUM(E200,IMDIV("1",M200)))</f>
        <v>0</v>
      </c>
      <c r="O200">
        <f>IMSUM(F200,N200)</f>
        <v>0</v>
      </c>
      <c r="P200">
        <f>IMDIV("1",IMSUM(G200,IMDIV("1",O200)))</f>
        <v>0</v>
      </c>
      <c r="Q200">
        <f>IMSUM(H200,P200)</f>
        <v>0</v>
      </c>
      <c r="R200">
        <f>IMDIV("1",IMSUM(I200,IMDIV("1",Q200)))</f>
        <v>0</v>
      </c>
      <c r="S200">
        <f>IMSUM(J200,R200)</f>
        <v>0</v>
      </c>
      <c r="T200">
        <f>IMDIV("1",IMSUM(K200,IMDIV("1",S200)))</f>
        <v>0</v>
      </c>
      <c r="U200">
        <f>IMSUM(L200,T200)</f>
        <v>0</v>
      </c>
      <c r="V200">
        <f>IMDIV(COMPLEX(I_DM_SOURCE,0),U200)</f>
        <v>0</v>
      </c>
      <c r="W200">
        <f>IMPRODUCT(V200,T200)</f>
        <v>0</v>
      </c>
      <c r="X200">
        <f>IMDIV(W200,S200)</f>
        <v>0</v>
      </c>
      <c r="Y200">
        <f>IMPRODUCT(X200,R200)</f>
        <v>0</v>
      </c>
      <c r="Z200">
        <f>IMDIV(Y200,Q200)</f>
        <v>0</v>
      </c>
      <c r="AA200">
        <f>IMPRODUCT(Z200,P200)</f>
        <v>0</v>
      </c>
      <c r="AB200">
        <f>AA200</f>
        <v>0</v>
      </c>
      <c r="AC200">
        <f>IMPRODUCT("-1",AB200)</f>
        <v>0</v>
      </c>
      <c r="AD200">
        <f>IMDIV(IMSUB(AB200,AC200),"2")</f>
        <v>0</v>
      </c>
      <c r="AE200" s="6">
        <f>IMABS(AB200)</f>
        <v>0</v>
      </c>
      <c r="AF200" s="6">
        <f>IMABS(AC200)</f>
        <v>0</v>
      </c>
      <c r="AG200" s="6">
        <f>IMABS(AD200)</f>
        <v>0</v>
      </c>
      <c r="AH200" s="7">
        <f>20*LOG10(MAX(AE200,1E-300)*1E6)</f>
        <v>0</v>
      </c>
      <c r="AI200" s="7">
        <f>20*LOG10(MAX(AF200,1E-300)*1E6)</f>
        <v>0</v>
      </c>
      <c r="AJ200" s="7">
        <f>20*LOG10(MAX(AG200,1E-300)*1E6)</f>
        <v>0</v>
      </c>
      <c r="AK200" s="7">
        <f>DEGREES(IMARGUMENT(AB200))</f>
        <v>0</v>
      </c>
      <c r="AL200" s="7">
        <f>DEGREES(IMARGUMENT(AC200))</f>
        <v>0</v>
      </c>
      <c r="AM200" s="7">
        <f>DEGREES(IMARGUMENT(AD200))</f>
        <v>0</v>
      </c>
    </row>
    <row r="201" spans="1:39">
      <c r="A201" s="6">
        <f>10^(LOG10(F_START)+(ROW()-ROW($A$2))*(LOG10(F_STOP)-LOG10(F_START))/(N_POINTS-1))</f>
        <v>0</v>
      </c>
      <c r="B201" s="6">
        <f>2*PI()*A201</f>
        <v>0</v>
      </c>
      <c r="C201">
        <f>COMPLEX(2*LINE_PS_DCR,2*B201*LINE_PS_L)</f>
        <v>0</v>
      </c>
      <c r="D201">
        <f>IMSUM(COMPLEX(0,B201*(LINE_PS_CLINE+LINE_PS_CCHA/2)),IMDIV("1",IMPRODUCT("2",COMPLEX(C_THROUGH_ESR,B201*C_THROUGH_ESL-1/(B201*C_THROUGH_C)))))</f>
        <v>0</v>
      </c>
      <c r="E201">
        <f>COMPLEX(2*LINE_INPUT_DCR,2*B201*LINE_INPUT_L)</f>
        <v>0</v>
      </c>
      <c r="F201">
        <f>COMPLEX(0,B201*(LINE_INPUT_CLINE+LINE_INPUT_CCHA/2))</f>
        <v>0</v>
      </c>
      <c r="G201">
        <f>IMPRODUCT("2",IMDIV("1",IMSUM(IMDIV("1",COMPLEX(LDM1_DCR,B201*LDM1_L)),COMPLEX(0,B201*LDM1_CPA))))</f>
        <v>0</v>
      </c>
      <c r="H201">
        <f>IMSUM(IMDIV("1",COMPLEX(CX1_ESR,B201*CX1_ESL-1/(B201*CX1_C))),IMDIV("1",IMSUM(COMPLEX(DUMP1_R,0),COMPLEX(DUMP1_ESR,B201*DUMP1_ESL-1/(B201*DUMP1_C)))))</f>
        <v>0</v>
      </c>
      <c r="I201">
        <f>IMPRODUCT("2",IMDIV("1",IMSUM(IMDIV("1",COMPLEX(LDM2_DCR,B201*LDM2_L)),COMPLEX(0,B201*LDM2_CPA))))</f>
        <v>0</v>
      </c>
      <c r="J201">
        <f>IMSUM(IMDIV("1",COMPLEX(CX2_ESR,B201*CX2_ESL-1/(B201*CX2_C))),IMDIV("1",IMSUM(COMPLEX(DUMP2_R,0),COMPLEX(DUMP2_ESR,B201*DUMP2_ESL-1/(B201*DUMP2_C)))))</f>
        <v>0</v>
      </c>
      <c r="K201">
        <f>IMPRODUCT("2",IMDIV("1",IMSUM(IMDIV("1",COMPLEX(CMC_DCR,B201*CMC_L*(1-CMC_K))),COMPLEX(0,B201*CMC_CPA))))</f>
        <v>0</v>
      </c>
      <c r="L201">
        <f>IMSUM(COMPLEX(0,B201*CMC_CLINE),IMDIV("1",IMPRODUCT("2",COMPLEX(CY_ESR,B201*CY_ESL-1/(B201*CY_C)))),COMPLEX(1/DUMMY_R,0))</f>
        <v>0</v>
      </c>
      <c r="M201">
        <f>IMSUM(D201,IMDIV("1",C201))</f>
        <v>0</v>
      </c>
      <c r="N201">
        <f>IMDIV("1",IMSUM(E201,IMDIV("1",M201)))</f>
        <v>0</v>
      </c>
      <c r="O201">
        <f>IMSUM(F201,N201)</f>
        <v>0</v>
      </c>
      <c r="P201">
        <f>IMDIV("1",IMSUM(G201,IMDIV("1",O201)))</f>
        <v>0</v>
      </c>
      <c r="Q201">
        <f>IMSUM(H201,P201)</f>
        <v>0</v>
      </c>
      <c r="R201">
        <f>IMDIV("1",IMSUM(I201,IMDIV("1",Q201)))</f>
        <v>0</v>
      </c>
      <c r="S201">
        <f>IMSUM(J201,R201)</f>
        <v>0</v>
      </c>
      <c r="T201">
        <f>IMDIV("1",IMSUM(K201,IMDIV("1",S201)))</f>
        <v>0</v>
      </c>
      <c r="U201">
        <f>IMSUM(L201,T201)</f>
        <v>0</v>
      </c>
      <c r="V201">
        <f>IMDIV(COMPLEX(I_DM_SOURCE,0),U201)</f>
        <v>0</v>
      </c>
      <c r="W201">
        <f>IMPRODUCT(V201,T201)</f>
        <v>0</v>
      </c>
      <c r="X201">
        <f>IMDIV(W201,S201)</f>
        <v>0</v>
      </c>
      <c r="Y201">
        <f>IMPRODUCT(X201,R201)</f>
        <v>0</v>
      </c>
      <c r="Z201">
        <f>IMDIV(Y201,Q201)</f>
        <v>0</v>
      </c>
      <c r="AA201">
        <f>IMPRODUCT(Z201,P201)</f>
        <v>0</v>
      </c>
      <c r="AB201">
        <f>AA201</f>
        <v>0</v>
      </c>
      <c r="AC201">
        <f>IMPRODUCT("-1",AB201)</f>
        <v>0</v>
      </c>
      <c r="AD201">
        <f>IMDIV(IMSUB(AB201,AC201),"2")</f>
        <v>0</v>
      </c>
      <c r="AE201" s="6">
        <f>IMABS(AB201)</f>
        <v>0</v>
      </c>
      <c r="AF201" s="6">
        <f>IMABS(AC201)</f>
        <v>0</v>
      </c>
      <c r="AG201" s="6">
        <f>IMABS(AD201)</f>
        <v>0</v>
      </c>
      <c r="AH201" s="7">
        <f>20*LOG10(MAX(AE201,1E-300)*1E6)</f>
        <v>0</v>
      </c>
      <c r="AI201" s="7">
        <f>20*LOG10(MAX(AF201,1E-300)*1E6)</f>
        <v>0</v>
      </c>
      <c r="AJ201" s="7">
        <f>20*LOG10(MAX(AG201,1E-300)*1E6)</f>
        <v>0</v>
      </c>
      <c r="AK201" s="7">
        <f>DEGREES(IMARGUMENT(AB201))</f>
        <v>0</v>
      </c>
      <c r="AL201" s="7">
        <f>DEGREES(IMARGUMENT(AC201))</f>
        <v>0</v>
      </c>
      <c r="AM201" s="7">
        <f>DEGREES(IMARGUMENT(AD201))</f>
        <v>0</v>
      </c>
    </row>
    <row r="202" spans="1:39">
      <c r="A202" s="6">
        <f>10^(LOG10(F_START)+(ROW()-ROW($A$2))*(LOG10(F_STOP)-LOG10(F_START))/(N_POINTS-1))</f>
        <v>0</v>
      </c>
      <c r="B202" s="6">
        <f>2*PI()*A202</f>
        <v>0</v>
      </c>
      <c r="C202">
        <f>COMPLEX(2*LINE_PS_DCR,2*B202*LINE_PS_L)</f>
        <v>0</v>
      </c>
      <c r="D202">
        <f>IMSUM(COMPLEX(0,B202*(LINE_PS_CLINE+LINE_PS_CCHA/2)),IMDIV("1",IMPRODUCT("2",COMPLEX(C_THROUGH_ESR,B202*C_THROUGH_ESL-1/(B202*C_THROUGH_C)))))</f>
        <v>0</v>
      </c>
      <c r="E202">
        <f>COMPLEX(2*LINE_INPUT_DCR,2*B202*LINE_INPUT_L)</f>
        <v>0</v>
      </c>
      <c r="F202">
        <f>COMPLEX(0,B202*(LINE_INPUT_CLINE+LINE_INPUT_CCHA/2))</f>
        <v>0</v>
      </c>
      <c r="G202">
        <f>IMPRODUCT("2",IMDIV("1",IMSUM(IMDIV("1",COMPLEX(LDM1_DCR,B202*LDM1_L)),COMPLEX(0,B202*LDM1_CPA))))</f>
        <v>0</v>
      </c>
      <c r="H202">
        <f>IMSUM(IMDIV("1",COMPLEX(CX1_ESR,B202*CX1_ESL-1/(B202*CX1_C))),IMDIV("1",IMSUM(COMPLEX(DUMP1_R,0),COMPLEX(DUMP1_ESR,B202*DUMP1_ESL-1/(B202*DUMP1_C)))))</f>
        <v>0</v>
      </c>
      <c r="I202">
        <f>IMPRODUCT("2",IMDIV("1",IMSUM(IMDIV("1",COMPLEX(LDM2_DCR,B202*LDM2_L)),COMPLEX(0,B202*LDM2_CPA))))</f>
        <v>0</v>
      </c>
      <c r="J202">
        <f>IMSUM(IMDIV("1",COMPLEX(CX2_ESR,B202*CX2_ESL-1/(B202*CX2_C))),IMDIV("1",IMSUM(COMPLEX(DUMP2_R,0),COMPLEX(DUMP2_ESR,B202*DUMP2_ESL-1/(B202*DUMP2_C)))))</f>
        <v>0</v>
      </c>
      <c r="K202">
        <f>IMPRODUCT("2",IMDIV("1",IMSUM(IMDIV("1",COMPLEX(CMC_DCR,B202*CMC_L*(1-CMC_K))),COMPLEX(0,B202*CMC_CPA))))</f>
        <v>0</v>
      </c>
      <c r="L202">
        <f>IMSUM(COMPLEX(0,B202*CMC_CLINE),IMDIV("1",IMPRODUCT("2",COMPLEX(CY_ESR,B202*CY_ESL-1/(B202*CY_C)))),COMPLEX(1/DUMMY_R,0))</f>
        <v>0</v>
      </c>
      <c r="M202">
        <f>IMSUM(D202,IMDIV("1",C202))</f>
        <v>0</v>
      </c>
      <c r="N202">
        <f>IMDIV("1",IMSUM(E202,IMDIV("1",M202)))</f>
        <v>0</v>
      </c>
      <c r="O202">
        <f>IMSUM(F202,N202)</f>
        <v>0</v>
      </c>
      <c r="P202">
        <f>IMDIV("1",IMSUM(G202,IMDIV("1",O202)))</f>
        <v>0</v>
      </c>
      <c r="Q202">
        <f>IMSUM(H202,P202)</f>
        <v>0</v>
      </c>
      <c r="R202">
        <f>IMDIV("1",IMSUM(I202,IMDIV("1",Q202)))</f>
        <v>0</v>
      </c>
      <c r="S202">
        <f>IMSUM(J202,R202)</f>
        <v>0</v>
      </c>
      <c r="T202">
        <f>IMDIV("1",IMSUM(K202,IMDIV("1",S202)))</f>
        <v>0</v>
      </c>
      <c r="U202">
        <f>IMSUM(L202,T202)</f>
        <v>0</v>
      </c>
      <c r="V202">
        <f>IMDIV(COMPLEX(I_DM_SOURCE,0),U202)</f>
        <v>0</v>
      </c>
      <c r="W202">
        <f>IMPRODUCT(V202,T202)</f>
        <v>0</v>
      </c>
      <c r="X202">
        <f>IMDIV(W202,S202)</f>
        <v>0</v>
      </c>
      <c r="Y202">
        <f>IMPRODUCT(X202,R202)</f>
        <v>0</v>
      </c>
      <c r="Z202">
        <f>IMDIV(Y202,Q202)</f>
        <v>0</v>
      </c>
      <c r="AA202">
        <f>IMPRODUCT(Z202,P202)</f>
        <v>0</v>
      </c>
      <c r="AB202">
        <f>AA202</f>
        <v>0</v>
      </c>
      <c r="AC202">
        <f>IMPRODUCT("-1",AB202)</f>
        <v>0</v>
      </c>
      <c r="AD202">
        <f>IMDIV(IMSUB(AB202,AC202),"2")</f>
        <v>0</v>
      </c>
      <c r="AE202" s="6">
        <f>IMABS(AB202)</f>
        <v>0</v>
      </c>
      <c r="AF202" s="6">
        <f>IMABS(AC202)</f>
        <v>0</v>
      </c>
      <c r="AG202" s="6">
        <f>IMABS(AD202)</f>
        <v>0</v>
      </c>
      <c r="AH202" s="7">
        <f>20*LOG10(MAX(AE202,1E-300)*1E6)</f>
        <v>0</v>
      </c>
      <c r="AI202" s="7">
        <f>20*LOG10(MAX(AF202,1E-300)*1E6)</f>
        <v>0</v>
      </c>
      <c r="AJ202" s="7">
        <f>20*LOG10(MAX(AG202,1E-300)*1E6)</f>
        <v>0</v>
      </c>
      <c r="AK202" s="7">
        <f>DEGREES(IMARGUMENT(AB202))</f>
        <v>0</v>
      </c>
      <c r="AL202" s="7">
        <f>DEGREES(IMARGUMENT(AC202))</f>
        <v>0</v>
      </c>
      <c r="AM202" s="7">
        <f>DEGREES(IMARGUMENT(AD202))</f>
        <v>0</v>
      </c>
    </row>
    <row r="203" spans="1:39">
      <c r="A203" s="6">
        <f>10^(LOG10(F_START)+(ROW()-ROW($A$2))*(LOG10(F_STOP)-LOG10(F_START))/(N_POINTS-1))</f>
        <v>0</v>
      </c>
      <c r="B203" s="6">
        <f>2*PI()*A203</f>
        <v>0</v>
      </c>
      <c r="C203">
        <f>COMPLEX(2*LINE_PS_DCR,2*B203*LINE_PS_L)</f>
        <v>0</v>
      </c>
      <c r="D203">
        <f>IMSUM(COMPLEX(0,B203*(LINE_PS_CLINE+LINE_PS_CCHA/2)),IMDIV("1",IMPRODUCT("2",COMPLEX(C_THROUGH_ESR,B203*C_THROUGH_ESL-1/(B203*C_THROUGH_C)))))</f>
        <v>0</v>
      </c>
      <c r="E203">
        <f>COMPLEX(2*LINE_INPUT_DCR,2*B203*LINE_INPUT_L)</f>
        <v>0</v>
      </c>
      <c r="F203">
        <f>COMPLEX(0,B203*(LINE_INPUT_CLINE+LINE_INPUT_CCHA/2))</f>
        <v>0</v>
      </c>
      <c r="G203">
        <f>IMPRODUCT("2",IMDIV("1",IMSUM(IMDIV("1",COMPLEX(LDM1_DCR,B203*LDM1_L)),COMPLEX(0,B203*LDM1_CPA))))</f>
        <v>0</v>
      </c>
      <c r="H203">
        <f>IMSUM(IMDIV("1",COMPLEX(CX1_ESR,B203*CX1_ESL-1/(B203*CX1_C))),IMDIV("1",IMSUM(COMPLEX(DUMP1_R,0),COMPLEX(DUMP1_ESR,B203*DUMP1_ESL-1/(B203*DUMP1_C)))))</f>
        <v>0</v>
      </c>
      <c r="I203">
        <f>IMPRODUCT("2",IMDIV("1",IMSUM(IMDIV("1",COMPLEX(LDM2_DCR,B203*LDM2_L)),COMPLEX(0,B203*LDM2_CPA))))</f>
        <v>0</v>
      </c>
      <c r="J203">
        <f>IMSUM(IMDIV("1",COMPLEX(CX2_ESR,B203*CX2_ESL-1/(B203*CX2_C))),IMDIV("1",IMSUM(COMPLEX(DUMP2_R,0),COMPLEX(DUMP2_ESR,B203*DUMP2_ESL-1/(B203*DUMP2_C)))))</f>
        <v>0</v>
      </c>
      <c r="K203">
        <f>IMPRODUCT("2",IMDIV("1",IMSUM(IMDIV("1",COMPLEX(CMC_DCR,B203*CMC_L*(1-CMC_K))),COMPLEX(0,B203*CMC_CPA))))</f>
        <v>0</v>
      </c>
      <c r="L203">
        <f>IMSUM(COMPLEX(0,B203*CMC_CLINE),IMDIV("1",IMPRODUCT("2",COMPLEX(CY_ESR,B203*CY_ESL-1/(B203*CY_C)))),COMPLEX(1/DUMMY_R,0))</f>
        <v>0</v>
      </c>
      <c r="M203">
        <f>IMSUM(D203,IMDIV("1",C203))</f>
        <v>0</v>
      </c>
      <c r="N203">
        <f>IMDIV("1",IMSUM(E203,IMDIV("1",M203)))</f>
        <v>0</v>
      </c>
      <c r="O203">
        <f>IMSUM(F203,N203)</f>
        <v>0</v>
      </c>
      <c r="P203">
        <f>IMDIV("1",IMSUM(G203,IMDIV("1",O203)))</f>
        <v>0</v>
      </c>
      <c r="Q203">
        <f>IMSUM(H203,P203)</f>
        <v>0</v>
      </c>
      <c r="R203">
        <f>IMDIV("1",IMSUM(I203,IMDIV("1",Q203)))</f>
        <v>0</v>
      </c>
      <c r="S203">
        <f>IMSUM(J203,R203)</f>
        <v>0</v>
      </c>
      <c r="T203">
        <f>IMDIV("1",IMSUM(K203,IMDIV("1",S203)))</f>
        <v>0</v>
      </c>
      <c r="U203">
        <f>IMSUM(L203,T203)</f>
        <v>0</v>
      </c>
      <c r="V203">
        <f>IMDIV(COMPLEX(I_DM_SOURCE,0),U203)</f>
        <v>0</v>
      </c>
      <c r="W203">
        <f>IMPRODUCT(V203,T203)</f>
        <v>0</v>
      </c>
      <c r="X203">
        <f>IMDIV(W203,S203)</f>
        <v>0</v>
      </c>
      <c r="Y203">
        <f>IMPRODUCT(X203,R203)</f>
        <v>0</v>
      </c>
      <c r="Z203">
        <f>IMDIV(Y203,Q203)</f>
        <v>0</v>
      </c>
      <c r="AA203">
        <f>IMPRODUCT(Z203,P203)</f>
        <v>0</v>
      </c>
      <c r="AB203">
        <f>AA203</f>
        <v>0</v>
      </c>
      <c r="AC203">
        <f>IMPRODUCT("-1",AB203)</f>
        <v>0</v>
      </c>
      <c r="AD203">
        <f>IMDIV(IMSUB(AB203,AC203),"2")</f>
        <v>0</v>
      </c>
      <c r="AE203" s="6">
        <f>IMABS(AB203)</f>
        <v>0</v>
      </c>
      <c r="AF203" s="6">
        <f>IMABS(AC203)</f>
        <v>0</v>
      </c>
      <c r="AG203" s="6">
        <f>IMABS(AD203)</f>
        <v>0</v>
      </c>
      <c r="AH203" s="7">
        <f>20*LOG10(MAX(AE203,1E-300)*1E6)</f>
        <v>0</v>
      </c>
      <c r="AI203" s="7">
        <f>20*LOG10(MAX(AF203,1E-300)*1E6)</f>
        <v>0</v>
      </c>
      <c r="AJ203" s="7">
        <f>20*LOG10(MAX(AG203,1E-300)*1E6)</f>
        <v>0</v>
      </c>
      <c r="AK203" s="7">
        <f>DEGREES(IMARGUMENT(AB203))</f>
        <v>0</v>
      </c>
      <c r="AL203" s="7">
        <f>DEGREES(IMARGUMENT(AC203))</f>
        <v>0</v>
      </c>
      <c r="AM203" s="7">
        <f>DEGREES(IMARGUMENT(AD203))</f>
        <v>0</v>
      </c>
    </row>
    <row r="204" spans="1:39">
      <c r="A204" s="6">
        <f>10^(LOG10(F_START)+(ROW()-ROW($A$2))*(LOG10(F_STOP)-LOG10(F_START))/(N_POINTS-1))</f>
        <v>0</v>
      </c>
      <c r="B204" s="6">
        <f>2*PI()*A204</f>
        <v>0</v>
      </c>
      <c r="C204">
        <f>COMPLEX(2*LINE_PS_DCR,2*B204*LINE_PS_L)</f>
        <v>0</v>
      </c>
      <c r="D204">
        <f>IMSUM(COMPLEX(0,B204*(LINE_PS_CLINE+LINE_PS_CCHA/2)),IMDIV("1",IMPRODUCT("2",COMPLEX(C_THROUGH_ESR,B204*C_THROUGH_ESL-1/(B204*C_THROUGH_C)))))</f>
        <v>0</v>
      </c>
      <c r="E204">
        <f>COMPLEX(2*LINE_INPUT_DCR,2*B204*LINE_INPUT_L)</f>
        <v>0</v>
      </c>
      <c r="F204">
        <f>COMPLEX(0,B204*(LINE_INPUT_CLINE+LINE_INPUT_CCHA/2))</f>
        <v>0</v>
      </c>
      <c r="G204">
        <f>IMPRODUCT("2",IMDIV("1",IMSUM(IMDIV("1",COMPLEX(LDM1_DCR,B204*LDM1_L)),COMPLEX(0,B204*LDM1_CPA))))</f>
        <v>0</v>
      </c>
      <c r="H204">
        <f>IMSUM(IMDIV("1",COMPLEX(CX1_ESR,B204*CX1_ESL-1/(B204*CX1_C))),IMDIV("1",IMSUM(COMPLEX(DUMP1_R,0),COMPLEX(DUMP1_ESR,B204*DUMP1_ESL-1/(B204*DUMP1_C)))))</f>
        <v>0</v>
      </c>
      <c r="I204">
        <f>IMPRODUCT("2",IMDIV("1",IMSUM(IMDIV("1",COMPLEX(LDM2_DCR,B204*LDM2_L)),COMPLEX(0,B204*LDM2_CPA))))</f>
        <v>0</v>
      </c>
      <c r="J204">
        <f>IMSUM(IMDIV("1",COMPLEX(CX2_ESR,B204*CX2_ESL-1/(B204*CX2_C))),IMDIV("1",IMSUM(COMPLEX(DUMP2_R,0),COMPLEX(DUMP2_ESR,B204*DUMP2_ESL-1/(B204*DUMP2_C)))))</f>
        <v>0</v>
      </c>
      <c r="K204">
        <f>IMPRODUCT("2",IMDIV("1",IMSUM(IMDIV("1",COMPLEX(CMC_DCR,B204*CMC_L*(1-CMC_K))),COMPLEX(0,B204*CMC_CPA))))</f>
        <v>0</v>
      </c>
      <c r="L204">
        <f>IMSUM(COMPLEX(0,B204*CMC_CLINE),IMDIV("1",IMPRODUCT("2",COMPLEX(CY_ESR,B204*CY_ESL-1/(B204*CY_C)))),COMPLEX(1/DUMMY_R,0))</f>
        <v>0</v>
      </c>
      <c r="M204">
        <f>IMSUM(D204,IMDIV("1",C204))</f>
        <v>0</v>
      </c>
      <c r="N204">
        <f>IMDIV("1",IMSUM(E204,IMDIV("1",M204)))</f>
        <v>0</v>
      </c>
      <c r="O204">
        <f>IMSUM(F204,N204)</f>
        <v>0</v>
      </c>
      <c r="P204">
        <f>IMDIV("1",IMSUM(G204,IMDIV("1",O204)))</f>
        <v>0</v>
      </c>
      <c r="Q204">
        <f>IMSUM(H204,P204)</f>
        <v>0</v>
      </c>
      <c r="R204">
        <f>IMDIV("1",IMSUM(I204,IMDIV("1",Q204)))</f>
        <v>0</v>
      </c>
      <c r="S204">
        <f>IMSUM(J204,R204)</f>
        <v>0</v>
      </c>
      <c r="T204">
        <f>IMDIV("1",IMSUM(K204,IMDIV("1",S204)))</f>
        <v>0</v>
      </c>
      <c r="U204">
        <f>IMSUM(L204,T204)</f>
        <v>0</v>
      </c>
      <c r="V204">
        <f>IMDIV(COMPLEX(I_DM_SOURCE,0),U204)</f>
        <v>0</v>
      </c>
      <c r="W204">
        <f>IMPRODUCT(V204,T204)</f>
        <v>0</v>
      </c>
      <c r="X204">
        <f>IMDIV(W204,S204)</f>
        <v>0</v>
      </c>
      <c r="Y204">
        <f>IMPRODUCT(X204,R204)</f>
        <v>0</v>
      </c>
      <c r="Z204">
        <f>IMDIV(Y204,Q204)</f>
        <v>0</v>
      </c>
      <c r="AA204">
        <f>IMPRODUCT(Z204,P204)</f>
        <v>0</v>
      </c>
      <c r="AB204">
        <f>AA204</f>
        <v>0</v>
      </c>
      <c r="AC204">
        <f>IMPRODUCT("-1",AB204)</f>
        <v>0</v>
      </c>
      <c r="AD204">
        <f>IMDIV(IMSUB(AB204,AC204),"2")</f>
        <v>0</v>
      </c>
      <c r="AE204" s="6">
        <f>IMABS(AB204)</f>
        <v>0</v>
      </c>
      <c r="AF204" s="6">
        <f>IMABS(AC204)</f>
        <v>0</v>
      </c>
      <c r="AG204" s="6">
        <f>IMABS(AD204)</f>
        <v>0</v>
      </c>
      <c r="AH204" s="7">
        <f>20*LOG10(MAX(AE204,1E-300)*1E6)</f>
        <v>0</v>
      </c>
      <c r="AI204" s="7">
        <f>20*LOG10(MAX(AF204,1E-300)*1E6)</f>
        <v>0</v>
      </c>
      <c r="AJ204" s="7">
        <f>20*LOG10(MAX(AG204,1E-300)*1E6)</f>
        <v>0</v>
      </c>
      <c r="AK204" s="7">
        <f>DEGREES(IMARGUMENT(AB204))</f>
        <v>0</v>
      </c>
      <c r="AL204" s="7">
        <f>DEGREES(IMARGUMENT(AC204))</f>
        <v>0</v>
      </c>
      <c r="AM204" s="7">
        <f>DEGREES(IMARGUMENT(AD204))</f>
        <v>0</v>
      </c>
    </row>
    <row r="205" spans="1:39">
      <c r="A205" s="6">
        <f>10^(LOG10(F_START)+(ROW()-ROW($A$2))*(LOG10(F_STOP)-LOG10(F_START))/(N_POINTS-1))</f>
        <v>0</v>
      </c>
      <c r="B205" s="6">
        <f>2*PI()*A205</f>
        <v>0</v>
      </c>
      <c r="C205">
        <f>COMPLEX(2*LINE_PS_DCR,2*B205*LINE_PS_L)</f>
        <v>0</v>
      </c>
      <c r="D205">
        <f>IMSUM(COMPLEX(0,B205*(LINE_PS_CLINE+LINE_PS_CCHA/2)),IMDIV("1",IMPRODUCT("2",COMPLEX(C_THROUGH_ESR,B205*C_THROUGH_ESL-1/(B205*C_THROUGH_C)))))</f>
        <v>0</v>
      </c>
      <c r="E205">
        <f>COMPLEX(2*LINE_INPUT_DCR,2*B205*LINE_INPUT_L)</f>
        <v>0</v>
      </c>
      <c r="F205">
        <f>COMPLEX(0,B205*(LINE_INPUT_CLINE+LINE_INPUT_CCHA/2))</f>
        <v>0</v>
      </c>
      <c r="G205">
        <f>IMPRODUCT("2",IMDIV("1",IMSUM(IMDIV("1",COMPLEX(LDM1_DCR,B205*LDM1_L)),COMPLEX(0,B205*LDM1_CPA))))</f>
        <v>0</v>
      </c>
      <c r="H205">
        <f>IMSUM(IMDIV("1",COMPLEX(CX1_ESR,B205*CX1_ESL-1/(B205*CX1_C))),IMDIV("1",IMSUM(COMPLEX(DUMP1_R,0),COMPLEX(DUMP1_ESR,B205*DUMP1_ESL-1/(B205*DUMP1_C)))))</f>
        <v>0</v>
      </c>
      <c r="I205">
        <f>IMPRODUCT("2",IMDIV("1",IMSUM(IMDIV("1",COMPLEX(LDM2_DCR,B205*LDM2_L)),COMPLEX(0,B205*LDM2_CPA))))</f>
        <v>0</v>
      </c>
      <c r="J205">
        <f>IMSUM(IMDIV("1",COMPLEX(CX2_ESR,B205*CX2_ESL-1/(B205*CX2_C))),IMDIV("1",IMSUM(COMPLEX(DUMP2_R,0),COMPLEX(DUMP2_ESR,B205*DUMP2_ESL-1/(B205*DUMP2_C)))))</f>
        <v>0</v>
      </c>
      <c r="K205">
        <f>IMPRODUCT("2",IMDIV("1",IMSUM(IMDIV("1",COMPLEX(CMC_DCR,B205*CMC_L*(1-CMC_K))),COMPLEX(0,B205*CMC_CPA))))</f>
        <v>0</v>
      </c>
      <c r="L205">
        <f>IMSUM(COMPLEX(0,B205*CMC_CLINE),IMDIV("1",IMPRODUCT("2",COMPLEX(CY_ESR,B205*CY_ESL-1/(B205*CY_C)))),COMPLEX(1/DUMMY_R,0))</f>
        <v>0</v>
      </c>
      <c r="M205">
        <f>IMSUM(D205,IMDIV("1",C205))</f>
        <v>0</v>
      </c>
      <c r="N205">
        <f>IMDIV("1",IMSUM(E205,IMDIV("1",M205)))</f>
        <v>0</v>
      </c>
      <c r="O205">
        <f>IMSUM(F205,N205)</f>
        <v>0</v>
      </c>
      <c r="P205">
        <f>IMDIV("1",IMSUM(G205,IMDIV("1",O205)))</f>
        <v>0</v>
      </c>
      <c r="Q205">
        <f>IMSUM(H205,P205)</f>
        <v>0</v>
      </c>
      <c r="R205">
        <f>IMDIV("1",IMSUM(I205,IMDIV("1",Q205)))</f>
        <v>0</v>
      </c>
      <c r="S205">
        <f>IMSUM(J205,R205)</f>
        <v>0</v>
      </c>
      <c r="T205">
        <f>IMDIV("1",IMSUM(K205,IMDIV("1",S205)))</f>
        <v>0</v>
      </c>
      <c r="U205">
        <f>IMSUM(L205,T205)</f>
        <v>0</v>
      </c>
      <c r="V205">
        <f>IMDIV(COMPLEX(I_DM_SOURCE,0),U205)</f>
        <v>0</v>
      </c>
      <c r="W205">
        <f>IMPRODUCT(V205,T205)</f>
        <v>0</v>
      </c>
      <c r="X205">
        <f>IMDIV(W205,S205)</f>
        <v>0</v>
      </c>
      <c r="Y205">
        <f>IMPRODUCT(X205,R205)</f>
        <v>0</v>
      </c>
      <c r="Z205">
        <f>IMDIV(Y205,Q205)</f>
        <v>0</v>
      </c>
      <c r="AA205">
        <f>IMPRODUCT(Z205,P205)</f>
        <v>0</v>
      </c>
      <c r="AB205">
        <f>AA205</f>
        <v>0</v>
      </c>
      <c r="AC205">
        <f>IMPRODUCT("-1",AB205)</f>
        <v>0</v>
      </c>
      <c r="AD205">
        <f>IMDIV(IMSUB(AB205,AC205),"2")</f>
        <v>0</v>
      </c>
      <c r="AE205" s="6">
        <f>IMABS(AB205)</f>
        <v>0</v>
      </c>
      <c r="AF205" s="6">
        <f>IMABS(AC205)</f>
        <v>0</v>
      </c>
      <c r="AG205" s="6">
        <f>IMABS(AD205)</f>
        <v>0</v>
      </c>
      <c r="AH205" s="7">
        <f>20*LOG10(MAX(AE205,1E-300)*1E6)</f>
        <v>0</v>
      </c>
      <c r="AI205" s="7">
        <f>20*LOG10(MAX(AF205,1E-300)*1E6)</f>
        <v>0</v>
      </c>
      <c r="AJ205" s="7">
        <f>20*LOG10(MAX(AG205,1E-300)*1E6)</f>
        <v>0</v>
      </c>
      <c r="AK205" s="7">
        <f>DEGREES(IMARGUMENT(AB205))</f>
        <v>0</v>
      </c>
      <c r="AL205" s="7">
        <f>DEGREES(IMARGUMENT(AC205))</f>
        <v>0</v>
      </c>
      <c r="AM205" s="7">
        <f>DEGREES(IMARGUMENT(AD205))</f>
        <v>0</v>
      </c>
    </row>
    <row r="206" spans="1:39">
      <c r="A206" s="6">
        <f>10^(LOG10(F_START)+(ROW()-ROW($A$2))*(LOG10(F_STOP)-LOG10(F_START))/(N_POINTS-1))</f>
        <v>0</v>
      </c>
      <c r="B206" s="6">
        <f>2*PI()*A206</f>
        <v>0</v>
      </c>
      <c r="C206">
        <f>COMPLEX(2*LINE_PS_DCR,2*B206*LINE_PS_L)</f>
        <v>0</v>
      </c>
      <c r="D206">
        <f>IMSUM(COMPLEX(0,B206*(LINE_PS_CLINE+LINE_PS_CCHA/2)),IMDIV("1",IMPRODUCT("2",COMPLEX(C_THROUGH_ESR,B206*C_THROUGH_ESL-1/(B206*C_THROUGH_C)))))</f>
        <v>0</v>
      </c>
      <c r="E206">
        <f>COMPLEX(2*LINE_INPUT_DCR,2*B206*LINE_INPUT_L)</f>
        <v>0</v>
      </c>
      <c r="F206">
        <f>COMPLEX(0,B206*(LINE_INPUT_CLINE+LINE_INPUT_CCHA/2))</f>
        <v>0</v>
      </c>
      <c r="G206">
        <f>IMPRODUCT("2",IMDIV("1",IMSUM(IMDIV("1",COMPLEX(LDM1_DCR,B206*LDM1_L)),COMPLEX(0,B206*LDM1_CPA))))</f>
        <v>0</v>
      </c>
      <c r="H206">
        <f>IMSUM(IMDIV("1",COMPLEX(CX1_ESR,B206*CX1_ESL-1/(B206*CX1_C))),IMDIV("1",IMSUM(COMPLEX(DUMP1_R,0),COMPLEX(DUMP1_ESR,B206*DUMP1_ESL-1/(B206*DUMP1_C)))))</f>
        <v>0</v>
      </c>
      <c r="I206">
        <f>IMPRODUCT("2",IMDIV("1",IMSUM(IMDIV("1",COMPLEX(LDM2_DCR,B206*LDM2_L)),COMPLEX(0,B206*LDM2_CPA))))</f>
        <v>0</v>
      </c>
      <c r="J206">
        <f>IMSUM(IMDIV("1",COMPLEX(CX2_ESR,B206*CX2_ESL-1/(B206*CX2_C))),IMDIV("1",IMSUM(COMPLEX(DUMP2_R,0),COMPLEX(DUMP2_ESR,B206*DUMP2_ESL-1/(B206*DUMP2_C)))))</f>
        <v>0</v>
      </c>
      <c r="K206">
        <f>IMPRODUCT("2",IMDIV("1",IMSUM(IMDIV("1",COMPLEX(CMC_DCR,B206*CMC_L*(1-CMC_K))),COMPLEX(0,B206*CMC_CPA))))</f>
        <v>0</v>
      </c>
      <c r="L206">
        <f>IMSUM(COMPLEX(0,B206*CMC_CLINE),IMDIV("1",IMPRODUCT("2",COMPLEX(CY_ESR,B206*CY_ESL-1/(B206*CY_C)))),COMPLEX(1/DUMMY_R,0))</f>
        <v>0</v>
      </c>
      <c r="M206">
        <f>IMSUM(D206,IMDIV("1",C206))</f>
        <v>0</v>
      </c>
      <c r="N206">
        <f>IMDIV("1",IMSUM(E206,IMDIV("1",M206)))</f>
        <v>0</v>
      </c>
      <c r="O206">
        <f>IMSUM(F206,N206)</f>
        <v>0</v>
      </c>
      <c r="P206">
        <f>IMDIV("1",IMSUM(G206,IMDIV("1",O206)))</f>
        <v>0</v>
      </c>
      <c r="Q206">
        <f>IMSUM(H206,P206)</f>
        <v>0</v>
      </c>
      <c r="R206">
        <f>IMDIV("1",IMSUM(I206,IMDIV("1",Q206)))</f>
        <v>0</v>
      </c>
      <c r="S206">
        <f>IMSUM(J206,R206)</f>
        <v>0</v>
      </c>
      <c r="T206">
        <f>IMDIV("1",IMSUM(K206,IMDIV("1",S206)))</f>
        <v>0</v>
      </c>
      <c r="U206">
        <f>IMSUM(L206,T206)</f>
        <v>0</v>
      </c>
      <c r="V206">
        <f>IMDIV(COMPLEX(I_DM_SOURCE,0),U206)</f>
        <v>0</v>
      </c>
      <c r="W206">
        <f>IMPRODUCT(V206,T206)</f>
        <v>0</v>
      </c>
      <c r="X206">
        <f>IMDIV(W206,S206)</f>
        <v>0</v>
      </c>
      <c r="Y206">
        <f>IMPRODUCT(X206,R206)</f>
        <v>0</v>
      </c>
      <c r="Z206">
        <f>IMDIV(Y206,Q206)</f>
        <v>0</v>
      </c>
      <c r="AA206">
        <f>IMPRODUCT(Z206,P206)</f>
        <v>0</v>
      </c>
      <c r="AB206">
        <f>AA206</f>
        <v>0</v>
      </c>
      <c r="AC206">
        <f>IMPRODUCT("-1",AB206)</f>
        <v>0</v>
      </c>
      <c r="AD206">
        <f>IMDIV(IMSUB(AB206,AC206),"2")</f>
        <v>0</v>
      </c>
      <c r="AE206" s="6">
        <f>IMABS(AB206)</f>
        <v>0</v>
      </c>
      <c r="AF206" s="6">
        <f>IMABS(AC206)</f>
        <v>0</v>
      </c>
      <c r="AG206" s="6">
        <f>IMABS(AD206)</f>
        <v>0</v>
      </c>
      <c r="AH206" s="7">
        <f>20*LOG10(MAX(AE206,1E-300)*1E6)</f>
        <v>0</v>
      </c>
      <c r="AI206" s="7">
        <f>20*LOG10(MAX(AF206,1E-300)*1E6)</f>
        <v>0</v>
      </c>
      <c r="AJ206" s="7">
        <f>20*LOG10(MAX(AG206,1E-300)*1E6)</f>
        <v>0</v>
      </c>
      <c r="AK206" s="7">
        <f>DEGREES(IMARGUMENT(AB206))</f>
        <v>0</v>
      </c>
      <c r="AL206" s="7">
        <f>DEGREES(IMARGUMENT(AC206))</f>
        <v>0</v>
      </c>
      <c r="AM206" s="7">
        <f>DEGREES(IMARGUMENT(AD206))</f>
        <v>0</v>
      </c>
    </row>
    <row r="207" spans="1:39">
      <c r="A207" s="6">
        <f>10^(LOG10(F_START)+(ROW()-ROW($A$2))*(LOG10(F_STOP)-LOG10(F_START))/(N_POINTS-1))</f>
        <v>0</v>
      </c>
      <c r="B207" s="6">
        <f>2*PI()*A207</f>
        <v>0</v>
      </c>
      <c r="C207">
        <f>COMPLEX(2*LINE_PS_DCR,2*B207*LINE_PS_L)</f>
        <v>0</v>
      </c>
      <c r="D207">
        <f>IMSUM(COMPLEX(0,B207*(LINE_PS_CLINE+LINE_PS_CCHA/2)),IMDIV("1",IMPRODUCT("2",COMPLEX(C_THROUGH_ESR,B207*C_THROUGH_ESL-1/(B207*C_THROUGH_C)))))</f>
        <v>0</v>
      </c>
      <c r="E207">
        <f>COMPLEX(2*LINE_INPUT_DCR,2*B207*LINE_INPUT_L)</f>
        <v>0</v>
      </c>
      <c r="F207">
        <f>COMPLEX(0,B207*(LINE_INPUT_CLINE+LINE_INPUT_CCHA/2))</f>
        <v>0</v>
      </c>
      <c r="G207">
        <f>IMPRODUCT("2",IMDIV("1",IMSUM(IMDIV("1",COMPLEX(LDM1_DCR,B207*LDM1_L)),COMPLEX(0,B207*LDM1_CPA))))</f>
        <v>0</v>
      </c>
      <c r="H207">
        <f>IMSUM(IMDIV("1",COMPLEX(CX1_ESR,B207*CX1_ESL-1/(B207*CX1_C))),IMDIV("1",IMSUM(COMPLEX(DUMP1_R,0),COMPLEX(DUMP1_ESR,B207*DUMP1_ESL-1/(B207*DUMP1_C)))))</f>
        <v>0</v>
      </c>
      <c r="I207">
        <f>IMPRODUCT("2",IMDIV("1",IMSUM(IMDIV("1",COMPLEX(LDM2_DCR,B207*LDM2_L)),COMPLEX(0,B207*LDM2_CPA))))</f>
        <v>0</v>
      </c>
      <c r="J207">
        <f>IMSUM(IMDIV("1",COMPLEX(CX2_ESR,B207*CX2_ESL-1/(B207*CX2_C))),IMDIV("1",IMSUM(COMPLEX(DUMP2_R,0),COMPLEX(DUMP2_ESR,B207*DUMP2_ESL-1/(B207*DUMP2_C)))))</f>
        <v>0</v>
      </c>
      <c r="K207">
        <f>IMPRODUCT("2",IMDIV("1",IMSUM(IMDIV("1",COMPLEX(CMC_DCR,B207*CMC_L*(1-CMC_K))),COMPLEX(0,B207*CMC_CPA))))</f>
        <v>0</v>
      </c>
      <c r="L207">
        <f>IMSUM(COMPLEX(0,B207*CMC_CLINE),IMDIV("1",IMPRODUCT("2",COMPLEX(CY_ESR,B207*CY_ESL-1/(B207*CY_C)))),COMPLEX(1/DUMMY_R,0))</f>
        <v>0</v>
      </c>
      <c r="M207">
        <f>IMSUM(D207,IMDIV("1",C207))</f>
        <v>0</v>
      </c>
      <c r="N207">
        <f>IMDIV("1",IMSUM(E207,IMDIV("1",M207)))</f>
        <v>0</v>
      </c>
      <c r="O207">
        <f>IMSUM(F207,N207)</f>
        <v>0</v>
      </c>
      <c r="P207">
        <f>IMDIV("1",IMSUM(G207,IMDIV("1",O207)))</f>
        <v>0</v>
      </c>
      <c r="Q207">
        <f>IMSUM(H207,P207)</f>
        <v>0</v>
      </c>
      <c r="R207">
        <f>IMDIV("1",IMSUM(I207,IMDIV("1",Q207)))</f>
        <v>0</v>
      </c>
      <c r="S207">
        <f>IMSUM(J207,R207)</f>
        <v>0</v>
      </c>
      <c r="T207">
        <f>IMDIV("1",IMSUM(K207,IMDIV("1",S207)))</f>
        <v>0</v>
      </c>
      <c r="U207">
        <f>IMSUM(L207,T207)</f>
        <v>0</v>
      </c>
      <c r="V207">
        <f>IMDIV(COMPLEX(I_DM_SOURCE,0),U207)</f>
        <v>0</v>
      </c>
      <c r="W207">
        <f>IMPRODUCT(V207,T207)</f>
        <v>0</v>
      </c>
      <c r="X207">
        <f>IMDIV(W207,S207)</f>
        <v>0</v>
      </c>
      <c r="Y207">
        <f>IMPRODUCT(X207,R207)</f>
        <v>0</v>
      </c>
      <c r="Z207">
        <f>IMDIV(Y207,Q207)</f>
        <v>0</v>
      </c>
      <c r="AA207">
        <f>IMPRODUCT(Z207,P207)</f>
        <v>0</v>
      </c>
      <c r="AB207">
        <f>AA207</f>
        <v>0</v>
      </c>
      <c r="AC207">
        <f>IMPRODUCT("-1",AB207)</f>
        <v>0</v>
      </c>
      <c r="AD207">
        <f>IMDIV(IMSUB(AB207,AC207),"2")</f>
        <v>0</v>
      </c>
      <c r="AE207" s="6">
        <f>IMABS(AB207)</f>
        <v>0</v>
      </c>
      <c r="AF207" s="6">
        <f>IMABS(AC207)</f>
        <v>0</v>
      </c>
      <c r="AG207" s="6">
        <f>IMABS(AD207)</f>
        <v>0</v>
      </c>
      <c r="AH207" s="7">
        <f>20*LOG10(MAX(AE207,1E-300)*1E6)</f>
        <v>0</v>
      </c>
      <c r="AI207" s="7">
        <f>20*LOG10(MAX(AF207,1E-300)*1E6)</f>
        <v>0</v>
      </c>
      <c r="AJ207" s="7">
        <f>20*LOG10(MAX(AG207,1E-300)*1E6)</f>
        <v>0</v>
      </c>
      <c r="AK207" s="7">
        <f>DEGREES(IMARGUMENT(AB207))</f>
        <v>0</v>
      </c>
      <c r="AL207" s="7">
        <f>DEGREES(IMARGUMENT(AC207))</f>
        <v>0</v>
      </c>
      <c r="AM207" s="7">
        <f>DEGREES(IMARGUMENT(AD207))</f>
        <v>0</v>
      </c>
    </row>
    <row r="208" spans="1:39">
      <c r="A208" s="6">
        <f>10^(LOG10(F_START)+(ROW()-ROW($A$2))*(LOG10(F_STOP)-LOG10(F_START))/(N_POINTS-1))</f>
        <v>0</v>
      </c>
      <c r="B208" s="6">
        <f>2*PI()*A208</f>
        <v>0</v>
      </c>
      <c r="C208">
        <f>COMPLEX(2*LINE_PS_DCR,2*B208*LINE_PS_L)</f>
        <v>0</v>
      </c>
      <c r="D208">
        <f>IMSUM(COMPLEX(0,B208*(LINE_PS_CLINE+LINE_PS_CCHA/2)),IMDIV("1",IMPRODUCT("2",COMPLEX(C_THROUGH_ESR,B208*C_THROUGH_ESL-1/(B208*C_THROUGH_C)))))</f>
        <v>0</v>
      </c>
      <c r="E208">
        <f>COMPLEX(2*LINE_INPUT_DCR,2*B208*LINE_INPUT_L)</f>
        <v>0</v>
      </c>
      <c r="F208">
        <f>COMPLEX(0,B208*(LINE_INPUT_CLINE+LINE_INPUT_CCHA/2))</f>
        <v>0</v>
      </c>
      <c r="G208">
        <f>IMPRODUCT("2",IMDIV("1",IMSUM(IMDIV("1",COMPLEX(LDM1_DCR,B208*LDM1_L)),COMPLEX(0,B208*LDM1_CPA))))</f>
        <v>0</v>
      </c>
      <c r="H208">
        <f>IMSUM(IMDIV("1",COMPLEX(CX1_ESR,B208*CX1_ESL-1/(B208*CX1_C))),IMDIV("1",IMSUM(COMPLEX(DUMP1_R,0),COMPLEX(DUMP1_ESR,B208*DUMP1_ESL-1/(B208*DUMP1_C)))))</f>
        <v>0</v>
      </c>
      <c r="I208">
        <f>IMPRODUCT("2",IMDIV("1",IMSUM(IMDIV("1",COMPLEX(LDM2_DCR,B208*LDM2_L)),COMPLEX(0,B208*LDM2_CPA))))</f>
        <v>0</v>
      </c>
      <c r="J208">
        <f>IMSUM(IMDIV("1",COMPLEX(CX2_ESR,B208*CX2_ESL-1/(B208*CX2_C))),IMDIV("1",IMSUM(COMPLEX(DUMP2_R,0),COMPLEX(DUMP2_ESR,B208*DUMP2_ESL-1/(B208*DUMP2_C)))))</f>
        <v>0</v>
      </c>
      <c r="K208">
        <f>IMPRODUCT("2",IMDIV("1",IMSUM(IMDIV("1",COMPLEX(CMC_DCR,B208*CMC_L*(1-CMC_K))),COMPLEX(0,B208*CMC_CPA))))</f>
        <v>0</v>
      </c>
      <c r="L208">
        <f>IMSUM(COMPLEX(0,B208*CMC_CLINE),IMDIV("1",IMPRODUCT("2",COMPLEX(CY_ESR,B208*CY_ESL-1/(B208*CY_C)))),COMPLEX(1/DUMMY_R,0))</f>
        <v>0</v>
      </c>
      <c r="M208">
        <f>IMSUM(D208,IMDIV("1",C208))</f>
        <v>0</v>
      </c>
      <c r="N208">
        <f>IMDIV("1",IMSUM(E208,IMDIV("1",M208)))</f>
        <v>0</v>
      </c>
      <c r="O208">
        <f>IMSUM(F208,N208)</f>
        <v>0</v>
      </c>
      <c r="P208">
        <f>IMDIV("1",IMSUM(G208,IMDIV("1",O208)))</f>
        <v>0</v>
      </c>
      <c r="Q208">
        <f>IMSUM(H208,P208)</f>
        <v>0</v>
      </c>
      <c r="R208">
        <f>IMDIV("1",IMSUM(I208,IMDIV("1",Q208)))</f>
        <v>0</v>
      </c>
      <c r="S208">
        <f>IMSUM(J208,R208)</f>
        <v>0</v>
      </c>
      <c r="T208">
        <f>IMDIV("1",IMSUM(K208,IMDIV("1",S208)))</f>
        <v>0</v>
      </c>
      <c r="U208">
        <f>IMSUM(L208,T208)</f>
        <v>0</v>
      </c>
      <c r="V208">
        <f>IMDIV(COMPLEX(I_DM_SOURCE,0),U208)</f>
        <v>0</v>
      </c>
      <c r="W208">
        <f>IMPRODUCT(V208,T208)</f>
        <v>0</v>
      </c>
      <c r="X208">
        <f>IMDIV(W208,S208)</f>
        <v>0</v>
      </c>
      <c r="Y208">
        <f>IMPRODUCT(X208,R208)</f>
        <v>0</v>
      </c>
      <c r="Z208">
        <f>IMDIV(Y208,Q208)</f>
        <v>0</v>
      </c>
      <c r="AA208">
        <f>IMPRODUCT(Z208,P208)</f>
        <v>0</v>
      </c>
      <c r="AB208">
        <f>AA208</f>
        <v>0</v>
      </c>
      <c r="AC208">
        <f>IMPRODUCT("-1",AB208)</f>
        <v>0</v>
      </c>
      <c r="AD208">
        <f>IMDIV(IMSUB(AB208,AC208),"2")</f>
        <v>0</v>
      </c>
      <c r="AE208" s="6">
        <f>IMABS(AB208)</f>
        <v>0</v>
      </c>
      <c r="AF208" s="6">
        <f>IMABS(AC208)</f>
        <v>0</v>
      </c>
      <c r="AG208" s="6">
        <f>IMABS(AD208)</f>
        <v>0</v>
      </c>
      <c r="AH208" s="7">
        <f>20*LOG10(MAX(AE208,1E-300)*1E6)</f>
        <v>0</v>
      </c>
      <c r="AI208" s="7">
        <f>20*LOG10(MAX(AF208,1E-300)*1E6)</f>
        <v>0</v>
      </c>
      <c r="AJ208" s="7">
        <f>20*LOG10(MAX(AG208,1E-300)*1E6)</f>
        <v>0</v>
      </c>
      <c r="AK208" s="7">
        <f>DEGREES(IMARGUMENT(AB208))</f>
        <v>0</v>
      </c>
      <c r="AL208" s="7">
        <f>DEGREES(IMARGUMENT(AC208))</f>
        <v>0</v>
      </c>
      <c r="AM208" s="7">
        <f>DEGREES(IMARGUMENT(AD208))</f>
        <v>0</v>
      </c>
    </row>
    <row r="209" spans="1:39">
      <c r="A209" s="6">
        <f>10^(LOG10(F_START)+(ROW()-ROW($A$2))*(LOG10(F_STOP)-LOG10(F_START))/(N_POINTS-1))</f>
        <v>0</v>
      </c>
      <c r="B209" s="6">
        <f>2*PI()*A209</f>
        <v>0</v>
      </c>
      <c r="C209">
        <f>COMPLEX(2*LINE_PS_DCR,2*B209*LINE_PS_L)</f>
        <v>0</v>
      </c>
      <c r="D209">
        <f>IMSUM(COMPLEX(0,B209*(LINE_PS_CLINE+LINE_PS_CCHA/2)),IMDIV("1",IMPRODUCT("2",COMPLEX(C_THROUGH_ESR,B209*C_THROUGH_ESL-1/(B209*C_THROUGH_C)))))</f>
        <v>0</v>
      </c>
      <c r="E209">
        <f>COMPLEX(2*LINE_INPUT_DCR,2*B209*LINE_INPUT_L)</f>
        <v>0</v>
      </c>
      <c r="F209">
        <f>COMPLEX(0,B209*(LINE_INPUT_CLINE+LINE_INPUT_CCHA/2))</f>
        <v>0</v>
      </c>
      <c r="G209">
        <f>IMPRODUCT("2",IMDIV("1",IMSUM(IMDIV("1",COMPLEX(LDM1_DCR,B209*LDM1_L)),COMPLEX(0,B209*LDM1_CPA))))</f>
        <v>0</v>
      </c>
      <c r="H209">
        <f>IMSUM(IMDIV("1",COMPLEX(CX1_ESR,B209*CX1_ESL-1/(B209*CX1_C))),IMDIV("1",IMSUM(COMPLEX(DUMP1_R,0),COMPLEX(DUMP1_ESR,B209*DUMP1_ESL-1/(B209*DUMP1_C)))))</f>
        <v>0</v>
      </c>
      <c r="I209">
        <f>IMPRODUCT("2",IMDIV("1",IMSUM(IMDIV("1",COMPLEX(LDM2_DCR,B209*LDM2_L)),COMPLEX(0,B209*LDM2_CPA))))</f>
        <v>0</v>
      </c>
      <c r="J209">
        <f>IMSUM(IMDIV("1",COMPLEX(CX2_ESR,B209*CX2_ESL-1/(B209*CX2_C))),IMDIV("1",IMSUM(COMPLEX(DUMP2_R,0),COMPLEX(DUMP2_ESR,B209*DUMP2_ESL-1/(B209*DUMP2_C)))))</f>
        <v>0</v>
      </c>
      <c r="K209">
        <f>IMPRODUCT("2",IMDIV("1",IMSUM(IMDIV("1",COMPLEX(CMC_DCR,B209*CMC_L*(1-CMC_K))),COMPLEX(0,B209*CMC_CPA))))</f>
        <v>0</v>
      </c>
      <c r="L209">
        <f>IMSUM(COMPLEX(0,B209*CMC_CLINE),IMDIV("1",IMPRODUCT("2",COMPLEX(CY_ESR,B209*CY_ESL-1/(B209*CY_C)))),COMPLEX(1/DUMMY_R,0))</f>
        <v>0</v>
      </c>
      <c r="M209">
        <f>IMSUM(D209,IMDIV("1",C209))</f>
        <v>0</v>
      </c>
      <c r="N209">
        <f>IMDIV("1",IMSUM(E209,IMDIV("1",M209)))</f>
        <v>0</v>
      </c>
      <c r="O209">
        <f>IMSUM(F209,N209)</f>
        <v>0</v>
      </c>
      <c r="P209">
        <f>IMDIV("1",IMSUM(G209,IMDIV("1",O209)))</f>
        <v>0</v>
      </c>
      <c r="Q209">
        <f>IMSUM(H209,P209)</f>
        <v>0</v>
      </c>
      <c r="R209">
        <f>IMDIV("1",IMSUM(I209,IMDIV("1",Q209)))</f>
        <v>0</v>
      </c>
      <c r="S209">
        <f>IMSUM(J209,R209)</f>
        <v>0</v>
      </c>
      <c r="T209">
        <f>IMDIV("1",IMSUM(K209,IMDIV("1",S209)))</f>
        <v>0</v>
      </c>
      <c r="U209">
        <f>IMSUM(L209,T209)</f>
        <v>0</v>
      </c>
      <c r="V209">
        <f>IMDIV(COMPLEX(I_DM_SOURCE,0),U209)</f>
        <v>0</v>
      </c>
      <c r="W209">
        <f>IMPRODUCT(V209,T209)</f>
        <v>0</v>
      </c>
      <c r="X209">
        <f>IMDIV(W209,S209)</f>
        <v>0</v>
      </c>
      <c r="Y209">
        <f>IMPRODUCT(X209,R209)</f>
        <v>0</v>
      </c>
      <c r="Z209">
        <f>IMDIV(Y209,Q209)</f>
        <v>0</v>
      </c>
      <c r="AA209">
        <f>IMPRODUCT(Z209,P209)</f>
        <v>0</v>
      </c>
      <c r="AB209">
        <f>AA209</f>
        <v>0</v>
      </c>
      <c r="AC209">
        <f>IMPRODUCT("-1",AB209)</f>
        <v>0</v>
      </c>
      <c r="AD209">
        <f>IMDIV(IMSUB(AB209,AC209),"2")</f>
        <v>0</v>
      </c>
      <c r="AE209" s="6">
        <f>IMABS(AB209)</f>
        <v>0</v>
      </c>
      <c r="AF209" s="6">
        <f>IMABS(AC209)</f>
        <v>0</v>
      </c>
      <c r="AG209" s="6">
        <f>IMABS(AD209)</f>
        <v>0</v>
      </c>
      <c r="AH209" s="7">
        <f>20*LOG10(MAX(AE209,1E-300)*1E6)</f>
        <v>0</v>
      </c>
      <c r="AI209" s="7">
        <f>20*LOG10(MAX(AF209,1E-300)*1E6)</f>
        <v>0</v>
      </c>
      <c r="AJ209" s="7">
        <f>20*LOG10(MAX(AG209,1E-300)*1E6)</f>
        <v>0</v>
      </c>
      <c r="AK209" s="7">
        <f>DEGREES(IMARGUMENT(AB209))</f>
        <v>0</v>
      </c>
      <c r="AL209" s="7">
        <f>DEGREES(IMARGUMENT(AC209))</f>
        <v>0</v>
      </c>
      <c r="AM209" s="7">
        <f>DEGREES(IMARGUMENT(AD209))</f>
        <v>0</v>
      </c>
    </row>
    <row r="210" spans="1:39">
      <c r="A210" s="6">
        <f>10^(LOG10(F_START)+(ROW()-ROW($A$2))*(LOG10(F_STOP)-LOG10(F_START))/(N_POINTS-1))</f>
        <v>0</v>
      </c>
      <c r="B210" s="6">
        <f>2*PI()*A210</f>
        <v>0</v>
      </c>
      <c r="C210">
        <f>COMPLEX(2*LINE_PS_DCR,2*B210*LINE_PS_L)</f>
        <v>0</v>
      </c>
      <c r="D210">
        <f>IMSUM(COMPLEX(0,B210*(LINE_PS_CLINE+LINE_PS_CCHA/2)),IMDIV("1",IMPRODUCT("2",COMPLEX(C_THROUGH_ESR,B210*C_THROUGH_ESL-1/(B210*C_THROUGH_C)))))</f>
        <v>0</v>
      </c>
      <c r="E210">
        <f>COMPLEX(2*LINE_INPUT_DCR,2*B210*LINE_INPUT_L)</f>
        <v>0</v>
      </c>
      <c r="F210">
        <f>COMPLEX(0,B210*(LINE_INPUT_CLINE+LINE_INPUT_CCHA/2))</f>
        <v>0</v>
      </c>
      <c r="G210">
        <f>IMPRODUCT("2",IMDIV("1",IMSUM(IMDIV("1",COMPLEX(LDM1_DCR,B210*LDM1_L)),COMPLEX(0,B210*LDM1_CPA))))</f>
        <v>0</v>
      </c>
      <c r="H210">
        <f>IMSUM(IMDIV("1",COMPLEX(CX1_ESR,B210*CX1_ESL-1/(B210*CX1_C))),IMDIV("1",IMSUM(COMPLEX(DUMP1_R,0),COMPLEX(DUMP1_ESR,B210*DUMP1_ESL-1/(B210*DUMP1_C)))))</f>
        <v>0</v>
      </c>
      <c r="I210">
        <f>IMPRODUCT("2",IMDIV("1",IMSUM(IMDIV("1",COMPLEX(LDM2_DCR,B210*LDM2_L)),COMPLEX(0,B210*LDM2_CPA))))</f>
        <v>0</v>
      </c>
      <c r="J210">
        <f>IMSUM(IMDIV("1",COMPLEX(CX2_ESR,B210*CX2_ESL-1/(B210*CX2_C))),IMDIV("1",IMSUM(COMPLEX(DUMP2_R,0),COMPLEX(DUMP2_ESR,B210*DUMP2_ESL-1/(B210*DUMP2_C)))))</f>
        <v>0</v>
      </c>
      <c r="K210">
        <f>IMPRODUCT("2",IMDIV("1",IMSUM(IMDIV("1",COMPLEX(CMC_DCR,B210*CMC_L*(1-CMC_K))),COMPLEX(0,B210*CMC_CPA))))</f>
        <v>0</v>
      </c>
      <c r="L210">
        <f>IMSUM(COMPLEX(0,B210*CMC_CLINE),IMDIV("1",IMPRODUCT("2",COMPLEX(CY_ESR,B210*CY_ESL-1/(B210*CY_C)))),COMPLEX(1/DUMMY_R,0))</f>
        <v>0</v>
      </c>
      <c r="M210">
        <f>IMSUM(D210,IMDIV("1",C210))</f>
        <v>0</v>
      </c>
      <c r="N210">
        <f>IMDIV("1",IMSUM(E210,IMDIV("1",M210)))</f>
        <v>0</v>
      </c>
      <c r="O210">
        <f>IMSUM(F210,N210)</f>
        <v>0</v>
      </c>
      <c r="P210">
        <f>IMDIV("1",IMSUM(G210,IMDIV("1",O210)))</f>
        <v>0</v>
      </c>
      <c r="Q210">
        <f>IMSUM(H210,P210)</f>
        <v>0</v>
      </c>
      <c r="R210">
        <f>IMDIV("1",IMSUM(I210,IMDIV("1",Q210)))</f>
        <v>0</v>
      </c>
      <c r="S210">
        <f>IMSUM(J210,R210)</f>
        <v>0</v>
      </c>
      <c r="T210">
        <f>IMDIV("1",IMSUM(K210,IMDIV("1",S210)))</f>
        <v>0</v>
      </c>
      <c r="U210">
        <f>IMSUM(L210,T210)</f>
        <v>0</v>
      </c>
      <c r="V210">
        <f>IMDIV(COMPLEX(I_DM_SOURCE,0),U210)</f>
        <v>0</v>
      </c>
      <c r="W210">
        <f>IMPRODUCT(V210,T210)</f>
        <v>0</v>
      </c>
      <c r="X210">
        <f>IMDIV(W210,S210)</f>
        <v>0</v>
      </c>
      <c r="Y210">
        <f>IMPRODUCT(X210,R210)</f>
        <v>0</v>
      </c>
      <c r="Z210">
        <f>IMDIV(Y210,Q210)</f>
        <v>0</v>
      </c>
      <c r="AA210">
        <f>IMPRODUCT(Z210,P210)</f>
        <v>0</v>
      </c>
      <c r="AB210">
        <f>AA210</f>
        <v>0</v>
      </c>
      <c r="AC210">
        <f>IMPRODUCT("-1",AB210)</f>
        <v>0</v>
      </c>
      <c r="AD210">
        <f>IMDIV(IMSUB(AB210,AC210),"2")</f>
        <v>0</v>
      </c>
      <c r="AE210" s="6">
        <f>IMABS(AB210)</f>
        <v>0</v>
      </c>
      <c r="AF210" s="6">
        <f>IMABS(AC210)</f>
        <v>0</v>
      </c>
      <c r="AG210" s="6">
        <f>IMABS(AD210)</f>
        <v>0</v>
      </c>
      <c r="AH210" s="7">
        <f>20*LOG10(MAX(AE210,1E-300)*1E6)</f>
        <v>0</v>
      </c>
      <c r="AI210" s="7">
        <f>20*LOG10(MAX(AF210,1E-300)*1E6)</f>
        <v>0</v>
      </c>
      <c r="AJ210" s="7">
        <f>20*LOG10(MAX(AG210,1E-300)*1E6)</f>
        <v>0</v>
      </c>
      <c r="AK210" s="7">
        <f>DEGREES(IMARGUMENT(AB210))</f>
        <v>0</v>
      </c>
      <c r="AL210" s="7">
        <f>DEGREES(IMARGUMENT(AC210))</f>
        <v>0</v>
      </c>
      <c r="AM210" s="7">
        <f>DEGREES(IMARGUMENT(AD210))</f>
        <v>0</v>
      </c>
    </row>
    <row r="211" spans="1:39">
      <c r="A211" s="6">
        <f>10^(LOG10(F_START)+(ROW()-ROW($A$2))*(LOG10(F_STOP)-LOG10(F_START))/(N_POINTS-1))</f>
        <v>0</v>
      </c>
      <c r="B211" s="6">
        <f>2*PI()*A211</f>
        <v>0</v>
      </c>
      <c r="C211">
        <f>COMPLEX(2*LINE_PS_DCR,2*B211*LINE_PS_L)</f>
        <v>0</v>
      </c>
      <c r="D211">
        <f>IMSUM(COMPLEX(0,B211*(LINE_PS_CLINE+LINE_PS_CCHA/2)),IMDIV("1",IMPRODUCT("2",COMPLEX(C_THROUGH_ESR,B211*C_THROUGH_ESL-1/(B211*C_THROUGH_C)))))</f>
        <v>0</v>
      </c>
      <c r="E211">
        <f>COMPLEX(2*LINE_INPUT_DCR,2*B211*LINE_INPUT_L)</f>
        <v>0</v>
      </c>
      <c r="F211">
        <f>COMPLEX(0,B211*(LINE_INPUT_CLINE+LINE_INPUT_CCHA/2))</f>
        <v>0</v>
      </c>
      <c r="G211">
        <f>IMPRODUCT("2",IMDIV("1",IMSUM(IMDIV("1",COMPLEX(LDM1_DCR,B211*LDM1_L)),COMPLEX(0,B211*LDM1_CPA))))</f>
        <v>0</v>
      </c>
      <c r="H211">
        <f>IMSUM(IMDIV("1",COMPLEX(CX1_ESR,B211*CX1_ESL-1/(B211*CX1_C))),IMDIV("1",IMSUM(COMPLEX(DUMP1_R,0),COMPLEX(DUMP1_ESR,B211*DUMP1_ESL-1/(B211*DUMP1_C)))))</f>
        <v>0</v>
      </c>
      <c r="I211">
        <f>IMPRODUCT("2",IMDIV("1",IMSUM(IMDIV("1",COMPLEX(LDM2_DCR,B211*LDM2_L)),COMPLEX(0,B211*LDM2_CPA))))</f>
        <v>0</v>
      </c>
      <c r="J211">
        <f>IMSUM(IMDIV("1",COMPLEX(CX2_ESR,B211*CX2_ESL-1/(B211*CX2_C))),IMDIV("1",IMSUM(COMPLEX(DUMP2_R,0),COMPLEX(DUMP2_ESR,B211*DUMP2_ESL-1/(B211*DUMP2_C)))))</f>
        <v>0</v>
      </c>
      <c r="K211">
        <f>IMPRODUCT("2",IMDIV("1",IMSUM(IMDIV("1",COMPLEX(CMC_DCR,B211*CMC_L*(1-CMC_K))),COMPLEX(0,B211*CMC_CPA))))</f>
        <v>0</v>
      </c>
      <c r="L211">
        <f>IMSUM(COMPLEX(0,B211*CMC_CLINE),IMDIV("1",IMPRODUCT("2",COMPLEX(CY_ESR,B211*CY_ESL-1/(B211*CY_C)))),COMPLEX(1/DUMMY_R,0))</f>
        <v>0</v>
      </c>
      <c r="M211">
        <f>IMSUM(D211,IMDIV("1",C211))</f>
        <v>0</v>
      </c>
      <c r="N211">
        <f>IMDIV("1",IMSUM(E211,IMDIV("1",M211)))</f>
        <v>0</v>
      </c>
      <c r="O211">
        <f>IMSUM(F211,N211)</f>
        <v>0</v>
      </c>
      <c r="P211">
        <f>IMDIV("1",IMSUM(G211,IMDIV("1",O211)))</f>
        <v>0</v>
      </c>
      <c r="Q211">
        <f>IMSUM(H211,P211)</f>
        <v>0</v>
      </c>
      <c r="R211">
        <f>IMDIV("1",IMSUM(I211,IMDIV("1",Q211)))</f>
        <v>0</v>
      </c>
      <c r="S211">
        <f>IMSUM(J211,R211)</f>
        <v>0</v>
      </c>
      <c r="T211">
        <f>IMDIV("1",IMSUM(K211,IMDIV("1",S211)))</f>
        <v>0</v>
      </c>
      <c r="U211">
        <f>IMSUM(L211,T211)</f>
        <v>0</v>
      </c>
      <c r="V211">
        <f>IMDIV(COMPLEX(I_DM_SOURCE,0),U211)</f>
        <v>0</v>
      </c>
      <c r="W211">
        <f>IMPRODUCT(V211,T211)</f>
        <v>0</v>
      </c>
      <c r="X211">
        <f>IMDIV(W211,S211)</f>
        <v>0</v>
      </c>
      <c r="Y211">
        <f>IMPRODUCT(X211,R211)</f>
        <v>0</v>
      </c>
      <c r="Z211">
        <f>IMDIV(Y211,Q211)</f>
        <v>0</v>
      </c>
      <c r="AA211">
        <f>IMPRODUCT(Z211,P211)</f>
        <v>0</v>
      </c>
      <c r="AB211">
        <f>AA211</f>
        <v>0</v>
      </c>
      <c r="AC211">
        <f>IMPRODUCT("-1",AB211)</f>
        <v>0</v>
      </c>
      <c r="AD211">
        <f>IMDIV(IMSUB(AB211,AC211),"2")</f>
        <v>0</v>
      </c>
      <c r="AE211" s="6">
        <f>IMABS(AB211)</f>
        <v>0</v>
      </c>
      <c r="AF211" s="6">
        <f>IMABS(AC211)</f>
        <v>0</v>
      </c>
      <c r="AG211" s="6">
        <f>IMABS(AD211)</f>
        <v>0</v>
      </c>
      <c r="AH211" s="7">
        <f>20*LOG10(MAX(AE211,1E-300)*1E6)</f>
        <v>0</v>
      </c>
      <c r="AI211" s="7">
        <f>20*LOG10(MAX(AF211,1E-300)*1E6)</f>
        <v>0</v>
      </c>
      <c r="AJ211" s="7">
        <f>20*LOG10(MAX(AG211,1E-300)*1E6)</f>
        <v>0</v>
      </c>
      <c r="AK211" s="7">
        <f>DEGREES(IMARGUMENT(AB211))</f>
        <v>0</v>
      </c>
      <c r="AL211" s="7">
        <f>DEGREES(IMARGUMENT(AC211))</f>
        <v>0</v>
      </c>
      <c r="AM211" s="7">
        <f>DEGREES(IMARGUMENT(AD211))</f>
        <v>0</v>
      </c>
    </row>
    <row r="212" spans="1:39">
      <c r="A212" s="6">
        <f>10^(LOG10(F_START)+(ROW()-ROW($A$2))*(LOG10(F_STOP)-LOG10(F_START))/(N_POINTS-1))</f>
        <v>0</v>
      </c>
      <c r="B212" s="6">
        <f>2*PI()*A212</f>
        <v>0</v>
      </c>
      <c r="C212">
        <f>COMPLEX(2*LINE_PS_DCR,2*B212*LINE_PS_L)</f>
        <v>0</v>
      </c>
      <c r="D212">
        <f>IMSUM(COMPLEX(0,B212*(LINE_PS_CLINE+LINE_PS_CCHA/2)),IMDIV("1",IMPRODUCT("2",COMPLEX(C_THROUGH_ESR,B212*C_THROUGH_ESL-1/(B212*C_THROUGH_C)))))</f>
        <v>0</v>
      </c>
      <c r="E212">
        <f>COMPLEX(2*LINE_INPUT_DCR,2*B212*LINE_INPUT_L)</f>
        <v>0</v>
      </c>
      <c r="F212">
        <f>COMPLEX(0,B212*(LINE_INPUT_CLINE+LINE_INPUT_CCHA/2))</f>
        <v>0</v>
      </c>
      <c r="G212">
        <f>IMPRODUCT("2",IMDIV("1",IMSUM(IMDIV("1",COMPLEX(LDM1_DCR,B212*LDM1_L)),COMPLEX(0,B212*LDM1_CPA))))</f>
        <v>0</v>
      </c>
      <c r="H212">
        <f>IMSUM(IMDIV("1",COMPLEX(CX1_ESR,B212*CX1_ESL-1/(B212*CX1_C))),IMDIV("1",IMSUM(COMPLEX(DUMP1_R,0),COMPLEX(DUMP1_ESR,B212*DUMP1_ESL-1/(B212*DUMP1_C)))))</f>
        <v>0</v>
      </c>
      <c r="I212">
        <f>IMPRODUCT("2",IMDIV("1",IMSUM(IMDIV("1",COMPLEX(LDM2_DCR,B212*LDM2_L)),COMPLEX(0,B212*LDM2_CPA))))</f>
        <v>0</v>
      </c>
      <c r="J212">
        <f>IMSUM(IMDIV("1",COMPLEX(CX2_ESR,B212*CX2_ESL-1/(B212*CX2_C))),IMDIV("1",IMSUM(COMPLEX(DUMP2_R,0),COMPLEX(DUMP2_ESR,B212*DUMP2_ESL-1/(B212*DUMP2_C)))))</f>
        <v>0</v>
      </c>
      <c r="K212">
        <f>IMPRODUCT("2",IMDIV("1",IMSUM(IMDIV("1",COMPLEX(CMC_DCR,B212*CMC_L*(1-CMC_K))),COMPLEX(0,B212*CMC_CPA))))</f>
        <v>0</v>
      </c>
      <c r="L212">
        <f>IMSUM(COMPLEX(0,B212*CMC_CLINE),IMDIV("1",IMPRODUCT("2",COMPLEX(CY_ESR,B212*CY_ESL-1/(B212*CY_C)))),COMPLEX(1/DUMMY_R,0))</f>
        <v>0</v>
      </c>
      <c r="M212">
        <f>IMSUM(D212,IMDIV("1",C212))</f>
        <v>0</v>
      </c>
      <c r="N212">
        <f>IMDIV("1",IMSUM(E212,IMDIV("1",M212)))</f>
        <v>0</v>
      </c>
      <c r="O212">
        <f>IMSUM(F212,N212)</f>
        <v>0</v>
      </c>
      <c r="P212">
        <f>IMDIV("1",IMSUM(G212,IMDIV("1",O212)))</f>
        <v>0</v>
      </c>
      <c r="Q212">
        <f>IMSUM(H212,P212)</f>
        <v>0</v>
      </c>
      <c r="R212">
        <f>IMDIV("1",IMSUM(I212,IMDIV("1",Q212)))</f>
        <v>0</v>
      </c>
      <c r="S212">
        <f>IMSUM(J212,R212)</f>
        <v>0</v>
      </c>
      <c r="T212">
        <f>IMDIV("1",IMSUM(K212,IMDIV("1",S212)))</f>
        <v>0</v>
      </c>
      <c r="U212">
        <f>IMSUM(L212,T212)</f>
        <v>0</v>
      </c>
      <c r="V212">
        <f>IMDIV(COMPLEX(I_DM_SOURCE,0),U212)</f>
        <v>0</v>
      </c>
      <c r="W212">
        <f>IMPRODUCT(V212,T212)</f>
        <v>0</v>
      </c>
      <c r="X212">
        <f>IMDIV(W212,S212)</f>
        <v>0</v>
      </c>
      <c r="Y212">
        <f>IMPRODUCT(X212,R212)</f>
        <v>0</v>
      </c>
      <c r="Z212">
        <f>IMDIV(Y212,Q212)</f>
        <v>0</v>
      </c>
      <c r="AA212">
        <f>IMPRODUCT(Z212,P212)</f>
        <v>0</v>
      </c>
      <c r="AB212">
        <f>AA212</f>
        <v>0</v>
      </c>
      <c r="AC212">
        <f>IMPRODUCT("-1",AB212)</f>
        <v>0</v>
      </c>
      <c r="AD212">
        <f>IMDIV(IMSUB(AB212,AC212),"2")</f>
        <v>0</v>
      </c>
      <c r="AE212" s="6">
        <f>IMABS(AB212)</f>
        <v>0</v>
      </c>
      <c r="AF212" s="6">
        <f>IMABS(AC212)</f>
        <v>0</v>
      </c>
      <c r="AG212" s="6">
        <f>IMABS(AD212)</f>
        <v>0</v>
      </c>
      <c r="AH212" s="7">
        <f>20*LOG10(MAX(AE212,1E-300)*1E6)</f>
        <v>0</v>
      </c>
      <c r="AI212" s="7">
        <f>20*LOG10(MAX(AF212,1E-300)*1E6)</f>
        <v>0</v>
      </c>
      <c r="AJ212" s="7">
        <f>20*LOG10(MAX(AG212,1E-300)*1E6)</f>
        <v>0</v>
      </c>
      <c r="AK212" s="7">
        <f>DEGREES(IMARGUMENT(AB212))</f>
        <v>0</v>
      </c>
      <c r="AL212" s="7">
        <f>DEGREES(IMARGUMENT(AC212))</f>
        <v>0</v>
      </c>
      <c r="AM212" s="7">
        <f>DEGREES(IMARGUMENT(AD212))</f>
        <v>0</v>
      </c>
    </row>
    <row r="213" spans="1:39">
      <c r="A213" s="6">
        <f>10^(LOG10(F_START)+(ROW()-ROW($A$2))*(LOG10(F_STOP)-LOG10(F_START))/(N_POINTS-1))</f>
        <v>0</v>
      </c>
      <c r="B213" s="6">
        <f>2*PI()*A213</f>
        <v>0</v>
      </c>
      <c r="C213">
        <f>COMPLEX(2*LINE_PS_DCR,2*B213*LINE_PS_L)</f>
        <v>0</v>
      </c>
      <c r="D213">
        <f>IMSUM(COMPLEX(0,B213*(LINE_PS_CLINE+LINE_PS_CCHA/2)),IMDIV("1",IMPRODUCT("2",COMPLEX(C_THROUGH_ESR,B213*C_THROUGH_ESL-1/(B213*C_THROUGH_C)))))</f>
        <v>0</v>
      </c>
      <c r="E213">
        <f>COMPLEX(2*LINE_INPUT_DCR,2*B213*LINE_INPUT_L)</f>
        <v>0</v>
      </c>
      <c r="F213">
        <f>COMPLEX(0,B213*(LINE_INPUT_CLINE+LINE_INPUT_CCHA/2))</f>
        <v>0</v>
      </c>
      <c r="G213">
        <f>IMPRODUCT("2",IMDIV("1",IMSUM(IMDIV("1",COMPLEX(LDM1_DCR,B213*LDM1_L)),COMPLEX(0,B213*LDM1_CPA))))</f>
        <v>0</v>
      </c>
      <c r="H213">
        <f>IMSUM(IMDIV("1",COMPLEX(CX1_ESR,B213*CX1_ESL-1/(B213*CX1_C))),IMDIV("1",IMSUM(COMPLEX(DUMP1_R,0),COMPLEX(DUMP1_ESR,B213*DUMP1_ESL-1/(B213*DUMP1_C)))))</f>
        <v>0</v>
      </c>
      <c r="I213">
        <f>IMPRODUCT("2",IMDIV("1",IMSUM(IMDIV("1",COMPLEX(LDM2_DCR,B213*LDM2_L)),COMPLEX(0,B213*LDM2_CPA))))</f>
        <v>0</v>
      </c>
      <c r="J213">
        <f>IMSUM(IMDIV("1",COMPLEX(CX2_ESR,B213*CX2_ESL-1/(B213*CX2_C))),IMDIV("1",IMSUM(COMPLEX(DUMP2_R,0),COMPLEX(DUMP2_ESR,B213*DUMP2_ESL-1/(B213*DUMP2_C)))))</f>
        <v>0</v>
      </c>
      <c r="K213">
        <f>IMPRODUCT("2",IMDIV("1",IMSUM(IMDIV("1",COMPLEX(CMC_DCR,B213*CMC_L*(1-CMC_K))),COMPLEX(0,B213*CMC_CPA))))</f>
        <v>0</v>
      </c>
      <c r="L213">
        <f>IMSUM(COMPLEX(0,B213*CMC_CLINE),IMDIV("1",IMPRODUCT("2",COMPLEX(CY_ESR,B213*CY_ESL-1/(B213*CY_C)))),COMPLEX(1/DUMMY_R,0))</f>
        <v>0</v>
      </c>
      <c r="M213">
        <f>IMSUM(D213,IMDIV("1",C213))</f>
        <v>0</v>
      </c>
      <c r="N213">
        <f>IMDIV("1",IMSUM(E213,IMDIV("1",M213)))</f>
        <v>0</v>
      </c>
      <c r="O213">
        <f>IMSUM(F213,N213)</f>
        <v>0</v>
      </c>
      <c r="P213">
        <f>IMDIV("1",IMSUM(G213,IMDIV("1",O213)))</f>
        <v>0</v>
      </c>
      <c r="Q213">
        <f>IMSUM(H213,P213)</f>
        <v>0</v>
      </c>
      <c r="R213">
        <f>IMDIV("1",IMSUM(I213,IMDIV("1",Q213)))</f>
        <v>0</v>
      </c>
      <c r="S213">
        <f>IMSUM(J213,R213)</f>
        <v>0</v>
      </c>
      <c r="T213">
        <f>IMDIV("1",IMSUM(K213,IMDIV("1",S213)))</f>
        <v>0</v>
      </c>
      <c r="U213">
        <f>IMSUM(L213,T213)</f>
        <v>0</v>
      </c>
      <c r="V213">
        <f>IMDIV(COMPLEX(I_DM_SOURCE,0),U213)</f>
        <v>0</v>
      </c>
      <c r="W213">
        <f>IMPRODUCT(V213,T213)</f>
        <v>0</v>
      </c>
      <c r="X213">
        <f>IMDIV(W213,S213)</f>
        <v>0</v>
      </c>
      <c r="Y213">
        <f>IMPRODUCT(X213,R213)</f>
        <v>0</v>
      </c>
      <c r="Z213">
        <f>IMDIV(Y213,Q213)</f>
        <v>0</v>
      </c>
      <c r="AA213">
        <f>IMPRODUCT(Z213,P213)</f>
        <v>0</v>
      </c>
      <c r="AB213">
        <f>AA213</f>
        <v>0</v>
      </c>
      <c r="AC213">
        <f>IMPRODUCT("-1",AB213)</f>
        <v>0</v>
      </c>
      <c r="AD213">
        <f>IMDIV(IMSUB(AB213,AC213),"2")</f>
        <v>0</v>
      </c>
      <c r="AE213" s="6">
        <f>IMABS(AB213)</f>
        <v>0</v>
      </c>
      <c r="AF213" s="6">
        <f>IMABS(AC213)</f>
        <v>0</v>
      </c>
      <c r="AG213" s="6">
        <f>IMABS(AD213)</f>
        <v>0</v>
      </c>
      <c r="AH213" s="7">
        <f>20*LOG10(MAX(AE213,1E-300)*1E6)</f>
        <v>0</v>
      </c>
      <c r="AI213" s="7">
        <f>20*LOG10(MAX(AF213,1E-300)*1E6)</f>
        <v>0</v>
      </c>
      <c r="AJ213" s="7">
        <f>20*LOG10(MAX(AG213,1E-300)*1E6)</f>
        <v>0</v>
      </c>
      <c r="AK213" s="7">
        <f>DEGREES(IMARGUMENT(AB213))</f>
        <v>0</v>
      </c>
      <c r="AL213" s="7">
        <f>DEGREES(IMARGUMENT(AC213))</f>
        <v>0</v>
      </c>
      <c r="AM213" s="7">
        <f>DEGREES(IMARGUMENT(AD213))</f>
        <v>0</v>
      </c>
    </row>
    <row r="214" spans="1:39">
      <c r="A214" s="6">
        <f>10^(LOG10(F_START)+(ROW()-ROW($A$2))*(LOG10(F_STOP)-LOG10(F_START))/(N_POINTS-1))</f>
        <v>0</v>
      </c>
      <c r="B214" s="6">
        <f>2*PI()*A214</f>
        <v>0</v>
      </c>
      <c r="C214">
        <f>COMPLEX(2*LINE_PS_DCR,2*B214*LINE_PS_L)</f>
        <v>0</v>
      </c>
      <c r="D214">
        <f>IMSUM(COMPLEX(0,B214*(LINE_PS_CLINE+LINE_PS_CCHA/2)),IMDIV("1",IMPRODUCT("2",COMPLEX(C_THROUGH_ESR,B214*C_THROUGH_ESL-1/(B214*C_THROUGH_C)))))</f>
        <v>0</v>
      </c>
      <c r="E214">
        <f>COMPLEX(2*LINE_INPUT_DCR,2*B214*LINE_INPUT_L)</f>
        <v>0</v>
      </c>
      <c r="F214">
        <f>COMPLEX(0,B214*(LINE_INPUT_CLINE+LINE_INPUT_CCHA/2))</f>
        <v>0</v>
      </c>
      <c r="G214">
        <f>IMPRODUCT("2",IMDIV("1",IMSUM(IMDIV("1",COMPLEX(LDM1_DCR,B214*LDM1_L)),COMPLEX(0,B214*LDM1_CPA))))</f>
        <v>0</v>
      </c>
      <c r="H214">
        <f>IMSUM(IMDIV("1",COMPLEX(CX1_ESR,B214*CX1_ESL-1/(B214*CX1_C))),IMDIV("1",IMSUM(COMPLEX(DUMP1_R,0),COMPLEX(DUMP1_ESR,B214*DUMP1_ESL-1/(B214*DUMP1_C)))))</f>
        <v>0</v>
      </c>
      <c r="I214">
        <f>IMPRODUCT("2",IMDIV("1",IMSUM(IMDIV("1",COMPLEX(LDM2_DCR,B214*LDM2_L)),COMPLEX(0,B214*LDM2_CPA))))</f>
        <v>0</v>
      </c>
      <c r="J214">
        <f>IMSUM(IMDIV("1",COMPLEX(CX2_ESR,B214*CX2_ESL-1/(B214*CX2_C))),IMDIV("1",IMSUM(COMPLEX(DUMP2_R,0),COMPLEX(DUMP2_ESR,B214*DUMP2_ESL-1/(B214*DUMP2_C)))))</f>
        <v>0</v>
      </c>
      <c r="K214">
        <f>IMPRODUCT("2",IMDIV("1",IMSUM(IMDIV("1",COMPLEX(CMC_DCR,B214*CMC_L*(1-CMC_K))),COMPLEX(0,B214*CMC_CPA))))</f>
        <v>0</v>
      </c>
      <c r="L214">
        <f>IMSUM(COMPLEX(0,B214*CMC_CLINE),IMDIV("1",IMPRODUCT("2",COMPLEX(CY_ESR,B214*CY_ESL-1/(B214*CY_C)))),COMPLEX(1/DUMMY_R,0))</f>
        <v>0</v>
      </c>
      <c r="M214">
        <f>IMSUM(D214,IMDIV("1",C214))</f>
        <v>0</v>
      </c>
      <c r="N214">
        <f>IMDIV("1",IMSUM(E214,IMDIV("1",M214)))</f>
        <v>0</v>
      </c>
      <c r="O214">
        <f>IMSUM(F214,N214)</f>
        <v>0</v>
      </c>
      <c r="P214">
        <f>IMDIV("1",IMSUM(G214,IMDIV("1",O214)))</f>
        <v>0</v>
      </c>
      <c r="Q214">
        <f>IMSUM(H214,P214)</f>
        <v>0</v>
      </c>
      <c r="R214">
        <f>IMDIV("1",IMSUM(I214,IMDIV("1",Q214)))</f>
        <v>0</v>
      </c>
      <c r="S214">
        <f>IMSUM(J214,R214)</f>
        <v>0</v>
      </c>
      <c r="T214">
        <f>IMDIV("1",IMSUM(K214,IMDIV("1",S214)))</f>
        <v>0</v>
      </c>
      <c r="U214">
        <f>IMSUM(L214,T214)</f>
        <v>0</v>
      </c>
      <c r="V214">
        <f>IMDIV(COMPLEX(I_DM_SOURCE,0),U214)</f>
        <v>0</v>
      </c>
      <c r="W214">
        <f>IMPRODUCT(V214,T214)</f>
        <v>0</v>
      </c>
      <c r="X214">
        <f>IMDIV(W214,S214)</f>
        <v>0</v>
      </c>
      <c r="Y214">
        <f>IMPRODUCT(X214,R214)</f>
        <v>0</v>
      </c>
      <c r="Z214">
        <f>IMDIV(Y214,Q214)</f>
        <v>0</v>
      </c>
      <c r="AA214">
        <f>IMPRODUCT(Z214,P214)</f>
        <v>0</v>
      </c>
      <c r="AB214">
        <f>AA214</f>
        <v>0</v>
      </c>
      <c r="AC214">
        <f>IMPRODUCT("-1",AB214)</f>
        <v>0</v>
      </c>
      <c r="AD214">
        <f>IMDIV(IMSUB(AB214,AC214),"2")</f>
        <v>0</v>
      </c>
      <c r="AE214" s="6">
        <f>IMABS(AB214)</f>
        <v>0</v>
      </c>
      <c r="AF214" s="6">
        <f>IMABS(AC214)</f>
        <v>0</v>
      </c>
      <c r="AG214" s="6">
        <f>IMABS(AD214)</f>
        <v>0</v>
      </c>
      <c r="AH214" s="7">
        <f>20*LOG10(MAX(AE214,1E-300)*1E6)</f>
        <v>0</v>
      </c>
      <c r="AI214" s="7">
        <f>20*LOG10(MAX(AF214,1E-300)*1E6)</f>
        <v>0</v>
      </c>
      <c r="AJ214" s="7">
        <f>20*LOG10(MAX(AG214,1E-300)*1E6)</f>
        <v>0</v>
      </c>
      <c r="AK214" s="7">
        <f>DEGREES(IMARGUMENT(AB214))</f>
        <v>0</v>
      </c>
      <c r="AL214" s="7">
        <f>DEGREES(IMARGUMENT(AC214))</f>
        <v>0</v>
      </c>
      <c r="AM214" s="7">
        <f>DEGREES(IMARGUMENT(AD214))</f>
        <v>0</v>
      </c>
    </row>
    <row r="215" spans="1:39">
      <c r="A215" s="6">
        <f>10^(LOG10(F_START)+(ROW()-ROW($A$2))*(LOG10(F_STOP)-LOG10(F_START))/(N_POINTS-1))</f>
        <v>0</v>
      </c>
      <c r="B215" s="6">
        <f>2*PI()*A215</f>
        <v>0</v>
      </c>
      <c r="C215">
        <f>COMPLEX(2*LINE_PS_DCR,2*B215*LINE_PS_L)</f>
        <v>0</v>
      </c>
      <c r="D215">
        <f>IMSUM(COMPLEX(0,B215*(LINE_PS_CLINE+LINE_PS_CCHA/2)),IMDIV("1",IMPRODUCT("2",COMPLEX(C_THROUGH_ESR,B215*C_THROUGH_ESL-1/(B215*C_THROUGH_C)))))</f>
        <v>0</v>
      </c>
      <c r="E215">
        <f>COMPLEX(2*LINE_INPUT_DCR,2*B215*LINE_INPUT_L)</f>
        <v>0</v>
      </c>
      <c r="F215">
        <f>COMPLEX(0,B215*(LINE_INPUT_CLINE+LINE_INPUT_CCHA/2))</f>
        <v>0</v>
      </c>
      <c r="G215">
        <f>IMPRODUCT("2",IMDIV("1",IMSUM(IMDIV("1",COMPLEX(LDM1_DCR,B215*LDM1_L)),COMPLEX(0,B215*LDM1_CPA))))</f>
        <v>0</v>
      </c>
      <c r="H215">
        <f>IMSUM(IMDIV("1",COMPLEX(CX1_ESR,B215*CX1_ESL-1/(B215*CX1_C))),IMDIV("1",IMSUM(COMPLEX(DUMP1_R,0),COMPLEX(DUMP1_ESR,B215*DUMP1_ESL-1/(B215*DUMP1_C)))))</f>
        <v>0</v>
      </c>
      <c r="I215">
        <f>IMPRODUCT("2",IMDIV("1",IMSUM(IMDIV("1",COMPLEX(LDM2_DCR,B215*LDM2_L)),COMPLEX(0,B215*LDM2_CPA))))</f>
        <v>0</v>
      </c>
      <c r="J215">
        <f>IMSUM(IMDIV("1",COMPLEX(CX2_ESR,B215*CX2_ESL-1/(B215*CX2_C))),IMDIV("1",IMSUM(COMPLEX(DUMP2_R,0),COMPLEX(DUMP2_ESR,B215*DUMP2_ESL-1/(B215*DUMP2_C)))))</f>
        <v>0</v>
      </c>
      <c r="K215">
        <f>IMPRODUCT("2",IMDIV("1",IMSUM(IMDIV("1",COMPLEX(CMC_DCR,B215*CMC_L*(1-CMC_K))),COMPLEX(0,B215*CMC_CPA))))</f>
        <v>0</v>
      </c>
      <c r="L215">
        <f>IMSUM(COMPLEX(0,B215*CMC_CLINE),IMDIV("1",IMPRODUCT("2",COMPLEX(CY_ESR,B215*CY_ESL-1/(B215*CY_C)))),COMPLEX(1/DUMMY_R,0))</f>
        <v>0</v>
      </c>
      <c r="M215">
        <f>IMSUM(D215,IMDIV("1",C215))</f>
        <v>0</v>
      </c>
      <c r="N215">
        <f>IMDIV("1",IMSUM(E215,IMDIV("1",M215)))</f>
        <v>0</v>
      </c>
      <c r="O215">
        <f>IMSUM(F215,N215)</f>
        <v>0</v>
      </c>
      <c r="P215">
        <f>IMDIV("1",IMSUM(G215,IMDIV("1",O215)))</f>
        <v>0</v>
      </c>
      <c r="Q215">
        <f>IMSUM(H215,P215)</f>
        <v>0</v>
      </c>
      <c r="R215">
        <f>IMDIV("1",IMSUM(I215,IMDIV("1",Q215)))</f>
        <v>0</v>
      </c>
      <c r="S215">
        <f>IMSUM(J215,R215)</f>
        <v>0</v>
      </c>
      <c r="T215">
        <f>IMDIV("1",IMSUM(K215,IMDIV("1",S215)))</f>
        <v>0</v>
      </c>
      <c r="U215">
        <f>IMSUM(L215,T215)</f>
        <v>0</v>
      </c>
      <c r="V215">
        <f>IMDIV(COMPLEX(I_DM_SOURCE,0),U215)</f>
        <v>0</v>
      </c>
      <c r="W215">
        <f>IMPRODUCT(V215,T215)</f>
        <v>0</v>
      </c>
      <c r="X215">
        <f>IMDIV(W215,S215)</f>
        <v>0</v>
      </c>
      <c r="Y215">
        <f>IMPRODUCT(X215,R215)</f>
        <v>0</v>
      </c>
      <c r="Z215">
        <f>IMDIV(Y215,Q215)</f>
        <v>0</v>
      </c>
      <c r="AA215">
        <f>IMPRODUCT(Z215,P215)</f>
        <v>0</v>
      </c>
      <c r="AB215">
        <f>AA215</f>
        <v>0</v>
      </c>
      <c r="AC215">
        <f>IMPRODUCT("-1",AB215)</f>
        <v>0</v>
      </c>
      <c r="AD215">
        <f>IMDIV(IMSUB(AB215,AC215),"2")</f>
        <v>0</v>
      </c>
      <c r="AE215" s="6">
        <f>IMABS(AB215)</f>
        <v>0</v>
      </c>
      <c r="AF215" s="6">
        <f>IMABS(AC215)</f>
        <v>0</v>
      </c>
      <c r="AG215" s="6">
        <f>IMABS(AD215)</f>
        <v>0</v>
      </c>
      <c r="AH215" s="7">
        <f>20*LOG10(MAX(AE215,1E-300)*1E6)</f>
        <v>0</v>
      </c>
      <c r="AI215" s="7">
        <f>20*LOG10(MAX(AF215,1E-300)*1E6)</f>
        <v>0</v>
      </c>
      <c r="AJ215" s="7">
        <f>20*LOG10(MAX(AG215,1E-300)*1E6)</f>
        <v>0</v>
      </c>
      <c r="AK215" s="7">
        <f>DEGREES(IMARGUMENT(AB215))</f>
        <v>0</v>
      </c>
      <c r="AL215" s="7">
        <f>DEGREES(IMARGUMENT(AC215))</f>
        <v>0</v>
      </c>
      <c r="AM215" s="7">
        <f>DEGREES(IMARGUMENT(AD215))</f>
        <v>0</v>
      </c>
    </row>
    <row r="216" spans="1:39">
      <c r="A216" s="6">
        <f>10^(LOG10(F_START)+(ROW()-ROW($A$2))*(LOG10(F_STOP)-LOG10(F_START))/(N_POINTS-1))</f>
        <v>0</v>
      </c>
      <c r="B216" s="6">
        <f>2*PI()*A216</f>
        <v>0</v>
      </c>
      <c r="C216">
        <f>COMPLEX(2*LINE_PS_DCR,2*B216*LINE_PS_L)</f>
        <v>0</v>
      </c>
      <c r="D216">
        <f>IMSUM(COMPLEX(0,B216*(LINE_PS_CLINE+LINE_PS_CCHA/2)),IMDIV("1",IMPRODUCT("2",COMPLEX(C_THROUGH_ESR,B216*C_THROUGH_ESL-1/(B216*C_THROUGH_C)))))</f>
        <v>0</v>
      </c>
      <c r="E216">
        <f>COMPLEX(2*LINE_INPUT_DCR,2*B216*LINE_INPUT_L)</f>
        <v>0</v>
      </c>
      <c r="F216">
        <f>COMPLEX(0,B216*(LINE_INPUT_CLINE+LINE_INPUT_CCHA/2))</f>
        <v>0</v>
      </c>
      <c r="G216">
        <f>IMPRODUCT("2",IMDIV("1",IMSUM(IMDIV("1",COMPLEX(LDM1_DCR,B216*LDM1_L)),COMPLEX(0,B216*LDM1_CPA))))</f>
        <v>0</v>
      </c>
      <c r="H216">
        <f>IMSUM(IMDIV("1",COMPLEX(CX1_ESR,B216*CX1_ESL-1/(B216*CX1_C))),IMDIV("1",IMSUM(COMPLEX(DUMP1_R,0),COMPLEX(DUMP1_ESR,B216*DUMP1_ESL-1/(B216*DUMP1_C)))))</f>
        <v>0</v>
      </c>
      <c r="I216">
        <f>IMPRODUCT("2",IMDIV("1",IMSUM(IMDIV("1",COMPLEX(LDM2_DCR,B216*LDM2_L)),COMPLEX(0,B216*LDM2_CPA))))</f>
        <v>0</v>
      </c>
      <c r="J216">
        <f>IMSUM(IMDIV("1",COMPLEX(CX2_ESR,B216*CX2_ESL-1/(B216*CX2_C))),IMDIV("1",IMSUM(COMPLEX(DUMP2_R,0),COMPLEX(DUMP2_ESR,B216*DUMP2_ESL-1/(B216*DUMP2_C)))))</f>
        <v>0</v>
      </c>
      <c r="K216">
        <f>IMPRODUCT("2",IMDIV("1",IMSUM(IMDIV("1",COMPLEX(CMC_DCR,B216*CMC_L*(1-CMC_K))),COMPLEX(0,B216*CMC_CPA))))</f>
        <v>0</v>
      </c>
      <c r="L216">
        <f>IMSUM(COMPLEX(0,B216*CMC_CLINE),IMDIV("1",IMPRODUCT("2",COMPLEX(CY_ESR,B216*CY_ESL-1/(B216*CY_C)))),COMPLEX(1/DUMMY_R,0))</f>
        <v>0</v>
      </c>
      <c r="M216">
        <f>IMSUM(D216,IMDIV("1",C216))</f>
        <v>0</v>
      </c>
      <c r="N216">
        <f>IMDIV("1",IMSUM(E216,IMDIV("1",M216)))</f>
        <v>0</v>
      </c>
      <c r="O216">
        <f>IMSUM(F216,N216)</f>
        <v>0</v>
      </c>
      <c r="P216">
        <f>IMDIV("1",IMSUM(G216,IMDIV("1",O216)))</f>
        <v>0</v>
      </c>
      <c r="Q216">
        <f>IMSUM(H216,P216)</f>
        <v>0</v>
      </c>
      <c r="R216">
        <f>IMDIV("1",IMSUM(I216,IMDIV("1",Q216)))</f>
        <v>0</v>
      </c>
      <c r="S216">
        <f>IMSUM(J216,R216)</f>
        <v>0</v>
      </c>
      <c r="T216">
        <f>IMDIV("1",IMSUM(K216,IMDIV("1",S216)))</f>
        <v>0</v>
      </c>
      <c r="U216">
        <f>IMSUM(L216,T216)</f>
        <v>0</v>
      </c>
      <c r="V216">
        <f>IMDIV(COMPLEX(I_DM_SOURCE,0),U216)</f>
        <v>0</v>
      </c>
      <c r="W216">
        <f>IMPRODUCT(V216,T216)</f>
        <v>0</v>
      </c>
      <c r="X216">
        <f>IMDIV(W216,S216)</f>
        <v>0</v>
      </c>
      <c r="Y216">
        <f>IMPRODUCT(X216,R216)</f>
        <v>0</v>
      </c>
      <c r="Z216">
        <f>IMDIV(Y216,Q216)</f>
        <v>0</v>
      </c>
      <c r="AA216">
        <f>IMPRODUCT(Z216,P216)</f>
        <v>0</v>
      </c>
      <c r="AB216">
        <f>AA216</f>
        <v>0</v>
      </c>
      <c r="AC216">
        <f>IMPRODUCT("-1",AB216)</f>
        <v>0</v>
      </c>
      <c r="AD216">
        <f>IMDIV(IMSUB(AB216,AC216),"2")</f>
        <v>0</v>
      </c>
      <c r="AE216" s="6">
        <f>IMABS(AB216)</f>
        <v>0</v>
      </c>
      <c r="AF216" s="6">
        <f>IMABS(AC216)</f>
        <v>0</v>
      </c>
      <c r="AG216" s="6">
        <f>IMABS(AD216)</f>
        <v>0</v>
      </c>
      <c r="AH216" s="7">
        <f>20*LOG10(MAX(AE216,1E-300)*1E6)</f>
        <v>0</v>
      </c>
      <c r="AI216" s="7">
        <f>20*LOG10(MAX(AF216,1E-300)*1E6)</f>
        <v>0</v>
      </c>
      <c r="AJ216" s="7">
        <f>20*LOG10(MAX(AG216,1E-300)*1E6)</f>
        <v>0</v>
      </c>
      <c r="AK216" s="7">
        <f>DEGREES(IMARGUMENT(AB216))</f>
        <v>0</v>
      </c>
      <c r="AL216" s="7">
        <f>DEGREES(IMARGUMENT(AC216))</f>
        <v>0</v>
      </c>
      <c r="AM216" s="7">
        <f>DEGREES(IMARGUMENT(AD216))</f>
        <v>0</v>
      </c>
    </row>
    <row r="217" spans="1:39">
      <c r="A217" s="6">
        <f>10^(LOG10(F_START)+(ROW()-ROW($A$2))*(LOG10(F_STOP)-LOG10(F_START))/(N_POINTS-1))</f>
        <v>0</v>
      </c>
      <c r="B217" s="6">
        <f>2*PI()*A217</f>
        <v>0</v>
      </c>
      <c r="C217">
        <f>COMPLEX(2*LINE_PS_DCR,2*B217*LINE_PS_L)</f>
        <v>0</v>
      </c>
      <c r="D217">
        <f>IMSUM(COMPLEX(0,B217*(LINE_PS_CLINE+LINE_PS_CCHA/2)),IMDIV("1",IMPRODUCT("2",COMPLEX(C_THROUGH_ESR,B217*C_THROUGH_ESL-1/(B217*C_THROUGH_C)))))</f>
        <v>0</v>
      </c>
      <c r="E217">
        <f>COMPLEX(2*LINE_INPUT_DCR,2*B217*LINE_INPUT_L)</f>
        <v>0</v>
      </c>
      <c r="F217">
        <f>COMPLEX(0,B217*(LINE_INPUT_CLINE+LINE_INPUT_CCHA/2))</f>
        <v>0</v>
      </c>
      <c r="G217">
        <f>IMPRODUCT("2",IMDIV("1",IMSUM(IMDIV("1",COMPLEX(LDM1_DCR,B217*LDM1_L)),COMPLEX(0,B217*LDM1_CPA))))</f>
        <v>0</v>
      </c>
      <c r="H217">
        <f>IMSUM(IMDIV("1",COMPLEX(CX1_ESR,B217*CX1_ESL-1/(B217*CX1_C))),IMDIV("1",IMSUM(COMPLEX(DUMP1_R,0),COMPLEX(DUMP1_ESR,B217*DUMP1_ESL-1/(B217*DUMP1_C)))))</f>
        <v>0</v>
      </c>
      <c r="I217">
        <f>IMPRODUCT("2",IMDIV("1",IMSUM(IMDIV("1",COMPLEX(LDM2_DCR,B217*LDM2_L)),COMPLEX(0,B217*LDM2_CPA))))</f>
        <v>0</v>
      </c>
      <c r="J217">
        <f>IMSUM(IMDIV("1",COMPLEX(CX2_ESR,B217*CX2_ESL-1/(B217*CX2_C))),IMDIV("1",IMSUM(COMPLEX(DUMP2_R,0),COMPLEX(DUMP2_ESR,B217*DUMP2_ESL-1/(B217*DUMP2_C)))))</f>
        <v>0</v>
      </c>
      <c r="K217">
        <f>IMPRODUCT("2",IMDIV("1",IMSUM(IMDIV("1",COMPLEX(CMC_DCR,B217*CMC_L*(1-CMC_K))),COMPLEX(0,B217*CMC_CPA))))</f>
        <v>0</v>
      </c>
      <c r="L217">
        <f>IMSUM(COMPLEX(0,B217*CMC_CLINE),IMDIV("1",IMPRODUCT("2",COMPLEX(CY_ESR,B217*CY_ESL-1/(B217*CY_C)))),COMPLEX(1/DUMMY_R,0))</f>
        <v>0</v>
      </c>
      <c r="M217">
        <f>IMSUM(D217,IMDIV("1",C217))</f>
        <v>0</v>
      </c>
      <c r="N217">
        <f>IMDIV("1",IMSUM(E217,IMDIV("1",M217)))</f>
        <v>0</v>
      </c>
      <c r="O217">
        <f>IMSUM(F217,N217)</f>
        <v>0</v>
      </c>
      <c r="P217">
        <f>IMDIV("1",IMSUM(G217,IMDIV("1",O217)))</f>
        <v>0</v>
      </c>
      <c r="Q217">
        <f>IMSUM(H217,P217)</f>
        <v>0</v>
      </c>
      <c r="R217">
        <f>IMDIV("1",IMSUM(I217,IMDIV("1",Q217)))</f>
        <v>0</v>
      </c>
      <c r="S217">
        <f>IMSUM(J217,R217)</f>
        <v>0</v>
      </c>
      <c r="T217">
        <f>IMDIV("1",IMSUM(K217,IMDIV("1",S217)))</f>
        <v>0</v>
      </c>
      <c r="U217">
        <f>IMSUM(L217,T217)</f>
        <v>0</v>
      </c>
      <c r="V217">
        <f>IMDIV(COMPLEX(I_DM_SOURCE,0),U217)</f>
        <v>0</v>
      </c>
      <c r="W217">
        <f>IMPRODUCT(V217,T217)</f>
        <v>0</v>
      </c>
      <c r="X217">
        <f>IMDIV(W217,S217)</f>
        <v>0</v>
      </c>
      <c r="Y217">
        <f>IMPRODUCT(X217,R217)</f>
        <v>0</v>
      </c>
      <c r="Z217">
        <f>IMDIV(Y217,Q217)</f>
        <v>0</v>
      </c>
      <c r="AA217">
        <f>IMPRODUCT(Z217,P217)</f>
        <v>0</v>
      </c>
      <c r="AB217">
        <f>AA217</f>
        <v>0</v>
      </c>
      <c r="AC217">
        <f>IMPRODUCT("-1",AB217)</f>
        <v>0</v>
      </c>
      <c r="AD217">
        <f>IMDIV(IMSUB(AB217,AC217),"2")</f>
        <v>0</v>
      </c>
      <c r="AE217" s="6">
        <f>IMABS(AB217)</f>
        <v>0</v>
      </c>
      <c r="AF217" s="6">
        <f>IMABS(AC217)</f>
        <v>0</v>
      </c>
      <c r="AG217" s="6">
        <f>IMABS(AD217)</f>
        <v>0</v>
      </c>
      <c r="AH217" s="7">
        <f>20*LOG10(MAX(AE217,1E-300)*1E6)</f>
        <v>0</v>
      </c>
      <c r="AI217" s="7">
        <f>20*LOG10(MAX(AF217,1E-300)*1E6)</f>
        <v>0</v>
      </c>
      <c r="AJ217" s="7">
        <f>20*LOG10(MAX(AG217,1E-300)*1E6)</f>
        <v>0</v>
      </c>
      <c r="AK217" s="7">
        <f>DEGREES(IMARGUMENT(AB217))</f>
        <v>0</v>
      </c>
      <c r="AL217" s="7">
        <f>DEGREES(IMARGUMENT(AC217))</f>
        <v>0</v>
      </c>
      <c r="AM217" s="7">
        <f>DEGREES(IMARGUMENT(AD217))</f>
        <v>0</v>
      </c>
    </row>
    <row r="218" spans="1:39">
      <c r="A218" s="6">
        <f>10^(LOG10(F_START)+(ROW()-ROW($A$2))*(LOG10(F_STOP)-LOG10(F_START))/(N_POINTS-1))</f>
        <v>0</v>
      </c>
      <c r="B218" s="6">
        <f>2*PI()*A218</f>
        <v>0</v>
      </c>
      <c r="C218">
        <f>COMPLEX(2*LINE_PS_DCR,2*B218*LINE_PS_L)</f>
        <v>0</v>
      </c>
      <c r="D218">
        <f>IMSUM(COMPLEX(0,B218*(LINE_PS_CLINE+LINE_PS_CCHA/2)),IMDIV("1",IMPRODUCT("2",COMPLEX(C_THROUGH_ESR,B218*C_THROUGH_ESL-1/(B218*C_THROUGH_C)))))</f>
        <v>0</v>
      </c>
      <c r="E218">
        <f>COMPLEX(2*LINE_INPUT_DCR,2*B218*LINE_INPUT_L)</f>
        <v>0</v>
      </c>
      <c r="F218">
        <f>COMPLEX(0,B218*(LINE_INPUT_CLINE+LINE_INPUT_CCHA/2))</f>
        <v>0</v>
      </c>
      <c r="G218">
        <f>IMPRODUCT("2",IMDIV("1",IMSUM(IMDIV("1",COMPLEX(LDM1_DCR,B218*LDM1_L)),COMPLEX(0,B218*LDM1_CPA))))</f>
        <v>0</v>
      </c>
      <c r="H218">
        <f>IMSUM(IMDIV("1",COMPLEX(CX1_ESR,B218*CX1_ESL-1/(B218*CX1_C))),IMDIV("1",IMSUM(COMPLEX(DUMP1_R,0),COMPLEX(DUMP1_ESR,B218*DUMP1_ESL-1/(B218*DUMP1_C)))))</f>
        <v>0</v>
      </c>
      <c r="I218">
        <f>IMPRODUCT("2",IMDIV("1",IMSUM(IMDIV("1",COMPLEX(LDM2_DCR,B218*LDM2_L)),COMPLEX(0,B218*LDM2_CPA))))</f>
        <v>0</v>
      </c>
      <c r="J218">
        <f>IMSUM(IMDIV("1",COMPLEX(CX2_ESR,B218*CX2_ESL-1/(B218*CX2_C))),IMDIV("1",IMSUM(COMPLEX(DUMP2_R,0),COMPLEX(DUMP2_ESR,B218*DUMP2_ESL-1/(B218*DUMP2_C)))))</f>
        <v>0</v>
      </c>
      <c r="K218">
        <f>IMPRODUCT("2",IMDIV("1",IMSUM(IMDIV("1",COMPLEX(CMC_DCR,B218*CMC_L*(1-CMC_K))),COMPLEX(0,B218*CMC_CPA))))</f>
        <v>0</v>
      </c>
      <c r="L218">
        <f>IMSUM(COMPLEX(0,B218*CMC_CLINE),IMDIV("1",IMPRODUCT("2",COMPLEX(CY_ESR,B218*CY_ESL-1/(B218*CY_C)))),COMPLEX(1/DUMMY_R,0))</f>
        <v>0</v>
      </c>
      <c r="M218">
        <f>IMSUM(D218,IMDIV("1",C218))</f>
        <v>0</v>
      </c>
      <c r="N218">
        <f>IMDIV("1",IMSUM(E218,IMDIV("1",M218)))</f>
        <v>0</v>
      </c>
      <c r="O218">
        <f>IMSUM(F218,N218)</f>
        <v>0</v>
      </c>
      <c r="P218">
        <f>IMDIV("1",IMSUM(G218,IMDIV("1",O218)))</f>
        <v>0</v>
      </c>
      <c r="Q218">
        <f>IMSUM(H218,P218)</f>
        <v>0</v>
      </c>
      <c r="R218">
        <f>IMDIV("1",IMSUM(I218,IMDIV("1",Q218)))</f>
        <v>0</v>
      </c>
      <c r="S218">
        <f>IMSUM(J218,R218)</f>
        <v>0</v>
      </c>
      <c r="T218">
        <f>IMDIV("1",IMSUM(K218,IMDIV("1",S218)))</f>
        <v>0</v>
      </c>
      <c r="U218">
        <f>IMSUM(L218,T218)</f>
        <v>0</v>
      </c>
      <c r="V218">
        <f>IMDIV(COMPLEX(I_DM_SOURCE,0),U218)</f>
        <v>0</v>
      </c>
      <c r="W218">
        <f>IMPRODUCT(V218,T218)</f>
        <v>0</v>
      </c>
      <c r="X218">
        <f>IMDIV(W218,S218)</f>
        <v>0</v>
      </c>
      <c r="Y218">
        <f>IMPRODUCT(X218,R218)</f>
        <v>0</v>
      </c>
      <c r="Z218">
        <f>IMDIV(Y218,Q218)</f>
        <v>0</v>
      </c>
      <c r="AA218">
        <f>IMPRODUCT(Z218,P218)</f>
        <v>0</v>
      </c>
      <c r="AB218">
        <f>AA218</f>
        <v>0</v>
      </c>
      <c r="AC218">
        <f>IMPRODUCT("-1",AB218)</f>
        <v>0</v>
      </c>
      <c r="AD218">
        <f>IMDIV(IMSUB(AB218,AC218),"2")</f>
        <v>0</v>
      </c>
      <c r="AE218" s="6">
        <f>IMABS(AB218)</f>
        <v>0</v>
      </c>
      <c r="AF218" s="6">
        <f>IMABS(AC218)</f>
        <v>0</v>
      </c>
      <c r="AG218" s="6">
        <f>IMABS(AD218)</f>
        <v>0</v>
      </c>
      <c r="AH218" s="7">
        <f>20*LOG10(MAX(AE218,1E-300)*1E6)</f>
        <v>0</v>
      </c>
      <c r="AI218" s="7">
        <f>20*LOG10(MAX(AF218,1E-300)*1E6)</f>
        <v>0</v>
      </c>
      <c r="AJ218" s="7">
        <f>20*LOG10(MAX(AG218,1E-300)*1E6)</f>
        <v>0</v>
      </c>
      <c r="AK218" s="7">
        <f>DEGREES(IMARGUMENT(AB218))</f>
        <v>0</v>
      </c>
      <c r="AL218" s="7">
        <f>DEGREES(IMARGUMENT(AC218))</f>
        <v>0</v>
      </c>
      <c r="AM218" s="7">
        <f>DEGREES(IMARGUMENT(AD218))</f>
        <v>0</v>
      </c>
    </row>
    <row r="219" spans="1:39">
      <c r="A219" s="6">
        <f>10^(LOG10(F_START)+(ROW()-ROW($A$2))*(LOG10(F_STOP)-LOG10(F_START))/(N_POINTS-1))</f>
        <v>0</v>
      </c>
      <c r="B219" s="6">
        <f>2*PI()*A219</f>
        <v>0</v>
      </c>
      <c r="C219">
        <f>COMPLEX(2*LINE_PS_DCR,2*B219*LINE_PS_L)</f>
        <v>0</v>
      </c>
      <c r="D219">
        <f>IMSUM(COMPLEX(0,B219*(LINE_PS_CLINE+LINE_PS_CCHA/2)),IMDIV("1",IMPRODUCT("2",COMPLEX(C_THROUGH_ESR,B219*C_THROUGH_ESL-1/(B219*C_THROUGH_C)))))</f>
        <v>0</v>
      </c>
      <c r="E219">
        <f>COMPLEX(2*LINE_INPUT_DCR,2*B219*LINE_INPUT_L)</f>
        <v>0</v>
      </c>
      <c r="F219">
        <f>COMPLEX(0,B219*(LINE_INPUT_CLINE+LINE_INPUT_CCHA/2))</f>
        <v>0</v>
      </c>
      <c r="G219">
        <f>IMPRODUCT("2",IMDIV("1",IMSUM(IMDIV("1",COMPLEX(LDM1_DCR,B219*LDM1_L)),COMPLEX(0,B219*LDM1_CPA))))</f>
        <v>0</v>
      </c>
      <c r="H219">
        <f>IMSUM(IMDIV("1",COMPLEX(CX1_ESR,B219*CX1_ESL-1/(B219*CX1_C))),IMDIV("1",IMSUM(COMPLEX(DUMP1_R,0),COMPLEX(DUMP1_ESR,B219*DUMP1_ESL-1/(B219*DUMP1_C)))))</f>
        <v>0</v>
      </c>
      <c r="I219">
        <f>IMPRODUCT("2",IMDIV("1",IMSUM(IMDIV("1",COMPLEX(LDM2_DCR,B219*LDM2_L)),COMPLEX(0,B219*LDM2_CPA))))</f>
        <v>0</v>
      </c>
      <c r="J219">
        <f>IMSUM(IMDIV("1",COMPLEX(CX2_ESR,B219*CX2_ESL-1/(B219*CX2_C))),IMDIV("1",IMSUM(COMPLEX(DUMP2_R,0),COMPLEX(DUMP2_ESR,B219*DUMP2_ESL-1/(B219*DUMP2_C)))))</f>
        <v>0</v>
      </c>
      <c r="K219">
        <f>IMPRODUCT("2",IMDIV("1",IMSUM(IMDIV("1",COMPLEX(CMC_DCR,B219*CMC_L*(1-CMC_K))),COMPLEX(0,B219*CMC_CPA))))</f>
        <v>0</v>
      </c>
      <c r="L219">
        <f>IMSUM(COMPLEX(0,B219*CMC_CLINE),IMDIV("1",IMPRODUCT("2",COMPLEX(CY_ESR,B219*CY_ESL-1/(B219*CY_C)))),COMPLEX(1/DUMMY_R,0))</f>
        <v>0</v>
      </c>
      <c r="M219">
        <f>IMSUM(D219,IMDIV("1",C219))</f>
        <v>0</v>
      </c>
      <c r="N219">
        <f>IMDIV("1",IMSUM(E219,IMDIV("1",M219)))</f>
        <v>0</v>
      </c>
      <c r="O219">
        <f>IMSUM(F219,N219)</f>
        <v>0</v>
      </c>
      <c r="P219">
        <f>IMDIV("1",IMSUM(G219,IMDIV("1",O219)))</f>
        <v>0</v>
      </c>
      <c r="Q219">
        <f>IMSUM(H219,P219)</f>
        <v>0</v>
      </c>
      <c r="R219">
        <f>IMDIV("1",IMSUM(I219,IMDIV("1",Q219)))</f>
        <v>0</v>
      </c>
      <c r="S219">
        <f>IMSUM(J219,R219)</f>
        <v>0</v>
      </c>
      <c r="T219">
        <f>IMDIV("1",IMSUM(K219,IMDIV("1",S219)))</f>
        <v>0</v>
      </c>
      <c r="U219">
        <f>IMSUM(L219,T219)</f>
        <v>0</v>
      </c>
      <c r="V219">
        <f>IMDIV(COMPLEX(I_DM_SOURCE,0),U219)</f>
        <v>0</v>
      </c>
      <c r="W219">
        <f>IMPRODUCT(V219,T219)</f>
        <v>0</v>
      </c>
      <c r="X219">
        <f>IMDIV(W219,S219)</f>
        <v>0</v>
      </c>
      <c r="Y219">
        <f>IMPRODUCT(X219,R219)</f>
        <v>0</v>
      </c>
      <c r="Z219">
        <f>IMDIV(Y219,Q219)</f>
        <v>0</v>
      </c>
      <c r="AA219">
        <f>IMPRODUCT(Z219,P219)</f>
        <v>0</v>
      </c>
      <c r="AB219">
        <f>AA219</f>
        <v>0</v>
      </c>
      <c r="AC219">
        <f>IMPRODUCT("-1",AB219)</f>
        <v>0</v>
      </c>
      <c r="AD219">
        <f>IMDIV(IMSUB(AB219,AC219),"2")</f>
        <v>0</v>
      </c>
      <c r="AE219" s="6">
        <f>IMABS(AB219)</f>
        <v>0</v>
      </c>
      <c r="AF219" s="6">
        <f>IMABS(AC219)</f>
        <v>0</v>
      </c>
      <c r="AG219" s="6">
        <f>IMABS(AD219)</f>
        <v>0</v>
      </c>
      <c r="AH219" s="7">
        <f>20*LOG10(MAX(AE219,1E-300)*1E6)</f>
        <v>0</v>
      </c>
      <c r="AI219" s="7">
        <f>20*LOG10(MAX(AF219,1E-300)*1E6)</f>
        <v>0</v>
      </c>
      <c r="AJ219" s="7">
        <f>20*LOG10(MAX(AG219,1E-300)*1E6)</f>
        <v>0</v>
      </c>
      <c r="AK219" s="7">
        <f>DEGREES(IMARGUMENT(AB219))</f>
        <v>0</v>
      </c>
      <c r="AL219" s="7">
        <f>DEGREES(IMARGUMENT(AC219))</f>
        <v>0</v>
      </c>
      <c r="AM219" s="7">
        <f>DEGREES(IMARGUMENT(AD219))</f>
        <v>0</v>
      </c>
    </row>
    <row r="220" spans="1:39">
      <c r="A220" s="6">
        <f>10^(LOG10(F_START)+(ROW()-ROW($A$2))*(LOG10(F_STOP)-LOG10(F_START))/(N_POINTS-1))</f>
        <v>0</v>
      </c>
      <c r="B220" s="6">
        <f>2*PI()*A220</f>
        <v>0</v>
      </c>
      <c r="C220">
        <f>COMPLEX(2*LINE_PS_DCR,2*B220*LINE_PS_L)</f>
        <v>0</v>
      </c>
      <c r="D220">
        <f>IMSUM(COMPLEX(0,B220*(LINE_PS_CLINE+LINE_PS_CCHA/2)),IMDIV("1",IMPRODUCT("2",COMPLEX(C_THROUGH_ESR,B220*C_THROUGH_ESL-1/(B220*C_THROUGH_C)))))</f>
        <v>0</v>
      </c>
      <c r="E220">
        <f>COMPLEX(2*LINE_INPUT_DCR,2*B220*LINE_INPUT_L)</f>
        <v>0</v>
      </c>
      <c r="F220">
        <f>COMPLEX(0,B220*(LINE_INPUT_CLINE+LINE_INPUT_CCHA/2))</f>
        <v>0</v>
      </c>
      <c r="G220">
        <f>IMPRODUCT("2",IMDIV("1",IMSUM(IMDIV("1",COMPLEX(LDM1_DCR,B220*LDM1_L)),COMPLEX(0,B220*LDM1_CPA))))</f>
        <v>0</v>
      </c>
      <c r="H220">
        <f>IMSUM(IMDIV("1",COMPLEX(CX1_ESR,B220*CX1_ESL-1/(B220*CX1_C))),IMDIV("1",IMSUM(COMPLEX(DUMP1_R,0),COMPLEX(DUMP1_ESR,B220*DUMP1_ESL-1/(B220*DUMP1_C)))))</f>
        <v>0</v>
      </c>
      <c r="I220">
        <f>IMPRODUCT("2",IMDIV("1",IMSUM(IMDIV("1",COMPLEX(LDM2_DCR,B220*LDM2_L)),COMPLEX(0,B220*LDM2_CPA))))</f>
        <v>0</v>
      </c>
      <c r="J220">
        <f>IMSUM(IMDIV("1",COMPLEX(CX2_ESR,B220*CX2_ESL-1/(B220*CX2_C))),IMDIV("1",IMSUM(COMPLEX(DUMP2_R,0),COMPLEX(DUMP2_ESR,B220*DUMP2_ESL-1/(B220*DUMP2_C)))))</f>
        <v>0</v>
      </c>
      <c r="K220">
        <f>IMPRODUCT("2",IMDIV("1",IMSUM(IMDIV("1",COMPLEX(CMC_DCR,B220*CMC_L*(1-CMC_K))),COMPLEX(0,B220*CMC_CPA))))</f>
        <v>0</v>
      </c>
      <c r="L220">
        <f>IMSUM(COMPLEX(0,B220*CMC_CLINE),IMDIV("1",IMPRODUCT("2",COMPLEX(CY_ESR,B220*CY_ESL-1/(B220*CY_C)))),COMPLEX(1/DUMMY_R,0))</f>
        <v>0</v>
      </c>
      <c r="M220">
        <f>IMSUM(D220,IMDIV("1",C220))</f>
        <v>0</v>
      </c>
      <c r="N220">
        <f>IMDIV("1",IMSUM(E220,IMDIV("1",M220)))</f>
        <v>0</v>
      </c>
      <c r="O220">
        <f>IMSUM(F220,N220)</f>
        <v>0</v>
      </c>
      <c r="P220">
        <f>IMDIV("1",IMSUM(G220,IMDIV("1",O220)))</f>
        <v>0</v>
      </c>
      <c r="Q220">
        <f>IMSUM(H220,P220)</f>
        <v>0</v>
      </c>
      <c r="R220">
        <f>IMDIV("1",IMSUM(I220,IMDIV("1",Q220)))</f>
        <v>0</v>
      </c>
      <c r="S220">
        <f>IMSUM(J220,R220)</f>
        <v>0</v>
      </c>
      <c r="T220">
        <f>IMDIV("1",IMSUM(K220,IMDIV("1",S220)))</f>
        <v>0</v>
      </c>
      <c r="U220">
        <f>IMSUM(L220,T220)</f>
        <v>0</v>
      </c>
      <c r="V220">
        <f>IMDIV(COMPLEX(I_DM_SOURCE,0),U220)</f>
        <v>0</v>
      </c>
      <c r="W220">
        <f>IMPRODUCT(V220,T220)</f>
        <v>0</v>
      </c>
      <c r="X220">
        <f>IMDIV(W220,S220)</f>
        <v>0</v>
      </c>
      <c r="Y220">
        <f>IMPRODUCT(X220,R220)</f>
        <v>0</v>
      </c>
      <c r="Z220">
        <f>IMDIV(Y220,Q220)</f>
        <v>0</v>
      </c>
      <c r="AA220">
        <f>IMPRODUCT(Z220,P220)</f>
        <v>0</v>
      </c>
      <c r="AB220">
        <f>AA220</f>
        <v>0</v>
      </c>
      <c r="AC220">
        <f>IMPRODUCT("-1",AB220)</f>
        <v>0</v>
      </c>
      <c r="AD220">
        <f>IMDIV(IMSUB(AB220,AC220),"2")</f>
        <v>0</v>
      </c>
      <c r="AE220" s="6">
        <f>IMABS(AB220)</f>
        <v>0</v>
      </c>
      <c r="AF220" s="6">
        <f>IMABS(AC220)</f>
        <v>0</v>
      </c>
      <c r="AG220" s="6">
        <f>IMABS(AD220)</f>
        <v>0</v>
      </c>
      <c r="AH220" s="7">
        <f>20*LOG10(MAX(AE220,1E-300)*1E6)</f>
        <v>0</v>
      </c>
      <c r="AI220" s="7">
        <f>20*LOG10(MAX(AF220,1E-300)*1E6)</f>
        <v>0</v>
      </c>
      <c r="AJ220" s="7">
        <f>20*LOG10(MAX(AG220,1E-300)*1E6)</f>
        <v>0</v>
      </c>
      <c r="AK220" s="7">
        <f>DEGREES(IMARGUMENT(AB220))</f>
        <v>0</v>
      </c>
      <c r="AL220" s="7">
        <f>DEGREES(IMARGUMENT(AC220))</f>
        <v>0</v>
      </c>
      <c r="AM220" s="7">
        <f>DEGREES(IMARGUMENT(AD220))</f>
        <v>0</v>
      </c>
    </row>
    <row r="221" spans="1:39">
      <c r="A221" s="6">
        <f>10^(LOG10(F_START)+(ROW()-ROW($A$2))*(LOG10(F_STOP)-LOG10(F_START))/(N_POINTS-1))</f>
        <v>0</v>
      </c>
      <c r="B221" s="6">
        <f>2*PI()*A221</f>
        <v>0</v>
      </c>
      <c r="C221">
        <f>COMPLEX(2*LINE_PS_DCR,2*B221*LINE_PS_L)</f>
        <v>0</v>
      </c>
      <c r="D221">
        <f>IMSUM(COMPLEX(0,B221*(LINE_PS_CLINE+LINE_PS_CCHA/2)),IMDIV("1",IMPRODUCT("2",COMPLEX(C_THROUGH_ESR,B221*C_THROUGH_ESL-1/(B221*C_THROUGH_C)))))</f>
        <v>0</v>
      </c>
      <c r="E221">
        <f>COMPLEX(2*LINE_INPUT_DCR,2*B221*LINE_INPUT_L)</f>
        <v>0</v>
      </c>
      <c r="F221">
        <f>COMPLEX(0,B221*(LINE_INPUT_CLINE+LINE_INPUT_CCHA/2))</f>
        <v>0</v>
      </c>
      <c r="G221">
        <f>IMPRODUCT("2",IMDIV("1",IMSUM(IMDIV("1",COMPLEX(LDM1_DCR,B221*LDM1_L)),COMPLEX(0,B221*LDM1_CPA))))</f>
        <v>0</v>
      </c>
      <c r="H221">
        <f>IMSUM(IMDIV("1",COMPLEX(CX1_ESR,B221*CX1_ESL-1/(B221*CX1_C))),IMDIV("1",IMSUM(COMPLEX(DUMP1_R,0),COMPLEX(DUMP1_ESR,B221*DUMP1_ESL-1/(B221*DUMP1_C)))))</f>
        <v>0</v>
      </c>
      <c r="I221">
        <f>IMPRODUCT("2",IMDIV("1",IMSUM(IMDIV("1",COMPLEX(LDM2_DCR,B221*LDM2_L)),COMPLEX(0,B221*LDM2_CPA))))</f>
        <v>0</v>
      </c>
      <c r="J221">
        <f>IMSUM(IMDIV("1",COMPLEX(CX2_ESR,B221*CX2_ESL-1/(B221*CX2_C))),IMDIV("1",IMSUM(COMPLEX(DUMP2_R,0),COMPLEX(DUMP2_ESR,B221*DUMP2_ESL-1/(B221*DUMP2_C)))))</f>
        <v>0</v>
      </c>
      <c r="K221">
        <f>IMPRODUCT("2",IMDIV("1",IMSUM(IMDIV("1",COMPLEX(CMC_DCR,B221*CMC_L*(1-CMC_K))),COMPLEX(0,B221*CMC_CPA))))</f>
        <v>0</v>
      </c>
      <c r="L221">
        <f>IMSUM(COMPLEX(0,B221*CMC_CLINE),IMDIV("1",IMPRODUCT("2",COMPLEX(CY_ESR,B221*CY_ESL-1/(B221*CY_C)))),COMPLEX(1/DUMMY_R,0))</f>
        <v>0</v>
      </c>
      <c r="M221">
        <f>IMSUM(D221,IMDIV("1",C221))</f>
        <v>0</v>
      </c>
      <c r="N221">
        <f>IMDIV("1",IMSUM(E221,IMDIV("1",M221)))</f>
        <v>0</v>
      </c>
      <c r="O221">
        <f>IMSUM(F221,N221)</f>
        <v>0</v>
      </c>
      <c r="P221">
        <f>IMDIV("1",IMSUM(G221,IMDIV("1",O221)))</f>
        <v>0</v>
      </c>
      <c r="Q221">
        <f>IMSUM(H221,P221)</f>
        <v>0</v>
      </c>
      <c r="R221">
        <f>IMDIV("1",IMSUM(I221,IMDIV("1",Q221)))</f>
        <v>0</v>
      </c>
      <c r="S221">
        <f>IMSUM(J221,R221)</f>
        <v>0</v>
      </c>
      <c r="T221">
        <f>IMDIV("1",IMSUM(K221,IMDIV("1",S221)))</f>
        <v>0</v>
      </c>
      <c r="U221">
        <f>IMSUM(L221,T221)</f>
        <v>0</v>
      </c>
      <c r="V221">
        <f>IMDIV(COMPLEX(I_DM_SOURCE,0),U221)</f>
        <v>0</v>
      </c>
      <c r="W221">
        <f>IMPRODUCT(V221,T221)</f>
        <v>0</v>
      </c>
      <c r="X221">
        <f>IMDIV(W221,S221)</f>
        <v>0</v>
      </c>
      <c r="Y221">
        <f>IMPRODUCT(X221,R221)</f>
        <v>0</v>
      </c>
      <c r="Z221">
        <f>IMDIV(Y221,Q221)</f>
        <v>0</v>
      </c>
      <c r="AA221">
        <f>IMPRODUCT(Z221,P221)</f>
        <v>0</v>
      </c>
      <c r="AB221">
        <f>AA221</f>
        <v>0</v>
      </c>
      <c r="AC221">
        <f>IMPRODUCT("-1",AB221)</f>
        <v>0</v>
      </c>
      <c r="AD221">
        <f>IMDIV(IMSUB(AB221,AC221),"2")</f>
        <v>0</v>
      </c>
      <c r="AE221" s="6">
        <f>IMABS(AB221)</f>
        <v>0</v>
      </c>
      <c r="AF221" s="6">
        <f>IMABS(AC221)</f>
        <v>0</v>
      </c>
      <c r="AG221" s="6">
        <f>IMABS(AD221)</f>
        <v>0</v>
      </c>
      <c r="AH221" s="7">
        <f>20*LOG10(MAX(AE221,1E-300)*1E6)</f>
        <v>0</v>
      </c>
      <c r="AI221" s="7">
        <f>20*LOG10(MAX(AF221,1E-300)*1E6)</f>
        <v>0</v>
      </c>
      <c r="AJ221" s="7">
        <f>20*LOG10(MAX(AG221,1E-300)*1E6)</f>
        <v>0</v>
      </c>
      <c r="AK221" s="7">
        <f>DEGREES(IMARGUMENT(AB221))</f>
        <v>0</v>
      </c>
      <c r="AL221" s="7">
        <f>DEGREES(IMARGUMENT(AC221))</f>
        <v>0</v>
      </c>
      <c r="AM221" s="7">
        <f>DEGREES(IMARGUMENT(AD221))</f>
        <v>0</v>
      </c>
    </row>
    <row r="222" spans="1:39">
      <c r="A222" s="6">
        <f>10^(LOG10(F_START)+(ROW()-ROW($A$2))*(LOG10(F_STOP)-LOG10(F_START))/(N_POINTS-1))</f>
        <v>0</v>
      </c>
      <c r="B222" s="6">
        <f>2*PI()*A222</f>
        <v>0</v>
      </c>
      <c r="C222">
        <f>COMPLEX(2*LINE_PS_DCR,2*B222*LINE_PS_L)</f>
        <v>0</v>
      </c>
      <c r="D222">
        <f>IMSUM(COMPLEX(0,B222*(LINE_PS_CLINE+LINE_PS_CCHA/2)),IMDIV("1",IMPRODUCT("2",COMPLEX(C_THROUGH_ESR,B222*C_THROUGH_ESL-1/(B222*C_THROUGH_C)))))</f>
        <v>0</v>
      </c>
      <c r="E222">
        <f>COMPLEX(2*LINE_INPUT_DCR,2*B222*LINE_INPUT_L)</f>
        <v>0</v>
      </c>
      <c r="F222">
        <f>COMPLEX(0,B222*(LINE_INPUT_CLINE+LINE_INPUT_CCHA/2))</f>
        <v>0</v>
      </c>
      <c r="G222">
        <f>IMPRODUCT("2",IMDIV("1",IMSUM(IMDIV("1",COMPLEX(LDM1_DCR,B222*LDM1_L)),COMPLEX(0,B222*LDM1_CPA))))</f>
        <v>0</v>
      </c>
      <c r="H222">
        <f>IMSUM(IMDIV("1",COMPLEX(CX1_ESR,B222*CX1_ESL-1/(B222*CX1_C))),IMDIV("1",IMSUM(COMPLEX(DUMP1_R,0),COMPLEX(DUMP1_ESR,B222*DUMP1_ESL-1/(B222*DUMP1_C)))))</f>
        <v>0</v>
      </c>
      <c r="I222">
        <f>IMPRODUCT("2",IMDIV("1",IMSUM(IMDIV("1",COMPLEX(LDM2_DCR,B222*LDM2_L)),COMPLEX(0,B222*LDM2_CPA))))</f>
        <v>0</v>
      </c>
      <c r="J222">
        <f>IMSUM(IMDIV("1",COMPLEX(CX2_ESR,B222*CX2_ESL-1/(B222*CX2_C))),IMDIV("1",IMSUM(COMPLEX(DUMP2_R,0),COMPLEX(DUMP2_ESR,B222*DUMP2_ESL-1/(B222*DUMP2_C)))))</f>
        <v>0</v>
      </c>
      <c r="K222">
        <f>IMPRODUCT("2",IMDIV("1",IMSUM(IMDIV("1",COMPLEX(CMC_DCR,B222*CMC_L*(1-CMC_K))),COMPLEX(0,B222*CMC_CPA))))</f>
        <v>0</v>
      </c>
      <c r="L222">
        <f>IMSUM(COMPLEX(0,B222*CMC_CLINE),IMDIV("1",IMPRODUCT("2",COMPLEX(CY_ESR,B222*CY_ESL-1/(B222*CY_C)))),COMPLEX(1/DUMMY_R,0))</f>
        <v>0</v>
      </c>
      <c r="M222">
        <f>IMSUM(D222,IMDIV("1",C222))</f>
        <v>0</v>
      </c>
      <c r="N222">
        <f>IMDIV("1",IMSUM(E222,IMDIV("1",M222)))</f>
        <v>0</v>
      </c>
      <c r="O222">
        <f>IMSUM(F222,N222)</f>
        <v>0</v>
      </c>
      <c r="P222">
        <f>IMDIV("1",IMSUM(G222,IMDIV("1",O222)))</f>
        <v>0</v>
      </c>
      <c r="Q222">
        <f>IMSUM(H222,P222)</f>
        <v>0</v>
      </c>
      <c r="R222">
        <f>IMDIV("1",IMSUM(I222,IMDIV("1",Q222)))</f>
        <v>0</v>
      </c>
      <c r="S222">
        <f>IMSUM(J222,R222)</f>
        <v>0</v>
      </c>
      <c r="T222">
        <f>IMDIV("1",IMSUM(K222,IMDIV("1",S222)))</f>
        <v>0</v>
      </c>
      <c r="U222">
        <f>IMSUM(L222,T222)</f>
        <v>0</v>
      </c>
      <c r="V222">
        <f>IMDIV(COMPLEX(I_DM_SOURCE,0),U222)</f>
        <v>0</v>
      </c>
      <c r="W222">
        <f>IMPRODUCT(V222,T222)</f>
        <v>0</v>
      </c>
      <c r="X222">
        <f>IMDIV(W222,S222)</f>
        <v>0</v>
      </c>
      <c r="Y222">
        <f>IMPRODUCT(X222,R222)</f>
        <v>0</v>
      </c>
      <c r="Z222">
        <f>IMDIV(Y222,Q222)</f>
        <v>0</v>
      </c>
      <c r="AA222">
        <f>IMPRODUCT(Z222,P222)</f>
        <v>0</v>
      </c>
      <c r="AB222">
        <f>AA222</f>
        <v>0</v>
      </c>
      <c r="AC222">
        <f>IMPRODUCT("-1",AB222)</f>
        <v>0</v>
      </c>
      <c r="AD222">
        <f>IMDIV(IMSUB(AB222,AC222),"2")</f>
        <v>0</v>
      </c>
      <c r="AE222" s="6">
        <f>IMABS(AB222)</f>
        <v>0</v>
      </c>
      <c r="AF222" s="6">
        <f>IMABS(AC222)</f>
        <v>0</v>
      </c>
      <c r="AG222" s="6">
        <f>IMABS(AD222)</f>
        <v>0</v>
      </c>
      <c r="AH222" s="7">
        <f>20*LOG10(MAX(AE222,1E-300)*1E6)</f>
        <v>0</v>
      </c>
      <c r="AI222" s="7">
        <f>20*LOG10(MAX(AF222,1E-300)*1E6)</f>
        <v>0</v>
      </c>
      <c r="AJ222" s="7">
        <f>20*LOG10(MAX(AG222,1E-300)*1E6)</f>
        <v>0</v>
      </c>
      <c r="AK222" s="7">
        <f>DEGREES(IMARGUMENT(AB222))</f>
        <v>0</v>
      </c>
      <c r="AL222" s="7">
        <f>DEGREES(IMARGUMENT(AC222))</f>
        <v>0</v>
      </c>
      <c r="AM222" s="7">
        <f>DEGREES(IMARGUMENT(AD222))</f>
        <v>0</v>
      </c>
    </row>
    <row r="223" spans="1:39">
      <c r="A223" s="6">
        <f>10^(LOG10(F_START)+(ROW()-ROW($A$2))*(LOG10(F_STOP)-LOG10(F_START))/(N_POINTS-1))</f>
        <v>0</v>
      </c>
      <c r="B223" s="6">
        <f>2*PI()*A223</f>
        <v>0</v>
      </c>
      <c r="C223">
        <f>COMPLEX(2*LINE_PS_DCR,2*B223*LINE_PS_L)</f>
        <v>0</v>
      </c>
      <c r="D223">
        <f>IMSUM(COMPLEX(0,B223*(LINE_PS_CLINE+LINE_PS_CCHA/2)),IMDIV("1",IMPRODUCT("2",COMPLEX(C_THROUGH_ESR,B223*C_THROUGH_ESL-1/(B223*C_THROUGH_C)))))</f>
        <v>0</v>
      </c>
      <c r="E223">
        <f>COMPLEX(2*LINE_INPUT_DCR,2*B223*LINE_INPUT_L)</f>
        <v>0</v>
      </c>
      <c r="F223">
        <f>COMPLEX(0,B223*(LINE_INPUT_CLINE+LINE_INPUT_CCHA/2))</f>
        <v>0</v>
      </c>
      <c r="G223">
        <f>IMPRODUCT("2",IMDIV("1",IMSUM(IMDIV("1",COMPLEX(LDM1_DCR,B223*LDM1_L)),COMPLEX(0,B223*LDM1_CPA))))</f>
        <v>0</v>
      </c>
      <c r="H223">
        <f>IMSUM(IMDIV("1",COMPLEX(CX1_ESR,B223*CX1_ESL-1/(B223*CX1_C))),IMDIV("1",IMSUM(COMPLEX(DUMP1_R,0),COMPLEX(DUMP1_ESR,B223*DUMP1_ESL-1/(B223*DUMP1_C)))))</f>
        <v>0</v>
      </c>
      <c r="I223">
        <f>IMPRODUCT("2",IMDIV("1",IMSUM(IMDIV("1",COMPLEX(LDM2_DCR,B223*LDM2_L)),COMPLEX(0,B223*LDM2_CPA))))</f>
        <v>0</v>
      </c>
      <c r="J223">
        <f>IMSUM(IMDIV("1",COMPLEX(CX2_ESR,B223*CX2_ESL-1/(B223*CX2_C))),IMDIV("1",IMSUM(COMPLEX(DUMP2_R,0),COMPLEX(DUMP2_ESR,B223*DUMP2_ESL-1/(B223*DUMP2_C)))))</f>
        <v>0</v>
      </c>
      <c r="K223">
        <f>IMPRODUCT("2",IMDIV("1",IMSUM(IMDIV("1",COMPLEX(CMC_DCR,B223*CMC_L*(1-CMC_K))),COMPLEX(0,B223*CMC_CPA))))</f>
        <v>0</v>
      </c>
      <c r="L223">
        <f>IMSUM(COMPLEX(0,B223*CMC_CLINE),IMDIV("1",IMPRODUCT("2",COMPLEX(CY_ESR,B223*CY_ESL-1/(B223*CY_C)))),COMPLEX(1/DUMMY_R,0))</f>
        <v>0</v>
      </c>
      <c r="M223">
        <f>IMSUM(D223,IMDIV("1",C223))</f>
        <v>0</v>
      </c>
      <c r="N223">
        <f>IMDIV("1",IMSUM(E223,IMDIV("1",M223)))</f>
        <v>0</v>
      </c>
      <c r="O223">
        <f>IMSUM(F223,N223)</f>
        <v>0</v>
      </c>
      <c r="P223">
        <f>IMDIV("1",IMSUM(G223,IMDIV("1",O223)))</f>
        <v>0</v>
      </c>
      <c r="Q223">
        <f>IMSUM(H223,P223)</f>
        <v>0</v>
      </c>
      <c r="R223">
        <f>IMDIV("1",IMSUM(I223,IMDIV("1",Q223)))</f>
        <v>0</v>
      </c>
      <c r="S223">
        <f>IMSUM(J223,R223)</f>
        <v>0</v>
      </c>
      <c r="T223">
        <f>IMDIV("1",IMSUM(K223,IMDIV("1",S223)))</f>
        <v>0</v>
      </c>
      <c r="U223">
        <f>IMSUM(L223,T223)</f>
        <v>0</v>
      </c>
      <c r="V223">
        <f>IMDIV(COMPLEX(I_DM_SOURCE,0),U223)</f>
        <v>0</v>
      </c>
      <c r="W223">
        <f>IMPRODUCT(V223,T223)</f>
        <v>0</v>
      </c>
      <c r="X223">
        <f>IMDIV(W223,S223)</f>
        <v>0</v>
      </c>
      <c r="Y223">
        <f>IMPRODUCT(X223,R223)</f>
        <v>0</v>
      </c>
      <c r="Z223">
        <f>IMDIV(Y223,Q223)</f>
        <v>0</v>
      </c>
      <c r="AA223">
        <f>IMPRODUCT(Z223,P223)</f>
        <v>0</v>
      </c>
      <c r="AB223">
        <f>AA223</f>
        <v>0</v>
      </c>
      <c r="AC223">
        <f>IMPRODUCT("-1",AB223)</f>
        <v>0</v>
      </c>
      <c r="AD223">
        <f>IMDIV(IMSUB(AB223,AC223),"2")</f>
        <v>0</v>
      </c>
      <c r="AE223" s="6">
        <f>IMABS(AB223)</f>
        <v>0</v>
      </c>
      <c r="AF223" s="6">
        <f>IMABS(AC223)</f>
        <v>0</v>
      </c>
      <c r="AG223" s="6">
        <f>IMABS(AD223)</f>
        <v>0</v>
      </c>
      <c r="AH223" s="7">
        <f>20*LOG10(MAX(AE223,1E-300)*1E6)</f>
        <v>0</v>
      </c>
      <c r="AI223" s="7">
        <f>20*LOG10(MAX(AF223,1E-300)*1E6)</f>
        <v>0</v>
      </c>
      <c r="AJ223" s="7">
        <f>20*LOG10(MAX(AG223,1E-300)*1E6)</f>
        <v>0</v>
      </c>
      <c r="AK223" s="7">
        <f>DEGREES(IMARGUMENT(AB223))</f>
        <v>0</v>
      </c>
      <c r="AL223" s="7">
        <f>DEGREES(IMARGUMENT(AC223))</f>
        <v>0</v>
      </c>
      <c r="AM223" s="7">
        <f>DEGREES(IMARGUMENT(AD223))</f>
        <v>0</v>
      </c>
    </row>
    <row r="224" spans="1:39">
      <c r="A224" s="6">
        <f>10^(LOG10(F_START)+(ROW()-ROW($A$2))*(LOG10(F_STOP)-LOG10(F_START))/(N_POINTS-1))</f>
        <v>0</v>
      </c>
      <c r="B224" s="6">
        <f>2*PI()*A224</f>
        <v>0</v>
      </c>
      <c r="C224">
        <f>COMPLEX(2*LINE_PS_DCR,2*B224*LINE_PS_L)</f>
        <v>0</v>
      </c>
      <c r="D224">
        <f>IMSUM(COMPLEX(0,B224*(LINE_PS_CLINE+LINE_PS_CCHA/2)),IMDIV("1",IMPRODUCT("2",COMPLEX(C_THROUGH_ESR,B224*C_THROUGH_ESL-1/(B224*C_THROUGH_C)))))</f>
        <v>0</v>
      </c>
      <c r="E224">
        <f>COMPLEX(2*LINE_INPUT_DCR,2*B224*LINE_INPUT_L)</f>
        <v>0</v>
      </c>
      <c r="F224">
        <f>COMPLEX(0,B224*(LINE_INPUT_CLINE+LINE_INPUT_CCHA/2))</f>
        <v>0</v>
      </c>
      <c r="G224">
        <f>IMPRODUCT("2",IMDIV("1",IMSUM(IMDIV("1",COMPLEX(LDM1_DCR,B224*LDM1_L)),COMPLEX(0,B224*LDM1_CPA))))</f>
        <v>0</v>
      </c>
      <c r="H224">
        <f>IMSUM(IMDIV("1",COMPLEX(CX1_ESR,B224*CX1_ESL-1/(B224*CX1_C))),IMDIV("1",IMSUM(COMPLEX(DUMP1_R,0),COMPLEX(DUMP1_ESR,B224*DUMP1_ESL-1/(B224*DUMP1_C)))))</f>
        <v>0</v>
      </c>
      <c r="I224">
        <f>IMPRODUCT("2",IMDIV("1",IMSUM(IMDIV("1",COMPLEX(LDM2_DCR,B224*LDM2_L)),COMPLEX(0,B224*LDM2_CPA))))</f>
        <v>0</v>
      </c>
      <c r="J224">
        <f>IMSUM(IMDIV("1",COMPLEX(CX2_ESR,B224*CX2_ESL-1/(B224*CX2_C))),IMDIV("1",IMSUM(COMPLEX(DUMP2_R,0),COMPLEX(DUMP2_ESR,B224*DUMP2_ESL-1/(B224*DUMP2_C)))))</f>
        <v>0</v>
      </c>
      <c r="K224">
        <f>IMPRODUCT("2",IMDIV("1",IMSUM(IMDIV("1",COMPLEX(CMC_DCR,B224*CMC_L*(1-CMC_K))),COMPLEX(0,B224*CMC_CPA))))</f>
        <v>0</v>
      </c>
      <c r="L224">
        <f>IMSUM(COMPLEX(0,B224*CMC_CLINE),IMDIV("1",IMPRODUCT("2",COMPLEX(CY_ESR,B224*CY_ESL-1/(B224*CY_C)))),COMPLEX(1/DUMMY_R,0))</f>
        <v>0</v>
      </c>
      <c r="M224">
        <f>IMSUM(D224,IMDIV("1",C224))</f>
        <v>0</v>
      </c>
      <c r="N224">
        <f>IMDIV("1",IMSUM(E224,IMDIV("1",M224)))</f>
        <v>0</v>
      </c>
      <c r="O224">
        <f>IMSUM(F224,N224)</f>
        <v>0</v>
      </c>
      <c r="P224">
        <f>IMDIV("1",IMSUM(G224,IMDIV("1",O224)))</f>
        <v>0</v>
      </c>
      <c r="Q224">
        <f>IMSUM(H224,P224)</f>
        <v>0</v>
      </c>
      <c r="R224">
        <f>IMDIV("1",IMSUM(I224,IMDIV("1",Q224)))</f>
        <v>0</v>
      </c>
      <c r="S224">
        <f>IMSUM(J224,R224)</f>
        <v>0</v>
      </c>
      <c r="T224">
        <f>IMDIV("1",IMSUM(K224,IMDIV("1",S224)))</f>
        <v>0</v>
      </c>
      <c r="U224">
        <f>IMSUM(L224,T224)</f>
        <v>0</v>
      </c>
      <c r="V224">
        <f>IMDIV(COMPLEX(I_DM_SOURCE,0),U224)</f>
        <v>0</v>
      </c>
      <c r="W224">
        <f>IMPRODUCT(V224,T224)</f>
        <v>0</v>
      </c>
      <c r="X224">
        <f>IMDIV(W224,S224)</f>
        <v>0</v>
      </c>
      <c r="Y224">
        <f>IMPRODUCT(X224,R224)</f>
        <v>0</v>
      </c>
      <c r="Z224">
        <f>IMDIV(Y224,Q224)</f>
        <v>0</v>
      </c>
      <c r="AA224">
        <f>IMPRODUCT(Z224,P224)</f>
        <v>0</v>
      </c>
      <c r="AB224">
        <f>AA224</f>
        <v>0</v>
      </c>
      <c r="AC224">
        <f>IMPRODUCT("-1",AB224)</f>
        <v>0</v>
      </c>
      <c r="AD224">
        <f>IMDIV(IMSUB(AB224,AC224),"2")</f>
        <v>0</v>
      </c>
      <c r="AE224" s="6">
        <f>IMABS(AB224)</f>
        <v>0</v>
      </c>
      <c r="AF224" s="6">
        <f>IMABS(AC224)</f>
        <v>0</v>
      </c>
      <c r="AG224" s="6">
        <f>IMABS(AD224)</f>
        <v>0</v>
      </c>
      <c r="AH224" s="7">
        <f>20*LOG10(MAX(AE224,1E-300)*1E6)</f>
        <v>0</v>
      </c>
      <c r="AI224" s="7">
        <f>20*LOG10(MAX(AF224,1E-300)*1E6)</f>
        <v>0</v>
      </c>
      <c r="AJ224" s="7">
        <f>20*LOG10(MAX(AG224,1E-300)*1E6)</f>
        <v>0</v>
      </c>
      <c r="AK224" s="7">
        <f>DEGREES(IMARGUMENT(AB224))</f>
        <v>0</v>
      </c>
      <c r="AL224" s="7">
        <f>DEGREES(IMARGUMENT(AC224))</f>
        <v>0</v>
      </c>
      <c r="AM224" s="7">
        <f>DEGREES(IMARGUMENT(AD224))</f>
        <v>0</v>
      </c>
    </row>
    <row r="225" spans="1:39">
      <c r="A225" s="6">
        <f>10^(LOG10(F_START)+(ROW()-ROW($A$2))*(LOG10(F_STOP)-LOG10(F_START))/(N_POINTS-1))</f>
        <v>0</v>
      </c>
      <c r="B225" s="6">
        <f>2*PI()*A225</f>
        <v>0</v>
      </c>
      <c r="C225">
        <f>COMPLEX(2*LINE_PS_DCR,2*B225*LINE_PS_L)</f>
        <v>0</v>
      </c>
      <c r="D225">
        <f>IMSUM(COMPLEX(0,B225*(LINE_PS_CLINE+LINE_PS_CCHA/2)),IMDIV("1",IMPRODUCT("2",COMPLEX(C_THROUGH_ESR,B225*C_THROUGH_ESL-1/(B225*C_THROUGH_C)))))</f>
        <v>0</v>
      </c>
      <c r="E225">
        <f>COMPLEX(2*LINE_INPUT_DCR,2*B225*LINE_INPUT_L)</f>
        <v>0</v>
      </c>
      <c r="F225">
        <f>COMPLEX(0,B225*(LINE_INPUT_CLINE+LINE_INPUT_CCHA/2))</f>
        <v>0</v>
      </c>
      <c r="G225">
        <f>IMPRODUCT("2",IMDIV("1",IMSUM(IMDIV("1",COMPLEX(LDM1_DCR,B225*LDM1_L)),COMPLEX(0,B225*LDM1_CPA))))</f>
        <v>0</v>
      </c>
      <c r="H225">
        <f>IMSUM(IMDIV("1",COMPLEX(CX1_ESR,B225*CX1_ESL-1/(B225*CX1_C))),IMDIV("1",IMSUM(COMPLEX(DUMP1_R,0),COMPLEX(DUMP1_ESR,B225*DUMP1_ESL-1/(B225*DUMP1_C)))))</f>
        <v>0</v>
      </c>
      <c r="I225">
        <f>IMPRODUCT("2",IMDIV("1",IMSUM(IMDIV("1",COMPLEX(LDM2_DCR,B225*LDM2_L)),COMPLEX(0,B225*LDM2_CPA))))</f>
        <v>0</v>
      </c>
      <c r="J225">
        <f>IMSUM(IMDIV("1",COMPLEX(CX2_ESR,B225*CX2_ESL-1/(B225*CX2_C))),IMDIV("1",IMSUM(COMPLEX(DUMP2_R,0),COMPLEX(DUMP2_ESR,B225*DUMP2_ESL-1/(B225*DUMP2_C)))))</f>
        <v>0</v>
      </c>
      <c r="K225">
        <f>IMPRODUCT("2",IMDIV("1",IMSUM(IMDIV("1",COMPLEX(CMC_DCR,B225*CMC_L*(1-CMC_K))),COMPLEX(0,B225*CMC_CPA))))</f>
        <v>0</v>
      </c>
      <c r="L225">
        <f>IMSUM(COMPLEX(0,B225*CMC_CLINE),IMDIV("1",IMPRODUCT("2",COMPLEX(CY_ESR,B225*CY_ESL-1/(B225*CY_C)))),COMPLEX(1/DUMMY_R,0))</f>
        <v>0</v>
      </c>
      <c r="M225">
        <f>IMSUM(D225,IMDIV("1",C225))</f>
        <v>0</v>
      </c>
      <c r="N225">
        <f>IMDIV("1",IMSUM(E225,IMDIV("1",M225)))</f>
        <v>0</v>
      </c>
      <c r="O225">
        <f>IMSUM(F225,N225)</f>
        <v>0</v>
      </c>
      <c r="P225">
        <f>IMDIV("1",IMSUM(G225,IMDIV("1",O225)))</f>
        <v>0</v>
      </c>
      <c r="Q225">
        <f>IMSUM(H225,P225)</f>
        <v>0</v>
      </c>
      <c r="R225">
        <f>IMDIV("1",IMSUM(I225,IMDIV("1",Q225)))</f>
        <v>0</v>
      </c>
      <c r="S225">
        <f>IMSUM(J225,R225)</f>
        <v>0</v>
      </c>
      <c r="T225">
        <f>IMDIV("1",IMSUM(K225,IMDIV("1",S225)))</f>
        <v>0</v>
      </c>
      <c r="U225">
        <f>IMSUM(L225,T225)</f>
        <v>0</v>
      </c>
      <c r="V225">
        <f>IMDIV(COMPLEX(I_DM_SOURCE,0),U225)</f>
        <v>0</v>
      </c>
      <c r="W225">
        <f>IMPRODUCT(V225,T225)</f>
        <v>0</v>
      </c>
      <c r="X225">
        <f>IMDIV(W225,S225)</f>
        <v>0</v>
      </c>
      <c r="Y225">
        <f>IMPRODUCT(X225,R225)</f>
        <v>0</v>
      </c>
      <c r="Z225">
        <f>IMDIV(Y225,Q225)</f>
        <v>0</v>
      </c>
      <c r="AA225">
        <f>IMPRODUCT(Z225,P225)</f>
        <v>0</v>
      </c>
      <c r="AB225">
        <f>AA225</f>
        <v>0</v>
      </c>
      <c r="AC225">
        <f>IMPRODUCT("-1",AB225)</f>
        <v>0</v>
      </c>
      <c r="AD225">
        <f>IMDIV(IMSUB(AB225,AC225),"2")</f>
        <v>0</v>
      </c>
      <c r="AE225" s="6">
        <f>IMABS(AB225)</f>
        <v>0</v>
      </c>
      <c r="AF225" s="6">
        <f>IMABS(AC225)</f>
        <v>0</v>
      </c>
      <c r="AG225" s="6">
        <f>IMABS(AD225)</f>
        <v>0</v>
      </c>
      <c r="AH225" s="7">
        <f>20*LOG10(MAX(AE225,1E-300)*1E6)</f>
        <v>0</v>
      </c>
      <c r="AI225" s="7">
        <f>20*LOG10(MAX(AF225,1E-300)*1E6)</f>
        <v>0</v>
      </c>
      <c r="AJ225" s="7">
        <f>20*LOG10(MAX(AG225,1E-300)*1E6)</f>
        <v>0</v>
      </c>
      <c r="AK225" s="7">
        <f>DEGREES(IMARGUMENT(AB225))</f>
        <v>0</v>
      </c>
      <c r="AL225" s="7">
        <f>DEGREES(IMARGUMENT(AC225))</f>
        <v>0</v>
      </c>
      <c r="AM225" s="7">
        <f>DEGREES(IMARGUMENT(AD225))</f>
        <v>0</v>
      </c>
    </row>
    <row r="226" spans="1:39">
      <c r="A226" s="6">
        <f>10^(LOG10(F_START)+(ROW()-ROW($A$2))*(LOG10(F_STOP)-LOG10(F_START))/(N_POINTS-1))</f>
        <v>0</v>
      </c>
      <c r="B226" s="6">
        <f>2*PI()*A226</f>
        <v>0</v>
      </c>
      <c r="C226">
        <f>COMPLEX(2*LINE_PS_DCR,2*B226*LINE_PS_L)</f>
        <v>0</v>
      </c>
      <c r="D226">
        <f>IMSUM(COMPLEX(0,B226*(LINE_PS_CLINE+LINE_PS_CCHA/2)),IMDIV("1",IMPRODUCT("2",COMPLEX(C_THROUGH_ESR,B226*C_THROUGH_ESL-1/(B226*C_THROUGH_C)))))</f>
        <v>0</v>
      </c>
      <c r="E226">
        <f>COMPLEX(2*LINE_INPUT_DCR,2*B226*LINE_INPUT_L)</f>
        <v>0</v>
      </c>
      <c r="F226">
        <f>COMPLEX(0,B226*(LINE_INPUT_CLINE+LINE_INPUT_CCHA/2))</f>
        <v>0</v>
      </c>
      <c r="G226">
        <f>IMPRODUCT("2",IMDIV("1",IMSUM(IMDIV("1",COMPLEX(LDM1_DCR,B226*LDM1_L)),COMPLEX(0,B226*LDM1_CPA))))</f>
        <v>0</v>
      </c>
      <c r="H226">
        <f>IMSUM(IMDIV("1",COMPLEX(CX1_ESR,B226*CX1_ESL-1/(B226*CX1_C))),IMDIV("1",IMSUM(COMPLEX(DUMP1_R,0),COMPLEX(DUMP1_ESR,B226*DUMP1_ESL-1/(B226*DUMP1_C)))))</f>
        <v>0</v>
      </c>
      <c r="I226">
        <f>IMPRODUCT("2",IMDIV("1",IMSUM(IMDIV("1",COMPLEX(LDM2_DCR,B226*LDM2_L)),COMPLEX(0,B226*LDM2_CPA))))</f>
        <v>0</v>
      </c>
      <c r="J226">
        <f>IMSUM(IMDIV("1",COMPLEX(CX2_ESR,B226*CX2_ESL-1/(B226*CX2_C))),IMDIV("1",IMSUM(COMPLEX(DUMP2_R,0),COMPLEX(DUMP2_ESR,B226*DUMP2_ESL-1/(B226*DUMP2_C)))))</f>
        <v>0</v>
      </c>
      <c r="K226">
        <f>IMPRODUCT("2",IMDIV("1",IMSUM(IMDIV("1",COMPLEX(CMC_DCR,B226*CMC_L*(1-CMC_K))),COMPLEX(0,B226*CMC_CPA))))</f>
        <v>0</v>
      </c>
      <c r="L226">
        <f>IMSUM(COMPLEX(0,B226*CMC_CLINE),IMDIV("1",IMPRODUCT("2",COMPLEX(CY_ESR,B226*CY_ESL-1/(B226*CY_C)))),COMPLEX(1/DUMMY_R,0))</f>
        <v>0</v>
      </c>
      <c r="M226">
        <f>IMSUM(D226,IMDIV("1",C226))</f>
        <v>0</v>
      </c>
      <c r="N226">
        <f>IMDIV("1",IMSUM(E226,IMDIV("1",M226)))</f>
        <v>0</v>
      </c>
      <c r="O226">
        <f>IMSUM(F226,N226)</f>
        <v>0</v>
      </c>
      <c r="P226">
        <f>IMDIV("1",IMSUM(G226,IMDIV("1",O226)))</f>
        <v>0</v>
      </c>
      <c r="Q226">
        <f>IMSUM(H226,P226)</f>
        <v>0</v>
      </c>
      <c r="R226">
        <f>IMDIV("1",IMSUM(I226,IMDIV("1",Q226)))</f>
        <v>0</v>
      </c>
      <c r="S226">
        <f>IMSUM(J226,R226)</f>
        <v>0</v>
      </c>
      <c r="T226">
        <f>IMDIV("1",IMSUM(K226,IMDIV("1",S226)))</f>
        <v>0</v>
      </c>
      <c r="U226">
        <f>IMSUM(L226,T226)</f>
        <v>0</v>
      </c>
      <c r="V226">
        <f>IMDIV(COMPLEX(I_DM_SOURCE,0),U226)</f>
        <v>0</v>
      </c>
      <c r="W226">
        <f>IMPRODUCT(V226,T226)</f>
        <v>0</v>
      </c>
      <c r="X226">
        <f>IMDIV(W226,S226)</f>
        <v>0</v>
      </c>
      <c r="Y226">
        <f>IMPRODUCT(X226,R226)</f>
        <v>0</v>
      </c>
      <c r="Z226">
        <f>IMDIV(Y226,Q226)</f>
        <v>0</v>
      </c>
      <c r="AA226">
        <f>IMPRODUCT(Z226,P226)</f>
        <v>0</v>
      </c>
      <c r="AB226">
        <f>AA226</f>
        <v>0</v>
      </c>
      <c r="AC226">
        <f>IMPRODUCT("-1",AB226)</f>
        <v>0</v>
      </c>
      <c r="AD226">
        <f>IMDIV(IMSUB(AB226,AC226),"2")</f>
        <v>0</v>
      </c>
      <c r="AE226" s="6">
        <f>IMABS(AB226)</f>
        <v>0</v>
      </c>
      <c r="AF226" s="6">
        <f>IMABS(AC226)</f>
        <v>0</v>
      </c>
      <c r="AG226" s="6">
        <f>IMABS(AD226)</f>
        <v>0</v>
      </c>
      <c r="AH226" s="7">
        <f>20*LOG10(MAX(AE226,1E-300)*1E6)</f>
        <v>0</v>
      </c>
      <c r="AI226" s="7">
        <f>20*LOG10(MAX(AF226,1E-300)*1E6)</f>
        <v>0</v>
      </c>
      <c r="AJ226" s="7">
        <f>20*LOG10(MAX(AG226,1E-300)*1E6)</f>
        <v>0</v>
      </c>
      <c r="AK226" s="7">
        <f>DEGREES(IMARGUMENT(AB226))</f>
        <v>0</v>
      </c>
      <c r="AL226" s="7">
        <f>DEGREES(IMARGUMENT(AC226))</f>
        <v>0</v>
      </c>
      <c r="AM226" s="7">
        <f>DEGREES(IMARGUMENT(AD226))</f>
        <v>0</v>
      </c>
    </row>
    <row r="227" spans="1:39">
      <c r="A227" s="6">
        <f>10^(LOG10(F_START)+(ROW()-ROW($A$2))*(LOG10(F_STOP)-LOG10(F_START))/(N_POINTS-1))</f>
        <v>0</v>
      </c>
      <c r="B227" s="6">
        <f>2*PI()*A227</f>
        <v>0</v>
      </c>
      <c r="C227">
        <f>COMPLEX(2*LINE_PS_DCR,2*B227*LINE_PS_L)</f>
        <v>0</v>
      </c>
      <c r="D227">
        <f>IMSUM(COMPLEX(0,B227*(LINE_PS_CLINE+LINE_PS_CCHA/2)),IMDIV("1",IMPRODUCT("2",COMPLEX(C_THROUGH_ESR,B227*C_THROUGH_ESL-1/(B227*C_THROUGH_C)))))</f>
        <v>0</v>
      </c>
      <c r="E227">
        <f>COMPLEX(2*LINE_INPUT_DCR,2*B227*LINE_INPUT_L)</f>
        <v>0</v>
      </c>
      <c r="F227">
        <f>COMPLEX(0,B227*(LINE_INPUT_CLINE+LINE_INPUT_CCHA/2))</f>
        <v>0</v>
      </c>
      <c r="G227">
        <f>IMPRODUCT("2",IMDIV("1",IMSUM(IMDIV("1",COMPLEX(LDM1_DCR,B227*LDM1_L)),COMPLEX(0,B227*LDM1_CPA))))</f>
        <v>0</v>
      </c>
      <c r="H227">
        <f>IMSUM(IMDIV("1",COMPLEX(CX1_ESR,B227*CX1_ESL-1/(B227*CX1_C))),IMDIV("1",IMSUM(COMPLEX(DUMP1_R,0),COMPLEX(DUMP1_ESR,B227*DUMP1_ESL-1/(B227*DUMP1_C)))))</f>
        <v>0</v>
      </c>
      <c r="I227">
        <f>IMPRODUCT("2",IMDIV("1",IMSUM(IMDIV("1",COMPLEX(LDM2_DCR,B227*LDM2_L)),COMPLEX(0,B227*LDM2_CPA))))</f>
        <v>0</v>
      </c>
      <c r="J227">
        <f>IMSUM(IMDIV("1",COMPLEX(CX2_ESR,B227*CX2_ESL-1/(B227*CX2_C))),IMDIV("1",IMSUM(COMPLEX(DUMP2_R,0),COMPLEX(DUMP2_ESR,B227*DUMP2_ESL-1/(B227*DUMP2_C)))))</f>
        <v>0</v>
      </c>
      <c r="K227">
        <f>IMPRODUCT("2",IMDIV("1",IMSUM(IMDIV("1",COMPLEX(CMC_DCR,B227*CMC_L*(1-CMC_K))),COMPLEX(0,B227*CMC_CPA))))</f>
        <v>0</v>
      </c>
      <c r="L227">
        <f>IMSUM(COMPLEX(0,B227*CMC_CLINE),IMDIV("1",IMPRODUCT("2",COMPLEX(CY_ESR,B227*CY_ESL-1/(B227*CY_C)))),COMPLEX(1/DUMMY_R,0))</f>
        <v>0</v>
      </c>
      <c r="M227">
        <f>IMSUM(D227,IMDIV("1",C227))</f>
        <v>0</v>
      </c>
      <c r="N227">
        <f>IMDIV("1",IMSUM(E227,IMDIV("1",M227)))</f>
        <v>0</v>
      </c>
      <c r="O227">
        <f>IMSUM(F227,N227)</f>
        <v>0</v>
      </c>
      <c r="P227">
        <f>IMDIV("1",IMSUM(G227,IMDIV("1",O227)))</f>
        <v>0</v>
      </c>
      <c r="Q227">
        <f>IMSUM(H227,P227)</f>
        <v>0</v>
      </c>
      <c r="R227">
        <f>IMDIV("1",IMSUM(I227,IMDIV("1",Q227)))</f>
        <v>0</v>
      </c>
      <c r="S227">
        <f>IMSUM(J227,R227)</f>
        <v>0</v>
      </c>
      <c r="T227">
        <f>IMDIV("1",IMSUM(K227,IMDIV("1",S227)))</f>
        <v>0</v>
      </c>
      <c r="U227">
        <f>IMSUM(L227,T227)</f>
        <v>0</v>
      </c>
      <c r="V227">
        <f>IMDIV(COMPLEX(I_DM_SOURCE,0),U227)</f>
        <v>0</v>
      </c>
      <c r="W227">
        <f>IMPRODUCT(V227,T227)</f>
        <v>0</v>
      </c>
      <c r="X227">
        <f>IMDIV(W227,S227)</f>
        <v>0</v>
      </c>
      <c r="Y227">
        <f>IMPRODUCT(X227,R227)</f>
        <v>0</v>
      </c>
      <c r="Z227">
        <f>IMDIV(Y227,Q227)</f>
        <v>0</v>
      </c>
      <c r="AA227">
        <f>IMPRODUCT(Z227,P227)</f>
        <v>0</v>
      </c>
      <c r="AB227">
        <f>AA227</f>
        <v>0</v>
      </c>
      <c r="AC227">
        <f>IMPRODUCT("-1",AB227)</f>
        <v>0</v>
      </c>
      <c r="AD227">
        <f>IMDIV(IMSUB(AB227,AC227),"2")</f>
        <v>0</v>
      </c>
      <c r="AE227" s="6">
        <f>IMABS(AB227)</f>
        <v>0</v>
      </c>
      <c r="AF227" s="6">
        <f>IMABS(AC227)</f>
        <v>0</v>
      </c>
      <c r="AG227" s="6">
        <f>IMABS(AD227)</f>
        <v>0</v>
      </c>
      <c r="AH227" s="7">
        <f>20*LOG10(MAX(AE227,1E-300)*1E6)</f>
        <v>0</v>
      </c>
      <c r="AI227" s="7">
        <f>20*LOG10(MAX(AF227,1E-300)*1E6)</f>
        <v>0</v>
      </c>
      <c r="AJ227" s="7">
        <f>20*LOG10(MAX(AG227,1E-300)*1E6)</f>
        <v>0</v>
      </c>
      <c r="AK227" s="7">
        <f>DEGREES(IMARGUMENT(AB227))</f>
        <v>0</v>
      </c>
      <c r="AL227" s="7">
        <f>DEGREES(IMARGUMENT(AC227))</f>
        <v>0</v>
      </c>
      <c r="AM227" s="7">
        <f>DEGREES(IMARGUMENT(AD227))</f>
        <v>0</v>
      </c>
    </row>
    <row r="228" spans="1:39">
      <c r="A228" s="6">
        <f>10^(LOG10(F_START)+(ROW()-ROW($A$2))*(LOG10(F_STOP)-LOG10(F_START))/(N_POINTS-1))</f>
        <v>0</v>
      </c>
      <c r="B228" s="6">
        <f>2*PI()*A228</f>
        <v>0</v>
      </c>
      <c r="C228">
        <f>COMPLEX(2*LINE_PS_DCR,2*B228*LINE_PS_L)</f>
        <v>0</v>
      </c>
      <c r="D228">
        <f>IMSUM(COMPLEX(0,B228*(LINE_PS_CLINE+LINE_PS_CCHA/2)),IMDIV("1",IMPRODUCT("2",COMPLEX(C_THROUGH_ESR,B228*C_THROUGH_ESL-1/(B228*C_THROUGH_C)))))</f>
        <v>0</v>
      </c>
      <c r="E228">
        <f>COMPLEX(2*LINE_INPUT_DCR,2*B228*LINE_INPUT_L)</f>
        <v>0</v>
      </c>
      <c r="F228">
        <f>COMPLEX(0,B228*(LINE_INPUT_CLINE+LINE_INPUT_CCHA/2))</f>
        <v>0</v>
      </c>
      <c r="G228">
        <f>IMPRODUCT("2",IMDIV("1",IMSUM(IMDIV("1",COMPLEX(LDM1_DCR,B228*LDM1_L)),COMPLEX(0,B228*LDM1_CPA))))</f>
        <v>0</v>
      </c>
      <c r="H228">
        <f>IMSUM(IMDIV("1",COMPLEX(CX1_ESR,B228*CX1_ESL-1/(B228*CX1_C))),IMDIV("1",IMSUM(COMPLEX(DUMP1_R,0),COMPLEX(DUMP1_ESR,B228*DUMP1_ESL-1/(B228*DUMP1_C)))))</f>
        <v>0</v>
      </c>
      <c r="I228">
        <f>IMPRODUCT("2",IMDIV("1",IMSUM(IMDIV("1",COMPLEX(LDM2_DCR,B228*LDM2_L)),COMPLEX(0,B228*LDM2_CPA))))</f>
        <v>0</v>
      </c>
      <c r="J228">
        <f>IMSUM(IMDIV("1",COMPLEX(CX2_ESR,B228*CX2_ESL-1/(B228*CX2_C))),IMDIV("1",IMSUM(COMPLEX(DUMP2_R,0),COMPLEX(DUMP2_ESR,B228*DUMP2_ESL-1/(B228*DUMP2_C)))))</f>
        <v>0</v>
      </c>
      <c r="K228">
        <f>IMPRODUCT("2",IMDIV("1",IMSUM(IMDIV("1",COMPLEX(CMC_DCR,B228*CMC_L*(1-CMC_K))),COMPLEX(0,B228*CMC_CPA))))</f>
        <v>0</v>
      </c>
      <c r="L228">
        <f>IMSUM(COMPLEX(0,B228*CMC_CLINE),IMDIV("1",IMPRODUCT("2",COMPLEX(CY_ESR,B228*CY_ESL-1/(B228*CY_C)))),COMPLEX(1/DUMMY_R,0))</f>
        <v>0</v>
      </c>
      <c r="M228">
        <f>IMSUM(D228,IMDIV("1",C228))</f>
        <v>0</v>
      </c>
      <c r="N228">
        <f>IMDIV("1",IMSUM(E228,IMDIV("1",M228)))</f>
        <v>0</v>
      </c>
      <c r="O228">
        <f>IMSUM(F228,N228)</f>
        <v>0</v>
      </c>
      <c r="P228">
        <f>IMDIV("1",IMSUM(G228,IMDIV("1",O228)))</f>
        <v>0</v>
      </c>
      <c r="Q228">
        <f>IMSUM(H228,P228)</f>
        <v>0</v>
      </c>
      <c r="R228">
        <f>IMDIV("1",IMSUM(I228,IMDIV("1",Q228)))</f>
        <v>0</v>
      </c>
      <c r="S228">
        <f>IMSUM(J228,R228)</f>
        <v>0</v>
      </c>
      <c r="T228">
        <f>IMDIV("1",IMSUM(K228,IMDIV("1",S228)))</f>
        <v>0</v>
      </c>
      <c r="U228">
        <f>IMSUM(L228,T228)</f>
        <v>0</v>
      </c>
      <c r="V228">
        <f>IMDIV(COMPLEX(I_DM_SOURCE,0),U228)</f>
        <v>0</v>
      </c>
      <c r="W228">
        <f>IMPRODUCT(V228,T228)</f>
        <v>0</v>
      </c>
      <c r="X228">
        <f>IMDIV(W228,S228)</f>
        <v>0</v>
      </c>
      <c r="Y228">
        <f>IMPRODUCT(X228,R228)</f>
        <v>0</v>
      </c>
      <c r="Z228">
        <f>IMDIV(Y228,Q228)</f>
        <v>0</v>
      </c>
      <c r="AA228">
        <f>IMPRODUCT(Z228,P228)</f>
        <v>0</v>
      </c>
      <c r="AB228">
        <f>AA228</f>
        <v>0</v>
      </c>
      <c r="AC228">
        <f>IMPRODUCT("-1",AB228)</f>
        <v>0</v>
      </c>
      <c r="AD228">
        <f>IMDIV(IMSUB(AB228,AC228),"2")</f>
        <v>0</v>
      </c>
      <c r="AE228" s="6">
        <f>IMABS(AB228)</f>
        <v>0</v>
      </c>
      <c r="AF228" s="6">
        <f>IMABS(AC228)</f>
        <v>0</v>
      </c>
      <c r="AG228" s="6">
        <f>IMABS(AD228)</f>
        <v>0</v>
      </c>
      <c r="AH228" s="7">
        <f>20*LOG10(MAX(AE228,1E-300)*1E6)</f>
        <v>0</v>
      </c>
      <c r="AI228" s="7">
        <f>20*LOG10(MAX(AF228,1E-300)*1E6)</f>
        <v>0</v>
      </c>
      <c r="AJ228" s="7">
        <f>20*LOG10(MAX(AG228,1E-300)*1E6)</f>
        <v>0</v>
      </c>
      <c r="AK228" s="7">
        <f>DEGREES(IMARGUMENT(AB228))</f>
        <v>0</v>
      </c>
      <c r="AL228" s="7">
        <f>DEGREES(IMARGUMENT(AC228))</f>
        <v>0</v>
      </c>
      <c r="AM228" s="7">
        <f>DEGREES(IMARGUMENT(AD228))</f>
        <v>0</v>
      </c>
    </row>
    <row r="229" spans="1:39">
      <c r="A229" s="6">
        <f>10^(LOG10(F_START)+(ROW()-ROW($A$2))*(LOG10(F_STOP)-LOG10(F_START))/(N_POINTS-1))</f>
        <v>0</v>
      </c>
      <c r="B229" s="6">
        <f>2*PI()*A229</f>
        <v>0</v>
      </c>
      <c r="C229">
        <f>COMPLEX(2*LINE_PS_DCR,2*B229*LINE_PS_L)</f>
        <v>0</v>
      </c>
      <c r="D229">
        <f>IMSUM(COMPLEX(0,B229*(LINE_PS_CLINE+LINE_PS_CCHA/2)),IMDIV("1",IMPRODUCT("2",COMPLEX(C_THROUGH_ESR,B229*C_THROUGH_ESL-1/(B229*C_THROUGH_C)))))</f>
        <v>0</v>
      </c>
      <c r="E229">
        <f>COMPLEX(2*LINE_INPUT_DCR,2*B229*LINE_INPUT_L)</f>
        <v>0</v>
      </c>
      <c r="F229">
        <f>COMPLEX(0,B229*(LINE_INPUT_CLINE+LINE_INPUT_CCHA/2))</f>
        <v>0</v>
      </c>
      <c r="G229">
        <f>IMPRODUCT("2",IMDIV("1",IMSUM(IMDIV("1",COMPLEX(LDM1_DCR,B229*LDM1_L)),COMPLEX(0,B229*LDM1_CPA))))</f>
        <v>0</v>
      </c>
      <c r="H229">
        <f>IMSUM(IMDIV("1",COMPLEX(CX1_ESR,B229*CX1_ESL-1/(B229*CX1_C))),IMDIV("1",IMSUM(COMPLEX(DUMP1_R,0),COMPLEX(DUMP1_ESR,B229*DUMP1_ESL-1/(B229*DUMP1_C)))))</f>
        <v>0</v>
      </c>
      <c r="I229">
        <f>IMPRODUCT("2",IMDIV("1",IMSUM(IMDIV("1",COMPLEX(LDM2_DCR,B229*LDM2_L)),COMPLEX(0,B229*LDM2_CPA))))</f>
        <v>0</v>
      </c>
      <c r="J229">
        <f>IMSUM(IMDIV("1",COMPLEX(CX2_ESR,B229*CX2_ESL-1/(B229*CX2_C))),IMDIV("1",IMSUM(COMPLEX(DUMP2_R,0),COMPLEX(DUMP2_ESR,B229*DUMP2_ESL-1/(B229*DUMP2_C)))))</f>
        <v>0</v>
      </c>
      <c r="K229">
        <f>IMPRODUCT("2",IMDIV("1",IMSUM(IMDIV("1",COMPLEX(CMC_DCR,B229*CMC_L*(1-CMC_K))),COMPLEX(0,B229*CMC_CPA))))</f>
        <v>0</v>
      </c>
      <c r="L229">
        <f>IMSUM(COMPLEX(0,B229*CMC_CLINE),IMDIV("1",IMPRODUCT("2",COMPLEX(CY_ESR,B229*CY_ESL-1/(B229*CY_C)))),COMPLEX(1/DUMMY_R,0))</f>
        <v>0</v>
      </c>
      <c r="M229">
        <f>IMSUM(D229,IMDIV("1",C229))</f>
        <v>0</v>
      </c>
      <c r="N229">
        <f>IMDIV("1",IMSUM(E229,IMDIV("1",M229)))</f>
        <v>0</v>
      </c>
      <c r="O229">
        <f>IMSUM(F229,N229)</f>
        <v>0</v>
      </c>
      <c r="P229">
        <f>IMDIV("1",IMSUM(G229,IMDIV("1",O229)))</f>
        <v>0</v>
      </c>
      <c r="Q229">
        <f>IMSUM(H229,P229)</f>
        <v>0</v>
      </c>
      <c r="R229">
        <f>IMDIV("1",IMSUM(I229,IMDIV("1",Q229)))</f>
        <v>0</v>
      </c>
      <c r="S229">
        <f>IMSUM(J229,R229)</f>
        <v>0</v>
      </c>
      <c r="T229">
        <f>IMDIV("1",IMSUM(K229,IMDIV("1",S229)))</f>
        <v>0</v>
      </c>
      <c r="U229">
        <f>IMSUM(L229,T229)</f>
        <v>0</v>
      </c>
      <c r="V229">
        <f>IMDIV(COMPLEX(I_DM_SOURCE,0),U229)</f>
        <v>0</v>
      </c>
      <c r="W229">
        <f>IMPRODUCT(V229,T229)</f>
        <v>0</v>
      </c>
      <c r="X229">
        <f>IMDIV(W229,S229)</f>
        <v>0</v>
      </c>
      <c r="Y229">
        <f>IMPRODUCT(X229,R229)</f>
        <v>0</v>
      </c>
      <c r="Z229">
        <f>IMDIV(Y229,Q229)</f>
        <v>0</v>
      </c>
      <c r="AA229">
        <f>IMPRODUCT(Z229,P229)</f>
        <v>0</v>
      </c>
      <c r="AB229">
        <f>AA229</f>
        <v>0</v>
      </c>
      <c r="AC229">
        <f>IMPRODUCT("-1",AB229)</f>
        <v>0</v>
      </c>
      <c r="AD229">
        <f>IMDIV(IMSUB(AB229,AC229),"2")</f>
        <v>0</v>
      </c>
      <c r="AE229" s="6">
        <f>IMABS(AB229)</f>
        <v>0</v>
      </c>
      <c r="AF229" s="6">
        <f>IMABS(AC229)</f>
        <v>0</v>
      </c>
      <c r="AG229" s="6">
        <f>IMABS(AD229)</f>
        <v>0</v>
      </c>
      <c r="AH229" s="7">
        <f>20*LOG10(MAX(AE229,1E-300)*1E6)</f>
        <v>0</v>
      </c>
      <c r="AI229" s="7">
        <f>20*LOG10(MAX(AF229,1E-300)*1E6)</f>
        <v>0</v>
      </c>
      <c r="AJ229" s="7">
        <f>20*LOG10(MAX(AG229,1E-300)*1E6)</f>
        <v>0</v>
      </c>
      <c r="AK229" s="7">
        <f>DEGREES(IMARGUMENT(AB229))</f>
        <v>0</v>
      </c>
      <c r="AL229" s="7">
        <f>DEGREES(IMARGUMENT(AC229))</f>
        <v>0</v>
      </c>
      <c r="AM229" s="7">
        <f>DEGREES(IMARGUMENT(AD229))</f>
        <v>0</v>
      </c>
    </row>
    <row r="230" spans="1:39">
      <c r="A230" s="6">
        <f>10^(LOG10(F_START)+(ROW()-ROW($A$2))*(LOG10(F_STOP)-LOG10(F_START))/(N_POINTS-1))</f>
        <v>0</v>
      </c>
      <c r="B230" s="6">
        <f>2*PI()*A230</f>
        <v>0</v>
      </c>
      <c r="C230">
        <f>COMPLEX(2*LINE_PS_DCR,2*B230*LINE_PS_L)</f>
        <v>0</v>
      </c>
      <c r="D230">
        <f>IMSUM(COMPLEX(0,B230*(LINE_PS_CLINE+LINE_PS_CCHA/2)),IMDIV("1",IMPRODUCT("2",COMPLEX(C_THROUGH_ESR,B230*C_THROUGH_ESL-1/(B230*C_THROUGH_C)))))</f>
        <v>0</v>
      </c>
      <c r="E230">
        <f>COMPLEX(2*LINE_INPUT_DCR,2*B230*LINE_INPUT_L)</f>
        <v>0</v>
      </c>
      <c r="F230">
        <f>COMPLEX(0,B230*(LINE_INPUT_CLINE+LINE_INPUT_CCHA/2))</f>
        <v>0</v>
      </c>
      <c r="G230">
        <f>IMPRODUCT("2",IMDIV("1",IMSUM(IMDIV("1",COMPLEX(LDM1_DCR,B230*LDM1_L)),COMPLEX(0,B230*LDM1_CPA))))</f>
        <v>0</v>
      </c>
      <c r="H230">
        <f>IMSUM(IMDIV("1",COMPLEX(CX1_ESR,B230*CX1_ESL-1/(B230*CX1_C))),IMDIV("1",IMSUM(COMPLEX(DUMP1_R,0),COMPLEX(DUMP1_ESR,B230*DUMP1_ESL-1/(B230*DUMP1_C)))))</f>
        <v>0</v>
      </c>
      <c r="I230">
        <f>IMPRODUCT("2",IMDIV("1",IMSUM(IMDIV("1",COMPLEX(LDM2_DCR,B230*LDM2_L)),COMPLEX(0,B230*LDM2_CPA))))</f>
        <v>0</v>
      </c>
      <c r="J230">
        <f>IMSUM(IMDIV("1",COMPLEX(CX2_ESR,B230*CX2_ESL-1/(B230*CX2_C))),IMDIV("1",IMSUM(COMPLEX(DUMP2_R,0),COMPLEX(DUMP2_ESR,B230*DUMP2_ESL-1/(B230*DUMP2_C)))))</f>
        <v>0</v>
      </c>
      <c r="K230">
        <f>IMPRODUCT("2",IMDIV("1",IMSUM(IMDIV("1",COMPLEX(CMC_DCR,B230*CMC_L*(1-CMC_K))),COMPLEX(0,B230*CMC_CPA))))</f>
        <v>0</v>
      </c>
      <c r="L230">
        <f>IMSUM(COMPLEX(0,B230*CMC_CLINE),IMDIV("1",IMPRODUCT("2",COMPLEX(CY_ESR,B230*CY_ESL-1/(B230*CY_C)))),COMPLEX(1/DUMMY_R,0))</f>
        <v>0</v>
      </c>
      <c r="M230">
        <f>IMSUM(D230,IMDIV("1",C230))</f>
        <v>0</v>
      </c>
      <c r="N230">
        <f>IMDIV("1",IMSUM(E230,IMDIV("1",M230)))</f>
        <v>0</v>
      </c>
      <c r="O230">
        <f>IMSUM(F230,N230)</f>
        <v>0</v>
      </c>
      <c r="P230">
        <f>IMDIV("1",IMSUM(G230,IMDIV("1",O230)))</f>
        <v>0</v>
      </c>
      <c r="Q230">
        <f>IMSUM(H230,P230)</f>
        <v>0</v>
      </c>
      <c r="R230">
        <f>IMDIV("1",IMSUM(I230,IMDIV("1",Q230)))</f>
        <v>0</v>
      </c>
      <c r="S230">
        <f>IMSUM(J230,R230)</f>
        <v>0</v>
      </c>
      <c r="T230">
        <f>IMDIV("1",IMSUM(K230,IMDIV("1",S230)))</f>
        <v>0</v>
      </c>
      <c r="U230">
        <f>IMSUM(L230,T230)</f>
        <v>0</v>
      </c>
      <c r="V230">
        <f>IMDIV(COMPLEX(I_DM_SOURCE,0),U230)</f>
        <v>0</v>
      </c>
      <c r="W230">
        <f>IMPRODUCT(V230,T230)</f>
        <v>0</v>
      </c>
      <c r="X230">
        <f>IMDIV(W230,S230)</f>
        <v>0</v>
      </c>
      <c r="Y230">
        <f>IMPRODUCT(X230,R230)</f>
        <v>0</v>
      </c>
      <c r="Z230">
        <f>IMDIV(Y230,Q230)</f>
        <v>0</v>
      </c>
      <c r="AA230">
        <f>IMPRODUCT(Z230,P230)</f>
        <v>0</v>
      </c>
      <c r="AB230">
        <f>AA230</f>
        <v>0</v>
      </c>
      <c r="AC230">
        <f>IMPRODUCT("-1",AB230)</f>
        <v>0</v>
      </c>
      <c r="AD230">
        <f>IMDIV(IMSUB(AB230,AC230),"2")</f>
        <v>0</v>
      </c>
      <c r="AE230" s="6">
        <f>IMABS(AB230)</f>
        <v>0</v>
      </c>
      <c r="AF230" s="6">
        <f>IMABS(AC230)</f>
        <v>0</v>
      </c>
      <c r="AG230" s="6">
        <f>IMABS(AD230)</f>
        <v>0</v>
      </c>
      <c r="AH230" s="7">
        <f>20*LOG10(MAX(AE230,1E-300)*1E6)</f>
        <v>0</v>
      </c>
      <c r="AI230" s="7">
        <f>20*LOG10(MAX(AF230,1E-300)*1E6)</f>
        <v>0</v>
      </c>
      <c r="AJ230" s="7">
        <f>20*LOG10(MAX(AG230,1E-300)*1E6)</f>
        <v>0</v>
      </c>
      <c r="AK230" s="7">
        <f>DEGREES(IMARGUMENT(AB230))</f>
        <v>0</v>
      </c>
      <c r="AL230" s="7">
        <f>DEGREES(IMARGUMENT(AC230))</f>
        <v>0</v>
      </c>
      <c r="AM230" s="7">
        <f>DEGREES(IMARGUMENT(AD230))</f>
        <v>0</v>
      </c>
    </row>
    <row r="231" spans="1:39">
      <c r="A231" s="6">
        <f>10^(LOG10(F_START)+(ROW()-ROW($A$2))*(LOG10(F_STOP)-LOG10(F_START))/(N_POINTS-1))</f>
        <v>0</v>
      </c>
      <c r="B231" s="6">
        <f>2*PI()*A231</f>
        <v>0</v>
      </c>
      <c r="C231">
        <f>COMPLEX(2*LINE_PS_DCR,2*B231*LINE_PS_L)</f>
        <v>0</v>
      </c>
      <c r="D231">
        <f>IMSUM(COMPLEX(0,B231*(LINE_PS_CLINE+LINE_PS_CCHA/2)),IMDIV("1",IMPRODUCT("2",COMPLEX(C_THROUGH_ESR,B231*C_THROUGH_ESL-1/(B231*C_THROUGH_C)))))</f>
        <v>0</v>
      </c>
      <c r="E231">
        <f>COMPLEX(2*LINE_INPUT_DCR,2*B231*LINE_INPUT_L)</f>
        <v>0</v>
      </c>
      <c r="F231">
        <f>COMPLEX(0,B231*(LINE_INPUT_CLINE+LINE_INPUT_CCHA/2))</f>
        <v>0</v>
      </c>
      <c r="G231">
        <f>IMPRODUCT("2",IMDIV("1",IMSUM(IMDIV("1",COMPLEX(LDM1_DCR,B231*LDM1_L)),COMPLEX(0,B231*LDM1_CPA))))</f>
        <v>0</v>
      </c>
      <c r="H231">
        <f>IMSUM(IMDIV("1",COMPLEX(CX1_ESR,B231*CX1_ESL-1/(B231*CX1_C))),IMDIV("1",IMSUM(COMPLEX(DUMP1_R,0),COMPLEX(DUMP1_ESR,B231*DUMP1_ESL-1/(B231*DUMP1_C)))))</f>
        <v>0</v>
      </c>
      <c r="I231">
        <f>IMPRODUCT("2",IMDIV("1",IMSUM(IMDIV("1",COMPLEX(LDM2_DCR,B231*LDM2_L)),COMPLEX(0,B231*LDM2_CPA))))</f>
        <v>0</v>
      </c>
      <c r="J231">
        <f>IMSUM(IMDIV("1",COMPLEX(CX2_ESR,B231*CX2_ESL-1/(B231*CX2_C))),IMDIV("1",IMSUM(COMPLEX(DUMP2_R,0),COMPLEX(DUMP2_ESR,B231*DUMP2_ESL-1/(B231*DUMP2_C)))))</f>
        <v>0</v>
      </c>
      <c r="K231">
        <f>IMPRODUCT("2",IMDIV("1",IMSUM(IMDIV("1",COMPLEX(CMC_DCR,B231*CMC_L*(1-CMC_K))),COMPLEX(0,B231*CMC_CPA))))</f>
        <v>0</v>
      </c>
      <c r="L231">
        <f>IMSUM(COMPLEX(0,B231*CMC_CLINE),IMDIV("1",IMPRODUCT("2",COMPLEX(CY_ESR,B231*CY_ESL-1/(B231*CY_C)))),COMPLEX(1/DUMMY_R,0))</f>
        <v>0</v>
      </c>
      <c r="M231">
        <f>IMSUM(D231,IMDIV("1",C231))</f>
        <v>0</v>
      </c>
      <c r="N231">
        <f>IMDIV("1",IMSUM(E231,IMDIV("1",M231)))</f>
        <v>0</v>
      </c>
      <c r="O231">
        <f>IMSUM(F231,N231)</f>
        <v>0</v>
      </c>
      <c r="P231">
        <f>IMDIV("1",IMSUM(G231,IMDIV("1",O231)))</f>
        <v>0</v>
      </c>
      <c r="Q231">
        <f>IMSUM(H231,P231)</f>
        <v>0</v>
      </c>
      <c r="R231">
        <f>IMDIV("1",IMSUM(I231,IMDIV("1",Q231)))</f>
        <v>0</v>
      </c>
      <c r="S231">
        <f>IMSUM(J231,R231)</f>
        <v>0</v>
      </c>
      <c r="T231">
        <f>IMDIV("1",IMSUM(K231,IMDIV("1",S231)))</f>
        <v>0</v>
      </c>
      <c r="U231">
        <f>IMSUM(L231,T231)</f>
        <v>0</v>
      </c>
      <c r="V231">
        <f>IMDIV(COMPLEX(I_DM_SOURCE,0),U231)</f>
        <v>0</v>
      </c>
      <c r="W231">
        <f>IMPRODUCT(V231,T231)</f>
        <v>0</v>
      </c>
      <c r="X231">
        <f>IMDIV(W231,S231)</f>
        <v>0</v>
      </c>
      <c r="Y231">
        <f>IMPRODUCT(X231,R231)</f>
        <v>0</v>
      </c>
      <c r="Z231">
        <f>IMDIV(Y231,Q231)</f>
        <v>0</v>
      </c>
      <c r="AA231">
        <f>IMPRODUCT(Z231,P231)</f>
        <v>0</v>
      </c>
      <c r="AB231">
        <f>AA231</f>
        <v>0</v>
      </c>
      <c r="AC231">
        <f>IMPRODUCT("-1",AB231)</f>
        <v>0</v>
      </c>
      <c r="AD231">
        <f>IMDIV(IMSUB(AB231,AC231),"2")</f>
        <v>0</v>
      </c>
      <c r="AE231" s="6">
        <f>IMABS(AB231)</f>
        <v>0</v>
      </c>
      <c r="AF231" s="6">
        <f>IMABS(AC231)</f>
        <v>0</v>
      </c>
      <c r="AG231" s="6">
        <f>IMABS(AD231)</f>
        <v>0</v>
      </c>
      <c r="AH231" s="7">
        <f>20*LOG10(MAX(AE231,1E-300)*1E6)</f>
        <v>0</v>
      </c>
      <c r="AI231" s="7">
        <f>20*LOG10(MAX(AF231,1E-300)*1E6)</f>
        <v>0</v>
      </c>
      <c r="AJ231" s="7">
        <f>20*LOG10(MAX(AG231,1E-300)*1E6)</f>
        <v>0</v>
      </c>
      <c r="AK231" s="7">
        <f>DEGREES(IMARGUMENT(AB231))</f>
        <v>0</v>
      </c>
      <c r="AL231" s="7">
        <f>DEGREES(IMARGUMENT(AC231))</f>
        <v>0</v>
      </c>
      <c r="AM231" s="7">
        <f>DEGREES(IMARGUMENT(AD231))</f>
        <v>0</v>
      </c>
    </row>
    <row r="232" spans="1:39">
      <c r="A232" s="6">
        <f>10^(LOG10(F_START)+(ROW()-ROW($A$2))*(LOG10(F_STOP)-LOG10(F_START))/(N_POINTS-1))</f>
        <v>0</v>
      </c>
      <c r="B232" s="6">
        <f>2*PI()*A232</f>
        <v>0</v>
      </c>
      <c r="C232">
        <f>COMPLEX(2*LINE_PS_DCR,2*B232*LINE_PS_L)</f>
        <v>0</v>
      </c>
      <c r="D232">
        <f>IMSUM(COMPLEX(0,B232*(LINE_PS_CLINE+LINE_PS_CCHA/2)),IMDIV("1",IMPRODUCT("2",COMPLEX(C_THROUGH_ESR,B232*C_THROUGH_ESL-1/(B232*C_THROUGH_C)))))</f>
        <v>0</v>
      </c>
      <c r="E232">
        <f>COMPLEX(2*LINE_INPUT_DCR,2*B232*LINE_INPUT_L)</f>
        <v>0</v>
      </c>
      <c r="F232">
        <f>COMPLEX(0,B232*(LINE_INPUT_CLINE+LINE_INPUT_CCHA/2))</f>
        <v>0</v>
      </c>
      <c r="G232">
        <f>IMPRODUCT("2",IMDIV("1",IMSUM(IMDIV("1",COMPLEX(LDM1_DCR,B232*LDM1_L)),COMPLEX(0,B232*LDM1_CPA))))</f>
        <v>0</v>
      </c>
      <c r="H232">
        <f>IMSUM(IMDIV("1",COMPLEX(CX1_ESR,B232*CX1_ESL-1/(B232*CX1_C))),IMDIV("1",IMSUM(COMPLEX(DUMP1_R,0),COMPLEX(DUMP1_ESR,B232*DUMP1_ESL-1/(B232*DUMP1_C)))))</f>
        <v>0</v>
      </c>
      <c r="I232">
        <f>IMPRODUCT("2",IMDIV("1",IMSUM(IMDIV("1",COMPLEX(LDM2_DCR,B232*LDM2_L)),COMPLEX(0,B232*LDM2_CPA))))</f>
        <v>0</v>
      </c>
      <c r="J232">
        <f>IMSUM(IMDIV("1",COMPLEX(CX2_ESR,B232*CX2_ESL-1/(B232*CX2_C))),IMDIV("1",IMSUM(COMPLEX(DUMP2_R,0),COMPLEX(DUMP2_ESR,B232*DUMP2_ESL-1/(B232*DUMP2_C)))))</f>
        <v>0</v>
      </c>
      <c r="K232">
        <f>IMPRODUCT("2",IMDIV("1",IMSUM(IMDIV("1",COMPLEX(CMC_DCR,B232*CMC_L*(1-CMC_K))),COMPLEX(0,B232*CMC_CPA))))</f>
        <v>0</v>
      </c>
      <c r="L232">
        <f>IMSUM(COMPLEX(0,B232*CMC_CLINE),IMDIV("1",IMPRODUCT("2",COMPLEX(CY_ESR,B232*CY_ESL-1/(B232*CY_C)))),COMPLEX(1/DUMMY_R,0))</f>
        <v>0</v>
      </c>
      <c r="M232">
        <f>IMSUM(D232,IMDIV("1",C232))</f>
        <v>0</v>
      </c>
      <c r="N232">
        <f>IMDIV("1",IMSUM(E232,IMDIV("1",M232)))</f>
        <v>0</v>
      </c>
      <c r="O232">
        <f>IMSUM(F232,N232)</f>
        <v>0</v>
      </c>
      <c r="P232">
        <f>IMDIV("1",IMSUM(G232,IMDIV("1",O232)))</f>
        <v>0</v>
      </c>
      <c r="Q232">
        <f>IMSUM(H232,P232)</f>
        <v>0</v>
      </c>
      <c r="R232">
        <f>IMDIV("1",IMSUM(I232,IMDIV("1",Q232)))</f>
        <v>0</v>
      </c>
      <c r="S232">
        <f>IMSUM(J232,R232)</f>
        <v>0</v>
      </c>
      <c r="T232">
        <f>IMDIV("1",IMSUM(K232,IMDIV("1",S232)))</f>
        <v>0</v>
      </c>
      <c r="U232">
        <f>IMSUM(L232,T232)</f>
        <v>0</v>
      </c>
      <c r="V232">
        <f>IMDIV(COMPLEX(I_DM_SOURCE,0),U232)</f>
        <v>0</v>
      </c>
      <c r="W232">
        <f>IMPRODUCT(V232,T232)</f>
        <v>0</v>
      </c>
      <c r="X232">
        <f>IMDIV(W232,S232)</f>
        <v>0</v>
      </c>
      <c r="Y232">
        <f>IMPRODUCT(X232,R232)</f>
        <v>0</v>
      </c>
      <c r="Z232">
        <f>IMDIV(Y232,Q232)</f>
        <v>0</v>
      </c>
      <c r="AA232">
        <f>IMPRODUCT(Z232,P232)</f>
        <v>0</v>
      </c>
      <c r="AB232">
        <f>AA232</f>
        <v>0</v>
      </c>
      <c r="AC232">
        <f>IMPRODUCT("-1",AB232)</f>
        <v>0</v>
      </c>
      <c r="AD232">
        <f>IMDIV(IMSUB(AB232,AC232),"2")</f>
        <v>0</v>
      </c>
      <c r="AE232" s="6">
        <f>IMABS(AB232)</f>
        <v>0</v>
      </c>
      <c r="AF232" s="6">
        <f>IMABS(AC232)</f>
        <v>0</v>
      </c>
      <c r="AG232" s="6">
        <f>IMABS(AD232)</f>
        <v>0</v>
      </c>
      <c r="AH232" s="7">
        <f>20*LOG10(MAX(AE232,1E-300)*1E6)</f>
        <v>0</v>
      </c>
      <c r="AI232" s="7">
        <f>20*LOG10(MAX(AF232,1E-300)*1E6)</f>
        <v>0</v>
      </c>
      <c r="AJ232" s="7">
        <f>20*LOG10(MAX(AG232,1E-300)*1E6)</f>
        <v>0</v>
      </c>
      <c r="AK232" s="7">
        <f>DEGREES(IMARGUMENT(AB232))</f>
        <v>0</v>
      </c>
      <c r="AL232" s="7">
        <f>DEGREES(IMARGUMENT(AC232))</f>
        <v>0</v>
      </c>
      <c r="AM232" s="7">
        <f>DEGREES(IMARGUMENT(AD232))</f>
        <v>0</v>
      </c>
    </row>
    <row r="233" spans="1:39">
      <c r="A233" s="6">
        <f>10^(LOG10(F_START)+(ROW()-ROW($A$2))*(LOG10(F_STOP)-LOG10(F_START))/(N_POINTS-1))</f>
        <v>0</v>
      </c>
      <c r="B233" s="6">
        <f>2*PI()*A233</f>
        <v>0</v>
      </c>
      <c r="C233">
        <f>COMPLEX(2*LINE_PS_DCR,2*B233*LINE_PS_L)</f>
        <v>0</v>
      </c>
      <c r="D233">
        <f>IMSUM(COMPLEX(0,B233*(LINE_PS_CLINE+LINE_PS_CCHA/2)),IMDIV("1",IMPRODUCT("2",COMPLEX(C_THROUGH_ESR,B233*C_THROUGH_ESL-1/(B233*C_THROUGH_C)))))</f>
        <v>0</v>
      </c>
      <c r="E233">
        <f>COMPLEX(2*LINE_INPUT_DCR,2*B233*LINE_INPUT_L)</f>
        <v>0</v>
      </c>
      <c r="F233">
        <f>COMPLEX(0,B233*(LINE_INPUT_CLINE+LINE_INPUT_CCHA/2))</f>
        <v>0</v>
      </c>
      <c r="G233">
        <f>IMPRODUCT("2",IMDIV("1",IMSUM(IMDIV("1",COMPLEX(LDM1_DCR,B233*LDM1_L)),COMPLEX(0,B233*LDM1_CPA))))</f>
        <v>0</v>
      </c>
      <c r="H233">
        <f>IMSUM(IMDIV("1",COMPLEX(CX1_ESR,B233*CX1_ESL-1/(B233*CX1_C))),IMDIV("1",IMSUM(COMPLEX(DUMP1_R,0),COMPLEX(DUMP1_ESR,B233*DUMP1_ESL-1/(B233*DUMP1_C)))))</f>
        <v>0</v>
      </c>
      <c r="I233">
        <f>IMPRODUCT("2",IMDIV("1",IMSUM(IMDIV("1",COMPLEX(LDM2_DCR,B233*LDM2_L)),COMPLEX(0,B233*LDM2_CPA))))</f>
        <v>0</v>
      </c>
      <c r="J233">
        <f>IMSUM(IMDIV("1",COMPLEX(CX2_ESR,B233*CX2_ESL-1/(B233*CX2_C))),IMDIV("1",IMSUM(COMPLEX(DUMP2_R,0),COMPLEX(DUMP2_ESR,B233*DUMP2_ESL-1/(B233*DUMP2_C)))))</f>
        <v>0</v>
      </c>
      <c r="K233">
        <f>IMPRODUCT("2",IMDIV("1",IMSUM(IMDIV("1",COMPLEX(CMC_DCR,B233*CMC_L*(1-CMC_K))),COMPLEX(0,B233*CMC_CPA))))</f>
        <v>0</v>
      </c>
      <c r="L233">
        <f>IMSUM(COMPLEX(0,B233*CMC_CLINE),IMDIV("1",IMPRODUCT("2",COMPLEX(CY_ESR,B233*CY_ESL-1/(B233*CY_C)))),COMPLEX(1/DUMMY_R,0))</f>
        <v>0</v>
      </c>
      <c r="M233">
        <f>IMSUM(D233,IMDIV("1",C233))</f>
        <v>0</v>
      </c>
      <c r="N233">
        <f>IMDIV("1",IMSUM(E233,IMDIV("1",M233)))</f>
        <v>0</v>
      </c>
      <c r="O233">
        <f>IMSUM(F233,N233)</f>
        <v>0</v>
      </c>
      <c r="P233">
        <f>IMDIV("1",IMSUM(G233,IMDIV("1",O233)))</f>
        <v>0</v>
      </c>
      <c r="Q233">
        <f>IMSUM(H233,P233)</f>
        <v>0</v>
      </c>
      <c r="R233">
        <f>IMDIV("1",IMSUM(I233,IMDIV("1",Q233)))</f>
        <v>0</v>
      </c>
      <c r="S233">
        <f>IMSUM(J233,R233)</f>
        <v>0</v>
      </c>
      <c r="T233">
        <f>IMDIV("1",IMSUM(K233,IMDIV("1",S233)))</f>
        <v>0</v>
      </c>
      <c r="U233">
        <f>IMSUM(L233,T233)</f>
        <v>0</v>
      </c>
      <c r="V233">
        <f>IMDIV(COMPLEX(I_DM_SOURCE,0),U233)</f>
        <v>0</v>
      </c>
      <c r="W233">
        <f>IMPRODUCT(V233,T233)</f>
        <v>0</v>
      </c>
      <c r="X233">
        <f>IMDIV(W233,S233)</f>
        <v>0</v>
      </c>
      <c r="Y233">
        <f>IMPRODUCT(X233,R233)</f>
        <v>0</v>
      </c>
      <c r="Z233">
        <f>IMDIV(Y233,Q233)</f>
        <v>0</v>
      </c>
      <c r="AA233">
        <f>IMPRODUCT(Z233,P233)</f>
        <v>0</v>
      </c>
      <c r="AB233">
        <f>AA233</f>
        <v>0</v>
      </c>
      <c r="AC233">
        <f>IMPRODUCT("-1",AB233)</f>
        <v>0</v>
      </c>
      <c r="AD233">
        <f>IMDIV(IMSUB(AB233,AC233),"2")</f>
        <v>0</v>
      </c>
      <c r="AE233" s="6">
        <f>IMABS(AB233)</f>
        <v>0</v>
      </c>
      <c r="AF233" s="6">
        <f>IMABS(AC233)</f>
        <v>0</v>
      </c>
      <c r="AG233" s="6">
        <f>IMABS(AD233)</f>
        <v>0</v>
      </c>
      <c r="AH233" s="7">
        <f>20*LOG10(MAX(AE233,1E-300)*1E6)</f>
        <v>0</v>
      </c>
      <c r="AI233" s="7">
        <f>20*LOG10(MAX(AF233,1E-300)*1E6)</f>
        <v>0</v>
      </c>
      <c r="AJ233" s="7">
        <f>20*LOG10(MAX(AG233,1E-300)*1E6)</f>
        <v>0</v>
      </c>
      <c r="AK233" s="7">
        <f>DEGREES(IMARGUMENT(AB233))</f>
        <v>0</v>
      </c>
      <c r="AL233" s="7">
        <f>DEGREES(IMARGUMENT(AC233))</f>
        <v>0</v>
      </c>
      <c r="AM233" s="7">
        <f>DEGREES(IMARGUMENT(AD233))</f>
        <v>0</v>
      </c>
    </row>
    <row r="234" spans="1:39">
      <c r="A234" s="6">
        <f>10^(LOG10(F_START)+(ROW()-ROW($A$2))*(LOG10(F_STOP)-LOG10(F_START))/(N_POINTS-1))</f>
        <v>0</v>
      </c>
      <c r="B234" s="6">
        <f>2*PI()*A234</f>
        <v>0</v>
      </c>
      <c r="C234">
        <f>COMPLEX(2*LINE_PS_DCR,2*B234*LINE_PS_L)</f>
        <v>0</v>
      </c>
      <c r="D234">
        <f>IMSUM(COMPLEX(0,B234*(LINE_PS_CLINE+LINE_PS_CCHA/2)),IMDIV("1",IMPRODUCT("2",COMPLEX(C_THROUGH_ESR,B234*C_THROUGH_ESL-1/(B234*C_THROUGH_C)))))</f>
        <v>0</v>
      </c>
      <c r="E234">
        <f>COMPLEX(2*LINE_INPUT_DCR,2*B234*LINE_INPUT_L)</f>
        <v>0</v>
      </c>
      <c r="F234">
        <f>COMPLEX(0,B234*(LINE_INPUT_CLINE+LINE_INPUT_CCHA/2))</f>
        <v>0</v>
      </c>
      <c r="G234">
        <f>IMPRODUCT("2",IMDIV("1",IMSUM(IMDIV("1",COMPLEX(LDM1_DCR,B234*LDM1_L)),COMPLEX(0,B234*LDM1_CPA))))</f>
        <v>0</v>
      </c>
      <c r="H234">
        <f>IMSUM(IMDIV("1",COMPLEX(CX1_ESR,B234*CX1_ESL-1/(B234*CX1_C))),IMDIV("1",IMSUM(COMPLEX(DUMP1_R,0),COMPLEX(DUMP1_ESR,B234*DUMP1_ESL-1/(B234*DUMP1_C)))))</f>
        <v>0</v>
      </c>
      <c r="I234">
        <f>IMPRODUCT("2",IMDIV("1",IMSUM(IMDIV("1",COMPLEX(LDM2_DCR,B234*LDM2_L)),COMPLEX(0,B234*LDM2_CPA))))</f>
        <v>0</v>
      </c>
      <c r="J234">
        <f>IMSUM(IMDIV("1",COMPLEX(CX2_ESR,B234*CX2_ESL-1/(B234*CX2_C))),IMDIV("1",IMSUM(COMPLEX(DUMP2_R,0),COMPLEX(DUMP2_ESR,B234*DUMP2_ESL-1/(B234*DUMP2_C)))))</f>
        <v>0</v>
      </c>
      <c r="K234">
        <f>IMPRODUCT("2",IMDIV("1",IMSUM(IMDIV("1",COMPLEX(CMC_DCR,B234*CMC_L*(1-CMC_K))),COMPLEX(0,B234*CMC_CPA))))</f>
        <v>0</v>
      </c>
      <c r="L234">
        <f>IMSUM(COMPLEX(0,B234*CMC_CLINE),IMDIV("1",IMPRODUCT("2",COMPLEX(CY_ESR,B234*CY_ESL-1/(B234*CY_C)))),COMPLEX(1/DUMMY_R,0))</f>
        <v>0</v>
      </c>
      <c r="M234">
        <f>IMSUM(D234,IMDIV("1",C234))</f>
        <v>0</v>
      </c>
      <c r="N234">
        <f>IMDIV("1",IMSUM(E234,IMDIV("1",M234)))</f>
        <v>0</v>
      </c>
      <c r="O234">
        <f>IMSUM(F234,N234)</f>
        <v>0</v>
      </c>
      <c r="P234">
        <f>IMDIV("1",IMSUM(G234,IMDIV("1",O234)))</f>
        <v>0</v>
      </c>
      <c r="Q234">
        <f>IMSUM(H234,P234)</f>
        <v>0</v>
      </c>
      <c r="R234">
        <f>IMDIV("1",IMSUM(I234,IMDIV("1",Q234)))</f>
        <v>0</v>
      </c>
      <c r="S234">
        <f>IMSUM(J234,R234)</f>
        <v>0</v>
      </c>
      <c r="T234">
        <f>IMDIV("1",IMSUM(K234,IMDIV("1",S234)))</f>
        <v>0</v>
      </c>
      <c r="U234">
        <f>IMSUM(L234,T234)</f>
        <v>0</v>
      </c>
      <c r="V234">
        <f>IMDIV(COMPLEX(I_DM_SOURCE,0),U234)</f>
        <v>0</v>
      </c>
      <c r="W234">
        <f>IMPRODUCT(V234,T234)</f>
        <v>0</v>
      </c>
      <c r="X234">
        <f>IMDIV(W234,S234)</f>
        <v>0</v>
      </c>
      <c r="Y234">
        <f>IMPRODUCT(X234,R234)</f>
        <v>0</v>
      </c>
      <c r="Z234">
        <f>IMDIV(Y234,Q234)</f>
        <v>0</v>
      </c>
      <c r="AA234">
        <f>IMPRODUCT(Z234,P234)</f>
        <v>0</v>
      </c>
      <c r="AB234">
        <f>AA234</f>
        <v>0</v>
      </c>
      <c r="AC234">
        <f>IMPRODUCT("-1",AB234)</f>
        <v>0</v>
      </c>
      <c r="AD234">
        <f>IMDIV(IMSUB(AB234,AC234),"2")</f>
        <v>0</v>
      </c>
      <c r="AE234" s="6">
        <f>IMABS(AB234)</f>
        <v>0</v>
      </c>
      <c r="AF234" s="6">
        <f>IMABS(AC234)</f>
        <v>0</v>
      </c>
      <c r="AG234" s="6">
        <f>IMABS(AD234)</f>
        <v>0</v>
      </c>
      <c r="AH234" s="7">
        <f>20*LOG10(MAX(AE234,1E-300)*1E6)</f>
        <v>0</v>
      </c>
      <c r="AI234" s="7">
        <f>20*LOG10(MAX(AF234,1E-300)*1E6)</f>
        <v>0</v>
      </c>
      <c r="AJ234" s="7">
        <f>20*LOG10(MAX(AG234,1E-300)*1E6)</f>
        <v>0</v>
      </c>
      <c r="AK234" s="7">
        <f>DEGREES(IMARGUMENT(AB234))</f>
        <v>0</v>
      </c>
      <c r="AL234" s="7">
        <f>DEGREES(IMARGUMENT(AC234))</f>
        <v>0</v>
      </c>
      <c r="AM234" s="7">
        <f>DEGREES(IMARGUMENT(AD234))</f>
        <v>0</v>
      </c>
    </row>
    <row r="235" spans="1:39">
      <c r="A235" s="6">
        <f>10^(LOG10(F_START)+(ROW()-ROW($A$2))*(LOG10(F_STOP)-LOG10(F_START))/(N_POINTS-1))</f>
        <v>0</v>
      </c>
      <c r="B235" s="6">
        <f>2*PI()*A235</f>
        <v>0</v>
      </c>
      <c r="C235">
        <f>COMPLEX(2*LINE_PS_DCR,2*B235*LINE_PS_L)</f>
        <v>0</v>
      </c>
      <c r="D235">
        <f>IMSUM(COMPLEX(0,B235*(LINE_PS_CLINE+LINE_PS_CCHA/2)),IMDIV("1",IMPRODUCT("2",COMPLEX(C_THROUGH_ESR,B235*C_THROUGH_ESL-1/(B235*C_THROUGH_C)))))</f>
        <v>0</v>
      </c>
      <c r="E235">
        <f>COMPLEX(2*LINE_INPUT_DCR,2*B235*LINE_INPUT_L)</f>
        <v>0</v>
      </c>
      <c r="F235">
        <f>COMPLEX(0,B235*(LINE_INPUT_CLINE+LINE_INPUT_CCHA/2))</f>
        <v>0</v>
      </c>
      <c r="G235">
        <f>IMPRODUCT("2",IMDIV("1",IMSUM(IMDIV("1",COMPLEX(LDM1_DCR,B235*LDM1_L)),COMPLEX(0,B235*LDM1_CPA))))</f>
        <v>0</v>
      </c>
      <c r="H235">
        <f>IMSUM(IMDIV("1",COMPLEX(CX1_ESR,B235*CX1_ESL-1/(B235*CX1_C))),IMDIV("1",IMSUM(COMPLEX(DUMP1_R,0),COMPLEX(DUMP1_ESR,B235*DUMP1_ESL-1/(B235*DUMP1_C)))))</f>
        <v>0</v>
      </c>
      <c r="I235">
        <f>IMPRODUCT("2",IMDIV("1",IMSUM(IMDIV("1",COMPLEX(LDM2_DCR,B235*LDM2_L)),COMPLEX(0,B235*LDM2_CPA))))</f>
        <v>0</v>
      </c>
      <c r="J235">
        <f>IMSUM(IMDIV("1",COMPLEX(CX2_ESR,B235*CX2_ESL-1/(B235*CX2_C))),IMDIV("1",IMSUM(COMPLEX(DUMP2_R,0),COMPLEX(DUMP2_ESR,B235*DUMP2_ESL-1/(B235*DUMP2_C)))))</f>
        <v>0</v>
      </c>
      <c r="K235">
        <f>IMPRODUCT("2",IMDIV("1",IMSUM(IMDIV("1",COMPLEX(CMC_DCR,B235*CMC_L*(1-CMC_K))),COMPLEX(0,B235*CMC_CPA))))</f>
        <v>0</v>
      </c>
      <c r="L235">
        <f>IMSUM(COMPLEX(0,B235*CMC_CLINE),IMDIV("1",IMPRODUCT("2",COMPLEX(CY_ESR,B235*CY_ESL-1/(B235*CY_C)))),COMPLEX(1/DUMMY_R,0))</f>
        <v>0</v>
      </c>
      <c r="M235">
        <f>IMSUM(D235,IMDIV("1",C235))</f>
        <v>0</v>
      </c>
      <c r="N235">
        <f>IMDIV("1",IMSUM(E235,IMDIV("1",M235)))</f>
        <v>0</v>
      </c>
      <c r="O235">
        <f>IMSUM(F235,N235)</f>
        <v>0</v>
      </c>
      <c r="P235">
        <f>IMDIV("1",IMSUM(G235,IMDIV("1",O235)))</f>
        <v>0</v>
      </c>
      <c r="Q235">
        <f>IMSUM(H235,P235)</f>
        <v>0</v>
      </c>
      <c r="R235">
        <f>IMDIV("1",IMSUM(I235,IMDIV("1",Q235)))</f>
        <v>0</v>
      </c>
      <c r="S235">
        <f>IMSUM(J235,R235)</f>
        <v>0</v>
      </c>
      <c r="T235">
        <f>IMDIV("1",IMSUM(K235,IMDIV("1",S235)))</f>
        <v>0</v>
      </c>
      <c r="U235">
        <f>IMSUM(L235,T235)</f>
        <v>0</v>
      </c>
      <c r="V235">
        <f>IMDIV(COMPLEX(I_DM_SOURCE,0),U235)</f>
        <v>0</v>
      </c>
      <c r="W235">
        <f>IMPRODUCT(V235,T235)</f>
        <v>0</v>
      </c>
      <c r="X235">
        <f>IMDIV(W235,S235)</f>
        <v>0</v>
      </c>
      <c r="Y235">
        <f>IMPRODUCT(X235,R235)</f>
        <v>0</v>
      </c>
      <c r="Z235">
        <f>IMDIV(Y235,Q235)</f>
        <v>0</v>
      </c>
      <c r="AA235">
        <f>IMPRODUCT(Z235,P235)</f>
        <v>0</v>
      </c>
      <c r="AB235">
        <f>AA235</f>
        <v>0</v>
      </c>
      <c r="AC235">
        <f>IMPRODUCT("-1",AB235)</f>
        <v>0</v>
      </c>
      <c r="AD235">
        <f>IMDIV(IMSUB(AB235,AC235),"2")</f>
        <v>0</v>
      </c>
      <c r="AE235" s="6">
        <f>IMABS(AB235)</f>
        <v>0</v>
      </c>
      <c r="AF235" s="6">
        <f>IMABS(AC235)</f>
        <v>0</v>
      </c>
      <c r="AG235" s="6">
        <f>IMABS(AD235)</f>
        <v>0</v>
      </c>
      <c r="AH235" s="7">
        <f>20*LOG10(MAX(AE235,1E-300)*1E6)</f>
        <v>0</v>
      </c>
      <c r="AI235" s="7">
        <f>20*LOG10(MAX(AF235,1E-300)*1E6)</f>
        <v>0</v>
      </c>
      <c r="AJ235" s="7">
        <f>20*LOG10(MAX(AG235,1E-300)*1E6)</f>
        <v>0</v>
      </c>
      <c r="AK235" s="7">
        <f>DEGREES(IMARGUMENT(AB235))</f>
        <v>0</v>
      </c>
      <c r="AL235" s="7">
        <f>DEGREES(IMARGUMENT(AC235))</f>
        <v>0</v>
      </c>
      <c r="AM235" s="7">
        <f>DEGREES(IMARGUMENT(AD235))</f>
        <v>0</v>
      </c>
    </row>
    <row r="236" spans="1:39">
      <c r="A236" s="6">
        <f>10^(LOG10(F_START)+(ROW()-ROW($A$2))*(LOG10(F_STOP)-LOG10(F_START))/(N_POINTS-1))</f>
        <v>0</v>
      </c>
      <c r="B236" s="6">
        <f>2*PI()*A236</f>
        <v>0</v>
      </c>
      <c r="C236">
        <f>COMPLEX(2*LINE_PS_DCR,2*B236*LINE_PS_L)</f>
        <v>0</v>
      </c>
      <c r="D236">
        <f>IMSUM(COMPLEX(0,B236*(LINE_PS_CLINE+LINE_PS_CCHA/2)),IMDIV("1",IMPRODUCT("2",COMPLEX(C_THROUGH_ESR,B236*C_THROUGH_ESL-1/(B236*C_THROUGH_C)))))</f>
        <v>0</v>
      </c>
      <c r="E236">
        <f>COMPLEX(2*LINE_INPUT_DCR,2*B236*LINE_INPUT_L)</f>
        <v>0</v>
      </c>
      <c r="F236">
        <f>COMPLEX(0,B236*(LINE_INPUT_CLINE+LINE_INPUT_CCHA/2))</f>
        <v>0</v>
      </c>
      <c r="G236">
        <f>IMPRODUCT("2",IMDIV("1",IMSUM(IMDIV("1",COMPLEX(LDM1_DCR,B236*LDM1_L)),COMPLEX(0,B236*LDM1_CPA))))</f>
        <v>0</v>
      </c>
      <c r="H236">
        <f>IMSUM(IMDIV("1",COMPLEX(CX1_ESR,B236*CX1_ESL-1/(B236*CX1_C))),IMDIV("1",IMSUM(COMPLEX(DUMP1_R,0),COMPLEX(DUMP1_ESR,B236*DUMP1_ESL-1/(B236*DUMP1_C)))))</f>
        <v>0</v>
      </c>
      <c r="I236">
        <f>IMPRODUCT("2",IMDIV("1",IMSUM(IMDIV("1",COMPLEX(LDM2_DCR,B236*LDM2_L)),COMPLEX(0,B236*LDM2_CPA))))</f>
        <v>0</v>
      </c>
      <c r="J236">
        <f>IMSUM(IMDIV("1",COMPLEX(CX2_ESR,B236*CX2_ESL-1/(B236*CX2_C))),IMDIV("1",IMSUM(COMPLEX(DUMP2_R,0),COMPLEX(DUMP2_ESR,B236*DUMP2_ESL-1/(B236*DUMP2_C)))))</f>
        <v>0</v>
      </c>
      <c r="K236">
        <f>IMPRODUCT("2",IMDIV("1",IMSUM(IMDIV("1",COMPLEX(CMC_DCR,B236*CMC_L*(1-CMC_K))),COMPLEX(0,B236*CMC_CPA))))</f>
        <v>0</v>
      </c>
      <c r="L236">
        <f>IMSUM(COMPLEX(0,B236*CMC_CLINE),IMDIV("1",IMPRODUCT("2",COMPLEX(CY_ESR,B236*CY_ESL-1/(B236*CY_C)))),COMPLEX(1/DUMMY_R,0))</f>
        <v>0</v>
      </c>
      <c r="M236">
        <f>IMSUM(D236,IMDIV("1",C236))</f>
        <v>0</v>
      </c>
      <c r="N236">
        <f>IMDIV("1",IMSUM(E236,IMDIV("1",M236)))</f>
        <v>0</v>
      </c>
      <c r="O236">
        <f>IMSUM(F236,N236)</f>
        <v>0</v>
      </c>
      <c r="P236">
        <f>IMDIV("1",IMSUM(G236,IMDIV("1",O236)))</f>
        <v>0</v>
      </c>
      <c r="Q236">
        <f>IMSUM(H236,P236)</f>
        <v>0</v>
      </c>
      <c r="R236">
        <f>IMDIV("1",IMSUM(I236,IMDIV("1",Q236)))</f>
        <v>0</v>
      </c>
      <c r="S236">
        <f>IMSUM(J236,R236)</f>
        <v>0</v>
      </c>
      <c r="T236">
        <f>IMDIV("1",IMSUM(K236,IMDIV("1",S236)))</f>
        <v>0</v>
      </c>
      <c r="U236">
        <f>IMSUM(L236,T236)</f>
        <v>0</v>
      </c>
      <c r="V236">
        <f>IMDIV(COMPLEX(I_DM_SOURCE,0),U236)</f>
        <v>0</v>
      </c>
      <c r="W236">
        <f>IMPRODUCT(V236,T236)</f>
        <v>0</v>
      </c>
      <c r="X236">
        <f>IMDIV(W236,S236)</f>
        <v>0</v>
      </c>
      <c r="Y236">
        <f>IMPRODUCT(X236,R236)</f>
        <v>0</v>
      </c>
      <c r="Z236">
        <f>IMDIV(Y236,Q236)</f>
        <v>0</v>
      </c>
      <c r="AA236">
        <f>IMPRODUCT(Z236,P236)</f>
        <v>0</v>
      </c>
      <c r="AB236">
        <f>AA236</f>
        <v>0</v>
      </c>
      <c r="AC236">
        <f>IMPRODUCT("-1",AB236)</f>
        <v>0</v>
      </c>
      <c r="AD236">
        <f>IMDIV(IMSUB(AB236,AC236),"2")</f>
        <v>0</v>
      </c>
      <c r="AE236" s="6">
        <f>IMABS(AB236)</f>
        <v>0</v>
      </c>
      <c r="AF236" s="6">
        <f>IMABS(AC236)</f>
        <v>0</v>
      </c>
      <c r="AG236" s="6">
        <f>IMABS(AD236)</f>
        <v>0</v>
      </c>
      <c r="AH236" s="7">
        <f>20*LOG10(MAX(AE236,1E-300)*1E6)</f>
        <v>0</v>
      </c>
      <c r="AI236" s="7">
        <f>20*LOG10(MAX(AF236,1E-300)*1E6)</f>
        <v>0</v>
      </c>
      <c r="AJ236" s="7">
        <f>20*LOG10(MAX(AG236,1E-300)*1E6)</f>
        <v>0</v>
      </c>
      <c r="AK236" s="7">
        <f>DEGREES(IMARGUMENT(AB236))</f>
        <v>0</v>
      </c>
      <c r="AL236" s="7">
        <f>DEGREES(IMARGUMENT(AC236))</f>
        <v>0</v>
      </c>
      <c r="AM236" s="7">
        <f>DEGREES(IMARGUMENT(AD236))</f>
        <v>0</v>
      </c>
    </row>
    <row r="237" spans="1:39">
      <c r="A237" s="6">
        <f>10^(LOG10(F_START)+(ROW()-ROW($A$2))*(LOG10(F_STOP)-LOG10(F_START))/(N_POINTS-1))</f>
        <v>0</v>
      </c>
      <c r="B237" s="6">
        <f>2*PI()*A237</f>
        <v>0</v>
      </c>
      <c r="C237">
        <f>COMPLEX(2*LINE_PS_DCR,2*B237*LINE_PS_L)</f>
        <v>0</v>
      </c>
      <c r="D237">
        <f>IMSUM(COMPLEX(0,B237*(LINE_PS_CLINE+LINE_PS_CCHA/2)),IMDIV("1",IMPRODUCT("2",COMPLEX(C_THROUGH_ESR,B237*C_THROUGH_ESL-1/(B237*C_THROUGH_C)))))</f>
        <v>0</v>
      </c>
      <c r="E237">
        <f>COMPLEX(2*LINE_INPUT_DCR,2*B237*LINE_INPUT_L)</f>
        <v>0</v>
      </c>
      <c r="F237">
        <f>COMPLEX(0,B237*(LINE_INPUT_CLINE+LINE_INPUT_CCHA/2))</f>
        <v>0</v>
      </c>
      <c r="G237">
        <f>IMPRODUCT("2",IMDIV("1",IMSUM(IMDIV("1",COMPLEX(LDM1_DCR,B237*LDM1_L)),COMPLEX(0,B237*LDM1_CPA))))</f>
        <v>0</v>
      </c>
      <c r="H237">
        <f>IMSUM(IMDIV("1",COMPLEX(CX1_ESR,B237*CX1_ESL-1/(B237*CX1_C))),IMDIV("1",IMSUM(COMPLEX(DUMP1_R,0),COMPLEX(DUMP1_ESR,B237*DUMP1_ESL-1/(B237*DUMP1_C)))))</f>
        <v>0</v>
      </c>
      <c r="I237">
        <f>IMPRODUCT("2",IMDIV("1",IMSUM(IMDIV("1",COMPLEX(LDM2_DCR,B237*LDM2_L)),COMPLEX(0,B237*LDM2_CPA))))</f>
        <v>0</v>
      </c>
      <c r="J237">
        <f>IMSUM(IMDIV("1",COMPLEX(CX2_ESR,B237*CX2_ESL-1/(B237*CX2_C))),IMDIV("1",IMSUM(COMPLEX(DUMP2_R,0),COMPLEX(DUMP2_ESR,B237*DUMP2_ESL-1/(B237*DUMP2_C)))))</f>
        <v>0</v>
      </c>
      <c r="K237">
        <f>IMPRODUCT("2",IMDIV("1",IMSUM(IMDIV("1",COMPLEX(CMC_DCR,B237*CMC_L*(1-CMC_K))),COMPLEX(0,B237*CMC_CPA))))</f>
        <v>0</v>
      </c>
      <c r="L237">
        <f>IMSUM(COMPLEX(0,B237*CMC_CLINE),IMDIV("1",IMPRODUCT("2",COMPLEX(CY_ESR,B237*CY_ESL-1/(B237*CY_C)))),COMPLEX(1/DUMMY_R,0))</f>
        <v>0</v>
      </c>
      <c r="M237">
        <f>IMSUM(D237,IMDIV("1",C237))</f>
        <v>0</v>
      </c>
      <c r="N237">
        <f>IMDIV("1",IMSUM(E237,IMDIV("1",M237)))</f>
        <v>0</v>
      </c>
      <c r="O237">
        <f>IMSUM(F237,N237)</f>
        <v>0</v>
      </c>
      <c r="P237">
        <f>IMDIV("1",IMSUM(G237,IMDIV("1",O237)))</f>
        <v>0</v>
      </c>
      <c r="Q237">
        <f>IMSUM(H237,P237)</f>
        <v>0</v>
      </c>
      <c r="R237">
        <f>IMDIV("1",IMSUM(I237,IMDIV("1",Q237)))</f>
        <v>0</v>
      </c>
      <c r="S237">
        <f>IMSUM(J237,R237)</f>
        <v>0</v>
      </c>
      <c r="T237">
        <f>IMDIV("1",IMSUM(K237,IMDIV("1",S237)))</f>
        <v>0</v>
      </c>
      <c r="U237">
        <f>IMSUM(L237,T237)</f>
        <v>0</v>
      </c>
      <c r="V237">
        <f>IMDIV(COMPLEX(I_DM_SOURCE,0),U237)</f>
        <v>0</v>
      </c>
      <c r="W237">
        <f>IMPRODUCT(V237,T237)</f>
        <v>0</v>
      </c>
      <c r="X237">
        <f>IMDIV(W237,S237)</f>
        <v>0</v>
      </c>
      <c r="Y237">
        <f>IMPRODUCT(X237,R237)</f>
        <v>0</v>
      </c>
      <c r="Z237">
        <f>IMDIV(Y237,Q237)</f>
        <v>0</v>
      </c>
      <c r="AA237">
        <f>IMPRODUCT(Z237,P237)</f>
        <v>0</v>
      </c>
      <c r="AB237">
        <f>AA237</f>
        <v>0</v>
      </c>
      <c r="AC237">
        <f>IMPRODUCT("-1",AB237)</f>
        <v>0</v>
      </c>
      <c r="AD237">
        <f>IMDIV(IMSUB(AB237,AC237),"2")</f>
        <v>0</v>
      </c>
      <c r="AE237" s="6">
        <f>IMABS(AB237)</f>
        <v>0</v>
      </c>
      <c r="AF237" s="6">
        <f>IMABS(AC237)</f>
        <v>0</v>
      </c>
      <c r="AG237" s="6">
        <f>IMABS(AD237)</f>
        <v>0</v>
      </c>
      <c r="AH237" s="7">
        <f>20*LOG10(MAX(AE237,1E-300)*1E6)</f>
        <v>0</v>
      </c>
      <c r="AI237" s="7">
        <f>20*LOG10(MAX(AF237,1E-300)*1E6)</f>
        <v>0</v>
      </c>
      <c r="AJ237" s="7">
        <f>20*LOG10(MAX(AG237,1E-300)*1E6)</f>
        <v>0</v>
      </c>
      <c r="AK237" s="7">
        <f>DEGREES(IMARGUMENT(AB237))</f>
        <v>0</v>
      </c>
      <c r="AL237" s="7">
        <f>DEGREES(IMARGUMENT(AC237))</f>
        <v>0</v>
      </c>
      <c r="AM237" s="7">
        <f>DEGREES(IMARGUMENT(AD237))</f>
        <v>0</v>
      </c>
    </row>
    <row r="238" spans="1:39">
      <c r="A238" s="6">
        <f>10^(LOG10(F_START)+(ROW()-ROW($A$2))*(LOG10(F_STOP)-LOG10(F_START))/(N_POINTS-1))</f>
        <v>0</v>
      </c>
      <c r="B238" s="6">
        <f>2*PI()*A238</f>
        <v>0</v>
      </c>
      <c r="C238">
        <f>COMPLEX(2*LINE_PS_DCR,2*B238*LINE_PS_L)</f>
        <v>0</v>
      </c>
      <c r="D238">
        <f>IMSUM(COMPLEX(0,B238*(LINE_PS_CLINE+LINE_PS_CCHA/2)),IMDIV("1",IMPRODUCT("2",COMPLEX(C_THROUGH_ESR,B238*C_THROUGH_ESL-1/(B238*C_THROUGH_C)))))</f>
        <v>0</v>
      </c>
      <c r="E238">
        <f>COMPLEX(2*LINE_INPUT_DCR,2*B238*LINE_INPUT_L)</f>
        <v>0</v>
      </c>
      <c r="F238">
        <f>COMPLEX(0,B238*(LINE_INPUT_CLINE+LINE_INPUT_CCHA/2))</f>
        <v>0</v>
      </c>
      <c r="G238">
        <f>IMPRODUCT("2",IMDIV("1",IMSUM(IMDIV("1",COMPLEX(LDM1_DCR,B238*LDM1_L)),COMPLEX(0,B238*LDM1_CPA))))</f>
        <v>0</v>
      </c>
      <c r="H238">
        <f>IMSUM(IMDIV("1",COMPLEX(CX1_ESR,B238*CX1_ESL-1/(B238*CX1_C))),IMDIV("1",IMSUM(COMPLEX(DUMP1_R,0),COMPLEX(DUMP1_ESR,B238*DUMP1_ESL-1/(B238*DUMP1_C)))))</f>
        <v>0</v>
      </c>
      <c r="I238">
        <f>IMPRODUCT("2",IMDIV("1",IMSUM(IMDIV("1",COMPLEX(LDM2_DCR,B238*LDM2_L)),COMPLEX(0,B238*LDM2_CPA))))</f>
        <v>0</v>
      </c>
      <c r="J238">
        <f>IMSUM(IMDIV("1",COMPLEX(CX2_ESR,B238*CX2_ESL-1/(B238*CX2_C))),IMDIV("1",IMSUM(COMPLEX(DUMP2_R,0),COMPLEX(DUMP2_ESR,B238*DUMP2_ESL-1/(B238*DUMP2_C)))))</f>
        <v>0</v>
      </c>
      <c r="K238">
        <f>IMPRODUCT("2",IMDIV("1",IMSUM(IMDIV("1",COMPLEX(CMC_DCR,B238*CMC_L*(1-CMC_K))),COMPLEX(0,B238*CMC_CPA))))</f>
        <v>0</v>
      </c>
      <c r="L238">
        <f>IMSUM(COMPLEX(0,B238*CMC_CLINE),IMDIV("1",IMPRODUCT("2",COMPLEX(CY_ESR,B238*CY_ESL-1/(B238*CY_C)))),COMPLEX(1/DUMMY_R,0))</f>
        <v>0</v>
      </c>
      <c r="M238">
        <f>IMSUM(D238,IMDIV("1",C238))</f>
        <v>0</v>
      </c>
      <c r="N238">
        <f>IMDIV("1",IMSUM(E238,IMDIV("1",M238)))</f>
        <v>0</v>
      </c>
      <c r="O238">
        <f>IMSUM(F238,N238)</f>
        <v>0</v>
      </c>
      <c r="P238">
        <f>IMDIV("1",IMSUM(G238,IMDIV("1",O238)))</f>
        <v>0</v>
      </c>
      <c r="Q238">
        <f>IMSUM(H238,P238)</f>
        <v>0</v>
      </c>
      <c r="R238">
        <f>IMDIV("1",IMSUM(I238,IMDIV("1",Q238)))</f>
        <v>0</v>
      </c>
      <c r="S238">
        <f>IMSUM(J238,R238)</f>
        <v>0</v>
      </c>
      <c r="T238">
        <f>IMDIV("1",IMSUM(K238,IMDIV("1",S238)))</f>
        <v>0</v>
      </c>
      <c r="U238">
        <f>IMSUM(L238,T238)</f>
        <v>0</v>
      </c>
      <c r="V238">
        <f>IMDIV(COMPLEX(I_DM_SOURCE,0),U238)</f>
        <v>0</v>
      </c>
      <c r="W238">
        <f>IMPRODUCT(V238,T238)</f>
        <v>0</v>
      </c>
      <c r="X238">
        <f>IMDIV(W238,S238)</f>
        <v>0</v>
      </c>
      <c r="Y238">
        <f>IMPRODUCT(X238,R238)</f>
        <v>0</v>
      </c>
      <c r="Z238">
        <f>IMDIV(Y238,Q238)</f>
        <v>0</v>
      </c>
      <c r="AA238">
        <f>IMPRODUCT(Z238,P238)</f>
        <v>0</v>
      </c>
      <c r="AB238">
        <f>AA238</f>
        <v>0</v>
      </c>
      <c r="AC238">
        <f>IMPRODUCT("-1",AB238)</f>
        <v>0</v>
      </c>
      <c r="AD238">
        <f>IMDIV(IMSUB(AB238,AC238),"2")</f>
        <v>0</v>
      </c>
      <c r="AE238" s="6">
        <f>IMABS(AB238)</f>
        <v>0</v>
      </c>
      <c r="AF238" s="6">
        <f>IMABS(AC238)</f>
        <v>0</v>
      </c>
      <c r="AG238" s="6">
        <f>IMABS(AD238)</f>
        <v>0</v>
      </c>
      <c r="AH238" s="7">
        <f>20*LOG10(MAX(AE238,1E-300)*1E6)</f>
        <v>0</v>
      </c>
      <c r="AI238" s="7">
        <f>20*LOG10(MAX(AF238,1E-300)*1E6)</f>
        <v>0</v>
      </c>
      <c r="AJ238" s="7">
        <f>20*LOG10(MAX(AG238,1E-300)*1E6)</f>
        <v>0</v>
      </c>
      <c r="AK238" s="7">
        <f>DEGREES(IMARGUMENT(AB238))</f>
        <v>0</v>
      </c>
      <c r="AL238" s="7">
        <f>DEGREES(IMARGUMENT(AC238))</f>
        <v>0</v>
      </c>
      <c r="AM238" s="7">
        <f>DEGREES(IMARGUMENT(AD238))</f>
        <v>0</v>
      </c>
    </row>
    <row r="239" spans="1:39">
      <c r="A239" s="6">
        <f>10^(LOG10(F_START)+(ROW()-ROW($A$2))*(LOG10(F_STOP)-LOG10(F_START))/(N_POINTS-1))</f>
        <v>0</v>
      </c>
      <c r="B239" s="6">
        <f>2*PI()*A239</f>
        <v>0</v>
      </c>
      <c r="C239">
        <f>COMPLEX(2*LINE_PS_DCR,2*B239*LINE_PS_L)</f>
        <v>0</v>
      </c>
      <c r="D239">
        <f>IMSUM(COMPLEX(0,B239*(LINE_PS_CLINE+LINE_PS_CCHA/2)),IMDIV("1",IMPRODUCT("2",COMPLEX(C_THROUGH_ESR,B239*C_THROUGH_ESL-1/(B239*C_THROUGH_C)))))</f>
        <v>0</v>
      </c>
      <c r="E239">
        <f>COMPLEX(2*LINE_INPUT_DCR,2*B239*LINE_INPUT_L)</f>
        <v>0</v>
      </c>
      <c r="F239">
        <f>COMPLEX(0,B239*(LINE_INPUT_CLINE+LINE_INPUT_CCHA/2))</f>
        <v>0</v>
      </c>
      <c r="G239">
        <f>IMPRODUCT("2",IMDIV("1",IMSUM(IMDIV("1",COMPLEX(LDM1_DCR,B239*LDM1_L)),COMPLEX(0,B239*LDM1_CPA))))</f>
        <v>0</v>
      </c>
      <c r="H239">
        <f>IMSUM(IMDIV("1",COMPLEX(CX1_ESR,B239*CX1_ESL-1/(B239*CX1_C))),IMDIV("1",IMSUM(COMPLEX(DUMP1_R,0),COMPLEX(DUMP1_ESR,B239*DUMP1_ESL-1/(B239*DUMP1_C)))))</f>
        <v>0</v>
      </c>
      <c r="I239">
        <f>IMPRODUCT("2",IMDIV("1",IMSUM(IMDIV("1",COMPLEX(LDM2_DCR,B239*LDM2_L)),COMPLEX(0,B239*LDM2_CPA))))</f>
        <v>0</v>
      </c>
      <c r="J239">
        <f>IMSUM(IMDIV("1",COMPLEX(CX2_ESR,B239*CX2_ESL-1/(B239*CX2_C))),IMDIV("1",IMSUM(COMPLEX(DUMP2_R,0),COMPLEX(DUMP2_ESR,B239*DUMP2_ESL-1/(B239*DUMP2_C)))))</f>
        <v>0</v>
      </c>
      <c r="K239">
        <f>IMPRODUCT("2",IMDIV("1",IMSUM(IMDIV("1",COMPLEX(CMC_DCR,B239*CMC_L*(1-CMC_K))),COMPLEX(0,B239*CMC_CPA))))</f>
        <v>0</v>
      </c>
      <c r="L239">
        <f>IMSUM(COMPLEX(0,B239*CMC_CLINE),IMDIV("1",IMPRODUCT("2",COMPLEX(CY_ESR,B239*CY_ESL-1/(B239*CY_C)))),COMPLEX(1/DUMMY_R,0))</f>
        <v>0</v>
      </c>
      <c r="M239">
        <f>IMSUM(D239,IMDIV("1",C239))</f>
        <v>0</v>
      </c>
      <c r="N239">
        <f>IMDIV("1",IMSUM(E239,IMDIV("1",M239)))</f>
        <v>0</v>
      </c>
      <c r="O239">
        <f>IMSUM(F239,N239)</f>
        <v>0</v>
      </c>
      <c r="P239">
        <f>IMDIV("1",IMSUM(G239,IMDIV("1",O239)))</f>
        <v>0</v>
      </c>
      <c r="Q239">
        <f>IMSUM(H239,P239)</f>
        <v>0</v>
      </c>
      <c r="R239">
        <f>IMDIV("1",IMSUM(I239,IMDIV("1",Q239)))</f>
        <v>0</v>
      </c>
      <c r="S239">
        <f>IMSUM(J239,R239)</f>
        <v>0</v>
      </c>
      <c r="T239">
        <f>IMDIV("1",IMSUM(K239,IMDIV("1",S239)))</f>
        <v>0</v>
      </c>
      <c r="U239">
        <f>IMSUM(L239,T239)</f>
        <v>0</v>
      </c>
      <c r="V239">
        <f>IMDIV(COMPLEX(I_DM_SOURCE,0),U239)</f>
        <v>0</v>
      </c>
      <c r="W239">
        <f>IMPRODUCT(V239,T239)</f>
        <v>0</v>
      </c>
      <c r="X239">
        <f>IMDIV(W239,S239)</f>
        <v>0</v>
      </c>
      <c r="Y239">
        <f>IMPRODUCT(X239,R239)</f>
        <v>0</v>
      </c>
      <c r="Z239">
        <f>IMDIV(Y239,Q239)</f>
        <v>0</v>
      </c>
      <c r="AA239">
        <f>IMPRODUCT(Z239,P239)</f>
        <v>0</v>
      </c>
      <c r="AB239">
        <f>AA239</f>
        <v>0</v>
      </c>
      <c r="AC239">
        <f>IMPRODUCT("-1",AB239)</f>
        <v>0</v>
      </c>
      <c r="AD239">
        <f>IMDIV(IMSUB(AB239,AC239),"2")</f>
        <v>0</v>
      </c>
      <c r="AE239" s="6">
        <f>IMABS(AB239)</f>
        <v>0</v>
      </c>
      <c r="AF239" s="6">
        <f>IMABS(AC239)</f>
        <v>0</v>
      </c>
      <c r="AG239" s="6">
        <f>IMABS(AD239)</f>
        <v>0</v>
      </c>
      <c r="AH239" s="7">
        <f>20*LOG10(MAX(AE239,1E-300)*1E6)</f>
        <v>0</v>
      </c>
      <c r="AI239" s="7">
        <f>20*LOG10(MAX(AF239,1E-300)*1E6)</f>
        <v>0</v>
      </c>
      <c r="AJ239" s="7">
        <f>20*LOG10(MAX(AG239,1E-300)*1E6)</f>
        <v>0</v>
      </c>
      <c r="AK239" s="7">
        <f>DEGREES(IMARGUMENT(AB239))</f>
        <v>0</v>
      </c>
      <c r="AL239" s="7">
        <f>DEGREES(IMARGUMENT(AC239))</f>
        <v>0</v>
      </c>
      <c r="AM239" s="7">
        <f>DEGREES(IMARGUMENT(AD239))</f>
        <v>0</v>
      </c>
    </row>
    <row r="240" spans="1:39">
      <c r="A240" s="6">
        <f>10^(LOG10(F_START)+(ROW()-ROW($A$2))*(LOG10(F_STOP)-LOG10(F_START))/(N_POINTS-1))</f>
        <v>0</v>
      </c>
      <c r="B240" s="6">
        <f>2*PI()*A240</f>
        <v>0</v>
      </c>
      <c r="C240">
        <f>COMPLEX(2*LINE_PS_DCR,2*B240*LINE_PS_L)</f>
        <v>0</v>
      </c>
      <c r="D240">
        <f>IMSUM(COMPLEX(0,B240*(LINE_PS_CLINE+LINE_PS_CCHA/2)),IMDIV("1",IMPRODUCT("2",COMPLEX(C_THROUGH_ESR,B240*C_THROUGH_ESL-1/(B240*C_THROUGH_C)))))</f>
        <v>0</v>
      </c>
      <c r="E240">
        <f>COMPLEX(2*LINE_INPUT_DCR,2*B240*LINE_INPUT_L)</f>
        <v>0</v>
      </c>
      <c r="F240">
        <f>COMPLEX(0,B240*(LINE_INPUT_CLINE+LINE_INPUT_CCHA/2))</f>
        <v>0</v>
      </c>
      <c r="G240">
        <f>IMPRODUCT("2",IMDIV("1",IMSUM(IMDIV("1",COMPLEX(LDM1_DCR,B240*LDM1_L)),COMPLEX(0,B240*LDM1_CPA))))</f>
        <v>0</v>
      </c>
      <c r="H240">
        <f>IMSUM(IMDIV("1",COMPLEX(CX1_ESR,B240*CX1_ESL-1/(B240*CX1_C))),IMDIV("1",IMSUM(COMPLEX(DUMP1_R,0),COMPLEX(DUMP1_ESR,B240*DUMP1_ESL-1/(B240*DUMP1_C)))))</f>
        <v>0</v>
      </c>
      <c r="I240">
        <f>IMPRODUCT("2",IMDIV("1",IMSUM(IMDIV("1",COMPLEX(LDM2_DCR,B240*LDM2_L)),COMPLEX(0,B240*LDM2_CPA))))</f>
        <v>0</v>
      </c>
      <c r="J240">
        <f>IMSUM(IMDIV("1",COMPLEX(CX2_ESR,B240*CX2_ESL-1/(B240*CX2_C))),IMDIV("1",IMSUM(COMPLEX(DUMP2_R,0),COMPLEX(DUMP2_ESR,B240*DUMP2_ESL-1/(B240*DUMP2_C)))))</f>
        <v>0</v>
      </c>
      <c r="K240">
        <f>IMPRODUCT("2",IMDIV("1",IMSUM(IMDIV("1",COMPLEX(CMC_DCR,B240*CMC_L*(1-CMC_K))),COMPLEX(0,B240*CMC_CPA))))</f>
        <v>0</v>
      </c>
      <c r="L240">
        <f>IMSUM(COMPLEX(0,B240*CMC_CLINE),IMDIV("1",IMPRODUCT("2",COMPLEX(CY_ESR,B240*CY_ESL-1/(B240*CY_C)))),COMPLEX(1/DUMMY_R,0))</f>
        <v>0</v>
      </c>
      <c r="M240">
        <f>IMSUM(D240,IMDIV("1",C240))</f>
        <v>0</v>
      </c>
      <c r="N240">
        <f>IMDIV("1",IMSUM(E240,IMDIV("1",M240)))</f>
        <v>0</v>
      </c>
      <c r="O240">
        <f>IMSUM(F240,N240)</f>
        <v>0</v>
      </c>
      <c r="P240">
        <f>IMDIV("1",IMSUM(G240,IMDIV("1",O240)))</f>
        <v>0</v>
      </c>
      <c r="Q240">
        <f>IMSUM(H240,P240)</f>
        <v>0</v>
      </c>
      <c r="R240">
        <f>IMDIV("1",IMSUM(I240,IMDIV("1",Q240)))</f>
        <v>0</v>
      </c>
      <c r="S240">
        <f>IMSUM(J240,R240)</f>
        <v>0</v>
      </c>
      <c r="T240">
        <f>IMDIV("1",IMSUM(K240,IMDIV("1",S240)))</f>
        <v>0</v>
      </c>
      <c r="U240">
        <f>IMSUM(L240,T240)</f>
        <v>0</v>
      </c>
      <c r="V240">
        <f>IMDIV(COMPLEX(I_DM_SOURCE,0),U240)</f>
        <v>0</v>
      </c>
      <c r="W240">
        <f>IMPRODUCT(V240,T240)</f>
        <v>0</v>
      </c>
      <c r="X240">
        <f>IMDIV(W240,S240)</f>
        <v>0</v>
      </c>
      <c r="Y240">
        <f>IMPRODUCT(X240,R240)</f>
        <v>0</v>
      </c>
      <c r="Z240">
        <f>IMDIV(Y240,Q240)</f>
        <v>0</v>
      </c>
      <c r="AA240">
        <f>IMPRODUCT(Z240,P240)</f>
        <v>0</v>
      </c>
      <c r="AB240">
        <f>AA240</f>
        <v>0</v>
      </c>
      <c r="AC240">
        <f>IMPRODUCT("-1",AB240)</f>
        <v>0</v>
      </c>
      <c r="AD240">
        <f>IMDIV(IMSUB(AB240,AC240),"2")</f>
        <v>0</v>
      </c>
      <c r="AE240" s="6">
        <f>IMABS(AB240)</f>
        <v>0</v>
      </c>
      <c r="AF240" s="6">
        <f>IMABS(AC240)</f>
        <v>0</v>
      </c>
      <c r="AG240" s="6">
        <f>IMABS(AD240)</f>
        <v>0</v>
      </c>
      <c r="AH240" s="7">
        <f>20*LOG10(MAX(AE240,1E-300)*1E6)</f>
        <v>0</v>
      </c>
      <c r="AI240" s="7">
        <f>20*LOG10(MAX(AF240,1E-300)*1E6)</f>
        <v>0</v>
      </c>
      <c r="AJ240" s="7">
        <f>20*LOG10(MAX(AG240,1E-300)*1E6)</f>
        <v>0</v>
      </c>
      <c r="AK240" s="7">
        <f>DEGREES(IMARGUMENT(AB240))</f>
        <v>0</v>
      </c>
      <c r="AL240" s="7">
        <f>DEGREES(IMARGUMENT(AC240))</f>
        <v>0</v>
      </c>
      <c r="AM240" s="7">
        <f>DEGREES(IMARGUMENT(AD240))</f>
        <v>0</v>
      </c>
    </row>
    <row r="241" spans="1:39">
      <c r="A241" s="6">
        <f>10^(LOG10(F_START)+(ROW()-ROW($A$2))*(LOG10(F_STOP)-LOG10(F_START))/(N_POINTS-1))</f>
        <v>0</v>
      </c>
      <c r="B241" s="6">
        <f>2*PI()*A241</f>
        <v>0</v>
      </c>
      <c r="C241">
        <f>COMPLEX(2*LINE_PS_DCR,2*B241*LINE_PS_L)</f>
        <v>0</v>
      </c>
      <c r="D241">
        <f>IMSUM(COMPLEX(0,B241*(LINE_PS_CLINE+LINE_PS_CCHA/2)),IMDIV("1",IMPRODUCT("2",COMPLEX(C_THROUGH_ESR,B241*C_THROUGH_ESL-1/(B241*C_THROUGH_C)))))</f>
        <v>0</v>
      </c>
      <c r="E241">
        <f>COMPLEX(2*LINE_INPUT_DCR,2*B241*LINE_INPUT_L)</f>
        <v>0</v>
      </c>
      <c r="F241">
        <f>COMPLEX(0,B241*(LINE_INPUT_CLINE+LINE_INPUT_CCHA/2))</f>
        <v>0</v>
      </c>
      <c r="G241">
        <f>IMPRODUCT("2",IMDIV("1",IMSUM(IMDIV("1",COMPLEX(LDM1_DCR,B241*LDM1_L)),COMPLEX(0,B241*LDM1_CPA))))</f>
        <v>0</v>
      </c>
      <c r="H241">
        <f>IMSUM(IMDIV("1",COMPLEX(CX1_ESR,B241*CX1_ESL-1/(B241*CX1_C))),IMDIV("1",IMSUM(COMPLEX(DUMP1_R,0),COMPLEX(DUMP1_ESR,B241*DUMP1_ESL-1/(B241*DUMP1_C)))))</f>
        <v>0</v>
      </c>
      <c r="I241">
        <f>IMPRODUCT("2",IMDIV("1",IMSUM(IMDIV("1",COMPLEX(LDM2_DCR,B241*LDM2_L)),COMPLEX(0,B241*LDM2_CPA))))</f>
        <v>0</v>
      </c>
      <c r="J241">
        <f>IMSUM(IMDIV("1",COMPLEX(CX2_ESR,B241*CX2_ESL-1/(B241*CX2_C))),IMDIV("1",IMSUM(COMPLEX(DUMP2_R,0),COMPLEX(DUMP2_ESR,B241*DUMP2_ESL-1/(B241*DUMP2_C)))))</f>
        <v>0</v>
      </c>
      <c r="K241">
        <f>IMPRODUCT("2",IMDIV("1",IMSUM(IMDIV("1",COMPLEX(CMC_DCR,B241*CMC_L*(1-CMC_K))),COMPLEX(0,B241*CMC_CPA))))</f>
        <v>0</v>
      </c>
      <c r="L241">
        <f>IMSUM(COMPLEX(0,B241*CMC_CLINE),IMDIV("1",IMPRODUCT("2",COMPLEX(CY_ESR,B241*CY_ESL-1/(B241*CY_C)))),COMPLEX(1/DUMMY_R,0))</f>
        <v>0</v>
      </c>
      <c r="M241">
        <f>IMSUM(D241,IMDIV("1",C241))</f>
        <v>0</v>
      </c>
      <c r="N241">
        <f>IMDIV("1",IMSUM(E241,IMDIV("1",M241)))</f>
        <v>0</v>
      </c>
      <c r="O241">
        <f>IMSUM(F241,N241)</f>
        <v>0</v>
      </c>
      <c r="P241">
        <f>IMDIV("1",IMSUM(G241,IMDIV("1",O241)))</f>
        <v>0</v>
      </c>
      <c r="Q241">
        <f>IMSUM(H241,P241)</f>
        <v>0</v>
      </c>
      <c r="R241">
        <f>IMDIV("1",IMSUM(I241,IMDIV("1",Q241)))</f>
        <v>0</v>
      </c>
      <c r="S241">
        <f>IMSUM(J241,R241)</f>
        <v>0</v>
      </c>
      <c r="T241">
        <f>IMDIV("1",IMSUM(K241,IMDIV("1",S241)))</f>
        <v>0</v>
      </c>
      <c r="U241">
        <f>IMSUM(L241,T241)</f>
        <v>0</v>
      </c>
      <c r="V241">
        <f>IMDIV(COMPLEX(I_DM_SOURCE,0),U241)</f>
        <v>0</v>
      </c>
      <c r="W241">
        <f>IMPRODUCT(V241,T241)</f>
        <v>0</v>
      </c>
      <c r="X241">
        <f>IMDIV(W241,S241)</f>
        <v>0</v>
      </c>
      <c r="Y241">
        <f>IMPRODUCT(X241,R241)</f>
        <v>0</v>
      </c>
      <c r="Z241">
        <f>IMDIV(Y241,Q241)</f>
        <v>0</v>
      </c>
      <c r="AA241">
        <f>IMPRODUCT(Z241,P241)</f>
        <v>0</v>
      </c>
      <c r="AB241">
        <f>AA241</f>
        <v>0</v>
      </c>
      <c r="AC241">
        <f>IMPRODUCT("-1",AB241)</f>
        <v>0</v>
      </c>
      <c r="AD241">
        <f>IMDIV(IMSUB(AB241,AC241),"2")</f>
        <v>0</v>
      </c>
      <c r="AE241" s="6">
        <f>IMABS(AB241)</f>
        <v>0</v>
      </c>
      <c r="AF241" s="6">
        <f>IMABS(AC241)</f>
        <v>0</v>
      </c>
      <c r="AG241" s="6">
        <f>IMABS(AD241)</f>
        <v>0</v>
      </c>
      <c r="AH241" s="7">
        <f>20*LOG10(MAX(AE241,1E-300)*1E6)</f>
        <v>0</v>
      </c>
      <c r="AI241" s="7">
        <f>20*LOG10(MAX(AF241,1E-300)*1E6)</f>
        <v>0</v>
      </c>
      <c r="AJ241" s="7">
        <f>20*LOG10(MAX(AG241,1E-300)*1E6)</f>
        <v>0</v>
      </c>
      <c r="AK241" s="7">
        <f>DEGREES(IMARGUMENT(AB241))</f>
        <v>0</v>
      </c>
      <c r="AL241" s="7">
        <f>DEGREES(IMARGUMENT(AC241))</f>
        <v>0</v>
      </c>
      <c r="AM241" s="7">
        <f>DEGREES(IMARGUMENT(AD241))</f>
        <v>0</v>
      </c>
    </row>
    <row r="242" spans="1:39">
      <c r="A242" s="6">
        <f>10^(LOG10(F_START)+(ROW()-ROW($A$2))*(LOG10(F_STOP)-LOG10(F_START))/(N_POINTS-1))</f>
        <v>0</v>
      </c>
      <c r="B242" s="6">
        <f>2*PI()*A242</f>
        <v>0</v>
      </c>
      <c r="C242">
        <f>COMPLEX(2*LINE_PS_DCR,2*B242*LINE_PS_L)</f>
        <v>0</v>
      </c>
      <c r="D242">
        <f>IMSUM(COMPLEX(0,B242*(LINE_PS_CLINE+LINE_PS_CCHA/2)),IMDIV("1",IMPRODUCT("2",COMPLEX(C_THROUGH_ESR,B242*C_THROUGH_ESL-1/(B242*C_THROUGH_C)))))</f>
        <v>0</v>
      </c>
      <c r="E242">
        <f>COMPLEX(2*LINE_INPUT_DCR,2*B242*LINE_INPUT_L)</f>
        <v>0</v>
      </c>
      <c r="F242">
        <f>COMPLEX(0,B242*(LINE_INPUT_CLINE+LINE_INPUT_CCHA/2))</f>
        <v>0</v>
      </c>
      <c r="G242">
        <f>IMPRODUCT("2",IMDIV("1",IMSUM(IMDIV("1",COMPLEX(LDM1_DCR,B242*LDM1_L)),COMPLEX(0,B242*LDM1_CPA))))</f>
        <v>0</v>
      </c>
      <c r="H242">
        <f>IMSUM(IMDIV("1",COMPLEX(CX1_ESR,B242*CX1_ESL-1/(B242*CX1_C))),IMDIV("1",IMSUM(COMPLEX(DUMP1_R,0),COMPLEX(DUMP1_ESR,B242*DUMP1_ESL-1/(B242*DUMP1_C)))))</f>
        <v>0</v>
      </c>
      <c r="I242">
        <f>IMPRODUCT("2",IMDIV("1",IMSUM(IMDIV("1",COMPLEX(LDM2_DCR,B242*LDM2_L)),COMPLEX(0,B242*LDM2_CPA))))</f>
        <v>0</v>
      </c>
      <c r="J242">
        <f>IMSUM(IMDIV("1",COMPLEX(CX2_ESR,B242*CX2_ESL-1/(B242*CX2_C))),IMDIV("1",IMSUM(COMPLEX(DUMP2_R,0),COMPLEX(DUMP2_ESR,B242*DUMP2_ESL-1/(B242*DUMP2_C)))))</f>
        <v>0</v>
      </c>
      <c r="K242">
        <f>IMPRODUCT("2",IMDIV("1",IMSUM(IMDIV("1",COMPLEX(CMC_DCR,B242*CMC_L*(1-CMC_K))),COMPLEX(0,B242*CMC_CPA))))</f>
        <v>0</v>
      </c>
      <c r="L242">
        <f>IMSUM(COMPLEX(0,B242*CMC_CLINE),IMDIV("1",IMPRODUCT("2",COMPLEX(CY_ESR,B242*CY_ESL-1/(B242*CY_C)))),COMPLEX(1/DUMMY_R,0))</f>
        <v>0</v>
      </c>
      <c r="M242">
        <f>IMSUM(D242,IMDIV("1",C242))</f>
        <v>0</v>
      </c>
      <c r="N242">
        <f>IMDIV("1",IMSUM(E242,IMDIV("1",M242)))</f>
        <v>0</v>
      </c>
      <c r="O242">
        <f>IMSUM(F242,N242)</f>
        <v>0</v>
      </c>
      <c r="P242">
        <f>IMDIV("1",IMSUM(G242,IMDIV("1",O242)))</f>
        <v>0</v>
      </c>
      <c r="Q242">
        <f>IMSUM(H242,P242)</f>
        <v>0</v>
      </c>
      <c r="R242">
        <f>IMDIV("1",IMSUM(I242,IMDIV("1",Q242)))</f>
        <v>0</v>
      </c>
      <c r="S242">
        <f>IMSUM(J242,R242)</f>
        <v>0</v>
      </c>
      <c r="T242">
        <f>IMDIV("1",IMSUM(K242,IMDIV("1",S242)))</f>
        <v>0</v>
      </c>
      <c r="U242">
        <f>IMSUM(L242,T242)</f>
        <v>0</v>
      </c>
      <c r="V242">
        <f>IMDIV(COMPLEX(I_DM_SOURCE,0),U242)</f>
        <v>0</v>
      </c>
      <c r="W242">
        <f>IMPRODUCT(V242,T242)</f>
        <v>0</v>
      </c>
      <c r="X242">
        <f>IMDIV(W242,S242)</f>
        <v>0</v>
      </c>
      <c r="Y242">
        <f>IMPRODUCT(X242,R242)</f>
        <v>0</v>
      </c>
      <c r="Z242">
        <f>IMDIV(Y242,Q242)</f>
        <v>0</v>
      </c>
      <c r="AA242">
        <f>IMPRODUCT(Z242,P242)</f>
        <v>0</v>
      </c>
      <c r="AB242">
        <f>AA242</f>
        <v>0</v>
      </c>
      <c r="AC242">
        <f>IMPRODUCT("-1",AB242)</f>
        <v>0</v>
      </c>
      <c r="AD242">
        <f>IMDIV(IMSUB(AB242,AC242),"2")</f>
        <v>0</v>
      </c>
      <c r="AE242" s="6">
        <f>IMABS(AB242)</f>
        <v>0</v>
      </c>
      <c r="AF242" s="6">
        <f>IMABS(AC242)</f>
        <v>0</v>
      </c>
      <c r="AG242" s="6">
        <f>IMABS(AD242)</f>
        <v>0</v>
      </c>
      <c r="AH242" s="7">
        <f>20*LOG10(MAX(AE242,1E-300)*1E6)</f>
        <v>0</v>
      </c>
      <c r="AI242" s="7">
        <f>20*LOG10(MAX(AF242,1E-300)*1E6)</f>
        <v>0</v>
      </c>
      <c r="AJ242" s="7">
        <f>20*LOG10(MAX(AG242,1E-300)*1E6)</f>
        <v>0</v>
      </c>
      <c r="AK242" s="7">
        <f>DEGREES(IMARGUMENT(AB242))</f>
        <v>0</v>
      </c>
      <c r="AL242" s="7">
        <f>DEGREES(IMARGUMENT(AC242))</f>
        <v>0</v>
      </c>
      <c r="AM242" s="7">
        <f>DEGREES(IMARGUMENT(AD242))</f>
        <v>0</v>
      </c>
    </row>
    <row r="243" spans="1:39">
      <c r="A243" s="6">
        <f>10^(LOG10(F_START)+(ROW()-ROW($A$2))*(LOG10(F_STOP)-LOG10(F_START))/(N_POINTS-1))</f>
        <v>0</v>
      </c>
      <c r="B243" s="6">
        <f>2*PI()*A243</f>
        <v>0</v>
      </c>
      <c r="C243">
        <f>COMPLEX(2*LINE_PS_DCR,2*B243*LINE_PS_L)</f>
        <v>0</v>
      </c>
      <c r="D243">
        <f>IMSUM(COMPLEX(0,B243*(LINE_PS_CLINE+LINE_PS_CCHA/2)),IMDIV("1",IMPRODUCT("2",COMPLEX(C_THROUGH_ESR,B243*C_THROUGH_ESL-1/(B243*C_THROUGH_C)))))</f>
        <v>0</v>
      </c>
      <c r="E243">
        <f>COMPLEX(2*LINE_INPUT_DCR,2*B243*LINE_INPUT_L)</f>
        <v>0</v>
      </c>
      <c r="F243">
        <f>COMPLEX(0,B243*(LINE_INPUT_CLINE+LINE_INPUT_CCHA/2))</f>
        <v>0</v>
      </c>
      <c r="G243">
        <f>IMPRODUCT("2",IMDIV("1",IMSUM(IMDIV("1",COMPLEX(LDM1_DCR,B243*LDM1_L)),COMPLEX(0,B243*LDM1_CPA))))</f>
        <v>0</v>
      </c>
      <c r="H243">
        <f>IMSUM(IMDIV("1",COMPLEX(CX1_ESR,B243*CX1_ESL-1/(B243*CX1_C))),IMDIV("1",IMSUM(COMPLEX(DUMP1_R,0),COMPLEX(DUMP1_ESR,B243*DUMP1_ESL-1/(B243*DUMP1_C)))))</f>
        <v>0</v>
      </c>
      <c r="I243">
        <f>IMPRODUCT("2",IMDIV("1",IMSUM(IMDIV("1",COMPLEX(LDM2_DCR,B243*LDM2_L)),COMPLEX(0,B243*LDM2_CPA))))</f>
        <v>0</v>
      </c>
      <c r="J243">
        <f>IMSUM(IMDIV("1",COMPLEX(CX2_ESR,B243*CX2_ESL-1/(B243*CX2_C))),IMDIV("1",IMSUM(COMPLEX(DUMP2_R,0),COMPLEX(DUMP2_ESR,B243*DUMP2_ESL-1/(B243*DUMP2_C)))))</f>
        <v>0</v>
      </c>
      <c r="K243">
        <f>IMPRODUCT("2",IMDIV("1",IMSUM(IMDIV("1",COMPLEX(CMC_DCR,B243*CMC_L*(1-CMC_K))),COMPLEX(0,B243*CMC_CPA))))</f>
        <v>0</v>
      </c>
      <c r="L243">
        <f>IMSUM(COMPLEX(0,B243*CMC_CLINE),IMDIV("1",IMPRODUCT("2",COMPLEX(CY_ESR,B243*CY_ESL-1/(B243*CY_C)))),COMPLEX(1/DUMMY_R,0))</f>
        <v>0</v>
      </c>
      <c r="M243">
        <f>IMSUM(D243,IMDIV("1",C243))</f>
        <v>0</v>
      </c>
      <c r="N243">
        <f>IMDIV("1",IMSUM(E243,IMDIV("1",M243)))</f>
        <v>0</v>
      </c>
      <c r="O243">
        <f>IMSUM(F243,N243)</f>
        <v>0</v>
      </c>
      <c r="P243">
        <f>IMDIV("1",IMSUM(G243,IMDIV("1",O243)))</f>
        <v>0</v>
      </c>
      <c r="Q243">
        <f>IMSUM(H243,P243)</f>
        <v>0</v>
      </c>
      <c r="R243">
        <f>IMDIV("1",IMSUM(I243,IMDIV("1",Q243)))</f>
        <v>0</v>
      </c>
      <c r="S243">
        <f>IMSUM(J243,R243)</f>
        <v>0</v>
      </c>
      <c r="T243">
        <f>IMDIV("1",IMSUM(K243,IMDIV("1",S243)))</f>
        <v>0</v>
      </c>
      <c r="U243">
        <f>IMSUM(L243,T243)</f>
        <v>0</v>
      </c>
      <c r="V243">
        <f>IMDIV(COMPLEX(I_DM_SOURCE,0),U243)</f>
        <v>0</v>
      </c>
      <c r="W243">
        <f>IMPRODUCT(V243,T243)</f>
        <v>0</v>
      </c>
      <c r="X243">
        <f>IMDIV(W243,S243)</f>
        <v>0</v>
      </c>
      <c r="Y243">
        <f>IMPRODUCT(X243,R243)</f>
        <v>0</v>
      </c>
      <c r="Z243">
        <f>IMDIV(Y243,Q243)</f>
        <v>0</v>
      </c>
      <c r="AA243">
        <f>IMPRODUCT(Z243,P243)</f>
        <v>0</v>
      </c>
      <c r="AB243">
        <f>AA243</f>
        <v>0</v>
      </c>
      <c r="AC243">
        <f>IMPRODUCT("-1",AB243)</f>
        <v>0</v>
      </c>
      <c r="AD243">
        <f>IMDIV(IMSUB(AB243,AC243),"2")</f>
        <v>0</v>
      </c>
      <c r="AE243" s="6">
        <f>IMABS(AB243)</f>
        <v>0</v>
      </c>
      <c r="AF243" s="6">
        <f>IMABS(AC243)</f>
        <v>0</v>
      </c>
      <c r="AG243" s="6">
        <f>IMABS(AD243)</f>
        <v>0</v>
      </c>
      <c r="AH243" s="7">
        <f>20*LOG10(MAX(AE243,1E-300)*1E6)</f>
        <v>0</v>
      </c>
      <c r="AI243" s="7">
        <f>20*LOG10(MAX(AF243,1E-300)*1E6)</f>
        <v>0</v>
      </c>
      <c r="AJ243" s="7">
        <f>20*LOG10(MAX(AG243,1E-300)*1E6)</f>
        <v>0</v>
      </c>
      <c r="AK243" s="7">
        <f>DEGREES(IMARGUMENT(AB243))</f>
        <v>0</v>
      </c>
      <c r="AL243" s="7">
        <f>DEGREES(IMARGUMENT(AC243))</f>
        <v>0</v>
      </c>
      <c r="AM243" s="7">
        <f>DEGREES(IMARGUMENT(AD243))</f>
        <v>0</v>
      </c>
    </row>
    <row r="244" spans="1:39">
      <c r="A244" s="6">
        <f>10^(LOG10(F_START)+(ROW()-ROW($A$2))*(LOG10(F_STOP)-LOG10(F_START))/(N_POINTS-1))</f>
        <v>0</v>
      </c>
      <c r="B244" s="6">
        <f>2*PI()*A244</f>
        <v>0</v>
      </c>
      <c r="C244">
        <f>COMPLEX(2*LINE_PS_DCR,2*B244*LINE_PS_L)</f>
        <v>0</v>
      </c>
      <c r="D244">
        <f>IMSUM(COMPLEX(0,B244*(LINE_PS_CLINE+LINE_PS_CCHA/2)),IMDIV("1",IMPRODUCT("2",COMPLEX(C_THROUGH_ESR,B244*C_THROUGH_ESL-1/(B244*C_THROUGH_C)))))</f>
        <v>0</v>
      </c>
      <c r="E244">
        <f>COMPLEX(2*LINE_INPUT_DCR,2*B244*LINE_INPUT_L)</f>
        <v>0</v>
      </c>
      <c r="F244">
        <f>COMPLEX(0,B244*(LINE_INPUT_CLINE+LINE_INPUT_CCHA/2))</f>
        <v>0</v>
      </c>
      <c r="G244">
        <f>IMPRODUCT("2",IMDIV("1",IMSUM(IMDIV("1",COMPLEX(LDM1_DCR,B244*LDM1_L)),COMPLEX(0,B244*LDM1_CPA))))</f>
        <v>0</v>
      </c>
      <c r="H244">
        <f>IMSUM(IMDIV("1",COMPLEX(CX1_ESR,B244*CX1_ESL-1/(B244*CX1_C))),IMDIV("1",IMSUM(COMPLEX(DUMP1_R,0),COMPLEX(DUMP1_ESR,B244*DUMP1_ESL-1/(B244*DUMP1_C)))))</f>
        <v>0</v>
      </c>
      <c r="I244">
        <f>IMPRODUCT("2",IMDIV("1",IMSUM(IMDIV("1",COMPLEX(LDM2_DCR,B244*LDM2_L)),COMPLEX(0,B244*LDM2_CPA))))</f>
        <v>0</v>
      </c>
      <c r="J244">
        <f>IMSUM(IMDIV("1",COMPLEX(CX2_ESR,B244*CX2_ESL-1/(B244*CX2_C))),IMDIV("1",IMSUM(COMPLEX(DUMP2_R,0),COMPLEX(DUMP2_ESR,B244*DUMP2_ESL-1/(B244*DUMP2_C)))))</f>
        <v>0</v>
      </c>
      <c r="K244">
        <f>IMPRODUCT("2",IMDIV("1",IMSUM(IMDIV("1",COMPLEX(CMC_DCR,B244*CMC_L*(1-CMC_K))),COMPLEX(0,B244*CMC_CPA))))</f>
        <v>0</v>
      </c>
      <c r="L244">
        <f>IMSUM(COMPLEX(0,B244*CMC_CLINE),IMDIV("1",IMPRODUCT("2",COMPLEX(CY_ESR,B244*CY_ESL-1/(B244*CY_C)))),COMPLEX(1/DUMMY_R,0))</f>
        <v>0</v>
      </c>
      <c r="M244">
        <f>IMSUM(D244,IMDIV("1",C244))</f>
        <v>0</v>
      </c>
      <c r="N244">
        <f>IMDIV("1",IMSUM(E244,IMDIV("1",M244)))</f>
        <v>0</v>
      </c>
      <c r="O244">
        <f>IMSUM(F244,N244)</f>
        <v>0</v>
      </c>
      <c r="P244">
        <f>IMDIV("1",IMSUM(G244,IMDIV("1",O244)))</f>
        <v>0</v>
      </c>
      <c r="Q244">
        <f>IMSUM(H244,P244)</f>
        <v>0</v>
      </c>
      <c r="R244">
        <f>IMDIV("1",IMSUM(I244,IMDIV("1",Q244)))</f>
        <v>0</v>
      </c>
      <c r="S244">
        <f>IMSUM(J244,R244)</f>
        <v>0</v>
      </c>
      <c r="T244">
        <f>IMDIV("1",IMSUM(K244,IMDIV("1",S244)))</f>
        <v>0</v>
      </c>
      <c r="U244">
        <f>IMSUM(L244,T244)</f>
        <v>0</v>
      </c>
      <c r="V244">
        <f>IMDIV(COMPLEX(I_DM_SOURCE,0),U244)</f>
        <v>0</v>
      </c>
      <c r="W244">
        <f>IMPRODUCT(V244,T244)</f>
        <v>0</v>
      </c>
      <c r="X244">
        <f>IMDIV(W244,S244)</f>
        <v>0</v>
      </c>
      <c r="Y244">
        <f>IMPRODUCT(X244,R244)</f>
        <v>0</v>
      </c>
      <c r="Z244">
        <f>IMDIV(Y244,Q244)</f>
        <v>0</v>
      </c>
      <c r="AA244">
        <f>IMPRODUCT(Z244,P244)</f>
        <v>0</v>
      </c>
      <c r="AB244">
        <f>AA244</f>
        <v>0</v>
      </c>
      <c r="AC244">
        <f>IMPRODUCT("-1",AB244)</f>
        <v>0</v>
      </c>
      <c r="AD244">
        <f>IMDIV(IMSUB(AB244,AC244),"2")</f>
        <v>0</v>
      </c>
      <c r="AE244" s="6">
        <f>IMABS(AB244)</f>
        <v>0</v>
      </c>
      <c r="AF244" s="6">
        <f>IMABS(AC244)</f>
        <v>0</v>
      </c>
      <c r="AG244" s="6">
        <f>IMABS(AD244)</f>
        <v>0</v>
      </c>
      <c r="AH244" s="7">
        <f>20*LOG10(MAX(AE244,1E-300)*1E6)</f>
        <v>0</v>
      </c>
      <c r="AI244" s="7">
        <f>20*LOG10(MAX(AF244,1E-300)*1E6)</f>
        <v>0</v>
      </c>
      <c r="AJ244" s="7">
        <f>20*LOG10(MAX(AG244,1E-300)*1E6)</f>
        <v>0</v>
      </c>
      <c r="AK244" s="7">
        <f>DEGREES(IMARGUMENT(AB244))</f>
        <v>0</v>
      </c>
      <c r="AL244" s="7">
        <f>DEGREES(IMARGUMENT(AC244))</f>
        <v>0</v>
      </c>
      <c r="AM244" s="7">
        <f>DEGREES(IMARGUMENT(AD244))</f>
        <v>0</v>
      </c>
    </row>
    <row r="245" spans="1:39">
      <c r="A245" s="6">
        <f>10^(LOG10(F_START)+(ROW()-ROW($A$2))*(LOG10(F_STOP)-LOG10(F_START))/(N_POINTS-1))</f>
        <v>0</v>
      </c>
      <c r="B245" s="6">
        <f>2*PI()*A245</f>
        <v>0</v>
      </c>
      <c r="C245">
        <f>COMPLEX(2*LINE_PS_DCR,2*B245*LINE_PS_L)</f>
        <v>0</v>
      </c>
      <c r="D245">
        <f>IMSUM(COMPLEX(0,B245*(LINE_PS_CLINE+LINE_PS_CCHA/2)),IMDIV("1",IMPRODUCT("2",COMPLEX(C_THROUGH_ESR,B245*C_THROUGH_ESL-1/(B245*C_THROUGH_C)))))</f>
        <v>0</v>
      </c>
      <c r="E245">
        <f>COMPLEX(2*LINE_INPUT_DCR,2*B245*LINE_INPUT_L)</f>
        <v>0</v>
      </c>
      <c r="F245">
        <f>COMPLEX(0,B245*(LINE_INPUT_CLINE+LINE_INPUT_CCHA/2))</f>
        <v>0</v>
      </c>
      <c r="G245">
        <f>IMPRODUCT("2",IMDIV("1",IMSUM(IMDIV("1",COMPLEX(LDM1_DCR,B245*LDM1_L)),COMPLEX(0,B245*LDM1_CPA))))</f>
        <v>0</v>
      </c>
      <c r="H245">
        <f>IMSUM(IMDIV("1",COMPLEX(CX1_ESR,B245*CX1_ESL-1/(B245*CX1_C))),IMDIV("1",IMSUM(COMPLEX(DUMP1_R,0),COMPLEX(DUMP1_ESR,B245*DUMP1_ESL-1/(B245*DUMP1_C)))))</f>
        <v>0</v>
      </c>
      <c r="I245">
        <f>IMPRODUCT("2",IMDIV("1",IMSUM(IMDIV("1",COMPLEX(LDM2_DCR,B245*LDM2_L)),COMPLEX(0,B245*LDM2_CPA))))</f>
        <v>0</v>
      </c>
      <c r="J245">
        <f>IMSUM(IMDIV("1",COMPLEX(CX2_ESR,B245*CX2_ESL-1/(B245*CX2_C))),IMDIV("1",IMSUM(COMPLEX(DUMP2_R,0),COMPLEX(DUMP2_ESR,B245*DUMP2_ESL-1/(B245*DUMP2_C)))))</f>
        <v>0</v>
      </c>
      <c r="K245">
        <f>IMPRODUCT("2",IMDIV("1",IMSUM(IMDIV("1",COMPLEX(CMC_DCR,B245*CMC_L*(1-CMC_K))),COMPLEX(0,B245*CMC_CPA))))</f>
        <v>0</v>
      </c>
      <c r="L245">
        <f>IMSUM(COMPLEX(0,B245*CMC_CLINE),IMDIV("1",IMPRODUCT("2",COMPLEX(CY_ESR,B245*CY_ESL-1/(B245*CY_C)))),COMPLEX(1/DUMMY_R,0))</f>
        <v>0</v>
      </c>
      <c r="M245">
        <f>IMSUM(D245,IMDIV("1",C245))</f>
        <v>0</v>
      </c>
      <c r="N245">
        <f>IMDIV("1",IMSUM(E245,IMDIV("1",M245)))</f>
        <v>0</v>
      </c>
      <c r="O245">
        <f>IMSUM(F245,N245)</f>
        <v>0</v>
      </c>
      <c r="P245">
        <f>IMDIV("1",IMSUM(G245,IMDIV("1",O245)))</f>
        <v>0</v>
      </c>
      <c r="Q245">
        <f>IMSUM(H245,P245)</f>
        <v>0</v>
      </c>
      <c r="R245">
        <f>IMDIV("1",IMSUM(I245,IMDIV("1",Q245)))</f>
        <v>0</v>
      </c>
      <c r="S245">
        <f>IMSUM(J245,R245)</f>
        <v>0</v>
      </c>
      <c r="T245">
        <f>IMDIV("1",IMSUM(K245,IMDIV("1",S245)))</f>
        <v>0</v>
      </c>
      <c r="U245">
        <f>IMSUM(L245,T245)</f>
        <v>0</v>
      </c>
      <c r="V245">
        <f>IMDIV(COMPLEX(I_DM_SOURCE,0),U245)</f>
        <v>0</v>
      </c>
      <c r="W245">
        <f>IMPRODUCT(V245,T245)</f>
        <v>0</v>
      </c>
      <c r="X245">
        <f>IMDIV(W245,S245)</f>
        <v>0</v>
      </c>
      <c r="Y245">
        <f>IMPRODUCT(X245,R245)</f>
        <v>0</v>
      </c>
      <c r="Z245">
        <f>IMDIV(Y245,Q245)</f>
        <v>0</v>
      </c>
      <c r="AA245">
        <f>IMPRODUCT(Z245,P245)</f>
        <v>0</v>
      </c>
      <c r="AB245">
        <f>AA245</f>
        <v>0</v>
      </c>
      <c r="AC245">
        <f>IMPRODUCT("-1",AB245)</f>
        <v>0</v>
      </c>
      <c r="AD245">
        <f>IMDIV(IMSUB(AB245,AC245),"2")</f>
        <v>0</v>
      </c>
      <c r="AE245" s="6">
        <f>IMABS(AB245)</f>
        <v>0</v>
      </c>
      <c r="AF245" s="6">
        <f>IMABS(AC245)</f>
        <v>0</v>
      </c>
      <c r="AG245" s="6">
        <f>IMABS(AD245)</f>
        <v>0</v>
      </c>
      <c r="AH245" s="7">
        <f>20*LOG10(MAX(AE245,1E-300)*1E6)</f>
        <v>0</v>
      </c>
      <c r="AI245" s="7">
        <f>20*LOG10(MAX(AF245,1E-300)*1E6)</f>
        <v>0</v>
      </c>
      <c r="AJ245" s="7">
        <f>20*LOG10(MAX(AG245,1E-300)*1E6)</f>
        <v>0</v>
      </c>
      <c r="AK245" s="7">
        <f>DEGREES(IMARGUMENT(AB245))</f>
        <v>0</v>
      </c>
      <c r="AL245" s="7">
        <f>DEGREES(IMARGUMENT(AC245))</f>
        <v>0</v>
      </c>
      <c r="AM245" s="7">
        <f>DEGREES(IMARGUMENT(AD245))</f>
        <v>0</v>
      </c>
    </row>
    <row r="246" spans="1:39">
      <c r="A246" s="6">
        <f>10^(LOG10(F_START)+(ROW()-ROW($A$2))*(LOG10(F_STOP)-LOG10(F_START))/(N_POINTS-1))</f>
        <v>0</v>
      </c>
      <c r="B246" s="6">
        <f>2*PI()*A246</f>
        <v>0</v>
      </c>
      <c r="C246">
        <f>COMPLEX(2*LINE_PS_DCR,2*B246*LINE_PS_L)</f>
        <v>0</v>
      </c>
      <c r="D246">
        <f>IMSUM(COMPLEX(0,B246*(LINE_PS_CLINE+LINE_PS_CCHA/2)),IMDIV("1",IMPRODUCT("2",COMPLEX(C_THROUGH_ESR,B246*C_THROUGH_ESL-1/(B246*C_THROUGH_C)))))</f>
        <v>0</v>
      </c>
      <c r="E246">
        <f>COMPLEX(2*LINE_INPUT_DCR,2*B246*LINE_INPUT_L)</f>
        <v>0</v>
      </c>
      <c r="F246">
        <f>COMPLEX(0,B246*(LINE_INPUT_CLINE+LINE_INPUT_CCHA/2))</f>
        <v>0</v>
      </c>
      <c r="G246">
        <f>IMPRODUCT("2",IMDIV("1",IMSUM(IMDIV("1",COMPLEX(LDM1_DCR,B246*LDM1_L)),COMPLEX(0,B246*LDM1_CPA))))</f>
        <v>0</v>
      </c>
      <c r="H246">
        <f>IMSUM(IMDIV("1",COMPLEX(CX1_ESR,B246*CX1_ESL-1/(B246*CX1_C))),IMDIV("1",IMSUM(COMPLEX(DUMP1_R,0),COMPLEX(DUMP1_ESR,B246*DUMP1_ESL-1/(B246*DUMP1_C)))))</f>
        <v>0</v>
      </c>
      <c r="I246">
        <f>IMPRODUCT("2",IMDIV("1",IMSUM(IMDIV("1",COMPLEX(LDM2_DCR,B246*LDM2_L)),COMPLEX(0,B246*LDM2_CPA))))</f>
        <v>0</v>
      </c>
      <c r="J246">
        <f>IMSUM(IMDIV("1",COMPLEX(CX2_ESR,B246*CX2_ESL-1/(B246*CX2_C))),IMDIV("1",IMSUM(COMPLEX(DUMP2_R,0),COMPLEX(DUMP2_ESR,B246*DUMP2_ESL-1/(B246*DUMP2_C)))))</f>
        <v>0</v>
      </c>
      <c r="K246">
        <f>IMPRODUCT("2",IMDIV("1",IMSUM(IMDIV("1",COMPLEX(CMC_DCR,B246*CMC_L*(1-CMC_K))),COMPLEX(0,B246*CMC_CPA))))</f>
        <v>0</v>
      </c>
      <c r="L246">
        <f>IMSUM(COMPLEX(0,B246*CMC_CLINE),IMDIV("1",IMPRODUCT("2",COMPLEX(CY_ESR,B246*CY_ESL-1/(B246*CY_C)))),COMPLEX(1/DUMMY_R,0))</f>
        <v>0</v>
      </c>
      <c r="M246">
        <f>IMSUM(D246,IMDIV("1",C246))</f>
        <v>0</v>
      </c>
      <c r="N246">
        <f>IMDIV("1",IMSUM(E246,IMDIV("1",M246)))</f>
        <v>0</v>
      </c>
      <c r="O246">
        <f>IMSUM(F246,N246)</f>
        <v>0</v>
      </c>
      <c r="P246">
        <f>IMDIV("1",IMSUM(G246,IMDIV("1",O246)))</f>
        <v>0</v>
      </c>
      <c r="Q246">
        <f>IMSUM(H246,P246)</f>
        <v>0</v>
      </c>
      <c r="R246">
        <f>IMDIV("1",IMSUM(I246,IMDIV("1",Q246)))</f>
        <v>0</v>
      </c>
      <c r="S246">
        <f>IMSUM(J246,R246)</f>
        <v>0</v>
      </c>
      <c r="T246">
        <f>IMDIV("1",IMSUM(K246,IMDIV("1",S246)))</f>
        <v>0</v>
      </c>
      <c r="U246">
        <f>IMSUM(L246,T246)</f>
        <v>0</v>
      </c>
      <c r="V246">
        <f>IMDIV(COMPLEX(I_DM_SOURCE,0),U246)</f>
        <v>0</v>
      </c>
      <c r="W246">
        <f>IMPRODUCT(V246,T246)</f>
        <v>0</v>
      </c>
      <c r="X246">
        <f>IMDIV(W246,S246)</f>
        <v>0</v>
      </c>
      <c r="Y246">
        <f>IMPRODUCT(X246,R246)</f>
        <v>0</v>
      </c>
      <c r="Z246">
        <f>IMDIV(Y246,Q246)</f>
        <v>0</v>
      </c>
      <c r="AA246">
        <f>IMPRODUCT(Z246,P246)</f>
        <v>0</v>
      </c>
      <c r="AB246">
        <f>AA246</f>
        <v>0</v>
      </c>
      <c r="AC246">
        <f>IMPRODUCT("-1",AB246)</f>
        <v>0</v>
      </c>
      <c r="AD246">
        <f>IMDIV(IMSUB(AB246,AC246),"2")</f>
        <v>0</v>
      </c>
      <c r="AE246" s="6">
        <f>IMABS(AB246)</f>
        <v>0</v>
      </c>
      <c r="AF246" s="6">
        <f>IMABS(AC246)</f>
        <v>0</v>
      </c>
      <c r="AG246" s="6">
        <f>IMABS(AD246)</f>
        <v>0</v>
      </c>
      <c r="AH246" s="7">
        <f>20*LOG10(MAX(AE246,1E-300)*1E6)</f>
        <v>0</v>
      </c>
      <c r="AI246" s="7">
        <f>20*LOG10(MAX(AF246,1E-300)*1E6)</f>
        <v>0</v>
      </c>
      <c r="AJ246" s="7">
        <f>20*LOG10(MAX(AG246,1E-300)*1E6)</f>
        <v>0</v>
      </c>
      <c r="AK246" s="7">
        <f>DEGREES(IMARGUMENT(AB246))</f>
        <v>0</v>
      </c>
      <c r="AL246" s="7">
        <f>DEGREES(IMARGUMENT(AC246))</f>
        <v>0</v>
      </c>
      <c r="AM246" s="7">
        <f>DEGREES(IMARGUMENT(AD246))</f>
        <v>0</v>
      </c>
    </row>
    <row r="247" spans="1:39">
      <c r="A247" s="6">
        <f>10^(LOG10(F_START)+(ROW()-ROW($A$2))*(LOG10(F_STOP)-LOG10(F_START))/(N_POINTS-1))</f>
        <v>0</v>
      </c>
      <c r="B247" s="6">
        <f>2*PI()*A247</f>
        <v>0</v>
      </c>
      <c r="C247">
        <f>COMPLEX(2*LINE_PS_DCR,2*B247*LINE_PS_L)</f>
        <v>0</v>
      </c>
      <c r="D247">
        <f>IMSUM(COMPLEX(0,B247*(LINE_PS_CLINE+LINE_PS_CCHA/2)),IMDIV("1",IMPRODUCT("2",COMPLEX(C_THROUGH_ESR,B247*C_THROUGH_ESL-1/(B247*C_THROUGH_C)))))</f>
        <v>0</v>
      </c>
      <c r="E247">
        <f>COMPLEX(2*LINE_INPUT_DCR,2*B247*LINE_INPUT_L)</f>
        <v>0</v>
      </c>
      <c r="F247">
        <f>COMPLEX(0,B247*(LINE_INPUT_CLINE+LINE_INPUT_CCHA/2))</f>
        <v>0</v>
      </c>
      <c r="G247">
        <f>IMPRODUCT("2",IMDIV("1",IMSUM(IMDIV("1",COMPLEX(LDM1_DCR,B247*LDM1_L)),COMPLEX(0,B247*LDM1_CPA))))</f>
        <v>0</v>
      </c>
      <c r="H247">
        <f>IMSUM(IMDIV("1",COMPLEX(CX1_ESR,B247*CX1_ESL-1/(B247*CX1_C))),IMDIV("1",IMSUM(COMPLEX(DUMP1_R,0),COMPLEX(DUMP1_ESR,B247*DUMP1_ESL-1/(B247*DUMP1_C)))))</f>
        <v>0</v>
      </c>
      <c r="I247">
        <f>IMPRODUCT("2",IMDIV("1",IMSUM(IMDIV("1",COMPLEX(LDM2_DCR,B247*LDM2_L)),COMPLEX(0,B247*LDM2_CPA))))</f>
        <v>0</v>
      </c>
      <c r="J247">
        <f>IMSUM(IMDIV("1",COMPLEX(CX2_ESR,B247*CX2_ESL-1/(B247*CX2_C))),IMDIV("1",IMSUM(COMPLEX(DUMP2_R,0),COMPLEX(DUMP2_ESR,B247*DUMP2_ESL-1/(B247*DUMP2_C)))))</f>
        <v>0</v>
      </c>
      <c r="K247">
        <f>IMPRODUCT("2",IMDIV("1",IMSUM(IMDIV("1",COMPLEX(CMC_DCR,B247*CMC_L*(1-CMC_K))),COMPLEX(0,B247*CMC_CPA))))</f>
        <v>0</v>
      </c>
      <c r="L247">
        <f>IMSUM(COMPLEX(0,B247*CMC_CLINE),IMDIV("1",IMPRODUCT("2",COMPLEX(CY_ESR,B247*CY_ESL-1/(B247*CY_C)))),COMPLEX(1/DUMMY_R,0))</f>
        <v>0</v>
      </c>
      <c r="M247">
        <f>IMSUM(D247,IMDIV("1",C247))</f>
        <v>0</v>
      </c>
      <c r="N247">
        <f>IMDIV("1",IMSUM(E247,IMDIV("1",M247)))</f>
        <v>0</v>
      </c>
      <c r="O247">
        <f>IMSUM(F247,N247)</f>
        <v>0</v>
      </c>
      <c r="P247">
        <f>IMDIV("1",IMSUM(G247,IMDIV("1",O247)))</f>
        <v>0</v>
      </c>
      <c r="Q247">
        <f>IMSUM(H247,P247)</f>
        <v>0</v>
      </c>
      <c r="R247">
        <f>IMDIV("1",IMSUM(I247,IMDIV("1",Q247)))</f>
        <v>0</v>
      </c>
      <c r="S247">
        <f>IMSUM(J247,R247)</f>
        <v>0</v>
      </c>
      <c r="T247">
        <f>IMDIV("1",IMSUM(K247,IMDIV("1",S247)))</f>
        <v>0</v>
      </c>
      <c r="U247">
        <f>IMSUM(L247,T247)</f>
        <v>0</v>
      </c>
      <c r="V247">
        <f>IMDIV(COMPLEX(I_DM_SOURCE,0),U247)</f>
        <v>0</v>
      </c>
      <c r="W247">
        <f>IMPRODUCT(V247,T247)</f>
        <v>0</v>
      </c>
      <c r="X247">
        <f>IMDIV(W247,S247)</f>
        <v>0</v>
      </c>
      <c r="Y247">
        <f>IMPRODUCT(X247,R247)</f>
        <v>0</v>
      </c>
      <c r="Z247">
        <f>IMDIV(Y247,Q247)</f>
        <v>0</v>
      </c>
      <c r="AA247">
        <f>IMPRODUCT(Z247,P247)</f>
        <v>0</v>
      </c>
      <c r="AB247">
        <f>AA247</f>
        <v>0</v>
      </c>
      <c r="AC247">
        <f>IMPRODUCT("-1",AB247)</f>
        <v>0</v>
      </c>
      <c r="AD247">
        <f>IMDIV(IMSUB(AB247,AC247),"2")</f>
        <v>0</v>
      </c>
      <c r="AE247" s="6">
        <f>IMABS(AB247)</f>
        <v>0</v>
      </c>
      <c r="AF247" s="6">
        <f>IMABS(AC247)</f>
        <v>0</v>
      </c>
      <c r="AG247" s="6">
        <f>IMABS(AD247)</f>
        <v>0</v>
      </c>
      <c r="AH247" s="7">
        <f>20*LOG10(MAX(AE247,1E-300)*1E6)</f>
        <v>0</v>
      </c>
      <c r="AI247" s="7">
        <f>20*LOG10(MAX(AF247,1E-300)*1E6)</f>
        <v>0</v>
      </c>
      <c r="AJ247" s="7">
        <f>20*LOG10(MAX(AG247,1E-300)*1E6)</f>
        <v>0</v>
      </c>
      <c r="AK247" s="7">
        <f>DEGREES(IMARGUMENT(AB247))</f>
        <v>0</v>
      </c>
      <c r="AL247" s="7">
        <f>DEGREES(IMARGUMENT(AC247))</f>
        <v>0</v>
      </c>
      <c r="AM247" s="7">
        <f>DEGREES(IMARGUMENT(AD247))</f>
        <v>0</v>
      </c>
    </row>
    <row r="248" spans="1:39">
      <c r="A248" s="6">
        <f>10^(LOG10(F_START)+(ROW()-ROW($A$2))*(LOG10(F_STOP)-LOG10(F_START))/(N_POINTS-1))</f>
        <v>0</v>
      </c>
      <c r="B248" s="6">
        <f>2*PI()*A248</f>
        <v>0</v>
      </c>
      <c r="C248">
        <f>COMPLEX(2*LINE_PS_DCR,2*B248*LINE_PS_L)</f>
        <v>0</v>
      </c>
      <c r="D248">
        <f>IMSUM(COMPLEX(0,B248*(LINE_PS_CLINE+LINE_PS_CCHA/2)),IMDIV("1",IMPRODUCT("2",COMPLEX(C_THROUGH_ESR,B248*C_THROUGH_ESL-1/(B248*C_THROUGH_C)))))</f>
        <v>0</v>
      </c>
      <c r="E248">
        <f>COMPLEX(2*LINE_INPUT_DCR,2*B248*LINE_INPUT_L)</f>
        <v>0</v>
      </c>
      <c r="F248">
        <f>COMPLEX(0,B248*(LINE_INPUT_CLINE+LINE_INPUT_CCHA/2))</f>
        <v>0</v>
      </c>
      <c r="G248">
        <f>IMPRODUCT("2",IMDIV("1",IMSUM(IMDIV("1",COMPLEX(LDM1_DCR,B248*LDM1_L)),COMPLEX(0,B248*LDM1_CPA))))</f>
        <v>0</v>
      </c>
      <c r="H248">
        <f>IMSUM(IMDIV("1",COMPLEX(CX1_ESR,B248*CX1_ESL-1/(B248*CX1_C))),IMDIV("1",IMSUM(COMPLEX(DUMP1_R,0),COMPLEX(DUMP1_ESR,B248*DUMP1_ESL-1/(B248*DUMP1_C)))))</f>
        <v>0</v>
      </c>
      <c r="I248">
        <f>IMPRODUCT("2",IMDIV("1",IMSUM(IMDIV("1",COMPLEX(LDM2_DCR,B248*LDM2_L)),COMPLEX(0,B248*LDM2_CPA))))</f>
        <v>0</v>
      </c>
      <c r="J248">
        <f>IMSUM(IMDIV("1",COMPLEX(CX2_ESR,B248*CX2_ESL-1/(B248*CX2_C))),IMDIV("1",IMSUM(COMPLEX(DUMP2_R,0),COMPLEX(DUMP2_ESR,B248*DUMP2_ESL-1/(B248*DUMP2_C)))))</f>
        <v>0</v>
      </c>
      <c r="K248">
        <f>IMPRODUCT("2",IMDIV("1",IMSUM(IMDIV("1",COMPLEX(CMC_DCR,B248*CMC_L*(1-CMC_K))),COMPLEX(0,B248*CMC_CPA))))</f>
        <v>0</v>
      </c>
      <c r="L248">
        <f>IMSUM(COMPLEX(0,B248*CMC_CLINE),IMDIV("1",IMPRODUCT("2",COMPLEX(CY_ESR,B248*CY_ESL-1/(B248*CY_C)))),COMPLEX(1/DUMMY_R,0))</f>
        <v>0</v>
      </c>
      <c r="M248">
        <f>IMSUM(D248,IMDIV("1",C248))</f>
        <v>0</v>
      </c>
      <c r="N248">
        <f>IMDIV("1",IMSUM(E248,IMDIV("1",M248)))</f>
        <v>0</v>
      </c>
      <c r="O248">
        <f>IMSUM(F248,N248)</f>
        <v>0</v>
      </c>
      <c r="P248">
        <f>IMDIV("1",IMSUM(G248,IMDIV("1",O248)))</f>
        <v>0</v>
      </c>
      <c r="Q248">
        <f>IMSUM(H248,P248)</f>
        <v>0</v>
      </c>
      <c r="R248">
        <f>IMDIV("1",IMSUM(I248,IMDIV("1",Q248)))</f>
        <v>0</v>
      </c>
      <c r="S248">
        <f>IMSUM(J248,R248)</f>
        <v>0</v>
      </c>
      <c r="T248">
        <f>IMDIV("1",IMSUM(K248,IMDIV("1",S248)))</f>
        <v>0</v>
      </c>
      <c r="U248">
        <f>IMSUM(L248,T248)</f>
        <v>0</v>
      </c>
      <c r="V248">
        <f>IMDIV(COMPLEX(I_DM_SOURCE,0),U248)</f>
        <v>0</v>
      </c>
      <c r="W248">
        <f>IMPRODUCT(V248,T248)</f>
        <v>0</v>
      </c>
      <c r="X248">
        <f>IMDIV(W248,S248)</f>
        <v>0</v>
      </c>
      <c r="Y248">
        <f>IMPRODUCT(X248,R248)</f>
        <v>0</v>
      </c>
      <c r="Z248">
        <f>IMDIV(Y248,Q248)</f>
        <v>0</v>
      </c>
      <c r="AA248">
        <f>IMPRODUCT(Z248,P248)</f>
        <v>0</v>
      </c>
      <c r="AB248">
        <f>AA248</f>
        <v>0</v>
      </c>
      <c r="AC248">
        <f>IMPRODUCT("-1",AB248)</f>
        <v>0</v>
      </c>
      <c r="AD248">
        <f>IMDIV(IMSUB(AB248,AC248),"2")</f>
        <v>0</v>
      </c>
      <c r="AE248" s="6">
        <f>IMABS(AB248)</f>
        <v>0</v>
      </c>
      <c r="AF248" s="6">
        <f>IMABS(AC248)</f>
        <v>0</v>
      </c>
      <c r="AG248" s="6">
        <f>IMABS(AD248)</f>
        <v>0</v>
      </c>
      <c r="AH248" s="7">
        <f>20*LOG10(MAX(AE248,1E-300)*1E6)</f>
        <v>0</v>
      </c>
      <c r="AI248" s="7">
        <f>20*LOG10(MAX(AF248,1E-300)*1E6)</f>
        <v>0</v>
      </c>
      <c r="AJ248" s="7">
        <f>20*LOG10(MAX(AG248,1E-300)*1E6)</f>
        <v>0</v>
      </c>
      <c r="AK248" s="7">
        <f>DEGREES(IMARGUMENT(AB248))</f>
        <v>0</v>
      </c>
      <c r="AL248" s="7">
        <f>DEGREES(IMARGUMENT(AC248))</f>
        <v>0</v>
      </c>
      <c r="AM248" s="7">
        <f>DEGREES(IMARGUMENT(AD248))</f>
        <v>0</v>
      </c>
    </row>
    <row r="249" spans="1:39">
      <c r="A249" s="6">
        <f>10^(LOG10(F_START)+(ROW()-ROW($A$2))*(LOG10(F_STOP)-LOG10(F_START))/(N_POINTS-1))</f>
        <v>0</v>
      </c>
      <c r="B249" s="6">
        <f>2*PI()*A249</f>
        <v>0</v>
      </c>
      <c r="C249">
        <f>COMPLEX(2*LINE_PS_DCR,2*B249*LINE_PS_L)</f>
        <v>0</v>
      </c>
      <c r="D249">
        <f>IMSUM(COMPLEX(0,B249*(LINE_PS_CLINE+LINE_PS_CCHA/2)),IMDIV("1",IMPRODUCT("2",COMPLEX(C_THROUGH_ESR,B249*C_THROUGH_ESL-1/(B249*C_THROUGH_C)))))</f>
        <v>0</v>
      </c>
      <c r="E249">
        <f>COMPLEX(2*LINE_INPUT_DCR,2*B249*LINE_INPUT_L)</f>
        <v>0</v>
      </c>
      <c r="F249">
        <f>COMPLEX(0,B249*(LINE_INPUT_CLINE+LINE_INPUT_CCHA/2))</f>
        <v>0</v>
      </c>
      <c r="G249">
        <f>IMPRODUCT("2",IMDIV("1",IMSUM(IMDIV("1",COMPLEX(LDM1_DCR,B249*LDM1_L)),COMPLEX(0,B249*LDM1_CPA))))</f>
        <v>0</v>
      </c>
      <c r="H249">
        <f>IMSUM(IMDIV("1",COMPLEX(CX1_ESR,B249*CX1_ESL-1/(B249*CX1_C))),IMDIV("1",IMSUM(COMPLEX(DUMP1_R,0),COMPLEX(DUMP1_ESR,B249*DUMP1_ESL-1/(B249*DUMP1_C)))))</f>
        <v>0</v>
      </c>
      <c r="I249">
        <f>IMPRODUCT("2",IMDIV("1",IMSUM(IMDIV("1",COMPLEX(LDM2_DCR,B249*LDM2_L)),COMPLEX(0,B249*LDM2_CPA))))</f>
        <v>0</v>
      </c>
      <c r="J249">
        <f>IMSUM(IMDIV("1",COMPLEX(CX2_ESR,B249*CX2_ESL-1/(B249*CX2_C))),IMDIV("1",IMSUM(COMPLEX(DUMP2_R,0),COMPLEX(DUMP2_ESR,B249*DUMP2_ESL-1/(B249*DUMP2_C)))))</f>
        <v>0</v>
      </c>
      <c r="K249">
        <f>IMPRODUCT("2",IMDIV("1",IMSUM(IMDIV("1",COMPLEX(CMC_DCR,B249*CMC_L*(1-CMC_K))),COMPLEX(0,B249*CMC_CPA))))</f>
        <v>0</v>
      </c>
      <c r="L249">
        <f>IMSUM(COMPLEX(0,B249*CMC_CLINE),IMDIV("1",IMPRODUCT("2",COMPLEX(CY_ESR,B249*CY_ESL-1/(B249*CY_C)))),COMPLEX(1/DUMMY_R,0))</f>
        <v>0</v>
      </c>
      <c r="M249">
        <f>IMSUM(D249,IMDIV("1",C249))</f>
        <v>0</v>
      </c>
      <c r="N249">
        <f>IMDIV("1",IMSUM(E249,IMDIV("1",M249)))</f>
        <v>0</v>
      </c>
      <c r="O249">
        <f>IMSUM(F249,N249)</f>
        <v>0</v>
      </c>
      <c r="P249">
        <f>IMDIV("1",IMSUM(G249,IMDIV("1",O249)))</f>
        <v>0</v>
      </c>
      <c r="Q249">
        <f>IMSUM(H249,P249)</f>
        <v>0</v>
      </c>
      <c r="R249">
        <f>IMDIV("1",IMSUM(I249,IMDIV("1",Q249)))</f>
        <v>0</v>
      </c>
      <c r="S249">
        <f>IMSUM(J249,R249)</f>
        <v>0</v>
      </c>
      <c r="T249">
        <f>IMDIV("1",IMSUM(K249,IMDIV("1",S249)))</f>
        <v>0</v>
      </c>
      <c r="U249">
        <f>IMSUM(L249,T249)</f>
        <v>0</v>
      </c>
      <c r="V249">
        <f>IMDIV(COMPLEX(I_DM_SOURCE,0),U249)</f>
        <v>0</v>
      </c>
      <c r="W249">
        <f>IMPRODUCT(V249,T249)</f>
        <v>0</v>
      </c>
      <c r="X249">
        <f>IMDIV(W249,S249)</f>
        <v>0</v>
      </c>
      <c r="Y249">
        <f>IMPRODUCT(X249,R249)</f>
        <v>0</v>
      </c>
      <c r="Z249">
        <f>IMDIV(Y249,Q249)</f>
        <v>0</v>
      </c>
      <c r="AA249">
        <f>IMPRODUCT(Z249,P249)</f>
        <v>0</v>
      </c>
      <c r="AB249">
        <f>AA249</f>
        <v>0</v>
      </c>
      <c r="AC249">
        <f>IMPRODUCT("-1",AB249)</f>
        <v>0</v>
      </c>
      <c r="AD249">
        <f>IMDIV(IMSUB(AB249,AC249),"2")</f>
        <v>0</v>
      </c>
      <c r="AE249" s="6">
        <f>IMABS(AB249)</f>
        <v>0</v>
      </c>
      <c r="AF249" s="6">
        <f>IMABS(AC249)</f>
        <v>0</v>
      </c>
      <c r="AG249" s="6">
        <f>IMABS(AD249)</f>
        <v>0</v>
      </c>
      <c r="AH249" s="7">
        <f>20*LOG10(MAX(AE249,1E-300)*1E6)</f>
        <v>0</v>
      </c>
      <c r="AI249" s="7">
        <f>20*LOG10(MAX(AF249,1E-300)*1E6)</f>
        <v>0</v>
      </c>
      <c r="AJ249" s="7">
        <f>20*LOG10(MAX(AG249,1E-300)*1E6)</f>
        <v>0</v>
      </c>
      <c r="AK249" s="7">
        <f>DEGREES(IMARGUMENT(AB249))</f>
        <v>0</v>
      </c>
      <c r="AL249" s="7">
        <f>DEGREES(IMARGUMENT(AC249))</f>
        <v>0</v>
      </c>
      <c r="AM249" s="7">
        <f>DEGREES(IMARGUMENT(AD249))</f>
        <v>0</v>
      </c>
    </row>
    <row r="250" spans="1:39">
      <c r="A250" s="6">
        <f>10^(LOG10(F_START)+(ROW()-ROW($A$2))*(LOG10(F_STOP)-LOG10(F_START))/(N_POINTS-1))</f>
        <v>0</v>
      </c>
      <c r="B250" s="6">
        <f>2*PI()*A250</f>
        <v>0</v>
      </c>
      <c r="C250">
        <f>COMPLEX(2*LINE_PS_DCR,2*B250*LINE_PS_L)</f>
        <v>0</v>
      </c>
      <c r="D250">
        <f>IMSUM(COMPLEX(0,B250*(LINE_PS_CLINE+LINE_PS_CCHA/2)),IMDIV("1",IMPRODUCT("2",COMPLEX(C_THROUGH_ESR,B250*C_THROUGH_ESL-1/(B250*C_THROUGH_C)))))</f>
        <v>0</v>
      </c>
      <c r="E250">
        <f>COMPLEX(2*LINE_INPUT_DCR,2*B250*LINE_INPUT_L)</f>
        <v>0</v>
      </c>
      <c r="F250">
        <f>COMPLEX(0,B250*(LINE_INPUT_CLINE+LINE_INPUT_CCHA/2))</f>
        <v>0</v>
      </c>
      <c r="G250">
        <f>IMPRODUCT("2",IMDIV("1",IMSUM(IMDIV("1",COMPLEX(LDM1_DCR,B250*LDM1_L)),COMPLEX(0,B250*LDM1_CPA))))</f>
        <v>0</v>
      </c>
      <c r="H250">
        <f>IMSUM(IMDIV("1",COMPLEX(CX1_ESR,B250*CX1_ESL-1/(B250*CX1_C))),IMDIV("1",IMSUM(COMPLEX(DUMP1_R,0),COMPLEX(DUMP1_ESR,B250*DUMP1_ESL-1/(B250*DUMP1_C)))))</f>
        <v>0</v>
      </c>
      <c r="I250">
        <f>IMPRODUCT("2",IMDIV("1",IMSUM(IMDIV("1",COMPLEX(LDM2_DCR,B250*LDM2_L)),COMPLEX(0,B250*LDM2_CPA))))</f>
        <v>0</v>
      </c>
      <c r="J250">
        <f>IMSUM(IMDIV("1",COMPLEX(CX2_ESR,B250*CX2_ESL-1/(B250*CX2_C))),IMDIV("1",IMSUM(COMPLEX(DUMP2_R,0),COMPLEX(DUMP2_ESR,B250*DUMP2_ESL-1/(B250*DUMP2_C)))))</f>
        <v>0</v>
      </c>
      <c r="K250">
        <f>IMPRODUCT("2",IMDIV("1",IMSUM(IMDIV("1",COMPLEX(CMC_DCR,B250*CMC_L*(1-CMC_K))),COMPLEX(0,B250*CMC_CPA))))</f>
        <v>0</v>
      </c>
      <c r="L250">
        <f>IMSUM(COMPLEX(0,B250*CMC_CLINE),IMDIV("1",IMPRODUCT("2",COMPLEX(CY_ESR,B250*CY_ESL-1/(B250*CY_C)))),COMPLEX(1/DUMMY_R,0))</f>
        <v>0</v>
      </c>
      <c r="M250">
        <f>IMSUM(D250,IMDIV("1",C250))</f>
        <v>0</v>
      </c>
      <c r="N250">
        <f>IMDIV("1",IMSUM(E250,IMDIV("1",M250)))</f>
        <v>0</v>
      </c>
      <c r="O250">
        <f>IMSUM(F250,N250)</f>
        <v>0</v>
      </c>
      <c r="P250">
        <f>IMDIV("1",IMSUM(G250,IMDIV("1",O250)))</f>
        <v>0</v>
      </c>
      <c r="Q250">
        <f>IMSUM(H250,P250)</f>
        <v>0</v>
      </c>
      <c r="R250">
        <f>IMDIV("1",IMSUM(I250,IMDIV("1",Q250)))</f>
        <v>0</v>
      </c>
      <c r="S250">
        <f>IMSUM(J250,R250)</f>
        <v>0</v>
      </c>
      <c r="T250">
        <f>IMDIV("1",IMSUM(K250,IMDIV("1",S250)))</f>
        <v>0</v>
      </c>
      <c r="U250">
        <f>IMSUM(L250,T250)</f>
        <v>0</v>
      </c>
      <c r="V250">
        <f>IMDIV(COMPLEX(I_DM_SOURCE,0),U250)</f>
        <v>0</v>
      </c>
      <c r="W250">
        <f>IMPRODUCT(V250,T250)</f>
        <v>0</v>
      </c>
      <c r="X250">
        <f>IMDIV(W250,S250)</f>
        <v>0</v>
      </c>
      <c r="Y250">
        <f>IMPRODUCT(X250,R250)</f>
        <v>0</v>
      </c>
      <c r="Z250">
        <f>IMDIV(Y250,Q250)</f>
        <v>0</v>
      </c>
      <c r="AA250">
        <f>IMPRODUCT(Z250,P250)</f>
        <v>0</v>
      </c>
      <c r="AB250">
        <f>AA250</f>
        <v>0</v>
      </c>
      <c r="AC250">
        <f>IMPRODUCT("-1",AB250)</f>
        <v>0</v>
      </c>
      <c r="AD250">
        <f>IMDIV(IMSUB(AB250,AC250),"2")</f>
        <v>0</v>
      </c>
      <c r="AE250" s="6">
        <f>IMABS(AB250)</f>
        <v>0</v>
      </c>
      <c r="AF250" s="6">
        <f>IMABS(AC250)</f>
        <v>0</v>
      </c>
      <c r="AG250" s="6">
        <f>IMABS(AD250)</f>
        <v>0</v>
      </c>
      <c r="AH250" s="7">
        <f>20*LOG10(MAX(AE250,1E-300)*1E6)</f>
        <v>0</v>
      </c>
      <c r="AI250" s="7">
        <f>20*LOG10(MAX(AF250,1E-300)*1E6)</f>
        <v>0</v>
      </c>
      <c r="AJ250" s="7">
        <f>20*LOG10(MAX(AG250,1E-300)*1E6)</f>
        <v>0</v>
      </c>
      <c r="AK250" s="7">
        <f>DEGREES(IMARGUMENT(AB250))</f>
        <v>0</v>
      </c>
      <c r="AL250" s="7">
        <f>DEGREES(IMARGUMENT(AC250))</f>
        <v>0</v>
      </c>
      <c r="AM250" s="7">
        <f>DEGREES(IMARGUMENT(AD250))</f>
        <v>0</v>
      </c>
    </row>
    <row r="251" spans="1:39">
      <c r="A251" s="6">
        <f>10^(LOG10(F_START)+(ROW()-ROW($A$2))*(LOG10(F_STOP)-LOG10(F_START))/(N_POINTS-1))</f>
        <v>0</v>
      </c>
      <c r="B251" s="6">
        <f>2*PI()*A251</f>
        <v>0</v>
      </c>
      <c r="C251">
        <f>COMPLEX(2*LINE_PS_DCR,2*B251*LINE_PS_L)</f>
        <v>0</v>
      </c>
      <c r="D251">
        <f>IMSUM(COMPLEX(0,B251*(LINE_PS_CLINE+LINE_PS_CCHA/2)),IMDIV("1",IMPRODUCT("2",COMPLEX(C_THROUGH_ESR,B251*C_THROUGH_ESL-1/(B251*C_THROUGH_C)))))</f>
        <v>0</v>
      </c>
      <c r="E251">
        <f>COMPLEX(2*LINE_INPUT_DCR,2*B251*LINE_INPUT_L)</f>
        <v>0</v>
      </c>
      <c r="F251">
        <f>COMPLEX(0,B251*(LINE_INPUT_CLINE+LINE_INPUT_CCHA/2))</f>
        <v>0</v>
      </c>
      <c r="G251">
        <f>IMPRODUCT("2",IMDIV("1",IMSUM(IMDIV("1",COMPLEX(LDM1_DCR,B251*LDM1_L)),COMPLEX(0,B251*LDM1_CPA))))</f>
        <v>0</v>
      </c>
      <c r="H251">
        <f>IMSUM(IMDIV("1",COMPLEX(CX1_ESR,B251*CX1_ESL-1/(B251*CX1_C))),IMDIV("1",IMSUM(COMPLEX(DUMP1_R,0),COMPLEX(DUMP1_ESR,B251*DUMP1_ESL-1/(B251*DUMP1_C)))))</f>
        <v>0</v>
      </c>
      <c r="I251">
        <f>IMPRODUCT("2",IMDIV("1",IMSUM(IMDIV("1",COMPLEX(LDM2_DCR,B251*LDM2_L)),COMPLEX(0,B251*LDM2_CPA))))</f>
        <v>0</v>
      </c>
      <c r="J251">
        <f>IMSUM(IMDIV("1",COMPLEX(CX2_ESR,B251*CX2_ESL-1/(B251*CX2_C))),IMDIV("1",IMSUM(COMPLEX(DUMP2_R,0),COMPLEX(DUMP2_ESR,B251*DUMP2_ESL-1/(B251*DUMP2_C)))))</f>
        <v>0</v>
      </c>
      <c r="K251">
        <f>IMPRODUCT("2",IMDIV("1",IMSUM(IMDIV("1",COMPLEX(CMC_DCR,B251*CMC_L*(1-CMC_K))),COMPLEX(0,B251*CMC_CPA))))</f>
        <v>0</v>
      </c>
      <c r="L251">
        <f>IMSUM(COMPLEX(0,B251*CMC_CLINE),IMDIV("1",IMPRODUCT("2",COMPLEX(CY_ESR,B251*CY_ESL-1/(B251*CY_C)))),COMPLEX(1/DUMMY_R,0))</f>
        <v>0</v>
      </c>
      <c r="M251">
        <f>IMSUM(D251,IMDIV("1",C251))</f>
        <v>0</v>
      </c>
      <c r="N251">
        <f>IMDIV("1",IMSUM(E251,IMDIV("1",M251)))</f>
        <v>0</v>
      </c>
      <c r="O251">
        <f>IMSUM(F251,N251)</f>
        <v>0</v>
      </c>
      <c r="P251">
        <f>IMDIV("1",IMSUM(G251,IMDIV("1",O251)))</f>
        <v>0</v>
      </c>
      <c r="Q251">
        <f>IMSUM(H251,P251)</f>
        <v>0</v>
      </c>
      <c r="R251">
        <f>IMDIV("1",IMSUM(I251,IMDIV("1",Q251)))</f>
        <v>0</v>
      </c>
      <c r="S251">
        <f>IMSUM(J251,R251)</f>
        <v>0</v>
      </c>
      <c r="T251">
        <f>IMDIV("1",IMSUM(K251,IMDIV("1",S251)))</f>
        <v>0</v>
      </c>
      <c r="U251">
        <f>IMSUM(L251,T251)</f>
        <v>0</v>
      </c>
      <c r="V251">
        <f>IMDIV(COMPLEX(I_DM_SOURCE,0),U251)</f>
        <v>0</v>
      </c>
      <c r="W251">
        <f>IMPRODUCT(V251,T251)</f>
        <v>0</v>
      </c>
      <c r="X251">
        <f>IMDIV(W251,S251)</f>
        <v>0</v>
      </c>
      <c r="Y251">
        <f>IMPRODUCT(X251,R251)</f>
        <v>0</v>
      </c>
      <c r="Z251">
        <f>IMDIV(Y251,Q251)</f>
        <v>0</v>
      </c>
      <c r="AA251">
        <f>IMPRODUCT(Z251,P251)</f>
        <v>0</v>
      </c>
      <c r="AB251">
        <f>AA251</f>
        <v>0</v>
      </c>
      <c r="AC251">
        <f>IMPRODUCT("-1",AB251)</f>
        <v>0</v>
      </c>
      <c r="AD251">
        <f>IMDIV(IMSUB(AB251,AC251),"2")</f>
        <v>0</v>
      </c>
      <c r="AE251" s="6">
        <f>IMABS(AB251)</f>
        <v>0</v>
      </c>
      <c r="AF251" s="6">
        <f>IMABS(AC251)</f>
        <v>0</v>
      </c>
      <c r="AG251" s="6">
        <f>IMABS(AD251)</f>
        <v>0</v>
      </c>
      <c r="AH251" s="7">
        <f>20*LOG10(MAX(AE251,1E-300)*1E6)</f>
        <v>0</v>
      </c>
      <c r="AI251" s="7">
        <f>20*LOG10(MAX(AF251,1E-300)*1E6)</f>
        <v>0</v>
      </c>
      <c r="AJ251" s="7">
        <f>20*LOG10(MAX(AG251,1E-300)*1E6)</f>
        <v>0</v>
      </c>
      <c r="AK251" s="7">
        <f>DEGREES(IMARGUMENT(AB251))</f>
        <v>0</v>
      </c>
      <c r="AL251" s="7">
        <f>DEGREES(IMARGUMENT(AC251))</f>
        <v>0</v>
      </c>
      <c r="AM251" s="7">
        <f>DEGREES(IMARGUMENT(AD251))</f>
        <v>0</v>
      </c>
    </row>
    <row r="252" spans="1:39">
      <c r="A252" s="6">
        <f>10^(LOG10(F_START)+(ROW()-ROW($A$2))*(LOG10(F_STOP)-LOG10(F_START))/(N_POINTS-1))</f>
        <v>0</v>
      </c>
      <c r="B252" s="6">
        <f>2*PI()*A252</f>
        <v>0</v>
      </c>
      <c r="C252">
        <f>COMPLEX(2*LINE_PS_DCR,2*B252*LINE_PS_L)</f>
        <v>0</v>
      </c>
      <c r="D252">
        <f>IMSUM(COMPLEX(0,B252*(LINE_PS_CLINE+LINE_PS_CCHA/2)),IMDIV("1",IMPRODUCT("2",COMPLEX(C_THROUGH_ESR,B252*C_THROUGH_ESL-1/(B252*C_THROUGH_C)))))</f>
        <v>0</v>
      </c>
      <c r="E252">
        <f>COMPLEX(2*LINE_INPUT_DCR,2*B252*LINE_INPUT_L)</f>
        <v>0</v>
      </c>
      <c r="F252">
        <f>COMPLEX(0,B252*(LINE_INPUT_CLINE+LINE_INPUT_CCHA/2))</f>
        <v>0</v>
      </c>
      <c r="G252">
        <f>IMPRODUCT("2",IMDIV("1",IMSUM(IMDIV("1",COMPLEX(LDM1_DCR,B252*LDM1_L)),COMPLEX(0,B252*LDM1_CPA))))</f>
        <v>0</v>
      </c>
      <c r="H252">
        <f>IMSUM(IMDIV("1",COMPLEX(CX1_ESR,B252*CX1_ESL-1/(B252*CX1_C))),IMDIV("1",IMSUM(COMPLEX(DUMP1_R,0),COMPLEX(DUMP1_ESR,B252*DUMP1_ESL-1/(B252*DUMP1_C)))))</f>
        <v>0</v>
      </c>
      <c r="I252">
        <f>IMPRODUCT("2",IMDIV("1",IMSUM(IMDIV("1",COMPLEX(LDM2_DCR,B252*LDM2_L)),COMPLEX(0,B252*LDM2_CPA))))</f>
        <v>0</v>
      </c>
      <c r="J252">
        <f>IMSUM(IMDIV("1",COMPLEX(CX2_ESR,B252*CX2_ESL-1/(B252*CX2_C))),IMDIV("1",IMSUM(COMPLEX(DUMP2_R,0),COMPLEX(DUMP2_ESR,B252*DUMP2_ESL-1/(B252*DUMP2_C)))))</f>
        <v>0</v>
      </c>
      <c r="K252">
        <f>IMPRODUCT("2",IMDIV("1",IMSUM(IMDIV("1",COMPLEX(CMC_DCR,B252*CMC_L*(1-CMC_K))),COMPLEX(0,B252*CMC_CPA))))</f>
        <v>0</v>
      </c>
      <c r="L252">
        <f>IMSUM(COMPLEX(0,B252*CMC_CLINE),IMDIV("1",IMPRODUCT("2",COMPLEX(CY_ESR,B252*CY_ESL-1/(B252*CY_C)))),COMPLEX(1/DUMMY_R,0))</f>
        <v>0</v>
      </c>
      <c r="M252">
        <f>IMSUM(D252,IMDIV("1",C252))</f>
        <v>0</v>
      </c>
      <c r="N252">
        <f>IMDIV("1",IMSUM(E252,IMDIV("1",M252)))</f>
        <v>0</v>
      </c>
      <c r="O252">
        <f>IMSUM(F252,N252)</f>
        <v>0</v>
      </c>
      <c r="P252">
        <f>IMDIV("1",IMSUM(G252,IMDIV("1",O252)))</f>
        <v>0</v>
      </c>
      <c r="Q252">
        <f>IMSUM(H252,P252)</f>
        <v>0</v>
      </c>
      <c r="R252">
        <f>IMDIV("1",IMSUM(I252,IMDIV("1",Q252)))</f>
        <v>0</v>
      </c>
      <c r="S252">
        <f>IMSUM(J252,R252)</f>
        <v>0</v>
      </c>
      <c r="T252">
        <f>IMDIV("1",IMSUM(K252,IMDIV("1",S252)))</f>
        <v>0</v>
      </c>
      <c r="U252">
        <f>IMSUM(L252,T252)</f>
        <v>0</v>
      </c>
      <c r="V252">
        <f>IMDIV(COMPLEX(I_DM_SOURCE,0),U252)</f>
        <v>0</v>
      </c>
      <c r="W252">
        <f>IMPRODUCT(V252,T252)</f>
        <v>0</v>
      </c>
      <c r="X252">
        <f>IMDIV(W252,S252)</f>
        <v>0</v>
      </c>
      <c r="Y252">
        <f>IMPRODUCT(X252,R252)</f>
        <v>0</v>
      </c>
      <c r="Z252">
        <f>IMDIV(Y252,Q252)</f>
        <v>0</v>
      </c>
      <c r="AA252">
        <f>IMPRODUCT(Z252,P252)</f>
        <v>0</v>
      </c>
      <c r="AB252">
        <f>AA252</f>
        <v>0</v>
      </c>
      <c r="AC252">
        <f>IMPRODUCT("-1",AB252)</f>
        <v>0</v>
      </c>
      <c r="AD252">
        <f>IMDIV(IMSUB(AB252,AC252),"2")</f>
        <v>0</v>
      </c>
      <c r="AE252" s="6">
        <f>IMABS(AB252)</f>
        <v>0</v>
      </c>
      <c r="AF252" s="6">
        <f>IMABS(AC252)</f>
        <v>0</v>
      </c>
      <c r="AG252" s="6">
        <f>IMABS(AD252)</f>
        <v>0</v>
      </c>
      <c r="AH252" s="7">
        <f>20*LOG10(MAX(AE252,1E-300)*1E6)</f>
        <v>0</v>
      </c>
      <c r="AI252" s="7">
        <f>20*LOG10(MAX(AF252,1E-300)*1E6)</f>
        <v>0</v>
      </c>
      <c r="AJ252" s="7">
        <f>20*LOG10(MAX(AG252,1E-300)*1E6)</f>
        <v>0</v>
      </c>
      <c r="AK252" s="7">
        <f>DEGREES(IMARGUMENT(AB252))</f>
        <v>0</v>
      </c>
      <c r="AL252" s="7">
        <f>DEGREES(IMARGUMENT(AC252))</f>
        <v>0</v>
      </c>
      <c r="AM252" s="7">
        <f>DEGREES(IMARGUMENT(AD252))</f>
        <v>0</v>
      </c>
    </row>
    <row r="253" spans="1:39">
      <c r="A253" s="6">
        <f>10^(LOG10(F_START)+(ROW()-ROW($A$2))*(LOG10(F_STOP)-LOG10(F_START))/(N_POINTS-1))</f>
        <v>0</v>
      </c>
      <c r="B253" s="6">
        <f>2*PI()*A253</f>
        <v>0</v>
      </c>
      <c r="C253">
        <f>COMPLEX(2*LINE_PS_DCR,2*B253*LINE_PS_L)</f>
        <v>0</v>
      </c>
      <c r="D253">
        <f>IMSUM(COMPLEX(0,B253*(LINE_PS_CLINE+LINE_PS_CCHA/2)),IMDIV("1",IMPRODUCT("2",COMPLEX(C_THROUGH_ESR,B253*C_THROUGH_ESL-1/(B253*C_THROUGH_C)))))</f>
        <v>0</v>
      </c>
      <c r="E253">
        <f>COMPLEX(2*LINE_INPUT_DCR,2*B253*LINE_INPUT_L)</f>
        <v>0</v>
      </c>
      <c r="F253">
        <f>COMPLEX(0,B253*(LINE_INPUT_CLINE+LINE_INPUT_CCHA/2))</f>
        <v>0</v>
      </c>
      <c r="G253">
        <f>IMPRODUCT("2",IMDIV("1",IMSUM(IMDIV("1",COMPLEX(LDM1_DCR,B253*LDM1_L)),COMPLEX(0,B253*LDM1_CPA))))</f>
        <v>0</v>
      </c>
      <c r="H253">
        <f>IMSUM(IMDIV("1",COMPLEX(CX1_ESR,B253*CX1_ESL-1/(B253*CX1_C))),IMDIV("1",IMSUM(COMPLEX(DUMP1_R,0),COMPLEX(DUMP1_ESR,B253*DUMP1_ESL-1/(B253*DUMP1_C)))))</f>
        <v>0</v>
      </c>
      <c r="I253">
        <f>IMPRODUCT("2",IMDIV("1",IMSUM(IMDIV("1",COMPLEX(LDM2_DCR,B253*LDM2_L)),COMPLEX(0,B253*LDM2_CPA))))</f>
        <v>0</v>
      </c>
      <c r="J253">
        <f>IMSUM(IMDIV("1",COMPLEX(CX2_ESR,B253*CX2_ESL-1/(B253*CX2_C))),IMDIV("1",IMSUM(COMPLEX(DUMP2_R,0),COMPLEX(DUMP2_ESR,B253*DUMP2_ESL-1/(B253*DUMP2_C)))))</f>
        <v>0</v>
      </c>
      <c r="K253">
        <f>IMPRODUCT("2",IMDIV("1",IMSUM(IMDIV("1",COMPLEX(CMC_DCR,B253*CMC_L*(1-CMC_K))),COMPLEX(0,B253*CMC_CPA))))</f>
        <v>0</v>
      </c>
      <c r="L253">
        <f>IMSUM(COMPLEX(0,B253*CMC_CLINE),IMDIV("1",IMPRODUCT("2",COMPLEX(CY_ESR,B253*CY_ESL-1/(B253*CY_C)))),COMPLEX(1/DUMMY_R,0))</f>
        <v>0</v>
      </c>
      <c r="M253">
        <f>IMSUM(D253,IMDIV("1",C253))</f>
        <v>0</v>
      </c>
      <c r="N253">
        <f>IMDIV("1",IMSUM(E253,IMDIV("1",M253)))</f>
        <v>0</v>
      </c>
      <c r="O253">
        <f>IMSUM(F253,N253)</f>
        <v>0</v>
      </c>
      <c r="P253">
        <f>IMDIV("1",IMSUM(G253,IMDIV("1",O253)))</f>
        <v>0</v>
      </c>
      <c r="Q253">
        <f>IMSUM(H253,P253)</f>
        <v>0</v>
      </c>
      <c r="R253">
        <f>IMDIV("1",IMSUM(I253,IMDIV("1",Q253)))</f>
        <v>0</v>
      </c>
      <c r="S253">
        <f>IMSUM(J253,R253)</f>
        <v>0</v>
      </c>
      <c r="T253">
        <f>IMDIV("1",IMSUM(K253,IMDIV("1",S253)))</f>
        <v>0</v>
      </c>
      <c r="U253">
        <f>IMSUM(L253,T253)</f>
        <v>0</v>
      </c>
      <c r="V253">
        <f>IMDIV(COMPLEX(I_DM_SOURCE,0),U253)</f>
        <v>0</v>
      </c>
      <c r="W253">
        <f>IMPRODUCT(V253,T253)</f>
        <v>0</v>
      </c>
      <c r="X253">
        <f>IMDIV(W253,S253)</f>
        <v>0</v>
      </c>
      <c r="Y253">
        <f>IMPRODUCT(X253,R253)</f>
        <v>0</v>
      </c>
      <c r="Z253">
        <f>IMDIV(Y253,Q253)</f>
        <v>0</v>
      </c>
      <c r="AA253">
        <f>IMPRODUCT(Z253,P253)</f>
        <v>0</v>
      </c>
      <c r="AB253">
        <f>AA253</f>
        <v>0</v>
      </c>
      <c r="AC253">
        <f>IMPRODUCT("-1",AB253)</f>
        <v>0</v>
      </c>
      <c r="AD253">
        <f>IMDIV(IMSUB(AB253,AC253),"2")</f>
        <v>0</v>
      </c>
      <c r="AE253" s="6">
        <f>IMABS(AB253)</f>
        <v>0</v>
      </c>
      <c r="AF253" s="6">
        <f>IMABS(AC253)</f>
        <v>0</v>
      </c>
      <c r="AG253" s="6">
        <f>IMABS(AD253)</f>
        <v>0</v>
      </c>
      <c r="AH253" s="7">
        <f>20*LOG10(MAX(AE253,1E-300)*1E6)</f>
        <v>0</v>
      </c>
      <c r="AI253" s="7">
        <f>20*LOG10(MAX(AF253,1E-300)*1E6)</f>
        <v>0</v>
      </c>
      <c r="AJ253" s="7">
        <f>20*LOG10(MAX(AG253,1E-300)*1E6)</f>
        <v>0</v>
      </c>
      <c r="AK253" s="7">
        <f>DEGREES(IMARGUMENT(AB253))</f>
        <v>0</v>
      </c>
      <c r="AL253" s="7">
        <f>DEGREES(IMARGUMENT(AC253))</f>
        <v>0</v>
      </c>
      <c r="AM253" s="7">
        <f>DEGREES(IMARGUMENT(AD253))</f>
        <v>0</v>
      </c>
    </row>
    <row r="254" spans="1:39">
      <c r="A254" s="6">
        <f>10^(LOG10(F_START)+(ROW()-ROW($A$2))*(LOG10(F_STOP)-LOG10(F_START))/(N_POINTS-1))</f>
        <v>0</v>
      </c>
      <c r="B254" s="6">
        <f>2*PI()*A254</f>
        <v>0</v>
      </c>
      <c r="C254">
        <f>COMPLEX(2*LINE_PS_DCR,2*B254*LINE_PS_L)</f>
        <v>0</v>
      </c>
      <c r="D254">
        <f>IMSUM(COMPLEX(0,B254*(LINE_PS_CLINE+LINE_PS_CCHA/2)),IMDIV("1",IMPRODUCT("2",COMPLEX(C_THROUGH_ESR,B254*C_THROUGH_ESL-1/(B254*C_THROUGH_C)))))</f>
        <v>0</v>
      </c>
      <c r="E254">
        <f>COMPLEX(2*LINE_INPUT_DCR,2*B254*LINE_INPUT_L)</f>
        <v>0</v>
      </c>
      <c r="F254">
        <f>COMPLEX(0,B254*(LINE_INPUT_CLINE+LINE_INPUT_CCHA/2))</f>
        <v>0</v>
      </c>
      <c r="G254">
        <f>IMPRODUCT("2",IMDIV("1",IMSUM(IMDIV("1",COMPLEX(LDM1_DCR,B254*LDM1_L)),COMPLEX(0,B254*LDM1_CPA))))</f>
        <v>0</v>
      </c>
      <c r="H254">
        <f>IMSUM(IMDIV("1",COMPLEX(CX1_ESR,B254*CX1_ESL-1/(B254*CX1_C))),IMDIV("1",IMSUM(COMPLEX(DUMP1_R,0),COMPLEX(DUMP1_ESR,B254*DUMP1_ESL-1/(B254*DUMP1_C)))))</f>
        <v>0</v>
      </c>
      <c r="I254">
        <f>IMPRODUCT("2",IMDIV("1",IMSUM(IMDIV("1",COMPLEX(LDM2_DCR,B254*LDM2_L)),COMPLEX(0,B254*LDM2_CPA))))</f>
        <v>0</v>
      </c>
      <c r="J254">
        <f>IMSUM(IMDIV("1",COMPLEX(CX2_ESR,B254*CX2_ESL-1/(B254*CX2_C))),IMDIV("1",IMSUM(COMPLEX(DUMP2_R,0),COMPLEX(DUMP2_ESR,B254*DUMP2_ESL-1/(B254*DUMP2_C)))))</f>
        <v>0</v>
      </c>
      <c r="K254">
        <f>IMPRODUCT("2",IMDIV("1",IMSUM(IMDIV("1",COMPLEX(CMC_DCR,B254*CMC_L*(1-CMC_K))),COMPLEX(0,B254*CMC_CPA))))</f>
        <v>0</v>
      </c>
      <c r="L254">
        <f>IMSUM(COMPLEX(0,B254*CMC_CLINE),IMDIV("1",IMPRODUCT("2",COMPLEX(CY_ESR,B254*CY_ESL-1/(B254*CY_C)))),COMPLEX(1/DUMMY_R,0))</f>
        <v>0</v>
      </c>
      <c r="M254">
        <f>IMSUM(D254,IMDIV("1",C254))</f>
        <v>0</v>
      </c>
      <c r="N254">
        <f>IMDIV("1",IMSUM(E254,IMDIV("1",M254)))</f>
        <v>0</v>
      </c>
      <c r="O254">
        <f>IMSUM(F254,N254)</f>
        <v>0</v>
      </c>
      <c r="P254">
        <f>IMDIV("1",IMSUM(G254,IMDIV("1",O254)))</f>
        <v>0</v>
      </c>
      <c r="Q254">
        <f>IMSUM(H254,P254)</f>
        <v>0</v>
      </c>
      <c r="R254">
        <f>IMDIV("1",IMSUM(I254,IMDIV("1",Q254)))</f>
        <v>0</v>
      </c>
      <c r="S254">
        <f>IMSUM(J254,R254)</f>
        <v>0</v>
      </c>
      <c r="T254">
        <f>IMDIV("1",IMSUM(K254,IMDIV("1",S254)))</f>
        <v>0</v>
      </c>
      <c r="U254">
        <f>IMSUM(L254,T254)</f>
        <v>0</v>
      </c>
      <c r="V254">
        <f>IMDIV(COMPLEX(I_DM_SOURCE,0),U254)</f>
        <v>0</v>
      </c>
      <c r="W254">
        <f>IMPRODUCT(V254,T254)</f>
        <v>0</v>
      </c>
      <c r="X254">
        <f>IMDIV(W254,S254)</f>
        <v>0</v>
      </c>
      <c r="Y254">
        <f>IMPRODUCT(X254,R254)</f>
        <v>0</v>
      </c>
      <c r="Z254">
        <f>IMDIV(Y254,Q254)</f>
        <v>0</v>
      </c>
      <c r="AA254">
        <f>IMPRODUCT(Z254,P254)</f>
        <v>0</v>
      </c>
      <c r="AB254">
        <f>AA254</f>
        <v>0</v>
      </c>
      <c r="AC254">
        <f>IMPRODUCT("-1",AB254)</f>
        <v>0</v>
      </c>
      <c r="AD254">
        <f>IMDIV(IMSUB(AB254,AC254),"2")</f>
        <v>0</v>
      </c>
      <c r="AE254" s="6">
        <f>IMABS(AB254)</f>
        <v>0</v>
      </c>
      <c r="AF254" s="6">
        <f>IMABS(AC254)</f>
        <v>0</v>
      </c>
      <c r="AG254" s="6">
        <f>IMABS(AD254)</f>
        <v>0</v>
      </c>
      <c r="AH254" s="7">
        <f>20*LOG10(MAX(AE254,1E-300)*1E6)</f>
        <v>0</v>
      </c>
      <c r="AI254" s="7">
        <f>20*LOG10(MAX(AF254,1E-300)*1E6)</f>
        <v>0</v>
      </c>
      <c r="AJ254" s="7">
        <f>20*LOG10(MAX(AG254,1E-300)*1E6)</f>
        <v>0</v>
      </c>
      <c r="AK254" s="7">
        <f>DEGREES(IMARGUMENT(AB254))</f>
        <v>0</v>
      </c>
      <c r="AL254" s="7">
        <f>DEGREES(IMARGUMENT(AC254))</f>
        <v>0</v>
      </c>
      <c r="AM254" s="7">
        <f>DEGREES(IMARGUMENT(AD254))</f>
        <v>0</v>
      </c>
    </row>
    <row r="255" spans="1:39">
      <c r="A255" s="6">
        <f>10^(LOG10(F_START)+(ROW()-ROW($A$2))*(LOG10(F_STOP)-LOG10(F_START))/(N_POINTS-1))</f>
        <v>0</v>
      </c>
      <c r="B255" s="6">
        <f>2*PI()*A255</f>
        <v>0</v>
      </c>
      <c r="C255">
        <f>COMPLEX(2*LINE_PS_DCR,2*B255*LINE_PS_L)</f>
        <v>0</v>
      </c>
      <c r="D255">
        <f>IMSUM(COMPLEX(0,B255*(LINE_PS_CLINE+LINE_PS_CCHA/2)),IMDIV("1",IMPRODUCT("2",COMPLEX(C_THROUGH_ESR,B255*C_THROUGH_ESL-1/(B255*C_THROUGH_C)))))</f>
        <v>0</v>
      </c>
      <c r="E255">
        <f>COMPLEX(2*LINE_INPUT_DCR,2*B255*LINE_INPUT_L)</f>
        <v>0</v>
      </c>
      <c r="F255">
        <f>COMPLEX(0,B255*(LINE_INPUT_CLINE+LINE_INPUT_CCHA/2))</f>
        <v>0</v>
      </c>
      <c r="G255">
        <f>IMPRODUCT("2",IMDIV("1",IMSUM(IMDIV("1",COMPLEX(LDM1_DCR,B255*LDM1_L)),COMPLEX(0,B255*LDM1_CPA))))</f>
        <v>0</v>
      </c>
      <c r="H255">
        <f>IMSUM(IMDIV("1",COMPLEX(CX1_ESR,B255*CX1_ESL-1/(B255*CX1_C))),IMDIV("1",IMSUM(COMPLEX(DUMP1_R,0),COMPLEX(DUMP1_ESR,B255*DUMP1_ESL-1/(B255*DUMP1_C)))))</f>
        <v>0</v>
      </c>
      <c r="I255">
        <f>IMPRODUCT("2",IMDIV("1",IMSUM(IMDIV("1",COMPLEX(LDM2_DCR,B255*LDM2_L)),COMPLEX(0,B255*LDM2_CPA))))</f>
        <v>0</v>
      </c>
      <c r="J255">
        <f>IMSUM(IMDIV("1",COMPLEX(CX2_ESR,B255*CX2_ESL-1/(B255*CX2_C))),IMDIV("1",IMSUM(COMPLEX(DUMP2_R,0),COMPLEX(DUMP2_ESR,B255*DUMP2_ESL-1/(B255*DUMP2_C)))))</f>
        <v>0</v>
      </c>
      <c r="K255">
        <f>IMPRODUCT("2",IMDIV("1",IMSUM(IMDIV("1",COMPLEX(CMC_DCR,B255*CMC_L*(1-CMC_K))),COMPLEX(0,B255*CMC_CPA))))</f>
        <v>0</v>
      </c>
      <c r="L255">
        <f>IMSUM(COMPLEX(0,B255*CMC_CLINE),IMDIV("1",IMPRODUCT("2",COMPLEX(CY_ESR,B255*CY_ESL-1/(B255*CY_C)))),COMPLEX(1/DUMMY_R,0))</f>
        <v>0</v>
      </c>
      <c r="M255">
        <f>IMSUM(D255,IMDIV("1",C255))</f>
        <v>0</v>
      </c>
      <c r="N255">
        <f>IMDIV("1",IMSUM(E255,IMDIV("1",M255)))</f>
        <v>0</v>
      </c>
      <c r="O255">
        <f>IMSUM(F255,N255)</f>
        <v>0</v>
      </c>
      <c r="P255">
        <f>IMDIV("1",IMSUM(G255,IMDIV("1",O255)))</f>
        <v>0</v>
      </c>
      <c r="Q255">
        <f>IMSUM(H255,P255)</f>
        <v>0</v>
      </c>
      <c r="R255">
        <f>IMDIV("1",IMSUM(I255,IMDIV("1",Q255)))</f>
        <v>0</v>
      </c>
      <c r="S255">
        <f>IMSUM(J255,R255)</f>
        <v>0</v>
      </c>
      <c r="T255">
        <f>IMDIV("1",IMSUM(K255,IMDIV("1",S255)))</f>
        <v>0</v>
      </c>
      <c r="U255">
        <f>IMSUM(L255,T255)</f>
        <v>0</v>
      </c>
      <c r="V255">
        <f>IMDIV(COMPLEX(I_DM_SOURCE,0),U255)</f>
        <v>0</v>
      </c>
      <c r="W255">
        <f>IMPRODUCT(V255,T255)</f>
        <v>0</v>
      </c>
      <c r="X255">
        <f>IMDIV(W255,S255)</f>
        <v>0</v>
      </c>
      <c r="Y255">
        <f>IMPRODUCT(X255,R255)</f>
        <v>0</v>
      </c>
      <c r="Z255">
        <f>IMDIV(Y255,Q255)</f>
        <v>0</v>
      </c>
      <c r="AA255">
        <f>IMPRODUCT(Z255,P255)</f>
        <v>0</v>
      </c>
      <c r="AB255">
        <f>AA255</f>
        <v>0</v>
      </c>
      <c r="AC255">
        <f>IMPRODUCT("-1",AB255)</f>
        <v>0</v>
      </c>
      <c r="AD255">
        <f>IMDIV(IMSUB(AB255,AC255),"2")</f>
        <v>0</v>
      </c>
      <c r="AE255" s="6">
        <f>IMABS(AB255)</f>
        <v>0</v>
      </c>
      <c r="AF255" s="6">
        <f>IMABS(AC255)</f>
        <v>0</v>
      </c>
      <c r="AG255" s="6">
        <f>IMABS(AD255)</f>
        <v>0</v>
      </c>
      <c r="AH255" s="7">
        <f>20*LOG10(MAX(AE255,1E-300)*1E6)</f>
        <v>0</v>
      </c>
      <c r="AI255" s="7">
        <f>20*LOG10(MAX(AF255,1E-300)*1E6)</f>
        <v>0</v>
      </c>
      <c r="AJ255" s="7">
        <f>20*LOG10(MAX(AG255,1E-300)*1E6)</f>
        <v>0</v>
      </c>
      <c r="AK255" s="7">
        <f>DEGREES(IMARGUMENT(AB255))</f>
        <v>0</v>
      </c>
      <c r="AL255" s="7">
        <f>DEGREES(IMARGUMENT(AC255))</f>
        <v>0</v>
      </c>
      <c r="AM255" s="7">
        <f>DEGREES(IMARGUMENT(AD255))</f>
        <v>0</v>
      </c>
    </row>
    <row r="256" spans="1:39">
      <c r="A256" s="6">
        <f>10^(LOG10(F_START)+(ROW()-ROW($A$2))*(LOG10(F_STOP)-LOG10(F_START))/(N_POINTS-1))</f>
        <v>0</v>
      </c>
      <c r="B256" s="6">
        <f>2*PI()*A256</f>
        <v>0</v>
      </c>
      <c r="C256">
        <f>COMPLEX(2*LINE_PS_DCR,2*B256*LINE_PS_L)</f>
        <v>0</v>
      </c>
      <c r="D256">
        <f>IMSUM(COMPLEX(0,B256*(LINE_PS_CLINE+LINE_PS_CCHA/2)),IMDIV("1",IMPRODUCT("2",COMPLEX(C_THROUGH_ESR,B256*C_THROUGH_ESL-1/(B256*C_THROUGH_C)))))</f>
        <v>0</v>
      </c>
      <c r="E256">
        <f>COMPLEX(2*LINE_INPUT_DCR,2*B256*LINE_INPUT_L)</f>
        <v>0</v>
      </c>
      <c r="F256">
        <f>COMPLEX(0,B256*(LINE_INPUT_CLINE+LINE_INPUT_CCHA/2))</f>
        <v>0</v>
      </c>
      <c r="G256">
        <f>IMPRODUCT("2",IMDIV("1",IMSUM(IMDIV("1",COMPLEX(LDM1_DCR,B256*LDM1_L)),COMPLEX(0,B256*LDM1_CPA))))</f>
        <v>0</v>
      </c>
      <c r="H256">
        <f>IMSUM(IMDIV("1",COMPLEX(CX1_ESR,B256*CX1_ESL-1/(B256*CX1_C))),IMDIV("1",IMSUM(COMPLEX(DUMP1_R,0),COMPLEX(DUMP1_ESR,B256*DUMP1_ESL-1/(B256*DUMP1_C)))))</f>
        <v>0</v>
      </c>
      <c r="I256">
        <f>IMPRODUCT("2",IMDIV("1",IMSUM(IMDIV("1",COMPLEX(LDM2_DCR,B256*LDM2_L)),COMPLEX(0,B256*LDM2_CPA))))</f>
        <v>0</v>
      </c>
      <c r="J256">
        <f>IMSUM(IMDIV("1",COMPLEX(CX2_ESR,B256*CX2_ESL-1/(B256*CX2_C))),IMDIV("1",IMSUM(COMPLEX(DUMP2_R,0),COMPLEX(DUMP2_ESR,B256*DUMP2_ESL-1/(B256*DUMP2_C)))))</f>
        <v>0</v>
      </c>
      <c r="K256">
        <f>IMPRODUCT("2",IMDIV("1",IMSUM(IMDIV("1",COMPLEX(CMC_DCR,B256*CMC_L*(1-CMC_K))),COMPLEX(0,B256*CMC_CPA))))</f>
        <v>0</v>
      </c>
      <c r="L256">
        <f>IMSUM(COMPLEX(0,B256*CMC_CLINE),IMDIV("1",IMPRODUCT("2",COMPLEX(CY_ESR,B256*CY_ESL-1/(B256*CY_C)))),COMPLEX(1/DUMMY_R,0))</f>
        <v>0</v>
      </c>
      <c r="M256">
        <f>IMSUM(D256,IMDIV("1",C256))</f>
        <v>0</v>
      </c>
      <c r="N256">
        <f>IMDIV("1",IMSUM(E256,IMDIV("1",M256)))</f>
        <v>0</v>
      </c>
      <c r="O256">
        <f>IMSUM(F256,N256)</f>
        <v>0</v>
      </c>
      <c r="P256">
        <f>IMDIV("1",IMSUM(G256,IMDIV("1",O256)))</f>
        <v>0</v>
      </c>
      <c r="Q256">
        <f>IMSUM(H256,P256)</f>
        <v>0</v>
      </c>
      <c r="R256">
        <f>IMDIV("1",IMSUM(I256,IMDIV("1",Q256)))</f>
        <v>0</v>
      </c>
      <c r="S256">
        <f>IMSUM(J256,R256)</f>
        <v>0</v>
      </c>
      <c r="T256">
        <f>IMDIV("1",IMSUM(K256,IMDIV("1",S256)))</f>
        <v>0</v>
      </c>
      <c r="U256">
        <f>IMSUM(L256,T256)</f>
        <v>0</v>
      </c>
      <c r="V256">
        <f>IMDIV(COMPLEX(I_DM_SOURCE,0),U256)</f>
        <v>0</v>
      </c>
      <c r="W256">
        <f>IMPRODUCT(V256,T256)</f>
        <v>0</v>
      </c>
      <c r="X256">
        <f>IMDIV(W256,S256)</f>
        <v>0</v>
      </c>
      <c r="Y256">
        <f>IMPRODUCT(X256,R256)</f>
        <v>0</v>
      </c>
      <c r="Z256">
        <f>IMDIV(Y256,Q256)</f>
        <v>0</v>
      </c>
      <c r="AA256">
        <f>IMPRODUCT(Z256,P256)</f>
        <v>0</v>
      </c>
      <c r="AB256">
        <f>AA256</f>
        <v>0</v>
      </c>
      <c r="AC256">
        <f>IMPRODUCT("-1",AB256)</f>
        <v>0</v>
      </c>
      <c r="AD256">
        <f>IMDIV(IMSUB(AB256,AC256),"2")</f>
        <v>0</v>
      </c>
      <c r="AE256" s="6">
        <f>IMABS(AB256)</f>
        <v>0</v>
      </c>
      <c r="AF256" s="6">
        <f>IMABS(AC256)</f>
        <v>0</v>
      </c>
      <c r="AG256" s="6">
        <f>IMABS(AD256)</f>
        <v>0</v>
      </c>
      <c r="AH256" s="7">
        <f>20*LOG10(MAX(AE256,1E-300)*1E6)</f>
        <v>0</v>
      </c>
      <c r="AI256" s="7">
        <f>20*LOG10(MAX(AF256,1E-300)*1E6)</f>
        <v>0</v>
      </c>
      <c r="AJ256" s="7">
        <f>20*LOG10(MAX(AG256,1E-300)*1E6)</f>
        <v>0</v>
      </c>
      <c r="AK256" s="7">
        <f>DEGREES(IMARGUMENT(AB256))</f>
        <v>0</v>
      </c>
      <c r="AL256" s="7">
        <f>DEGREES(IMARGUMENT(AC256))</f>
        <v>0</v>
      </c>
      <c r="AM256" s="7">
        <f>DEGREES(IMARGUMENT(AD256))</f>
        <v>0</v>
      </c>
    </row>
    <row r="257" spans="1:39">
      <c r="A257" s="6">
        <f>10^(LOG10(F_START)+(ROW()-ROW($A$2))*(LOG10(F_STOP)-LOG10(F_START))/(N_POINTS-1))</f>
        <v>0</v>
      </c>
      <c r="B257" s="6">
        <f>2*PI()*A257</f>
        <v>0</v>
      </c>
      <c r="C257">
        <f>COMPLEX(2*LINE_PS_DCR,2*B257*LINE_PS_L)</f>
        <v>0</v>
      </c>
      <c r="D257">
        <f>IMSUM(COMPLEX(0,B257*(LINE_PS_CLINE+LINE_PS_CCHA/2)),IMDIV("1",IMPRODUCT("2",COMPLEX(C_THROUGH_ESR,B257*C_THROUGH_ESL-1/(B257*C_THROUGH_C)))))</f>
        <v>0</v>
      </c>
      <c r="E257">
        <f>COMPLEX(2*LINE_INPUT_DCR,2*B257*LINE_INPUT_L)</f>
        <v>0</v>
      </c>
      <c r="F257">
        <f>COMPLEX(0,B257*(LINE_INPUT_CLINE+LINE_INPUT_CCHA/2))</f>
        <v>0</v>
      </c>
      <c r="G257">
        <f>IMPRODUCT("2",IMDIV("1",IMSUM(IMDIV("1",COMPLEX(LDM1_DCR,B257*LDM1_L)),COMPLEX(0,B257*LDM1_CPA))))</f>
        <v>0</v>
      </c>
      <c r="H257">
        <f>IMSUM(IMDIV("1",COMPLEX(CX1_ESR,B257*CX1_ESL-1/(B257*CX1_C))),IMDIV("1",IMSUM(COMPLEX(DUMP1_R,0),COMPLEX(DUMP1_ESR,B257*DUMP1_ESL-1/(B257*DUMP1_C)))))</f>
        <v>0</v>
      </c>
      <c r="I257">
        <f>IMPRODUCT("2",IMDIV("1",IMSUM(IMDIV("1",COMPLEX(LDM2_DCR,B257*LDM2_L)),COMPLEX(0,B257*LDM2_CPA))))</f>
        <v>0</v>
      </c>
      <c r="J257">
        <f>IMSUM(IMDIV("1",COMPLEX(CX2_ESR,B257*CX2_ESL-1/(B257*CX2_C))),IMDIV("1",IMSUM(COMPLEX(DUMP2_R,0),COMPLEX(DUMP2_ESR,B257*DUMP2_ESL-1/(B257*DUMP2_C)))))</f>
        <v>0</v>
      </c>
      <c r="K257">
        <f>IMPRODUCT("2",IMDIV("1",IMSUM(IMDIV("1",COMPLEX(CMC_DCR,B257*CMC_L*(1-CMC_K))),COMPLEX(0,B257*CMC_CPA))))</f>
        <v>0</v>
      </c>
      <c r="L257">
        <f>IMSUM(COMPLEX(0,B257*CMC_CLINE),IMDIV("1",IMPRODUCT("2",COMPLEX(CY_ESR,B257*CY_ESL-1/(B257*CY_C)))),COMPLEX(1/DUMMY_R,0))</f>
        <v>0</v>
      </c>
      <c r="M257">
        <f>IMSUM(D257,IMDIV("1",C257))</f>
        <v>0</v>
      </c>
      <c r="N257">
        <f>IMDIV("1",IMSUM(E257,IMDIV("1",M257)))</f>
        <v>0</v>
      </c>
      <c r="O257">
        <f>IMSUM(F257,N257)</f>
        <v>0</v>
      </c>
      <c r="P257">
        <f>IMDIV("1",IMSUM(G257,IMDIV("1",O257)))</f>
        <v>0</v>
      </c>
      <c r="Q257">
        <f>IMSUM(H257,P257)</f>
        <v>0</v>
      </c>
      <c r="R257">
        <f>IMDIV("1",IMSUM(I257,IMDIV("1",Q257)))</f>
        <v>0</v>
      </c>
      <c r="S257">
        <f>IMSUM(J257,R257)</f>
        <v>0</v>
      </c>
      <c r="T257">
        <f>IMDIV("1",IMSUM(K257,IMDIV("1",S257)))</f>
        <v>0</v>
      </c>
      <c r="U257">
        <f>IMSUM(L257,T257)</f>
        <v>0</v>
      </c>
      <c r="V257">
        <f>IMDIV(COMPLEX(I_DM_SOURCE,0),U257)</f>
        <v>0</v>
      </c>
      <c r="W257">
        <f>IMPRODUCT(V257,T257)</f>
        <v>0</v>
      </c>
      <c r="X257">
        <f>IMDIV(W257,S257)</f>
        <v>0</v>
      </c>
      <c r="Y257">
        <f>IMPRODUCT(X257,R257)</f>
        <v>0</v>
      </c>
      <c r="Z257">
        <f>IMDIV(Y257,Q257)</f>
        <v>0</v>
      </c>
      <c r="AA257">
        <f>IMPRODUCT(Z257,P257)</f>
        <v>0</v>
      </c>
      <c r="AB257">
        <f>AA257</f>
        <v>0</v>
      </c>
      <c r="AC257">
        <f>IMPRODUCT("-1",AB257)</f>
        <v>0</v>
      </c>
      <c r="AD257">
        <f>IMDIV(IMSUB(AB257,AC257),"2")</f>
        <v>0</v>
      </c>
      <c r="AE257" s="6">
        <f>IMABS(AB257)</f>
        <v>0</v>
      </c>
      <c r="AF257" s="6">
        <f>IMABS(AC257)</f>
        <v>0</v>
      </c>
      <c r="AG257" s="6">
        <f>IMABS(AD257)</f>
        <v>0</v>
      </c>
      <c r="AH257" s="7">
        <f>20*LOG10(MAX(AE257,1E-300)*1E6)</f>
        <v>0</v>
      </c>
      <c r="AI257" s="7">
        <f>20*LOG10(MAX(AF257,1E-300)*1E6)</f>
        <v>0</v>
      </c>
      <c r="AJ257" s="7">
        <f>20*LOG10(MAX(AG257,1E-300)*1E6)</f>
        <v>0</v>
      </c>
      <c r="AK257" s="7">
        <f>DEGREES(IMARGUMENT(AB257))</f>
        <v>0</v>
      </c>
      <c r="AL257" s="7">
        <f>DEGREES(IMARGUMENT(AC257))</f>
        <v>0</v>
      </c>
      <c r="AM257" s="7">
        <f>DEGREES(IMARGUMENT(AD257))</f>
        <v>0</v>
      </c>
    </row>
    <row r="258" spans="1:39">
      <c r="A258" s="6">
        <f>10^(LOG10(F_START)+(ROW()-ROW($A$2))*(LOG10(F_STOP)-LOG10(F_START))/(N_POINTS-1))</f>
        <v>0</v>
      </c>
      <c r="B258" s="6">
        <f>2*PI()*A258</f>
        <v>0</v>
      </c>
      <c r="C258">
        <f>COMPLEX(2*LINE_PS_DCR,2*B258*LINE_PS_L)</f>
        <v>0</v>
      </c>
      <c r="D258">
        <f>IMSUM(COMPLEX(0,B258*(LINE_PS_CLINE+LINE_PS_CCHA/2)),IMDIV("1",IMPRODUCT("2",COMPLEX(C_THROUGH_ESR,B258*C_THROUGH_ESL-1/(B258*C_THROUGH_C)))))</f>
        <v>0</v>
      </c>
      <c r="E258">
        <f>COMPLEX(2*LINE_INPUT_DCR,2*B258*LINE_INPUT_L)</f>
        <v>0</v>
      </c>
      <c r="F258">
        <f>COMPLEX(0,B258*(LINE_INPUT_CLINE+LINE_INPUT_CCHA/2))</f>
        <v>0</v>
      </c>
      <c r="G258">
        <f>IMPRODUCT("2",IMDIV("1",IMSUM(IMDIV("1",COMPLEX(LDM1_DCR,B258*LDM1_L)),COMPLEX(0,B258*LDM1_CPA))))</f>
        <v>0</v>
      </c>
      <c r="H258">
        <f>IMSUM(IMDIV("1",COMPLEX(CX1_ESR,B258*CX1_ESL-1/(B258*CX1_C))),IMDIV("1",IMSUM(COMPLEX(DUMP1_R,0),COMPLEX(DUMP1_ESR,B258*DUMP1_ESL-1/(B258*DUMP1_C)))))</f>
        <v>0</v>
      </c>
      <c r="I258">
        <f>IMPRODUCT("2",IMDIV("1",IMSUM(IMDIV("1",COMPLEX(LDM2_DCR,B258*LDM2_L)),COMPLEX(0,B258*LDM2_CPA))))</f>
        <v>0</v>
      </c>
      <c r="J258">
        <f>IMSUM(IMDIV("1",COMPLEX(CX2_ESR,B258*CX2_ESL-1/(B258*CX2_C))),IMDIV("1",IMSUM(COMPLEX(DUMP2_R,0),COMPLEX(DUMP2_ESR,B258*DUMP2_ESL-1/(B258*DUMP2_C)))))</f>
        <v>0</v>
      </c>
      <c r="K258">
        <f>IMPRODUCT("2",IMDIV("1",IMSUM(IMDIV("1",COMPLEX(CMC_DCR,B258*CMC_L*(1-CMC_K))),COMPLEX(0,B258*CMC_CPA))))</f>
        <v>0</v>
      </c>
      <c r="L258">
        <f>IMSUM(COMPLEX(0,B258*CMC_CLINE),IMDIV("1",IMPRODUCT("2",COMPLEX(CY_ESR,B258*CY_ESL-1/(B258*CY_C)))),COMPLEX(1/DUMMY_R,0))</f>
        <v>0</v>
      </c>
      <c r="M258">
        <f>IMSUM(D258,IMDIV("1",C258))</f>
        <v>0</v>
      </c>
      <c r="N258">
        <f>IMDIV("1",IMSUM(E258,IMDIV("1",M258)))</f>
        <v>0</v>
      </c>
      <c r="O258">
        <f>IMSUM(F258,N258)</f>
        <v>0</v>
      </c>
      <c r="P258">
        <f>IMDIV("1",IMSUM(G258,IMDIV("1",O258)))</f>
        <v>0</v>
      </c>
      <c r="Q258">
        <f>IMSUM(H258,P258)</f>
        <v>0</v>
      </c>
      <c r="R258">
        <f>IMDIV("1",IMSUM(I258,IMDIV("1",Q258)))</f>
        <v>0</v>
      </c>
      <c r="S258">
        <f>IMSUM(J258,R258)</f>
        <v>0</v>
      </c>
      <c r="T258">
        <f>IMDIV("1",IMSUM(K258,IMDIV("1",S258)))</f>
        <v>0</v>
      </c>
      <c r="U258">
        <f>IMSUM(L258,T258)</f>
        <v>0</v>
      </c>
      <c r="V258">
        <f>IMDIV(COMPLEX(I_DM_SOURCE,0),U258)</f>
        <v>0</v>
      </c>
      <c r="W258">
        <f>IMPRODUCT(V258,T258)</f>
        <v>0</v>
      </c>
      <c r="X258">
        <f>IMDIV(W258,S258)</f>
        <v>0</v>
      </c>
      <c r="Y258">
        <f>IMPRODUCT(X258,R258)</f>
        <v>0</v>
      </c>
      <c r="Z258">
        <f>IMDIV(Y258,Q258)</f>
        <v>0</v>
      </c>
      <c r="AA258">
        <f>IMPRODUCT(Z258,P258)</f>
        <v>0</v>
      </c>
      <c r="AB258">
        <f>AA258</f>
        <v>0</v>
      </c>
      <c r="AC258">
        <f>IMPRODUCT("-1",AB258)</f>
        <v>0</v>
      </c>
      <c r="AD258">
        <f>IMDIV(IMSUB(AB258,AC258),"2")</f>
        <v>0</v>
      </c>
      <c r="AE258" s="6">
        <f>IMABS(AB258)</f>
        <v>0</v>
      </c>
      <c r="AF258" s="6">
        <f>IMABS(AC258)</f>
        <v>0</v>
      </c>
      <c r="AG258" s="6">
        <f>IMABS(AD258)</f>
        <v>0</v>
      </c>
      <c r="AH258" s="7">
        <f>20*LOG10(MAX(AE258,1E-300)*1E6)</f>
        <v>0</v>
      </c>
      <c r="AI258" s="7">
        <f>20*LOG10(MAX(AF258,1E-300)*1E6)</f>
        <v>0</v>
      </c>
      <c r="AJ258" s="7">
        <f>20*LOG10(MAX(AG258,1E-300)*1E6)</f>
        <v>0</v>
      </c>
      <c r="AK258" s="7">
        <f>DEGREES(IMARGUMENT(AB258))</f>
        <v>0</v>
      </c>
      <c r="AL258" s="7">
        <f>DEGREES(IMARGUMENT(AC258))</f>
        <v>0</v>
      </c>
      <c r="AM258" s="7">
        <f>DEGREES(IMARGUMENT(AD258))</f>
        <v>0</v>
      </c>
    </row>
    <row r="259" spans="1:39">
      <c r="A259" s="6">
        <f>10^(LOG10(F_START)+(ROW()-ROW($A$2))*(LOG10(F_STOP)-LOG10(F_START))/(N_POINTS-1))</f>
        <v>0</v>
      </c>
      <c r="B259" s="6">
        <f>2*PI()*A259</f>
        <v>0</v>
      </c>
      <c r="C259">
        <f>COMPLEX(2*LINE_PS_DCR,2*B259*LINE_PS_L)</f>
        <v>0</v>
      </c>
      <c r="D259">
        <f>IMSUM(COMPLEX(0,B259*(LINE_PS_CLINE+LINE_PS_CCHA/2)),IMDIV("1",IMPRODUCT("2",COMPLEX(C_THROUGH_ESR,B259*C_THROUGH_ESL-1/(B259*C_THROUGH_C)))))</f>
        <v>0</v>
      </c>
      <c r="E259">
        <f>COMPLEX(2*LINE_INPUT_DCR,2*B259*LINE_INPUT_L)</f>
        <v>0</v>
      </c>
      <c r="F259">
        <f>COMPLEX(0,B259*(LINE_INPUT_CLINE+LINE_INPUT_CCHA/2))</f>
        <v>0</v>
      </c>
      <c r="G259">
        <f>IMPRODUCT("2",IMDIV("1",IMSUM(IMDIV("1",COMPLEX(LDM1_DCR,B259*LDM1_L)),COMPLEX(0,B259*LDM1_CPA))))</f>
        <v>0</v>
      </c>
      <c r="H259">
        <f>IMSUM(IMDIV("1",COMPLEX(CX1_ESR,B259*CX1_ESL-1/(B259*CX1_C))),IMDIV("1",IMSUM(COMPLEX(DUMP1_R,0),COMPLEX(DUMP1_ESR,B259*DUMP1_ESL-1/(B259*DUMP1_C)))))</f>
        <v>0</v>
      </c>
      <c r="I259">
        <f>IMPRODUCT("2",IMDIV("1",IMSUM(IMDIV("1",COMPLEX(LDM2_DCR,B259*LDM2_L)),COMPLEX(0,B259*LDM2_CPA))))</f>
        <v>0</v>
      </c>
      <c r="J259">
        <f>IMSUM(IMDIV("1",COMPLEX(CX2_ESR,B259*CX2_ESL-1/(B259*CX2_C))),IMDIV("1",IMSUM(COMPLEX(DUMP2_R,0),COMPLEX(DUMP2_ESR,B259*DUMP2_ESL-1/(B259*DUMP2_C)))))</f>
        <v>0</v>
      </c>
      <c r="K259">
        <f>IMPRODUCT("2",IMDIV("1",IMSUM(IMDIV("1",COMPLEX(CMC_DCR,B259*CMC_L*(1-CMC_K))),COMPLEX(0,B259*CMC_CPA))))</f>
        <v>0</v>
      </c>
      <c r="L259">
        <f>IMSUM(COMPLEX(0,B259*CMC_CLINE),IMDIV("1",IMPRODUCT("2",COMPLEX(CY_ESR,B259*CY_ESL-1/(B259*CY_C)))),COMPLEX(1/DUMMY_R,0))</f>
        <v>0</v>
      </c>
      <c r="M259">
        <f>IMSUM(D259,IMDIV("1",C259))</f>
        <v>0</v>
      </c>
      <c r="N259">
        <f>IMDIV("1",IMSUM(E259,IMDIV("1",M259)))</f>
        <v>0</v>
      </c>
      <c r="O259">
        <f>IMSUM(F259,N259)</f>
        <v>0</v>
      </c>
      <c r="P259">
        <f>IMDIV("1",IMSUM(G259,IMDIV("1",O259)))</f>
        <v>0</v>
      </c>
      <c r="Q259">
        <f>IMSUM(H259,P259)</f>
        <v>0</v>
      </c>
      <c r="R259">
        <f>IMDIV("1",IMSUM(I259,IMDIV("1",Q259)))</f>
        <v>0</v>
      </c>
      <c r="S259">
        <f>IMSUM(J259,R259)</f>
        <v>0</v>
      </c>
      <c r="T259">
        <f>IMDIV("1",IMSUM(K259,IMDIV("1",S259)))</f>
        <v>0</v>
      </c>
      <c r="U259">
        <f>IMSUM(L259,T259)</f>
        <v>0</v>
      </c>
      <c r="V259">
        <f>IMDIV(COMPLEX(I_DM_SOURCE,0),U259)</f>
        <v>0</v>
      </c>
      <c r="W259">
        <f>IMPRODUCT(V259,T259)</f>
        <v>0</v>
      </c>
      <c r="X259">
        <f>IMDIV(W259,S259)</f>
        <v>0</v>
      </c>
      <c r="Y259">
        <f>IMPRODUCT(X259,R259)</f>
        <v>0</v>
      </c>
      <c r="Z259">
        <f>IMDIV(Y259,Q259)</f>
        <v>0</v>
      </c>
      <c r="AA259">
        <f>IMPRODUCT(Z259,P259)</f>
        <v>0</v>
      </c>
      <c r="AB259">
        <f>AA259</f>
        <v>0</v>
      </c>
      <c r="AC259">
        <f>IMPRODUCT("-1",AB259)</f>
        <v>0</v>
      </c>
      <c r="AD259">
        <f>IMDIV(IMSUB(AB259,AC259),"2")</f>
        <v>0</v>
      </c>
      <c r="AE259" s="6">
        <f>IMABS(AB259)</f>
        <v>0</v>
      </c>
      <c r="AF259" s="6">
        <f>IMABS(AC259)</f>
        <v>0</v>
      </c>
      <c r="AG259" s="6">
        <f>IMABS(AD259)</f>
        <v>0</v>
      </c>
      <c r="AH259" s="7">
        <f>20*LOG10(MAX(AE259,1E-300)*1E6)</f>
        <v>0</v>
      </c>
      <c r="AI259" s="7">
        <f>20*LOG10(MAX(AF259,1E-300)*1E6)</f>
        <v>0</v>
      </c>
      <c r="AJ259" s="7">
        <f>20*LOG10(MAX(AG259,1E-300)*1E6)</f>
        <v>0</v>
      </c>
      <c r="AK259" s="7">
        <f>DEGREES(IMARGUMENT(AB259))</f>
        <v>0</v>
      </c>
      <c r="AL259" s="7">
        <f>DEGREES(IMARGUMENT(AC259))</f>
        <v>0</v>
      </c>
      <c r="AM259" s="7">
        <f>DEGREES(IMARGUMENT(AD259))</f>
        <v>0</v>
      </c>
    </row>
    <row r="260" spans="1:39">
      <c r="A260" s="6">
        <f>10^(LOG10(F_START)+(ROW()-ROW($A$2))*(LOG10(F_STOP)-LOG10(F_START))/(N_POINTS-1))</f>
        <v>0</v>
      </c>
      <c r="B260" s="6">
        <f>2*PI()*A260</f>
        <v>0</v>
      </c>
      <c r="C260">
        <f>COMPLEX(2*LINE_PS_DCR,2*B260*LINE_PS_L)</f>
        <v>0</v>
      </c>
      <c r="D260">
        <f>IMSUM(COMPLEX(0,B260*(LINE_PS_CLINE+LINE_PS_CCHA/2)),IMDIV("1",IMPRODUCT("2",COMPLEX(C_THROUGH_ESR,B260*C_THROUGH_ESL-1/(B260*C_THROUGH_C)))))</f>
        <v>0</v>
      </c>
      <c r="E260">
        <f>COMPLEX(2*LINE_INPUT_DCR,2*B260*LINE_INPUT_L)</f>
        <v>0</v>
      </c>
      <c r="F260">
        <f>COMPLEX(0,B260*(LINE_INPUT_CLINE+LINE_INPUT_CCHA/2))</f>
        <v>0</v>
      </c>
      <c r="G260">
        <f>IMPRODUCT("2",IMDIV("1",IMSUM(IMDIV("1",COMPLEX(LDM1_DCR,B260*LDM1_L)),COMPLEX(0,B260*LDM1_CPA))))</f>
        <v>0</v>
      </c>
      <c r="H260">
        <f>IMSUM(IMDIV("1",COMPLEX(CX1_ESR,B260*CX1_ESL-1/(B260*CX1_C))),IMDIV("1",IMSUM(COMPLEX(DUMP1_R,0),COMPLEX(DUMP1_ESR,B260*DUMP1_ESL-1/(B260*DUMP1_C)))))</f>
        <v>0</v>
      </c>
      <c r="I260">
        <f>IMPRODUCT("2",IMDIV("1",IMSUM(IMDIV("1",COMPLEX(LDM2_DCR,B260*LDM2_L)),COMPLEX(0,B260*LDM2_CPA))))</f>
        <v>0</v>
      </c>
      <c r="J260">
        <f>IMSUM(IMDIV("1",COMPLEX(CX2_ESR,B260*CX2_ESL-1/(B260*CX2_C))),IMDIV("1",IMSUM(COMPLEX(DUMP2_R,0),COMPLEX(DUMP2_ESR,B260*DUMP2_ESL-1/(B260*DUMP2_C)))))</f>
        <v>0</v>
      </c>
      <c r="K260">
        <f>IMPRODUCT("2",IMDIV("1",IMSUM(IMDIV("1",COMPLEX(CMC_DCR,B260*CMC_L*(1-CMC_K))),COMPLEX(0,B260*CMC_CPA))))</f>
        <v>0</v>
      </c>
      <c r="L260">
        <f>IMSUM(COMPLEX(0,B260*CMC_CLINE),IMDIV("1",IMPRODUCT("2",COMPLEX(CY_ESR,B260*CY_ESL-1/(B260*CY_C)))),COMPLEX(1/DUMMY_R,0))</f>
        <v>0</v>
      </c>
      <c r="M260">
        <f>IMSUM(D260,IMDIV("1",C260))</f>
        <v>0</v>
      </c>
      <c r="N260">
        <f>IMDIV("1",IMSUM(E260,IMDIV("1",M260)))</f>
        <v>0</v>
      </c>
      <c r="O260">
        <f>IMSUM(F260,N260)</f>
        <v>0</v>
      </c>
      <c r="P260">
        <f>IMDIV("1",IMSUM(G260,IMDIV("1",O260)))</f>
        <v>0</v>
      </c>
      <c r="Q260">
        <f>IMSUM(H260,P260)</f>
        <v>0</v>
      </c>
      <c r="R260">
        <f>IMDIV("1",IMSUM(I260,IMDIV("1",Q260)))</f>
        <v>0</v>
      </c>
      <c r="S260">
        <f>IMSUM(J260,R260)</f>
        <v>0</v>
      </c>
      <c r="T260">
        <f>IMDIV("1",IMSUM(K260,IMDIV("1",S260)))</f>
        <v>0</v>
      </c>
      <c r="U260">
        <f>IMSUM(L260,T260)</f>
        <v>0</v>
      </c>
      <c r="V260">
        <f>IMDIV(COMPLEX(I_DM_SOURCE,0),U260)</f>
        <v>0</v>
      </c>
      <c r="W260">
        <f>IMPRODUCT(V260,T260)</f>
        <v>0</v>
      </c>
      <c r="X260">
        <f>IMDIV(W260,S260)</f>
        <v>0</v>
      </c>
      <c r="Y260">
        <f>IMPRODUCT(X260,R260)</f>
        <v>0</v>
      </c>
      <c r="Z260">
        <f>IMDIV(Y260,Q260)</f>
        <v>0</v>
      </c>
      <c r="AA260">
        <f>IMPRODUCT(Z260,P260)</f>
        <v>0</v>
      </c>
      <c r="AB260">
        <f>AA260</f>
        <v>0</v>
      </c>
      <c r="AC260">
        <f>IMPRODUCT("-1",AB260)</f>
        <v>0</v>
      </c>
      <c r="AD260">
        <f>IMDIV(IMSUB(AB260,AC260),"2")</f>
        <v>0</v>
      </c>
      <c r="AE260" s="6">
        <f>IMABS(AB260)</f>
        <v>0</v>
      </c>
      <c r="AF260" s="6">
        <f>IMABS(AC260)</f>
        <v>0</v>
      </c>
      <c r="AG260" s="6">
        <f>IMABS(AD260)</f>
        <v>0</v>
      </c>
      <c r="AH260" s="7">
        <f>20*LOG10(MAX(AE260,1E-300)*1E6)</f>
        <v>0</v>
      </c>
      <c r="AI260" s="7">
        <f>20*LOG10(MAX(AF260,1E-300)*1E6)</f>
        <v>0</v>
      </c>
      <c r="AJ260" s="7">
        <f>20*LOG10(MAX(AG260,1E-300)*1E6)</f>
        <v>0</v>
      </c>
      <c r="AK260" s="7">
        <f>DEGREES(IMARGUMENT(AB260))</f>
        <v>0</v>
      </c>
      <c r="AL260" s="7">
        <f>DEGREES(IMARGUMENT(AC260))</f>
        <v>0</v>
      </c>
      <c r="AM260" s="7">
        <f>DEGREES(IMARGUMENT(AD260))</f>
        <v>0</v>
      </c>
    </row>
    <row r="261" spans="1:39">
      <c r="A261" s="6">
        <f>10^(LOG10(F_START)+(ROW()-ROW($A$2))*(LOG10(F_STOP)-LOG10(F_START))/(N_POINTS-1))</f>
        <v>0</v>
      </c>
      <c r="B261" s="6">
        <f>2*PI()*A261</f>
        <v>0</v>
      </c>
      <c r="C261">
        <f>COMPLEX(2*LINE_PS_DCR,2*B261*LINE_PS_L)</f>
        <v>0</v>
      </c>
      <c r="D261">
        <f>IMSUM(COMPLEX(0,B261*(LINE_PS_CLINE+LINE_PS_CCHA/2)),IMDIV("1",IMPRODUCT("2",COMPLEX(C_THROUGH_ESR,B261*C_THROUGH_ESL-1/(B261*C_THROUGH_C)))))</f>
        <v>0</v>
      </c>
      <c r="E261">
        <f>COMPLEX(2*LINE_INPUT_DCR,2*B261*LINE_INPUT_L)</f>
        <v>0</v>
      </c>
      <c r="F261">
        <f>COMPLEX(0,B261*(LINE_INPUT_CLINE+LINE_INPUT_CCHA/2))</f>
        <v>0</v>
      </c>
      <c r="G261">
        <f>IMPRODUCT("2",IMDIV("1",IMSUM(IMDIV("1",COMPLEX(LDM1_DCR,B261*LDM1_L)),COMPLEX(0,B261*LDM1_CPA))))</f>
        <v>0</v>
      </c>
      <c r="H261">
        <f>IMSUM(IMDIV("1",COMPLEX(CX1_ESR,B261*CX1_ESL-1/(B261*CX1_C))),IMDIV("1",IMSUM(COMPLEX(DUMP1_R,0),COMPLEX(DUMP1_ESR,B261*DUMP1_ESL-1/(B261*DUMP1_C)))))</f>
        <v>0</v>
      </c>
      <c r="I261">
        <f>IMPRODUCT("2",IMDIV("1",IMSUM(IMDIV("1",COMPLEX(LDM2_DCR,B261*LDM2_L)),COMPLEX(0,B261*LDM2_CPA))))</f>
        <v>0</v>
      </c>
      <c r="J261">
        <f>IMSUM(IMDIV("1",COMPLEX(CX2_ESR,B261*CX2_ESL-1/(B261*CX2_C))),IMDIV("1",IMSUM(COMPLEX(DUMP2_R,0),COMPLEX(DUMP2_ESR,B261*DUMP2_ESL-1/(B261*DUMP2_C)))))</f>
        <v>0</v>
      </c>
      <c r="K261">
        <f>IMPRODUCT("2",IMDIV("1",IMSUM(IMDIV("1",COMPLEX(CMC_DCR,B261*CMC_L*(1-CMC_K))),COMPLEX(0,B261*CMC_CPA))))</f>
        <v>0</v>
      </c>
      <c r="L261">
        <f>IMSUM(COMPLEX(0,B261*CMC_CLINE),IMDIV("1",IMPRODUCT("2",COMPLEX(CY_ESR,B261*CY_ESL-1/(B261*CY_C)))),COMPLEX(1/DUMMY_R,0))</f>
        <v>0</v>
      </c>
      <c r="M261">
        <f>IMSUM(D261,IMDIV("1",C261))</f>
        <v>0</v>
      </c>
      <c r="N261">
        <f>IMDIV("1",IMSUM(E261,IMDIV("1",M261)))</f>
        <v>0</v>
      </c>
      <c r="O261">
        <f>IMSUM(F261,N261)</f>
        <v>0</v>
      </c>
      <c r="P261">
        <f>IMDIV("1",IMSUM(G261,IMDIV("1",O261)))</f>
        <v>0</v>
      </c>
      <c r="Q261">
        <f>IMSUM(H261,P261)</f>
        <v>0</v>
      </c>
      <c r="R261">
        <f>IMDIV("1",IMSUM(I261,IMDIV("1",Q261)))</f>
        <v>0</v>
      </c>
      <c r="S261">
        <f>IMSUM(J261,R261)</f>
        <v>0</v>
      </c>
      <c r="T261">
        <f>IMDIV("1",IMSUM(K261,IMDIV("1",S261)))</f>
        <v>0</v>
      </c>
      <c r="U261">
        <f>IMSUM(L261,T261)</f>
        <v>0</v>
      </c>
      <c r="V261">
        <f>IMDIV(COMPLEX(I_DM_SOURCE,0),U261)</f>
        <v>0</v>
      </c>
      <c r="W261">
        <f>IMPRODUCT(V261,T261)</f>
        <v>0</v>
      </c>
      <c r="X261">
        <f>IMDIV(W261,S261)</f>
        <v>0</v>
      </c>
      <c r="Y261">
        <f>IMPRODUCT(X261,R261)</f>
        <v>0</v>
      </c>
      <c r="Z261">
        <f>IMDIV(Y261,Q261)</f>
        <v>0</v>
      </c>
      <c r="AA261">
        <f>IMPRODUCT(Z261,P261)</f>
        <v>0</v>
      </c>
      <c r="AB261">
        <f>AA261</f>
        <v>0</v>
      </c>
      <c r="AC261">
        <f>IMPRODUCT("-1",AB261)</f>
        <v>0</v>
      </c>
      <c r="AD261">
        <f>IMDIV(IMSUB(AB261,AC261),"2")</f>
        <v>0</v>
      </c>
      <c r="AE261" s="6">
        <f>IMABS(AB261)</f>
        <v>0</v>
      </c>
      <c r="AF261" s="6">
        <f>IMABS(AC261)</f>
        <v>0</v>
      </c>
      <c r="AG261" s="6">
        <f>IMABS(AD261)</f>
        <v>0</v>
      </c>
      <c r="AH261" s="7">
        <f>20*LOG10(MAX(AE261,1E-300)*1E6)</f>
        <v>0</v>
      </c>
      <c r="AI261" s="7">
        <f>20*LOG10(MAX(AF261,1E-300)*1E6)</f>
        <v>0</v>
      </c>
      <c r="AJ261" s="7">
        <f>20*LOG10(MAX(AG261,1E-300)*1E6)</f>
        <v>0</v>
      </c>
      <c r="AK261" s="7">
        <f>DEGREES(IMARGUMENT(AB261))</f>
        <v>0</v>
      </c>
      <c r="AL261" s="7">
        <f>DEGREES(IMARGUMENT(AC261))</f>
        <v>0</v>
      </c>
      <c r="AM261" s="7">
        <f>DEGREES(IMARGUMENT(AD261))</f>
        <v>0</v>
      </c>
    </row>
    <row r="262" spans="1:39">
      <c r="A262" s="6">
        <f>10^(LOG10(F_START)+(ROW()-ROW($A$2))*(LOG10(F_STOP)-LOG10(F_START))/(N_POINTS-1))</f>
        <v>0</v>
      </c>
      <c r="B262" s="6">
        <f>2*PI()*A262</f>
        <v>0</v>
      </c>
      <c r="C262">
        <f>COMPLEX(2*LINE_PS_DCR,2*B262*LINE_PS_L)</f>
        <v>0</v>
      </c>
      <c r="D262">
        <f>IMSUM(COMPLEX(0,B262*(LINE_PS_CLINE+LINE_PS_CCHA/2)),IMDIV("1",IMPRODUCT("2",COMPLEX(C_THROUGH_ESR,B262*C_THROUGH_ESL-1/(B262*C_THROUGH_C)))))</f>
        <v>0</v>
      </c>
      <c r="E262">
        <f>COMPLEX(2*LINE_INPUT_DCR,2*B262*LINE_INPUT_L)</f>
        <v>0</v>
      </c>
      <c r="F262">
        <f>COMPLEX(0,B262*(LINE_INPUT_CLINE+LINE_INPUT_CCHA/2))</f>
        <v>0</v>
      </c>
      <c r="G262">
        <f>IMPRODUCT("2",IMDIV("1",IMSUM(IMDIV("1",COMPLEX(LDM1_DCR,B262*LDM1_L)),COMPLEX(0,B262*LDM1_CPA))))</f>
        <v>0</v>
      </c>
      <c r="H262">
        <f>IMSUM(IMDIV("1",COMPLEX(CX1_ESR,B262*CX1_ESL-1/(B262*CX1_C))),IMDIV("1",IMSUM(COMPLEX(DUMP1_R,0),COMPLEX(DUMP1_ESR,B262*DUMP1_ESL-1/(B262*DUMP1_C)))))</f>
        <v>0</v>
      </c>
      <c r="I262">
        <f>IMPRODUCT("2",IMDIV("1",IMSUM(IMDIV("1",COMPLEX(LDM2_DCR,B262*LDM2_L)),COMPLEX(0,B262*LDM2_CPA))))</f>
        <v>0</v>
      </c>
      <c r="J262">
        <f>IMSUM(IMDIV("1",COMPLEX(CX2_ESR,B262*CX2_ESL-1/(B262*CX2_C))),IMDIV("1",IMSUM(COMPLEX(DUMP2_R,0),COMPLEX(DUMP2_ESR,B262*DUMP2_ESL-1/(B262*DUMP2_C)))))</f>
        <v>0</v>
      </c>
      <c r="K262">
        <f>IMPRODUCT("2",IMDIV("1",IMSUM(IMDIV("1",COMPLEX(CMC_DCR,B262*CMC_L*(1-CMC_K))),COMPLEX(0,B262*CMC_CPA))))</f>
        <v>0</v>
      </c>
      <c r="L262">
        <f>IMSUM(COMPLEX(0,B262*CMC_CLINE),IMDIV("1",IMPRODUCT("2",COMPLEX(CY_ESR,B262*CY_ESL-1/(B262*CY_C)))),COMPLEX(1/DUMMY_R,0))</f>
        <v>0</v>
      </c>
      <c r="M262">
        <f>IMSUM(D262,IMDIV("1",C262))</f>
        <v>0</v>
      </c>
      <c r="N262">
        <f>IMDIV("1",IMSUM(E262,IMDIV("1",M262)))</f>
        <v>0</v>
      </c>
      <c r="O262">
        <f>IMSUM(F262,N262)</f>
        <v>0</v>
      </c>
      <c r="P262">
        <f>IMDIV("1",IMSUM(G262,IMDIV("1",O262)))</f>
        <v>0</v>
      </c>
      <c r="Q262">
        <f>IMSUM(H262,P262)</f>
        <v>0</v>
      </c>
      <c r="R262">
        <f>IMDIV("1",IMSUM(I262,IMDIV("1",Q262)))</f>
        <v>0</v>
      </c>
      <c r="S262">
        <f>IMSUM(J262,R262)</f>
        <v>0</v>
      </c>
      <c r="T262">
        <f>IMDIV("1",IMSUM(K262,IMDIV("1",S262)))</f>
        <v>0</v>
      </c>
      <c r="U262">
        <f>IMSUM(L262,T262)</f>
        <v>0</v>
      </c>
      <c r="V262">
        <f>IMDIV(COMPLEX(I_DM_SOURCE,0),U262)</f>
        <v>0</v>
      </c>
      <c r="W262">
        <f>IMPRODUCT(V262,T262)</f>
        <v>0</v>
      </c>
      <c r="X262">
        <f>IMDIV(W262,S262)</f>
        <v>0</v>
      </c>
      <c r="Y262">
        <f>IMPRODUCT(X262,R262)</f>
        <v>0</v>
      </c>
      <c r="Z262">
        <f>IMDIV(Y262,Q262)</f>
        <v>0</v>
      </c>
      <c r="AA262">
        <f>IMPRODUCT(Z262,P262)</f>
        <v>0</v>
      </c>
      <c r="AB262">
        <f>AA262</f>
        <v>0</v>
      </c>
      <c r="AC262">
        <f>IMPRODUCT("-1",AB262)</f>
        <v>0</v>
      </c>
      <c r="AD262">
        <f>IMDIV(IMSUB(AB262,AC262),"2")</f>
        <v>0</v>
      </c>
      <c r="AE262" s="6">
        <f>IMABS(AB262)</f>
        <v>0</v>
      </c>
      <c r="AF262" s="6">
        <f>IMABS(AC262)</f>
        <v>0</v>
      </c>
      <c r="AG262" s="6">
        <f>IMABS(AD262)</f>
        <v>0</v>
      </c>
      <c r="AH262" s="7">
        <f>20*LOG10(MAX(AE262,1E-300)*1E6)</f>
        <v>0</v>
      </c>
      <c r="AI262" s="7">
        <f>20*LOG10(MAX(AF262,1E-300)*1E6)</f>
        <v>0</v>
      </c>
      <c r="AJ262" s="7">
        <f>20*LOG10(MAX(AG262,1E-300)*1E6)</f>
        <v>0</v>
      </c>
      <c r="AK262" s="7">
        <f>DEGREES(IMARGUMENT(AB262))</f>
        <v>0</v>
      </c>
      <c r="AL262" s="7">
        <f>DEGREES(IMARGUMENT(AC262))</f>
        <v>0</v>
      </c>
      <c r="AM262" s="7">
        <f>DEGREES(IMARGUMENT(AD262))</f>
        <v>0</v>
      </c>
    </row>
    <row r="263" spans="1:39">
      <c r="A263" s="6">
        <f>10^(LOG10(F_START)+(ROW()-ROW($A$2))*(LOG10(F_STOP)-LOG10(F_START))/(N_POINTS-1))</f>
        <v>0</v>
      </c>
      <c r="B263" s="6">
        <f>2*PI()*A263</f>
        <v>0</v>
      </c>
      <c r="C263">
        <f>COMPLEX(2*LINE_PS_DCR,2*B263*LINE_PS_L)</f>
        <v>0</v>
      </c>
      <c r="D263">
        <f>IMSUM(COMPLEX(0,B263*(LINE_PS_CLINE+LINE_PS_CCHA/2)),IMDIV("1",IMPRODUCT("2",COMPLEX(C_THROUGH_ESR,B263*C_THROUGH_ESL-1/(B263*C_THROUGH_C)))))</f>
        <v>0</v>
      </c>
      <c r="E263">
        <f>COMPLEX(2*LINE_INPUT_DCR,2*B263*LINE_INPUT_L)</f>
        <v>0</v>
      </c>
      <c r="F263">
        <f>COMPLEX(0,B263*(LINE_INPUT_CLINE+LINE_INPUT_CCHA/2))</f>
        <v>0</v>
      </c>
      <c r="G263">
        <f>IMPRODUCT("2",IMDIV("1",IMSUM(IMDIV("1",COMPLEX(LDM1_DCR,B263*LDM1_L)),COMPLEX(0,B263*LDM1_CPA))))</f>
        <v>0</v>
      </c>
      <c r="H263">
        <f>IMSUM(IMDIV("1",COMPLEX(CX1_ESR,B263*CX1_ESL-1/(B263*CX1_C))),IMDIV("1",IMSUM(COMPLEX(DUMP1_R,0),COMPLEX(DUMP1_ESR,B263*DUMP1_ESL-1/(B263*DUMP1_C)))))</f>
        <v>0</v>
      </c>
      <c r="I263">
        <f>IMPRODUCT("2",IMDIV("1",IMSUM(IMDIV("1",COMPLEX(LDM2_DCR,B263*LDM2_L)),COMPLEX(0,B263*LDM2_CPA))))</f>
        <v>0</v>
      </c>
      <c r="J263">
        <f>IMSUM(IMDIV("1",COMPLEX(CX2_ESR,B263*CX2_ESL-1/(B263*CX2_C))),IMDIV("1",IMSUM(COMPLEX(DUMP2_R,0),COMPLEX(DUMP2_ESR,B263*DUMP2_ESL-1/(B263*DUMP2_C)))))</f>
        <v>0</v>
      </c>
      <c r="K263">
        <f>IMPRODUCT("2",IMDIV("1",IMSUM(IMDIV("1",COMPLEX(CMC_DCR,B263*CMC_L*(1-CMC_K))),COMPLEX(0,B263*CMC_CPA))))</f>
        <v>0</v>
      </c>
      <c r="L263">
        <f>IMSUM(COMPLEX(0,B263*CMC_CLINE),IMDIV("1",IMPRODUCT("2",COMPLEX(CY_ESR,B263*CY_ESL-1/(B263*CY_C)))),COMPLEX(1/DUMMY_R,0))</f>
        <v>0</v>
      </c>
      <c r="M263">
        <f>IMSUM(D263,IMDIV("1",C263))</f>
        <v>0</v>
      </c>
      <c r="N263">
        <f>IMDIV("1",IMSUM(E263,IMDIV("1",M263)))</f>
        <v>0</v>
      </c>
      <c r="O263">
        <f>IMSUM(F263,N263)</f>
        <v>0</v>
      </c>
      <c r="P263">
        <f>IMDIV("1",IMSUM(G263,IMDIV("1",O263)))</f>
        <v>0</v>
      </c>
      <c r="Q263">
        <f>IMSUM(H263,P263)</f>
        <v>0</v>
      </c>
      <c r="R263">
        <f>IMDIV("1",IMSUM(I263,IMDIV("1",Q263)))</f>
        <v>0</v>
      </c>
      <c r="S263">
        <f>IMSUM(J263,R263)</f>
        <v>0</v>
      </c>
      <c r="T263">
        <f>IMDIV("1",IMSUM(K263,IMDIV("1",S263)))</f>
        <v>0</v>
      </c>
      <c r="U263">
        <f>IMSUM(L263,T263)</f>
        <v>0</v>
      </c>
      <c r="V263">
        <f>IMDIV(COMPLEX(I_DM_SOURCE,0),U263)</f>
        <v>0</v>
      </c>
      <c r="W263">
        <f>IMPRODUCT(V263,T263)</f>
        <v>0</v>
      </c>
      <c r="X263">
        <f>IMDIV(W263,S263)</f>
        <v>0</v>
      </c>
      <c r="Y263">
        <f>IMPRODUCT(X263,R263)</f>
        <v>0</v>
      </c>
      <c r="Z263">
        <f>IMDIV(Y263,Q263)</f>
        <v>0</v>
      </c>
      <c r="AA263">
        <f>IMPRODUCT(Z263,P263)</f>
        <v>0</v>
      </c>
      <c r="AB263">
        <f>AA263</f>
        <v>0</v>
      </c>
      <c r="AC263">
        <f>IMPRODUCT("-1",AB263)</f>
        <v>0</v>
      </c>
      <c r="AD263">
        <f>IMDIV(IMSUB(AB263,AC263),"2")</f>
        <v>0</v>
      </c>
      <c r="AE263" s="6">
        <f>IMABS(AB263)</f>
        <v>0</v>
      </c>
      <c r="AF263" s="6">
        <f>IMABS(AC263)</f>
        <v>0</v>
      </c>
      <c r="AG263" s="6">
        <f>IMABS(AD263)</f>
        <v>0</v>
      </c>
      <c r="AH263" s="7">
        <f>20*LOG10(MAX(AE263,1E-300)*1E6)</f>
        <v>0</v>
      </c>
      <c r="AI263" s="7">
        <f>20*LOG10(MAX(AF263,1E-300)*1E6)</f>
        <v>0</v>
      </c>
      <c r="AJ263" s="7">
        <f>20*LOG10(MAX(AG263,1E-300)*1E6)</f>
        <v>0</v>
      </c>
      <c r="AK263" s="7">
        <f>DEGREES(IMARGUMENT(AB263))</f>
        <v>0</v>
      </c>
      <c r="AL263" s="7">
        <f>DEGREES(IMARGUMENT(AC263))</f>
        <v>0</v>
      </c>
      <c r="AM263" s="7">
        <f>DEGREES(IMARGUMENT(AD263))</f>
        <v>0</v>
      </c>
    </row>
    <row r="264" spans="1:39">
      <c r="A264" s="6">
        <f>10^(LOG10(F_START)+(ROW()-ROW($A$2))*(LOG10(F_STOP)-LOG10(F_START))/(N_POINTS-1))</f>
        <v>0</v>
      </c>
      <c r="B264" s="6">
        <f>2*PI()*A264</f>
        <v>0</v>
      </c>
      <c r="C264">
        <f>COMPLEX(2*LINE_PS_DCR,2*B264*LINE_PS_L)</f>
        <v>0</v>
      </c>
      <c r="D264">
        <f>IMSUM(COMPLEX(0,B264*(LINE_PS_CLINE+LINE_PS_CCHA/2)),IMDIV("1",IMPRODUCT("2",COMPLEX(C_THROUGH_ESR,B264*C_THROUGH_ESL-1/(B264*C_THROUGH_C)))))</f>
        <v>0</v>
      </c>
      <c r="E264">
        <f>COMPLEX(2*LINE_INPUT_DCR,2*B264*LINE_INPUT_L)</f>
        <v>0</v>
      </c>
      <c r="F264">
        <f>COMPLEX(0,B264*(LINE_INPUT_CLINE+LINE_INPUT_CCHA/2))</f>
        <v>0</v>
      </c>
      <c r="G264">
        <f>IMPRODUCT("2",IMDIV("1",IMSUM(IMDIV("1",COMPLEX(LDM1_DCR,B264*LDM1_L)),COMPLEX(0,B264*LDM1_CPA))))</f>
        <v>0</v>
      </c>
      <c r="H264">
        <f>IMSUM(IMDIV("1",COMPLEX(CX1_ESR,B264*CX1_ESL-1/(B264*CX1_C))),IMDIV("1",IMSUM(COMPLEX(DUMP1_R,0),COMPLEX(DUMP1_ESR,B264*DUMP1_ESL-1/(B264*DUMP1_C)))))</f>
        <v>0</v>
      </c>
      <c r="I264">
        <f>IMPRODUCT("2",IMDIV("1",IMSUM(IMDIV("1",COMPLEX(LDM2_DCR,B264*LDM2_L)),COMPLEX(0,B264*LDM2_CPA))))</f>
        <v>0</v>
      </c>
      <c r="J264">
        <f>IMSUM(IMDIV("1",COMPLEX(CX2_ESR,B264*CX2_ESL-1/(B264*CX2_C))),IMDIV("1",IMSUM(COMPLEX(DUMP2_R,0),COMPLEX(DUMP2_ESR,B264*DUMP2_ESL-1/(B264*DUMP2_C)))))</f>
        <v>0</v>
      </c>
      <c r="K264">
        <f>IMPRODUCT("2",IMDIV("1",IMSUM(IMDIV("1",COMPLEX(CMC_DCR,B264*CMC_L*(1-CMC_K))),COMPLEX(0,B264*CMC_CPA))))</f>
        <v>0</v>
      </c>
      <c r="L264">
        <f>IMSUM(COMPLEX(0,B264*CMC_CLINE),IMDIV("1",IMPRODUCT("2",COMPLEX(CY_ESR,B264*CY_ESL-1/(B264*CY_C)))),COMPLEX(1/DUMMY_R,0))</f>
        <v>0</v>
      </c>
      <c r="M264">
        <f>IMSUM(D264,IMDIV("1",C264))</f>
        <v>0</v>
      </c>
      <c r="N264">
        <f>IMDIV("1",IMSUM(E264,IMDIV("1",M264)))</f>
        <v>0</v>
      </c>
      <c r="O264">
        <f>IMSUM(F264,N264)</f>
        <v>0</v>
      </c>
      <c r="P264">
        <f>IMDIV("1",IMSUM(G264,IMDIV("1",O264)))</f>
        <v>0</v>
      </c>
      <c r="Q264">
        <f>IMSUM(H264,P264)</f>
        <v>0</v>
      </c>
      <c r="R264">
        <f>IMDIV("1",IMSUM(I264,IMDIV("1",Q264)))</f>
        <v>0</v>
      </c>
      <c r="S264">
        <f>IMSUM(J264,R264)</f>
        <v>0</v>
      </c>
      <c r="T264">
        <f>IMDIV("1",IMSUM(K264,IMDIV("1",S264)))</f>
        <v>0</v>
      </c>
      <c r="U264">
        <f>IMSUM(L264,T264)</f>
        <v>0</v>
      </c>
      <c r="V264">
        <f>IMDIV(COMPLEX(I_DM_SOURCE,0),U264)</f>
        <v>0</v>
      </c>
      <c r="W264">
        <f>IMPRODUCT(V264,T264)</f>
        <v>0</v>
      </c>
      <c r="X264">
        <f>IMDIV(W264,S264)</f>
        <v>0</v>
      </c>
      <c r="Y264">
        <f>IMPRODUCT(X264,R264)</f>
        <v>0</v>
      </c>
      <c r="Z264">
        <f>IMDIV(Y264,Q264)</f>
        <v>0</v>
      </c>
      <c r="AA264">
        <f>IMPRODUCT(Z264,P264)</f>
        <v>0</v>
      </c>
      <c r="AB264">
        <f>AA264</f>
        <v>0</v>
      </c>
      <c r="AC264">
        <f>IMPRODUCT("-1",AB264)</f>
        <v>0</v>
      </c>
      <c r="AD264">
        <f>IMDIV(IMSUB(AB264,AC264),"2")</f>
        <v>0</v>
      </c>
      <c r="AE264" s="6">
        <f>IMABS(AB264)</f>
        <v>0</v>
      </c>
      <c r="AF264" s="6">
        <f>IMABS(AC264)</f>
        <v>0</v>
      </c>
      <c r="AG264" s="6">
        <f>IMABS(AD264)</f>
        <v>0</v>
      </c>
      <c r="AH264" s="7">
        <f>20*LOG10(MAX(AE264,1E-300)*1E6)</f>
        <v>0</v>
      </c>
      <c r="AI264" s="7">
        <f>20*LOG10(MAX(AF264,1E-300)*1E6)</f>
        <v>0</v>
      </c>
      <c r="AJ264" s="7">
        <f>20*LOG10(MAX(AG264,1E-300)*1E6)</f>
        <v>0</v>
      </c>
      <c r="AK264" s="7">
        <f>DEGREES(IMARGUMENT(AB264))</f>
        <v>0</v>
      </c>
      <c r="AL264" s="7">
        <f>DEGREES(IMARGUMENT(AC264))</f>
        <v>0</v>
      </c>
      <c r="AM264" s="7">
        <f>DEGREES(IMARGUMENT(AD264))</f>
        <v>0</v>
      </c>
    </row>
    <row r="265" spans="1:39">
      <c r="A265" s="6">
        <f>10^(LOG10(F_START)+(ROW()-ROW($A$2))*(LOG10(F_STOP)-LOG10(F_START))/(N_POINTS-1))</f>
        <v>0</v>
      </c>
      <c r="B265" s="6">
        <f>2*PI()*A265</f>
        <v>0</v>
      </c>
      <c r="C265">
        <f>COMPLEX(2*LINE_PS_DCR,2*B265*LINE_PS_L)</f>
        <v>0</v>
      </c>
      <c r="D265">
        <f>IMSUM(COMPLEX(0,B265*(LINE_PS_CLINE+LINE_PS_CCHA/2)),IMDIV("1",IMPRODUCT("2",COMPLEX(C_THROUGH_ESR,B265*C_THROUGH_ESL-1/(B265*C_THROUGH_C)))))</f>
        <v>0</v>
      </c>
      <c r="E265">
        <f>COMPLEX(2*LINE_INPUT_DCR,2*B265*LINE_INPUT_L)</f>
        <v>0</v>
      </c>
      <c r="F265">
        <f>COMPLEX(0,B265*(LINE_INPUT_CLINE+LINE_INPUT_CCHA/2))</f>
        <v>0</v>
      </c>
      <c r="G265">
        <f>IMPRODUCT("2",IMDIV("1",IMSUM(IMDIV("1",COMPLEX(LDM1_DCR,B265*LDM1_L)),COMPLEX(0,B265*LDM1_CPA))))</f>
        <v>0</v>
      </c>
      <c r="H265">
        <f>IMSUM(IMDIV("1",COMPLEX(CX1_ESR,B265*CX1_ESL-1/(B265*CX1_C))),IMDIV("1",IMSUM(COMPLEX(DUMP1_R,0),COMPLEX(DUMP1_ESR,B265*DUMP1_ESL-1/(B265*DUMP1_C)))))</f>
        <v>0</v>
      </c>
      <c r="I265">
        <f>IMPRODUCT("2",IMDIV("1",IMSUM(IMDIV("1",COMPLEX(LDM2_DCR,B265*LDM2_L)),COMPLEX(0,B265*LDM2_CPA))))</f>
        <v>0</v>
      </c>
      <c r="J265">
        <f>IMSUM(IMDIV("1",COMPLEX(CX2_ESR,B265*CX2_ESL-1/(B265*CX2_C))),IMDIV("1",IMSUM(COMPLEX(DUMP2_R,0),COMPLEX(DUMP2_ESR,B265*DUMP2_ESL-1/(B265*DUMP2_C)))))</f>
        <v>0</v>
      </c>
      <c r="K265">
        <f>IMPRODUCT("2",IMDIV("1",IMSUM(IMDIV("1",COMPLEX(CMC_DCR,B265*CMC_L*(1-CMC_K))),COMPLEX(0,B265*CMC_CPA))))</f>
        <v>0</v>
      </c>
      <c r="L265">
        <f>IMSUM(COMPLEX(0,B265*CMC_CLINE),IMDIV("1",IMPRODUCT("2",COMPLEX(CY_ESR,B265*CY_ESL-1/(B265*CY_C)))),COMPLEX(1/DUMMY_R,0))</f>
        <v>0</v>
      </c>
      <c r="M265">
        <f>IMSUM(D265,IMDIV("1",C265))</f>
        <v>0</v>
      </c>
      <c r="N265">
        <f>IMDIV("1",IMSUM(E265,IMDIV("1",M265)))</f>
        <v>0</v>
      </c>
      <c r="O265">
        <f>IMSUM(F265,N265)</f>
        <v>0</v>
      </c>
      <c r="P265">
        <f>IMDIV("1",IMSUM(G265,IMDIV("1",O265)))</f>
        <v>0</v>
      </c>
      <c r="Q265">
        <f>IMSUM(H265,P265)</f>
        <v>0</v>
      </c>
      <c r="R265">
        <f>IMDIV("1",IMSUM(I265,IMDIV("1",Q265)))</f>
        <v>0</v>
      </c>
      <c r="S265">
        <f>IMSUM(J265,R265)</f>
        <v>0</v>
      </c>
      <c r="T265">
        <f>IMDIV("1",IMSUM(K265,IMDIV("1",S265)))</f>
        <v>0</v>
      </c>
      <c r="U265">
        <f>IMSUM(L265,T265)</f>
        <v>0</v>
      </c>
      <c r="V265">
        <f>IMDIV(COMPLEX(I_DM_SOURCE,0),U265)</f>
        <v>0</v>
      </c>
      <c r="W265">
        <f>IMPRODUCT(V265,T265)</f>
        <v>0</v>
      </c>
      <c r="X265">
        <f>IMDIV(W265,S265)</f>
        <v>0</v>
      </c>
      <c r="Y265">
        <f>IMPRODUCT(X265,R265)</f>
        <v>0</v>
      </c>
      <c r="Z265">
        <f>IMDIV(Y265,Q265)</f>
        <v>0</v>
      </c>
      <c r="AA265">
        <f>IMPRODUCT(Z265,P265)</f>
        <v>0</v>
      </c>
      <c r="AB265">
        <f>AA265</f>
        <v>0</v>
      </c>
      <c r="AC265">
        <f>IMPRODUCT("-1",AB265)</f>
        <v>0</v>
      </c>
      <c r="AD265">
        <f>IMDIV(IMSUB(AB265,AC265),"2")</f>
        <v>0</v>
      </c>
      <c r="AE265" s="6">
        <f>IMABS(AB265)</f>
        <v>0</v>
      </c>
      <c r="AF265" s="6">
        <f>IMABS(AC265)</f>
        <v>0</v>
      </c>
      <c r="AG265" s="6">
        <f>IMABS(AD265)</f>
        <v>0</v>
      </c>
      <c r="AH265" s="7">
        <f>20*LOG10(MAX(AE265,1E-300)*1E6)</f>
        <v>0</v>
      </c>
      <c r="AI265" s="7">
        <f>20*LOG10(MAX(AF265,1E-300)*1E6)</f>
        <v>0</v>
      </c>
      <c r="AJ265" s="7">
        <f>20*LOG10(MAX(AG265,1E-300)*1E6)</f>
        <v>0</v>
      </c>
      <c r="AK265" s="7">
        <f>DEGREES(IMARGUMENT(AB265))</f>
        <v>0</v>
      </c>
      <c r="AL265" s="7">
        <f>DEGREES(IMARGUMENT(AC265))</f>
        <v>0</v>
      </c>
      <c r="AM265" s="7">
        <f>DEGREES(IMARGUMENT(AD265))</f>
        <v>0</v>
      </c>
    </row>
    <row r="266" spans="1:39">
      <c r="A266" s="6">
        <f>10^(LOG10(F_START)+(ROW()-ROW($A$2))*(LOG10(F_STOP)-LOG10(F_START))/(N_POINTS-1))</f>
        <v>0</v>
      </c>
      <c r="B266" s="6">
        <f>2*PI()*A266</f>
        <v>0</v>
      </c>
      <c r="C266">
        <f>COMPLEX(2*LINE_PS_DCR,2*B266*LINE_PS_L)</f>
        <v>0</v>
      </c>
      <c r="D266">
        <f>IMSUM(COMPLEX(0,B266*(LINE_PS_CLINE+LINE_PS_CCHA/2)),IMDIV("1",IMPRODUCT("2",COMPLEX(C_THROUGH_ESR,B266*C_THROUGH_ESL-1/(B266*C_THROUGH_C)))))</f>
        <v>0</v>
      </c>
      <c r="E266">
        <f>COMPLEX(2*LINE_INPUT_DCR,2*B266*LINE_INPUT_L)</f>
        <v>0</v>
      </c>
      <c r="F266">
        <f>COMPLEX(0,B266*(LINE_INPUT_CLINE+LINE_INPUT_CCHA/2))</f>
        <v>0</v>
      </c>
      <c r="G266">
        <f>IMPRODUCT("2",IMDIV("1",IMSUM(IMDIV("1",COMPLEX(LDM1_DCR,B266*LDM1_L)),COMPLEX(0,B266*LDM1_CPA))))</f>
        <v>0</v>
      </c>
      <c r="H266">
        <f>IMSUM(IMDIV("1",COMPLEX(CX1_ESR,B266*CX1_ESL-1/(B266*CX1_C))),IMDIV("1",IMSUM(COMPLEX(DUMP1_R,0),COMPLEX(DUMP1_ESR,B266*DUMP1_ESL-1/(B266*DUMP1_C)))))</f>
        <v>0</v>
      </c>
      <c r="I266">
        <f>IMPRODUCT("2",IMDIV("1",IMSUM(IMDIV("1",COMPLEX(LDM2_DCR,B266*LDM2_L)),COMPLEX(0,B266*LDM2_CPA))))</f>
        <v>0</v>
      </c>
      <c r="J266">
        <f>IMSUM(IMDIV("1",COMPLEX(CX2_ESR,B266*CX2_ESL-1/(B266*CX2_C))),IMDIV("1",IMSUM(COMPLEX(DUMP2_R,0),COMPLEX(DUMP2_ESR,B266*DUMP2_ESL-1/(B266*DUMP2_C)))))</f>
        <v>0</v>
      </c>
      <c r="K266">
        <f>IMPRODUCT("2",IMDIV("1",IMSUM(IMDIV("1",COMPLEX(CMC_DCR,B266*CMC_L*(1-CMC_K))),COMPLEX(0,B266*CMC_CPA))))</f>
        <v>0</v>
      </c>
      <c r="L266">
        <f>IMSUM(COMPLEX(0,B266*CMC_CLINE),IMDIV("1",IMPRODUCT("2",COMPLEX(CY_ESR,B266*CY_ESL-1/(B266*CY_C)))),COMPLEX(1/DUMMY_R,0))</f>
        <v>0</v>
      </c>
      <c r="M266">
        <f>IMSUM(D266,IMDIV("1",C266))</f>
        <v>0</v>
      </c>
      <c r="N266">
        <f>IMDIV("1",IMSUM(E266,IMDIV("1",M266)))</f>
        <v>0</v>
      </c>
      <c r="O266">
        <f>IMSUM(F266,N266)</f>
        <v>0</v>
      </c>
      <c r="P266">
        <f>IMDIV("1",IMSUM(G266,IMDIV("1",O266)))</f>
        <v>0</v>
      </c>
      <c r="Q266">
        <f>IMSUM(H266,P266)</f>
        <v>0</v>
      </c>
      <c r="R266">
        <f>IMDIV("1",IMSUM(I266,IMDIV("1",Q266)))</f>
        <v>0</v>
      </c>
      <c r="S266">
        <f>IMSUM(J266,R266)</f>
        <v>0</v>
      </c>
      <c r="T266">
        <f>IMDIV("1",IMSUM(K266,IMDIV("1",S266)))</f>
        <v>0</v>
      </c>
      <c r="U266">
        <f>IMSUM(L266,T266)</f>
        <v>0</v>
      </c>
      <c r="V266">
        <f>IMDIV(COMPLEX(I_DM_SOURCE,0),U266)</f>
        <v>0</v>
      </c>
      <c r="W266">
        <f>IMPRODUCT(V266,T266)</f>
        <v>0</v>
      </c>
      <c r="X266">
        <f>IMDIV(W266,S266)</f>
        <v>0</v>
      </c>
      <c r="Y266">
        <f>IMPRODUCT(X266,R266)</f>
        <v>0</v>
      </c>
      <c r="Z266">
        <f>IMDIV(Y266,Q266)</f>
        <v>0</v>
      </c>
      <c r="AA266">
        <f>IMPRODUCT(Z266,P266)</f>
        <v>0</v>
      </c>
      <c r="AB266">
        <f>AA266</f>
        <v>0</v>
      </c>
      <c r="AC266">
        <f>IMPRODUCT("-1",AB266)</f>
        <v>0</v>
      </c>
      <c r="AD266">
        <f>IMDIV(IMSUB(AB266,AC266),"2")</f>
        <v>0</v>
      </c>
      <c r="AE266" s="6">
        <f>IMABS(AB266)</f>
        <v>0</v>
      </c>
      <c r="AF266" s="6">
        <f>IMABS(AC266)</f>
        <v>0</v>
      </c>
      <c r="AG266" s="6">
        <f>IMABS(AD266)</f>
        <v>0</v>
      </c>
      <c r="AH266" s="7">
        <f>20*LOG10(MAX(AE266,1E-300)*1E6)</f>
        <v>0</v>
      </c>
      <c r="AI266" s="7">
        <f>20*LOG10(MAX(AF266,1E-300)*1E6)</f>
        <v>0</v>
      </c>
      <c r="AJ266" s="7">
        <f>20*LOG10(MAX(AG266,1E-300)*1E6)</f>
        <v>0</v>
      </c>
      <c r="AK266" s="7">
        <f>DEGREES(IMARGUMENT(AB266))</f>
        <v>0</v>
      </c>
      <c r="AL266" s="7">
        <f>DEGREES(IMARGUMENT(AC266))</f>
        <v>0</v>
      </c>
      <c r="AM266" s="7">
        <f>DEGREES(IMARGUMENT(AD266))</f>
        <v>0</v>
      </c>
    </row>
    <row r="267" spans="1:39">
      <c r="A267" s="6">
        <f>10^(LOG10(F_START)+(ROW()-ROW($A$2))*(LOG10(F_STOP)-LOG10(F_START))/(N_POINTS-1))</f>
        <v>0</v>
      </c>
      <c r="B267" s="6">
        <f>2*PI()*A267</f>
        <v>0</v>
      </c>
      <c r="C267">
        <f>COMPLEX(2*LINE_PS_DCR,2*B267*LINE_PS_L)</f>
        <v>0</v>
      </c>
      <c r="D267">
        <f>IMSUM(COMPLEX(0,B267*(LINE_PS_CLINE+LINE_PS_CCHA/2)),IMDIV("1",IMPRODUCT("2",COMPLEX(C_THROUGH_ESR,B267*C_THROUGH_ESL-1/(B267*C_THROUGH_C)))))</f>
        <v>0</v>
      </c>
      <c r="E267">
        <f>COMPLEX(2*LINE_INPUT_DCR,2*B267*LINE_INPUT_L)</f>
        <v>0</v>
      </c>
      <c r="F267">
        <f>COMPLEX(0,B267*(LINE_INPUT_CLINE+LINE_INPUT_CCHA/2))</f>
        <v>0</v>
      </c>
      <c r="G267">
        <f>IMPRODUCT("2",IMDIV("1",IMSUM(IMDIV("1",COMPLEX(LDM1_DCR,B267*LDM1_L)),COMPLEX(0,B267*LDM1_CPA))))</f>
        <v>0</v>
      </c>
      <c r="H267">
        <f>IMSUM(IMDIV("1",COMPLEX(CX1_ESR,B267*CX1_ESL-1/(B267*CX1_C))),IMDIV("1",IMSUM(COMPLEX(DUMP1_R,0),COMPLEX(DUMP1_ESR,B267*DUMP1_ESL-1/(B267*DUMP1_C)))))</f>
        <v>0</v>
      </c>
      <c r="I267">
        <f>IMPRODUCT("2",IMDIV("1",IMSUM(IMDIV("1",COMPLEX(LDM2_DCR,B267*LDM2_L)),COMPLEX(0,B267*LDM2_CPA))))</f>
        <v>0</v>
      </c>
      <c r="J267">
        <f>IMSUM(IMDIV("1",COMPLEX(CX2_ESR,B267*CX2_ESL-1/(B267*CX2_C))),IMDIV("1",IMSUM(COMPLEX(DUMP2_R,0),COMPLEX(DUMP2_ESR,B267*DUMP2_ESL-1/(B267*DUMP2_C)))))</f>
        <v>0</v>
      </c>
      <c r="K267">
        <f>IMPRODUCT("2",IMDIV("1",IMSUM(IMDIV("1",COMPLEX(CMC_DCR,B267*CMC_L*(1-CMC_K))),COMPLEX(0,B267*CMC_CPA))))</f>
        <v>0</v>
      </c>
      <c r="L267">
        <f>IMSUM(COMPLEX(0,B267*CMC_CLINE),IMDIV("1",IMPRODUCT("2",COMPLEX(CY_ESR,B267*CY_ESL-1/(B267*CY_C)))),COMPLEX(1/DUMMY_R,0))</f>
        <v>0</v>
      </c>
      <c r="M267">
        <f>IMSUM(D267,IMDIV("1",C267))</f>
        <v>0</v>
      </c>
      <c r="N267">
        <f>IMDIV("1",IMSUM(E267,IMDIV("1",M267)))</f>
        <v>0</v>
      </c>
      <c r="O267">
        <f>IMSUM(F267,N267)</f>
        <v>0</v>
      </c>
      <c r="P267">
        <f>IMDIV("1",IMSUM(G267,IMDIV("1",O267)))</f>
        <v>0</v>
      </c>
      <c r="Q267">
        <f>IMSUM(H267,P267)</f>
        <v>0</v>
      </c>
      <c r="R267">
        <f>IMDIV("1",IMSUM(I267,IMDIV("1",Q267)))</f>
        <v>0</v>
      </c>
      <c r="S267">
        <f>IMSUM(J267,R267)</f>
        <v>0</v>
      </c>
      <c r="T267">
        <f>IMDIV("1",IMSUM(K267,IMDIV("1",S267)))</f>
        <v>0</v>
      </c>
      <c r="U267">
        <f>IMSUM(L267,T267)</f>
        <v>0</v>
      </c>
      <c r="V267">
        <f>IMDIV(COMPLEX(I_DM_SOURCE,0),U267)</f>
        <v>0</v>
      </c>
      <c r="W267">
        <f>IMPRODUCT(V267,T267)</f>
        <v>0</v>
      </c>
      <c r="X267">
        <f>IMDIV(W267,S267)</f>
        <v>0</v>
      </c>
      <c r="Y267">
        <f>IMPRODUCT(X267,R267)</f>
        <v>0</v>
      </c>
      <c r="Z267">
        <f>IMDIV(Y267,Q267)</f>
        <v>0</v>
      </c>
      <c r="AA267">
        <f>IMPRODUCT(Z267,P267)</f>
        <v>0</v>
      </c>
      <c r="AB267">
        <f>AA267</f>
        <v>0</v>
      </c>
      <c r="AC267">
        <f>IMPRODUCT("-1",AB267)</f>
        <v>0</v>
      </c>
      <c r="AD267">
        <f>IMDIV(IMSUB(AB267,AC267),"2")</f>
        <v>0</v>
      </c>
      <c r="AE267" s="6">
        <f>IMABS(AB267)</f>
        <v>0</v>
      </c>
      <c r="AF267" s="6">
        <f>IMABS(AC267)</f>
        <v>0</v>
      </c>
      <c r="AG267" s="6">
        <f>IMABS(AD267)</f>
        <v>0</v>
      </c>
      <c r="AH267" s="7">
        <f>20*LOG10(MAX(AE267,1E-300)*1E6)</f>
        <v>0</v>
      </c>
      <c r="AI267" s="7">
        <f>20*LOG10(MAX(AF267,1E-300)*1E6)</f>
        <v>0</v>
      </c>
      <c r="AJ267" s="7">
        <f>20*LOG10(MAX(AG267,1E-300)*1E6)</f>
        <v>0</v>
      </c>
      <c r="AK267" s="7">
        <f>DEGREES(IMARGUMENT(AB267))</f>
        <v>0</v>
      </c>
      <c r="AL267" s="7">
        <f>DEGREES(IMARGUMENT(AC267))</f>
        <v>0</v>
      </c>
      <c r="AM267" s="7">
        <f>DEGREES(IMARGUMENT(AD267))</f>
        <v>0</v>
      </c>
    </row>
    <row r="268" spans="1:39">
      <c r="A268" s="6">
        <f>10^(LOG10(F_START)+(ROW()-ROW($A$2))*(LOG10(F_STOP)-LOG10(F_START))/(N_POINTS-1))</f>
        <v>0</v>
      </c>
      <c r="B268" s="6">
        <f>2*PI()*A268</f>
        <v>0</v>
      </c>
      <c r="C268">
        <f>COMPLEX(2*LINE_PS_DCR,2*B268*LINE_PS_L)</f>
        <v>0</v>
      </c>
      <c r="D268">
        <f>IMSUM(COMPLEX(0,B268*(LINE_PS_CLINE+LINE_PS_CCHA/2)),IMDIV("1",IMPRODUCT("2",COMPLEX(C_THROUGH_ESR,B268*C_THROUGH_ESL-1/(B268*C_THROUGH_C)))))</f>
        <v>0</v>
      </c>
      <c r="E268">
        <f>COMPLEX(2*LINE_INPUT_DCR,2*B268*LINE_INPUT_L)</f>
        <v>0</v>
      </c>
      <c r="F268">
        <f>COMPLEX(0,B268*(LINE_INPUT_CLINE+LINE_INPUT_CCHA/2))</f>
        <v>0</v>
      </c>
      <c r="G268">
        <f>IMPRODUCT("2",IMDIV("1",IMSUM(IMDIV("1",COMPLEX(LDM1_DCR,B268*LDM1_L)),COMPLEX(0,B268*LDM1_CPA))))</f>
        <v>0</v>
      </c>
      <c r="H268">
        <f>IMSUM(IMDIV("1",COMPLEX(CX1_ESR,B268*CX1_ESL-1/(B268*CX1_C))),IMDIV("1",IMSUM(COMPLEX(DUMP1_R,0),COMPLEX(DUMP1_ESR,B268*DUMP1_ESL-1/(B268*DUMP1_C)))))</f>
        <v>0</v>
      </c>
      <c r="I268">
        <f>IMPRODUCT("2",IMDIV("1",IMSUM(IMDIV("1",COMPLEX(LDM2_DCR,B268*LDM2_L)),COMPLEX(0,B268*LDM2_CPA))))</f>
        <v>0</v>
      </c>
      <c r="J268">
        <f>IMSUM(IMDIV("1",COMPLEX(CX2_ESR,B268*CX2_ESL-1/(B268*CX2_C))),IMDIV("1",IMSUM(COMPLEX(DUMP2_R,0),COMPLEX(DUMP2_ESR,B268*DUMP2_ESL-1/(B268*DUMP2_C)))))</f>
        <v>0</v>
      </c>
      <c r="K268">
        <f>IMPRODUCT("2",IMDIV("1",IMSUM(IMDIV("1",COMPLEX(CMC_DCR,B268*CMC_L*(1-CMC_K))),COMPLEX(0,B268*CMC_CPA))))</f>
        <v>0</v>
      </c>
      <c r="L268">
        <f>IMSUM(COMPLEX(0,B268*CMC_CLINE),IMDIV("1",IMPRODUCT("2",COMPLEX(CY_ESR,B268*CY_ESL-1/(B268*CY_C)))),COMPLEX(1/DUMMY_R,0))</f>
        <v>0</v>
      </c>
      <c r="M268">
        <f>IMSUM(D268,IMDIV("1",C268))</f>
        <v>0</v>
      </c>
      <c r="N268">
        <f>IMDIV("1",IMSUM(E268,IMDIV("1",M268)))</f>
        <v>0</v>
      </c>
      <c r="O268">
        <f>IMSUM(F268,N268)</f>
        <v>0</v>
      </c>
      <c r="P268">
        <f>IMDIV("1",IMSUM(G268,IMDIV("1",O268)))</f>
        <v>0</v>
      </c>
      <c r="Q268">
        <f>IMSUM(H268,P268)</f>
        <v>0</v>
      </c>
      <c r="R268">
        <f>IMDIV("1",IMSUM(I268,IMDIV("1",Q268)))</f>
        <v>0</v>
      </c>
      <c r="S268">
        <f>IMSUM(J268,R268)</f>
        <v>0</v>
      </c>
      <c r="T268">
        <f>IMDIV("1",IMSUM(K268,IMDIV("1",S268)))</f>
        <v>0</v>
      </c>
      <c r="U268">
        <f>IMSUM(L268,T268)</f>
        <v>0</v>
      </c>
      <c r="V268">
        <f>IMDIV(COMPLEX(I_DM_SOURCE,0),U268)</f>
        <v>0</v>
      </c>
      <c r="W268">
        <f>IMPRODUCT(V268,T268)</f>
        <v>0</v>
      </c>
      <c r="X268">
        <f>IMDIV(W268,S268)</f>
        <v>0</v>
      </c>
      <c r="Y268">
        <f>IMPRODUCT(X268,R268)</f>
        <v>0</v>
      </c>
      <c r="Z268">
        <f>IMDIV(Y268,Q268)</f>
        <v>0</v>
      </c>
      <c r="AA268">
        <f>IMPRODUCT(Z268,P268)</f>
        <v>0</v>
      </c>
      <c r="AB268">
        <f>AA268</f>
        <v>0</v>
      </c>
      <c r="AC268">
        <f>IMPRODUCT("-1",AB268)</f>
        <v>0</v>
      </c>
      <c r="AD268">
        <f>IMDIV(IMSUB(AB268,AC268),"2")</f>
        <v>0</v>
      </c>
      <c r="AE268" s="6">
        <f>IMABS(AB268)</f>
        <v>0</v>
      </c>
      <c r="AF268" s="6">
        <f>IMABS(AC268)</f>
        <v>0</v>
      </c>
      <c r="AG268" s="6">
        <f>IMABS(AD268)</f>
        <v>0</v>
      </c>
      <c r="AH268" s="7">
        <f>20*LOG10(MAX(AE268,1E-300)*1E6)</f>
        <v>0</v>
      </c>
      <c r="AI268" s="7">
        <f>20*LOG10(MAX(AF268,1E-300)*1E6)</f>
        <v>0</v>
      </c>
      <c r="AJ268" s="7">
        <f>20*LOG10(MAX(AG268,1E-300)*1E6)</f>
        <v>0</v>
      </c>
      <c r="AK268" s="7">
        <f>DEGREES(IMARGUMENT(AB268))</f>
        <v>0</v>
      </c>
      <c r="AL268" s="7">
        <f>DEGREES(IMARGUMENT(AC268))</f>
        <v>0</v>
      </c>
      <c r="AM268" s="7">
        <f>DEGREES(IMARGUMENT(AD268))</f>
        <v>0</v>
      </c>
    </row>
    <row r="269" spans="1:39">
      <c r="A269" s="6">
        <f>10^(LOG10(F_START)+(ROW()-ROW($A$2))*(LOG10(F_STOP)-LOG10(F_START))/(N_POINTS-1))</f>
        <v>0</v>
      </c>
      <c r="B269" s="6">
        <f>2*PI()*A269</f>
        <v>0</v>
      </c>
      <c r="C269">
        <f>COMPLEX(2*LINE_PS_DCR,2*B269*LINE_PS_L)</f>
        <v>0</v>
      </c>
      <c r="D269">
        <f>IMSUM(COMPLEX(0,B269*(LINE_PS_CLINE+LINE_PS_CCHA/2)),IMDIV("1",IMPRODUCT("2",COMPLEX(C_THROUGH_ESR,B269*C_THROUGH_ESL-1/(B269*C_THROUGH_C)))))</f>
        <v>0</v>
      </c>
      <c r="E269">
        <f>COMPLEX(2*LINE_INPUT_DCR,2*B269*LINE_INPUT_L)</f>
        <v>0</v>
      </c>
      <c r="F269">
        <f>COMPLEX(0,B269*(LINE_INPUT_CLINE+LINE_INPUT_CCHA/2))</f>
        <v>0</v>
      </c>
      <c r="G269">
        <f>IMPRODUCT("2",IMDIV("1",IMSUM(IMDIV("1",COMPLEX(LDM1_DCR,B269*LDM1_L)),COMPLEX(0,B269*LDM1_CPA))))</f>
        <v>0</v>
      </c>
      <c r="H269">
        <f>IMSUM(IMDIV("1",COMPLEX(CX1_ESR,B269*CX1_ESL-1/(B269*CX1_C))),IMDIV("1",IMSUM(COMPLEX(DUMP1_R,0),COMPLEX(DUMP1_ESR,B269*DUMP1_ESL-1/(B269*DUMP1_C)))))</f>
        <v>0</v>
      </c>
      <c r="I269">
        <f>IMPRODUCT("2",IMDIV("1",IMSUM(IMDIV("1",COMPLEX(LDM2_DCR,B269*LDM2_L)),COMPLEX(0,B269*LDM2_CPA))))</f>
        <v>0</v>
      </c>
      <c r="J269">
        <f>IMSUM(IMDIV("1",COMPLEX(CX2_ESR,B269*CX2_ESL-1/(B269*CX2_C))),IMDIV("1",IMSUM(COMPLEX(DUMP2_R,0),COMPLEX(DUMP2_ESR,B269*DUMP2_ESL-1/(B269*DUMP2_C)))))</f>
        <v>0</v>
      </c>
      <c r="K269">
        <f>IMPRODUCT("2",IMDIV("1",IMSUM(IMDIV("1",COMPLEX(CMC_DCR,B269*CMC_L*(1-CMC_K))),COMPLEX(0,B269*CMC_CPA))))</f>
        <v>0</v>
      </c>
      <c r="L269">
        <f>IMSUM(COMPLEX(0,B269*CMC_CLINE),IMDIV("1",IMPRODUCT("2",COMPLEX(CY_ESR,B269*CY_ESL-1/(B269*CY_C)))),COMPLEX(1/DUMMY_R,0))</f>
        <v>0</v>
      </c>
      <c r="M269">
        <f>IMSUM(D269,IMDIV("1",C269))</f>
        <v>0</v>
      </c>
      <c r="N269">
        <f>IMDIV("1",IMSUM(E269,IMDIV("1",M269)))</f>
        <v>0</v>
      </c>
      <c r="O269">
        <f>IMSUM(F269,N269)</f>
        <v>0</v>
      </c>
      <c r="P269">
        <f>IMDIV("1",IMSUM(G269,IMDIV("1",O269)))</f>
        <v>0</v>
      </c>
      <c r="Q269">
        <f>IMSUM(H269,P269)</f>
        <v>0</v>
      </c>
      <c r="R269">
        <f>IMDIV("1",IMSUM(I269,IMDIV("1",Q269)))</f>
        <v>0</v>
      </c>
      <c r="S269">
        <f>IMSUM(J269,R269)</f>
        <v>0</v>
      </c>
      <c r="T269">
        <f>IMDIV("1",IMSUM(K269,IMDIV("1",S269)))</f>
        <v>0</v>
      </c>
      <c r="U269">
        <f>IMSUM(L269,T269)</f>
        <v>0</v>
      </c>
      <c r="V269">
        <f>IMDIV(COMPLEX(I_DM_SOURCE,0),U269)</f>
        <v>0</v>
      </c>
      <c r="W269">
        <f>IMPRODUCT(V269,T269)</f>
        <v>0</v>
      </c>
      <c r="X269">
        <f>IMDIV(W269,S269)</f>
        <v>0</v>
      </c>
      <c r="Y269">
        <f>IMPRODUCT(X269,R269)</f>
        <v>0</v>
      </c>
      <c r="Z269">
        <f>IMDIV(Y269,Q269)</f>
        <v>0</v>
      </c>
      <c r="AA269">
        <f>IMPRODUCT(Z269,P269)</f>
        <v>0</v>
      </c>
      <c r="AB269">
        <f>AA269</f>
        <v>0</v>
      </c>
      <c r="AC269">
        <f>IMPRODUCT("-1",AB269)</f>
        <v>0</v>
      </c>
      <c r="AD269">
        <f>IMDIV(IMSUB(AB269,AC269),"2")</f>
        <v>0</v>
      </c>
      <c r="AE269" s="6">
        <f>IMABS(AB269)</f>
        <v>0</v>
      </c>
      <c r="AF269" s="6">
        <f>IMABS(AC269)</f>
        <v>0</v>
      </c>
      <c r="AG269" s="6">
        <f>IMABS(AD269)</f>
        <v>0</v>
      </c>
      <c r="AH269" s="7">
        <f>20*LOG10(MAX(AE269,1E-300)*1E6)</f>
        <v>0</v>
      </c>
      <c r="AI269" s="7">
        <f>20*LOG10(MAX(AF269,1E-300)*1E6)</f>
        <v>0</v>
      </c>
      <c r="AJ269" s="7">
        <f>20*LOG10(MAX(AG269,1E-300)*1E6)</f>
        <v>0</v>
      </c>
      <c r="AK269" s="7">
        <f>DEGREES(IMARGUMENT(AB269))</f>
        <v>0</v>
      </c>
      <c r="AL269" s="7">
        <f>DEGREES(IMARGUMENT(AC269))</f>
        <v>0</v>
      </c>
      <c r="AM269" s="7">
        <f>DEGREES(IMARGUMENT(AD269))</f>
        <v>0</v>
      </c>
    </row>
    <row r="270" spans="1:39">
      <c r="A270" s="6">
        <f>10^(LOG10(F_START)+(ROW()-ROW($A$2))*(LOG10(F_STOP)-LOG10(F_START))/(N_POINTS-1))</f>
        <v>0</v>
      </c>
      <c r="B270" s="6">
        <f>2*PI()*A270</f>
        <v>0</v>
      </c>
      <c r="C270">
        <f>COMPLEX(2*LINE_PS_DCR,2*B270*LINE_PS_L)</f>
        <v>0</v>
      </c>
      <c r="D270">
        <f>IMSUM(COMPLEX(0,B270*(LINE_PS_CLINE+LINE_PS_CCHA/2)),IMDIV("1",IMPRODUCT("2",COMPLEX(C_THROUGH_ESR,B270*C_THROUGH_ESL-1/(B270*C_THROUGH_C)))))</f>
        <v>0</v>
      </c>
      <c r="E270">
        <f>COMPLEX(2*LINE_INPUT_DCR,2*B270*LINE_INPUT_L)</f>
        <v>0</v>
      </c>
      <c r="F270">
        <f>COMPLEX(0,B270*(LINE_INPUT_CLINE+LINE_INPUT_CCHA/2))</f>
        <v>0</v>
      </c>
      <c r="G270">
        <f>IMPRODUCT("2",IMDIV("1",IMSUM(IMDIV("1",COMPLEX(LDM1_DCR,B270*LDM1_L)),COMPLEX(0,B270*LDM1_CPA))))</f>
        <v>0</v>
      </c>
      <c r="H270">
        <f>IMSUM(IMDIV("1",COMPLEX(CX1_ESR,B270*CX1_ESL-1/(B270*CX1_C))),IMDIV("1",IMSUM(COMPLEX(DUMP1_R,0),COMPLEX(DUMP1_ESR,B270*DUMP1_ESL-1/(B270*DUMP1_C)))))</f>
        <v>0</v>
      </c>
      <c r="I270">
        <f>IMPRODUCT("2",IMDIV("1",IMSUM(IMDIV("1",COMPLEX(LDM2_DCR,B270*LDM2_L)),COMPLEX(0,B270*LDM2_CPA))))</f>
        <v>0</v>
      </c>
      <c r="J270">
        <f>IMSUM(IMDIV("1",COMPLEX(CX2_ESR,B270*CX2_ESL-1/(B270*CX2_C))),IMDIV("1",IMSUM(COMPLEX(DUMP2_R,0),COMPLEX(DUMP2_ESR,B270*DUMP2_ESL-1/(B270*DUMP2_C)))))</f>
        <v>0</v>
      </c>
      <c r="K270">
        <f>IMPRODUCT("2",IMDIV("1",IMSUM(IMDIV("1",COMPLEX(CMC_DCR,B270*CMC_L*(1-CMC_K))),COMPLEX(0,B270*CMC_CPA))))</f>
        <v>0</v>
      </c>
      <c r="L270">
        <f>IMSUM(COMPLEX(0,B270*CMC_CLINE),IMDIV("1",IMPRODUCT("2",COMPLEX(CY_ESR,B270*CY_ESL-1/(B270*CY_C)))),COMPLEX(1/DUMMY_R,0))</f>
        <v>0</v>
      </c>
      <c r="M270">
        <f>IMSUM(D270,IMDIV("1",C270))</f>
        <v>0</v>
      </c>
      <c r="N270">
        <f>IMDIV("1",IMSUM(E270,IMDIV("1",M270)))</f>
        <v>0</v>
      </c>
      <c r="O270">
        <f>IMSUM(F270,N270)</f>
        <v>0</v>
      </c>
      <c r="P270">
        <f>IMDIV("1",IMSUM(G270,IMDIV("1",O270)))</f>
        <v>0</v>
      </c>
      <c r="Q270">
        <f>IMSUM(H270,P270)</f>
        <v>0</v>
      </c>
      <c r="R270">
        <f>IMDIV("1",IMSUM(I270,IMDIV("1",Q270)))</f>
        <v>0</v>
      </c>
      <c r="S270">
        <f>IMSUM(J270,R270)</f>
        <v>0</v>
      </c>
      <c r="T270">
        <f>IMDIV("1",IMSUM(K270,IMDIV("1",S270)))</f>
        <v>0</v>
      </c>
      <c r="U270">
        <f>IMSUM(L270,T270)</f>
        <v>0</v>
      </c>
      <c r="V270">
        <f>IMDIV(COMPLEX(I_DM_SOURCE,0),U270)</f>
        <v>0</v>
      </c>
      <c r="W270">
        <f>IMPRODUCT(V270,T270)</f>
        <v>0</v>
      </c>
      <c r="X270">
        <f>IMDIV(W270,S270)</f>
        <v>0</v>
      </c>
      <c r="Y270">
        <f>IMPRODUCT(X270,R270)</f>
        <v>0</v>
      </c>
      <c r="Z270">
        <f>IMDIV(Y270,Q270)</f>
        <v>0</v>
      </c>
      <c r="AA270">
        <f>IMPRODUCT(Z270,P270)</f>
        <v>0</v>
      </c>
      <c r="AB270">
        <f>AA270</f>
        <v>0</v>
      </c>
      <c r="AC270">
        <f>IMPRODUCT("-1",AB270)</f>
        <v>0</v>
      </c>
      <c r="AD270">
        <f>IMDIV(IMSUB(AB270,AC270),"2")</f>
        <v>0</v>
      </c>
      <c r="AE270" s="6">
        <f>IMABS(AB270)</f>
        <v>0</v>
      </c>
      <c r="AF270" s="6">
        <f>IMABS(AC270)</f>
        <v>0</v>
      </c>
      <c r="AG270" s="6">
        <f>IMABS(AD270)</f>
        <v>0</v>
      </c>
      <c r="AH270" s="7">
        <f>20*LOG10(MAX(AE270,1E-300)*1E6)</f>
        <v>0</v>
      </c>
      <c r="AI270" s="7">
        <f>20*LOG10(MAX(AF270,1E-300)*1E6)</f>
        <v>0</v>
      </c>
      <c r="AJ270" s="7">
        <f>20*LOG10(MAX(AG270,1E-300)*1E6)</f>
        <v>0</v>
      </c>
      <c r="AK270" s="7">
        <f>DEGREES(IMARGUMENT(AB270))</f>
        <v>0</v>
      </c>
      <c r="AL270" s="7">
        <f>DEGREES(IMARGUMENT(AC270))</f>
        <v>0</v>
      </c>
      <c r="AM270" s="7">
        <f>DEGREES(IMARGUMENT(AD270))</f>
        <v>0</v>
      </c>
    </row>
    <row r="271" spans="1:39">
      <c r="A271" s="6">
        <f>10^(LOG10(F_START)+(ROW()-ROW($A$2))*(LOG10(F_STOP)-LOG10(F_START))/(N_POINTS-1))</f>
        <v>0</v>
      </c>
      <c r="B271" s="6">
        <f>2*PI()*A271</f>
        <v>0</v>
      </c>
      <c r="C271">
        <f>COMPLEX(2*LINE_PS_DCR,2*B271*LINE_PS_L)</f>
        <v>0</v>
      </c>
      <c r="D271">
        <f>IMSUM(COMPLEX(0,B271*(LINE_PS_CLINE+LINE_PS_CCHA/2)),IMDIV("1",IMPRODUCT("2",COMPLEX(C_THROUGH_ESR,B271*C_THROUGH_ESL-1/(B271*C_THROUGH_C)))))</f>
        <v>0</v>
      </c>
      <c r="E271">
        <f>COMPLEX(2*LINE_INPUT_DCR,2*B271*LINE_INPUT_L)</f>
        <v>0</v>
      </c>
      <c r="F271">
        <f>COMPLEX(0,B271*(LINE_INPUT_CLINE+LINE_INPUT_CCHA/2))</f>
        <v>0</v>
      </c>
      <c r="G271">
        <f>IMPRODUCT("2",IMDIV("1",IMSUM(IMDIV("1",COMPLEX(LDM1_DCR,B271*LDM1_L)),COMPLEX(0,B271*LDM1_CPA))))</f>
        <v>0</v>
      </c>
      <c r="H271">
        <f>IMSUM(IMDIV("1",COMPLEX(CX1_ESR,B271*CX1_ESL-1/(B271*CX1_C))),IMDIV("1",IMSUM(COMPLEX(DUMP1_R,0),COMPLEX(DUMP1_ESR,B271*DUMP1_ESL-1/(B271*DUMP1_C)))))</f>
        <v>0</v>
      </c>
      <c r="I271">
        <f>IMPRODUCT("2",IMDIV("1",IMSUM(IMDIV("1",COMPLEX(LDM2_DCR,B271*LDM2_L)),COMPLEX(0,B271*LDM2_CPA))))</f>
        <v>0</v>
      </c>
      <c r="J271">
        <f>IMSUM(IMDIV("1",COMPLEX(CX2_ESR,B271*CX2_ESL-1/(B271*CX2_C))),IMDIV("1",IMSUM(COMPLEX(DUMP2_R,0),COMPLEX(DUMP2_ESR,B271*DUMP2_ESL-1/(B271*DUMP2_C)))))</f>
        <v>0</v>
      </c>
      <c r="K271">
        <f>IMPRODUCT("2",IMDIV("1",IMSUM(IMDIV("1",COMPLEX(CMC_DCR,B271*CMC_L*(1-CMC_K))),COMPLEX(0,B271*CMC_CPA))))</f>
        <v>0</v>
      </c>
      <c r="L271">
        <f>IMSUM(COMPLEX(0,B271*CMC_CLINE),IMDIV("1",IMPRODUCT("2",COMPLEX(CY_ESR,B271*CY_ESL-1/(B271*CY_C)))),COMPLEX(1/DUMMY_R,0))</f>
        <v>0</v>
      </c>
      <c r="M271">
        <f>IMSUM(D271,IMDIV("1",C271))</f>
        <v>0</v>
      </c>
      <c r="N271">
        <f>IMDIV("1",IMSUM(E271,IMDIV("1",M271)))</f>
        <v>0</v>
      </c>
      <c r="O271">
        <f>IMSUM(F271,N271)</f>
        <v>0</v>
      </c>
      <c r="P271">
        <f>IMDIV("1",IMSUM(G271,IMDIV("1",O271)))</f>
        <v>0</v>
      </c>
      <c r="Q271">
        <f>IMSUM(H271,P271)</f>
        <v>0</v>
      </c>
      <c r="R271">
        <f>IMDIV("1",IMSUM(I271,IMDIV("1",Q271)))</f>
        <v>0</v>
      </c>
      <c r="S271">
        <f>IMSUM(J271,R271)</f>
        <v>0</v>
      </c>
      <c r="T271">
        <f>IMDIV("1",IMSUM(K271,IMDIV("1",S271)))</f>
        <v>0</v>
      </c>
      <c r="U271">
        <f>IMSUM(L271,T271)</f>
        <v>0</v>
      </c>
      <c r="V271">
        <f>IMDIV(COMPLEX(I_DM_SOURCE,0),U271)</f>
        <v>0</v>
      </c>
      <c r="W271">
        <f>IMPRODUCT(V271,T271)</f>
        <v>0</v>
      </c>
      <c r="X271">
        <f>IMDIV(W271,S271)</f>
        <v>0</v>
      </c>
      <c r="Y271">
        <f>IMPRODUCT(X271,R271)</f>
        <v>0</v>
      </c>
      <c r="Z271">
        <f>IMDIV(Y271,Q271)</f>
        <v>0</v>
      </c>
      <c r="AA271">
        <f>IMPRODUCT(Z271,P271)</f>
        <v>0</v>
      </c>
      <c r="AB271">
        <f>AA271</f>
        <v>0</v>
      </c>
      <c r="AC271">
        <f>IMPRODUCT("-1",AB271)</f>
        <v>0</v>
      </c>
      <c r="AD271">
        <f>IMDIV(IMSUB(AB271,AC271),"2")</f>
        <v>0</v>
      </c>
      <c r="AE271" s="6">
        <f>IMABS(AB271)</f>
        <v>0</v>
      </c>
      <c r="AF271" s="6">
        <f>IMABS(AC271)</f>
        <v>0</v>
      </c>
      <c r="AG271" s="6">
        <f>IMABS(AD271)</f>
        <v>0</v>
      </c>
      <c r="AH271" s="7">
        <f>20*LOG10(MAX(AE271,1E-300)*1E6)</f>
        <v>0</v>
      </c>
      <c r="AI271" s="7">
        <f>20*LOG10(MAX(AF271,1E-300)*1E6)</f>
        <v>0</v>
      </c>
      <c r="AJ271" s="7">
        <f>20*LOG10(MAX(AG271,1E-300)*1E6)</f>
        <v>0</v>
      </c>
      <c r="AK271" s="7">
        <f>DEGREES(IMARGUMENT(AB271))</f>
        <v>0</v>
      </c>
      <c r="AL271" s="7">
        <f>DEGREES(IMARGUMENT(AC271))</f>
        <v>0</v>
      </c>
      <c r="AM271" s="7">
        <f>DEGREES(IMARGUMENT(AD271))</f>
        <v>0</v>
      </c>
    </row>
    <row r="272" spans="1:39">
      <c r="A272" s="6">
        <f>10^(LOG10(F_START)+(ROW()-ROW($A$2))*(LOG10(F_STOP)-LOG10(F_START))/(N_POINTS-1))</f>
        <v>0</v>
      </c>
      <c r="B272" s="6">
        <f>2*PI()*A272</f>
        <v>0</v>
      </c>
      <c r="C272">
        <f>COMPLEX(2*LINE_PS_DCR,2*B272*LINE_PS_L)</f>
        <v>0</v>
      </c>
      <c r="D272">
        <f>IMSUM(COMPLEX(0,B272*(LINE_PS_CLINE+LINE_PS_CCHA/2)),IMDIV("1",IMPRODUCT("2",COMPLEX(C_THROUGH_ESR,B272*C_THROUGH_ESL-1/(B272*C_THROUGH_C)))))</f>
        <v>0</v>
      </c>
      <c r="E272">
        <f>COMPLEX(2*LINE_INPUT_DCR,2*B272*LINE_INPUT_L)</f>
        <v>0</v>
      </c>
      <c r="F272">
        <f>COMPLEX(0,B272*(LINE_INPUT_CLINE+LINE_INPUT_CCHA/2))</f>
        <v>0</v>
      </c>
      <c r="G272">
        <f>IMPRODUCT("2",IMDIV("1",IMSUM(IMDIV("1",COMPLEX(LDM1_DCR,B272*LDM1_L)),COMPLEX(0,B272*LDM1_CPA))))</f>
        <v>0</v>
      </c>
      <c r="H272">
        <f>IMSUM(IMDIV("1",COMPLEX(CX1_ESR,B272*CX1_ESL-1/(B272*CX1_C))),IMDIV("1",IMSUM(COMPLEX(DUMP1_R,0),COMPLEX(DUMP1_ESR,B272*DUMP1_ESL-1/(B272*DUMP1_C)))))</f>
        <v>0</v>
      </c>
      <c r="I272">
        <f>IMPRODUCT("2",IMDIV("1",IMSUM(IMDIV("1",COMPLEX(LDM2_DCR,B272*LDM2_L)),COMPLEX(0,B272*LDM2_CPA))))</f>
        <v>0</v>
      </c>
      <c r="J272">
        <f>IMSUM(IMDIV("1",COMPLEX(CX2_ESR,B272*CX2_ESL-1/(B272*CX2_C))),IMDIV("1",IMSUM(COMPLEX(DUMP2_R,0),COMPLEX(DUMP2_ESR,B272*DUMP2_ESL-1/(B272*DUMP2_C)))))</f>
        <v>0</v>
      </c>
      <c r="K272">
        <f>IMPRODUCT("2",IMDIV("1",IMSUM(IMDIV("1",COMPLEX(CMC_DCR,B272*CMC_L*(1-CMC_K))),COMPLEX(0,B272*CMC_CPA))))</f>
        <v>0</v>
      </c>
      <c r="L272">
        <f>IMSUM(COMPLEX(0,B272*CMC_CLINE),IMDIV("1",IMPRODUCT("2",COMPLEX(CY_ESR,B272*CY_ESL-1/(B272*CY_C)))),COMPLEX(1/DUMMY_R,0))</f>
        <v>0</v>
      </c>
      <c r="M272">
        <f>IMSUM(D272,IMDIV("1",C272))</f>
        <v>0</v>
      </c>
      <c r="N272">
        <f>IMDIV("1",IMSUM(E272,IMDIV("1",M272)))</f>
        <v>0</v>
      </c>
      <c r="O272">
        <f>IMSUM(F272,N272)</f>
        <v>0</v>
      </c>
      <c r="P272">
        <f>IMDIV("1",IMSUM(G272,IMDIV("1",O272)))</f>
        <v>0</v>
      </c>
      <c r="Q272">
        <f>IMSUM(H272,P272)</f>
        <v>0</v>
      </c>
      <c r="R272">
        <f>IMDIV("1",IMSUM(I272,IMDIV("1",Q272)))</f>
        <v>0</v>
      </c>
      <c r="S272">
        <f>IMSUM(J272,R272)</f>
        <v>0</v>
      </c>
      <c r="T272">
        <f>IMDIV("1",IMSUM(K272,IMDIV("1",S272)))</f>
        <v>0</v>
      </c>
      <c r="U272">
        <f>IMSUM(L272,T272)</f>
        <v>0</v>
      </c>
      <c r="V272">
        <f>IMDIV(COMPLEX(I_DM_SOURCE,0),U272)</f>
        <v>0</v>
      </c>
      <c r="W272">
        <f>IMPRODUCT(V272,T272)</f>
        <v>0</v>
      </c>
      <c r="X272">
        <f>IMDIV(W272,S272)</f>
        <v>0</v>
      </c>
      <c r="Y272">
        <f>IMPRODUCT(X272,R272)</f>
        <v>0</v>
      </c>
      <c r="Z272">
        <f>IMDIV(Y272,Q272)</f>
        <v>0</v>
      </c>
      <c r="AA272">
        <f>IMPRODUCT(Z272,P272)</f>
        <v>0</v>
      </c>
      <c r="AB272">
        <f>AA272</f>
        <v>0</v>
      </c>
      <c r="AC272">
        <f>IMPRODUCT("-1",AB272)</f>
        <v>0</v>
      </c>
      <c r="AD272">
        <f>IMDIV(IMSUB(AB272,AC272),"2")</f>
        <v>0</v>
      </c>
      <c r="AE272" s="6">
        <f>IMABS(AB272)</f>
        <v>0</v>
      </c>
      <c r="AF272" s="6">
        <f>IMABS(AC272)</f>
        <v>0</v>
      </c>
      <c r="AG272" s="6">
        <f>IMABS(AD272)</f>
        <v>0</v>
      </c>
      <c r="AH272" s="7">
        <f>20*LOG10(MAX(AE272,1E-300)*1E6)</f>
        <v>0</v>
      </c>
      <c r="AI272" s="7">
        <f>20*LOG10(MAX(AF272,1E-300)*1E6)</f>
        <v>0</v>
      </c>
      <c r="AJ272" s="7">
        <f>20*LOG10(MAX(AG272,1E-300)*1E6)</f>
        <v>0</v>
      </c>
      <c r="AK272" s="7">
        <f>DEGREES(IMARGUMENT(AB272))</f>
        <v>0</v>
      </c>
      <c r="AL272" s="7">
        <f>DEGREES(IMARGUMENT(AC272))</f>
        <v>0</v>
      </c>
      <c r="AM272" s="7">
        <f>DEGREES(IMARGUMENT(AD272))</f>
        <v>0</v>
      </c>
    </row>
    <row r="273" spans="1:39">
      <c r="A273" s="6">
        <f>10^(LOG10(F_START)+(ROW()-ROW($A$2))*(LOG10(F_STOP)-LOG10(F_START))/(N_POINTS-1))</f>
        <v>0</v>
      </c>
      <c r="B273" s="6">
        <f>2*PI()*A273</f>
        <v>0</v>
      </c>
      <c r="C273">
        <f>COMPLEX(2*LINE_PS_DCR,2*B273*LINE_PS_L)</f>
        <v>0</v>
      </c>
      <c r="D273">
        <f>IMSUM(COMPLEX(0,B273*(LINE_PS_CLINE+LINE_PS_CCHA/2)),IMDIV("1",IMPRODUCT("2",COMPLEX(C_THROUGH_ESR,B273*C_THROUGH_ESL-1/(B273*C_THROUGH_C)))))</f>
        <v>0</v>
      </c>
      <c r="E273">
        <f>COMPLEX(2*LINE_INPUT_DCR,2*B273*LINE_INPUT_L)</f>
        <v>0</v>
      </c>
      <c r="F273">
        <f>COMPLEX(0,B273*(LINE_INPUT_CLINE+LINE_INPUT_CCHA/2))</f>
        <v>0</v>
      </c>
      <c r="G273">
        <f>IMPRODUCT("2",IMDIV("1",IMSUM(IMDIV("1",COMPLEX(LDM1_DCR,B273*LDM1_L)),COMPLEX(0,B273*LDM1_CPA))))</f>
        <v>0</v>
      </c>
      <c r="H273">
        <f>IMSUM(IMDIV("1",COMPLEX(CX1_ESR,B273*CX1_ESL-1/(B273*CX1_C))),IMDIV("1",IMSUM(COMPLEX(DUMP1_R,0),COMPLEX(DUMP1_ESR,B273*DUMP1_ESL-1/(B273*DUMP1_C)))))</f>
        <v>0</v>
      </c>
      <c r="I273">
        <f>IMPRODUCT("2",IMDIV("1",IMSUM(IMDIV("1",COMPLEX(LDM2_DCR,B273*LDM2_L)),COMPLEX(0,B273*LDM2_CPA))))</f>
        <v>0</v>
      </c>
      <c r="J273">
        <f>IMSUM(IMDIV("1",COMPLEX(CX2_ESR,B273*CX2_ESL-1/(B273*CX2_C))),IMDIV("1",IMSUM(COMPLEX(DUMP2_R,0),COMPLEX(DUMP2_ESR,B273*DUMP2_ESL-1/(B273*DUMP2_C)))))</f>
        <v>0</v>
      </c>
      <c r="K273">
        <f>IMPRODUCT("2",IMDIV("1",IMSUM(IMDIV("1",COMPLEX(CMC_DCR,B273*CMC_L*(1-CMC_K))),COMPLEX(0,B273*CMC_CPA))))</f>
        <v>0</v>
      </c>
      <c r="L273">
        <f>IMSUM(COMPLEX(0,B273*CMC_CLINE),IMDIV("1",IMPRODUCT("2",COMPLEX(CY_ESR,B273*CY_ESL-1/(B273*CY_C)))),COMPLEX(1/DUMMY_R,0))</f>
        <v>0</v>
      </c>
      <c r="M273">
        <f>IMSUM(D273,IMDIV("1",C273))</f>
        <v>0</v>
      </c>
      <c r="N273">
        <f>IMDIV("1",IMSUM(E273,IMDIV("1",M273)))</f>
        <v>0</v>
      </c>
      <c r="O273">
        <f>IMSUM(F273,N273)</f>
        <v>0</v>
      </c>
      <c r="P273">
        <f>IMDIV("1",IMSUM(G273,IMDIV("1",O273)))</f>
        <v>0</v>
      </c>
      <c r="Q273">
        <f>IMSUM(H273,P273)</f>
        <v>0</v>
      </c>
      <c r="R273">
        <f>IMDIV("1",IMSUM(I273,IMDIV("1",Q273)))</f>
        <v>0</v>
      </c>
      <c r="S273">
        <f>IMSUM(J273,R273)</f>
        <v>0</v>
      </c>
      <c r="T273">
        <f>IMDIV("1",IMSUM(K273,IMDIV("1",S273)))</f>
        <v>0</v>
      </c>
      <c r="U273">
        <f>IMSUM(L273,T273)</f>
        <v>0</v>
      </c>
      <c r="V273">
        <f>IMDIV(COMPLEX(I_DM_SOURCE,0),U273)</f>
        <v>0</v>
      </c>
      <c r="W273">
        <f>IMPRODUCT(V273,T273)</f>
        <v>0</v>
      </c>
      <c r="X273">
        <f>IMDIV(W273,S273)</f>
        <v>0</v>
      </c>
      <c r="Y273">
        <f>IMPRODUCT(X273,R273)</f>
        <v>0</v>
      </c>
      <c r="Z273">
        <f>IMDIV(Y273,Q273)</f>
        <v>0</v>
      </c>
      <c r="AA273">
        <f>IMPRODUCT(Z273,P273)</f>
        <v>0</v>
      </c>
      <c r="AB273">
        <f>AA273</f>
        <v>0</v>
      </c>
      <c r="AC273">
        <f>IMPRODUCT("-1",AB273)</f>
        <v>0</v>
      </c>
      <c r="AD273">
        <f>IMDIV(IMSUB(AB273,AC273),"2")</f>
        <v>0</v>
      </c>
      <c r="AE273" s="6">
        <f>IMABS(AB273)</f>
        <v>0</v>
      </c>
      <c r="AF273" s="6">
        <f>IMABS(AC273)</f>
        <v>0</v>
      </c>
      <c r="AG273" s="6">
        <f>IMABS(AD273)</f>
        <v>0</v>
      </c>
      <c r="AH273" s="7">
        <f>20*LOG10(MAX(AE273,1E-300)*1E6)</f>
        <v>0</v>
      </c>
      <c r="AI273" s="7">
        <f>20*LOG10(MAX(AF273,1E-300)*1E6)</f>
        <v>0</v>
      </c>
      <c r="AJ273" s="7">
        <f>20*LOG10(MAX(AG273,1E-300)*1E6)</f>
        <v>0</v>
      </c>
      <c r="AK273" s="7">
        <f>DEGREES(IMARGUMENT(AB273))</f>
        <v>0</v>
      </c>
      <c r="AL273" s="7">
        <f>DEGREES(IMARGUMENT(AC273))</f>
        <v>0</v>
      </c>
      <c r="AM273" s="7">
        <f>DEGREES(IMARGUMENT(AD273))</f>
        <v>0</v>
      </c>
    </row>
    <row r="274" spans="1:39">
      <c r="A274" s="6">
        <f>10^(LOG10(F_START)+(ROW()-ROW($A$2))*(LOG10(F_STOP)-LOG10(F_START))/(N_POINTS-1))</f>
        <v>0</v>
      </c>
      <c r="B274" s="6">
        <f>2*PI()*A274</f>
        <v>0</v>
      </c>
      <c r="C274">
        <f>COMPLEX(2*LINE_PS_DCR,2*B274*LINE_PS_L)</f>
        <v>0</v>
      </c>
      <c r="D274">
        <f>IMSUM(COMPLEX(0,B274*(LINE_PS_CLINE+LINE_PS_CCHA/2)),IMDIV("1",IMPRODUCT("2",COMPLEX(C_THROUGH_ESR,B274*C_THROUGH_ESL-1/(B274*C_THROUGH_C)))))</f>
        <v>0</v>
      </c>
      <c r="E274">
        <f>COMPLEX(2*LINE_INPUT_DCR,2*B274*LINE_INPUT_L)</f>
        <v>0</v>
      </c>
      <c r="F274">
        <f>COMPLEX(0,B274*(LINE_INPUT_CLINE+LINE_INPUT_CCHA/2))</f>
        <v>0</v>
      </c>
      <c r="G274">
        <f>IMPRODUCT("2",IMDIV("1",IMSUM(IMDIV("1",COMPLEX(LDM1_DCR,B274*LDM1_L)),COMPLEX(0,B274*LDM1_CPA))))</f>
        <v>0</v>
      </c>
      <c r="H274">
        <f>IMSUM(IMDIV("1",COMPLEX(CX1_ESR,B274*CX1_ESL-1/(B274*CX1_C))),IMDIV("1",IMSUM(COMPLEX(DUMP1_R,0),COMPLEX(DUMP1_ESR,B274*DUMP1_ESL-1/(B274*DUMP1_C)))))</f>
        <v>0</v>
      </c>
      <c r="I274">
        <f>IMPRODUCT("2",IMDIV("1",IMSUM(IMDIV("1",COMPLEX(LDM2_DCR,B274*LDM2_L)),COMPLEX(0,B274*LDM2_CPA))))</f>
        <v>0</v>
      </c>
      <c r="J274">
        <f>IMSUM(IMDIV("1",COMPLEX(CX2_ESR,B274*CX2_ESL-1/(B274*CX2_C))),IMDIV("1",IMSUM(COMPLEX(DUMP2_R,0),COMPLEX(DUMP2_ESR,B274*DUMP2_ESL-1/(B274*DUMP2_C)))))</f>
        <v>0</v>
      </c>
      <c r="K274">
        <f>IMPRODUCT("2",IMDIV("1",IMSUM(IMDIV("1",COMPLEX(CMC_DCR,B274*CMC_L*(1-CMC_K))),COMPLEX(0,B274*CMC_CPA))))</f>
        <v>0</v>
      </c>
      <c r="L274">
        <f>IMSUM(COMPLEX(0,B274*CMC_CLINE),IMDIV("1",IMPRODUCT("2",COMPLEX(CY_ESR,B274*CY_ESL-1/(B274*CY_C)))),COMPLEX(1/DUMMY_R,0))</f>
        <v>0</v>
      </c>
      <c r="M274">
        <f>IMSUM(D274,IMDIV("1",C274))</f>
        <v>0</v>
      </c>
      <c r="N274">
        <f>IMDIV("1",IMSUM(E274,IMDIV("1",M274)))</f>
        <v>0</v>
      </c>
      <c r="O274">
        <f>IMSUM(F274,N274)</f>
        <v>0</v>
      </c>
      <c r="P274">
        <f>IMDIV("1",IMSUM(G274,IMDIV("1",O274)))</f>
        <v>0</v>
      </c>
      <c r="Q274">
        <f>IMSUM(H274,P274)</f>
        <v>0</v>
      </c>
      <c r="R274">
        <f>IMDIV("1",IMSUM(I274,IMDIV("1",Q274)))</f>
        <v>0</v>
      </c>
      <c r="S274">
        <f>IMSUM(J274,R274)</f>
        <v>0</v>
      </c>
      <c r="T274">
        <f>IMDIV("1",IMSUM(K274,IMDIV("1",S274)))</f>
        <v>0</v>
      </c>
      <c r="U274">
        <f>IMSUM(L274,T274)</f>
        <v>0</v>
      </c>
      <c r="V274">
        <f>IMDIV(COMPLEX(I_DM_SOURCE,0),U274)</f>
        <v>0</v>
      </c>
      <c r="W274">
        <f>IMPRODUCT(V274,T274)</f>
        <v>0</v>
      </c>
      <c r="X274">
        <f>IMDIV(W274,S274)</f>
        <v>0</v>
      </c>
      <c r="Y274">
        <f>IMPRODUCT(X274,R274)</f>
        <v>0</v>
      </c>
      <c r="Z274">
        <f>IMDIV(Y274,Q274)</f>
        <v>0</v>
      </c>
      <c r="AA274">
        <f>IMPRODUCT(Z274,P274)</f>
        <v>0</v>
      </c>
      <c r="AB274">
        <f>AA274</f>
        <v>0</v>
      </c>
      <c r="AC274">
        <f>IMPRODUCT("-1",AB274)</f>
        <v>0</v>
      </c>
      <c r="AD274">
        <f>IMDIV(IMSUB(AB274,AC274),"2")</f>
        <v>0</v>
      </c>
      <c r="AE274" s="6">
        <f>IMABS(AB274)</f>
        <v>0</v>
      </c>
      <c r="AF274" s="6">
        <f>IMABS(AC274)</f>
        <v>0</v>
      </c>
      <c r="AG274" s="6">
        <f>IMABS(AD274)</f>
        <v>0</v>
      </c>
      <c r="AH274" s="7">
        <f>20*LOG10(MAX(AE274,1E-300)*1E6)</f>
        <v>0</v>
      </c>
      <c r="AI274" s="7">
        <f>20*LOG10(MAX(AF274,1E-300)*1E6)</f>
        <v>0</v>
      </c>
      <c r="AJ274" s="7">
        <f>20*LOG10(MAX(AG274,1E-300)*1E6)</f>
        <v>0</v>
      </c>
      <c r="AK274" s="7">
        <f>DEGREES(IMARGUMENT(AB274))</f>
        <v>0</v>
      </c>
      <c r="AL274" s="7">
        <f>DEGREES(IMARGUMENT(AC274))</f>
        <v>0</v>
      </c>
      <c r="AM274" s="7">
        <f>DEGREES(IMARGUMENT(AD274))</f>
        <v>0</v>
      </c>
    </row>
    <row r="275" spans="1:39">
      <c r="A275" s="6">
        <f>10^(LOG10(F_START)+(ROW()-ROW($A$2))*(LOG10(F_STOP)-LOG10(F_START))/(N_POINTS-1))</f>
        <v>0</v>
      </c>
      <c r="B275" s="6">
        <f>2*PI()*A275</f>
        <v>0</v>
      </c>
      <c r="C275">
        <f>COMPLEX(2*LINE_PS_DCR,2*B275*LINE_PS_L)</f>
        <v>0</v>
      </c>
      <c r="D275">
        <f>IMSUM(COMPLEX(0,B275*(LINE_PS_CLINE+LINE_PS_CCHA/2)),IMDIV("1",IMPRODUCT("2",COMPLEX(C_THROUGH_ESR,B275*C_THROUGH_ESL-1/(B275*C_THROUGH_C)))))</f>
        <v>0</v>
      </c>
      <c r="E275">
        <f>COMPLEX(2*LINE_INPUT_DCR,2*B275*LINE_INPUT_L)</f>
        <v>0</v>
      </c>
      <c r="F275">
        <f>COMPLEX(0,B275*(LINE_INPUT_CLINE+LINE_INPUT_CCHA/2))</f>
        <v>0</v>
      </c>
      <c r="G275">
        <f>IMPRODUCT("2",IMDIV("1",IMSUM(IMDIV("1",COMPLEX(LDM1_DCR,B275*LDM1_L)),COMPLEX(0,B275*LDM1_CPA))))</f>
        <v>0</v>
      </c>
      <c r="H275">
        <f>IMSUM(IMDIV("1",COMPLEX(CX1_ESR,B275*CX1_ESL-1/(B275*CX1_C))),IMDIV("1",IMSUM(COMPLEX(DUMP1_R,0),COMPLEX(DUMP1_ESR,B275*DUMP1_ESL-1/(B275*DUMP1_C)))))</f>
        <v>0</v>
      </c>
      <c r="I275">
        <f>IMPRODUCT("2",IMDIV("1",IMSUM(IMDIV("1",COMPLEX(LDM2_DCR,B275*LDM2_L)),COMPLEX(0,B275*LDM2_CPA))))</f>
        <v>0</v>
      </c>
      <c r="J275">
        <f>IMSUM(IMDIV("1",COMPLEX(CX2_ESR,B275*CX2_ESL-1/(B275*CX2_C))),IMDIV("1",IMSUM(COMPLEX(DUMP2_R,0),COMPLEX(DUMP2_ESR,B275*DUMP2_ESL-1/(B275*DUMP2_C)))))</f>
        <v>0</v>
      </c>
      <c r="K275">
        <f>IMPRODUCT("2",IMDIV("1",IMSUM(IMDIV("1",COMPLEX(CMC_DCR,B275*CMC_L*(1-CMC_K))),COMPLEX(0,B275*CMC_CPA))))</f>
        <v>0</v>
      </c>
      <c r="L275">
        <f>IMSUM(COMPLEX(0,B275*CMC_CLINE),IMDIV("1",IMPRODUCT("2",COMPLEX(CY_ESR,B275*CY_ESL-1/(B275*CY_C)))),COMPLEX(1/DUMMY_R,0))</f>
        <v>0</v>
      </c>
      <c r="M275">
        <f>IMSUM(D275,IMDIV("1",C275))</f>
        <v>0</v>
      </c>
      <c r="N275">
        <f>IMDIV("1",IMSUM(E275,IMDIV("1",M275)))</f>
        <v>0</v>
      </c>
      <c r="O275">
        <f>IMSUM(F275,N275)</f>
        <v>0</v>
      </c>
      <c r="P275">
        <f>IMDIV("1",IMSUM(G275,IMDIV("1",O275)))</f>
        <v>0</v>
      </c>
      <c r="Q275">
        <f>IMSUM(H275,P275)</f>
        <v>0</v>
      </c>
      <c r="R275">
        <f>IMDIV("1",IMSUM(I275,IMDIV("1",Q275)))</f>
        <v>0</v>
      </c>
      <c r="S275">
        <f>IMSUM(J275,R275)</f>
        <v>0</v>
      </c>
      <c r="T275">
        <f>IMDIV("1",IMSUM(K275,IMDIV("1",S275)))</f>
        <v>0</v>
      </c>
      <c r="U275">
        <f>IMSUM(L275,T275)</f>
        <v>0</v>
      </c>
      <c r="V275">
        <f>IMDIV(COMPLEX(I_DM_SOURCE,0),U275)</f>
        <v>0</v>
      </c>
      <c r="W275">
        <f>IMPRODUCT(V275,T275)</f>
        <v>0</v>
      </c>
      <c r="X275">
        <f>IMDIV(W275,S275)</f>
        <v>0</v>
      </c>
      <c r="Y275">
        <f>IMPRODUCT(X275,R275)</f>
        <v>0</v>
      </c>
      <c r="Z275">
        <f>IMDIV(Y275,Q275)</f>
        <v>0</v>
      </c>
      <c r="AA275">
        <f>IMPRODUCT(Z275,P275)</f>
        <v>0</v>
      </c>
      <c r="AB275">
        <f>AA275</f>
        <v>0</v>
      </c>
      <c r="AC275">
        <f>IMPRODUCT("-1",AB275)</f>
        <v>0</v>
      </c>
      <c r="AD275">
        <f>IMDIV(IMSUB(AB275,AC275),"2")</f>
        <v>0</v>
      </c>
      <c r="AE275" s="6">
        <f>IMABS(AB275)</f>
        <v>0</v>
      </c>
      <c r="AF275" s="6">
        <f>IMABS(AC275)</f>
        <v>0</v>
      </c>
      <c r="AG275" s="6">
        <f>IMABS(AD275)</f>
        <v>0</v>
      </c>
      <c r="AH275" s="7">
        <f>20*LOG10(MAX(AE275,1E-300)*1E6)</f>
        <v>0</v>
      </c>
      <c r="AI275" s="7">
        <f>20*LOG10(MAX(AF275,1E-300)*1E6)</f>
        <v>0</v>
      </c>
      <c r="AJ275" s="7">
        <f>20*LOG10(MAX(AG275,1E-300)*1E6)</f>
        <v>0</v>
      </c>
      <c r="AK275" s="7">
        <f>DEGREES(IMARGUMENT(AB275))</f>
        <v>0</v>
      </c>
      <c r="AL275" s="7">
        <f>DEGREES(IMARGUMENT(AC275))</f>
        <v>0</v>
      </c>
      <c r="AM275" s="7">
        <f>DEGREES(IMARGUMENT(AD275))</f>
        <v>0</v>
      </c>
    </row>
    <row r="276" spans="1:39">
      <c r="A276" s="6">
        <f>10^(LOG10(F_START)+(ROW()-ROW($A$2))*(LOG10(F_STOP)-LOG10(F_START))/(N_POINTS-1))</f>
        <v>0</v>
      </c>
      <c r="B276" s="6">
        <f>2*PI()*A276</f>
        <v>0</v>
      </c>
      <c r="C276">
        <f>COMPLEX(2*LINE_PS_DCR,2*B276*LINE_PS_L)</f>
        <v>0</v>
      </c>
      <c r="D276">
        <f>IMSUM(COMPLEX(0,B276*(LINE_PS_CLINE+LINE_PS_CCHA/2)),IMDIV("1",IMPRODUCT("2",COMPLEX(C_THROUGH_ESR,B276*C_THROUGH_ESL-1/(B276*C_THROUGH_C)))))</f>
        <v>0</v>
      </c>
      <c r="E276">
        <f>COMPLEX(2*LINE_INPUT_DCR,2*B276*LINE_INPUT_L)</f>
        <v>0</v>
      </c>
      <c r="F276">
        <f>COMPLEX(0,B276*(LINE_INPUT_CLINE+LINE_INPUT_CCHA/2))</f>
        <v>0</v>
      </c>
      <c r="G276">
        <f>IMPRODUCT("2",IMDIV("1",IMSUM(IMDIV("1",COMPLEX(LDM1_DCR,B276*LDM1_L)),COMPLEX(0,B276*LDM1_CPA))))</f>
        <v>0</v>
      </c>
      <c r="H276">
        <f>IMSUM(IMDIV("1",COMPLEX(CX1_ESR,B276*CX1_ESL-1/(B276*CX1_C))),IMDIV("1",IMSUM(COMPLEX(DUMP1_R,0),COMPLEX(DUMP1_ESR,B276*DUMP1_ESL-1/(B276*DUMP1_C)))))</f>
        <v>0</v>
      </c>
      <c r="I276">
        <f>IMPRODUCT("2",IMDIV("1",IMSUM(IMDIV("1",COMPLEX(LDM2_DCR,B276*LDM2_L)),COMPLEX(0,B276*LDM2_CPA))))</f>
        <v>0</v>
      </c>
      <c r="J276">
        <f>IMSUM(IMDIV("1",COMPLEX(CX2_ESR,B276*CX2_ESL-1/(B276*CX2_C))),IMDIV("1",IMSUM(COMPLEX(DUMP2_R,0),COMPLEX(DUMP2_ESR,B276*DUMP2_ESL-1/(B276*DUMP2_C)))))</f>
        <v>0</v>
      </c>
      <c r="K276">
        <f>IMPRODUCT("2",IMDIV("1",IMSUM(IMDIV("1",COMPLEX(CMC_DCR,B276*CMC_L*(1-CMC_K))),COMPLEX(0,B276*CMC_CPA))))</f>
        <v>0</v>
      </c>
      <c r="L276">
        <f>IMSUM(COMPLEX(0,B276*CMC_CLINE),IMDIV("1",IMPRODUCT("2",COMPLEX(CY_ESR,B276*CY_ESL-1/(B276*CY_C)))),COMPLEX(1/DUMMY_R,0))</f>
        <v>0</v>
      </c>
      <c r="M276">
        <f>IMSUM(D276,IMDIV("1",C276))</f>
        <v>0</v>
      </c>
      <c r="N276">
        <f>IMDIV("1",IMSUM(E276,IMDIV("1",M276)))</f>
        <v>0</v>
      </c>
      <c r="O276">
        <f>IMSUM(F276,N276)</f>
        <v>0</v>
      </c>
      <c r="P276">
        <f>IMDIV("1",IMSUM(G276,IMDIV("1",O276)))</f>
        <v>0</v>
      </c>
      <c r="Q276">
        <f>IMSUM(H276,P276)</f>
        <v>0</v>
      </c>
      <c r="R276">
        <f>IMDIV("1",IMSUM(I276,IMDIV("1",Q276)))</f>
        <v>0</v>
      </c>
      <c r="S276">
        <f>IMSUM(J276,R276)</f>
        <v>0</v>
      </c>
      <c r="T276">
        <f>IMDIV("1",IMSUM(K276,IMDIV("1",S276)))</f>
        <v>0</v>
      </c>
      <c r="U276">
        <f>IMSUM(L276,T276)</f>
        <v>0</v>
      </c>
      <c r="V276">
        <f>IMDIV(COMPLEX(I_DM_SOURCE,0),U276)</f>
        <v>0</v>
      </c>
      <c r="W276">
        <f>IMPRODUCT(V276,T276)</f>
        <v>0</v>
      </c>
      <c r="X276">
        <f>IMDIV(W276,S276)</f>
        <v>0</v>
      </c>
      <c r="Y276">
        <f>IMPRODUCT(X276,R276)</f>
        <v>0</v>
      </c>
      <c r="Z276">
        <f>IMDIV(Y276,Q276)</f>
        <v>0</v>
      </c>
      <c r="AA276">
        <f>IMPRODUCT(Z276,P276)</f>
        <v>0</v>
      </c>
      <c r="AB276">
        <f>AA276</f>
        <v>0</v>
      </c>
      <c r="AC276">
        <f>IMPRODUCT("-1",AB276)</f>
        <v>0</v>
      </c>
      <c r="AD276">
        <f>IMDIV(IMSUB(AB276,AC276),"2")</f>
        <v>0</v>
      </c>
      <c r="AE276" s="6">
        <f>IMABS(AB276)</f>
        <v>0</v>
      </c>
      <c r="AF276" s="6">
        <f>IMABS(AC276)</f>
        <v>0</v>
      </c>
      <c r="AG276" s="6">
        <f>IMABS(AD276)</f>
        <v>0</v>
      </c>
      <c r="AH276" s="7">
        <f>20*LOG10(MAX(AE276,1E-300)*1E6)</f>
        <v>0</v>
      </c>
      <c r="AI276" s="7">
        <f>20*LOG10(MAX(AF276,1E-300)*1E6)</f>
        <v>0</v>
      </c>
      <c r="AJ276" s="7">
        <f>20*LOG10(MAX(AG276,1E-300)*1E6)</f>
        <v>0</v>
      </c>
      <c r="AK276" s="7">
        <f>DEGREES(IMARGUMENT(AB276))</f>
        <v>0</v>
      </c>
      <c r="AL276" s="7">
        <f>DEGREES(IMARGUMENT(AC276))</f>
        <v>0</v>
      </c>
      <c r="AM276" s="7">
        <f>DEGREES(IMARGUMENT(AD276))</f>
        <v>0</v>
      </c>
    </row>
    <row r="277" spans="1:39">
      <c r="A277" s="6">
        <f>10^(LOG10(F_START)+(ROW()-ROW($A$2))*(LOG10(F_STOP)-LOG10(F_START))/(N_POINTS-1))</f>
        <v>0</v>
      </c>
      <c r="B277" s="6">
        <f>2*PI()*A277</f>
        <v>0</v>
      </c>
      <c r="C277">
        <f>COMPLEX(2*LINE_PS_DCR,2*B277*LINE_PS_L)</f>
        <v>0</v>
      </c>
      <c r="D277">
        <f>IMSUM(COMPLEX(0,B277*(LINE_PS_CLINE+LINE_PS_CCHA/2)),IMDIV("1",IMPRODUCT("2",COMPLEX(C_THROUGH_ESR,B277*C_THROUGH_ESL-1/(B277*C_THROUGH_C)))))</f>
        <v>0</v>
      </c>
      <c r="E277">
        <f>COMPLEX(2*LINE_INPUT_DCR,2*B277*LINE_INPUT_L)</f>
        <v>0</v>
      </c>
      <c r="F277">
        <f>COMPLEX(0,B277*(LINE_INPUT_CLINE+LINE_INPUT_CCHA/2))</f>
        <v>0</v>
      </c>
      <c r="G277">
        <f>IMPRODUCT("2",IMDIV("1",IMSUM(IMDIV("1",COMPLEX(LDM1_DCR,B277*LDM1_L)),COMPLEX(0,B277*LDM1_CPA))))</f>
        <v>0</v>
      </c>
      <c r="H277">
        <f>IMSUM(IMDIV("1",COMPLEX(CX1_ESR,B277*CX1_ESL-1/(B277*CX1_C))),IMDIV("1",IMSUM(COMPLEX(DUMP1_R,0),COMPLEX(DUMP1_ESR,B277*DUMP1_ESL-1/(B277*DUMP1_C)))))</f>
        <v>0</v>
      </c>
      <c r="I277">
        <f>IMPRODUCT("2",IMDIV("1",IMSUM(IMDIV("1",COMPLEX(LDM2_DCR,B277*LDM2_L)),COMPLEX(0,B277*LDM2_CPA))))</f>
        <v>0</v>
      </c>
      <c r="J277">
        <f>IMSUM(IMDIV("1",COMPLEX(CX2_ESR,B277*CX2_ESL-1/(B277*CX2_C))),IMDIV("1",IMSUM(COMPLEX(DUMP2_R,0),COMPLEX(DUMP2_ESR,B277*DUMP2_ESL-1/(B277*DUMP2_C)))))</f>
        <v>0</v>
      </c>
      <c r="K277">
        <f>IMPRODUCT("2",IMDIV("1",IMSUM(IMDIV("1",COMPLEX(CMC_DCR,B277*CMC_L*(1-CMC_K))),COMPLEX(0,B277*CMC_CPA))))</f>
        <v>0</v>
      </c>
      <c r="L277">
        <f>IMSUM(COMPLEX(0,B277*CMC_CLINE),IMDIV("1",IMPRODUCT("2",COMPLEX(CY_ESR,B277*CY_ESL-1/(B277*CY_C)))),COMPLEX(1/DUMMY_R,0))</f>
        <v>0</v>
      </c>
      <c r="M277">
        <f>IMSUM(D277,IMDIV("1",C277))</f>
        <v>0</v>
      </c>
      <c r="N277">
        <f>IMDIV("1",IMSUM(E277,IMDIV("1",M277)))</f>
        <v>0</v>
      </c>
      <c r="O277">
        <f>IMSUM(F277,N277)</f>
        <v>0</v>
      </c>
      <c r="P277">
        <f>IMDIV("1",IMSUM(G277,IMDIV("1",O277)))</f>
        <v>0</v>
      </c>
      <c r="Q277">
        <f>IMSUM(H277,P277)</f>
        <v>0</v>
      </c>
      <c r="R277">
        <f>IMDIV("1",IMSUM(I277,IMDIV("1",Q277)))</f>
        <v>0</v>
      </c>
      <c r="S277">
        <f>IMSUM(J277,R277)</f>
        <v>0</v>
      </c>
      <c r="T277">
        <f>IMDIV("1",IMSUM(K277,IMDIV("1",S277)))</f>
        <v>0</v>
      </c>
      <c r="U277">
        <f>IMSUM(L277,T277)</f>
        <v>0</v>
      </c>
      <c r="V277">
        <f>IMDIV(COMPLEX(I_DM_SOURCE,0),U277)</f>
        <v>0</v>
      </c>
      <c r="W277">
        <f>IMPRODUCT(V277,T277)</f>
        <v>0</v>
      </c>
      <c r="X277">
        <f>IMDIV(W277,S277)</f>
        <v>0</v>
      </c>
      <c r="Y277">
        <f>IMPRODUCT(X277,R277)</f>
        <v>0</v>
      </c>
      <c r="Z277">
        <f>IMDIV(Y277,Q277)</f>
        <v>0</v>
      </c>
      <c r="AA277">
        <f>IMPRODUCT(Z277,P277)</f>
        <v>0</v>
      </c>
      <c r="AB277">
        <f>AA277</f>
        <v>0</v>
      </c>
      <c r="AC277">
        <f>IMPRODUCT("-1",AB277)</f>
        <v>0</v>
      </c>
      <c r="AD277">
        <f>IMDIV(IMSUB(AB277,AC277),"2")</f>
        <v>0</v>
      </c>
      <c r="AE277" s="6">
        <f>IMABS(AB277)</f>
        <v>0</v>
      </c>
      <c r="AF277" s="6">
        <f>IMABS(AC277)</f>
        <v>0</v>
      </c>
      <c r="AG277" s="6">
        <f>IMABS(AD277)</f>
        <v>0</v>
      </c>
      <c r="AH277" s="7">
        <f>20*LOG10(MAX(AE277,1E-300)*1E6)</f>
        <v>0</v>
      </c>
      <c r="AI277" s="7">
        <f>20*LOG10(MAX(AF277,1E-300)*1E6)</f>
        <v>0</v>
      </c>
      <c r="AJ277" s="7">
        <f>20*LOG10(MAX(AG277,1E-300)*1E6)</f>
        <v>0</v>
      </c>
      <c r="AK277" s="7">
        <f>DEGREES(IMARGUMENT(AB277))</f>
        <v>0</v>
      </c>
      <c r="AL277" s="7">
        <f>DEGREES(IMARGUMENT(AC277))</f>
        <v>0</v>
      </c>
      <c r="AM277" s="7">
        <f>DEGREES(IMARGUMENT(AD277))</f>
        <v>0</v>
      </c>
    </row>
    <row r="278" spans="1:39">
      <c r="A278" s="6">
        <f>10^(LOG10(F_START)+(ROW()-ROW($A$2))*(LOG10(F_STOP)-LOG10(F_START))/(N_POINTS-1))</f>
        <v>0</v>
      </c>
      <c r="B278" s="6">
        <f>2*PI()*A278</f>
        <v>0</v>
      </c>
      <c r="C278">
        <f>COMPLEX(2*LINE_PS_DCR,2*B278*LINE_PS_L)</f>
        <v>0</v>
      </c>
      <c r="D278">
        <f>IMSUM(COMPLEX(0,B278*(LINE_PS_CLINE+LINE_PS_CCHA/2)),IMDIV("1",IMPRODUCT("2",COMPLEX(C_THROUGH_ESR,B278*C_THROUGH_ESL-1/(B278*C_THROUGH_C)))))</f>
        <v>0</v>
      </c>
      <c r="E278">
        <f>COMPLEX(2*LINE_INPUT_DCR,2*B278*LINE_INPUT_L)</f>
        <v>0</v>
      </c>
      <c r="F278">
        <f>COMPLEX(0,B278*(LINE_INPUT_CLINE+LINE_INPUT_CCHA/2))</f>
        <v>0</v>
      </c>
      <c r="G278">
        <f>IMPRODUCT("2",IMDIV("1",IMSUM(IMDIV("1",COMPLEX(LDM1_DCR,B278*LDM1_L)),COMPLEX(0,B278*LDM1_CPA))))</f>
        <v>0</v>
      </c>
      <c r="H278">
        <f>IMSUM(IMDIV("1",COMPLEX(CX1_ESR,B278*CX1_ESL-1/(B278*CX1_C))),IMDIV("1",IMSUM(COMPLEX(DUMP1_R,0),COMPLEX(DUMP1_ESR,B278*DUMP1_ESL-1/(B278*DUMP1_C)))))</f>
        <v>0</v>
      </c>
      <c r="I278">
        <f>IMPRODUCT("2",IMDIV("1",IMSUM(IMDIV("1",COMPLEX(LDM2_DCR,B278*LDM2_L)),COMPLEX(0,B278*LDM2_CPA))))</f>
        <v>0</v>
      </c>
      <c r="J278">
        <f>IMSUM(IMDIV("1",COMPLEX(CX2_ESR,B278*CX2_ESL-1/(B278*CX2_C))),IMDIV("1",IMSUM(COMPLEX(DUMP2_R,0),COMPLEX(DUMP2_ESR,B278*DUMP2_ESL-1/(B278*DUMP2_C)))))</f>
        <v>0</v>
      </c>
      <c r="K278">
        <f>IMPRODUCT("2",IMDIV("1",IMSUM(IMDIV("1",COMPLEX(CMC_DCR,B278*CMC_L*(1-CMC_K))),COMPLEX(0,B278*CMC_CPA))))</f>
        <v>0</v>
      </c>
      <c r="L278">
        <f>IMSUM(COMPLEX(0,B278*CMC_CLINE),IMDIV("1",IMPRODUCT("2",COMPLEX(CY_ESR,B278*CY_ESL-1/(B278*CY_C)))),COMPLEX(1/DUMMY_R,0))</f>
        <v>0</v>
      </c>
      <c r="M278">
        <f>IMSUM(D278,IMDIV("1",C278))</f>
        <v>0</v>
      </c>
      <c r="N278">
        <f>IMDIV("1",IMSUM(E278,IMDIV("1",M278)))</f>
        <v>0</v>
      </c>
      <c r="O278">
        <f>IMSUM(F278,N278)</f>
        <v>0</v>
      </c>
      <c r="P278">
        <f>IMDIV("1",IMSUM(G278,IMDIV("1",O278)))</f>
        <v>0</v>
      </c>
      <c r="Q278">
        <f>IMSUM(H278,P278)</f>
        <v>0</v>
      </c>
      <c r="R278">
        <f>IMDIV("1",IMSUM(I278,IMDIV("1",Q278)))</f>
        <v>0</v>
      </c>
      <c r="S278">
        <f>IMSUM(J278,R278)</f>
        <v>0</v>
      </c>
      <c r="T278">
        <f>IMDIV("1",IMSUM(K278,IMDIV("1",S278)))</f>
        <v>0</v>
      </c>
      <c r="U278">
        <f>IMSUM(L278,T278)</f>
        <v>0</v>
      </c>
      <c r="V278">
        <f>IMDIV(COMPLEX(I_DM_SOURCE,0),U278)</f>
        <v>0</v>
      </c>
      <c r="W278">
        <f>IMPRODUCT(V278,T278)</f>
        <v>0</v>
      </c>
      <c r="X278">
        <f>IMDIV(W278,S278)</f>
        <v>0</v>
      </c>
      <c r="Y278">
        <f>IMPRODUCT(X278,R278)</f>
        <v>0</v>
      </c>
      <c r="Z278">
        <f>IMDIV(Y278,Q278)</f>
        <v>0</v>
      </c>
      <c r="AA278">
        <f>IMPRODUCT(Z278,P278)</f>
        <v>0</v>
      </c>
      <c r="AB278">
        <f>AA278</f>
        <v>0</v>
      </c>
      <c r="AC278">
        <f>IMPRODUCT("-1",AB278)</f>
        <v>0</v>
      </c>
      <c r="AD278">
        <f>IMDIV(IMSUB(AB278,AC278),"2")</f>
        <v>0</v>
      </c>
      <c r="AE278" s="6">
        <f>IMABS(AB278)</f>
        <v>0</v>
      </c>
      <c r="AF278" s="6">
        <f>IMABS(AC278)</f>
        <v>0</v>
      </c>
      <c r="AG278" s="6">
        <f>IMABS(AD278)</f>
        <v>0</v>
      </c>
      <c r="AH278" s="7">
        <f>20*LOG10(MAX(AE278,1E-300)*1E6)</f>
        <v>0</v>
      </c>
      <c r="AI278" s="7">
        <f>20*LOG10(MAX(AF278,1E-300)*1E6)</f>
        <v>0</v>
      </c>
      <c r="AJ278" s="7">
        <f>20*LOG10(MAX(AG278,1E-300)*1E6)</f>
        <v>0</v>
      </c>
      <c r="AK278" s="7">
        <f>DEGREES(IMARGUMENT(AB278))</f>
        <v>0</v>
      </c>
      <c r="AL278" s="7">
        <f>DEGREES(IMARGUMENT(AC278))</f>
        <v>0</v>
      </c>
      <c r="AM278" s="7">
        <f>DEGREES(IMARGUMENT(AD278))</f>
        <v>0</v>
      </c>
    </row>
    <row r="279" spans="1:39">
      <c r="A279" s="6">
        <f>10^(LOG10(F_START)+(ROW()-ROW($A$2))*(LOG10(F_STOP)-LOG10(F_START))/(N_POINTS-1))</f>
        <v>0</v>
      </c>
      <c r="B279" s="6">
        <f>2*PI()*A279</f>
        <v>0</v>
      </c>
      <c r="C279">
        <f>COMPLEX(2*LINE_PS_DCR,2*B279*LINE_PS_L)</f>
        <v>0</v>
      </c>
      <c r="D279">
        <f>IMSUM(COMPLEX(0,B279*(LINE_PS_CLINE+LINE_PS_CCHA/2)),IMDIV("1",IMPRODUCT("2",COMPLEX(C_THROUGH_ESR,B279*C_THROUGH_ESL-1/(B279*C_THROUGH_C)))))</f>
        <v>0</v>
      </c>
      <c r="E279">
        <f>COMPLEX(2*LINE_INPUT_DCR,2*B279*LINE_INPUT_L)</f>
        <v>0</v>
      </c>
      <c r="F279">
        <f>COMPLEX(0,B279*(LINE_INPUT_CLINE+LINE_INPUT_CCHA/2))</f>
        <v>0</v>
      </c>
      <c r="G279">
        <f>IMPRODUCT("2",IMDIV("1",IMSUM(IMDIV("1",COMPLEX(LDM1_DCR,B279*LDM1_L)),COMPLEX(0,B279*LDM1_CPA))))</f>
        <v>0</v>
      </c>
      <c r="H279">
        <f>IMSUM(IMDIV("1",COMPLEX(CX1_ESR,B279*CX1_ESL-1/(B279*CX1_C))),IMDIV("1",IMSUM(COMPLEX(DUMP1_R,0),COMPLEX(DUMP1_ESR,B279*DUMP1_ESL-1/(B279*DUMP1_C)))))</f>
        <v>0</v>
      </c>
      <c r="I279">
        <f>IMPRODUCT("2",IMDIV("1",IMSUM(IMDIV("1",COMPLEX(LDM2_DCR,B279*LDM2_L)),COMPLEX(0,B279*LDM2_CPA))))</f>
        <v>0</v>
      </c>
      <c r="J279">
        <f>IMSUM(IMDIV("1",COMPLEX(CX2_ESR,B279*CX2_ESL-1/(B279*CX2_C))),IMDIV("1",IMSUM(COMPLEX(DUMP2_R,0),COMPLEX(DUMP2_ESR,B279*DUMP2_ESL-1/(B279*DUMP2_C)))))</f>
        <v>0</v>
      </c>
      <c r="K279">
        <f>IMPRODUCT("2",IMDIV("1",IMSUM(IMDIV("1",COMPLEX(CMC_DCR,B279*CMC_L*(1-CMC_K))),COMPLEX(0,B279*CMC_CPA))))</f>
        <v>0</v>
      </c>
      <c r="L279">
        <f>IMSUM(COMPLEX(0,B279*CMC_CLINE),IMDIV("1",IMPRODUCT("2",COMPLEX(CY_ESR,B279*CY_ESL-1/(B279*CY_C)))),COMPLEX(1/DUMMY_R,0))</f>
        <v>0</v>
      </c>
      <c r="M279">
        <f>IMSUM(D279,IMDIV("1",C279))</f>
        <v>0</v>
      </c>
      <c r="N279">
        <f>IMDIV("1",IMSUM(E279,IMDIV("1",M279)))</f>
        <v>0</v>
      </c>
      <c r="O279">
        <f>IMSUM(F279,N279)</f>
        <v>0</v>
      </c>
      <c r="P279">
        <f>IMDIV("1",IMSUM(G279,IMDIV("1",O279)))</f>
        <v>0</v>
      </c>
      <c r="Q279">
        <f>IMSUM(H279,P279)</f>
        <v>0</v>
      </c>
      <c r="R279">
        <f>IMDIV("1",IMSUM(I279,IMDIV("1",Q279)))</f>
        <v>0</v>
      </c>
      <c r="S279">
        <f>IMSUM(J279,R279)</f>
        <v>0</v>
      </c>
      <c r="T279">
        <f>IMDIV("1",IMSUM(K279,IMDIV("1",S279)))</f>
        <v>0</v>
      </c>
      <c r="U279">
        <f>IMSUM(L279,T279)</f>
        <v>0</v>
      </c>
      <c r="V279">
        <f>IMDIV(COMPLEX(I_DM_SOURCE,0),U279)</f>
        <v>0</v>
      </c>
      <c r="W279">
        <f>IMPRODUCT(V279,T279)</f>
        <v>0</v>
      </c>
      <c r="X279">
        <f>IMDIV(W279,S279)</f>
        <v>0</v>
      </c>
      <c r="Y279">
        <f>IMPRODUCT(X279,R279)</f>
        <v>0</v>
      </c>
      <c r="Z279">
        <f>IMDIV(Y279,Q279)</f>
        <v>0</v>
      </c>
      <c r="AA279">
        <f>IMPRODUCT(Z279,P279)</f>
        <v>0</v>
      </c>
      <c r="AB279">
        <f>AA279</f>
        <v>0</v>
      </c>
      <c r="AC279">
        <f>IMPRODUCT("-1",AB279)</f>
        <v>0</v>
      </c>
      <c r="AD279">
        <f>IMDIV(IMSUB(AB279,AC279),"2")</f>
        <v>0</v>
      </c>
      <c r="AE279" s="6">
        <f>IMABS(AB279)</f>
        <v>0</v>
      </c>
      <c r="AF279" s="6">
        <f>IMABS(AC279)</f>
        <v>0</v>
      </c>
      <c r="AG279" s="6">
        <f>IMABS(AD279)</f>
        <v>0</v>
      </c>
      <c r="AH279" s="7">
        <f>20*LOG10(MAX(AE279,1E-300)*1E6)</f>
        <v>0</v>
      </c>
      <c r="AI279" s="7">
        <f>20*LOG10(MAX(AF279,1E-300)*1E6)</f>
        <v>0</v>
      </c>
      <c r="AJ279" s="7">
        <f>20*LOG10(MAX(AG279,1E-300)*1E6)</f>
        <v>0</v>
      </c>
      <c r="AK279" s="7">
        <f>DEGREES(IMARGUMENT(AB279))</f>
        <v>0</v>
      </c>
      <c r="AL279" s="7">
        <f>DEGREES(IMARGUMENT(AC279))</f>
        <v>0</v>
      </c>
      <c r="AM279" s="7">
        <f>DEGREES(IMARGUMENT(AD279))</f>
        <v>0</v>
      </c>
    </row>
    <row r="280" spans="1:39">
      <c r="A280" s="6">
        <f>10^(LOG10(F_START)+(ROW()-ROW($A$2))*(LOG10(F_STOP)-LOG10(F_START))/(N_POINTS-1))</f>
        <v>0</v>
      </c>
      <c r="B280" s="6">
        <f>2*PI()*A280</f>
        <v>0</v>
      </c>
      <c r="C280">
        <f>COMPLEX(2*LINE_PS_DCR,2*B280*LINE_PS_L)</f>
        <v>0</v>
      </c>
      <c r="D280">
        <f>IMSUM(COMPLEX(0,B280*(LINE_PS_CLINE+LINE_PS_CCHA/2)),IMDIV("1",IMPRODUCT("2",COMPLEX(C_THROUGH_ESR,B280*C_THROUGH_ESL-1/(B280*C_THROUGH_C)))))</f>
        <v>0</v>
      </c>
      <c r="E280">
        <f>COMPLEX(2*LINE_INPUT_DCR,2*B280*LINE_INPUT_L)</f>
        <v>0</v>
      </c>
      <c r="F280">
        <f>COMPLEX(0,B280*(LINE_INPUT_CLINE+LINE_INPUT_CCHA/2))</f>
        <v>0</v>
      </c>
      <c r="G280">
        <f>IMPRODUCT("2",IMDIV("1",IMSUM(IMDIV("1",COMPLEX(LDM1_DCR,B280*LDM1_L)),COMPLEX(0,B280*LDM1_CPA))))</f>
        <v>0</v>
      </c>
      <c r="H280">
        <f>IMSUM(IMDIV("1",COMPLEX(CX1_ESR,B280*CX1_ESL-1/(B280*CX1_C))),IMDIV("1",IMSUM(COMPLEX(DUMP1_R,0),COMPLEX(DUMP1_ESR,B280*DUMP1_ESL-1/(B280*DUMP1_C)))))</f>
        <v>0</v>
      </c>
      <c r="I280">
        <f>IMPRODUCT("2",IMDIV("1",IMSUM(IMDIV("1",COMPLEX(LDM2_DCR,B280*LDM2_L)),COMPLEX(0,B280*LDM2_CPA))))</f>
        <v>0</v>
      </c>
      <c r="J280">
        <f>IMSUM(IMDIV("1",COMPLEX(CX2_ESR,B280*CX2_ESL-1/(B280*CX2_C))),IMDIV("1",IMSUM(COMPLEX(DUMP2_R,0),COMPLEX(DUMP2_ESR,B280*DUMP2_ESL-1/(B280*DUMP2_C)))))</f>
        <v>0</v>
      </c>
      <c r="K280">
        <f>IMPRODUCT("2",IMDIV("1",IMSUM(IMDIV("1",COMPLEX(CMC_DCR,B280*CMC_L*(1-CMC_K))),COMPLEX(0,B280*CMC_CPA))))</f>
        <v>0</v>
      </c>
      <c r="L280">
        <f>IMSUM(COMPLEX(0,B280*CMC_CLINE),IMDIV("1",IMPRODUCT("2",COMPLEX(CY_ESR,B280*CY_ESL-1/(B280*CY_C)))),COMPLEX(1/DUMMY_R,0))</f>
        <v>0</v>
      </c>
      <c r="M280">
        <f>IMSUM(D280,IMDIV("1",C280))</f>
        <v>0</v>
      </c>
      <c r="N280">
        <f>IMDIV("1",IMSUM(E280,IMDIV("1",M280)))</f>
        <v>0</v>
      </c>
      <c r="O280">
        <f>IMSUM(F280,N280)</f>
        <v>0</v>
      </c>
      <c r="P280">
        <f>IMDIV("1",IMSUM(G280,IMDIV("1",O280)))</f>
        <v>0</v>
      </c>
      <c r="Q280">
        <f>IMSUM(H280,P280)</f>
        <v>0</v>
      </c>
      <c r="R280">
        <f>IMDIV("1",IMSUM(I280,IMDIV("1",Q280)))</f>
        <v>0</v>
      </c>
      <c r="S280">
        <f>IMSUM(J280,R280)</f>
        <v>0</v>
      </c>
      <c r="T280">
        <f>IMDIV("1",IMSUM(K280,IMDIV("1",S280)))</f>
        <v>0</v>
      </c>
      <c r="U280">
        <f>IMSUM(L280,T280)</f>
        <v>0</v>
      </c>
      <c r="V280">
        <f>IMDIV(COMPLEX(I_DM_SOURCE,0),U280)</f>
        <v>0</v>
      </c>
      <c r="W280">
        <f>IMPRODUCT(V280,T280)</f>
        <v>0</v>
      </c>
      <c r="X280">
        <f>IMDIV(W280,S280)</f>
        <v>0</v>
      </c>
      <c r="Y280">
        <f>IMPRODUCT(X280,R280)</f>
        <v>0</v>
      </c>
      <c r="Z280">
        <f>IMDIV(Y280,Q280)</f>
        <v>0</v>
      </c>
      <c r="AA280">
        <f>IMPRODUCT(Z280,P280)</f>
        <v>0</v>
      </c>
      <c r="AB280">
        <f>AA280</f>
        <v>0</v>
      </c>
      <c r="AC280">
        <f>IMPRODUCT("-1",AB280)</f>
        <v>0</v>
      </c>
      <c r="AD280">
        <f>IMDIV(IMSUB(AB280,AC280),"2")</f>
        <v>0</v>
      </c>
      <c r="AE280" s="6">
        <f>IMABS(AB280)</f>
        <v>0</v>
      </c>
      <c r="AF280" s="6">
        <f>IMABS(AC280)</f>
        <v>0</v>
      </c>
      <c r="AG280" s="6">
        <f>IMABS(AD280)</f>
        <v>0</v>
      </c>
      <c r="AH280" s="7">
        <f>20*LOG10(MAX(AE280,1E-300)*1E6)</f>
        <v>0</v>
      </c>
      <c r="AI280" s="7">
        <f>20*LOG10(MAX(AF280,1E-300)*1E6)</f>
        <v>0</v>
      </c>
      <c r="AJ280" s="7">
        <f>20*LOG10(MAX(AG280,1E-300)*1E6)</f>
        <v>0</v>
      </c>
      <c r="AK280" s="7">
        <f>DEGREES(IMARGUMENT(AB280))</f>
        <v>0</v>
      </c>
      <c r="AL280" s="7">
        <f>DEGREES(IMARGUMENT(AC280))</f>
        <v>0</v>
      </c>
      <c r="AM280" s="7">
        <f>DEGREES(IMARGUMENT(AD280))</f>
        <v>0</v>
      </c>
    </row>
    <row r="281" spans="1:39">
      <c r="A281" s="6">
        <f>10^(LOG10(F_START)+(ROW()-ROW($A$2))*(LOG10(F_STOP)-LOG10(F_START))/(N_POINTS-1))</f>
        <v>0</v>
      </c>
      <c r="B281" s="6">
        <f>2*PI()*A281</f>
        <v>0</v>
      </c>
      <c r="C281">
        <f>COMPLEX(2*LINE_PS_DCR,2*B281*LINE_PS_L)</f>
        <v>0</v>
      </c>
      <c r="D281">
        <f>IMSUM(COMPLEX(0,B281*(LINE_PS_CLINE+LINE_PS_CCHA/2)),IMDIV("1",IMPRODUCT("2",COMPLEX(C_THROUGH_ESR,B281*C_THROUGH_ESL-1/(B281*C_THROUGH_C)))))</f>
        <v>0</v>
      </c>
      <c r="E281">
        <f>COMPLEX(2*LINE_INPUT_DCR,2*B281*LINE_INPUT_L)</f>
        <v>0</v>
      </c>
      <c r="F281">
        <f>COMPLEX(0,B281*(LINE_INPUT_CLINE+LINE_INPUT_CCHA/2))</f>
        <v>0</v>
      </c>
      <c r="G281">
        <f>IMPRODUCT("2",IMDIV("1",IMSUM(IMDIV("1",COMPLEX(LDM1_DCR,B281*LDM1_L)),COMPLEX(0,B281*LDM1_CPA))))</f>
        <v>0</v>
      </c>
      <c r="H281">
        <f>IMSUM(IMDIV("1",COMPLEX(CX1_ESR,B281*CX1_ESL-1/(B281*CX1_C))),IMDIV("1",IMSUM(COMPLEX(DUMP1_R,0),COMPLEX(DUMP1_ESR,B281*DUMP1_ESL-1/(B281*DUMP1_C)))))</f>
        <v>0</v>
      </c>
      <c r="I281">
        <f>IMPRODUCT("2",IMDIV("1",IMSUM(IMDIV("1",COMPLEX(LDM2_DCR,B281*LDM2_L)),COMPLEX(0,B281*LDM2_CPA))))</f>
        <v>0</v>
      </c>
      <c r="J281">
        <f>IMSUM(IMDIV("1",COMPLEX(CX2_ESR,B281*CX2_ESL-1/(B281*CX2_C))),IMDIV("1",IMSUM(COMPLEX(DUMP2_R,0),COMPLEX(DUMP2_ESR,B281*DUMP2_ESL-1/(B281*DUMP2_C)))))</f>
        <v>0</v>
      </c>
      <c r="K281">
        <f>IMPRODUCT("2",IMDIV("1",IMSUM(IMDIV("1",COMPLEX(CMC_DCR,B281*CMC_L*(1-CMC_K))),COMPLEX(0,B281*CMC_CPA))))</f>
        <v>0</v>
      </c>
      <c r="L281">
        <f>IMSUM(COMPLEX(0,B281*CMC_CLINE),IMDIV("1",IMPRODUCT("2",COMPLEX(CY_ESR,B281*CY_ESL-1/(B281*CY_C)))),COMPLEX(1/DUMMY_R,0))</f>
        <v>0</v>
      </c>
      <c r="M281">
        <f>IMSUM(D281,IMDIV("1",C281))</f>
        <v>0</v>
      </c>
      <c r="N281">
        <f>IMDIV("1",IMSUM(E281,IMDIV("1",M281)))</f>
        <v>0</v>
      </c>
      <c r="O281">
        <f>IMSUM(F281,N281)</f>
        <v>0</v>
      </c>
      <c r="P281">
        <f>IMDIV("1",IMSUM(G281,IMDIV("1",O281)))</f>
        <v>0</v>
      </c>
      <c r="Q281">
        <f>IMSUM(H281,P281)</f>
        <v>0</v>
      </c>
      <c r="R281">
        <f>IMDIV("1",IMSUM(I281,IMDIV("1",Q281)))</f>
        <v>0</v>
      </c>
      <c r="S281">
        <f>IMSUM(J281,R281)</f>
        <v>0</v>
      </c>
      <c r="T281">
        <f>IMDIV("1",IMSUM(K281,IMDIV("1",S281)))</f>
        <v>0</v>
      </c>
      <c r="U281">
        <f>IMSUM(L281,T281)</f>
        <v>0</v>
      </c>
      <c r="V281">
        <f>IMDIV(COMPLEX(I_DM_SOURCE,0),U281)</f>
        <v>0</v>
      </c>
      <c r="W281">
        <f>IMPRODUCT(V281,T281)</f>
        <v>0</v>
      </c>
      <c r="X281">
        <f>IMDIV(W281,S281)</f>
        <v>0</v>
      </c>
      <c r="Y281">
        <f>IMPRODUCT(X281,R281)</f>
        <v>0</v>
      </c>
      <c r="Z281">
        <f>IMDIV(Y281,Q281)</f>
        <v>0</v>
      </c>
      <c r="AA281">
        <f>IMPRODUCT(Z281,P281)</f>
        <v>0</v>
      </c>
      <c r="AB281">
        <f>AA281</f>
        <v>0</v>
      </c>
      <c r="AC281">
        <f>IMPRODUCT("-1",AB281)</f>
        <v>0</v>
      </c>
      <c r="AD281">
        <f>IMDIV(IMSUB(AB281,AC281),"2")</f>
        <v>0</v>
      </c>
      <c r="AE281" s="6">
        <f>IMABS(AB281)</f>
        <v>0</v>
      </c>
      <c r="AF281" s="6">
        <f>IMABS(AC281)</f>
        <v>0</v>
      </c>
      <c r="AG281" s="6">
        <f>IMABS(AD281)</f>
        <v>0</v>
      </c>
      <c r="AH281" s="7">
        <f>20*LOG10(MAX(AE281,1E-300)*1E6)</f>
        <v>0</v>
      </c>
      <c r="AI281" s="7">
        <f>20*LOG10(MAX(AF281,1E-300)*1E6)</f>
        <v>0</v>
      </c>
      <c r="AJ281" s="7">
        <f>20*LOG10(MAX(AG281,1E-300)*1E6)</f>
        <v>0</v>
      </c>
      <c r="AK281" s="7">
        <f>DEGREES(IMARGUMENT(AB281))</f>
        <v>0</v>
      </c>
      <c r="AL281" s="7">
        <f>DEGREES(IMARGUMENT(AC281))</f>
        <v>0</v>
      </c>
      <c r="AM281" s="7">
        <f>DEGREES(IMARGUMENT(AD281))</f>
        <v>0</v>
      </c>
    </row>
    <row r="282" spans="1:39">
      <c r="A282" s="6">
        <f>10^(LOG10(F_START)+(ROW()-ROW($A$2))*(LOG10(F_STOP)-LOG10(F_START))/(N_POINTS-1))</f>
        <v>0</v>
      </c>
      <c r="B282" s="6">
        <f>2*PI()*A282</f>
        <v>0</v>
      </c>
      <c r="C282">
        <f>COMPLEX(2*LINE_PS_DCR,2*B282*LINE_PS_L)</f>
        <v>0</v>
      </c>
      <c r="D282">
        <f>IMSUM(COMPLEX(0,B282*(LINE_PS_CLINE+LINE_PS_CCHA/2)),IMDIV("1",IMPRODUCT("2",COMPLEX(C_THROUGH_ESR,B282*C_THROUGH_ESL-1/(B282*C_THROUGH_C)))))</f>
        <v>0</v>
      </c>
      <c r="E282">
        <f>COMPLEX(2*LINE_INPUT_DCR,2*B282*LINE_INPUT_L)</f>
        <v>0</v>
      </c>
      <c r="F282">
        <f>COMPLEX(0,B282*(LINE_INPUT_CLINE+LINE_INPUT_CCHA/2))</f>
        <v>0</v>
      </c>
      <c r="G282">
        <f>IMPRODUCT("2",IMDIV("1",IMSUM(IMDIV("1",COMPLEX(LDM1_DCR,B282*LDM1_L)),COMPLEX(0,B282*LDM1_CPA))))</f>
        <v>0</v>
      </c>
      <c r="H282">
        <f>IMSUM(IMDIV("1",COMPLEX(CX1_ESR,B282*CX1_ESL-1/(B282*CX1_C))),IMDIV("1",IMSUM(COMPLEX(DUMP1_R,0),COMPLEX(DUMP1_ESR,B282*DUMP1_ESL-1/(B282*DUMP1_C)))))</f>
        <v>0</v>
      </c>
      <c r="I282">
        <f>IMPRODUCT("2",IMDIV("1",IMSUM(IMDIV("1",COMPLEX(LDM2_DCR,B282*LDM2_L)),COMPLEX(0,B282*LDM2_CPA))))</f>
        <v>0</v>
      </c>
      <c r="J282">
        <f>IMSUM(IMDIV("1",COMPLEX(CX2_ESR,B282*CX2_ESL-1/(B282*CX2_C))),IMDIV("1",IMSUM(COMPLEX(DUMP2_R,0),COMPLEX(DUMP2_ESR,B282*DUMP2_ESL-1/(B282*DUMP2_C)))))</f>
        <v>0</v>
      </c>
      <c r="K282">
        <f>IMPRODUCT("2",IMDIV("1",IMSUM(IMDIV("1",COMPLEX(CMC_DCR,B282*CMC_L*(1-CMC_K))),COMPLEX(0,B282*CMC_CPA))))</f>
        <v>0</v>
      </c>
      <c r="L282">
        <f>IMSUM(COMPLEX(0,B282*CMC_CLINE),IMDIV("1",IMPRODUCT("2",COMPLEX(CY_ESR,B282*CY_ESL-1/(B282*CY_C)))),COMPLEX(1/DUMMY_R,0))</f>
        <v>0</v>
      </c>
      <c r="M282">
        <f>IMSUM(D282,IMDIV("1",C282))</f>
        <v>0</v>
      </c>
      <c r="N282">
        <f>IMDIV("1",IMSUM(E282,IMDIV("1",M282)))</f>
        <v>0</v>
      </c>
      <c r="O282">
        <f>IMSUM(F282,N282)</f>
        <v>0</v>
      </c>
      <c r="P282">
        <f>IMDIV("1",IMSUM(G282,IMDIV("1",O282)))</f>
        <v>0</v>
      </c>
      <c r="Q282">
        <f>IMSUM(H282,P282)</f>
        <v>0</v>
      </c>
      <c r="R282">
        <f>IMDIV("1",IMSUM(I282,IMDIV("1",Q282)))</f>
        <v>0</v>
      </c>
      <c r="S282">
        <f>IMSUM(J282,R282)</f>
        <v>0</v>
      </c>
      <c r="T282">
        <f>IMDIV("1",IMSUM(K282,IMDIV("1",S282)))</f>
        <v>0</v>
      </c>
      <c r="U282">
        <f>IMSUM(L282,T282)</f>
        <v>0</v>
      </c>
      <c r="V282">
        <f>IMDIV(COMPLEX(I_DM_SOURCE,0),U282)</f>
        <v>0</v>
      </c>
      <c r="W282">
        <f>IMPRODUCT(V282,T282)</f>
        <v>0</v>
      </c>
      <c r="X282">
        <f>IMDIV(W282,S282)</f>
        <v>0</v>
      </c>
      <c r="Y282">
        <f>IMPRODUCT(X282,R282)</f>
        <v>0</v>
      </c>
      <c r="Z282">
        <f>IMDIV(Y282,Q282)</f>
        <v>0</v>
      </c>
      <c r="AA282">
        <f>IMPRODUCT(Z282,P282)</f>
        <v>0</v>
      </c>
      <c r="AB282">
        <f>AA282</f>
        <v>0</v>
      </c>
      <c r="AC282">
        <f>IMPRODUCT("-1",AB282)</f>
        <v>0</v>
      </c>
      <c r="AD282">
        <f>IMDIV(IMSUB(AB282,AC282),"2")</f>
        <v>0</v>
      </c>
      <c r="AE282" s="6">
        <f>IMABS(AB282)</f>
        <v>0</v>
      </c>
      <c r="AF282" s="6">
        <f>IMABS(AC282)</f>
        <v>0</v>
      </c>
      <c r="AG282" s="6">
        <f>IMABS(AD282)</f>
        <v>0</v>
      </c>
      <c r="AH282" s="7">
        <f>20*LOG10(MAX(AE282,1E-300)*1E6)</f>
        <v>0</v>
      </c>
      <c r="AI282" s="7">
        <f>20*LOG10(MAX(AF282,1E-300)*1E6)</f>
        <v>0</v>
      </c>
      <c r="AJ282" s="7">
        <f>20*LOG10(MAX(AG282,1E-300)*1E6)</f>
        <v>0</v>
      </c>
      <c r="AK282" s="7">
        <f>DEGREES(IMARGUMENT(AB282))</f>
        <v>0</v>
      </c>
      <c r="AL282" s="7">
        <f>DEGREES(IMARGUMENT(AC282))</f>
        <v>0</v>
      </c>
      <c r="AM282" s="7">
        <f>DEGREES(IMARGUMENT(AD282))</f>
        <v>0</v>
      </c>
    </row>
    <row r="283" spans="1:39">
      <c r="A283" s="6">
        <f>10^(LOG10(F_START)+(ROW()-ROW($A$2))*(LOG10(F_STOP)-LOG10(F_START))/(N_POINTS-1))</f>
        <v>0</v>
      </c>
      <c r="B283" s="6">
        <f>2*PI()*A283</f>
        <v>0</v>
      </c>
      <c r="C283">
        <f>COMPLEX(2*LINE_PS_DCR,2*B283*LINE_PS_L)</f>
        <v>0</v>
      </c>
      <c r="D283">
        <f>IMSUM(COMPLEX(0,B283*(LINE_PS_CLINE+LINE_PS_CCHA/2)),IMDIV("1",IMPRODUCT("2",COMPLEX(C_THROUGH_ESR,B283*C_THROUGH_ESL-1/(B283*C_THROUGH_C)))))</f>
        <v>0</v>
      </c>
      <c r="E283">
        <f>COMPLEX(2*LINE_INPUT_DCR,2*B283*LINE_INPUT_L)</f>
        <v>0</v>
      </c>
      <c r="F283">
        <f>COMPLEX(0,B283*(LINE_INPUT_CLINE+LINE_INPUT_CCHA/2))</f>
        <v>0</v>
      </c>
      <c r="G283">
        <f>IMPRODUCT("2",IMDIV("1",IMSUM(IMDIV("1",COMPLEX(LDM1_DCR,B283*LDM1_L)),COMPLEX(0,B283*LDM1_CPA))))</f>
        <v>0</v>
      </c>
      <c r="H283">
        <f>IMSUM(IMDIV("1",COMPLEX(CX1_ESR,B283*CX1_ESL-1/(B283*CX1_C))),IMDIV("1",IMSUM(COMPLEX(DUMP1_R,0),COMPLEX(DUMP1_ESR,B283*DUMP1_ESL-1/(B283*DUMP1_C)))))</f>
        <v>0</v>
      </c>
      <c r="I283">
        <f>IMPRODUCT("2",IMDIV("1",IMSUM(IMDIV("1",COMPLEX(LDM2_DCR,B283*LDM2_L)),COMPLEX(0,B283*LDM2_CPA))))</f>
        <v>0</v>
      </c>
      <c r="J283">
        <f>IMSUM(IMDIV("1",COMPLEX(CX2_ESR,B283*CX2_ESL-1/(B283*CX2_C))),IMDIV("1",IMSUM(COMPLEX(DUMP2_R,0),COMPLEX(DUMP2_ESR,B283*DUMP2_ESL-1/(B283*DUMP2_C)))))</f>
        <v>0</v>
      </c>
      <c r="K283">
        <f>IMPRODUCT("2",IMDIV("1",IMSUM(IMDIV("1",COMPLEX(CMC_DCR,B283*CMC_L*(1-CMC_K))),COMPLEX(0,B283*CMC_CPA))))</f>
        <v>0</v>
      </c>
      <c r="L283">
        <f>IMSUM(COMPLEX(0,B283*CMC_CLINE),IMDIV("1",IMPRODUCT("2",COMPLEX(CY_ESR,B283*CY_ESL-1/(B283*CY_C)))),COMPLEX(1/DUMMY_R,0))</f>
        <v>0</v>
      </c>
      <c r="M283">
        <f>IMSUM(D283,IMDIV("1",C283))</f>
        <v>0</v>
      </c>
      <c r="N283">
        <f>IMDIV("1",IMSUM(E283,IMDIV("1",M283)))</f>
        <v>0</v>
      </c>
      <c r="O283">
        <f>IMSUM(F283,N283)</f>
        <v>0</v>
      </c>
      <c r="P283">
        <f>IMDIV("1",IMSUM(G283,IMDIV("1",O283)))</f>
        <v>0</v>
      </c>
      <c r="Q283">
        <f>IMSUM(H283,P283)</f>
        <v>0</v>
      </c>
      <c r="R283">
        <f>IMDIV("1",IMSUM(I283,IMDIV("1",Q283)))</f>
        <v>0</v>
      </c>
      <c r="S283">
        <f>IMSUM(J283,R283)</f>
        <v>0</v>
      </c>
      <c r="T283">
        <f>IMDIV("1",IMSUM(K283,IMDIV("1",S283)))</f>
        <v>0</v>
      </c>
      <c r="U283">
        <f>IMSUM(L283,T283)</f>
        <v>0</v>
      </c>
      <c r="V283">
        <f>IMDIV(COMPLEX(I_DM_SOURCE,0),U283)</f>
        <v>0</v>
      </c>
      <c r="W283">
        <f>IMPRODUCT(V283,T283)</f>
        <v>0</v>
      </c>
      <c r="X283">
        <f>IMDIV(W283,S283)</f>
        <v>0</v>
      </c>
      <c r="Y283">
        <f>IMPRODUCT(X283,R283)</f>
        <v>0</v>
      </c>
      <c r="Z283">
        <f>IMDIV(Y283,Q283)</f>
        <v>0</v>
      </c>
      <c r="AA283">
        <f>IMPRODUCT(Z283,P283)</f>
        <v>0</v>
      </c>
      <c r="AB283">
        <f>AA283</f>
        <v>0</v>
      </c>
      <c r="AC283">
        <f>IMPRODUCT("-1",AB283)</f>
        <v>0</v>
      </c>
      <c r="AD283">
        <f>IMDIV(IMSUB(AB283,AC283),"2")</f>
        <v>0</v>
      </c>
      <c r="AE283" s="6">
        <f>IMABS(AB283)</f>
        <v>0</v>
      </c>
      <c r="AF283" s="6">
        <f>IMABS(AC283)</f>
        <v>0</v>
      </c>
      <c r="AG283" s="6">
        <f>IMABS(AD283)</f>
        <v>0</v>
      </c>
      <c r="AH283" s="7">
        <f>20*LOG10(MAX(AE283,1E-300)*1E6)</f>
        <v>0</v>
      </c>
      <c r="AI283" s="7">
        <f>20*LOG10(MAX(AF283,1E-300)*1E6)</f>
        <v>0</v>
      </c>
      <c r="AJ283" s="7">
        <f>20*LOG10(MAX(AG283,1E-300)*1E6)</f>
        <v>0</v>
      </c>
      <c r="AK283" s="7">
        <f>DEGREES(IMARGUMENT(AB283))</f>
        <v>0</v>
      </c>
      <c r="AL283" s="7">
        <f>DEGREES(IMARGUMENT(AC283))</f>
        <v>0</v>
      </c>
      <c r="AM283" s="7">
        <f>DEGREES(IMARGUMENT(AD283))</f>
        <v>0</v>
      </c>
    </row>
    <row r="284" spans="1:39">
      <c r="A284" s="6">
        <f>10^(LOG10(F_START)+(ROW()-ROW($A$2))*(LOG10(F_STOP)-LOG10(F_START))/(N_POINTS-1))</f>
        <v>0</v>
      </c>
      <c r="B284" s="6">
        <f>2*PI()*A284</f>
        <v>0</v>
      </c>
      <c r="C284">
        <f>COMPLEX(2*LINE_PS_DCR,2*B284*LINE_PS_L)</f>
        <v>0</v>
      </c>
      <c r="D284">
        <f>IMSUM(COMPLEX(0,B284*(LINE_PS_CLINE+LINE_PS_CCHA/2)),IMDIV("1",IMPRODUCT("2",COMPLEX(C_THROUGH_ESR,B284*C_THROUGH_ESL-1/(B284*C_THROUGH_C)))))</f>
        <v>0</v>
      </c>
      <c r="E284">
        <f>COMPLEX(2*LINE_INPUT_DCR,2*B284*LINE_INPUT_L)</f>
        <v>0</v>
      </c>
      <c r="F284">
        <f>COMPLEX(0,B284*(LINE_INPUT_CLINE+LINE_INPUT_CCHA/2))</f>
        <v>0</v>
      </c>
      <c r="G284">
        <f>IMPRODUCT("2",IMDIV("1",IMSUM(IMDIV("1",COMPLEX(LDM1_DCR,B284*LDM1_L)),COMPLEX(0,B284*LDM1_CPA))))</f>
        <v>0</v>
      </c>
      <c r="H284">
        <f>IMSUM(IMDIV("1",COMPLEX(CX1_ESR,B284*CX1_ESL-1/(B284*CX1_C))),IMDIV("1",IMSUM(COMPLEX(DUMP1_R,0),COMPLEX(DUMP1_ESR,B284*DUMP1_ESL-1/(B284*DUMP1_C)))))</f>
        <v>0</v>
      </c>
      <c r="I284">
        <f>IMPRODUCT("2",IMDIV("1",IMSUM(IMDIV("1",COMPLEX(LDM2_DCR,B284*LDM2_L)),COMPLEX(0,B284*LDM2_CPA))))</f>
        <v>0</v>
      </c>
      <c r="J284">
        <f>IMSUM(IMDIV("1",COMPLEX(CX2_ESR,B284*CX2_ESL-1/(B284*CX2_C))),IMDIV("1",IMSUM(COMPLEX(DUMP2_R,0),COMPLEX(DUMP2_ESR,B284*DUMP2_ESL-1/(B284*DUMP2_C)))))</f>
        <v>0</v>
      </c>
      <c r="K284">
        <f>IMPRODUCT("2",IMDIV("1",IMSUM(IMDIV("1",COMPLEX(CMC_DCR,B284*CMC_L*(1-CMC_K))),COMPLEX(0,B284*CMC_CPA))))</f>
        <v>0</v>
      </c>
      <c r="L284">
        <f>IMSUM(COMPLEX(0,B284*CMC_CLINE),IMDIV("1",IMPRODUCT("2",COMPLEX(CY_ESR,B284*CY_ESL-1/(B284*CY_C)))),COMPLEX(1/DUMMY_R,0))</f>
        <v>0</v>
      </c>
      <c r="M284">
        <f>IMSUM(D284,IMDIV("1",C284))</f>
        <v>0</v>
      </c>
      <c r="N284">
        <f>IMDIV("1",IMSUM(E284,IMDIV("1",M284)))</f>
        <v>0</v>
      </c>
      <c r="O284">
        <f>IMSUM(F284,N284)</f>
        <v>0</v>
      </c>
      <c r="P284">
        <f>IMDIV("1",IMSUM(G284,IMDIV("1",O284)))</f>
        <v>0</v>
      </c>
      <c r="Q284">
        <f>IMSUM(H284,P284)</f>
        <v>0</v>
      </c>
      <c r="R284">
        <f>IMDIV("1",IMSUM(I284,IMDIV("1",Q284)))</f>
        <v>0</v>
      </c>
      <c r="S284">
        <f>IMSUM(J284,R284)</f>
        <v>0</v>
      </c>
      <c r="T284">
        <f>IMDIV("1",IMSUM(K284,IMDIV("1",S284)))</f>
        <v>0</v>
      </c>
      <c r="U284">
        <f>IMSUM(L284,T284)</f>
        <v>0</v>
      </c>
      <c r="V284">
        <f>IMDIV(COMPLEX(I_DM_SOURCE,0),U284)</f>
        <v>0</v>
      </c>
      <c r="W284">
        <f>IMPRODUCT(V284,T284)</f>
        <v>0</v>
      </c>
      <c r="X284">
        <f>IMDIV(W284,S284)</f>
        <v>0</v>
      </c>
      <c r="Y284">
        <f>IMPRODUCT(X284,R284)</f>
        <v>0</v>
      </c>
      <c r="Z284">
        <f>IMDIV(Y284,Q284)</f>
        <v>0</v>
      </c>
      <c r="AA284">
        <f>IMPRODUCT(Z284,P284)</f>
        <v>0</v>
      </c>
      <c r="AB284">
        <f>AA284</f>
        <v>0</v>
      </c>
      <c r="AC284">
        <f>IMPRODUCT("-1",AB284)</f>
        <v>0</v>
      </c>
      <c r="AD284">
        <f>IMDIV(IMSUB(AB284,AC284),"2")</f>
        <v>0</v>
      </c>
      <c r="AE284" s="6">
        <f>IMABS(AB284)</f>
        <v>0</v>
      </c>
      <c r="AF284" s="6">
        <f>IMABS(AC284)</f>
        <v>0</v>
      </c>
      <c r="AG284" s="6">
        <f>IMABS(AD284)</f>
        <v>0</v>
      </c>
      <c r="AH284" s="7">
        <f>20*LOG10(MAX(AE284,1E-300)*1E6)</f>
        <v>0</v>
      </c>
      <c r="AI284" s="7">
        <f>20*LOG10(MAX(AF284,1E-300)*1E6)</f>
        <v>0</v>
      </c>
      <c r="AJ284" s="7">
        <f>20*LOG10(MAX(AG284,1E-300)*1E6)</f>
        <v>0</v>
      </c>
      <c r="AK284" s="7">
        <f>DEGREES(IMARGUMENT(AB284))</f>
        <v>0</v>
      </c>
      <c r="AL284" s="7">
        <f>DEGREES(IMARGUMENT(AC284))</f>
        <v>0</v>
      </c>
      <c r="AM284" s="7">
        <f>DEGREES(IMARGUMENT(AD284))</f>
        <v>0</v>
      </c>
    </row>
    <row r="285" spans="1:39">
      <c r="A285" s="6">
        <f>10^(LOG10(F_START)+(ROW()-ROW($A$2))*(LOG10(F_STOP)-LOG10(F_START))/(N_POINTS-1))</f>
        <v>0</v>
      </c>
      <c r="B285" s="6">
        <f>2*PI()*A285</f>
        <v>0</v>
      </c>
      <c r="C285">
        <f>COMPLEX(2*LINE_PS_DCR,2*B285*LINE_PS_L)</f>
        <v>0</v>
      </c>
      <c r="D285">
        <f>IMSUM(COMPLEX(0,B285*(LINE_PS_CLINE+LINE_PS_CCHA/2)),IMDIV("1",IMPRODUCT("2",COMPLEX(C_THROUGH_ESR,B285*C_THROUGH_ESL-1/(B285*C_THROUGH_C)))))</f>
        <v>0</v>
      </c>
      <c r="E285">
        <f>COMPLEX(2*LINE_INPUT_DCR,2*B285*LINE_INPUT_L)</f>
        <v>0</v>
      </c>
      <c r="F285">
        <f>COMPLEX(0,B285*(LINE_INPUT_CLINE+LINE_INPUT_CCHA/2))</f>
        <v>0</v>
      </c>
      <c r="G285">
        <f>IMPRODUCT("2",IMDIV("1",IMSUM(IMDIV("1",COMPLEX(LDM1_DCR,B285*LDM1_L)),COMPLEX(0,B285*LDM1_CPA))))</f>
        <v>0</v>
      </c>
      <c r="H285">
        <f>IMSUM(IMDIV("1",COMPLEX(CX1_ESR,B285*CX1_ESL-1/(B285*CX1_C))),IMDIV("1",IMSUM(COMPLEX(DUMP1_R,0),COMPLEX(DUMP1_ESR,B285*DUMP1_ESL-1/(B285*DUMP1_C)))))</f>
        <v>0</v>
      </c>
      <c r="I285">
        <f>IMPRODUCT("2",IMDIV("1",IMSUM(IMDIV("1",COMPLEX(LDM2_DCR,B285*LDM2_L)),COMPLEX(0,B285*LDM2_CPA))))</f>
        <v>0</v>
      </c>
      <c r="J285">
        <f>IMSUM(IMDIV("1",COMPLEX(CX2_ESR,B285*CX2_ESL-1/(B285*CX2_C))),IMDIV("1",IMSUM(COMPLEX(DUMP2_R,0),COMPLEX(DUMP2_ESR,B285*DUMP2_ESL-1/(B285*DUMP2_C)))))</f>
        <v>0</v>
      </c>
      <c r="K285">
        <f>IMPRODUCT("2",IMDIV("1",IMSUM(IMDIV("1",COMPLEX(CMC_DCR,B285*CMC_L*(1-CMC_K))),COMPLEX(0,B285*CMC_CPA))))</f>
        <v>0</v>
      </c>
      <c r="L285">
        <f>IMSUM(COMPLEX(0,B285*CMC_CLINE),IMDIV("1",IMPRODUCT("2",COMPLEX(CY_ESR,B285*CY_ESL-1/(B285*CY_C)))),COMPLEX(1/DUMMY_R,0))</f>
        <v>0</v>
      </c>
      <c r="M285">
        <f>IMSUM(D285,IMDIV("1",C285))</f>
        <v>0</v>
      </c>
      <c r="N285">
        <f>IMDIV("1",IMSUM(E285,IMDIV("1",M285)))</f>
        <v>0</v>
      </c>
      <c r="O285">
        <f>IMSUM(F285,N285)</f>
        <v>0</v>
      </c>
      <c r="P285">
        <f>IMDIV("1",IMSUM(G285,IMDIV("1",O285)))</f>
        <v>0</v>
      </c>
      <c r="Q285">
        <f>IMSUM(H285,P285)</f>
        <v>0</v>
      </c>
      <c r="R285">
        <f>IMDIV("1",IMSUM(I285,IMDIV("1",Q285)))</f>
        <v>0</v>
      </c>
      <c r="S285">
        <f>IMSUM(J285,R285)</f>
        <v>0</v>
      </c>
      <c r="T285">
        <f>IMDIV("1",IMSUM(K285,IMDIV("1",S285)))</f>
        <v>0</v>
      </c>
      <c r="U285">
        <f>IMSUM(L285,T285)</f>
        <v>0</v>
      </c>
      <c r="V285">
        <f>IMDIV(COMPLEX(I_DM_SOURCE,0),U285)</f>
        <v>0</v>
      </c>
      <c r="W285">
        <f>IMPRODUCT(V285,T285)</f>
        <v>0</v>
      </c>
      <c r="X285">
        <f>IMDIV(W285,S285)</f>
        <v>0</v>
      </c>
      <c r="Y285">
        <f>IMPRODUCT(X285,R285)</f>
        <v>0</v>
      </c>
      <c r="Z285">
        <f>IMDIV(Y285,Q285)</f>
        <v>0</v>
      </c>
      <c r="AA285">
        <f>IMPRODUCT(Z285,P285)</f>
        <v>0</v>
      </c>
      <c r="AB285">
        <f>AA285</f>
        <v>0</v>
      </c>
      <c r="AC285">
        <f>IMPRODUCT("-1",AB285)</f>
        <v>0</v>
      </c>
      <c r="AD285">
        <f>IMDIV(IMSUB(AB285,AC285),"2")</f>
        <v>0</v>
      </c>
      <c r="AE285" s="6">
        <f>IMABS(AB285)</f>
        <v>0</v>
      </c>
      <c r="AF285" s="6">
        <f>IMABS(AC285)</f>
        <v>0</v>
      </c>
      <c r="AG285" s="6">
        <f>IMABS(AD285)</f>
        <v>0</v>
      </c>
      <c r="AH285" s="7">
        <f>20*LOG10(MAX(AE285,1E-300)*1E6)</f>
        <v>0</v>
      </c>
      <c r="AI285" s="7">
        <f>20*LOG10(MAX(AF285,1E-300)*1E6)</f>
        <v>0</v>
      </c>
      <c r="AJ285" s="7">
        <f>20*LOG10(MAX(AG285,1E-300)*1E6)</f>
        <v>0</v>
      </c>
      <c r="AK285" s="7">
        <f>DEGREES(IMARGUMENT(AB285))</f>
        <v>0</v>
      </c>
      <c r="AL285" s="7">
        <f>DEGREES(IMARGUMENT(AC285))</f>
        <v>0</v>
      </c>
      <c r="AM285" s="7">
        <f>DEGREES(IMARGUMENT(AD285))</f>
        <v>0</v>
      </c>
    </row>
    <row r="286" spans="1:39">
      <c r="A286" s="6">
        <f>10^(LOG10(F_START)+(ROW()-ROW($A$2))*(LOG10(F_STOP)-LOG10(F_START))/(N_POINTS-1))</f>
        <v>0</v>
      </c>
      <c r="B286" s="6">
        <f>2*PI()*A286</f>
        <v>0</v>
      </c>
      <c r="C286">
        <f>COMPLEX(2*LINE_PS_DCR,2*B286*LINE_PS_L)</f>
        <v>0</v>
      </c>
      <c r="D286">
        <f>IMSUM(COMPLEX(0,B286*(LINE_PS_CLINE+LINE_PS_CCHA/2)),IMDIV("1",IMPRODUCT("2",COMPLEX(C_THROUGH_ESR,B286*C_THROUGH_ESL-1/(B286*C_THROUGH_C)))))</f>
        <v>0</v>
      </c>
      <c r="E286">
        <f>COMPLEX(2*LINE_INPUT_DCR,2*B286*LINE_INPUT_L)</f>
        <v>0</v>
      </c>
      <c r="F286">
        <f>COMPLEX(0,B286*(LINE_INPUT_CLINE+LINE_INPUT_CCHA/2))</f>
        <v>0</v>
      </c>
      <c r="G286">
        <f>IMPRODUCT("2",IMDIV("1",IMSUM(IMDIV("1",COMPLEX(LDM1_DCR,B286*LDM1_L)),COMPLEX(0,B286*LDM1_CPA))))</f>
        <v>0</v>
      </c>
      <c r="H286">
        <f>IMSUM(IMDIV("1",COMPLEX(CX1_ESR,B286*CX1_ESL-1/(B286*CX1_C))),IMDIV("1",IMSUM(COMPLEX(DUMP1_R,0),COMPLEX(DUMP1_ESR,B286*DUMP1_ESL-1/(B286*DUMP1_C)))))</f>
        <v>0</v>
      </c>
      <c r="I286">
        <f>IMPRODUCT("2",IMDIV("1",IMSUM(IMDIV("1",COMPLEX(LDM2_DCR,B286*LDM2_L)),COMPLEX(0,B286*LDM2_CPA))))</f>
        <v>0</v>
      </c>
      <c r="J286">
        <f>IMSUM(IMDIV("1",COMPLEX(CX2_ESR,B286*CX2_ESL-1/(B286*CX2_C))),IMDIV("1",IMSUM(COMPLEX(DUMP2_R,0),COMPLEX(DUMP2_ESR,B286*DUMP2_ESL-1/(B286*DUMP2_C)))))</f>
        <v>0</v>
      </c>
      <c r="K286">
        <f>IMPRODUCT("2",IMDIV("1",IMSUM(IMDIV("1",COMPLEX(CMC_DCR,B286*CMC_L*(1-CMC_K))),COMPLEX(0,B286*CMC_CPA))))</f>
        <v>0</v>
      </c>
      <c r="L286">
        <f>IMSUM(COMPLEX(0,B286*CMC_CLINE),IMDIV("1",IMPRODUCT("2",COMPLEX(CY_ESR,B286*CY_ESL-1/(B286*CY_C)))),COMPLEX(1/DUMMY_R,0))</f>
        <v>0</v>
      </c>
      <c r="M286">
        <f>IMSUM(D286,IMDIV("1",C286))</f>
        <v>0</v>
      </c>
      <c r="N286">
        <f>IMDIV("1",IMSUM(E286,IMDIV("1",M286)))</f>
        <v>0</v>
      </c>
      <c r="O286">
        <f>IMSUM(F286,N286)</f>
        <v>0</v>
      </c>
      <c r="P286">
        <f>IMDIV("1",IMSUM(G286,IMDIV("1",O286)))</f>
        <v>0</v>
      </c>
      <c r="Q286">
        <f>IMSUM(H286,P286)</f>
        <v>0</v>
      </c>
      <c r="R286">
        <f>IMDIV("1",IMSUM(I286,IMDIV("1",Q286)))</f>
        <v>0</v>
      </c>
      <c r="S286">
        <f>IMSUM(J286,R286)</f>
        <v>0</v>
      </c>
      <c r="T286">
        <f>IMDIV("1",IMSUM(K286,IMDIV("1",S286)))</f>
        <v>0</v>
      </c>
      <c r="U286">
        <f>IMSUM(L286,T286)</f>
        <v>0</v>
      </c>
      <c r="V286">
        <f>IMDIV(COMPLEX(I_DM_SOURCE,0),U286)</f>
        <v>0</v>
      </c>
      <c r="W286">
        <f>IMPRODUCT(V286,T286)</f>
        <v>0</v>
      </c>
      <c r="X286">
        <f>IMDIV(W286,S286)</f>
        <v>0</v>
      </c>
      <c r="Y286">
        <f>IMPRODUCT(X286,R286)</f>
        <v>0</v>
      </c>
      <c r="Z286">
        <f>IMDIV(Y286,Q286)</f>
        <v>0</v>
      </c>
      <c r="AA286">
        <f>IMPRODUCT(Z286,P286)</f>
        <v>0</v>
      </c>
      <c r="AB286">
        <f>AA286</f>
        <v>0</v>
      </c>
      <c r="AC286">
        <f>IMPRODUCT("-1",AB286)</f>
        <v>0</v>
      </c>
      <c r="AD286">
        <f>IMDIV(IMSUB(AB286,AC286),"2")</f>
        <v>0</v>
      </c>
      <c r="AE286" s="6">
        <f>IMABS(AB286)</f>
        <v>0</v>
      </c>
      <c r="AF286" s="6">
        <f>IMABS(AC286)</f>
        <v>0</v>
      </c>
      <c r="AG286" s="6">
        <f>IMABS(AD286)</f>
        <v>0</v>
      </c>
      <c r="AH286" s="7">
        <f>20*LOG10(MAX(AE286,1E-300)*1E6)</f>
        <v>0</v>
      </c>
      <c r="AI286" s="7">
        <f>20*LOG10(MAX(AF286,1E-300)*1E6)</f>
        <v>0</v>
      </c>
      <c r="AJ286" s="7">
        <f>20*LOG10(MAX(AG286,1E-300)*1E6)</f>
        <v>0</v>
      </c>
      <c r="AK286" s="7">
        <f>DEGREES(IMARGUMENT(AB286))</f>
        <v>0</v>
      </c>
      <c r="AL286" s="7">
        <f>DEGREES(IMARGUMENT(AC286))</f>
        <v>0</v>
      </c>
      <c r="AM286" s="7">
        <f>DEGREES(IMARGUMENT(AD286))</f>
        <v>0</v>
      </c>
    </row>
    <row r="287" spans="1:39">
      <c r="A287" s="6">
        <f>10^(LOG10(F_START)+(ROW()-ROW($A$2))*(LOG10(F_STOP)-LOG10(F_START))/(N_POINTS-1))</f>
        <v>0</v>
      </c>
      <c r="B287" s="6">
        <f>2*PI()*A287</f>
        <v>0</v>
      </c>
      <c r="C287">
        <f>COMPLEX(2*LINE_PS_DCR,2*B287*LINE_PS_L)</f>
        <v>0</v>
      </c>
      <c r="D287">
        <f>IMSUM(COMPLEX(0,B287*(LINE_PS_CLINE+LINE_PS_CCHA/2)),IMDIV("1",IMPRODUCT("2",COMPLEX(C_THROUGH_ESR,B287*C_THROUGH_ESL-1/(B287*C_THROUGH_C)))))</f>
        <v>0</v>
      </c>
      <c r="E287">
        <f>COMPLEX(2*LINE_INPUT_DCR,2*B287*LINE_INPUT_L)</f>
        <v>0</v>
      </c>
      <c r="F287">
        <f>COMPLEX(0,B287*(LINE_INPUT_CLINE+LINE_INPUT_CCHA/2))</f>
        <v>0</v>
      </c>
      <c r="G287">
        <f>IMPRODUCT("2",IMDIV("1",IMSUM(IMDIV("1",COMPLEX(LDM1_DCR,B287*LDM1_L)),COMPLEX(0,B287*LDM1_CPA))))</f>
        <v>0</v>
      </c>
      <c r="H287">
        <f>IMSUM(IMDIV("1",COMPLEX(CX1_ESR,B287*CX1_ESL-1/(B287*CX1_C))),IMDIV("1",IMSUM(COMPLEX(DUMP1_R,0),COMPLEX(DUMP1_ESR,B287*DUMP1_ESL-1/(B287*DUMP1_C)))))</f>
        <v>0</v>
      </c>
      <c r="I287">
        <f>IMPRODUCT("2",IMDIV("1",IMSUM(IMDIV("1",COMPLEX(LDM2_DCR,B287*LDM2_L)),COMPLEX(0,B287*LDM2_CPA))))</f>
        <v>0</v>
      </c>
      <c r="J287">
        <f>IMSUM(IMDIV("1",COMPLEX(CX2_ESR,B287*CX2_ESL-1/(B287*CX2_C))),IMDIV("1",IMSUM(COMPLEX(DUMP2_R,0),COMPLEX(DUMP2_ESR,B287*DUMP2_ESL-1/(B287*DUMP2_C)))))</f>
        <v>0</v>
      </c>
      <c r="K287">
        <f>IMPRODUCT("2",IMDIV("1",IMSUM(IMDIV("1",COMPLEX(CMC_DCR,B287*CMC_L*(1-CMC_K))),COMPLEX(0,B287*CMC_CPA))))</f>
        <v>0</v>
      </c>
      <c r="L287">
        <f>IMSUM(COMPLEX(0,B287*CMC_CLINE),IMDIV("1",IMPRODUCT("2",COMPLEX(CY_ESR,B287*CY_ESL-1/(B287*CY_C)))),COMPLEX(1/DUMMY_R,0))</f>
        <v>0</v>
      </c>
      <c r="M287">
        <f>IMSUM(D287,IMDIV("1",C287))</f>
        <v>0</v>
      </c>
      <c r="N287">
        <f>IMDIV("1",IMSUM(E287,IMDIV("1",M287)))</f>
        <v>0</v>
      </c>
      <c r="O287">
        <f>IMSUM(F287,N287)</f>
        <v>0</v>
      </c>
      <c r="P287">
        <f>IMDIV("1",IMSUM(G287,IMDIV("1",O287)))</f>
        <v>0</v>
      </c>
      <c r="Q287">
        <f>IMSUM(H287,P287)</f>
        <v>0</v>
      </c>
      <c r="R287">
        <f>IMDIV("1",IMSUM(I287,IMDIV("1",Q287)))</f>
        <v>0</v>
      </c>
      <c r="S287">
        <f>IMSUM(J287,R287)</f>
        <v>0</v>
      </c>
      <c r="T287">
        <f>IMDIV("1",IMSUM(K287,IMDIV("1",S287)))</f>
        <v>0</v>
      </c>
      <c r="U287">
        <f>IMSUM(L287,T287)</f>
        <v>0</v>
      </c>
      <c r="V287">
        <f>IMDIV(COMPLEX(I_DM_SOURCE,0),U287)</f>
        <v>0</v>
      </c>
      <c r="W287">
        <f>IMPRODUCT(V287,T287)</f>
        <v>0</v>
      </c>
      <c r="X287">
        <f>IMDIV(W287,S287)</f>
        <v>0</v>
      </c>
      <c r="Y287">
        <f>IMPRODUCT(X287,R287)</f>
        <v>0</v>
      </c>
      <c r="Z287">
        <f>IMDIV(Y287,Q287)</f>
        <v>0</v>
      </c>
      <c r="AA287">
        <f>IMPRODUCT(Z287,P287)</f>
        <v>0</v>
      </c>
      <c r="AB287">
        <f>AA287</f>
        <v>0</v>
      </c>
      <c r="AC287">
        <f>IMPRODUCT("-1",AB287)</f>
        <v>0</v>
      </c>
      <c r="AD287">
        <f>IMDIV(IMSUB(AB287,AC287),"2")</f>
        <v>0</v>
      </c>
      <c r="AE287" s="6">
        <f>IMABS(AB287)</f>
        <v>0</v>
      </c>
      <c r="AF287" s="6">
        <f>IMABS(AC287)</f>
        <v>0</v>
      </c>
      <c r="AG287" s="6">
        <f>IMABS(AD287)</f>
        <v>0</v>
      </c>
      <c r="AH287" s="7">
        <f>20*LOG10(MAX(AE287,1E-300)*1E6)</f>
        <v>0</v>
      </c>
      <c r="AI287" s="7">
        <f>20*LOG10(MAX(AF287,1E-300)*1E6)</f>
        <v>0</v>
      </c>
      <c r="AJ287" s="7">
        <f>20*LOG10(MAX(AG287,1E-300)*1E6)</f>
        <v>0</v>
      </c>
      <c r="AK287" s="7">
        <f>DEGREES(IMARGUMENT(AB287))</f>
        <v>0</v>
      </c>
      <c r="AL287" s="7">
        <f>DEGREES(IMARGUMENT(AC287))</f>
        <v>0</v>
      </c>
      <c r="AM287" s="7">
        <f>DEGREES(IMARGUMENT(AD287))</f>
        <v>0</v>
      </c>
    </row>
    <row r="288" spans="1:39">
      <c r="A288" s="6">
        <f>10^(LOG10(F_START)+(ROW()-ROW($A$2))*(LOG10(F_STOP)-LOG10(F_START))/(N_POINTS-1))</f>
        <v>0</v>
      </c>
      <c r="B288" s="6">
        <f>2*PI()*A288</f>
        <v>0</v>
      </c>
      <c r="C288">
        <f>COMPLEX(2*LINE_PS_DCR,2*B288*LINE_PS_L)</f>
        <v>0</v>
      </c>
      <c r="D288">
        <f>IMSUM(COMPLEX(0,B288*(LINE_PS_CLINE+LINE_PS_CCHA/2)),IMDIV("1",IMPRODUCT("2",COMPLEX(C_THROUGH_ESR,B288*C_THROUGH_ESL-1/(B288*C_THROUGH_C)))))</f>
        <v>0</v>
      </c>
      <c r="E288">
        <f>COMPLEX(2*LINE_INPUT_DCR,2*B288*LINE_INPUT_L)</f>
        <v>0</v>
      </c>
      <c r="F288">
        <f>COMPLEX(0,B288*(LINE_INPUT_CLINE+LINE_INPUT_CCHA/2))</f>
        <v>0</v>
      </c>
      <c r="G288">
        <f>IMPRODUCT("2",IMDIV("1",IMSUM(IMDIV("1",COMPLEX(LDM1_DCR,B288*LDM1_L)),COMPLEX(0,B288*LDM1_CPA))))</f>
        <v>0</v>
      </c>
      <c r="H288">
        <f>IMSUM(IMDIV("1",COMPLEX(CX1_ESR,B288*CX1_ESL-1/(B288*CX1_C))),IMDIV("1",IMSUM(COMPLEX(DUMP1_R,0),COMPLEX(DUMP1_ESR,B288*DUMP1_ESL-1/(B288*DUMP1_C)))))</f>
        <v>0</v>
      </c>
      <c r="I288">
        <f>IMPRODUCT("2",IMDIV("1",IMSUM(IMDIV("1",COMPLEX(LDM2_DCR,B288*LDM2_L)),COMPLEX(0,B288*LDM2_CPA))))</f>
        <v>0</v>
      </c>
      <c r="J288">
        <f>IMSUM(IMDIV("1",COMPLEX(CX2_ESR,B288*CX2_ESL-1/(B288*CX2_C))),IMDIV("1",IMSUM(COMPLEX(DUMP2_R,0),COMPLEX(DUMP2_ESR,B288*DUMP2_ESL-1/(B288*DUMP2_C)))))</f>
        <v>0</v>
      </c>
      <c r="K288">
        <f>IMPRODUCT("2",IMDIV("1",IMSUM(IMDIV("1",COMPLEX(CMC_DCR,B288*CMC_L*(1-CMC_K))),COMPLEX(0,B288*CMC_CPA))))</f>
        <v>0</v>
      </c>
      <c r="L288">
        <f>IMSUM(COMPLEX(0,B288*CMC_CLINE),IMDIV("1",IMPRODUCT("2",COMPLEX(CY_ESR,B288*CY_ESL-1/(B288*CY_C)))),COMPLEX(1/DUMMY_R,0))</f>
        <v>0</v>
      </c>
      <c r="M288">
        <f>IMSUM(D288,IMDIV("1",C288))</f>
        <v>0</v>
      </c>
      <c r="N288">
        <f>IMDIV("1",IMSUM(E288,IMDIV("1",M288)))</f>
        <v>0</v>
      </c>
      <c r="O288">
        <f>IMSUM(F288,N288)</f>
        <v>0</v>
      </c>
      <c r="P288">
        <f>IMDIV("1",IMSUM(G288,IMDIV("1",O288)))</f>
        <v>0</v>
      </c>
      <c r="Q288">
        <f>IMSUM(H288,P288)</f>
        <v>0</v>
      </c>
      <c r="R288">
        <f>IMDIV("1",IMSUM(I288,IMDIV("1",Q288)))</f>
        <v>0</v>
      </c>
      <c r="S288">
        <f>IMSUM(J288,R288)</f>
        <v>0</v>
      </c>
      <c r="T288">
        <f>IMDIV("1",IMSUM(K288,IMDIV("1",S288)))</f>
        <v>0</v>
      </c>
      <c r="U288">
        <f>IMSUM(L288,T288)</f>
        <v>0</v>
      </c>
      <c r="V288">
        <f>IMDIV(COMPLEX(I_DM_SOURCE,0),U288)</f>
        <v>0</v>
      </c>
      <c r="W288">
        <f>IMPRODUCT(V288,T288)</f>
        <v>0</v>
      </c>
      <c r="X288">
        <f>IMDIV(W288,S288)</f>
        <v>0</v>
      </c>
      <c r="Y288">
        <f>IMPRODUCT(X288,R288)</f>
        <v>0</v>
      </c>
      <c r="Z288">
        <f>IMDIV(Y288,Q288)</f>
        <v>0</v>
      </c>
      <c r="AA288">
        <f>IMPRODUCT(Z288,P288)</f>
        <v>0</v>
      </c>
      <c r="AB288">
        <f>AA288</f>
        <v>0</v>
      </c>
      <c r="AC288">
        <f>IMPRODUCT("-1",AB288)</f>
        <v>0</v>
      </c>
      <c r="AD288">
        <f>IMDIV(IMSUB(AB288,AC288),"2")</f>
        <v>0</v>
      </c>
      <c r="AE288" s="6">
        <f>IMABS(AB288)</f>
        <v>0</v>
      </c>
      <c r="AF288" s="6">
        <f>IMABS(AC288)</f>
        <v>0</v>
      </c>
      <c r="AG288" s="6">
        <f>IMABS(AD288)</f>
        <v>0</v>
      </c>
      <c r="AH288" s="7">
        <f>20*LOG10(MAX(AE288,1E-300)*1E6)</f>
        <v>0</v>
      </c>
      <c r="AI288" s="7">
        <f>20*LOG10(MAX(AF288,1E-300)*1E6)</f>
        <v>0</v>
      </c>
      <c r="AJ288" s="7">
        <f>20*LOG10(MAX(AG288,1E-300)*1E6)</f>
        <v>0</v>
      </c>
      <c r="AK288" s="7">
        <f>DEGREES(IMARGUMENT(AB288))</f>
        <v>0</v>
      </c>
      <c r="AL288" s="7">
        <f>DEGREES(IMARGUMENT(AC288))</f>
        <v>0</v>
      </c>
      <c r="AM288" s="7">
        <f>DEGREES(IMARGUMENT(AD288))</f>
        <v>0</v>
      </c>
    </row>
    <row r="289" spans="1:39">
      <c r="A289" s="6">
        <f>10^(LOG10(F_START)+(ROW()-ROW($A$2))*(LOG10(F_STOP)-LOG10(F_START))/(N_POINTS-1))</f>
        <v>0</v>
      </c>
      <c r="B289" s="6">
        <f>2*PI()*A289</f>
        <v>0</v>
      </c>
      <c r="C289">
        <f>COMPLEX(2*LINE_PS_DCR,2*B289*LINE_PS_L)</f>
        <v>0</v>
      </c>
      <c r="D289">
        <f>IMSUM(COMPLEX(0,B289*(LINE_PS_CLINE+LINE_PS_CCHA/2)),IMDIV("1",IMPRODUCT("2",COMPLEX(C_THROUGH_ESR,B289*C_THROUGH_ESL-1/(B289*C_THROUGH_C)))))</f>
        <v>0</v>
      </c>
      <c r="E289">
        <f>COMPLEX(2*LINE_INPUT_DCR,2*B289*LINE_INPUT_L)</f>
        <v>0</v>
      </c>
      <c r="F289">
        <f>COMPLEX(0,B289*(LINE_INPUT_CLINE+LINE_INPUT_CCHA/2))</f>
        <v>0</v>
      </c>
      <c r="G289">
        <f>IMPRODUCT("2",IMDIV("1",IMSUM(IMDIV("1",COMPLEX(LDM1_DCR,B289*LDM1_L)),COMPLEX(0,B289*LDM1_CPA))))</f>
        <v>0</v>
      </c>
      <c r="H289">
        <f>IMSUM(IMDIV("1",COMPLEX(CX1_ESR,B289*CX1_ESL-1/(B289*CX1_C))),IMDIV("1",IMSUM(COMPLEX(DUMP1_R,0),COMPLEX(DUMP1_ESR,B289*DUMP1_ESL-1/(B289*DUMP1_C)))))</f>
        <v>0</v>
      </c>
      <c r="I289">
        <f>IMPRODUCT("2",IMDIV("1",IMSUM(IMDIV("1",COMPLEX(LDM2_DCR,B289*LDM2_L)),COMPLEX(0,B289*LDM2_CPA))))</f>
        <v>0</v>
      </c>
      <c r="J289">
        <f>IMSUM(IMDIV("1",COMPLEX(CX2_ESR,B289*CX2_ESL-1/(B289*CX2_C))),IMDIV("1",IMSUM(COMPLEX(DUMP2_R,0),COMPLEX(DUMP2_ESR,B289*DUMP2_ESL-1/(B289*DUMP2_C)))))</f>
        <v>0</v>
      </c>
      <c r="K289">
        <f>IMPRODUCT("2",IMDIV("1",IMSUM(IMDIV("1",COMPLEX(CMC_DCR,B289*CMC_L*(1-CMC_K))),COMPLEX(0,B289*CMC_CPA))))</f>
        <v>0</v>
      </c>
      <c r="L289">
        <f>IMSUM(COMPLEX(0,B289*CMC_CLINE),IMDIV("1",IMPRODUCT("2",COMPLEX(CY_ESR,B289*CY_ESL-1/(B289*CY_C)))),COMPLEX(1/DUMMY_R,0))</f>
        <v>0</v>
      </c>
      <c r="M289">
        <f>IMSUM(D289,IMDIV("1",C289))</f>
        <v>0</v>
      </c>
      <c r="N289">
        <f>IMDIV("1",IMSUM(E289,IMDIV("1",M289)))</f>
        <v>0</v>
      </c>
      <c r="O289">
        <f>IMSUM(F289,N289)</f>
        <v>0</v>
      </c>
      <c r="P289">
        <f>IMDIV("1",IMSUM(G289,IMDIV("1",O289)))</f>
        <v>0</v>
      </c>
      <c r="Q289">
        <f>IMSUM(H289,P289)</f>
        <v>0</v>
      </c>
      <c r="R289">
        <f>IMDIV("1",IMSUM(I289,IMDIV("1",Q289)))</f>
        <v>0</v>
      </c>
      <c r="S289">
        <f>IMSUM(J289,R289)</f>
        <v>0</v>
      </c>
      <c r="T289">
        <f>IMDIV("1",IMSUM(K289,IMDIV("1",S289)))</f>
        <v>0</v>
      </c>
      <c r="U289">
        <f>IMSUM(L289,T289)</f>
        <v>0</v>
      </c>
      <c r="V289">
        <f>IMDIV(COMPLEX(I_DM_SOURCE,0),U289)</f>
        <v>0</v>
      </c>
      <c r="W289">
        <f>IMPRODUCT(V289,T289)</f>
        <v>0</v>
      </c>
      <c r="X289">
        <f>IMDIV(W289,S289)</f>
        <v>0</v>
      </c>
      <c r="Y289">
        <f>IMPRODUCT(X289,R289)</f>
        <v>0</v>
      </c>
      <c r="Z289">
        <f>IMDIV(Y289,Q289)</f>
        <v>0</v>
      </c>
      <c r="AA289">
        <f>IMPRODUCT(Z289,P289)</f>
        <v>0</v>
      </c>
      <c r="AB289">
        <f>AA289</f>
        <v>0</v>
      </c>
      <c r="AC289">
        <f>IMPRODUCT("-1",AB289)</f>
        <v>0</v>
      </c>
      <c r="AD289">
        <f>IMDIV(IMSUB(AB289,AC289),"2")</f>
        <v>0</v>
      </c>
      <c r="AE289" s="6">
        <f>IMABS(AB289)</f>
        <v>0</v>
      </c>
      <c r="AF289" s="6">
        <f>IMABS(AC289)</f>
        <v>0</v>
      </c>
      <c r="AG289" s="6">
        <f>IMABS(AD289)</f>
        <v>0</v>
      </c>
      <c r="AH289" s="7">
        <f>20*LOG10(MAX(AE289,1E-300)*1E6)</f>
        <v>0</v>
      </c>
      <c r="AI289" s="7">
        <f>20*LOG10(MAX(AF289,1E-300)*1E6)</f>
        <v>0</v>
      </c>
      <c r="AJ289" s="7">
        <f>20*LOG10(MAX(AG289,1E-300)*1E6)</f>
        <v>0</v>
      </c>
      <c r="AK289" s="7">
        <f>DEGREES(IMARGUMENT(AB289))</f>
        <v>0</v>
      </c>
      <c r="AL289" s="7">
        <f>DEGREES(IMARGUMENT(AC289))</f>
        <v>0</v>
      </c>
      <c r="AM289" s="7">
        <f>DEGREES(IMARGUMENT(AD289))</f>
        <v>0</v>
      </c>
    </row>
    <row r="290" spans="1:39">
      <c r="A290" s="6">
        <f>10^(LOG10(F_START)+(ROW()-ROW($A$2))*(LOG10(F_STOP)-LOG10(F_START))/(N_POINTS-1))</f>
        <v>0</v>
      </c>
      <c r="B290" s="6">
        <f>2*PI()*A290</f>
        <v>0</v>
      </c>
      <c r="C290">
        <f>COMPLEX(2*LINE_PS_DCR,2*B290*LINE_PS_L)</f>
        <v>0</v>
      </c>
      <c r="D290">
        <f>IMSUM(COMPLEX(0,B290*(LINE_PS_CLINE+LINE_PS_CCHA/2)),IMDIV("1",IMPRODUCT("2",COMPLEX(C_THROUGH_ESR,B290*C_THROUGH_ESL-1/(B290*C_THROUGH_C)))))</f>
        <v>0</v>
      </c>
      <c r="E290">
        <f>COMPLEX(2*LINE_INPUT_DCR,2*B290*LINE_INPUT_L)</f>
        <v>0</v>
      </c>
      <c r="F290">
        <f>COMPLEX(0,B290*(LINE_INPUT_CLINE+LINE_INPUT_CCHA/2))</f>
        <v>0</v>
      </c>
      <c r="G290">
        <f>IMPRODUCT("2",IMDIV("1",IMSUM(IMDIV("1",COMPLEX(LDM1_DCR,B290*LDM1_L)),COMPLEX(0,B290*LDM1_CPA))))</f>
        <v>0</v>
      </c>
      <c r="H290">
        <f>IMSUM(IMDIV("1",COMPLEX(CX1_ESR,B290*CX1_ESL-1/(B290*CX1_C))),IMDIV("1",IMSUM(COMPLEX(DUMP1_R,0),COMPLEX(DUMP1_ESR,B290*DUMP1_ESL-1/(B290*DUMP1_C)))))</f>
        <v>0</v>
      </c>
      <c r="I290">
        <f>IMPRODUCT("2",IMDIV("1",IMSUM(IMDIV("1",COMPLEX(LDM2_DCR,B290*LDM2_L)),COMPLEX(0,B290*LDM2_CPA))))</f>
        <v>0</v>
      </c>
      <c r="J290">
        <f>IMSUM(IMDIV("1",COMPLEX(CX2_ESR,B290*CX2_ESL-1/(B290*CX2_C))),IMDIV("1",IMSUM(COMPLEX(DUMP2_R,0),COMPLEX(DUMP2_ESR,B290*DUMP2_ESL-1/(B290*DUMP2_C)))))</f>
        <v>0</v>
      </c>
      <c r="K290">
        <f>IMPRODUCT("2",IMDIV("1",IMSUM(IMDIV("1",COMPLEX(CMC_DCR,B290*CMC_L*(1-CMC_K))),COMPLEX(0,B290*CMC_CPA))))</f>
        <v>0</v>
      </c>
      <c r="L290">
        <f>IMSUM(COMPLEX(0,B290*CMC_CLINE),IMDIV("1",IMPRODUCT("2",COMPLEX(CY_ESR,B290*CY_ESL-1/(B290*CY_C)))),COMPLEX(1/DUMMY_R,0))</f>
        <v>0</v>
      </c>
      <c r="M290">
        <f>IMSUM(D290,IMDIV("1",C290))</f>
        <v>0</v>
      </c>
      <c r="N290">
        <f>IMDIV("1",IMSUM(E290,IMDIV("1",M290)))</f>
        <v>0</v>
      </c>
      <c r="O290">
        <f>IMSUM(F290,N290)</f>
        <v>0</v>
      </c>
      <c r="P290">
        <f>IMDIV("1",IMSUM(G290,IMDIV("1",O290)))</f>
        <v>0</v>
      </c>
      <c r="Q290">
        <f>IMSUM(H290,P290)</f>
        <v>0</v>
      </c>
      <c r="R290">
        <f>IMDIV("1",IMSUM(I290,IMDIV("1",Q290)))</f>
        <v>0</v>
      </c>
      <c r="S290">
        <f>IMSUM(J290,R290)</f>
        <v>0</v>
      </c>
      <c r="T290">
        <f>IMDIV("1",IMSUM(K290,IMDIV("1",S290)))</f>
        <v>0</v>
      </c>
      <c r="U290">
        <f>IMSUM(L290,T290)</f>
        <v>0</v>
      </c>
      <c r="V290">
        <f>IMDIV(COMPLEX(I_DM_SOURCE,0),U290)</f>
        <v>0</v>
      </c>
      <c r="W290">
        <f>IMPRODUCT(V290,T290)</f>
        <v>0</v>
      </c>
      <c r="X290">
        <f>IMDIV(W290,S290)</f>
        <v>0</v>
      </c>
      <c r="Y290">
        <f>IMPRODUCT(X290,R290)</f>
        <v>0</v>
      </c>
      <c r="Z290">
        <f>IMDIV(Y290,Q290)</f>
        <v>0</v>
      </c>
      <c r="AA290">
        <f>IMPRODUCT(Z290,P290)</f>
        <v>0</v>
      </c>
      <c r="AB290">
        <f>AA290</f>
        <v>0</v>
      </c>
      <c r="AC290">
        <f>IMPRODUCT("-1",AB290)</f>
        <v>0</v>
      </c>
      <c r="AD290">
        <f>IMDIV(IMSUB(AB290,AC290),"2")</f>
        <v>0</v>
      </c>
      <c r="AE290" s="6">
        <f>IMABS(AB290)</f>
        <v>0</v>
      </c>
      <c r="AF290" s="6">
        <f>IMABS(AC290)</f>
        <v>0</v>
      </c>
      <c r="AG290" s="6">
        <f>IMABS(AD290)</f>
        <v>0</v>
      </c>
      <c r="AH290" s="7">
        <f>20*LOG10(MAX(AE290,1E-300)*1E6)</f>
        <v>0</v>
      </c>
      <c r="AI290" s="7">
        <f>20*LOG10(MAX(AF290,1E-300)*1E6)</f>
        <v>0</v>
      </c>
      <c r="AJ290" s="7">
        <f>20*LOG10(MAX(AG290,1E-300)*1E6)</f>
        <v>0</v>
      </c>
      <c r="AK290" s="7">
        <f>DEGREES(IMARGUMENT(AB290))</f>
        <v>0</v>
      </c>
      <c r="AL290" s="7">
        <f>DEGREES(IMARGUMENT(AC290))</f>
        <v>0</v>
      </c>
      <c r="AM290" s="7">
        <f>DEGREES(IMARGUMENT(AD290))</f>
        <v>0</v>
      </c>
    </row>
    <row r="291" spans="1:39">
      <c r="A291" s="6">
        <f>10^(LOG10(F_START)+(ROW()-ROW($A$2))*(LOG10(F_STOP)-LOG10(F_START))/(N_POINTS-1))</f>
        <v>0</v>
      </c>
      <c r="B291" s="6">
        <f>2*PI()*A291</f>
        <v>0</v>
      </c>
      <c r="C291">
        <f>COMPLEX(2*LINE_PS_DCR,2*B291*LINE_PS_L)</f>
        <v>0</v>
      </c>
      <c r="D291">
        <f>IMSUM(COMPLEX(0,B291*(LINE_PS_CLINE+LINE_PS_CCHA/2)),IMDIV("1",IMPRODUCT("2",COMPLEX(C_THROUGH_ESR,B291*C_THROUGH_ESL-1/(B291*C_THROUGH_C)))))</f>
        <v>0</v>
      </c>
      <c r="E291">
        <f>COMPLEX(2*LINE_INPUT_DCR,2*B291*LINE_INPUT_L)</f>
        <v>0</v>
      </c>
      <c r="F291">
        <f>COMPLEX(0,B291*(LINE_INPUT_CLINE+LINE_INPUT_CCHA/2))</f>
        <v>0</v>
      </c>
      <c r="G291">
        <f>IMPRODUCT("2",IMDIV("1",IMSUM(IMDIV("1",COMPLEX(LDM1_DCR,B291*LDM1_L)),COMPLEX(0,B291*LDM1_CPA))))</f>
        <v>0</v>
      </c>
      <c r="H291">
        <f>IMSUM(IMDIV("1",COMPLEX(CX1_ESR,B291*CX1_ESL-1/(B291*CX1_C))),IMDIV("1",IMSUM(COMPLEX(DUMP1_R,0),COMPLEX(DUMP1_ESR,B291*DUMP1_ESL-1/(B291*DUMP1_C)))))</f>
        <v>0</v>
      </c>
      <c r="I291">
        <f>IMPRODUCT("2",IMDIV("1",IMSUM(IMDIV("1",COMPLEX(LDM2_DCR,B291*LDM2_L)),COMPLEX(0,B291*LDM2_CPA))))</f>
        <v>0</v>
      </c>
      <c r="J291">
        <f>IMSUM(IMDIV("1",COMPLEX(CX2_ESR,B291*CX2_ESL-1/(B291*CX2_C))),IMDIV("1",IMSUM(COMPLEX(DUMP2_R,0),COMPLEX(DUMP2_ESR,B291*DUMP2_ESL-1/(B291*DUMP2_C)))))</f>
        <v>0</v>
      </c>
      <c r="K291">
        <f>IMPRODUCT("2",IMDIV("1",IMSUM(IMDIV("1",COMPLEX(CMC_DCR,B291*CMC_L*(1-CMC_K))),COMPLEX(0,B291*CMC_CPA))))</f>
        <v>0</v>
      </c>
      <c r="L291">
        <f>IMSUM(COMPLEX(0,B291*CMC_CLINE),IMDIV("1",IMPRODUCT("2",COMPLEX(CY_ESR,B291*CY_ESL-1/(B291*CY_C)))),COMPLEX(1/DUMMY_R,0))</f>
        <v>0</v>
      </c>
      <c r="M291">
        <f>IMSUM(D291,IMDIV("1",C291))</f>
        <v>0</v>
      </c>
      <c r="N291">
        <f>IMDIV("1",IMSUM(E291,IMDIV("1",M291)))</f>
        <v>0</v>
      </c>
      <c r="O291">
        <f>IMSUM(F291,N291)</f>
        <v>0</v>
      </c>
      <c r="P291">
        <f>IMDIV("1",IMSUM(G291,IMDIV("1",O291)))</f>
        <v>0</v>
      </c>
      <c r="Q291">
        <f>IMSUM(H291,P291)</f>
        <v>0</v>
      </c>
      <c r="R291">
        <f>IMDIV("1",IMSUM(I291,IMDIV("1",Q291)))</f>
        <v>0</v>
      </c>
      <c r="S291">
        <f>IMSUM(J291,R291)</f>
        <v>0</v>
      </c>
      <c r="T291">
        <f>IMDIV("1",IMSUM(K291,IMDIV("1",S291)))</f>
        <v>0</v>
      </c>
      <c r="U291">
        <f>IMSUM(L291,T291)</f>
        <v>0</v>
      </c>
      <c r="V291">
        <f>IMDIV(COMPLEX(I_DM_SOURCE,0),U291)</f>
        <v>0</v>
      </c>
      <c r="W291">
        <f>IMPRODUCT(V291,T291)</f>
        <v>0</v>
      </c>
      <c r="X291">
        <f>IMDIV(W291,S291)</f>
        <v>0</v>
      </c>
      <c r="Y291">
        <f>IMPRODUCT(X291,R291)</f>
        <v>0</v>
      </c>
      <c r="Z291">
        <f>IMDIV(Y291,Q291)</f>
        <v>0</v>
      </c>
      <c r="AA291">
        <f>IMPRODUCT(Z291,P291)</f>
        <v>0</v>
      </c>
      <c r="AB291">
        <f>AA291</f>
        <v>0</v>
      </c>
      <c r="AC291">
        <f>IMPRODUCT("-1",AB291)</f>
        <v>0</v>
      </c>
      <c r="AD291">
        <f>IMDIV(IMSUB(AB291,AC291),"2")</f>
        <v>0</v>
      </c>
      <c r="AE291" s="6">
        <f>IMABS(AB291)</f>
        <v>0</v>
      </c>
      <c r="AF291" s="6">
        <f>IMABS(AC291)</f>
        <v>0</v>
      </c>
      <c r="AG291" s="6">
        <f>IMABS(AD291)</f>
        <v>0</v>
      </c>
      <c r="AH291" s="7">
        <f>20*LOG10(MAX(AE291,1E-300)*1E6)</f>
        <v>0</v>
      </c>
      <c r="AI291" s="7">
        <f>20*LOG10(MAX(AF291,1E-300)*1E6)</f>
        <v>0</v>
      </c>
      <c r="AJ291" s="7">
        <f>20*LOG10(MAX(AG291,1E-300)*1E6)</f>
        <v>0</v>
      </c>
      <c r="AK291" s="7">
        <f>DEGREES(IMARGUMENT(AB291))</f>
        <v>0</v>
      </c>
      <c r="AL291" s="7">
        <f>DEGREES(IMARGUMENT(AC291))</f>
        <v>0</v>
      </c>
      <c r="AM291" s="7">
        <f>DEGREES(IMARGUMENT(AD291))</f>
        <v>0</v>
      </c>
    </row>
    <row r="292" spans="1:39">
      <c r="A292" s="6">
        <f>10^(LOG10(F_START)+(ROW()-ROW($A$2))*(LOG10(F_STOP)-LOG10(F_START))/(N_POINTS-1))</f>
        <v>0</v>
      </c>
      <c r="B292" s="6">
        <f>2*PI()*A292</f>
        <v>0</v>
      </c>
      <c r="C292">
        <f>COMPLEX(2*LINE_PS_DCR,2*B292*LINE_PS_L)</f>
        <v>0</v>
      </c>
      <c r="D292">
        <f>IMSUM(COMPLEX(0,B292*(LINE_PS_CLINE+LINE_PS_CCHA/2)),IMDIV("1",IMPRODUCT("2",COMPLEX(C_THROUGH_ESR,B292*C_THROUGH_ESL-1/(B292*C_THROUGH_C)))))</f>
        <v>0</v>
      </c>
      <c r="E292">
        <f>COMPLEX(2*LINE_INPUT_DCR,2*B292*LINE_INPUT_L)</f>
        <v>0</v>
      </c>
      <c r="F292">
        <f>COMPLEX(0,B292*(LINE_INPUT_CLINE+LINE_INPUT_CCHA/2))</f>
        <v>0</v>
      </c>
      <c r="G292">
        <f>IMPRODUCT("2",IMDIV("1",IMSUM(IMDIV("1",COMPLEX(LDM1_DCR,B292*LDM1_L)),COMPLEX(0,B292*LDM1_CPA))))</f>
        <v>0</v>
      </c>
      <c r="H292">
        <f>IMSUM(IMDIV("1",COMPLEX(CX1_ESR,B292*CX1_ESL-1/(B292*CX1_C))),IMDIV("1",IMSUM(COMPLEX(DUMP1_R,0),COMPLEX(DUMP1_ESR,B292*DUMP1_ESL-1/(B292*DUMP1_C)))))</f>
        <v>0</v>
      </c>
      <c r="I292">
        <f>IMPRODUCT("2",IMDIV("1",IMSUM(IMDIV("1",COMPLEX(LDM2_DCR,B292*LDM2_L)),COMPLEX(0,B292*LDM2_CPA))))</f>
        <v>0</v>
      </c>
      <c r="J292">
        <f>IMSUM(IMDIV("1",COMPLEX(CX2_ESR,B292*CX2_ESL-1/(B292*CX2_C))),IMDIV("1",IMSUM(COMPLEX(DUMP2_R,0),COMPLEX(DUMP2_ESR,B292*DUMP2_ESL-1/(B292*DUMP2_C)))))</f>
        <v>0</v>
      </c>
      <c r="K292">
        <f>IMPRODUCT("2",IMDIV("1",IMSUM(IMDIV("1",COMPLEX(CMC_DCR,B292*CMC_L*(1-CMC_K))),COMPLEX(0,B292*CMC_CPA))))</f>
        <v>0</v>
      </c>
      <c r="L292">
        <f>IMSUM(COMPLEX(0,B292*CMC_CLINE),IMDIV("1",IMPRODUCT("2",COMPLEX(CY_ESR,B292*CY_ESL-1/(B292*CY_C)))),COMPLEX(1/DUMMY_R,0))</f>
        <v>0</v>
      </c>
      <c r="M292">
        <f>IMSUM(D292,IMDIV("1",C292))</f>
        <v>0</v>
      </c>
      <c r="N292">
        <f>IMDIV("1",IMSUM(E292,IMDIV("1",M292)))</f>
        <v>0</v>
      </c>
      <c r="O292">
        <f>IMSUM(F292,N292)</f>
        <v>0</v>
      </c>
      <c r="P292">
        <f>IMDIV("1",IMSUM(G292,IMDIV("1",O292)))</f>
        <v>0</v>
      </c>
      <c r="Q292">
        <f>IMSUM(H292,P292)</f>
        <v>0</v>
      </c>
      <c r="R292">
        <f>IMDIV("1",IMSUM(I292,IMDIV("1",Q292)))</f>
        <v>0</v>
      </c>
      <c r="S292">
        <f>IMSUM(J292,R292)</f>
        <v>0</v>
      </c>
      <c r="T292">
        <f>IMDIV("1",IMSUM(K292,IMDIV("1",S292)))</f>
        <v>0</v>
      </c>
      <c r="U292">
        <f>IMSUM(L292,T292)</f>
        <v>0</v>
      </c>
      <c r="V292">
        <f>IMDIV(COMPLEX(I_DM_SOURCE,0),U292)</f>
        <v>0</v>
      </c>
      <c r="W292">
        <f>IMPRODUCT(V292,T292)</f>
        <v>0</v>
      </c>
      <c r="X292">
        <f>IMDIV(W292,S292)</f>
        <v>0</v>
      </c>
      <c r="Y292">
        <f>IMPRODUCT(X292,R292)</f>
        <v>0</v>
      </c>
      <c r="Z292">
        <f>IMDIV(Y292,Q292)</f>
        <v>0</v>
      </c>
      <c r="AA292">
        <f>IMPRODUCT(Z292,P292)</f>
        <v>0</v>
      </c>
      <c r="AB292">
        <f>AA292</f>
        <v>0</v>
      </c>
      <c r="AC292">
        <f>IMPRODUCT("-1",AB292)</f>
        <v>0</v>
      </c>
      <c r="AD292">
        <f>IMDIV(IMSUB(AB292,AC292),"2")</f>
        <v>0</v>
      </c>
      <c r="AE292" s="6">
        <f>IMABS(AB292)</f>
        <v>0</v>
      </c>
      <c r="AF292" s="6">
        <f>IMABS(AC292)</f>
        <v>0</v>
      </c>
      <c r="AG292" s="6">
        <f>IMABS(AD292)</f>
        <v>0</v>
      </c>
      <c r="AH292" s="7">
        <f>20*LOG10(MAX(AE292,1E-300)*1E6)</f>
        <v>0</v>
      </c>
      <c r="AI292" s="7">
        <f>20*LOG10(MAX(AF292,1E-300)*1E6)</f>
        <v>0</v>
      </c>
      <c r="AJ292" s="7">
        <f>20*LOG10(MAX(AG292,1E-300)*1E6)</f>
        <v>0</v>
      </c>
      <c r="AK292" s="7">
        <f>DEGREES(IMARGUMENT(AB292))</f>
        <v>0</v>
      </c>
      <c r="AL292" s="7">
        <f>DEGREES(IMARGUMENT(AC292))</f>
        <v>0</v>
      </c>
      <c r="AM292" s="7">
        <f>DEGREES(IMARGUMENT(AD292))</f>
        <v>0</v>
      </c>
    </row>
    <row r="293" spans="1:39">
      <c r="A293" s="6">
        <f>10^(LOG10(F_START)+(ROW()-ROW($A$2))*(LOG10(F_STOP)-LOG10(F_START))/(N_POINTS-1))</f>
        <v>0</v>
      </c>
      <c r="B293" s="6">
        <f>2*PI()*A293</f>
        <v>0</v>
      </c>
      <c r="C293">
        <f>COMPLEX(2*LINE_PS_DCR,2*B293*LINE_PS_L)</f>
        <v>0</v>
      </c>
      <c r="D293">
        <f>IMSUM(COMPLEX(0,B293*(LINE_PS_CLINE+LINE_PS_CCHA/2)),IMDIV("1",IMPRODUCT("2",COMPLEX(C_THROUGH_ESR,B293*C_THROUGH_ESL-1/(B293*C_THROUGH_C)))))</f>
        <v>0</v>
      </c>
      <c r="E293">
        <f>COMPLEX(2*LINE_INPUT_DCR,2*B293*LINE_INPUT_L)</f>
        <v>0</v>
      </c>
      <c r="F293">
        <f>COMPLEX(0,B293*(LINE_INPUT_CLINE+LINE_INPUT_CCHA/2))</f>
        <v>0</v>
      </c>
      <c r="G293">
        <f>IMPRODUCT("2",IMDIV("1",IMSUM(IMDIV("1",COMPLEX(LDM1_DCR,B293*LDM1_L)),COMPLEX(0,B293*LDM1_CPA))))</f>
        <v>0</v>
      </c>
      <c r="H293">
        <f>IMSUM(IMDIV("1",COMPLEX(CX1_ESR,B293*CX1_ESL-1/(B293*CX1_C))),IMDIV("1",IMSUM(COMPLEX(DUMP1_R,0),COMPLEX(DUMP1_ESR,B293*DUMP1_ESL-1/(B293*DUMP1_C)))))</f>
        <v>0</v>
      </c>
      <c r="I293">
        <f>IMPRODUCT("2",IMDIV("1",IMSUM(IMDIV("1",COMPLEX(LDM2_DCR,B293*LDM2_L)),COMPLEX(0,B293*LDM2_CPA))))</f>
        <v>0</v>
      </c>
      <c r="J293">
        <f>IMSUM(IMDIV("1",COMPLEX(CX2_ESR,B293*CX2_ESL-1/(B293*CX2_C))),IMDIV("1",IMSUM(COMPLEX(DUMP2_R,0),COMPLEX(DUMP2_ESR,B293*DUMP2_ESL-1/(B293*DUMP2_C)))))</f>
        <v>0</v>
      </c>
      <c r="K293">
        <f>IMPRODUCT("2",IMDIV("1",IMSUM(IMDIV("1",COMPLEX(CMC_DCR,B293*CMC_L*(1-CMC_K))),COMPLEX(0,B293*CMC_CPA))))</f>
        <v>0</v>
      </c>
      <c r="L293">
        <f>IMSUM(COMPLEX(0,B293*CMC_CLINE),IMDIV("1",IMPRODUCT("2",COMPLEX(CY_ESR,B293*CY_ESL-1/(B293*CY_C)))),COMPLEX(1/DUMMY_R,0))</f>
        <v>0</v>
      </c>
      <c r="M293">
        <f>IMSUM(D293,IMDIV("1",C293))</f>
        <v>0</v>
      </c>
      <c r="N293">
        <f>IMDIV("1",IMSUM(E293,IMDIV("1",M293)))</f>
        <v>0</v>
      </c>
      <c r="O293">
        <f>IMSUM(F293,N293)</f>
        <v>0</v>
      </c>
      <c r="P293">
        <f>IMDIV("1",IMSUM(G293,IMDIV("1",O293)))</f>
        <v>0</v>
      </c>
      <c r="Q293">
        <f>IMSUM(H293,P293)</f>
        <v>0</v>
      </c>
      <c r="R293">
        <f>IMDIV("1",IMSUM(I293,IMDIV("1",Q293)))</f>
        <v>0</v>
      </c>
      <c r="S293">
        <f>IMSUM(J293,R293)</f>
        <v>0</v>
      </c>
      <c r="T293">
        <f>IMDIV("1",IMSUM(K293,IMDIV("1",S293)))</f>
        <v>0</v>
      </c>
      <c r="U293">
        <f>IMSUM(L293,T293)</f>
        <v>0</v>
      </c>
      <c r="V293">
        <f>IMDIV(COMPLEX(I_DM_SOURCE,0),U293)</f>
        <v>0</v>
      </c>
      <c r="W293">
        <f>IMPRODUCT(V293,T293)</f>
        <v>0</v>
      </c>
      <c r="X293">
        <f>IMDIV(W293,S293)</f>
        <v>0</v>
      </c>
      <c r="Y293">
        <f>IMPRODUCT(X293,R293)</f>
        <v>0</v>
      </c>
      <c r="Z293">
        <f>IMDIV(Y293,Q293)</f>
        <v>0</v>
      </c>
      <c r="AA293">
        <f>IMPRODUCT(Z293,P293)</f>
        <v>0</v>
      </c>
      <c r="AB293">
        <f>AA293</f>
        <v>0</v>
      </c>
      <c r="AC293">
        <f>IMPRODUCT("-1",AB293)</f>
        <v>0</v>
      </c>
      <c r="AD293">
        <f>IMDIV(IMSUB(AB293,AC293),"2")</f>
        <v>0</v>
      </c>
      <c r="AE293" s="6">
        <f>IMABS(AB293)</f>
        <v>0</v>
      </c>
      <c r="AF293" s="6">
        <f>IMABS(AC293)</f>
        <v>0</v>
      </c>
      <c r="AG293" s="6">
        <f>IMABS(AD293)</f>
        <v>0</v>
      </c>
      <c r="AH293" s="7">
        <f>20*LOG10(MAX(AE293,1E-300)*1E6)</f>
        <v>0</v>
      </c>
      <c r="AI293" s="7">
        <f>20*LOG10(MAX(AF293,1E-300)*1E6)</f>
        <v>0</v>
      </c>
      <c r="AJ293" s="7">
        <f>20*LOG10(MAX(AG293,1E-300)*1E6)</f>
        <v>0</v>
      </c>
      <c r="AK293" s="7">
        <f>DEGREES(IMARGUMENT(AB293))</f>
        <v>0</v>
      </c>
      <c r="AL293" s="7">
        <f>DEGREES(IMARGUMENT(AC293))</f>
        <v>0</v>
      </c>
      <c r="AM293" s="7">
        <f>DEGREES(IMARGUMENT(AD293))</f>
        <v>0</v>
      </c>
    </row>
    <row r="294" spans="1:39">
      <c r="A294" s="6">
        <f>10^(LOG10(F_START)+(ROW()-ROW($A$2))*(LOG10(F_STOP)-LOG10(F_START))/(N_POINTS-1))</f>
        <v>0</v>
      </c>
      <c r="B294" s="6">
        <f>2*PI()*A294</f>
        <v>0</v>
      </c>
      <c r="C294">
        <f>COMPLEX(2*LINE_PS_DCR,2*B294*LINE_PS_L)</f>
        <v>0</v>
      </c>
      <c r="D294">
        <f>IMSUM(COMPLEX(0,B294*(LINE_PS_CLINE+LINE_PS_CCHA/2)),IMDIV("1",IMPRODUCT("2",COMPLEX(C_THROUGH_ESR,B294*C_THROUGH_ESL-1/(B294*C_THROUGH_C)))))</f>
        <v>0</v>
      </c>
      <c r="E294">
        <f>COMPLEX(2*LINE_INPUT_DCR,2*B294*LINE_INPUT_L)</f>
        <v>0</v>
      </c>
      <c r="F294">
        <f>COMPLEX(0,B294*(LINE_INPUT_CLINE+LINE_INPUT_CCHA/2))</f>
        <v>0</v>
      </c>
      <c r="G294">
        <f>IMPRODUCT("2",IMDIV("1",IMSUM(IMDIV("1",COMPLEX(LDM1_DCR,B294*LDM1_L)),COMPLEX(0,B294*LDM1_CPA))))</f>
        <v>0</v>
      </c>
      <c r="H294">
        <f>IMSUM(IMDIV("1",COMPLEX(CX1_ESR,B294*CX1_ESL-1/(B294*CX1_C))),IMDIV("1",IMSUM(COMPLEX(DUMP1_R,0),COMPLEX(DUMP1_ESR,B294*DUMP1_ESL-1/(B294*DUMP1_C)))))</f>
        <v>0</v>
      </c>
      <c r="I294">
        <f>IMPRODUCT("2",IMDIV("1",IMSUM(IMDIV("1",COMPLEX(LDM2_DCR,B294*LDM2_L)),COMPLEX(0,B294*LDM2_CPA))))</f>
        <v>0</v>
      </c>
      <c r="J294">
        <f>IMSUM(IMDIV("1",COMPLEX(CX2_ESR,B294*CX2_ESL-1/(B294*CX2_C))),IMDIV("1",IMSUM(COMPLEX(DUMP2_R,0),COMPLEX(DUMP2_ESR,B294*DUMP2_ESL-1/(B294*DUMP2_C)))))</f>
        <v>0</v>
      </c>
      <c r="K294">
        <f>IMPRODUCT("2",IMDIV("1",IMSUM(IMDIV("1",COMPLEX(CMC_DCR,B294*CMC_L*(1-CMC_K))),COMPLEX(0,B294*CMC_CPA))))</f>
        <v>0</v>
      </c>
      <c r="L294">
        <f>IMSUM(COMPLEX(0,B294*CMC_CLINE),IMDIV("1",IMPRODUCT("2",COMPLEX(CY_ESR,B294*CY_ESL-1/(B294*CY_C)))),COMPLEX(1/DUMMY_R,0))</f>
        <v>0</v>
      </c>
      <c r="M294">
        <f>IMSUM(D294,IMDIV("1",C294))</f>
        <v>0</v>
      </c>
      <c r="N294">
        <f>IMDIV("1",IMSUM(E294,IMDIV("1",M294)))</f>
        <v>0</v>
      </c>
      <c r="O294">
        <f>IMSUM(F294,N294)</f>
        <v>0</v>
      </c>
      <c r="P294">
        <f>IMDIV("1",IMSUM(G294,IMDIV("1",O294)))</f>
        <v>0</v>
      </c>
      <c r="Q294">
        <f>IMSUM(H294,P294)</f>
        <v>0</v>
      </c>
      <c r="R294">
        <f>IMDIV("1",IMSUM(I294,IMDIV("1",Q294)))</f>
        <v>0</v>
      </c>
      <c r="S294">
        <f>IMSUM(J294,R294)</f>
        <v>0</v>
      </c>
      <c r="T294">
        <f>IMDIV("1",IMSUM(K294,IMDIV("1",S294)))</f>
        <v>0</v>
      </c>
      <c r="U294">
        <f>IMSUM(L294,T294)</f>
        <v>0</v>
      </c>
      <c r="V294">
        <f>IMDIV(COMPLEX(I_DM_SOURCE,0),U294)</f>
        <v>0</v>
      </c>
      <c r="W294">
        <f>IMPRODUCT(V294,T294)</f>
        <v>0</v>
      </c>
      <c r="X294">
        <f>IMDIV(W294,S294)</f>
        <v>0</v>
      </c>
      <c r="Y294">
        <f>IMPRODUCT(X294,R294)</f>
        <v>0</v>
      </c>
      <c r="Z294">
        <f>IMDIV(Y294,Q294)</f>
        <v>0</v>
      </c>
      <c r="AA294">
        <f>IMPRODUCT(Z294,P294)</f>
        <v>0</v>
      </c>
      <c r="AB294">
        <f>AA294</f>
        <v>0</v>
      </c>
      <c r="AC294">
        <f>IMPRODUCT("-1",AB294)</f>
        <v>0</v>
      </c>
      <c r="AD294">
        <f>IMDIV(IMSUB(AB294,AC294),"2")</f>
        <v>0</v>
      </c>
      <c r="AE294" s="6">
        <f>IMABS(AB294)</f>
        <v>0</v>
      </c>
      <c r="AF294" s="6">
        <f>IMABS(AC294)</f>
        <v>0</v>
      </c>
      <c r="AG294" s="6">
        <f>IMABS(AD294)</f>
        <v>0</v>
      </c>
      <c r="AH294" s="7">
        <f>20*LOG10(MAX(AE294,1E-300)*1E6)</f>
        <v>0</v>
      </c>
      <c r="AI294" s="7">
        <f>20*LOG10(MAX(AF294,1E-300)*1E6)</f>
        <v>0</v>
      </c>
      <c r="AJ294" s="7">
        <f>20*LOG10(MAX(AG294,1E-300)*1E6)</f>
        <v>0</v>
      </c>
      <c r="AK294" s="7">
        <f>DEGREES(IMARGUMENT(AB294))</f>
        <v>0</v>
      </c>
      <c r="AL294" s="7">
        <f>DEGREES(IMARGUMENT(AC294))</f>
        <v>0</v>
      </c>
      <c r="AM294" s="7">
        <f>DEGREES(IMARGUMENT(AD294))</f>
        <v>0</v>
      </c>
    </row>
    <row r="295" spans="1:39">
      <c r="A295" s="6">
        <f>10^(LOG10(F_START)+(ROW()-ROW($A$2))*(LOG10(F_STOP)-LOG10(F_START))/(N_POINTS-1))</f>
        <v>0</v>
      </c>
      <c r="B295" s="6">
        <f>2*PI()*A295</f>
        <v>0</v>
      </c>
      <c r="C295">
        <f>COMPLEX(2*LINE_PS_DCR,2*B295*LINE_PS_L)</f>
        <v>0</v>
      </c>
      <c r="D295">
        <f>IMSUM(COMPLEX(0,B295*(LINE_PS_CLINE+LINE_PS_CCHA/2)),IMDIV("1",IMPRODUCT("2",COMPLEX(C_THROUGH_ESR,B295*C_THROUGH_ESL-1/(B295*C_THROUGH_C)))))</f>
        <v>0</v>
      </c>
      <c r="E295">
        <f>COMPLEX(2*LINE_INPUT_DCR,2*B295*LINE_INPUT_L)</f>
        <v>0</v>
      </c>
      <c r="F295">
        <f>COMPLEX(0,B295*(LINE_INPUT_CLINE+LINE_INPUT_CCHA/2))</f>
        <v>0</v>
      </c>
      <c r="G295">
        <f>IMPRODUCT("2",IMDIV("1",IMSUM(IMDIV("1",COMPLEX(LDM1_DCR,B295*LDM1_L)),COMPLEX(0,B295*LDM1_CPA))))</f>
        <v>0</v>
      </c>
      <c r="H295">
        <f>IMSUM(IMDIV("1",COMPLEX(CX1_ESR,B295*CX1_ESL-1/(B295*CX1_C))),IMDIV("1",IMSUM(COMPLEX(DUMP1_R,0),COMPLEX(DUMP1_ESR,B295*DUMP1_ESL-1/(B295*DUMP1_C)))))</f>
        <v>0</v>
      </c>
      <c r="I295">
        <f>IMPRODUCT("2",IMDIV("1",IMSUM(IMDIV("1",COMPLEX(LDM2_DCR,B295*LDM2_L)),COMPLEX(0,B295*LDM2_CPA))))</f>
        <v>0</v>
      </c>
      <c r="J295">
        <f>IMSUM(IMDIV("1",COMPLEX(CX2_ESR,B295*CX2_ESL-1/(B295*CX2_C))),IMDIV("1",IMSUM(COMPLEX(DUMP2_R,0),COMPLEX(DUMP2_ESR,B295*DUMP2_ESL-1/(B295*DUMP2_C)))))</f>
        <v>0</v>
      </c>
      <c r="K295">
        <f>IMPRODUCT("2",IMDIV("1",IMSUM(IMDIV("1",COMPLEX(CMC_DCR,B295*CMC_L*(1-CMC_K))),COMPLEX(0,B295*CMC_CPA))))</f>
        <v>0</v>
      </c>
      <c r="L295">
        <f>IMSUM(COMPLEX(0,B295*CMC_CLINE),IMDIV("1",IMPRODUCT("2",COMPLEX(CY_ESR,B295*CY_ESL-1/(B295*CY_C)))),COMPLEX(1/DUMMY_R,0))</f>
        <v>0</v>
      </c>
      <c r="M295">
        <f>IMSUM(D295,IMDIV("1",C295))</f>
        <v>0</v>
      </c>
      <c r="N295">
        <f>IMDIV("1",IMSUM(E295,IMDIV("1",M295)))</f>
        <v>0</v>
      </c>
      <c r="O295">
        <f>IMSUM(F295,N295)</f>
        <v>0</v>
      </c>
      <c r="P295">
        <f>IMDIV("1",IMSUM(G295,IMDIV("1",O295)))</f>
        <v>0</v>
      </c>
      <c r="Q295">
        <f>IMSUM(H295,P295)</f>
        <v>0</v>
      </c>
      <c r="R295">
        <f>IMDIV("1",IMSUM(I295,IMDIV("1",Q295)))</f>
        <v>0</v>
      </c>
      <c r="S295">
        <f>IMSUM(J295,R295)</f>
        <v>0</v>
      </c>
      <c r="T295">
        <f>IMDIV("1",IMSUM(K295,IMDIV("1",S295)))</f>
        <v>0</v>
      </c>
      <c r="U295">
        <f>IMSUM(L295,T295)</f>
        <v>0</v>
      </c>
      <c r="V295">
        <f>IMDIV(COMPLEX(I_DM_SOURCE,0),U295)</f>
        <v>0</v>
      </c>
      <c r="W295">
        <f>IMPRODUCT(V295,T295)</f>
        <v>0</v>
      </c>
      <c r="X295">
        <f>IMDIV(W295,S295)</f>
        <v>0</v>
      </c>
      <c r="Y295">
        <f>IMPRODUCT(X295,R295)</f>
        <v>0</v>
      </c>
      <c r="Z295">
        <f>IMDIV(Y295,Q295)</f>
        <v>0</v>
      </c>
      <c r="AA295">
        <f>IMPRODUCT(Z295,P295)</f>
        <v>0</v>
      </c>
      <c r="AB295">
        <f>AA295</f>
        <v>0</v>
      </c>
      <c r="AC295">
        <f>IMPRODUCT("-1",AB295)</f>
        <v>0</v>
      </c>
      <c r="AD295">
        <f>IMDIV(IMSUB(AB295,AC295),"2")</f>
        <v>0</v>
      </c>
      <c r="AE295" s="6">
        <f>IMABS(AB295)</f>
        <v>0</v>
      </c>
      <c r="AF295" s="6">
        <f>IMABS(AC295)</f>
        <v>0</v>
      </c>
      <c r="AG295" s="6">
        <f>IMABS(AD295)</f>
        <v>0</v>
      </c>
      <c r="AH295" s="7">
        <f>20*LOG10(MAX(AE295,1E-300)*1E6)</f>
        <v>0</v>
      </c>
      <c r="AI295" s="7">
        <f>20*LOG10(MAX(AF295,1E-300)*1E6)</f>
        <v>0</v>
      </c>
      <c r="AJ295" s="7">
        <f>20*LOG10(MAX(AG295,1E-300)*1E6)</f>
        <v>0</v>
      </c>
      <c r="AK295" s="7">
        <f>DEGREES(IMARGUMENT(AB295))</f>
        <v>0</v>
      </c>
      <c r="AL295" s="7">
        <f>DEGREES(IMARGUMENT(AC295))</f>
        <v>0</v>
      </c>
      <c r="AM295" s="7">
        <f>DEGREES(IMARGUMENT(AD295))</f>
        <v>0</v>
      </c>
    </row>
    <row r="296" spans="1:39">
      <c r="A296" s="6">
        <f>10^(LOG10(F_START)+(ROW()-ROW($A$2))*(LOG10(F_STOP)-LOG10(F_START))/(N_POINTS-1))</f>
        <v>0</v>
      </c>
      <c r="B296" s="6">
        <f>2*PI()*A296</f>
        <v>0</v>
      </c>
      <c r="C296">
        <f>COMPLEX(2*LINE_PS_DCR,2*B296*LINE_PS_L)</f>
        <v>0</v>
      </c>
      <c r="D296">
        <f>IMSUM(COMPLEX(0,B296*(LINE_PS_CLINE+LINE_PS_CCHA/2)),IMDIV("1",IMPRODUCT("2",COMPLEX(C_THROUGH_ESR,B296*C_THROUGH_ESL-1/(B296*C_THROUGH_C)))))</f>
        <v>0</v>
      </c>
      <c r="E296">
        <f>COMPLEX(2*LINE_INPUT_DCR,2*B296*LINE_INPUT_L)</f>
        <v>0</v>
      </c>
      <c r="F296">
        <f>COMPLEX(0,B296*(LINE_INPUT_CLINE+LINE_INPUT_CCHA/2))</f>
        <v>0</v>
      </c>
      <c r="G296">
        <f>IMPRODUCT("2",IMDIV("1",IMSUM(IMDIV("1",COMPLEX(LDM1_DCR,B296*LDM1_L)),COMPLEX(0,B296*LDM1_CPA))))</f>
        <v>0</v>
      </c>
      <c r="H296">
        <f>IMSUM(IMDIV("1",COMPLEX(CX1_ESR,B296*CX1_ESL-1/(B296*CX1_C))),IMDIV("1",IMSUM(COMPLEX(DUMP1_R,0),COMPLEX(DUMP1_ESR,B296*DUMP1_ESL-1/(B296*DUMP1_C)))))</f>
        <v>0</v>
      </c>
      <c r="I296">
        <f>IMPRODUCT("2",IMDIV("1",IMSUM(IMDIV("1",COMPLEX(LDM2_DCR,B296*LDM2_L)),COMPLEX(0,B296*LDM2_CPA))))</f>
        <v>0</v>
      </c>
      <c r="J296">
        <f>IMSUM(IMDIV("1",COMPLEX(CX2_ESR,B296*CX2_ESL-1/(B296*CX2_C))),IMDIV("1",IMSUM(COMPLEX(DUMP2_R,0),COMPLEX(DUMP2_ESR,B296*DUMP2_ESL-1/(B296*DUMP2_C)))))</f>
        <v>0</v>
      </c>
      <c r="K296">
        <f>IMPRODUCT("2",IMDIV("1",IMSUM(IMDIV("1",COMPLEX(CMC_DCR,B296*CMC_L*(1-CMC_K))),COMPLEX(0,B296*CMC_CPA))))</f>
        <v>0</v>
      </c>
      <c r="L296">
        <f>IMSUM(COMPLEX(0,B296*CMC_CLINE),IMDIV("1",IMPRODUCT("2",COMPLEX(CY_ESR,B296*CY_ESL-1/(B296*CY_C)))),COMPLEX(1/DUMMY_R,0))</f>
        <v>0</v>
      </c>
      <c r="M296">
        <f>IMSUM(D296,IMDIV("1",C296))</f>
        <v>0</v>
      </c>
      <c r="N296">
        <f>IMDIV("1",IMSUM(E296,IMDIV("1",M296)))</f>
        <v>0</v>
      </c>
      <c r="O296">
        <f>IMSUM(F296,N296)</f>
        <v>0</v>
      </c>
      <c r="P296">
        <f>IMDIV("1",IMSUM(G296,IMDIV("1",O296)))</f>
        <v>0</v>
      </c>
      <c r="Q296">
        <f>IMSUM(H296,P296)</f>
        <v>0</v>
      </c>
      <c r="R296">
        <f>IMDIV("1",IMSUM(I296,IMDIV("1",Q296)))</f>
        <v>0</v>
      </c>
      <c r="S296">
        <f>IMSUM(J296,R296)</f>
        <v>0</v>
      </c>
      <c r="T296">
        <f>IMDIV("1",IMSUM(K296,IMDIV("1",S296)))</f>
        <v>0</v>
      </c>
      <c r="U296">
        <f>IMSUM(L296,T296)</f>
        <v>0</v>
      </c>
      <c r="V296">
        <f>IMDIV(COMPLEX(I_DM_SOURCE,0),U296)</f>
        <v>0</v>
      </c>
      <c r="W296">
        <f>IMPRODUCT(V296,T296)</f>
        <v>0</v>
      </c>
      <c r="X296">
        <f>IMDIV(W296,S296)</f>
        <v>0</v>
      </c>
      <c r="Y296">
        <f>IMPRODUCT(X296,R296)</f>
        <v>0</v>
      </c>
      <c r="Z296">
        <f>IMDIV(Y296,Q296)</f>
        <v>0</v>
      </c>
      <c r="AA296">
        <f>IMPRODUCT(Z296,P296)</f>
        <v>0</v>
      </c>
      <c r="AB296">
        <f>AA296</f>
        <v>0</v>
      </c>
      <c r="AC296">
        <f>IMPRODUCT("-1",AB296)</f>
        <v>0</v>
      </c>
      <c r="AD296">
        <f>IMDIV(IMSUB(AB296,AC296),"2")</f>
        <v>0</v>
      </c>
      <c r="AE296" s="6">
        <f>IMABS(AB296)</f>
        <v>0</v>
      </c>
      <c r="AF296" s="6">
        <f>IMABS(AC296)</f>
        <v>0</v>
      </c>
      <c r="AG296" s="6">
        <f>IMABS(AD296)</f>
        <v>0</v>
      </c>
      <c r="AH296" s="7">
        <f>20*LOG10(MAX(AE296,1E-300)*1E6)</f>
        <v>0</v>
      </c>
      <c r="AI296" s="7">
        <f>20*LOG10(MAX(AF296,1E-300)*1E6)</f>
        <v>0</v>
      </c>
      <c r="AJ296" s="7">
        <f>20*LOG10(MAX(AG296,1E-300)*1E6)</f>
        <v>0</v>
      </c>
      <c r="AK296" s="7">
        <f>DEGREES(IMARGUMENT(AB296))</f>
        <v>0</v>
      </c>
      <c r="AL296" s="7">
        <f>DEGREES(IMARGUMENT(AC296))</f>
        <v>0</v>
      </c>
      <c r="AM296" s="7">
        <f>DEGREES(IMARGUMENT(AD296))</f>
        <v>0</v>
      </c>
    </row>
    <row r="297" spans="1:39">
      <c r="A297" s="6">
        <f>10^(LOG10(F_START)+(ROW()-ROW($A$2))*(LOG10(F_STOP)-LOG10(F_START))/(N_POINTS-1))</f>
        <v>0</v>
      </c>
      <c r="B297" s="6">
        <f>2*PI()*A297</f>
        <v>0</v>
      </c>
      <c r="C297">
        <f>COMPLEX(2*LINE_PS_DCR,2*B297*LINE_PS_L)</f>
        <v>0</v>
      </c>
      <c r="D297">
        <f>IMSUM(COMPLEX(0,B297*(LINE_PS_CLINE+LINE_PS_CCHA/2)),IMDIV("1",IMPRODUCT("2",COMPLEX(C_THROUGH_ESR,B297*C_THROUGH_ESL-1/(B297*C_THROUGH_C)))))</f>
        <v>0</v>
      </c>
      <c r="E297">
        <f>COMPLEX(2*LINE_INPUT_DCR,2*B297*LINE_INPUT_L)</f>
        <v>0</v>
      </c>
      <c r="F297">
        <f>COMPLEX(0,B297*(LINE_INPUT_CLINE+LINE_INPUT_CCHA/2))</f>
        <v>0</v>
      </c>
      <c r="G297">
        <f>IMPRODUCT("2",IMDIV("1",IMSUM(IMDIV("1",COMPLEX(LDM1_DCR,B297*LDM1_L)),COMPLEX(0,B297*LDM1_CPA))))</f>
        <v>0</v>
      </c>
      <c r="H297">
        <f>IMSUM(IMDIV("1",COMPLEX(CX1_ESR,B297*CX1_ESL-1/(B297*CX1_C))),IMDIV("1",IMSUM(COMPLEX(DUMP1_R,0),COMPLEX(DUMP1_ESR,B297*DUMP1_ESL-1/(B297*DUMP1_C)))))</f>
        <v>0</v>
      </c>
      <c r="I297">
        <f>IMPRODUCT("2",IMDIV("1",IMSUM(IMDIV("1",COMPLEX(LDM2_DCR,B297*LDM2_L)),COMPLEX(0,B297*LDM2_CPA))))</f>
        <v>0</v>
      </c>
      <c r="J297">
        <f>IMSUM(IMDIV("1",COMPLEX(CX2_ESR,B297*CX2_ESL-1/(B297*CX2_C))),IMDIV("1",IMSUM(COMPLEX(DUMP2_R,0),COMPLEX(DUMP2_ESR,B297*DUMP2_ESL-1/(B297*DUMP2_C)))))</f>
        <v>0</v>
      </c>
      <c r="K297">
        <f>IMPRODUCT("2",IMDIV("1",IMSUM(IMDIV("1",COMPLEX(CMC_DCR,B297*CMC_L*(1-CMC_K))),COMPLEX(0,B297*CMC_CPA))))</f>
        <v>0</v>
      </c>
      <c r="L297">
        <f>IMSUM(COMPLEX(0,B297*CMC_CLINE),IMDIV("1",IMPRODUCT("2",COMPLEX(CY_ESR,B297*CY_ESL-1/(B297*CY_C)))),COMPLEX(1/DUMMY_R,0))</f>
        <v>0</v>
      </c>
      <c r="M297">
        <f>IMSUM(D297,IMDIV("1",C297))</f>
        <v>0</v>
      </c>
      <c r="N297">
        <f>IMDIV("1",IMSUM(E297,IMDIV("1",M297)))</f>
        <v>0</v>
      </c>
      <c r="O297">
        <f>IMSUM(F297,N297)</f>
        <v>0</v>
      </c>
      <c r="P297">
        <f>IMDIV("1",IMSUM(G297,IMDIV("1",O297)))</f>
        <v>0</v>
      </c>
      <c r="Q297">
        <f>IMSUM(H297,P297)</f>
        <v>0</v>
      </c>
      <c r="R297">
        <f>IMDIV("1",IMSUM(I297,IMDIV("1",Q297)))</f>
        <v>0</v>
      </c>
      <c r="S297">
        <f>IMSUM(J297,R297)</f>
        <v>0</v>
      </c>
      <c r="T297">
        <f>IMDIV("1",IMSUM(K297,IMDIV("1",S297)))</f>
        <v>0</v>
      </c>
      <c r="U297">
        <f>IMSUM(L297,T297)</f>
        <v>0</v>
      </c>
      <c r="V297">
        <f>IMDIV(COMPLEX(I_DM_SOURCE,0),U297)</f>
        <v>0</v>
      </c>
      <c r="W297">
        <f>IMPRODUCT(V297,T297)</f>
        <v>0</v>
      </c>
      <c r="X297">
        <f>IMDIV(W297,S297)</f>
        <v>0</v>
      </c>
      <c r="Y297">
        <f>IMPRODUCT(X297,R297)</f>
        <v>0</v>
      </c>
      <c r="Z297">
        <f>IMDIV(Y297,Q297)</f>
        <v>0</v>
      </c>
      <c r="AA297">
        <f>IMPRODUCT(Z297,P297)</f>
        <v>0</v>
      </c>
      <c r="AB297">
        <f>AA297</f>
        <v>0</v>
      </c>
      <c r="AC297">
        <f>IMPRODUCT("-1",AB297)</f>
        <v>0</v>
      </c>
      <c r="AD297">
        <f>IMDIV(IMSUB(AB297,AC297),"2")</f>
        <v>0</v>
      </c>
      <c r="AE297" s="6">
        <f>IMABS(AB297)</f>
        <v>0</v>
      </c>
      <c r="AF297" s="6">
        <f>IMABS(AC297)</f>
        <v>0</v>
      </c>
      <c r="AG297" s="6">
        <f>IMABS(AD297)</f>
        <v>0</v>
      </c>
      <c r="AH297" s="7">
        <f>20*LOG10(MAX(AE297,1E-300)*1E6)</f>
        <v>0</v>
      </c>
      <c r="AI297" s="7">
        <f>20*LOG10(MAX(AF297,1E-300)*1E6)</f>
        <v>0</v>
      </c>
      <c r="AJ297" s="7">
        <f>20*LOG10(MAX(AG297,1E-300)*1E6)</f>
        <v>0</v>
      </c>
      <c r="AK297" s="7">
        <f>DEGREES(IMARGUMENT(AB297))</f>
        <v>0</v>
      </c>
      <c r="AL297" s="7">
        <f>DEGREES(IMARGUMENT(AC297))</f>
        <v>0</v>
      </c>
      <c r="AM297" s="7">
        <f>DEGREES(IMARGUMENT(AD297))</f>
        <v>0</v>
      </c>
    </row>
    <row r="298" spans="1:39">
      <c r="A298" s="6">
        <f>10^(LOG10(F_START)+(ROW()-ROW($A$2))*(LOG10(F_STOP)-LOG10(F_START))/(N_POINTS-1))</f>
        <v>0</v>
      </c>
      <c r="B298" s="6">
        <f>2*PI()*A298</f>
        <v>0</v>
      </c>
      <c r="C298">
        <f>COMPLEX(2*LINE_PS_DCR,2*B298*LINE_PS_L)</f>
        <v>0</v>
      </c>
      <c r="D298">
        <f>IMSUM(COMPLEX(0,B298*(LINE_PS_CLINE+LINE_PS_CCHA/2)),IMDIV("1",IMPRODUCT("2",COMPLEX(C_THROUGH_ESR,B298*C_THROUGH_ESL-1/(B298*C_THROUGH_C)))))</f>
        <v>0</v>
      </c>
      <c r="E298">
        <f>COMPLEX(2*LINE_INPUT_DCR,2*B298*LINE_INPUT_L)</f>
        <v>0</v>
      </c>
      <c r="F298">
        <f>COMPLEX(0,B298*(LINE_INPUT_CLINE+LINE_INPUT_CCHA/2))</f>
        <v>0</v>
      </c>
      <c r="G298">
        <f>IMPRODUCT("2",IMDIV("1",IMSUM(IMDIV("1",COMPLEX(LDM1_DCR,B298*LDM1_L)),COMPLEX(0,B298*LDM1_CPA))))</f>
        <v>0</v>
      </c>
      <c r="H298">
        <f>IMSUM(IMDIV("1",COMPLEX(CX1_ESR,B298*CX1_ESL-1/(B298*CX1_C))),IMDIV("1",IMSUM(COMPLEX(DUMP1_R,0),COMPLEX(DUMP1_ESR,B298*DUMP1_ESL-1/(B298*DUMP1_C)))))</f>
        <v>0</v>
      </c>
      <c r="I298">
        <f>IMPRODUCT("2",IMDIV("1",IMSUM(IMDIV("1",COMPLEX(LDM2_DCR,B298*LDM2_L)),COMPLEX(0,B298*LDM2_CPA))))</f>
        <v>0</v>
      </c>
      <c r="J298">
        <f>IMSUM(IMDIV("1",COMPLEX(CX2_ESR,B298*CX2_ESL-1/(B298*CX2_C))),IMDIV("1",IMSUM(COMPLEX(DUMP2_R,0),COMPLEX(DUMP2_ESR,B298*DUMP2_ESL-1/(B298*DUMP2_C)))))</f>
        <v>0</v>
      </c>
      <c r="K298">
        <f>IMPRODUCT("2",IMDIV("1",IMSUM(IMDIV("1",COMPLEX(CMC_DCR,B298*CMC_L*(1-CMC_K))),COMPLEX(0,B298*CMC_CPA))))</f>
        <v>0</v>
      </c>
      <c r="L298">
        <f>IMSUM(COMPLEX(0,B298*CMC_CLINE),IMDIV("1",IMPRODUCT("2",COMPLEX(CY_ESR,B298*CY_ESL-1/(B298*CY_C)))),COMPLEX(1/DUMMY_R,0))</f>
        <v>0</v>
      </c>
      <c r="M298">
        <f>IMSUM(D298,IMDIV("1",C298))</f>
        <v>0</v>
      </c>
      <c r="N298">
        <f>IMDIV("1",IMSUM(E298,IMDIV("1",M298)))</f>
        <v>0</v>
      </c>
      <c r="O298">
        <f>IMSUM(F298,N298)</f>
        <v>0</v>
      </c>
      <c r="P298">
        <f>IMDIV("1",IMSUM(G298,IMDIV("1",O298)))</f>
        <v>0</v>
      </c>
      <c r="Q298">
        <f>IMSUM(H298,P298)</f>
        <v>0</v>
      </c>
      <c r="R298">
        <f>IMDIV("1",IMSUM(I298,IMDIV("1",Q298)))</f>
        <v>0</v>
      </c>
      <c r="S298">
        <f>IMSUM(J298,R298)</f>
        <v>0</v>
      </c>
      <c r="T298">
        <f>IMDIV("1",IMSUM(K298,IMDIV("1",S298)))</f>
        <v>0</v>
      </c>
      <c r="U298">
        <f>IMSUM(L298,T298)</f>
        <v>0</v>
      </c>
      <c r="V298">
        <f>IMDIV(COMPLEX(I_DM_SOURCE,0),U298)</f>
        <v>0</v>
      </c>
      <c r="W298">
        <f>IMPRODUCT(V298,T298)</f>
        <v>0</v>
      </c>
      <c r="X298">
        <f>IMDIV(W298,S298)</f>
        <v>0</v>
      </c>
      <c r="Y298">
        <f>IMPRODUCT(X298,R298)</f>
        <v>0</v>
      </c>
      <c r="Z298">
        <f>IMDIV(Y298,Q298)</f>
        <v>0</v>
      </c>
      <c r="AA298">
        <f>IMPRODUCT(Z298,P298)</f>
        <v>0</v>
      </c>
      <c r="AB298">
        <f>AA298</f>
        <v>0</v>
      </c>
      <c r="AC298">
        <f>IMPRODUCT("-1",AB298)</f>
        <v>0</v>
      </c>
      <c r="AD298">
        <f>IMDIV(IMSUB(AB298,AC298),"2")</f>
        <v>0</v>
      </c>
      <c r="AE298" s="6">
        <f>IMABS(AB298)</f>
        <v>0</v>
      </c>
      <c r="AF298" s="6">
        <f>IMABS(AC298)</f>
        <v>0</v>
      </c>
      <c r="AG298" s="6">
        <f>IMABS(AD298)</f>
        <v>0</v>
      </c>
      <c r="AH298" s="7">
        <f>20*LOG10(MAX(AE298,1E-300)*1E6)</f>
        <v>0</v>
      </c>
      <c r="AI298" s="7">
        <f>20*LOG10(MAX(AF298,1E-300)*1E6)</f>
        <v>0</v>
      </c>
      <c r="AJ298" s="7">
        <f>20*LOG10(MAX(AG298,1E-300)*1E6)</f>
        <v>0</v>
      </c>
      <c r="AK298" s="7">
        <f>DEGREES(IMARGUMENT(AB298))</f>
        <v>0</v>
      </c>
      <c r="AL298" s="7">
        <f>DEGREES(IMARGUMENT(AC298))</f>
        <v>0</v>
      </c>
      <c r="AM298" s="7">
        <f>DEGREES(IMARGUMENT(AD298))</f>
        <v>0</v>
      </c>
    </row>
    <row r="299" spans="1:39">
      <c r="A299" s="6">
        <f>10^(LOG10(F_START)+(ROW()-ROW($A$2))*(LOG10(F_STOP)-LOG10(F_START))/(N_POINTS-1))</f>
        <v>0</v>
      </c>
      <c r="B299" s="6">
        <f>2*PI()*A299</f>
        <v>0</v>
      </c>
      <c r="C299">
        <f>COMPLEX(2*LINE_PS_DCR,2*B299*LINE_PS_L)</f>
        <v>0</v>
      </c>
      <c r="D299">
        <f>IMSUM(COMPLEX(0,B299*(LINE_PS_CLINE+LINE_PS_CCHA/2)),IMDIV("1",IMPRODUCT("2",COMPLEX(C_THROUGH_ESR,B299*C_THROUGH_ESL-1/(B299*C_THROUGH_C)))))</f>
        <v>0</v>
      </c>
      <c r="E299">
        <f>COMPLEX(2*LINE_INPUT_DCR,2*B299*LINE_INPUT_L)</f>
        <v>0</v>
      </c>
      <c r="F299">
        <f>COMPLEX(0,B299*(LINE_INPUT_CLINE+LINE_INPUT_CCHA/2))</f>
        <v>0</v>
      </c>
      <c r="G299">
        <f>IMPRODUCT("2",IMDIV("1",IMSUM(IMDIV("1",COMPLEX(LDM1_DCR,B299*LDM1_L)),COMPLEX(0,B299*LDM1_CPA))))</f>
        <v>0</v>
      </c>
      <c r="H299">
        <f>IMSUM(IMDIV("1",COMPLEX(CX1_ESR,B299*CX1_ESL-1/(B299*CX1_C))),IMDIV("1",IMSUM(COMPLEX(DUMP1_R,0),COMPLEX(DUMP1_ESR,B299*DUMP1_ESL-1/(B299*DUMP1_C)))))</f>
        <v>0</v>
      </c>
      <c r="I299">
        <f>IMPRODUCT("2",IMDIV("1",IMSUM(IMDIV("1",COMPLEX(LDM2_DCR,B299*LDM2_L)),COMPLEX(0,B299*LDM2_CPA))))</f>
        <v>0</v>
      </c>
      <c r="J299">
        <f>IMSUM(IMDIV("1",COMPLEX(CX2_ESR,B299*CX2_ESL-1/(B299*CX2_C))),IMDIV("1",IMSUM(COMPLEX(DUMP2_R,0),COMPLEX(DUMP2_ESR,B299*DUMP2_ESL-1/(B299*DUMP2_C)))))</f>
        <v>0</v>
      </c>
      <c r="K299">
        <f>IMPRODUCT("2",IMDIV("1",IMSUM(IMDIV("1",COMPLEX(CMC_DCR,B299*CMC_L*(1-CMC_K))),COMPLEX(0,B299*CMC_CPA))))</f>
        <v>0</v>
      </c>
      <c r="L299">
        <f>IMSUM(COMPLEX(0,B299*CMC_CLINE),IMDIV("1",IMPRODUCT("2",COMPLEX(CY_ESR,B299*CY_ESL-1/(B299*CY_C)))),COMPLEX(1/DUMMY_R,0))</f>
        <v>0</v>
      </c>
      <c r="M299">
        <f>IMSUM(D299,IMDIV("1",C299))</f>
        <v>0</v>
      </c>
      <c r="N299">
        <f>IMDIV("1",IMSUM(E299,IMDIV("1",M299)))</f>
        <v>0</v>
      </c>
      <c r="O299">
        <f>IMSUM(F299,N299)</f>
        <v>0</v>
      </c>
      <c r="P299">
        <f>IMDIV("1",IMSUM(G299,IMDIV("1",O299)))</f>
        <v>0</v>
      </c>
      <c r="Q299">
        <f>IMSUM(H299,P299)</f>
        <v>0</v>
      </c>
      <c r="R299">
        <f>IMDIV("1",IMSUM(I299,IMDIV("1",Q299)))</f>
        <v>0</v>
      </c>
      <c r="S299">
        <f>IMSUM(J299,R299)</f>
        <v>0</v>
      </c>
      <c r="T299">
        <f>IMDIV("1",IMSUM(K299,IMDIV("1",S299)))</f>
        <v>0</v>
      </c>
      <c r="U299">
        <f>IMSUM(L299,T299)</f>
        <v>0</v>
      </c>
      <c r="V299">
        <f>IMDIV(COMPLEX(I_DM_SOURCE,0),U299)</f>
        <v>0</v>
      </c>
      <c r="W299">
        <f>IMPRODUCT(V299,T299)</f>
        <v>0</v>
      </c>
      <c r="X299">
        <f>IMDIV(W299,S299)</f>
        <v>0</v>
      </c>
      <c r="Y299">
        <f>IMPRODUCT(X299,R299)</f>
        <v>0</v>
      </c>
      <c r="Z299">
        <f>IMDIV(Y299,Q299)</f>
        <v>0</v>
      </c>
      <c r="AA299">
        <f>IMPRODUCT(Z299,P299)</f>
        <v>0</v>
      </c>
      <c r="AB299">
        <f>AA299</f>
        <v>0</v>
      </c>
      <c r="AC299">
        <f>IMPRODUCT("-1",AB299)</f>
        <v>0</v>
      </c>
      <c r="AD299">
        <f>IMDIV(IMSUB(AB299,AC299),"2")</f>
        <v>0</v>
      </c>
      <c r="AE299" s="6">
        <f>IMABS(AB299)</f>
        <v>0</v>
      </c>
      <c r="AF299" s="6">
        <f>IMABS(AC299)</f>
        <v>0</v>
      </c>
      <c r="AG299" s="6">
        <f>IMABS(AD299)</f>
        <v>0</v>
      </c>
      <c r="AH299" s="7">
        <f>20*LOG10(MAX(AE299,1E-300)*1E6)</f>
        <v>0</v>
      </c>
      <c r="AI299" s="7">
        <f>20*LOG10(MAX(AF299,1E-300)*1E6)</f>
        <v>0</v>
      </c>
      <c r="AJ299" s="7">
        <f>20*LOG10(MAX(AG299,1E-300)*1E6)</f>
        <v>0</v>
      </c>
      <c r="AK299" s="7">
        <f>DEGREES(IMARGUMENT(AB299))</f>
        <v>0</v>
      </c>
      <c r="AL299" s="7">
        <f>DEGREES(IMARGUMENT(AC299))</f>
        <v>0</v>
      </c>
      <c r="AM299" s="7">
        <f>DEGREES(IMARGUMENT(AD299))</f>
        <v>0</v>
      </c>
    </row>
    <row r="300" spans="1:39">
      <c r="A300" s="6">
        <f>10^(LOG10(F_START)+(ROW()-ROW($A$2))*(LOG10(F_STOP)-LOG10(F_START))/(N_POINTS-1))</f>
        <v>0</v>
      </c>
      <c r="B300" s="6">
        <f>2*PI()*A300</f>
        <v>0</v>
      </c>
      <c r="C300">
        <f>COMPLEX(2*LINE_PS_DCR,2*B300*LINE_PS_L)</f>
        <v>0</v>
      </c>
      <c r="D300">
        <f>IMSUM(COMPLEX(0,B300*(LINE_PS_CLINE+LINE_PS_CCHA/2)),IMDIV("1",IMPRODUCT("2",COMPLEX(C_THROUGH_ESR,B300*C_THROUGH_ESL-1/(B300*C_THROUGH_C)))))</f>
        <v>0</v>
      </c>
      <c r="E300">
        <f>COMPLEX(2*LINE_INPUT_DCR,2*B300*LINE_INPUT_L)</f>
        <v>0</v>
      </c>
      <c r="F300">
        <f>COMPLEX(0,B300*(LINE_INPUT_CLINE+LINE_INPUT_CCHA/2))</f>
        <v>0</v>
      </c>
      <c r="G300">
        <f>IMPRODUCT("2",IMDIV("1",IMSUM(IMDIV("1",COMPLEX(LDM1_DCR,B300*LDM1_L)),COMPLEX(0,B300*LDM1_CPA))))</f>
        <v>0</v>
      </c>
      <c r="H300">
        <f>IMSUM(IMDIV("1",COMPLEX(CX1_ESR,B300*CX1_ESL-1/(B300*CX1_C))),IMDIV("1",IMSUM(COMPLEX(DUMP1_R,0),COMPLEX(DUMP1_ESR,B300*DUMP1_ESL-1/(B300*DUMP1_C)))))</f>
        <v>0</v>
      </c>
      <c r="I300">
        <f>IMPRODUCT("2",IMDIV("1",IMSUM(IMDIV("1",COMPLEX(LDM2_DCR,B300*LDM2_L)),COMPLEX(0,B300*LDM2_CPA))))</f>
        <v>0</v>
      </c>
      <c r="J300">
        <f>IMSUM(IMDIV("1",COMPLEX(CX2_ESR,B300*CX2_ESL-1/(B300*CX2_C))),IMDIV("1",IMSUM(COMPLEX(DUMP2_R,0),COMPLEX(DUMP2_ESR,B300*DUMP2_ESL-1/(B300*DUMP2_C)))))</f>
        <v>0</v>
      </c>
      <c r="K300">
        <f>IMPRODUCT("2",IMDIV("1",IMSUM(IMDIV("1",COMPLEX(CMC_DCR,B300*CMC_L*(1-CMC_K))),COMPLEX(0,B300*CMC_CPA))))</f>
        <v>0</v>
      </c>
      <c r="L300">
        <f>IMSUM(COMPLEX(0,B300*CMC_CLINE),IMDIV("1",IMPRODUCT("2",COMPLEX(CY_ESR,B300*CY_ESL-1/(B300*CY_C)))),COMPLEX(1/DUMMY_R,0))</f>
        <v>0</v>
      </c>
      <c r="M300">
        <f>IMSUM(D300,IMDIV("1",C300))</f>
        <v>0</v>
      </c>
      <c r="N300">
        <f>IMDIV("1",IMSUM(E300,IMDIV("1",M300)))</f>
        <v>0</v>
      </c>
      <c r="O300">
        <f>IMSUM(F300,N300)</f>
        <v>0</v>
      </c>
      <c r="P300">
        <f>IMDIV("1",IMSUM(G300,IMDIV("1",O300)))</f>
        <v>0</v>
      </c>
      <c r="Q300">
        <f>IMSUM(H300,P300)</f>
        <v>0</v>
      </c>
      <c r="R300">
        <f>IMDIV("1",IMSUM(I300,IMDIV("1",Q300)))</f>
        <v>0</v>
      </c>
      <c r="S300">
        <f>IMSUM(J300,R300)</f>
        <v>0</v>
      </c>
      <c r="T300">
        <f>IMDIV("1",IMSUM(K300,IMDIV("1",S300)))</f>
        <v>0</v>
      </c>
      <c r="U300">
        <f>IMSUM(L300,T300)</f>
        <v>0</v>
      </c>
      <c r="V300">
        <f>IMDIV(COMPLEX(I_DM_SOURCE,0),U300)</f>
        <v>0</v>
      </c>
      <c r="W300">
        <f>IMPRODUCT(V300,T300)</f>
        <v>0</v>
      </c>
      <c r="X300">
        <f>IMDIV(W300,S300)</f>
        <v>0</v>
      </c>
      <c r="Y300">
        <f>IMPRODUCT(X300,R300)</f>
        <v>0</v>
      </c>
      <c r="Z300">
        <f>IMDIV(Y300,Q300)</f>
        <v>0</v>
      </c>
      <c r="AA300">
        <f>IMPRODUCT(Z300,P300)</f>
        <v>0</v>
      </c>
      <c r="AB300">
        <f>AA300</f>
        <v>0</v>
      </c>
      <c r="AC300">
        <f>IMPRODUCT("-1",AB300)</f>
        <v>0</v>
      </c>
      <c r="AD300">
        <f>IMDIV(IMSUB(AB300,AC300),"2")</f>
        <v>0</v>
      </c>
      <c r="AE300" s="6">
        <f>IMABS(AB300)</f>
        <v>0</v>
      </c>
      <c r="AF300" s="6">
        <f>IMABS(AC300)</f>
        <v>0</v>
      </c>
      <c r="AG300" s="6">
        <f>IMABS(AD300)</f>
        <v>0</v>
      </c>
      <c r="AH300" s="7">
        <f>20*LOG10(MAX(AE300,1E-300)*1E6)</f>
        <v>0</v>
      </c>
      <c r="AI300" s="7">
        <f>20*LOG10(MAX(AF300,1E-300)*1E6)</f>
        <v>0</v>
      </c>
      <c r="AJ300" s="7">
        <f>20*LOG10(MAX(AG300,1E-300)*1E6)</f>
        <v>0</v>
      </c>
      <c r="AK300" s="7">
        <f>DEGREES(IMARGUMENT(AB300))</f>
        <v>0</v>
      </c>
      <c r="AL300" s="7">
        <f>DEGREES(IMARGUMENT(AC300))</f>
        <v>0</v>
      </c>
      <c r="AM300" s="7">
        <f>DEGREES(IMARGUMENT(AD300))</f>
        <v>0</v>
      </c>
    </row>
    <row r="301" spans="1:39">
      <c r="A301" s="6">
        <f>10^(LOG10(F_START)+(ROW()-ROW($A$2))*(LOG10(F_STOP)-LOG10(F_START))/(N_POINTS-1))</f>
        <v>0</v>
      </c>
      <c r="B301" s="6">
        <f>2*PI()*A301</f>
        <v>0</v>
      </c>
      <c r="C301">
        <f>COMPLEX(2*LINE_PS_DCR,2*B301*LINE_PS_L)</f>
        <v>0</v>
      </c>
      <c r="D301">
        <f>IMSUM(COMPLEX(0,B301*(LINE_PS_CLINE+LINE_PS_CCHA/2)),IMDIV("1",IMPRODUCT("2",COMPLEX(C_THROUGH_ESR,B301*C_THROUGH_ESL-1/(B301*C_THROUGH_C)))))</f>
        <v>0</v>
      </c>
      <c r="E301">
        <f>COMPLEX(2*LINE_INPUT_DCR,2*B301*LINE_INPUT_L)</f>
        <v>0</v>
      </c>
      <c r="F301">
        <f>COMPLEX(0,B301*(LINE_INPUT_CLINE+LINE_INPUT_CCHA/2))</f>
        <v>0</v>
      </c>
      <c r="G301">
        <f>IMPRODUCT("2",IMDIV("1",IMSUM(IMDIV("1",COMPLEX(LDM1_DCR,B301*LDM1_L)),COMPLEX(0,B301*LDM1_CPA))))</f>
        <v>0</v>
      </c>
      <c r="H301">
        <f>IMSUM(IMDIV("1",COMPLEX(CX1_ESR,B301*CX1_ESL-1/(B301*CX1_C))),IMDIV("1",IMSUM(COMPLEX(DUMP1_R,0),COMPLEX(DUMP1_ESR,B301*DUMP1_ESL-1/(B301*DUMP1_C)))))</f>
        <v>0</v>
      </c>
      <c r="I301">
        <f>IMPRODUCT("2",IMDIV("1",IMSUM(IMDIV("1",COMPLEX(LDM2_DCR,B301*LDM2_L)),COMPLEX(0,B301*LDM2_CPA))))</f>
        <v>0</v>
      </c>
      <c r="J301">
        <f>IMSUM(IMDIV("1",COMPLEX(CX2_ESR,B301*CX2_ESL-1/(B301*CX2_C))),IMDIV("1",IMSUM(COMPLEX(DUMP2_R,0),COMPLEX(DUMP2_ESR,B301*DUMP2_ESL-1/(B301*DUMP2_C)))))</f>
        <v>0</v>
      </c>
      <c r="K301">
        <f>IMPRODUCT("2",IMDIV("1",IMSUM(IMDIV("1",COMPLEX(CMC_DCR,B301*CMC_L*(1-CMC_K))),COMPLEX(0,B301*CMC_CPA))))</f>
        <v>0</v>
      </c>
      <c r="L301">
        <f>IMSUM(COMPLEX(0,B301*CMC_CLINE),IMDIV("1",IMPRODUCT("2",COMPLEX(CY_ESR,B301*CY_ESL-1/(B301*CY_C)))),COMPLEX(1/DUMMY_R,0))</f>
        <v>0</v>
      </c>
      <c r="M301">
        <f>IMSUM(D301,IMDIV("1",C301))</f>
        <v>0</v>
      </c>
      <c r="N301">
        <f>IMDIV("1",IMSUM(E301,IMDIV("1",M301)))</f>
        <v>0</v>
      </c>
      <c r="O301">
        <f>IMSUM(F301,N301)</f>
        <v>0</v>
      </c>
      <c r="P301">
        <f>IMDIV("1",IMSUM(G301,IMDIV("1",O301)))</f>
        <v>0</v>
      </c>
      <c r="Q301">
        <f>IMSUM(H301,P301)</f>
        <v>0</v>
      </c>
      <c r="R301">
        <f>IMDIV("1",IMSUM(I301,IMDIV("1",Q301)))</f>
        <v>0</v>
      </c>
      <c r="S301">
        <f>IMSUM(J301,R301)</f>
        <v>0</v>
      </c>
      <c r="T301">
        <f>IMDIV("1",IMSUM(K301,IMDIV("1",S301)))</f>
        <v>0</v>
      </c>
      <c r="U301">
        <f>IMSUM(L301,T301)</f>
        <v>0</v>
      </c>
      <c r="V301">
        <f>IMDIV(COMPLEX(I_DM_SOURCE,0),U301)</f>
        <v>0</v>
      </c>
      <c r="W301">
        <f>IMPRODUCT(V301,T301)</f>
        <v>0</v>
      </c>
      <c r="X301">
        <f>IMDIV(W301,S301)</f>
        <v>0</v>
      </c>
      <c r="Y301">
        <f>IMPRODUCT(X301,R301)</f>
        <v>0</v>
      </c>
      <c r="Z301">
        <f>IMDIV(Y301,Q301)</f>
        <v>0</v>
      </c>
      <c r="AA301">
        <f>IMPRODUCT(Z301,P301)</f>
        <v>0</v>
      </c>
      <c r="AB301">
        <f>AA301</f>
        <v>0</v>
      </c>
      <c r="AC301">
        <f>IMPRODUCT("-1",AB301)</f>
        <v>0</v>
      </c>
      <c r="AD301">
        <f>IMDIV(IMSUB(AB301,AC301),"2")</f>
        <v>0</v>
      </c>
      <c r="AE301" s="6">
        <f>IMABS(AB301)</f>
        <v>0</v>
      </c>
      <c r="AF301" s="6">
        <f>IMABS(AC301)</f>
        <v>0</v>
      </c>
      <c r="AG301" s="6">
        <f>IMABS(AD301)</f>
        <v>0</v>
      </c>
      <c r="AH301" s="7">
        <f>20*LOG10(MAX(AE301,1E-300)*1E6)</f>
        <v>0</v>
      </c>
      <c r="AI301" s="7">
        <f>20*LOG10(MAX(AF301,1E-300)*1E6)</f>
        <v>0</v>
      </c>
      <c r="AJ301" s="7">
        <f>20*LOG10(MAX(AG301,1E-300)*1E6)</f>
        <v>0</v>
      </c>
      <c r="AK301" s="7">
        <f>DEGREES(IMARGUMENT(AB301))</f>
        <v>0</v>
      </c>
      <c r="AL301" s="7">
        <f>DEGREES(IMARGUMENT(AC301))</f>
        <v>0</v>
      </c>
      <c r="AM301" s="7">
        <f>DEGREES(IMARGUMENT(AD301))</f>
        <v>0</v>
      </c>
    </row>
    <row r="302" spans="1:39">
      <c r="A302" s="6">
        <f>10^(LOG10(F_START)+(ROW()-ROW($A$2))*(LOG10(F_STOP)-LOG10(F_START))/(N_POINTS-1))</f>
        <v>0</v>
      </c>
      <c r="B302" s="6">
        <f>2*PI()*A302</f>
        <v>0</v>
      </c>
      <c r="C302">
        <f>COMPLEX(2*LINE_PS_DCR,2*B302*LINE_PS_L)</f>
        <v>0</v>
      </c>
      <c r="D302">
        <f>IMSUM(COMPLEX(0,B302*(LINE_PS_CLINE+LINE_PS_CCHA/2)),IMDIV("1",IMPRODUCT("2",COMPLEX(C_THROUGH_ESR,B302*C_THROUGH_ESL-1/(B302*C_THROUGH_C)))))</f>
        <v>0</v>
      </c>
      <c r="E302">
        <f>COMPLEX(2*LINE_INPUT_DCR,2*B302*LINE_INPUT_L)</f>
        <v>0</v>
      </c>
      <c r="F302">
        <f>COMPLEX(0,B302*(LINE_INPUT_CLINE+LINE_INPUT_CCHA/2))</f>
        <v>0</v>
      </c>
      <c r="G302">
        <f>IMPRODUCT("2",IMDIV("1",IMSUM(IMDIV("1",COMPLEX(LDM1_DCR,B302*LDM1_L)),COMPLEX(0,B302*LDM1_CPA))))</f>
        <v>0</v>
      </c>
      <c r="H302">
        <f>IMSUM(IMDIV("1",COMPLEX(CX1_ESR,B302*CX1_ESL-1/(B302*CX1_C))),IMDIV("1",IMSUM(COMPLEX(DUMP1_R,0),COMPLEX(DUMP1_ESR,B302*DUMP1_ESL-1/(B302*DUMP1_C)))))</f>
        <v>0</v>
      </c>
      <c r="I302">
        <f>IMPRODUCT("2",IMDIV("1",IMSUM(IMDIV("1",COMPLEX(LDM2_DCR,B302*LDM2_L)),COMPLEX(0,B302*LDM2_CPA))))</f>
        <v>0</v>
      </c>
      <c r="J302">
        <f>IMSUM(IMDIV("1",COMPLEX(CX2_ESR,B302*CX2_ESL-1/(B302*CX2_C))),IMDIV("1",IMSUM(COMPLEX(DUMP2_R,0),COMPLEX(DUMP2_ESR,B302*DUMP2_ESL-1/(B302*DUMP2_C)))))</f>
        <v>0</v>
      </c>
      <c r="K302">
        <f>IMPRODUCT("2",IMDIV("1",IMSUM(IMDIV("1",COMPLEX(CMC_DCR,B302*CMC_L*(1-CMC_K))),COMPLEX(0,B302*CMC_CPA))))</f>
        <v>0</v>
      </c>
      <c r="L302">
        <f>IMSUM(COMPLEX(0,B302*CMC_CLINE),IMDIV("1",IMPRODUCT("2",COMPLEX(CY_ESR,B302*CY_ESL-1/(B302*CY_C)))),COMPLEX(1/DUMMY_R,0))</f>
        <v>0</v>
      </c>
      <c r="M302">
        <f>IMSUM(D302,IMDIV("1",C302))</f>
        <v>0</v>
      </c>
      <c r="N302">
        <f>IMDIV("1",IMSUM(E302,IMDIV("1",M302)))</f>
        <v>0</v>
      </c>
      <c r="O302">
        <f>IMSUM(F302,N302)</f>
        <v>0</v>
      </c>
      <c r="P302">
        <f>IMDIV("1",IMSUM(G302,IMDIV("1",O302)))</f>
        <v>0</v>
      </c>
      <c r="Q302">
        <f>IMSUM(H302,P302)</f>
        <v>0</v>
      </c>
      <c r="R302">
        <f>IMDIV("1",IMSUM(I302,IMDIV("1",Q302)))</f>
        <v>0</v>
      </c>
      <c r="S302">
        <f>IMSUM(J302,R302)</f>
        <v>0</v>
      </c>
      <c r="T302">
        <f>IMDIV("1",IMSUM(K302,IMDIV("1",S302)))</f>
        <v>0</v>
      </c>
      <c r="U302">
        <f>IMSUM(L302,T302)</f>
        <v>0</v>
      </c>
      <c r="V302">
        <f>IMDIV(COMPLEX(I_DM_SOURCE,0),U302)</f>
        <v>0</v>
      </c>
      <c r="W302">
        <f>IMPRODUCT(V302,T302)</f>
        <v>0</v>
      </c>
      <c r="X302">
        <f>IMDIV(W302,S302)</f>
        <v>0</v>
      </c>
      <c r="Y302">
        <f>IMPRODUCT(X302,R302)</f>
        <v>0</v>
      </c>
      <c r="Z302">
        <f>IMDIV(Y302,Q302)</f>
        <v>0</v>
      </c>
      <c r="AA302">
        <f>IMPRODUCT(Z302,P302)</f>
        <v>0</v>
      </c>
      <c r="AB302">
        <f>AA302</f>
        <v>0</v>
      </c>
      <c r="AC302">
        <f>IMPRODUCT("-1",AB302)</f>
        <v>0</v>
      </c>
      <c r="AD302">
        <f>IMDIV(IMSUB(AB302,AC302),"2")</f>
        <v>0</v>
      </c>
      <c r="AE302" s="6">
        <f>IMABS(AB302)</f>
        <v>0</v>
      </c>
      <c r="AF302" s="6">
        <f>IMABS(AC302)</f>
        <v>0</v>
      </c>
      <c r="AG302" s="6">
        <f>IMABS(AD302)</f>
        <v>0</v>
      </c>
      <c r="AH302" s="7">
        <f>20*LOG10(MAX(AE302,1E-300)*1E6)</f>
        <v>0</v>
      </c>
      <c r="AI302" s="7">
        <f>20*LOG10(MAX(AF302,1E-300)*1E6)</f>
        <v>0</v>
      </c>
      <c r="AJ302" s="7">
        <f>20*LOG10(MAX(AG302,1E-300)*1E6)</f>
        <v>0</v>
      </c>
      <c r="AK302" s="7">
        <f>DEGREES(IMARGUMENT(AB302))</f>
        <v>0</v>
      </c>
      <c r="AL302" s="7">
        <f>DEGREES(IMARGUMENT(AC302))</f>
        <v>0</v>
      </c>
      <c r="AM302" s="7">
        <f>DEGREES(IMARGUMENT(AD302))</f>
        <v>0</v>
      </c>
    </row>
    <row r="303" spans="1:39">
      <c r="A303" s="6">
        <f>10^(LOG10(F_START)+(ROW()-ROW($A$2))*(LOG10(F_STOP)-LOG10(F_START))/(N_POINTS-1))</f>
        <v>0</v>
      </c>
      <c r="B303" s="6">
        <f>2*PI()*A303</f>
        <v>0</v>
      </c>
      <c r="C303">
        <f>COMPLEX(2*LINE_PS_DCR,2*B303*LINE_PS_L)</f>
        <v>0</v>
      </c>
      <c r="D303">
        <f>IMSUM(COMPLEX(0,B303*(LINE_PS_CLINE+LINE_PS_CCHA/2)),IMDIV("1",IMPRODUCT("2",COMPLEX(C_THROUGH_ESR,B303*C_THROUGH_ESL-1/(B303*C_THROUGH_C)))))</f>
        <v>0</v>
      </c>
      <c r="E303">
        <f>COMPLEX(2*LINE_INPUT_DCR,2*B303*LINE_INPUT_L)</f>
        <v>0</v>
      </c>
      <c r="F303">
        <f>COMPLEX(0,B303*(LINE_INPUT_CLINE+LINE_INPUT_CCHA/2))</f>
        <v>0</v>
      </c>
      <c r="G303">
        <f>IMPRODUCT("2",IMDIV("1",IMSUM(IMDIV("1",COMPLEX(LDM1_DCR,B303*LDM1_L)),COMPLEX(0,B303*LDM1_CPA))))</f>
        <v>0</v>
      </c>
      <c r="H303">
        <f>IMSUM(IMDIV("1",COMPLEX(CX1_ESR,B303*CX1_ESL-1/(B303*CX1_C))),IMDIV("1",IMSUM(COMPLEX(DUMP1_R,0),COMPLEX(DUMP1_ESR,B303*DUMP1_ESL-1/(B303*DUMP1_C)))))</f>
        <v>0</v>
      </c>
      <c r="I303">
        <f>IMPRODUCT("2",IMDIV("1",IMSUM(IMDIV("1",COMPLEX(LDM2_DCR,B303*LDM2_L)),COMPLEX(0,B303*LDM2_CPA))))</f>
        <v>0</v>
      </c>
      <c r="J303">
        <f>IMSUM(IMDIV("1",COMPLEX(CX2_ESR,B303*CX2_ESL-1/(B303*CX2_C))),IMDIV("1",IMSUM(COMPLEX(DUMP2_R,0),COMPLEX(DUMP2_ESR,B303*DUMP2_ESL-1/(B303*DUMP2_C)))))</f>
        <v>0</v>
      </c>
      <c r="K303">
        <f>IMPRODUCT("2",IMDIV("1",IMSUM(IMDIV("1",COMPLEX(CMC_DCR,B303*CMC_L*(1-CMC_K))),COMPLEX(0,B303*CMC_CPA))))</f>
        <v>0</v>
      </c>
      <c r="L303">
        <f>IMSUM(COMPLEX(0,B303*CMC_CLINE),IMDIV("1",IMPRODUCT("2",COMPLEX(CY_ESR,B303*CY_ESL-1/(B303*CY_C)))),COMPLEX(1/DUMMY_R,0))</f>
        <v>0</v>
      </c>
      <c r="M303">
        <f>IMSUM(D303,IMDIV("1",C303))</f>
        <v>0</v>
      </c>
      <c r="N303">
        <f>IMDIV("1",IMSUM(E303,IMDIV("1",M303)))</f>
        <v>0</v>
      </c>
      <c r="O303">
        <f>IMSUM(F303,N303)</f>
        <v>0</v>
      </c>
      <c r="P303">
        <f>IMDIV("1",IMSUM(G303,IMDIV("1",O303)))</f>
        <v>0</v>
      </c>
      <c r="Q303">
        <f>IMSUM(H303,P303)</f>
        <v>0</v>
      </c>
      <c r="R303">
        <f>IMDIV("1",IMSUM(I303,IMDIV("1",Q303)))</f>
        <v>0</v>
      </c>
      <c r="S303">
        <f>IMSUM(J303,R303)</f>
        <v>0</v>
      </c>
      <c r="T303">
        <f>IMDIV("1",IMSUM(K303,IMDIV("1",S303)))</f>
        <v>0</v>
      </c>
      <c r="U303">
        <f>IMSUM(L303,T303)</f>
        <v>0</v>
      </c>
      <c r="V303">
        <f>IMDIV(COMPLEX(I_DM_SOURCE,0),U303)</f>
        <v>0</v>
      </c>
      <c r="W303">
        <f>IMPRODUCT(V303,T303)</f>
        <v>0</v>
      </c>
      <c r="X303">
        <f>IMDIV(W303,S303)</f>
        <v>0</v>
      </c>
      <c r="Y303">
        <f>IMPRODUCT(X303,R303)</f>
        <v>0</v>
      </c>
      <c r="Z303">
        <f>IMDIV(Y303,Q303)</f>
        <v>0</v>
      </c>
      <c r="AA303">
        <f>IMPRODUCT(Z303,P303)</f>
        <v>0</v>
      </c>
      <c r="AB303">
        <f>AA303</f>
        <v>0</v>
      </c>
      <c r="AC303">
        <f>IMPRODUCT("-1",AB303)</f>
        <v>0</v>
      </c>
      <c r="AD303">
        <f>IMDIV(IMSUB(AB303,AC303),"2")</f>
        <v>0</v>
      </c>
      <c r="AE303" s="6">
        <f>IMABS(AB303)</f>
        <v>0</v>
      </c>
      <c r="AF303" s="6">
        <f>IMABS(AC303)</f>
        <v>0</v>
      </c>
      <c r="AG303" s="6">
        <f>IMABS(AD303)</f>
        <v>0</v>
      </c>
      <c r="AH303" s="7">
        <f>20*LOG10(MAX(AE303,1E-300)*1E6)</f>
        <v>0</v>
      </c>
      <c r="AI303" s="7">
        <f>20*LOG10(MAX(AF303,1E-300)*1E6)</f>
        <v>0</v>
      </c>
      <c r="AJ303" s="7">
        <f>20*LOG10(MAX(AG303,1E-300)*1E6)</f>
        <v>0</v>
      </c>
      <c r="AK303" s="7">
        <f>DEGREES(IMARGUMENT(AB303))</f>
        <v>0</v>
      </c>
      <c r="AL303" s="7">
        <f>DEGREES(IMARGUMENT(AC303))</f>
        <v>0</v>
      </c>
      <c r="AM303" s="7">
        <f>DEGREES(IMARGUMENT(AD303))</f>
        <v>0</v>
      </c>
    </row>
    <row r="304" spans="1:39">
      <c r="A304" s="6">
        <f>10^(LOG10(F_START)+(ROW()-ROW($A$2))*(LOG10(F_STOP)-LOG10(F_START))/(N_POINTS-1))</f>
        <v>0</v>
      </c>
      <c r="B304" s="6">
        <f>2*PI()*A304</f>
        <v>0</v>
      </c>
      <c r="C304">
        <f>COMPLEX(2*LINE_PS_DCR,2*B304*LINE_PS_L)</f>
        <v>0</v>
      </c>
      <c r="D304">
        <f>IMSUM(COMPLEX(0,B304*(LINE_PS_CLINE+LINE_PS_CCHA/2)),IMDIV("1",IMPRODUCT("2",COMPLEX(C_THROUGH_ESR,B304*C_THROUGH_ESL-1/(B304*C_THROUGH_C)))))</f>
        <v>0</v>
      </c>
      <c r="E304">
        <f>COMPLEX(2*LINE_INPUT_DCR,2*B304*LINE_INPUT_L)</f>
        <v>0</v>
      </c>
      <c r="F304">
        <f>COMPLEX(0,B304*(LINE_INPUT_CLINE+LINE_INPUT_CCHA/2))</f>
        <v>0</v>
      </c>
      <c r="G304">
        <f>IMPRODUCT("2",IMDIV("1",IMSUM(IMDIV("1",COMPLEX(LDM1_DCR,B304*LDM1_L)),COMPLEX(0,B304*LDM1_CPA))))</f>
        <v>0</v>
      </c>
      <c r="H304">
        <f>IMSUM(IMDIV("1",COMPLEX(CX1_ESR,B304*CX1_ESL-1/(B304*CX1_C))),IMDIV("1",IMSUM(COMPLEX(DUMP1_R,0),COMPLEX(DUMP1_ESR,B304*DUMP1_ESL-1/(B304*DUMP1_C)))))</f>
        <v>0</v>
      </c>
      <c r="I304">
        <f>IMPRODUCT("2",IMDIV("1",IMSUM(IMDIV("1",COMPLEX(LDM2_DCR,B304*LDM2_L)),COMPLEX(0,B304*LDM2_CPA))))</f>
        <v>0</v>
      </c>
      <c r="J304">
        <f>IMSUM(IMDIV("1",COMPLEX(CX2_ESR,B304*CX2_ESL-1/(B304*CX2_C))),IMDIV("1",IMSUM(COMPLEX(DUMP2_R,0),COMPLEX(DUMP2_ESR,B304*DUMP2_ESL-1/(B304*DUMP2_C)))))</f>
        <v>0</v>
      </c>
      <c r="K304">
        <f>IMPRODUCT("2",IMDIV("1",IMSUM(IMDIV("1",COMPLEX(CMC_DCR,B304*CMC_L*(1-CMC_K))),COMPLEX(0,B304*CMC_CPA))))</f>
        <v>0</v>
      </c>
      <c r="L304">
        <f>IMSUM(COMPLEX(0,B304*CMC_CLINE),IMDIV("1",IMPRODUCT("2",COMPLEX(CY_ESR,B304*CY_ESL-1/(B304*CY_C)))),COMPLEX(1/DUMMY_R,0))</f>
        <v>0</v>
      </c>
      <c r="M304">
        <f>IMSUM(D304,IMDIV("1",C304))</f>
        <v>0</v>
      </c>
      <c r="N304">
        <f>IMDIV("1",IMSUM(E304,IMDIV("1",M304)))</f>
        <v>0</v>
      </c>
      <c r="O304">
        <f>IMSUM(F304,N304)</f>
        <v>0</v>
      </c>
      <c r="P304">
        <f>IMDIV("1",IMSUM(G304,IMDIV("1",O304)))</f>
        <v>0</v>
      </c>
      <c r="Q304">
        <f>IMSUM(H304,P304)</f>
        <v>0</v>
      </c>
      <c r="R304">
        <f>IMDIV("1",IMSUM(I304,IMDIV("1",Q304)))</f>
        <v>0</v>
      </c>
      <c r="S304">
        <f>IMSUM(J304,R304)</f>
        <v>0</v>
      </c>
      <c r="T304">
        <f>IMDIV("1",IMSUM(K304,IMDIV("1",S304)))</f>
        <v>0</v>
      </c>
      <c r="U304">
        <f>IMSUM(L304,T304)</f>
        <v>0</v>
      </c>
      <c r="V304">
        <f>IMDIV(COMPLEX(I_DM_SOURCE,0),U304)</f>
        <v>0</v>
      </c>
      <c r="W304">
        <f>IMPRODUCT(V304,T304)</f>
        <v>0</v>
      </c>
      <c r="X304">
        <f>IMDIV(W304,S304)</f>
        <v>0</v>
      </c>
      <c r="Y304">
        <f>IMPRODUCT(X304,R304)</f>
        <v>0</v>
      </c>
      <c r="Z304">
        <f>IMDIV(Y304,Q304)</f>
        <v>0</v>
      </c>
      <c r="AA304">
        <f>IMPRODUCT(Z304,P304)</f>
        <v>0</v>
      </c>
      <c r="AB304">
        <f>AA304</f>
        <v>0</v>
      </c>
      <c r="AC304">
        <f>IMPRODUCT("-1",AB304)</f>
        <v>0</v>
      </c>
      <c r="AD304">
        <f>IMDIV(IMSUB(AB304,AC304),"2")</f>
        <v>0</v>
      </c>
      <c r="AE304" s="6">
        <f>IMABS(AB304)</f>
        <v>0</v>
      </c>
      <c r="AF304" s="6">
        <f>IMABS(AC304)</f>
        <v>0</v>
      </c>
      <c r="AG304" s="6">
        <f>IMABS(AD304)</f>
        <v>0</v>
      </c>
      <c r="AH304" s="7">
        <f>20*LOG10(MAX(AE304,1E-300)*1E6)</f>
        <v>0</v>
      </c>
      <c r="AI304" s="7">
        <f>20*LOG10(MAX(AF304,1E-300)*1E6)</f>
        <v>0</v>
      </c>
      <c r="AJ304" s="7">
        <f>20*LOG10(MAX(AG304,1E-300)*1E6)</f>
        <v>0</v>
      </c>
      <c r="AK304" s="7">
        <f>DEGREES(IMARGUMENT(AB304))</f>
        <v>0</v>
      </c>
      <c r="AL304" s="7">
        <f>DEGREES(IMARGUMENT(AC304))</f>
        <v>0</v>
      </c>
      <c r="AM304" s="7">
        <f>DEGREES(IMARGUMENT(AD304))</f>
        <v>0</v>
      </c>
    </row>
    <row r="305" spans="1:39">
      <c r="A305" s="6">
        <f>10^(LOG10(F_START)+(ROW()-ROW($A$2))*(LOG10(F_STOP)-LOG10(F_START))/(N_POINTS-1))</f>
        <v>0</v>
      </c>
      <c r="B305" s="6">
        <f>2*PI()*A305</f>
        <v>0</v>
      </c>
      <c r="C305">
        <f>COMPLEX(2*LINE_PS_DCR,2*B305*LINE_PS_L)</f>
        <v>0</v>
      </c>
      <c r="D305">
        <f>IMSUM(COMPLEX(0,B305*(LINE_PS_CLINE+LINE_PS_CCHA/2)),IMDIV("1",IMPRODUCT("2",COMPLEX(C_THROUGH_ESR,B305*C_THROUGH_ESL-1/(B305*C_THROUGH_C)))))</f>
        <v>0</v>
      </c>
      <c r="E305">
        <f>COMPLEX(2*LINE_INPUT_DCR,2*B305*LINE_INPUT_L)</f>
        <v>0</v>
      </c>
      <c r="F305">
        <f>COMPLEX(0,B305*(LINE_INPUT_CLINE+LINE_INPUT_CCHA/2))</f>
        <v>0</v>
      </c>
      <c r="G305">
        <f>IMPRODUCT("2",IMDIV("1",IMSUM(IMDIV("1",COMPLEX(LDM1_DCR,B305*LDM1_L)),COMPLEX(0,B305*LDM1_CPA))))</f>
        <v>0</v>
      </c>
      <c r="H305">
        <f>IMSUM(IMDIV("1",COMPLEX(CX1_ESR,B305*CX1_ESL-1/(B305*CX1_C))),IMDIV("1",IMSUM(COMPLEX(DUMP1_R,0),COMPLEX(DUMP1_ESR,B305*DUMP1_ESL-1/(B305*DUMP1_C)))))</f>
        <v>0</v>
      </c>
      <c r="I305">
        <f>IMPRODUCT("2",IMDIV("1",IMSUM(IMDIV("1",COMPLEX(LDM2_DCR,B305*LDM2_L)),COMPLEX(0,B305*LDM2_CPA))))</f>
        <v>0</v>
      </c>
      <c r="J305">
        <f>IMSUM(IMDIV("1",COMPLEX(CX2_ESR,B305*CX2_ESL-1/(B305*CX2_C))),IMDIV("1",IMSUM(COMPLEX(DUMP2_R,0),COMPLEX(DUMP2_ESR,B305*DUMP2_ESL-1/(B305*DUMP2_C)))))</f>
        <v>0</v>
      </c>
      <c r="K305">
        <f>IMPRODUCT("2",IMDIV("1",IMSUM(IMDIV("1",COMPLEX(CMC_DCR,B305*CMC_L*(1-CMC_K))),COMPLEX(0,B305*CMC_CPA))))</f>
        <v>0</v>
      </c>
      <c r="L305">
        <f>IMSUM(COMPLEX(0,B305*CMC_CLINE),IMDIV("1",IMPRODUCT("2",COMPLEX(CY_ESR,B305*CY_ESL-1/(B305*CY_C)))),COMPLEX(1/DUMMY_R,0))</f>
        <v>0</v>
      </c>
      <c r="M305">
        <f>IMSUM(D305,IMDIV("1",C305))</f>
        <v>0</v>
      </c>
      <c r="N305">
        <f>IMDIV("1",IMSUM(E305,IMDIV("1",M305)))</f>
        <v>0</v>
      </c>
      <c r="O305">
        <f>IMSUM(F305,N305)</f>
        <v>0</v>
      </c>
      <c r="P305">
        <f>IMDIV("1",IMSUM(G305,IMDIV("1",O305)))</f>
        <v>0</v>
      </c>
      <c r="Q305">
        <f>IMSUM(H305,P305)</f>
        <v>0</v>
      </c>
      <c r="R305">
        <f>IMDIV("1",IMSUM(I305,IMDIV("1",Q305)))</f>
        <v>0</v>
      </c>
      <c r="S305">
        <f>IMSUM(J305,R305)</f>
        <v>0</v>
      </c>
      <c r="T305">
        <f>IMDIV("1",IMSUM(K305,IMDIV("1",S305)))</f>
        <v>0</v>
      </c>
      <c r="U305">
        <f>IMSUM(L305,T305)</f>
        <v>0</v>
      </c>
      <c r="V305">
        <f>IMDIV(COMPLEX(I_DM_SOURCE,0),U305)</f>
        <v>0</v>
      </c>
      <c r="W305">
        <f>IMPRODUCT(V305,T305)</f>
        <v>0</v>
      </c>
      <c r="X305">
        <f>IMDIV(W305,S305)</f>
        <v>0</v>
      </c>
      <c r="Y305">
        <f>IMPRODUCT(X305,R305)</f>
        <v>0</v>
      </c>
      <c r="Z305">
        <f>IMDIV(Y305,Q305)</f>
        <v>0</v>
      </c>
      <c r="AA305">
        <f>IMPRODUCT(Z305,P305)</f>
        <v>0</v>
      </c>
      <c r="AB305">
        <f>AA305</f>
        <v>0</v>
      </c>
      <c r="AC305">
        <f>IMPRODUCT("-1",AB305)</f>
        <v>0</v>
      </c>
      <c r="AD305">
        <f>IMDIV(IMSUB(AB305,AC305),"2")</f>
        <v>0</v>
      </c>
      <c r="AE305" s="6">
        <f>IMABS(AB305)</f>
        <v>0</v>
      </c>
      <c r="AF305" s="6">
        <f>IMABS(AC305)</f>
        <v>0</v>
      </c>
      <c r="AG305" s="6">
        <f>IMABS(AD305)</f>
        <v>0</v>
      </c>
      <c r="AH305" s="7">
        <f>20*LOG10(MAX(AE305,1E-300)*1E6)</f>
        <v>0</v>
      </c>
      <c r="AI305" s="7">
        <f>20*LOG10(MAX(AF305,1E-300)*1E6)</f>
        <v>0</v>
      </c>
      <c r="AJ305" s="7">
        <f>20*LOG10(MAX(AG305,1E-300)*1E6)</f>
        <v>0</v>
      </c>
      <c r="AK305" s="7">
        <f>DEGREES(IMARGUMENT(AB305))</f>
        <v>0</v>
      </c>
      <c r="AL305" s="7">
        <f>DEGREES(IMARGUMENT(AC305))</f>
        <v>0</v>
      </c>
      <c r="AM305" s="7">
        <f>DEGREES(IMARGUMENT(AD305))</f>
        <v>0</v>
      </c>
    </row>
    <row r="306" spans="1:39">
      <c r="A306" s="6">
        <f>10^(LOG10(F_START)+(ROW()-ROW($A$2))*(LOG10(F_STOP)-LOG10(F_START))/(N_POINTS-1))</f>
        <v>0</v>
      </c>
      <c r="B306" s="6">
        <f>2*PI()*A306</f>
        <v>0</v>
      </c>
      <c r="C306">
        <f>COMPLEX(2*LINE_PS_DCR,2*B306*LINE_PS_L)</f>
        <v>0</v>
      </c>
      <c r="D306">
        <f>IMSUM(COMPLEX(0,B306*(LINE_PS_CLINE+LINE_PS_CCHA/2)),IMDIV("1",IMPRODUCT("2",COMPLEX(C_THROUGH_ESR,B306*C_THROUGH_ESL-1/(B306*C_THROUGH_C)))))</f>
        <v>0</v>
      </c>
      <c r="E306">
        <f>COMPLEX(2*LINE_INPUT_DCR,2*B306*LINE_INPUT_L)</f>
        <v>0</v>
      </c>
      <c r="F306">
        <f>COMPLEX(0,B306*(LINE_INPUT_CLINE+LINE_INPUT_CCHA/2))</f>
        <v>0</v>
      </c>
      <c r="G306">
        <f>IMPRODUCT("2",IMDIV("1",IMSUM(IMDIV("1",COMPLEX(LDM1_DCR,B306*LDM1_L)),COMPLEX(0,B306*LDM1_CPA))))</f>
        <v>0</v>
      </c>
      <c r="H306">
        <f>IMSUM(IMDIV("1",COMPLEX(CX1_ESR,B306*CX1_ESL-1/(B306*CX1_C))),IMDIV("1",IMSUM(COMPLEX(DUMP1_R,0),COMPLEX(DUMP1_ESR,B306*DUMP1_ESL-1/(B306*DUMP1_C)))))</f>
        <v>0</v>
      </c>
      <c r="I306">
        <f>IMPRODUCT("2",IMDIV("1",IMSUM(IMDIV("1",COMPLEX(LDM2_DCR,B306*LDM2_L)),COMPLEX(0,B306*LDM2_CPA))))</f>
        <v>0</v>
      </c>
      <c r="J306">
        <f>IMSUM(IMDIV("1",COMPLEX(CX2_ESR,B306*CX2_ESL-1/(B306*CX2_C))),IMDIV("1",IMSUM(COMPLEX(DUMP2_R,0),COMPLEX(DUMP2_ESR,B306*DUMP2_ESL-1/(B306*DUMP2_C)))))</f>
        <v>0</v>
      </c>
      <c r="K306">
        <f>IMPRODUCT("2",IMDIV("1",IMSUM(IMDIV("1",COMPLEX(CMC_DCR,B306*CMC_L*(1-CMC_K))),COMPLEX(0,B306*CMC_CPA))))</f>
        <v>0</v>
      </c>
      <c r="L306">
        <f>IMSUM(COMPLEX(0,B306*CMC_CLINE),IMDIV("1",IMPRODUCT("2",COMPLEX(CY_ESR,B306*CY_ESL-1/(B306*CY_C)))),COMPLEX(1/DUMMY_R,0))</f>
        <v>0</v>
      </c>
      <c r="M306">
        <f>IMSUM(D306,IMDIV("1",C306))</f>
        <v>0</v>
      </c>
      <c r="N306">
        <f>IMDIV("1",IMSUM(E306,IMDIV("1",M306)))</f>
        <v>0</v>
      </c>
      <c r="O306">
        <f>IMSUM(F306,N306)</f>
        <v>0</v>
      </c>
      <c r="P306">
        <f>IMDIV("1",IMSUM(G306,IMDIV("1",O306)))</f>
        <v>0</v>
      </c>
      <c r="Q306">
        <f>IMSUM(H306,P306)</f>
        <v>0</v>
      </c>
      <c r="R306">
        <f>IMDIV("1",IMSUM(I306,IMDIV("1",Q306)))</f>
        <v>0</v>
      </c>
      <c r="S306">
        <f>IMSUM(J306,R306)</f>
        <v>0</v>
      </c>
      <c r="T306">
        <f>IMDIV("1",IMSUM(K306,IMDIV("1",S306)))</f>
        <v>0</v>
      </c>
      <c r="U306">
        <f>IMSUM(L306,T306)</f>
        <v>0</v>
      </c>
      <c r="V306">
        <f>IMDIV(COMPLEX(I_DM_SOURCE,0),U306)</f>
        <v>0</v>
      </c>
      <c r="W306">
        <f>IMPRODUCT(V306,T306)</f>
        <v>0</v>
      </c>
      <c r="X306">
        <f>IMDIV(W306,S306)</f>
        <v>0</v>
      </c>
      <c r="Y306">
        <f>IMPRODUCT(X306,R306)</f>
        <v>0</v>
      </c>
      <c r="Z306">
        <f>IMDIV(Y306,Q306)</f>
        <v>0</v>
      </c>
      <c r="AA306">
        <f>IMPRODUCT(Z306,P306)</f>
        <v>0</v>
      </c>
      <c r="AB306">
        <f>AA306</f>
        <v>0</v>
      </c>
      <c r="AC306">
        <f>IMPRODUCT("-1",AB306)</f>
        <v>0</v>
      </c>
      <c r="AD306">
        <f>IMDIV(IMSUB(AB306,AC306),"2")</f>
        <v>0</v>
      </c>
      <c r="AE306" s="6">
        <f>IMABS(AB306)</f>
        <v>0</v>
      </c>
      <c r="AF306" s="6">
        <f>IMABS(AC306)</f>
        <v>0</v>
      </c>
      <c r="AG306" s="6">
        <f>IMABS(AD306)</f>
        <v>0</v>
      </c>
      <c r="AH306" s="7">
        <f>20*LOG10(MAX(AE306,1E-300)*1E6)</f>
        <v>0</v>
      </c>
      <c r="AI306" s="7">
        <f>20*LOG10(MAX(AF306,1E-300)*1E6)</f>
        <v>0</v>
      </c>
      <c r="AJ306" s="7">
        <f>20*LOG10(MAX(AG306,1E-300)*1E6)</f>
        <v>0</v>
      </c>
      <c r="AK306" s="7">
        <f>DEGREES(IMARGUMENT(AB306))</f>
        <v>0</v>
      </c>
      <c r="AL306" s="7">
        <f>DEGREES(IMARGUMENT(AC306))</f>
        <v>0</v>
      </c>
      <c r="AM306" s="7">
        <f>DEGREES(IMARGUMENT(AD306))</f>
        <v>0</v>
      </c>
    </row>
    <row r="307" spans="1:39">
      <c r="A307" s="6">
        <f>10^(LOG10(F_START)+(ROW()-ROW($A$2))*(LOG10(F_STOP)-LOG10(F_START))/(N_POINTS-1))</f>
        <v>0</v>
      </c>
      <c r="B307" s="6">
        <f>2*PI()*A307</f>
        <v>0</v>
      </c>
      <c r="C307">
        <f>COMPLEX(2*LINE_PS_DCR,2*B307*LINE_PS_L)</f>
        <v>0</v>
      </c>
      <c r="D307">
        <f>IMSUM(COMPLEX(0,B307*(LINE_PS_CLINE+LINE_PS_CCHA/2)),IMDIV("1",IMPRODUCT("2",COMPLEX(C_THROUGH_ESR,B307*C_THROUGH_ESL-1/(B307*C_THROUGH_C)))))</f>
        <v>0</v>
      </c>
      <c r="E307">
        <f>COMPLEX(2*LINE_INPUT_DCR,2*B307*LINE_INPUT_L)</f>
        <v>0</v>
      </c>
      <c r="F307">
        <f>COMPLEX(0,B307*(LINE_INPUT_CLINE+LINE_INPUT_CCHA/2))</f>
        <v>0</v>
      </c>
      <c r="G307">
        <f>IMPRODUCT("2",IMDIV("1",IMSUM(IMDIV("1",COMPLEX(LDM1_DCR,B307*LDM1_L)),COMPLEX(0,B307*LDM1_CPA))))</f>
        <v>0</v>
      </c>
      <c r="H307">
        <f>IMSUM(IMDIV("1",COMPLEX(CX1_ESR,B307*CX1_ESL-1/(B307*CX1_C))),IMDIV("1",IMSUM(COMPLEX(DUMP1_R,0),COMPLEX(DUMP1_ESR,B307*DUMP1_ESL-1/(B307*DUMP1_C)))))</f>
        <v>0</v>
      </c>
      <c r="I307">
        <f>IMPRODUCT("2",IMDIV("1",IMSUM(IMDIV("1",COMPLEX(LDM2_DCR,B307*LDM2_L)),COMPLEX(0,B307*LDM2_CPA))))</f>
        <v>0</v>
      </c>
      <c r="J307">
        <f>IMSUM(IMDIV("1",COMPLEX(CX2_ESR,B307*CX2_ESL-1/(B307*CX2_C))),IMDIV("1",IMSUM(COMPLEX(DUMP2_R,0),COMPLEX(DUMP2_ESR,B307*DUMP2_ESL-1/(B307*DUMP2_C)))))</f>
        <v>0</v>
      </c>
      <c r="K307">
        <f>IMPRODUCT("2",IMDIV("1",IMSUM(IMDIV("1",COMPLEX(CMC_DCR,B307*CMC_L*(1-CMC_K))),COMPLEX(0,B307*CMC_CPA))))</f>
        <v>0</v>
      </c>
      <c r="L307">
        <f>IMSUM(COMPLEX(0,B307*CMC_CLINE),IMDIV("1",IMPRODUCT("2",COMPLEX(CY_ESR,B307*CY_ESL-1/(B307*CY_C)))),COMPLEX(1/DUMMY_R,0))</f>
        <v>0</v>
      </c>
      <c r="M307">
        <f>IMSUM(D307,IMDIV("1",C307))</f>
        <v>0</v>
      </c>
      <c r="N307">
        <f>IMDIV("1",IMSUM(E307,IMDIV("1",M307)))</f>
        <v>0</v>
      </c>
      <c r="O307">
        <f>IMSUM(F307,N307)</f>
        <v>0</v>
      </c>
      <c r="P307">
        <f>IMDIV("1",IMSUM(G307,IMDIV("1",O307)))</f>
        <v>0</v>
      </c>
      <c r="Q307">
        <f>IMSUM(H307,P307)</f>
        <v>0</v>
      </c>
      <c r="R307">
        <f>IMDIV("1",IMSUM(I307,IMDIV("1",Q307)))</f>
        <v>0</v>
      </c>
      <c r="S307">
        <f>IMSUM(J307,R307)</f>
        <v>0</v>
      </c>
      <c r="T307">
        <f>IMDIV("1",IMSUM(K307,IMDIV("1",S307)))</f>
        <v>0</v>
      </c>
      <c r="U307">
        <f>IMSUM(L307,T307)</f>
        <v>0</v>
      </c>
      <c r="V307">
        <f>IMDIV(COMPLEX(I_DM_SOURCE,0),U307)</f>
        <v>0</v>
      </c>
      <c r="W307">
        <f>IMPRODUCT(V307,T307)</f>
        <v>0</v>
      </c>
      <c r="X307">
        <f>IMDIV(W307,S307)</f>
        <v>0</v>
      </c>
      <c r="Y307">
        <f>IMPRODUCT(X307,R307)</f>
        <v>0</v>
      </c>
      <c r="Z307">
        <f>IMDIV(Y307,Q307)</f>
        <v>0</v>
      </c>
      <c r="AA307">
        <f>IMPRODUCT(Z307,P307)</f>
        <v>0</v>
      </c>
      <c r="AB307">
        <f>AA307</f>
        <v>0</v>
      </c>
      <c r="AC307">
        <f>IMPRODUCT("-1",AB307)</f>
        <v>0</v>
      </c>
      <c r="AD307">
        <f>IMDIV(IMSUB(AB307,AC307),"2")</f>
        <v>0</v>
      </c>
      <c r="AE307" s="6">
        <f>IMABS(AB307)</f>
        <v>0</v>
      </c>
      <c r="AF307" s="6">
        <f>IMABS(AC307)</f>
        <v>0</v>
      </c>
      <c r="AG307" s="6">
        <f>IMABS(AD307)</f>
        <v>0</v>
      </c>
      <c r="AH307" s="7">
        <f>20*LOG10(MAX(AE307,1E-300)*1E6)</f>
        <v>0</v>
      </c>
      <c r="AI307" s="7">
        <f>20*LOG10(MAX(AF307,1E-300)*1E6)</f>
        <v>0</v>
      </c>
      <c r="AJ307" s="7">
        <f>20*LOG10(MAX(AG307,1E-300)*1E6)</f>
        <v>0</v>
      </c>
      <c r="AK307" s="7">
        <f>DEGREES(IMARGUMENT(AB307))</f>
        <v>0</v>
      </c>
      <c r="AL307" s="7">
        <f>DEGREES(IMARGUMENT(AC307))</f>
        <v>0</v>
      </c>
      <c r="AM307" s="7">
        <f>DEGREES(IMARGUMENT(AD307))</f>
        <v>0</v>
      </c>
    </row>
    <row r="308" spans="1:39">
      <c r="A308" s="6">
        <f>10^(LOG10(F_START)+(ROW()-ROW($A$2))*(LOG10(F_STOP)-LOG10(F_START))/(N_POINTS-1))</f>
        <v>0</v>
      </c>
      <c r="B308" s="6">
        <f>2*PI()*A308</f>
        <v>0</v>
      </c>
      <c r="C308">
        <f>COMPLEX(2*LINE_PS_DCR,2*B308*LINE_PS_L)</f>
        <v>0</v>
      </c>
      <c r="D308">
        <f>IMSUM(COMPLEX(0,B308*(LINE_PS_CLINE+LINE_PS_CCHA/2)),IMDIV("1",IMPRODUCT("2",COMPLEX(C_THROUGH_ESR,B308*C_THROUGH_ESL-1/(B308*C_THROUGH_C)))))</f>
        <v>0</v>
      </c>
      <c r="E308">
        <f>COMPLEX(2*LINE_INPUT_DCR,2*B308*LINE_INPUT_L)</f>
        <v>0</v>
      </c>
      <c r="F308">
        <f>COMPLEX(0,B308*(LINE_INPUT_CLINE+LINE_INPUT_CCHA/2))</f>
        <v>0</v>
      </c>
      <c r="G308">
        <f>IMPRODUCT("2",IMDIV("1",IMSUM(IMDIV("1",COMPLEX(LDM1_DCR,B308*LDM1_L)),COMPLEX(0,B308*LDM1_CPA))))</f>
        <v>0</v>
      </c>
      <c r="H308">
        <f>IMSUM(IMDIV("1",COMPLEX(CX1_ESR,B308*CX1_ESL-1/(B308*CX1_C))),IMDIV("1",IMSUM(COMPLEX(DUMP1_R,0),COMPLEX(DUMP1_ESR,B308*DUMP1_ESL-1/(B308*DUMP1_C)))))</f>
        <v>0</v>
      </c>
      <c r="I308">
        <f>IMPRODUCT("2",IMDIV("1",IMSUM(IMDIV("1",COMPLEX(LDM2_DCR,B308*LDM2_L)),COMPLEX(0,B308*LDM2_CPA))))</f>
        <v>0</v>
      </c>
      <c r="J308">
        <f>IMSUM(IMDIV("1",COMPLEX(CX2_ESR,B308*CX2_ESL-1/(B308*CX2_C))),IMDIV("1",IMSUM(COMPLEX(DUMP2_R,0),COMPLEX(DUMP2_ESR,B308*DUMP2_ESL-1/(B308*DUMP2_C)))))</f>
        <v>0</v>
      </c>
      <c r="K308">
        <f>IMPRODUCT("2",IMDIV("1",IMSUM(IMDIV("1",COMPLEX(CMC_DCR,B308*CMC_L*(1-CMC_K))),COMPLEX(0,B308*CMC_CPA))))</f>
        <v>0</v>
      </c>
      <c r="L308">
        <f>IMSUM(COMPLEX(0,B308*CMC_CLINE),IMDIV("1",IMPRODUCT("2",COMPLEX(CY_ESR,B308*CY_ESL-1/(B308*CY_C)))),COMPLEX(1/DUMMY_R,0))</f>
        <v>0</v>
      </c>
      <c r="M308">
        <f>IMSUM(D308,IMDIV("1",C308))</f>
        <v>0</v>
      </c>
      <c r="N308">
        <f>IMDIV("1",IMSUM(E308,IMDIV("1",M308)))</f>
        <v>0</v>
      </c>
      <c r="O308">
        <f>IMSUM(F308,N308)</f>
        <v>0</v>
      </c>
      <c r="P308">
        <f>IMDIV("1",IMSUM(G308,IMDIV("1",O308)))</f>
        <v>0</v>
      </c>
      <c r="Q308">
        <f>IMSUM(H308,P308)</f>
        <v>0</v>
      </c>
      <c r="R308">
        <f>IMDIV("1",IMSUM(I308,IMDIV("1",Q308)))</f>
        <v>0</v>
      </c>
      <c r="S308">
        <f>IMSUM(J308,R308)</f>
        <v>0</v>
      </c>
      <c r="T308">
        <f>IMDIV("1",IMSUM(K308,IMDIV("1",S308)))</f>
        <v>0</v>
      </c>
      <c r="U308">
        <f>IMSUM(L308,T308)</f>
        <v>0</v>
      </c>
      <c r="V308">
        <f>IMDIV(COMPLEX(I_DM_SOURCE,0),U308)</f>
        <v>0</v>
      </c>
      <c r="W308">
        <f>IMPRODUCT(V308,T308)</f>
        <v>0</v>
      </c>
      <c r="X308">
        <f>IMDIV(W308,S308)</f>
        <v>0</v>
      </c>
      <c r="Y308">
        <f>IMPRODUCT(X308,R308)</f>
        <v>0</v>
      </c>
      <c r="Z308">
        <f>IMDIV(Y308,Q308)</f>
        <v>0</v>
      </c>
      <c r="AA308">
        <f>IMPRODUCT(Z308,P308)</f>
        <v>0</v>
      </c>
      <c r="AB308">
        <f>AA308</f>
        <v>0</v>
      </c>
      <c r="AC308">
        <f>IMPRODUCT("-1",AB308)</f>
        <v>0</v>
      </c>
      <c r="AD308">
        <f>IMDIV(IMSUB(AB308,AC308),"2")</f>
        <v>0</v>
      </c>
      <c r="AE308" s="6">
        <f>IMABS(AB308)</f>
        <v>0</v>
      </c>
      <c r="AF308" s="6">
        <f>IMABS(AC308)</f>
        <v>0</v>
      </c>
      <c r="AG308" s="6">
        <f>IMABS(AD308)</f>
        <v>0</v>
      </c>
      <c r="AH308" s="7">
        <f>20*LOG10(MAX(AE308,1E-300)*1E6)</f>
        <v>0</v>
      </c>
      <c r="AI308" s="7">
        <f>20*LOG10(MAX(AF308,1E-300)*1E6)</f>
        <v>0</v>
      </c>
      <c r="AJ308" s="7">
        <f>20*LOG10(MAX(AG308,1E-300)*1E6)</f>
        <v>0</v>
      </c>
      <c r="AK308" s="7">
        <f>DEGREES(IMARGUMENT(AB308))</f>
        <v>0</v>
      </c>
      <c r="AL308" s="7">
        <f>DEGREES(IMARGUMENT(AC308))</f>
        <v>0</v>
      </c>
      <c r="AM308" s="7">
        <f>DEGREES(IMARGUMENT(AD308))</f>
        <v>0</v>
      </c>
    </row>
    <row r="309" spans="1:39">
      <c r="A309" s="6">
        <f>10^(LOG10(F_START)+(ROW()-ROW($A$2))*(LOG10(F_STOP)-LOG10(F_START))/(N_POINTS-1))</f>
        <v>0</v>
      </c>
      <c r="B309" s="6">
        <f>2*PI()*A309</f>
        <v>0</v>
      </c>
      <c r="C309">
        <f>COMPLEX(2*LINE_PS_DCR,2*B309*LINE_PS_L)</f>
        <v>0</v>
      </c>
      <c r="D309">
        <f>IMSUM(COMPLEX(0,B309*(LINE_PS_CLINE+LINE_PS_CCHA/2)),IMDIV("1",IMPRODUCT("2",COMPLEX(C_THROUGH_ESR,B309*C_THROUGH_ESL-1/(B309*C_THROUGH_C)))))</f>
        <v>0</v>
      </c>
      <c r="E309">
        <f>COMPLEX(2*LINE_INPUT_DCR,2*B309*LINE_INPUT_L)</f>
        <v>0</v>
      </c>
      <c r="F309">
        <f>COMPLEX(0,B309*(LINE_INPUT_CLINE+LINE_INPUT_CCHA/2))</f>
        <v>0</v>
      </c>
      <c r="G309">
        <f>IMPRODUCT("2",IMDIV("1",IMSUM(IMDIV("1",COMPLEX(LDM1_DCR,B309*LDM1_L)),COMPLEX(0,B309*LDM1_CPA))))</f>
        <v>0</v>
      </c>
      <c r="H309">
        <f>IMSUM(IMDIV("1",COMPLEX(CX1_ESR,B309*CX1_ESL-1/(B309*CX1_C))),IMDIV("1",IMSUM(COMPLEX(DUMP1_R,0),COMPLEX(DUMP1_ESR,B309*DUMP1_ESL-1/(B309*DUMP1_C)))))</f>
        <v>0</v>
      </c>
      <c r="I309">
        <f>IMPRODUCT("2",IMDIV("1",IMSUM(IMDIV("1",COMPLEX(LDM2_DCR,B309*LDM2_L)),COMPLEX(0,B309*LDM2_CPA))))</f>
        <v>0</v>
      </c>
      <c r="J309">
        <f>IMSUM(IMDIV("1",COMPLEX(CX2_ESR,B309*CX2_ESL-1/(B309*CX2_C))),IMDIV("1",IMSUM(COMPLEX(DUMP2_R,0),COMPLEX(DUMP2_ESR,B309*DUMP2_ESL-1/(B309*DUMP2_C)))))</f>
        <v>0</v>
      </c>
      <c r="K309">
        <f>IMPRODUCT("2",IMDIV("1",IMSUM(IMDIV("1",COMPLEX(CMC_DCR,B309*CMC_L*(1-CMC_K))),COMPLEX(0,B309*CMC_CPA))))</f>
        <v>0</v>
      </c>
      <c r="L309">
        <f>IMSUM(COMPLEX(0,B309*CMC_CLINE),IMDIV("1",IMPRODUCT("2",COMPLEX(CY_ESR,B309*CY_ESL-1/(B309*CY_C)))),COMPLEX(1/DUMMY_R,0))</f>
        <v>0</v>
      </c>
      <c r="M309">
        <f>IMSUM(D309,IMDIV("1",C309))</f>
        <v>0</v>
      </c>
      <c r="N309">
        <f>IMDIV("1",IMSUM(E309,IMDIV("1",M309)))</f>
        <v>0</v>
      </c>
      <c r="O309">
        <f>IMSUM(F309,N309)</f>
        <v>0</v>
      </c>
      <c r="P309">
        <f>IMDIV("1",IMSUM(G309,IMDIV("1",O309)))</f>
        <v>0</v>
      </c>
      <c r="Q309">
        <f>IMSUM(H309,P309)</f>
        <v>0</v>
      </c>
      <c r="R309">
        <f>IMDIV("1",IMSUM(I309,IMDIV("1",Q309)))</f>
        <v>0</v>
      </c>
      <c r="S309">
        <f>IMSUM(J309,R309)</f>
        <v>0</v>
      </c>
      <c r="T309">
        <f>IMDIV("1",IMSUM(K309,IMDIV("1",S309)))</f>
        <v>0</v>
      </c>
      <c r="U309">
        <f>IMSUM(L309,T309)</f>
        <v>0</v>
      </c>
      <c r="V309">
        <f>IMDIV(COMPLEX(I_DM_SOURCE,0),U309)</f>
        <v>0</v>
      </c>
      <c r="W309">
        <f>IMPRODUCT(V309,T309)</f>
        <v>0</v>
      </c>
      <c r="X309">
        <f>IMDIV(W309,S309)</f>
        <v>0</v>
      </c>
      <c r="Y309">
        <f>IMPRODUCT(X309,R309)</f>
        <v>0</v>
      </c>
      <c r="Z309">
        <f>IMDIV(Y309,Q309)</f>
        <v>0</v>
      </c>
      <c r="AA309">
        <f>IMPRODUCT(Z309,P309)</f>
        <v>0</v>
      </c>
      <c r="AB309">
        <f>AA309</f>
        <v>0</v>
      </c>
      <c r="AC309">
        <f>IMPRODUCT("-1",AB309)</f>
        <v>0</v>
      </c>
      <c r="AD309">
        <f>IMDIV(IMSUB(AB309,AC309),"2")</f>
        <v>0</v>
      </c>
      <c r="AE309" s="6">
        <f>IMABS(AB309)</f>
        <v>0</v>
      </c>
      <c r="AF309" s="6">
        <f>IMABS(AC309)</f>
        <v>0</v>
      </c>
      <c r="AG309" s="6">
        <f>IMABS(AD309)</f>
        <v>0</v>
      </c>
      <c r="AH309" s="7">
        <f>20*LOG10(MAX(AE309,1E-300)*1E6)</f>
        <v>0</v>
      </c>
      <c r="AI309" s="7">
        <f>20*LOG10(MAX(AF309,1E-300)*1E6)</f>
        <v>0</v>
      </c>
      <c r="AJ309" s="7">
        <f>20*LOG10(MAX(AG309,1E-300)*1E6)</f>
        <v>0</v>
      </c>
      <c r="AK309" s="7">
        <f>DEGREES(IMARGUMENT(AB309))</f>
        <v>0</v>
      </c>
      <c r="AL309" s="7">
        <f>DEGREES(IMARGUMENT(AC309))</f>
        <v>0</v>
      </c>
      <c r="AM309" s="7">
        <f>DEGREES(IMARGUMENT(AD309))</f>
        <v>0</v>
      </c>
    </row>
    <row r="310" spans="1:39">
      <c r="A310" s="6">
        <f>10^(LOG10(F_START)+(ROW()-ROW($A$2))*(LOG10(F_STOP)-LOG10(F_START))/(N_POINTS-1))</f>
        <v>0</v>
      </c>
      <c r="B310" s="6">
        <f>2*PI()*A310</f>
        <v>0</v>
      </c>
      <c r="C310">
        <f>COMPLEX(2*LINE_PS_DCR,2*B310*LINE_PS_L)</f>
        <v>0</v>
      </c>
      <c r="D310">
        <f>IMSUM(COMPLEX(0,B310*(LINE_PS_CLINE+LINE_PS_CCHA/2)),IMDIV("1",IMPRODUCT("2",COMPLEX(C_THROUGH_ESR,B310*C_THROUGH_ESL-1/(B310*C_THROUGH_C)))))</f>
        <v>0</v>
      </c>
      <c r="E310">
        <f>COMPLEX(2*LINE_INPUT_DCR,2*B310*LINE_INPUT_L)</f>
        <v>0</v>
      </c>
      <c r="F310">
        <f>COMPLEX(0,B310*(LINE_INPUT_CLINE+LINE_INPUT_CCHA/2))</f>
        <v>0</v>
      </c>
      <c r="G310">
        <f>IMPRODUCT("2",IMDIV("1",IMSUM(IMDIV("1",COMPLEX(LDM1_DCR,B310*LDM1_L)),COMPLEX(0,B310*LDM1_CPA))))</f>
        <v>0</v>
      </c>
      <c r="H310">
        <f>IMSUM(IMDIV("1",COMPLEX(CX1_ESR,B310*CX1_ESL-1/(B310*CX1_C))),IMDIV("1",IMSUM(COMPLEX(DUMP1_R,0),COMPLEX(DUMP1_ESR,B310*DUMP1_ESL-1/(B310*DUMP1_C)))))</f>
        <v>0</v>
      </c>
      <c r="I310">
        <f>IMPRODUCT("2",IMDIV("1",IMSUM(IMDIV("1",COMPLEX(LDM2_DCR,B310*LDM2_L)),COMPLEX(0,B310*LDM2_CPA))))</f>
        <v>0</v>
      </c>
      <c r="J310">
        <f>IMSUM(IMDIV("1",COMPLEX(CX2_ESR,B310*CX2_ESL-1/(B310*CX2_C))),IMDIV("1",IMSUM(COMPLEX(DUMP2_R,0),COMPLEX(DUMP2_ESR,B310*DUMP2_ESL-1/(B310*DUMP2_C)))))</f>
        <v>0</v>
      </c>
      <c r="K310">
        <f>IMPRODUCT("2",IMDIV("1",IMSUM(IMDIV("1",COMPLEX(CMC_DCR,B310*CMC_L*(1-CMC_K))),COMPLEX(0,B310*CMC_CPA))))</f>
        <v>0</v>
      </c>
      <c r="L310">
        <f>IMSUM(COMPLEX(0,B310*CMC_CLINE),IMDIV("1",IMPRODUCT("2",COMPLEX(CY_ESR,B310*CY_ESL-1/(B310*CY_C)))),COMPLEX(1/DUMMY_R,0))</f>
        <v>0</v>
      </c>
      <c r="M310">
        <f>IMSUM(D310,IMDIV("1",C310))</f>
        <v>0</v>
      </c>
      <c r="N310">
        <f>IMDIV("1",IMSUM(E310,IMDIV("1",M310)))</f>
        <v>0</v>
      </c>
      <c r="O310">
        <f>IMSUM(F310,N310)</f>
        <v>0</v>
      </c>
      <c r="P310">
        <f>IMDIV("1",IMSUM(G310,IMDIV("1",O310)))</f>
        <v>0</v>
      </c>
      <c r="Q310">
        <f>IMSUM(H310,P310)</f>
        <v>0</v>
      </c>
      <c r="R310">
        <f>IMDIV("1",IMSUM(I310,IMDIV("1",Q310)))</f>
        <v>0</v>
      </c>
      <c r="S310">
        <f>IMSUM(J310,R310)</f>
        <v>0</v>
      </c>
      <c r="T310">
        <f>IMDIV("1",IMSUM(K310,IMDIV("1",S310)))</f>
        <v>0</v>
      </c>
      <c r="U310">
        <f>IMSUM(L310,T310)</f>
        <v>0</v>
      </c>
      <c r="V310">
        <f>IMDIV(COMPLEX(I_DM_SOURCE,0),U310)</f>
        <v>0</v>
      </c>
      <c r="W310">
        <f>IMPRODUCT(V310,T310)</f>
        <v>0</v>
      </c>
      <c r="X310">
        <f>IMDIV(W310,S310)</f>
        <v>0</v>
      </c>
      <c r="Y310">
        <f>IMPRODUCT(X310,R310)</f>
        <v>0</v>
      </c>
      <c r="Z310">
        <f>IMDIV(Y310,Q310)</f>
        <v>0</v>
      </c>
      <c r="AA310">
        <f>IMPRODUCT(Z310,P310)</f>
        <v>0</v>
      </c>
      <c r="AB310">
        <f>AA310</f>
        <v>0</v>
      </c>
      <c r="AC310">
        <f>IMPRODUCT("-1",AB310)</f>
        <v>0</v>
      </c>
      <c r="AD310">
        <f>IMDIV(IMSUB(AB310,AC310),"2")</f>
        <v>0</v>
      </c>
      <c r="AE310" s="6">
        <f>IMABS(AB310)</f>
        <v>0</v>
      </c>
      <c r="AF310" s="6">
        <f>IMABS(AC310)</f>
        <v>0</v>
      </c>
      <c r="AG310" s="6">
        <f>IMABS(AD310)</f>
        <v>0</v>
      </c>
      <c r="AH310" s="7">
        <f>20*LOG10(MAX(AE310,1E-300)*1E6)</f>
        <v>0</v>
      </c>
      <c r="AI310" s="7">
        <f>20*LOG10(MAX(AF310,1E-300)*1E6)</f>
        <v>0</v>
      </c>
      <c r="AJ310" s="7">
        <f>20*LOG10(MAX(AG310,1E-300)*1E6)</f>
        <v>0</v>
      </c>
      <c r="AK310" s="7">
        <f>DEGREES(IMARGUMENT(AB310))</f>
        <v>0</v>
      </c>
      <c r="AL310" s="7">
        <f>DEGREES(IMARGUMENT(AC310))</f>
        <v>0</v>
      </c>
      <c r="AM310" s="7">
        <f>DEGREES(IMARGUMENT(AD310))</f>
        <v>0</v>
      </c>
    </row>
    <row r="311" spans="1:39">
      <c r="A311" s="6">
        <f>10^(LOG10(F_START)+(ROW()-ROW($A$2))*(LOG10(F_STOP)-LOG10(F_START))/(N_POINTS-1))</f>
        <v>0</v>
      </c>
      <c r="B311" s="6">
        <f>2*PI()*A311</f>
        <v>0</v>
      </c>
      <c r="C311">
        <f>COMPLEX(2*LINE_PS_DCR,2*B311*LINE_PS_L)</f>
        <v>0</v>
      </c>
      <c r="D311">
        <f>IMSUM(COMPLEX(0,B311*(LINE_PS_CLINE+LINE_PS_CCHA/2)),IMDIV("1",IMPRODUCT("2",COMPLEX(C_THROUGH_ESR,B311*C_THROUGH_ESL-1/(B311*C_THROUGH_C)))))</f>
        <v>0</v>
      </c>
      <c r="E311">
        <f>COMPLEX(2*LINE_INPUT_DCR,2*B311*LINE_INPUT_L)</f>
        <v>0</v>
      </c>
      <c r="F311">
        <f>COMPLEX(0,B311*(LINE_INPUT_CLINE+LINE_INPUT_CCHA/2))</f>
        <v>0</v>
      </c>
      <c r="G311">
        <f>IMPRODUCT("2",IMDIV("1",IMSUM(IMDIV("1",COMPLEX(LDM1_DCR,B311*LDM1_L)),COMPLEX(0,B311*LDM1_CPA))))</f>
        <v>0</v>
      </c>
      <c r="H311">
        <f>IMSUM(IMDIV("1",COMPLEX(CX1_ESR,B311*CX1_ESL-1/(B311*CX1_C))),IMDIV("1",IMSUM(COMPLEX(DUMP1_R,0),COMPLEX(DUMP1_ESR,B311*DUMP1_ESL-1/(B311*DUMP1_C)))))</f>
        <v>0</v>
      </c>
      <c r="I311">
        <f>IMPRODUCT("2",IMDIV("1",IMSUM(IMDIV("1",COMPLEX(LDM2_DCR,B311*LDM2_L)),COMPLEX(0,B311*LDM2_CPA))))</f>
        <v>0</v>
      </c>
      <c r="J311">
        <f>IMSUM(IMDIV("1",COMPLEX(CX2_ESR,B311*CX2_ESL-1/(B311*CX2_C))),IMDIV("1",IMSUM(COMPLEX(DUMP2_R,0),COMPLEX(DUMP2_ESR,B311*DUMP2_ESL-1/(B311*DUMP2_C)))))</f>
        <v>0</v>
      </c>
      <c r="K311">
        <f>IMPRODUCT("2",IMDIV("1",IMSUM(IMDIV("1",COMPLEX(CMC_DCR,B311*CMC_L*(1-CMC_K))),COMPLEX(0,B311*CMC_CPA))))</f>
        <v>0</v>
      </c>
      <c r="L311">
        <f>IMSUM(COMPLEX(0,B311*CMC_CLINE),IMDIV("1",IMPRODUCT("2",COMPLEX(CY_ESR,B311*CY_ESL-1/(B311*CY_C)))),COMPLEX(1/DUMMY_R,0))</f>
        <v>0</v>
      </c>
      <c r="M311">
        <f>IMSUM(D311,IMDIV("1",C311))</f>
        <v>0</v>
      </c>
      <c r="N311">
        <f>IMDIV("1",IMSUM(E311,IMDIV("1",M311)))</f>
        <v>0</v>
      </c>
      <c r="O311">
        <f>IMSUM(F311,N311)</f>
        <v>0</v>
      </c>
      <c r="P311">
        <f>IMDIV("1",IMSUM(G311,IMDIV("1",O311)))</f>
        <v>0</v>
      </c>
      <c r="Q311">
        <f>IMSUM(H311,P311)</f>
        <v>0</v>
      </c>
      <c r="R311">
        <f>IMDIV("1",IMSUM(I311,IMDIV("1",Q311)))</f>
        <v>0</v>
      </c>
      <c r="S311">
        <f>IMSUM(J311,R311)</f>
        <v>0</v>
      </c>
      <c r="T311">
        <f>IMDIV("1",IMSUM(K311,IMDIV("1",S311)))</f>
        <v>0</v>
      </c>
      <c r="U311">
        <f>IMSUM(L311,T311)</f>
        <v>0</v>
      </c>
      <c r="V311">
        <f>IMDIV(COMPLEX(I_DM_SOURCE,0),U311)</f>
        <v>0</v>
      </c>
      <c r="W311">
        <f>IMPRODUCT(V311,T311)</f>
        <v>0</v>
      </c>
      <c r="X311">
        <f>IMDIV(W311,S311)</f>
        <v>0</v>
      </c>
      <c r="Y311">
        <f>IMPRODUCT(X311,R311)</f>
        <v>0</v>
      </c>
      <c r="Z311">
        <f>IMDIV(Y311,Q311)</f>
        <v>0</v>
      </c>
      <c r="AA311">
        <f>IMPRODUCT(Z311,P311)</f>
        <v>0</v>
      </c>
      <c r="AB311">
        <f>AA311</f>
        <v>0</v>
      </c>
      <c r="AC311">
        <f>IMPRODUCT("-1",AB311)</f>
        <v>0</v>
      </c>
      <c r="AD311">
        <f>IMDIV(IMSUB(AB311,AC311),"2")</f>
        <v>0</v>
      </c>
      <c r="AE311" s="6">
        <f>IMABS(AB311)</f>
        <v>0</v>
      </c>
      <c r="AF311" s="6">
        <f>IMABS(AC311)</f>
        <v>0</v>
      </c>
      <c r="AG311" s="6">
        <f>IMABS(AD311)</f>
        <v>0</v>
      </c>
      <c r="AH311" s="7">
        <f>20*LOG10(MAX(AE311,1E-300)*1E6)</f>
        <v>0</v>
      </c>
      <c r="AI311" s="7">
        <f>20*LOG10(MAX(AF311,1E-300)*1E6)</f>
        <v>0</v>
      </c>
      <c r="AJ311" s="7">
        <f>20*LOG10(MAX(AG311,1E-300)*1E6)</f>
        <v>0</v>
      </c>
      <c r="AK311" s="7">
        <f>DEGREES(IMARGUMENT(AB311))</f>
        <v>0</v>
      </c>
      <c r="AL311" s="7">
        <f>DEGREES(IMARGUMENT(AC311))</f>
        <v>0</v>
      </c>
      <c r="AM311" s="7">
        <f>DEGREES(IMARGUMENT(AD311))</f>
        <v>0</v>
      </c>
    </row>
    <row r="312" spans="1:39">
      <c r="A312" s="6">
        <f>10^(LOG10(F_START)+(ROW()-ROW($A$2))*(LOG10(F_STOP)-LOG10(F_START))/(N_POINTS-1))</f>
        <v>0</v>
      </c>
      <c r="B312" s="6">
        <f>2*PI()*A312</f>
        <v>0</v>
      </c>
      <c r="C312">
        <f>COMPLEX(2*LINE_PS_DCR,2*B312*LINE_PS_L)</f>
        <v>0</v>
      </c>
      <c r="D312">
        <f>IMSUM(COMPLEX(0,B312*(LINE_PS_CLINE+LINE_PS_CCHA/2)),IMDIV("1",IMPRODUCT("2",COMPLEX(C_THROUGH_ESR,B312*C_THROUGH_ESL-1/(B312*C_THROUGH_C)))))</f>
        <v>0</v>
      </c>
      <c r="E312">
        <f>COMPLEX(2*LINE_INPUT_DCR,2*B312*LINE_INPUT_L)</f>
        <v>0</v>
      </c>
      <c r="F312">
        <f>COMPLEX(0,B312*(LINE_INPUT_CLINE+LINE_INPUT_CCHA/2))</f>
        <v>0</v>
      </c>
      <c r="G312">
        <f>IMPRODUCT("2",IMDIV("1",IMSUM(IMDIV("1",COMPLEX(LDM1_DCR,B312*LDM1_L)),COMPLEX(0,B312*LDM1_CPA))))</f>
        <v>0</v>
      </c>
      <c r="H312">
        <f>IMSUM(IMDIV("1",COMPLEX(CX1_ESR,B312*CX1_ESL-1/(B312*CX1_C))),IMDIV("1",IMSUM(COMPLEX(DUMP1_R,0),COMPLEX(DUMP1_ESR,B312*DUMP1_ESL-1/(B312*DUMP1_C)))))</f>
        <v>0</v>
      </c>
      <c r="I312">
        <f>IMPRODUCT("2",IMDIV("1",IMSUM(IMDIV("1",COMPLEX(LDM2_DCR,B312*LDM2_L)),COMPLEX(0,B312*LDM2_CPA))))</f>
        <v>0</v>
      </c>
      <c r="J312">
        <f>IMSUM(IMDIV("1",COMPLEX(CX2_ESR,B312*CX2_ESL-1/(B312*CX2_C))),IMDIV("1",IMSUM(COMPLEX(DUMP2_R,0),COMPLEX(DUMP2_ESR,B312*DUMP2_ESL-1/(B312*DUMP2_C)))))</f>
        <v>0</v>
      </c>
      <c r="K312">
        <f>IMPRODUCT("2",IMDIV("1",IMSUM(IMDIV("1",COMPLEX(CMC_DCR,B312*CMC_L*(1-CMC_K))),COMPLEX(0,B312*CMC_CPA))))</f>
        <v>0</v>
      </c>
      <c r="L312">
        <f>IMSUM(COMPLEX(0,B312*CMC_CLINE),IMDIV("1",IMPRODUCT("2",COMPLEX(CY_ESR,B312*CY_ESL-1/(B312*CY_C)))),COMPLEX(1/DUMMY_R,0))</f>
        <v>0</v>
      </c>
      <c r="M312">
        <f>IMSUM(D312,IMDIV("1",C312))</f>
        <v>0</v>
      </c>
      <c r="N312">
        <f>IMDIV("1",IMSUM(E312,IMDIV("1",M312)))</f>
        <v>0</v>
      </c>
      <c r="O312">
        <f>IMSUM(F312,N312)</f>
        <v>0</v>
      </c>
      <c r="P312">
        <f>IMDIV("1",IMSUM(G312,IMDIV("1",O312)))</f>
        <v>0</v>
      </c>
      <c r="Q312">
        <f>IMSUM(H312,P312)</f>
        <v>0</v>
      </c>
      <c r="R312">
        <f>IMDIV("1",IMSUM(I312,IMDIV("1",Q312)))</f>
        <v>0</v>
      </c>
      <c r="S312">
        <f>IMSUM(J312,R312)</f>
        <v>0</v>
      </c>
      <c r="T312">
        <f>IMDIV("1",IMSUM(K312,IMDIV("1",S312)))</f>
        <v>0</v>
      </c>
      <c r="U312">
        <f>IMSUM(L312,T312)</f>
        <v>0</v>
      </c>
      <c r="V312">
        <f>IMDIV(COMPLEX(I_DM_SOURCE,0),U312)</f>
        <v>0</v>
      </c>
      <c r="W312">
        <f>IMPRODUCT(V312,T312)</f>
        <v>0</v>
      </c>
      <c r="X312">
        <f>IMDIV(W312,S312)</f>
        <v>0</v>
      </c>
      <c r="Y312">
        <f>IMPRODUCT(X312,R312)</f>
        <v>0</v>
      </c>
      <c r="Z312">
        <f>IMDIV(Y312,Q312)</f>
        <v>0</v>
      </c>
      <c r="AA312">
        <f>IMPRODUCT(Z312,P312)</f>
        <v>0</v>
      </c>
      <c r="AB312">
        <f>AA312</f>
        <v>0</v>
      </c>
      <c r="AC312">
        <f>IMPRODUCT("-1",AB312)</f>
        <v>0</v>
      </c>
      <c r="AD312">
        <f>IMDIV(IMSUB(AB312,AC312),"2")</f>
        <v>0</v>
      </c>
      <c r="AE312" s="6">
        <f>IMABS(AB312)</f>
        <v>0</v>
      </c>
      <c r="AF312" s="6">
        <f>IMABS(AC312)</f>
        <v>0</v>
      </c>
      <c r="AG312" s="6">
        <f>IMABS(AD312)</f>
        <v>0</v>
      </c>
      <c r="AH312" s="7">
        <f>20*LOG10(MAX(AE312,1E-300)*1E6)</f>
        <v>0</v>
      </c>
      <c r="AI312" s="7">
        <f>20*LOG10(MAX(AF312,1E-300)*1E6)</f>
        <v>0</v>
      </c>
      <c r="AJ312" s="7">
        <f>20*LOG10(MAX(AG312,1E-300)*1E6)</f>
        <v>0</v>
      </c>
      <c r="AK312" s="7">
        <f>DEGREES(IMARGUMENT(AB312))</f>
        <v>0</v>
      </c>
      <c r="AL312" s="7">
        <f>DEGREES(IMARGUMENT(AC312))</f>
        <v>0</v>
      </c>
      <c r="AM312" s="7">
        <f>DEGREES(IMARGUMENT(AD312))</f>
        <v>0</v>
      </c>
    </row>
    <row r="313" spans="1:39">
      <c r="A313" s="6">
        <f>10^(LOG10(F_START)+(ROW()-ROW($A$2))*(LOG10(F_STOP)-LOG10(F_START))/(N_POINTS-1))</f>
        <v>0</v>
      </c>
      <c r="B313" s="6">
        <f>2*PI()*A313</f>
        <v>0</v>
      </c>
      <c r="C313">
        <f>COMPLEX(2*LINE_PS_DCR,2*B313*LINE_PS_L)</f>
        <v>0</v>
      </c>
      <c r="D313">
        <f>IMSUM(COMPLEX(0,B313*(LINE_PS_CLINE+LINE_PS_CCHA/2)),IMDIV("1",IMPRODUCT("2",COMPLEX(C_THROUGH_ESR,B313*C_THROUGH_ESL-1/(B313*C_THROUGH_C)))))</f>
        <v>0</v>
      </c>
      <c r="E313">
        <f>COMPLEX(2*LINE_INPUT_DCR,2*B313*LINE_INPUT_L)</f>
        <v>0</v>
      </c>
      <c r="F313">
        <f>COMPLEX(0,B313*(LINE_INPUT_CLINE+LINE_INPUT_CCHA/2))</f>
        <v>0</v>
      </c>
      <c r="G313">
        <f>IMPRODUCT("2",IMDIV("1",IMSUM(IMDIV("1",COMPLEX(LDM1_DCR,B313*LDM1_L)),COMPLEX(0,B313*LDM1_CPA))))</f>
        <v>0</v>
      </c>
      <c r="H313">
        <f>IMSUM(IMDIV("1",COMPLEX(CX1_ESR,B313*CX1_ESL-1/(B313*CX1_C))),IMDIV("1",IMSUM(COMPLEX(DUMP1_R,0),COMPLEX(DUMP1_ESR,B313*DUMP1_ESL-1/(B313*DUMP1_C)))))</f>
        <v>0</v>
      </c>
      <c r="I313">
        <f>IMPRODUCT("2",IMDIV("1",IMSUM(IMDIV("1",COMPLEX(LDM2_DCR,B313*LDM2_L)),COMPLEX(0,B313*LDM2_CPA))))</f>
        <v>0</v>
      </c>
      <c r="J313">
        <f>IMSUM(IMDIV("1",COMPLEX(CX2_ESR,B313*CX2_ESL-1/(B313*CX2_C))),IMDIV("1",IMSUM(COMPLEX(DUMP2_R,0),COMPLEX(DUMP2_ESR,B313*DUMP2_ESL-1/(B313*DUMP2_C)))))</f>
        <v>0</v>
      </c>
      <c r="K313">
        <f>IMPRODUCT("2",IMDIV("1",IMSUM(IMDIV("1",COMPLEX(CMC_DCR,B313*CMC_L*(1-CMC_K))),COMPLEX(0,B313*CMC_CPA))))</f>
        <v>0</v>
      </c>
      <c r="L313">
        <f>IMSUM(COMPLEX(0,B313*CMC_CLINE),IMDIV("1",IMPRODUCT("2",COMPLEX(CY_ESR,B313*CY_ESL-1/(B313*CY_C)))),COMPLEX(1/DUMMY_R,0))</f>
        <v>0</v>
      </c>
      <c r="M313">
        <f>IMSUM(D313,IMDIV("1",C313))</f>
        <v>0</v>
      </c>
      <c r="N313">
        <f>IMDIV("1",IMSUM(E313,IMDIV("1",M313)))</f>
        <v>0</v>
      </c>
      <c r="O313">
        <f>IMSUM(F313,N313)</f>
        <v>0</v>
      </c>
      <c r="P313">
        <f>IMDIV("1",IMSUM(G313,IMDIV("1",O313)))</f>
        <v>0</v>
      </c>
      <c r="Q313">
        <f>IMSUM(H313,P313)</f>
        <v>0</v>
      </c>
      <c r="R313">
        <f>IMDIV("1",IMSUM(I313,IMDIV("1",Q313)))</f>
        <v>0</v>
      </c>
      <c r="S313">
        <f>IMSUM(J313,R313)</f>
        <v>0</v>
      </c>
      <c r="T313">
        <f>IMDIV("1",IMSUM(K313,IMDIV("1",S313)))</f>
        <v>0</v>
      </c>
      <c r="U313">
        <f>IMSUM(L313,T313)</f>
        <v>0</v>
      </c>
      <c r="V313">
        <f>IMDIV(COMPLEX(I_DM_SOURCE,0),U313)</f>
        <v>0</v>
      </c>
      <c r="W313">
        <f>IMPRODUCT(V313,T313)</f>
        <v>0</v>
      </c>
      <c r="X313">
        <f>IMDIV(W313,S313)</f>
        <v>0</v>
      </c>
      <c r="Y313">
        <f>IMPRODUCT(X313,R313)</f>
        <v>0</v>
      </c>
      <c r="Z313">
        <f>IMDIV(Y313,Q313)</f>
        <v>0</v>
      </c>
      <c r="AA313">
        <f>IMPRODUCT(Z313,P313)</f>
        <v>0</v>
      </c>
      <c r="AB313">
        <f>AA313</f>
        <v>0</v>
      </c>
      <c r="AC313">
        <f>IMPRODUCT("-1",AB313)</f>
        <v>0</v>
      </c>
      <c r="AD313">
        <f>IMDIV(IMSUB(AB313,AC313),"2")</f>
        <v>0</v>
      </c>
      <c r="AE313" s="6">
        <f>IMABS(AB313)</f>
        <v>0</v>
      </c>
      <c r="AF313" s="6">
        <f>IMABS(AC313)</f>
        <v>0</v>
      </c>
      <c r="AG313" s="6">
        <f>IMABS(AD313)</f>
        <v>0</v>
      </c>
      <c r="AH313" s="7">
        <f>20*LOG10(MAX(AE313,1E-300)*1E6)</f>
        <v>0</v>
      </c>
      <c r="AI313" s="7">
        <f>20*LOG10(MAX(AF313,1E-300)*1E6)</f>
        <v>0</v>
      </c>
      <c r="AJ313" s="7">
        <f>20*LOG10(MAX(AG313,1E-300)*1E6)</f>
        <v>0</v>
      </c>
      <c r="AK313" s="7">
        <f>DEGREES(IMARGUMENT(AB313))</f>
        <v>0</v>
      </c>
      <c r="AL313" s="7">
        <f>DEGREES(IMARGUMENT(AC313))</f>
        <v>0</v>
      </c>
      <c r="AM313" s="7">
        <f>DEGREES(IMARGUMENT(AD313))</f>
        <v>0</v>
      </c>
    </row>
    <row r="314" spans="1:39">
      <c r="A314" s="6">
        <f>10^(LOG10(F_START)+(ROW()-ROW($A$2))*(LOG10(F_STOP)-LOG10(F_START))/(N_POINTS-1))</f>
        <v>0</v>
      </c>
      <c r="B314" s="6">
        <f>2*PI()*A314</f>
        <v>0</v>
      </c>
      <c r="C314">
        <f>COMPLEX(2*LINE_PS_DCR,2*B314*LINE_PS_L)</f>
        <v>0</v>
      </c>
      <c r="D314">
        <f>IMSUM(COMPLEX(0,B314*(LINE_PS_CLINE+LINE_PS_CCHA/2)),IMDIV("1",IMPRODUCT("2",COMPLEX(C_THROUGH_ESR,B314*C_THROUGH_ESL-1/(B314*C_THROUGH_C)))))</f>
        <v>0</v>
      </c>
      <c r="E314">
        <f>COMPLEX(2*LINE_INPUT_DCR,2*B314*LINE_INPUT_L)</f>
        <v>0</v>
      </c>
      <c r="F314">
        <f>COMPLEX(0,B314*(LINE_INPUT_CLINE+LINE_INPUT_CCHA/2))</f>
        <v>0</v>
      </c>
      <c r="G314">
        <f>IMPRODUCT("2",IMDIV("1",IMSUM(IMDIV("1",COMPLEX(LDM1_DCR,B314*LDM1_L)),COMPLEX(0,B314*LDM1_CPA))))</f>
        <v>0</v>
      </c>
      <c r="H314">
        <f>IMSUM(IMDIV("1",COMPLEX(CX1_ESR,B314*CX1_ESL-1/(B314*CX1_C))),IMDIV("1",IMSUM(COMPLEX(DUMP1_R,0),COMPLEX(DUMP1_ESR,B314*DUMP1_ESL-1/(B314*DUMP1_C)))))</f>
        <v>0</v>
      </c>
      <c r="I314">
        <f>IMPRODUCT("2",IMDIV("1",IMSUM(IMDIV("1",COMPLEX(LDM2_DCR,B314*LDM2_L)),COMPLEX(0,B314*LDM2_CPA))))</f>
        <v>0</v>
      </c>
      <c r="J314">
        <f>IMSUM(IMDIV("1",COMPLEX(CX2_ESR,B314*CX2_ESL-1/(B314*CX2_C))),IMDIV("1",IMSUM(COMPLEX(DUMP2_R,0),COMPLEX(DUMP2_ESR,B314*DUMP2_ESL-1/(B314*DUMP2_C)))))</f>
        <v>0</v>
      </c>
      <c r="K314">
        <f>IMPRODUCT("2",IMDIV("1",IMSUM(IMDIV("1",COMPLEX(CMC_DCR,B314*CMC_L*(1-CMC_K))),COMPLEX(0,B314*CMC_CPA))))</f>
        <v>0</v>
      </c>
      <c r="L314">
        <f>IMSUM(COMPLEX(0,B314*CMC_CLINE),IMDIV("1",IMPRODUCT("2",COMPLEX(CY_ESR,B314*CY_ESL-1/(B314*CY_C)))),COMPLEX(1/DUMMY_R,0))</f>
        <v>0</v>
      </c>
      <c r="M314">
        <f>IMSUM(D314,IMDIV("1",C314))</f>
        <v>0</v>
      </c>
      <c r="N314">
        <f>IMDIV("1",IMSUM(E314,IMDIV("1",M314)))</f>
        <v>0</v>
      </c>
      <c r="O314">
        <f>IMSUM(F314,N314)</f>
        <v>0</v>
      </c>
      <c r="P314">
        <f>IMDIV("1",IMSUM(G314,IMDIV("1",O314)))</f>
        <v>0</v>
      </c>
      <c r="Q314">
        <f>IMSUM(H314,P314)</f>
        <v>0</v>
      </c>
      <c r="R314">
        <f>IMDIV("1",IMSUM(I314,IMDIV("1",Q314)))</f>
        <v>0</v>
      </c>
      <c r="S314">
        <f>IMSUM(J314,R314)</f>
        <v>0</v>
      </c>
      <c r="T314">
        <f>IMDIV("1",IMSUM(K314,IMDIV("1",S314)))</f>
        <v>0</v>
      </c>
      <c r="U314">
        <f>IMSUM(L314,T314)</f>
        <v>0</v>
      </c>
      <c r="V314">
        <f>IMDIV(COMPLEX(I_DM_SOURCE,0),U314)</f>
        <v>0</v>
      </c>
      <c r="W314">
        <f>IMPRODUCT(V314,T314)</f>
        <v>0</v>
      </c>
      <c r="X314">
        <f>IMDIV(W314,S314)</f>
        <v>0</v>
      </c>
      <c r="Y314">
        <f>IMPRODUCT(X314,R314)</f>
        <v>0</v>
      </c>
      <c r="Z314">
        <f>IMDIV(Y314,Q314)</f>
        <v>0</v>
      </c>
      <c r="AA314">
        <f>IMPRODUCT(Z314,P314)</f>
        <v>0</v>
      </c>
      <c r="AB314">
        <f>AA314</f>
        <v>0</v>
      </c>
      <c r="AC314">
        <f>IMPRODUCT("-1",AB314)</f>
        <v>0</v>
      </c>
      <c r="AD314">
        <f>IMDIV(IMSUB(AB314,AC314),"2")</f>
        <v>0</v>
      </c>
      <c r="AE314" s="6">
        <f>IMABS(AB314)</f>
        <v>0</v>
      </c>
      <c r="AF314" s="6">
        <f>IMABS(AC314)</f>
        <v>0</v>
      </c>
      <c r="AG314" s="6">
        <f>IMABS(AD314)</f>
        <v>0</v>
      </c>
      <c r="AH314" s="7">
        <f>20*LOG10(MAX(AE314,1E-300)*1E6)</f>
        <v>0</v>
      </c>
      <c r="AI314" s="7">
        <f>20*LOG10(MAX(AF314,1E-300)*1E6)</f>
        <v>0</v>
      </c>
      <c r="AJ314" s="7">
        <f>20*LOG10(MAX(AG314,1E-300)*1E6)</f>
        <v>0</v>
      </c>
      <c r="AK314" s="7">
        <f>DEGREES(IMARGUMENT(AB314))</f>
        <v>0</v>
      </c>
      <c r="AL314" s="7">
        <f>DEGREES(IMARGUMENT(AC314))</f>
        <v>0</v>
      </c>
      <c r="AM314" s="7">
        <f>DEGREES(IMARGUMENT(AD314))</f>
        <v>0</v>
      </c>
    </row>
    <row r="315" spans="1:39">
      <c r="A315" s="6">
        <f>10^(LOG10(F_START)+(ROW()-ROW($A$2))*(LOG10(F_STOP)-LOG10(F_START))/(N_POINTS-1))</f>
        <v>0</v>
      </c>
      <c r="B315" s="6">
        <f>2*PI()*A315</f>
        <v>0</v>
      </c>
      <c r="C315">
        <f>COMPLEX(2*LINE_PS_DCR,2*B315*LINE_PS_L)</f>
        <v>0</v>
      </c>
      <c r="D315">
        <f>IMSUM(COMPLEX(0,B315*(LINE_PS_CLINE+LINE_PS_CCHA/2)),IMDIV("1",IMPRODUCT("2",COMPLEX(C_THROUGH_ESR,B315*C_THROUGH_ESL-1/(B315*C_THROUGH_C)))))</f>
        <v>0</v>
      </c>
      <c r="E315">
        <f>COMPLEX(2*LINE_INPUT_DCR,2*B315*LINE_INPUT_L)</f>
        <v>0</v>
      </c>
      <c r="F315">
        <f>COMPLEX(0,B315*(LINE_INPUT_CLINE+LINE_INPUT_CCHA/2))</f>
        <v>0</v>
      </c>
      <c r="G315">
        <f>IMPRODUCT("2",IMDIV("1",IMSUM(IMDIV("1",COMPLEX(LDM1_DCR,B315*LDM1_L)),COMPLEX(0,B315*LDM1_CPA))))</f>
        <v>0</v>
      </c>
      <c r="H315">
        <f>IMSUM(IMDIV("1",COMPLEX(CX1_ESR,B315*CX1_ESL-1/(B315*CX1_C))),IMDIV("1",IMSUM(COMPLEX(DUMP1_R,0),COMPLEX(DUMP1_ESR,B315*DUMP1_ESL-1/(B315*DUMP1_C)))))</f>
        <v>0</v>
      </c>
      <c r="I315">
        <f>IMPRODUCT("2",IMDIV("1",IMSUM(IMDIV("1",COMPLEX(LDM2_DCR,B315*LDM2_L)),COMPLEX(0,B315*LDM2_CPA))))</f>
        <v>0</v>
      </c>
      <c r="J315">
        <f>IMSUM(IMDIV("1",COMPLEX(CX2_ESR,B315*CX2_ESL-1/(B315*CX2_C))),IMDIV("1",IMSUM(COMPLEX(DUMP2_R,0),COMPLEX(DUMP2_ESR,B315*DUMP2_ESL-1/(B315*DUMP2_C)))))</f>
        <v>0</v>
      </c>
      <c r="K315">
        <f>IMPRODUCT("2",IMDIV("1",IMSUM(IMDIV("1",COMPLEX(CMC_DCR,B315*CMC_L*(1-CMC_K))),COMPLEX(0,B315*CMC_CPA))))</f>
        <v>0</v>
      </c>
      <c r="L315">
        <f>IMSUM(COMPLEX(0,B315*CMC_CLINE),IMDIV("1",IMPRODUCT("2",COMPLEX(CY_ESR,B315*CY_ESL-1/(B315*CY_C)))),COMPLEX(1/DUMMY_R,0))</f>
        <v>0</v>
      </c>
      <c r="M315">
        <f>IMSUM(D315,IMDIV("1",C315))</f>
        <v>0</v>
      </c>
      <c r="N315">
        <f>IMDIV("1",IMSUM(E315,IMDIV("1",M315)))</f>
        <v>0</v>
      </c>
      <c r="O315">
        <f>IMSUM(F315,N315)</f>
        <v>0</v>
      </c>
      <c r="P315">
        <f>IMDIV("1",IMSUM(G315,IMDIV("1",O315)))</f>
        <v>0</v>
      </c>
      <c r="Q315">
        <f>IMSUM(H315,P315)</f>
        <v>0</v>
      </c>
      <c r="R315">
        <f>IMDIV("1",IMSUM(I315,IMDIV("1",Q315)))</f>
        <v>0</v>
      </c>
      <c r="S315">
        <f>IMSUM(J315,R315)</f>
        <v>0</v>
      </c>
      <c r="T315">
        <f>IMDIV("1",IMSUM(K315,IMDIV("1",S315)))</f>
        <v>0</v>
      </c>
      <c r="U315">
        <f>IMSUM(L315,T315)</f>
        <v>0</v>
      </c>
      <c r="V315">
        <f>IMDIV(COMPLEX(I_DM_SOURCE,0),U315)</f>
        <v>0</v>
      </c>
      <c r="W315">
        <f>IMPRODUCT(V315,T315)</f>
        <v>0</v>
      </c>
      <c r="X315">
        <f>IMDIV(W315,S315)</f>
        <v>0</v>
      </c>
      <c r="Y315">
        <f>IMPRODUCT(X315,R315)</f>
        <v>0</v>
      </c>
      <c r="Z315">
        <f>IMDIV(Y315,Q315)</f>
        <v>0</v>
      </c>
      <c r="AA315">
        <f>IMPRODUCT(Z315,P315)</f>
        <v>0</v>
      </c>
      <c r="AB315">
        <f>AA315</f>
        <v>0</v>
      </c>
      <c r="AC315">
        <f>IMPRODUCT("-1",AB315)</f>
        <v>0</v>
      </c>
      <c r="AD315">
        <f>IMDIV(IMSUB(AB315,AC315),"2")</f>
        <v>0</v>
      </c>
      <c r="AE315" s="6">
        <f>IMABS(AB315)</f>
        <v>0</v>
      </c>
      <c r="AF315" s="6">
        <f>IMABS(AC315)</f>
        <v>0</v>
      </c>
      <c r="AG315" s="6">
        <f>IMABS(AD315)</f>
        <v>0</v>
      </c>
      <c r="AH315" s="7">
        <f>20*LOG10(MAX(AE315,1E-300)*1E6)</f>
        <v>0</v>
      </c>
      <c r="AI315" s="7">
        <f>20*LOG10(MAX(AF315,1E-300)*1E6)</f>
        <v>0</v>
      </c>
      <c r="AJ315" s="7">
        <f>20*LOG10(MAX(AG315,1E-300)*1E6)</f>
        <v>0</v>
      </c>
      <c r="AK315" s="7">
        <f>DEGREES(IMARGUMENT(AB315))</f>
        <v>0</v>
      </c>
      <c r="AL315" s="7">
        <f>DEGREES(IMARGUMENT(AC315))</f>
        <v>0</v>
      </c>
      <c r="AM315" s="7">
        <f>DEGREES(IMARGUMENT(AD315))</f>
        <v>0</v>
      </c>
    </row>
    <row r="316" spans="1:39">
      <c r="A316" s="6">
        <f>10^(LOG10(F_START)+(ROW()-ROW($A$2))*(LOG10(F_STOP)-LOG10(F_START))/(N_POINTS-1))</f>
        <v>0</v>
      </c>
      <c r="B316" s="6">
        <f>2*PI()*A316</f>
        <v>0</v>
      </c>
      <c r="C316">
        <f>COMPLEX(2*LINE_PS_DCR,2*B316*LINE_PS_L)</f>
        <v>0</v>
      </c>
      <c r="D316">
        <f>IMSUM(COMPLEX(0,B316*(LINE_PS_CLINE+LINE_PS_CCHA/2)),IMDIV("1",IMPRODUCT("2",COMPLEX(C_THROUGH_ESR,B316*C_THROUGH_ESL-1/(B316*C_THROUGH_C)))))</f>
        <v>0</v>
      </c>
      <c r="E316">
        <f>COMPLEX(2*LINE_INPUT_DCR,2*B316*LINE_INPUT_L)</f>
        <v>0</v>
      </c>
      <c r="F316">
        <f>COMPLEX(0,B316*(LINE_INPUT_CLINE+LINE_INPUT_CCHA/2))</f>
        <v>0</v>
      </c>
      <c r="G316">
        <f>IMPRODUCT("2",IMDIV("1",IMSUM(IMDIV("1",COMPLEX(LDM1_DCR,B316*LDM1_L)),COMPLEX(0,B316*LDM1_CPA))))</f>
        <v>0</v>
      </c>
      <c r="H316">
        <f>IMSUM(IMDIV("1",COMPLEX(CX1_ESR,B316*CX1_ESL-1/(B316*CX1_C))),IMDIV("1",IMSUM(COMPLEX(DUMP1_R,0),COMPLEX(DUMP1_ESR,B316*DUMP1_ESL-1/(B316*DUMP1_C)))))</f>
        <v>0</v>
      </c>
      <c r="I316">
        <f>IMPRODUCT("2",IMDIV("1",IMSUM(IMDIV("1",COMPLEX(LDM2_DCR,B316*LDM2_L)),COMPLEX(0,B316*LDM2_CPA))))</f>
        <v>0</v>
      </c>
      <c r="J316">
        <f>IMSUM(IMDIV("1",COMPLEX(CX2_ESR,B316*CX2_ESL-1/(B316*CX2_C))),IMDIV("1",IMSUM(COMPLEX(DUMP2_R,0),COMPLEX(DUMP2_ESR,B316*DUMP2_ESL-1/(B316*DUMP2_C)))))</f>
        <v>0</v>
      </c>
      <c r="K316">
        <f>IMPRODUCT("2",IMDIV("1",IMSUM(IMDIV("1",COMPLEX(CMC_DCR,B316*CMC_L*(1-CMC_K))),COMPLEX(0,B316*CMC_CPA))))</f>
        <v>0</v>
      </c>
      <c r="L316">
        <f>IMSUM(COMPLEX(0,B316*CMC_CLINE),IMDIV("1",IMPRODUCT("2",COMPLEX(CY_ESR,B316*CY_ESL-1/(B316*CY_C)))),COMPLEX(1/DUMMY_R,0))</f>
        <v>0</v>
      </c>
      <c r="M316">
        <f>IMSUM(D316,IMDIV("1",C316))</f>
        <v>0</v>
      </c>
      <c r="N316">
        <f>IMDIV("1",IMSUM(E316,IMDIV("1",M316)))</f>
        <v>0</v>
      </c>
      <c r="O316">
        <f>IMSUM(F316,N316)</f>
        <v>0</v>
      </c>
      <c r="P316">
        <f>IMDIV("1",IMSUM(G316,IMDIV("1",O316)))</f>
        <v>0</v>
      </c>
      <c r="Q316">
        <f>IMSUM(H316,P316)</f>
        <v>0</v>
      </c>
      <c r="R316">
        <f>IMDIV("1",IMSUM(I316,IMDIV("1",Q316)))</f>
        <v>0</v>
      </c>
      <c r="S316">
        <f>IMSUM(J316,R316)</f>
        <v>0</v>
      </c>
      <c r="T316">
        <f>IMDIV("1",IMSUM(K316,IMDIV("1",S316)))</f>
        <v>0</v>
      </c>
      <c r="U316">
        <f>IMSUM(L316,T316)</f>
        <v>0</v>
      </c>
      <c r="V316">
        <f>IMDIV(COMPLEX(I_DM_SOURCE,0),U316)</f>
        <v>0</v>
      </c>
      <c r="W316">
        <f>IMPRODUCT(V316,T316)</f>
        <v>0</v>
      </c>
      <c r="X316">
        <f>IMDIV(W316,S316)</f>
        <v>0</v>
      </c>
      <c r="Y316">
        <f>IMPRODUCT(X316,R316)</f>
        <v>0</v>
      </c>
      <c r="Z316">
        <f>IMDIV(Y316,Q316)</f>
        <v>0</v>
      </c>
      <c r="AA316">
        <f>IMPRODUCT(Z316,P316)</f>
        <v>0</v>
      </c>
      <c r="AB316">
        <f>AA316</f>
        <v>0</v>
      </c>
      <c r="AC316">
        <f>IMPRODUCT("-1",AB316)</f>
        <v>0</v>
      </c>
      <c r="AD316">
        <f>IMDIV(IMSUB(AB316,AC316),"2")</f>
        <v>0</v>
      </c>
      <c r="AE316" s="6">
        <f>IMABS(AB316)</f>
        <v>0</v>
      </c>
      <c r="AF316" s="6">
        <f>IMABS(AC316)</f>
        <v>0</v>
      </c>
      <c r="AG316" s="6">
        <f>IMABS(AD316)</f>
        <v>0</v>
      </c>
      <c r="AH316" s="7">
        <f>20*LOG10(MAX(AE316,1E-300)*1E6)</f>
        <v>0</v>
      </c>
      <c r="AI316" s="7">
        <f>20*LOG10(MAX(AF316,1E-300)*1E6)</f>
        <v>0</v>
      </c>
      <c r="AJ316" s="7">
        <f>20*LOG10(MAX(AG316,1E-300)*1E6)</f>
        <v>0</v>
      </c>
      <c r="AK316" s="7">
        <f>DEGREES(IMARGUMENT(AB316))</f>
        <v>0</v>
      </c>
      <c r="AL316" s="7">
        <f>DEGREES(IMARGUMENT(AC316))</f>
        <v>0</v>
      </c>
      <c r="AM316" s="7">
        <f>DEGREES(IMARGUMENT(AD316))</f>
        <v>0</v>
      </c>
    </row>
    <row r="317" spans="1:39">
      <c r="A317" s="6">
        <f>10^(LOG10(F_START)+(ROW()-ROW($A$2))*(LOG10(F_STOP)-LOG10(F_START))/(N_POINTS-1))</f>
        <v>0</v>
      </c>
      <c r="B317" s="6">
        <f>2*PI()*A317</f>
        <v>0</v>
      </c>
      <c r="C317">
        <f>COMPLEX(2*LINE_PS_DCR,2*B317*LINE_PS_L)</f>
        <v>0</v>
      </c>
      <c r="D317">
        <f>IMSUM(COMPLEX(0,B317*(LINE_PS_CLINE+LINE_PS_CCHA/2)),IMDIV("1",IMPRODUCT("2",COMPLEX(C_THROUGH_ESR,B317*C_THROUGH_ESL-1/(B317*C_THROUGH_C)))))</f>
        <v>0</v>
      </c>
      <c r="E317">
        <f>COMPLEX(2*LINE_INPUT_DCR,2*B317*LINE_INPUT_L)</f>
        <v>0</v>
      </c>
      <c r="F317">
        <f>COMPLEX(0,B317*(LINE_INPUT_CLINE+LINE_INPUT_CCHA/2))</f>
        <v>0</v>
      </c>
      <c r="G317">
        <f>IMPRODUCT("2",IMDIV("1",IMSUM(IMDIV("1",COMPLEX(LDM1_DCR,B317*LDM1_L)),COMPLEX(0,B317*LDM1_CPA))))</f>
        <v>0</v>
      </c>
      <c r="H317">
        <f>IMSUM(IMDIV("1",COMPLEX(CX1_ESR,B317*CX1_ESL-1/(B317*CX1_C))),IMDIV("1",IMSUM(COMPLEX(DUMP1_R,0),COMPLEX(DUMP1_ESR,B317*DUMP1_ESL-1/(B317*DUMP1_C)))))</f>
        <v>0</v>
      </c>
      <c r="I317">
        <f>IMPRODUCT("2",IMDIV("1",IMSUM(IMDIV("1",COMPLEX(LDM2_DCR,B317*LDM2_L)),COMPLEX(0,B317*LDM2_CPA))))</f>
        <v>0</v>
      </c>
      <c r="J317">
        <f>IMSUM(IMDIV("1",COMPLEX(CX2_ESR,B317*CX2_ESL-1/(B317*CX2_C))),IMDIV("1",IMSUM(COMPLEX(DUMP2_R,0),COMPLEX(DUMP2_ESR,B317*DUMP2_ESL-1/(B317*DUMP2_C)))))</f>
        <v>0</v>
      </c>
      <c r="K317">
        <f>IMPRODUCT("2",IMDIV("1",IMSUM(IMDIV("1",COMPLEX(CMC_DCR,B317*CMC_L*(1-CMC_K))),COMPLEX(0,B317*CMC_CPA))))</f>
        <v>0</v>
      </c>
      <c r="L317">
        <f>IMSUM(COMPLEX(0,B317*CMC_CLINE),IMDIV("1",IMPRODUCT("2",COMPLEX(CY_ESR,B317*CY_ESL-1/(B317*CY_C)))),COMPLEX(1/DUMMY_R,0))</f>
        <v>0</v>
      </c>
      <c r="M317">
        <f>IMSUM(D317,IMDIV("1",C317))</f>
        <v>0</v>
      </c>
      <c r="N317">
        <f>IMDIV("1",IMSUM(E317,IMDIV("1",M317)))</f>
        <v>0</v>
      </c>
      <c r="O317">
        <f>IMSUM(F317,N317)</f>
        <v>0</v>
      </c>
      <c r="P317">
        <f>IMDIV("1",IMSUM(G317,IMDIV("1",O317)))</f>
        <v>0</v>
      </c>
      <c r="Q317">
        <f>IMSUM(H317,P317)</f>
        <v>0</v>
      </c>
      <c r="R317">
        <f>IMDIV("1",IMSUM(I317,IMDIV("1",Q317)))</f>
        <v>0</v>
      </c>
      <c r="S317">
        <f>IMSUM(J317,R317)</f>
        <v>0</v>
      </c>
      <c r="T317">
        <f>IMDIV("1",IMSUM(K317,IMDIV("1",S317)))</f>
        <v>0</v>
      </c>
      <c r="U317">
        <f>IMSUM(L317,T317)</f>
        <v>0</v>
      </c>
      <c r="V317">
        <f>IMDIV(COMPLEX(I_DM_SOURCE,0),U317)</f>
        <v>0</v>
      </c>
      <c r="W317">
        <f>IMPRODUCT(V317,T317)</f>
        <v>0</v>
      </c>
      <c r="X317">
        <f>IMDIV(W317,S317)</f>
        <v>0</v>
      </c>
      <c r="Y317">
        <f>IMPRODUCT(X317,R317)</f>
        <v>0</v>
      </c>
      <c r="Z317">
        <f>IMDIV(Y317,Q317)</f>
        <v>0</v>
      </c>
      <c r="AA317">
        <f>IMPRODUCT(Z317,P317)</f>
        <v>0</v>
      </c>
      <c r="AB317">
        <f>AA317</f>
        <v>0</v>
      </c>
      <c r="AC317">
        <f>IMPRODUCT("-1",AB317)</f>
        <v>0</v>
      </c>
      <c r="AD317">
        <f>IMDIV(IMSUB(AB317,AC317),"2")</f>
        <v>0</v>
      </c>
      <c r="AE317" s="6">
        <f>IMABS(AB317)</f>
        <v>0</v>
      </c>
      <c r="AF317" s="6">
        <f>IMABS(AC317)</f>
        <v>0</v>
      </c>
      <c r="AG317" s="6">
        <f>IMABS(AD317)</f>
        <v>0</v>
      </c>
      <c r="AH317" s="7">
        <f>20*LOG10(MAX(AE317,1E-300)*1E6)</f>
        <v>0</v>
      </c>
      <c r="AI317" s="7">
        <f>20*LOG10(MAX(AF317,1E-300)*1E6)</f>
        <v>0</v>
      </c>
      <c r="AJ317" s="7">
        <f>20*LOG10(MAX(AG317,1E-300)*1E6)</f>
        <v>0</v>
      </c>
      <c r="AK317" s="7">
        <f>DEGREES(IMARGUMENT(AB317))</f>
        <v>0</v>
      </c>
      <c r="AL317" s="7">
        <f>DEGREES(IMARGUMENT(AC317))</f>
        <v>0</v>
      </c>
      <c r="AM317" s="7">
        <f>DEGREES(IMARGUMENT(AD317))</f>
        <v>0</v>
      </c>
    </row>
    <row r="318" spans="1:39">
      <c r="A318" s="6">
        <f>10^(LOG10(F_START)+(ROW()-ROW($A$2))*(LOG10(F_STOP)-LOG10(F_START))/(N_POINTS-1))</f>
        <v>0</v>
      </c>
      <c r="B318" s="6">
        <f>2*PI()*A318</f>
        <v>0</v>
      </c>
      <c r="C318">
        <f>COMPLEX(2*LINE_PS_DCR,2*B318*LINE_PS_L)</f>
        <v>0</v>
      </c>
      <c r="D318">
        <f>IMSUM(COMPLEX(0,B318*(LINE_PS_CLINE+LINE_PS_CCHA/2)),IMDIV("1",IMPRODUCT("2",COMPLEX(C_THROUGH_ESR,B318*C_THROUGH_ESL-1/(B318*C_THROUGH_C)))))</f>
        <v>0</v>
      </c>
      <c r="E318">
        <f>COMPLEX(2*LINE_INPUT_DCR,2*B318*LINE_INPUT_L)</f>
        <v>0</v>
      </c>
      <c r="F318">
        <f>COMPLEX(0,B318*(LINE_INPUT_CLINE+LINE_INPUT_CCHA/2))</f>
        <v>0</v>
      </c>
      <c r="G318">
        <f>IMPRODUCT("2",IMDIV("1",IMSUM(IMDIV("1",COMPLEX(LDM1_DCR,B318*LDM1_L)),COMPLEX(0,B318*LDM1_CPA))))</f>
        <v>0</v>
      </c>
      <c r="H318">
        <f>IMSUM(IMDIV("1",COMPLEX(CX1_ESR,B318*CX1_ESL-1/(B318*CX1_C))),IMDIV("1",IMSUM(COMPLEX(DUMP1_R,0),COMPLEX(DUMP1_ESR,B318*DUMP1_ESL-1/(B318*DUMP1_C)))))</f>
        <v>0</v>
      </c>
      <c r="I318">
        <f>IMPRODUCT("2",IMDIV("1",IMSUM(IMDIV("1",COMPLEX(LDM2_DCR,B318*LDM2_L)),COMPLEX(0,B318*LDM2_CPA))))</f>
        <v>0</v>
      </c>
      <c r="J318">
        <f>IMSUM(IMDIV("1",COMPLEX(CX2_ESR,B318*CX2_ESL-1/(B318*CX2_C))),IMDIV("1",IMSUM(COMPLEX(DUMP2_R,0),COMPLEX(DUMP2_ESR,B318*DUMP2_ESL-1/(B318*DUMP2_C)))))</f>
        <v>0</v>
      </c>
      <c r="K318">
        <f>IMPRODUCT("2",IMDIV("1",IMSUM(IMDIV("1",COMPLEX(CMC_DCR,B318*CMC_L*(1-CMC_K))),COMPLEX(0,B318*CMC_CPA))))</f>
        <v>0</v>
      </c>
      <c r="L318">
        <f>IMSUM(COMPLEX(0,B318*CMC_CLINE),IMDIV("1",IMPRODUCT("2",COMPLEX(CY_ESR,B318*CY_ESL-1/(B318*CY_C)))),COMPLEX(1/DUMMY_R,0))</f>
        <v>0</v>
      </c>
      <c r="M318">
        <f>IMSUM(D318,IMDIV("1",C318))</f>
        <v>0</v>
      </c>
      <c r="N318">
        <f>IMDIV("1",IMSUM(E318,IMDIV("1",M318)))</f>
        <v>0</v>
      </c>
      <c r="O318">
        <f>IMSUM(F318,N318)</f>
        <v>0</v>
      </c>
      <c r="P318">
        <f>IMDIV("1",IMSUM(G318,IMDIV("1",O318)))</f>
        <v>0</v>
      </c>
      <c r="Q318">
        <f>IMSUM(H318,P318)</f>
        <v>0</v>
      </c>
      <c r="R318">
        <f>IMDIV("1",IMSUM(I318,IMDIV("1",Q318)))</f>
        <v>0</v>
      </c>
      <c r="S318">
        <f>IMSUM(J318,R318)</f>
        <v>0</v>
      </c>
      <c r="T318">
        <f>IMDIV("1",IMSUM(K318,IMDIV("1",S318)))</f>
        <v>0</v>
      </c>
      <c r="U318">
        <f>IMSUM(L318,T318)</f>
        <v>0</v>
      </c>
      <c r="V318">
        <f>IMDIV(COMPLEX(I_DM_SOURCE,0),U318)</f>
        <v>0</v>
      </c>
      <c r="W318">
        <f>IMPRODUCT(V318,T318)</f>
        <v>0</v>
      </c>
      <c r="X318">
        <f>IMDIV(W318,S318)</f>
        <v>0</v>
      </c>
      <c r="Y318">
        <f>IMPRODUCT(X318,R318)</f>
        <v>0</v>
      </c>
      <c r="Z318">
        <f>IMDIV(Y318,Q318)</f>
        <v>0</v>
      </c>
      <c r="AA318">
        <f>IMPRODUCT(Z318,P318)</f>
        <v>0</v>
      </c>
      <c r="AB318">
        <f>AA318</f>
        <v>0</v>
      </c>
      <c r="AC318">
        <f>IMPRODUCT("-1",AB318)</f>
        <v>0</v>
      </c>
      <c r="AD318">
        <f>IMDIV(IMSUB(AB318,AC318),"2")</f>
        <v>0</v>
      </c>
      <c r="AE318" s="6">
        <f>IMABS(AB318)</f>
        <v>0</v>
      </c>
      <c r="AF318" s="6">
        <f>IMABS(AC318)</f>
        <v>0</v>
      </c>
      <c r="AG318" s="6">
        <f>IMABS(AD318)</f>
        <v>0</v>
      </c>
      <c r="AH318" s="7">
        <f>20*LOG10(MAX(AE318,1E-300)*1E6)</f>
        <v>0</v>
      </c>
      <c r="AI318" s="7">
        <f>20*LOG10(MAX(AF318,1E-300)*1E6)</f>
        <v>0</v>
      </c>
      <c r="AJ318" s="7">
        <f>20*LOG10(MAX(AG318,1E-300)*1E6)</f>
        <v>0</v>
      </c>
      <c r="AK318" s="7">
        <f>DEGREES(IMARGUMENT(AB318))</f>
        <v>0</v>
      </c>
      <c r="AL318" s="7">
        <f>DEGREES(IMARGUMENT(AC318))</f>
        <v>0</v>
      </c>
      <c r="AM318" s="7">
        <f>DEGREES(IMARGUMENT(AD318))</f>
        <v>0</v>
      </c>
    </row>
    <row r="319" spans="1:39">
      <c r="A319" s="6">
        <f>10^(LOG10(F_START)+(ROW()-ROW($A$2))*(LOG10(F_STOP)-LOG10(F_START))/(N_POINTS-1))</f>
        <v>0</v>
      </c>
      <c r="B319" s="6">
        <f>2*PI()*A319</f>
        <v>0</v>
      </c>
      <c r="C319">
        <f>COMPLEX(2*LINE_PS_DCR,2*B319*LINE_PS_L)</f>
        <v>0</v>
      </c>
      <c r="D319">
        <f>IMSUM(COMPLEX(0,B319*(LINE_PS_CLINE+LINE_PS_CCHA/2)),IMDIV("1",IMPRODUCT("2",COMPLEX(C_THROUGH_ESR,B319*C_THROUGH_ESL-1/(B319*C_THROUGH_C)))))</f>
        <v>0</v>
      </c>
      <c r="E319">
        <f>COMPLEX(2*LINE_INPUT_DCR,2*B319*LINE_INPUT_L)</f>
        <v>0</v>
      </c>
      <c r="F319">
        <f>COMPLEX(0,B319*(LINE_INPUT_CLINE+LINE_INPUT_CCHA/2))</f>
        <v>0</v>
      </c>
      <c r="G319">
        <f>IMPRODUCT("2",IMDIV("1",IMSUM(IMDIV("1",COMPLEX(LDM1_DCR,B319*LDM1_L)),COMPLEX(0,B319*LDM1_CPA))))</f>
        <v>0</v>
      </c>
      <c r="H319">
        <f>IMSUM(IMDIV("1",COMPLEX(CX1_ESR,B319*CX1_ESL-1/(B319*CX1_C))),IMDIV("1",IMSUM(COMPLEX(DUMP1_R,0),COMPLEX(DUMP1_ESR,B319*DUMP1_ESL-1/(B319*DUMP1_C)))))</f>
        <v>0</v>
      </c>
      <c r="I319">
        <f>IMPRODUCT("2",IMDIV("1",IMSUM(IMDIV("1",COMPLEX(LDM2_DCR,B319*LDM2_L)),COMPLEX(0,B319*LDM2_CPA))))</f>
        <v>0</v>
      </c>
      <c r="J319">
        <f>IMSUM(IMDIV("1",COMPLEX(CX2_ESR,B319*CX2_ESL-1/(B319*CX2_C))),IMDIV("1",IMSUM(COMPLEX(DUMP2_R,0),COMPLEX(DUMP2_ESR,B319*DUMP2_ESL-1/(B319*DUMP2_C)))))</f>
        <v>0</v>
      </c>
      <c r="K319">
        <f>IMPRODUCT("2",IMDIV("1",IMSUM(IMDIV("1",COMPLEX(CMC_DCR,B319*CMC_L*(1-CMC_K))),COMPLEX(0,B319*CMC_CPA))))</f>
        <v>0</v>
      </c>
      <c r="L319">
        <f>IMSUM(COMPLEX(0,B319*CMC_CLINE),IMDIV("1",IMPRODUCT("2",COMPLEX(CY_ESR,B319*CY_ESL-1/(B319*CY_C)))),COMPLEX(1/DUMMY_R,0))</f>
        <v>0</v>
      </c>
      <c r="M319">
        <f>IMSUM(D319,IMDIV("1",C319))</f>
        <v>0</v>
      </c>
      <c r="N319">
        <f>IMDIV("1",IMSUM(E319,IMDIV("1",M319)))</f>
        <v>0</v>
      </c>
      <c r="O319">
        <f>IMSUM(F319,N319)</f>
        <v>0</v>
      </c>
      <c r="P319">
        <f>IMDIV("1",IMSUM(G319,IMDIV("1",O319)))</f>
        <v>0</v>
      </c>
      <c r="Q319">
        <f>IMSUM(H319,P319)</f>
        <v>0</v>
      </c>
      <c r="R319">
        <f>IMDIV("1",IMSUM(I319,IMDIV("1",Q319)))</f>
        <v>0</v>
      </c>
      <c r="S319">
        <f>IMSUM(J319,R319)</f>
        <v>0</v>
      </c>
      <c r="T319">
        <f>IMDIV("1",IMSUM(K319,IMDIV("1",S319)))</f>
        <v>0</v>
      </c>
      <c r="U319">
        <f>IMSUM(L319,T319)</f>
        <v>0</v>
      </c>
      <c r="V319">
        <f>IMDIV(COMPLEX(I_DM_SOURCE,0),U319)</f>
        <v>0</v>
      </c>
      <c r="W319">
        <f>IMPRODUCT(V319,T319)</f>
        <v>0</v>
      </c>
      <c r="X319">
        <f>IMDIV(W319,S319)</f>
        <v>0</v>
      </c>
      <c r="Y319">
        <f>IMPRODUCT(X319,R319)</f>
        <v>0</v>
      </c>
      <c r="Z319">
        <f>IMDIV(Y319,Q319)</f>
        <v>0</v>
      </c>
      <c r="AA319">
        <f>IMPRODUCT(Z319,P319)</f>
        <v>0</v>
      </c>
      <c r="AB319">
        <f>AA319</f>
        <v>0</v>
      </c>
      <c r="AC319">
        <f>IMPRODUCT("-1",AB319)</f>
        <v>0</v>
      </c>
      <c r="AD319">
        <f>IMDIV(IMSUB(AB319,AC319),"2")</f>
        <v>0</v>
      </c>
      <c r="AE319" s="6">
        <f>IMABS(AB319)</f>
        <v>0</v>
      </c>
      <c r="AF319" s="6">
        <f>IMABS(AC319)</f>
        <v>0</v>
      </c>
      <c r="AG319" s="6">
        <f>IMABS(AD319)</f>
        <v>0</v>
      </c>
      <c r="AH319" s="7">
        <f>20*LOG10(MAX(AE319,1E-300)*1E6)</f>
        <v>0</v>
      </c>
      <c r="AI319" s="7">
        <f>20*LOG10(MAX(AF319,1E-300)*1E6)</f>
        <v>0</v>
      </c>
      <c r="AJ319" s="7">
        <f>20*LOG10(MAX(AG319,1E-300)*1E6)</f>
        <v>0</v>
      </c>
      <c r="AK319" s="7">
        <f>DEGREES(IMARGUMENT(AB319))</f>
        <v>0</v>
      </c>
      <c r="AL319" s="7">
        <f>DEGREES(IMARGUMENT(AC319))</f>
        <v>0</v>
      </c>
      <c r="AM319" s="7">
        <f>DEGREES(IMARGUMENT(AD319))</f>
        <v>0</v>
      </c>
    </row>
    <row r="320" spans="1:39">
      <c r="A320" s="6">
        <f>10^(LOG10(F_START)+(ROW()-ROW($A$2))*(LOG10(F_STOP)-LOG10(F_START))/(N_POINTS-1))</f>
        <v>0</v>
      </c>
      <c r="B320" s="6">
        <f>2*PI()*A320</f>
        <v>0</v>
      </c>
      <c r="C320">
        <f>COMPLEX(2*LINE_PS_DCR,2*B320*LINE_PS_L)</f>
        <v>0</v>
      </c>
      <c r="D320">
        <f>IMSUM(COMPLEX(0,B320*(LINE_PS_CLINE+LINE_PS_CCHA/2)),IMDIV("1",IMPRODUCT("2",COMPLEX(C_THROUGH_ESR,B320*C_THROUGH_ESL-1/(B320*C_THROUGH_C)))))</f>
        <v>0</v>
      </c>
      <c r="E320">
        <f>COMPLEX(2*LINE_INPUT_DCR,2*B320*LINE_INPUT_L)</f>
        <v>0</v>
      </c>
      <c r="F320">
        <f>COMPLEX(0,B320*(LINE_INPUT_CLINE+LINE_INPUT_CCHA/2))</f>
        <v>0</v>
      </c>
      <c r="G320">
        <f>IMPRODUCT("2",IMDIV("1",IMSUM(IMDIV("1",COMPLEX(LDM1_DCR,B320*LDM1_L)),COMPLEX(0,B320*LDM1_CPA))))</f>
        <v>0</v>
      </c>
      <c r="H320">
        <f>IMSUM(IMDIV("1",COMPLEX(CX1_ESR,B320*CX1_ESL-1/(B320*CX1_C))),IMDIV("1",IMSUM(COMPLEX(DUMP1_R,0),COMPLEX(DUMP1_ESR,B320*DUMP1_ESL-1/(B320*DUMP1_C)))))</f>
        <v>0</v>
      </c>
      <c r="I320">
        <f>IMPRODUCT("2",IMDIV("1",IMSUM(IMDIV("1",COMPLEX(LDM2_DCR,B320*LDM2_L)),COMPLEX(0,B320*LDM2_CPA))))</f>
        <v>0</v>
      </c>
      <c r="J320">
        <f>IMSUM(IMDIV("1",COMPLEX(CX2_ESR,B320*CX2_ESL-1/(B320*CX2_C))),IMDIV("1",IMSUM(COMPLEX(DUMP2_R,0),COMPLEX(DUMP2_ESR,B320*DUMP2_ESL-1/(B320*DUMP2_C)))))</f>
        <v>0</v>
      </c>
      <c r="K320">
        <f>IMPRODUCT("2",IMDIV("1",IMSUM(IMDIV("1",COMPLEX(CMC_DCR,B320*CMC_L*(1-CMC_K))),COMPLEX(0,B320*CMC_CPA))))</f>
        <v>0</v>
      </c>
      <c r="L320">
        <f>IMSUM(COMPLEX(0,B320*CMC_CLINE),IMDIV("1",IMPRODUCT("2",COMPLEX(CY_ESR,B320*CY_ESL-1/(B320*CY_C)))),COMPLEX(1/DUMMY_R,0))</f>
        <v>0</v>
      </c>
      <c r="M320">
        <f>IMSUM(D320,IMDIV("1",C320))</f>
        <v>0</v>
      </c>
      <c r="N320">
        <f>IMDIV("1",IMSUM(E320,IMDIV("1",M320)))</f>
        <v>0</v>
      </c>
      <c r="O320">
        <f>IMSUM(F320,N320)</f>
        <v>0</v>
      </c>
      <c r="P320">
        <f>IMDIV("1",IMSUM(G320,IMDIV("1",O320)))</f>
        <v>0</v>
      </c>
      <c r="Q320">
        <f>IMSUM(H320,P320)</f>
        <v>0</v>
      </c>
      <c r="R320">
        <f>IMDIV("1",IMSUM(I320,IMDIV("1",Q320)))</f>
        <v>0</v>
      </c>
      <c r="S320">
        <f>IMSUM(J320,R320)</f>
        <v>0</v>
      </c>
      <c r="T320">
        <f>IMDIV("1",IMSUM(K320,IMDIV("1",S320)))</f>
        <v>0</v>
      </c>
      <c r="U320">
        <f>IMSUM(L320,T320)</f>
        <v>0</v>
      </c>
      <c r="V320">
        <f>IMDIV(COMPLEX(I_DM_SOURCE,0),U320)</f>
        <v>0</v>
      </c>
      <c r="W320">
        <f>IMPRODUCT(V320,T320)</f>
        <v>0</v>
      </c>
      <c r="X320">
        <f>IMDIV(W320,S320)</f>
        <v>0</v>
      </c>
      <c r="Y320">
        <f>IMPRODUCT(X320,R320)</f>
        <v>0</v>
      </c>
      <c r="Z320">
        <f>IMDIV(Y320,Q320)</f>
        <v>0</v>
      </c>
      <c r="AA320">
        <f>IMPRODUCT(Z320,P320)</f>
        <v>0</v>
      </c>
      <c r="AB320">
        <f>AA320</f>
        <v>0</v>
      </c>
      <c r="AC320">
        <f>IMPRODUCT("-1",AB320)</f>
        <v>0</v>
      </c>
      <c r="AD320">
        <f>IMDIV(IMSUB(AB320,AC320),"2")</f>
        <v>0</v>
      </c>
      <c r="AE320" s="6">
        <f>IMABS(AB320)</f>
        <v>0</v>
      </c>
      <c r="AF320" s="6">
        <f>IMABS(AC320)</f>
        <v>0</v>
      </c>
      <c r="AG320" s="6">
        <f>IMABS(AD320)</f>
        <v>0</v>
      </c>
      <c r="AH320" s="7">
        <f>20*LOG10(MAX(AE320,1E-300)*1E6)</f>
        <v>0</v>
      </c>
      <c r="AI320" s="7">
        <f>20*LOG10(MAX(AF320,1E-300)*1E6)</f>
        <v>0</v>
      </c>
      <c r="AJ320" s="7">
        <f>20*LOG10(MAX(AG320,1E-300)*1E6)</f>
        <v>0</v>
      </c>
      <c r="AK320" s="7">
        <f>DEGREES(IMARGUMENT(AB320))</f>
        <v>0</v>
      </c>
      <c r="AL320" s="7">
        <f>DEGREES(IMARGUMENT(AC320))</f>
        <v>0</v>
      </c>
      <c r="AM320" s="7">
        <f>DEGREES(IMARGUMENT(AD320))</f>
        <v>0</v>
      </c>
    </row>
    <row r="321" spans="1:39">
      <c r="A321" s="6">
        <f>10^(LOG10(F_START)+(ROW()-ROW($A$2))*(LOG10(F_STOP)-LOG10(F_START))/(N_POINTS-1))</f>
        <v>0</v>
      </c>
      <c r="B321" s="6">
        <f>2*PI()*A321</f>
        <v>0</v>
      </c>
      <c r="C321">
        <f>COMPLEX(2*LINE_PS_DCR,2*B321*LINE_PS_L)</f>
        <v>0</v>
      </c>
      <c r="D321">
        <f>IMSUM(COMPLEX(0,B321*(LINE_PS_CLINE+LINE_PS_CCHA/2)),IMDIV("1",IMPRODUCT("2",COMPLEX(C_THROUGH_ESR,B321*C_THROUGH_ESL-1/(B321*C_THROUGH_C)))))</f>
        <v>0</v>
      </c>
      <c r="E321">
        <f>COMPLEX(2*LINE_INPUT_DCR,2*B321*LINE_INPUT_L)</f>
        <v>0</v>
      </c>
      <c r="F321">
        <f>COMPLEX(0,B321*(LINE_INPUT_CLINE+LINE_INPUT_CCHA/2))</f>
        <v>0</v>
      </c>
      <c r="G321">
        <f>IMPRODUCT("2",IMDIV("1",IMSUM(IMDIV("1",COMPLEX(LDM1_DCR,B321*LDM1_L)),COMPLEX(0,B321*LDM1_CPA))))</f>
        <v>0</v>
      </c>
      <c r="H321">
        <f>IMSUM(IMDIV("1",COMPLEX(CX1_ESR,B321*CX1_ESL-1/(B321*CX1_C))),IMDIV("1",IMSUM(COMPLEX(DUMP1_R,0),COMPLEX(DUMP1_ESR,B321*DUMP1_ESL-1/(B321*DUMP1_C)))))</f>
        <v>0</v>
      </c>
      <c r="I321">
        <f>IMPRODUCT("2",IMDIV("1",IMSUM(IMDIV("1",COMPLEX(LDM2_DCR,B321*LDM2_L)),COMPLEX(0,B321*LDM2_CPA))))</f>
        <v>0</v>
      </c>
      <c r="J321">
        <f>IMSUM(IMDIV("1",COMPLEX(CX2_ESR,B321*CX2_ESL-1/(B321*CX2_C))),IMDIV("1",IMSUM(COMPLEX(DUMP2_R,0),COMPLEX(DUMP2_ESR,B321*DUMP2_ESL-1/(B321*DUMP2_C)))))</f>
        <v>0</v>
      </c>
      <c r="K321">
        <f>IMPRODUCT("2",IMDIV("1",IMSUM(IMDIV("1",COMPLEX(CMC_DCR,B321*CMC_L*(1-CMC_K))),COMPLEX(0,B321*CMC_CPA))))</f>
        <v>0</v>
      </c>
      <c r="L321">
        <f>IMSUM(COMPLEX(0,B321*CMC_CLINE),IMDIV("1",IMPRODUCT("2",COMPLEX(CY_ESR,B321*CY_ESL-1/(B321*CY_C)))),COMPLEX(1/DUMMY_R,0))</f>
        <v>0</v>
      </c>
      <c r="M321">
        <f>IMSUM(D321,IMDIV("1",C321))</f>
        <v>0</v>
      </c>
      <c r="N321">
        <f>IMDIV("1",IMSUM(E321,IMDIV("1",M321)))</f>
        <v>0</v>
      </c>
      <c r="O321">
        <f>IMSUM(F321,N321)</f>
        <v>0</v>
      </c>
      <c r="P321">
        <f>IMDIV("1",IMSUM(G321,IMDIV("1",O321)))</f>
        <v>0</v>
      </c>
      <c r="Q321">
        <f>IMSUM(H321,P321)</f>
        <v>0</v>
      </c>
      <c r="R321">
        <f>IMDIV("1",IMSUM(I321,IMDIV("1",Q321)))</f>
        <v>0</v>
      </c>
      <c r="S321">
        <f>IMSUM(J321,R321)</f>
        <v>0</v>
      </c>
      <c r="T321">
        <f>IMDIV("1",IMSUM(K321,IMDIV("1",S321)))</f>
        <v>0</v>
      </c>
      <c r="U321">
        <f>IMSUM(L321,T321)</f>
        <v>0</v>
      </c>
      <c r="V321">
        <f>IMDIV(COMPLEX(I_DM_SOURCE,0),U321)</f>
        <v>0</v>
      </c>
      <c r="W321">
        <f>IMPRODUCT(V321,T321)</f>
        <v>0</v>
      </c>
      <c r="X321">
        <f>IMDIV(W321,S321)</f>
        <v>0</v>
      </c>
      <c r="Y321">
        <f>IMPRODUCT(X321,R321)</f>
        <v>0</v>
      </c>
      <c r="Z321">
        <f>IMDIV(Y321,Q321)</f>
        <v>0</v>
      </c>
      <c r="AA321">
        <f>IMPRODUCT(Z321,P321)</f>
        <v>0</v>
      </c>
      <c r="AB321">
        <f>AA321</f>
        <v>0</v>
      </c>
      <c r="AC321">
        <f>IMPRODUCT("-1",AB321)</f>
        <v>0</v>
      </c>
      <c r="AD321">
        <f>IMDIV(IMSUB(AB321,AC321),"2")</f>
        <v>0</v>
      </c>
      <c r="AE321" s="6">
        <f>IMABS(AB321)</f>
        <v>0</v>
      </c>
      <c r="AF321" s="6">
        <f>IMABS(AC321)</f>
        <v>0</v>
      </c>
      <c r="AG321" s="6">
        <f>IMABS(AD321)</f>
        <v>0</v>
      </c>
      <c r="AH321" s="7">
        <f>20*LOG10(MAX(AE321,1E-300)*1E6)</f>
        <v>0</v>
      </c>
      <c r="AI321" s="7">
        <f>20*LOG10(MAX(AF321,1E-300)*1E6)</f>
        <v>0</v>
      </c>
      <c r="AJ321" s="7">
        <f>20*LOG10(MAX(AG321,1E-300)*1E6)</f>
        <v>0</v>
      </c>
      <c r="AK321" s="7">
        <f>DEGREES(IMARGUMENT(AB321))</f>
        <v>0</v>
      </c>
      <c r="AL321" s="7">
        <f>DEGREES(IMARGUMENT(AC321))</f>
        <v>0</v>
      </c>
      <c r="AM321" s="7">
        <f>DEGREES(IMARGUMENT(AD321))</f>
        <v>0</v>
      </c>
    </row>
    <row r="322" spans="1:39">
      <c r="A322" s="6">
        <f>10^(LOG10(F_START)+(ROW()-ROW($A$2))*(LOG10(F_STOP)-LOG10(F_START))/(N_POINTS-1))</f>
        <v>0</v>
      </c>
      <c r="B322" s="6">
        <f>2*PI()*A322</f>
        <v>0</v>
      </c>
      <c r="C322">
        <f>COMPLEX(2*LINE_PS_DCR,2*B322*LINE_PS_L)</f>
        <v>0</v>
      </c>
      <c r="D322">
        <f>IMSUM(COMPLEX(0,B322*(LINE_PS_CLINE+LINE_PS_CCHA/2)),IMDIV("1",IMPRODUCT("2",COMPLEX(C_THROUGH_ESR,B322*C_THROUGH_ESL-1/(B322*C_THROUGH_C)))))</f>
        <v>0</v>
      </c>
      <c r="E322">
        <f>COMPLEX(2*LINE_INPUT_DCR,2*B322*LINE_INPUT_L)</f>
        <v>0</v>
      </c>
      <c r="F322">
        <f>COMPLEX(0,B322*(LINE_INPUT_CLINE+LINE_INPUT_CCHA/2))</f>
        <v>0</v>
      </c>
      <c r="G322">
        <f>IMPRODUCT("2",IMDIV("1",IMSUM(IMDIV("1",COMPLEX(LDM1_DCR,B322*LDM1_L)),COMPLEX(0,B322*LDM1_CPA))))</f>
        <v>0</v>
      </c>
      <c r="H322">
        <f>IMSUM(IMDIV("1",COMPLEX(CX1_ESR,B322*CX1_ESL-1/(B322*CX1_C))),IMDIV("1",IMSUM(COMPLEX(DUMP1_R,0),COMPLEX(DUMP1_ESR,B322*DUMP1_ESL-1/(B322*DUMP1_C)))))</f>
        <v>0</v>
      </c>
      <c r="I322">
        <f>IMPRODUCT("2",IMDIV("1",IMSUM(IMDIV("1",COMPLEX(LDM2_DCR,B322*LDM2_L)),COMPLEX(0,B322*LDM2_CPA))))</f>
        <v>0</v>
      </c>
      <c r="J322">
        <f>IMSUM(IMDIV("1",COMPLEX(CX2_ESR,B322*CX2_ESL-1/(B322*CX2_C))),IMDIV("1",IMSUM(COMPLEX(DUMP2_R,0),COMPLEX(DUMP2_ESR,B322*DUMP2_ESL-1/(B322*DUMP2_C)))))</f>
        <v>0</v>
      </c>
      <c r="K322">
        <f>IMPRODUCT("2",IMDIV("1",IMSUM(IMDIV("1",COMPLEX(CMC_DCR,B322*CMC_L*(1-CMC_K))),COMPLEX(0,B322*CMC_CPA))))</f>
        <v>0</v>
      </c>
      <c r="L322">
        <f>IMSUM(COMPLEX(0,B322*CMC_CLINE),IMDIV("1",IMPRODUCT("2",COMPLEX(CY_ESR,B322*CY_ESL-1/(B322*CY_C)))),COMPLEX(1/DUMMY_R,0))</f>
        <v>0</v>
      </c>
      <c r="M322">
        <f>IMSUM(D322,IMDIV("1",C322))</f>
        <v>0</v>
      </c>
      <c r="N322">
        <f>IMDIV("1",IMSUM(E322,IMDIV("1",M322)))</f>
        <v>0</v>
      </c>
      <c r="O322">
        <f>IMSUM(F322,N322)</f>
        <v>0</v>
      </c>
      <c r="P322">
        <f>IMDIV("1",IMSUM(G322,IMDIV("1",O322)))</f>
        <v>0</v>
      </c>
      <c r="Q322">
        <f>IMSUM(H322,P322)</f>
        <v>0</v>
      </c>
      <c r="R322">
        <f>IMDIV("1",IMSUM(I322,IMDIV("1",Q322)))</f>
        <v>0</v>
      </c>
      <c r="S322">
        <f>IMSUM(J322,R322)</f>
        <v>0</v>
      </c>
      <c r="T322">
        <f>IMDIV("1",IMSUM(K322,IMDIV("1",S322)))</f>
        <v>0</v>
      </c>
      <c r="U322">
        <f>IMSUM(L322,T322)</f>
        <v>0</v>
      </c>
      <c r="V322">
        <f>IMDIV(COMPLEX(I_DM_SOURCE,0),U322)</f>
        <v>0</v>
      </c>
      <c r="W322">
        <f>IMPRODUCT(V322,T322)</f>
        <v>0</v>
      </c>
      <c r="X322">
        <f>IMDIV(W322,S322)</f>
        <v>0</v>
      </c>
      <c r="Y322">
        <f>IMPRODUCT(X322,R322)</f>
        <v>0</v>
      </c>
      <c r="Z322">
        <f>IMDIV(Y322,Q322)</f>
        <v>0</v>
      </c>
      <c r="AA322">
        <f>IMPRODUCT(Z322,P322)</f>
        <v>0</v>
      </c>
      <c r="AB322">
        <f>AA322</f>
        <v>0</v>
      </c>
      <c r="AC322">
        <f>IMPRODUCT("-1",AB322)</f>
        <v>0</v>
      </c>
      <c r="AD322">
        <f>IMDIV(IMSUB(AB322,AC322),"2")</f>
        <v>0</v>
      </c>
      <c r="AE322" s="6">
        <f>IMABS(AB322)</f>
        <v>0</v>
      </c>
      <c r="AF322" s="6">
        <f>IMABS(AC322)</f>
        <v>0</v>
      </c>
      <c r="AG322" s="6">
        <f>IMABS(AD322)</f>
        <v>0</v>
      </c>
      <c r="AH322" s="7">
        <f>20*LOG10(MAX(AE322,1E-300)*1E6)</f>
        <v>0</v>
      </c>
      <c r="AI322" s="7">
        <f>20*LOG10(MAX(AF322,1E-300)*1E6)</f>
        <v>0</v>
      </c>
      <c r="AJ322" s="7">
        <f>20*LOG10(MAX(AG322,1E-300)*1E6)</f>
        <v>0</v>
      </c>
      <c r="AK322" s="7">
        <f>DEGREES(IMARGUMENT(AB322))</f>
        <v>0</v>
      </c>
      <c r="AL322" s="7">
        <f>DEGREES(IMARGUMENT(AC322))</f>
        <v>0</v>
      </c>
      <c r="AM322" s="7">
        <f>DEGREES(IMARGUMENT(AD322))</f>
        <v>0</v>
      </c>
    </row>
    <row r="323" spans="1:39">
      <c r="A323" s="6">
        <f>10^(LOG10(F_START)+(ROW()-ROW($A$2))*(LOG10(F_STOP)-LOG10(F_START))/(N_POINTS-1))</f>
        <v>0</v>
      </c>
      <c r="B323" s="6">
        <f>2*PI()*A323</f>
        <v>0</v>
      </c>
      <c r="C323">
        <f>COMPLEX(2*LINE_PS_DCR,2*B323*LINE_PS_L)</f>
        <v>0</v>
      </c>
      <c r="D323">
        <f>IMSUM(COMPLEX(0,B323*(LINE_PS_CLINE+LINE_PS_CCHA/2)),IMDIV("1",IMPRODUCT("2",COMPLEX(C_THROUGH_ESR,B323*C_THROUGH_ESL-1/(B323*C_THROUGH_C)))))</f>
        <v>0</v>
      </c>
      <c r="E323">
        <f>COMPLEX(2*LINE_INPUT_DCR,2*B323*LINE_INPUT_L)</f>
        <v>0</v>
      </c>
      <c r="F323">
        <f>COMPLEX(0,B323*(LINE_INPUT_CLINE+LINE_INPUT_CCHA/2))</f>
        <v>0</v>
      </c>
      <c r="G323">
        <f>IMPRODUCT("2",IMDIV("1",IMSUM(IMDIV("1",COMPLEX(LDM1_DCR,B323*LDM1_L)),COMPLEX(0,B323*LDM1_CPA))))</f>
        <v>0</v>
      </c>
      <c r="H323">
        <f>IMSUM(IMDIV("1",COMPLEX(CX1_ESR,B323*CX1_ESL-1/(B323*CX1_C))),IMDIV("1",IMSUM(COMPLEX(DUMP1_R,0),COMPLEX(DUMP1_ESR,B323*DUMP1_ESL-1/(B323*DUMP1_C)))))</f>
        <v>0</v>
      </c>
      <c r="I323">
        <f>IMPRODUCT("2",IMDIV("1",IMSUM(IMDIV("1",COMPLEX(LDM2_DCR,B323*LDM2_L)),COMPLEX(0,B323*LDM2_CPA))))</f>
        <v>0</v>
      </c>
      <c r="J323">
        <f>IMSUM(IMDIV("1",COMPLEX(CX2_ESR,B323*CX2_ESL-1/(B323*CX2_C))),IMDIV("1",IMSUM(COMPLEX(DUMP2_R,0),COMPLEX(DUMP2_ESR,B323*DUMP2_ESL-1/(B323*DUMP2_C)))))</f>
        <v>0</v>
      </c>
      <c r="K323">
        <f>IMPRODUCT("2",IMDIV("1",IMSUM(IMDIV("1",COMPLEX(CMC_DCR,B323*CMC_L*(1-CMC_K))),COMPLEX(0,B323*CMC_CPA))))</f>
        <v>0</v>
      </c>
      <c r="L323">
        <f>IMSUM(COMPLEX(0,B323*CMC_CLINE),IMDIV("1",IMPRODUCT("2",COMPLEX(CY_ESR,B323*CY_ESL-1/(B323*CY_C)))),COMPLEX(1/DUMMY_R,0))</f>
        <v>0</v>
      </c>
      <c r="M323">
        <f>IMSUM(D323,IMDIV("1",C323))</f>
        <v>0</v>
      </c>
      <c r="N323">
        <f>IMDIV("1",IMSUM(E323,IMDIV("1",M323)))</f>
        <v>0</v>
      </c>
      <c r="O323">
        <f>IMSUM(F323,N323)</f>
        <v>0</v>
      </c>
      <c r="P323">
        <f>IMDIV("1",IMSUM(G323,IMDIV("1",O323)))</f>
        <v>0</v>
      </c>
      <c r="Q323">
        <f>IMSUM(H323,P323)</f>
        <v>0</v>
      </c>
      <c r="R323">
        <f>IMDIV("1",IMSUM(I323,IMDIV("1",Q323)))</f>
        <v>0</v>
      </c>
      <c r="S323">
        <f>IMSUM(J323,R323)</f>
        <v>0</v>
      </c>
      <c r="T323">
        <f>IMDIV("1",IMSUM(K323,IMDIV("1",S323)))</f>
        <v>0</v>
      </c>
      <c r="U323">
        <f>IMSUM(L323,T323)</f>
        <v>0</v>
      </c>
      <c r="V323">
        <f>IMDIV(COMPLEX(I_DM_SOURCE,0),U323)</f>
        <v>0</v>
      </c>
      <c r="W323">
        <f>IMPRODUCT(V323,T323)</f>
        <v>0</v>
      </c>
      <c r="X323">
        <f>IMDIV(W323,S323)</f>
        <v>0</v>
      </c>
      <c r="Y323">
        <f>IMPRODUCT(X323,R323)</f>
        <v>0</v>
      </c>
      <c r="Z323">
        <f>IMDIV(Y323,Q323)</f>
        <v>0</v>
      </c>
      <c r="AA323">
        <f>IMPRODUCT(Z323,P323)</f>
        <v>0</v>
      </c>
      <c r="AB323">
        <f>AA323</f>
        <v>0</v>
      </c>
      <c r="AC323">
        <f>IMPRODUCT("-1",AB323)</f>
        <v>0</v>
      </c>
      <c r="AD323">
        <f>IMDIV(IMSUB(AB323,AC323),"2")</f>
        <v>0</v>
      </c>
      <c r="AE323" s="6">
        <f>IMABS(AB323)</f>
        <v>0</v>
      </c>
      <c r="AF323" s="6">
        <f>IMABS(AC323)</f>
        <v>0</v>
      </c>
      <c r="AG323" s="6">
        <f>IMABS(AD323)</f>
        <v>0</v>
      </c>
      <c r="AH323" s="7">
        <f>20*LOG10(MAX(AE323,1E-300)*1E6)</f>
        <v>0</v>
      </c>
      <c r="AI323" s="7">
        <f>20*LOG10(MAX(AF323,1E-300)*1E6)</f>
        <v>0</v>
      </c>
      <c r="AJ323" s="7">
        <f>20*LOG10(MAX(AG323,1E-300)*1E6)</f>
        <v>0</v>
      </c>
      <c r="AK323" s="7">
        <f>DEGREES(IMARGUMENT(AB323))</f>
        <v>0</v>
      </c>
      <c r="AL323" s="7">
        <f>DEGREES(IMARGUMENT(AC323))</f>
        <v>0</v>
      </c>
      <c r="AM323" s="7">
        <f>DEGREES(IMARGUMENT(AD323))</f>
        <v>0</v>
      </c>
    </row>
    <row r="324" spans="1:39">
      <c r="A324" s="6">
        <f>10^(LOG10(F_START)+(ROW()-ROW($A$2))*(LOG10(F_STOP)-LOG10(F_START))/(N_POINTS-1))</f>
        <v>0</v>
      </c>
      <c r="B324" s="6">
        <f>2*PI()*A324</f>
        <v>0</v>
      </c>
      <c r="C324">
        <f>COMPLEX(2*LINE_PS_DCR,2*B324*LINE_PS_L)</f>
        <v>0</v>
      </c>
      <c r="D324">
        <f>IMSUM(COMPLEX(0,B324*(LINE_PS_CLINE+LINE_PS_CCHA/2)),IMDIV("1",IMPRODUCT("2",COMPLEX(C_THROUGH_ESR,B324*C_THROUGH_ESL-1/(B324*C_THROUGH_C)))))</f>
        <v>0</v>
      </c>
      <c r="E324">
        <f>COMPLEX(2*LINE_INPUT_DCR,2*B324*LINE_INPUT_L)</f>
        <v>0</v>
      </c>
      <c r="F324">
        <f>COMPLEX(0,B324*(LINE_INPUT_CLINE+LINE_INPUT_CCHA/2))</f>
        <v>0</v>
      </c>
      <c r="G324">
        <f>IMPRODUCT("2",IMDIV("1",IMSUM(IMDIV("1",COMPLEX(LDM1_DCR,B324*LDM1_L)),COMPLEX(0,B324*LDM1_CPA))))</f>
        <v>0</v>
      </c>
      <c r="H324">
        <f>IMSUM(IMDIV("1",COMPLEX(CX1_ESR,B324*CX1_ESL-1/(B324*CX1_C))),IMDIV("1",IMSUM(COMPLEX(DUMP1_R,0),COMPLEX(DUMP1_ESR,B324*DUMP1_ESL-1/(B324*DUMP1_C)))))</f>
        <v>0</v>
      </c>
      <c r="I324">
        <f>IMPRODUCT("2",IMDIV("1",IMSUM(IMDIV("1",COMPLEX(LDM2_DCR,B324*LDM2_L)),COMPLEX(0,B324*LDM2_CPA))))</f>
        <v>0</v>
      </c>
      <c r="J324">
        <f>IMSUM(IMDIV("1",COMPLEX(CX2_ESR,B324*CX2_ESL-1/(B324*CX2_C))),IMDIV("1",IMSUM(COMPLEX(DUMP2_R,0),COMPLEX(DUMP2_ESR,B324*DUMP2_ESL-1/(B324*DUMP2_C)))))</f>
        <v>0</v>
      </c>
      <c r="K324">
        <f>IMPRODUCT("2",IMDIV("1",IMSUM(IMDIV("1",COMPLEX(CMC_DCR,B324*CMC_L*(1-CMC_K))),COMPLEX(0,B324*CMC_CPA))))</f>
        <v>0</v>
      </c>
      <c r="L324">
        <f>IMSUM(COMPLEX(0,B324*CMC_CLINE),IMDIV("1",IMPRODUCT("2",COMPLEX(CY_ESR,B324*CY_ESL-1/(B324*CY_C)))),COMPLEX(1/DUMMY_R,0))</f>
        <v>0</v>
      </c>
      <c r="M324">
        <f>IMSUM(D324,IMDIV("1",C324))</f>
        <v>0</v>
      </c>
      <c r="N324">
        <f>IMDIV("1",IMSUM(E324,IMDIV("1",M324)))</f>
        <v>0</v>
      </c>
      <c r="O324">
        <f>IMSUM(F324,N324)</f>
        <v>0</v>
      </c>
      <c r="P324">
        <f>IMDIV("1",IMSUM(G324,IMDIV("1",O324)))</f>
        <v>0</v>
      </c>
      <c r="Q324">
        <f>IMSUM(H324,P324)</f>
        <v>0</v>
      </c>
      <c r="R324">
        <f>IMDIV("1",IMSUM(I324,IMDIV("1",Q324)))</f>
        <v>0</v>
      </c>
      <c r="S324">
        <f>IMSUM(J324,R324)</f>
        <v>0</v>
      </c>
      <c r="T324">
        <f>IMDIV("1",IMSUM(K324,IMDIV("1",S324)))</f>
        <v>0</v>
      </c>
      <c r="U324">
        <f>IMSUM(L324,T324)</f>
        <v>0</v>
      </c>
      <c r="V324">
        <f>IMDIV(COMPLEX(I_DM_SOURCE,0),U324)</f>
        <v>0</v>
      </c>
      <c r="W324">
        <f>IMPRODUCT(V324,T324)</f>
        <v>0</v>
      </c>
      <c r="X324">
        <f>IMDIV(W324,S324)</f>
        <v>0</v>
      </c>
      <c r="Y324">
        <f>IMPRODUCT(X324,R324)</f>
        <v>0</v>
      </c>
      <c r="Z324">
        <f>IMDIV(Y324,Q324)</f>
        <v>0</v>
      </c>
      <c r="AA324">
        <f>IMPRODUCT(Z324,P324)</f>
        <v>0</v>
      </c>
      <c r="AB324">
        <f>AA324</f>
        <v>0</v>
      </c>
      <c r="AC324">
        <f>IMPRODUCT("-1",AB324)</f>
        <v>0</v>
      </c>
      <c r="AD324">
        <f>IMDIV(IMSUB(AB324,AC324),"2")</f>
        <v>0</v>
      </c>
      <c r="AE324" s="6">
        <f>IMABS(AB324)</f>
        <v>0</v>
      </c>
      <c r="AF324" s="6">
        <f>IMABS(AC324)</f>
        <v>0</v>
      </c>
      <c r="AG324" s="6">
        <f>IMABS(AD324)</f>
        <v>0</v>
      </c>
      <c r="AH324" s="7">
        <f>20*LOG10(MAX(AE324,1E-300)*1E6)</f>
        <v>0</v>
      </c>
      <c r="AI324" s="7">
        <f>20*LOG10(MAX(AF324,1E-300)*1E6)</f>
        <v>0</v>
      </c>
      <c r="AJ324" s="7">
        <f>20*LOG10(MAX(AG324,1E-300)*1E6)</f>
        <v>0</v>
      </c>
      <c r="AK324" s="7">
        <f>DEGREES(IMARGUMENT(AB324))</f>
        <v>0</v>
      </c>
      <c r="AL324" s="7">
        <f>DEGREES(IMARGUMENT(AC324))</f>
        <v>0</v>
      </c>
      <c r="AM324" s="7">
        <f>DEGREES(IMARGUMENT(AD324))</f>
        <v>0</v>
      </c>
    </row>
    <row r="325" spans="1:39">
      <c r="A325" s="6">
        <f>10^(LOG10(F_START)+(ROW()-ROW($A$2))*(LOG10(F_STOP)-LOG10(F_START))/(N_POINTS-1))</f>
        <v>0</v>
      </c>
      <c r="B325" s="6">
        <f>2*PI()*A325</f>
        <v>0</v>
      </c>
      <c r="C325">
        <f>COMPLEX(2*LINE_PS_DCR,2*B325*LINE_PS_L)</f>
        <v>0</v>
      </c>
      <c r="D325">
        <f>IMSUM(COMPLEX(0,B325*(LINE_PS_CLINE+LINE_PS_CCHA/2)),IMDIV("1",IMPRODUCT("2",COMPLEX(C_THROUGH_ESR,B325*C_THROUGH_ESL-1/(B325*C_THROUGH_C)))))</f>
        <v>0</v>
      </c>
      <c r="E325">
        <f>COMPLEX(2*LINE_INPUT_DCR,2*B325*LINE_INPUT_L)</f>
        <v>0</v>
      </c>
      <c r="F325">
        <f>COMPLEX(0,B325*(LINE_INPUT_CLINE+LINE_INPUT_CCHA/2))</f>
        <v>0</v>
      </c>
      <c r="G325">
        <f>IMPRODUCT("2",IMDIV("1",IMSUM(IMDIV("1",COMPLEX(LDM1_DCR,B325*LDM1_L)),COMPLEX(0,B325*LDM1_CPA))))</f>
        <v>0</v>
      </c>
      <c r="H325">
        <f>IMSUM(IMDIV("1",COMPLEX(CX1_ESR,B325*CX1_ESL-1/(B325*CX1_C))),IMDIV("1",IMSUM(COMPLEX(DUMP1_R,0),COMPLEX(DUMP1_ESR,B325*DUMP1_ESL-1/(B325*DUMP1_C)))))</f>
        <v>0</v>
      </c>
      <c r="I325">
        <f>IMPRODUCT("2",IMDIV("1",IMSUM(IMDIV("1",COMPLEX(LDM2_DCR,B325*LDM2_L)),COMPLEX(0,B325*LDM2_CPA))))</f>
        <v>0</v>
      </c>
      <c r="J325">
        <f>IMSUM(IMDIV("1",COMPLEX(CX2_ESR,B325*CX2_ESL-1/(B325*CX2_C))),IMDIV("1",IMSUM(COMPLEX(DUMP2_R,0),COMPLEX(DUMP2_ESR,B325*DUMP2_ESL-1/(B325*DUMP2_C)))))</f>
        <v>0</v>
      </c>
      <c r="K325">
        <f>IMPRODUCT("2",IMDIV("1",IMSUM(IMDIV("1",COMPLEX(CMC_DCR,B325*CMC_L*(1-CMC_K))),COMPLEX(0,B325*CMC_CPA))))</f>
        <v>0</v>
      </c>
      <c r="L325">
        <f>IMSUM(COMPLEX(0,B325*CMC_CLINE),IMDIV("1",IMPRODUCT("2",COMPLEX(CY_ESR,B325*CY_ESL-1/(B325*CY_C)))),COMPLEX(1/DUMMY_R,0))</f>
        <v>0</v>
      </c>
      <c r="M325">
        <f>IMSUM(D325,IMDIV("1",C325))</f>
        <v>0</v>
      </c>
      <c r="N325">
        <f>IMDIV("1",IMSUM(E325,IMDIV("1",M325)))</f>
        <v>0</v>
      </c>
      <c r="O325">
        <f>IMSUM(F325,N325)</f>
        <v>0</v>
      </c>
      <c r="P325">
        <f>IMDIV("1",IMSUM(G325,IMDIV("1",O325)))</f>
        <v>0</v>
      </c>
      <c r="Q325">
        <f>IMSUM(H325,P325)</f>
        <v>0</v>
      </c>
      <c r="R325">
        <f>IMDIV("1",IMSUM(I325,IMDIV("1",Q325)))</f>
        <v>0</v>
      </c>
      <c r="S325">
        <f>IMSUM(J325,R325)</f>
        <v>0</v>
      </c>
      <c r="T325">
        <f>IMDIV("1",IMSUM(K325,IMDIV("1",S325)))</f>
        <v>0</v>
      </c>
      <c r="U325">
        <f>IMSUM(L325,T325)</f>
        <v>0</v>
      </c>
      <c r="V325">
        <f>IMDIV(COMPLEX(I_DM_SOURCE,0),U325)</f>
        <v>0</v>
      </c>
      <c r="W325">
        <f>IMPRODUCT(V325,T325)</f>
        <v>0</v>
      </c>
      <c r="X325">
        <f>IMDIV(W325,S325)</f>
        <v>0</v>
      </c>
      <c r="Y325">
        <f>IMPRODUCT(X325,R325)</f>
        <v>0</v>
      </c>
      <c r="Z325">
        <f>IMDIV(Y325,Q325)</f>
        <v>0</v>
      </c>
      <c r="AA325">
        <f>IMPRODUCT(Z325,P325)</f>
        <v>0</v>
      </c>
      <c r="AB325">
        <f>AA325</f>
        <v>0</v>
      </c>
      <c r="AC325">
        <f>IMPRODUCT("-1",AB325)</f>
        <v>0</v>
      </c>
      <c r="AD325">
        <f>IMDIV(IMSUB(AB325,AC325),"2")</f>
        <v>0</v>
      </c>
      <c r="AE325" s="6">
        <f>IMABS(AB325)</f>
        <v>0</v>
      </c>
      <c r="AF325" s="6">
        <f>IMABS(AC325)</f>
        <v>0</v>
      </c>
      <c r="AG325" s="6">
        <f>IMABS(AD325)</f>
        <v>0</v>
      </c>
      <c r="AH325" s="7">
        <f>20*LOG10(MAX(AE325,1E-300)*1E6)</f>
        <v>0</v>
      </c>
      <c r="AI325" s="7">
        <f>20*LOG10(MAX(AF325,1E-300)*1E6)</f>
        <v>0</v>
      </c>
      <c r="AJ325" s="7">
        <f>20*LOG10(MAX(AG325,1E-300)*1E6)</f>
        <v>0</v>
      </c>
      <c r="AK325" s="7">
        <f>DEGREES(IMARGUMENT(AB325))</f>
        <v>0</v>
      </c>
      <c r="AL325" s="7">
        <f>DEGREES(IMARGUMENT(AC325))</f>
        <v>0</v>
      </c>
      <c r="AM325" s="7">
        <f>DEGREES(IMARGUMENT(AD325))</f>
        <v>0</v>
      </c>
    </row>
    <row r="326" spans="1:39">
      <c r="A326" s="6">
        <f>10^(LOG10(F_START)+(ROW()-ROW($A$2))*(LOG10(F_STOP)-LOG10(F_START))/(N_POINTS-1))</f>
        <v>0</v>
      </c>
      <c r="B326" s="6">
        <f>2*PI()*A326</f>
        <v>0</v>
      </c>
      <c r="C326">
        <f>COMPLEX(2*LINE_PS_DCR,2*B326*LINE_PS_L)</f>
        <v>0</v>
      </c>
      <c r="D326">
        <f>IMSUM(COMPLEX(0,B326*(LINE_PS_CLINE+LINE_PS_CCHA/2)),IMDIV("1",IMPRODUCT("2",COMPLEX(C_THROUGH_ESR,B326*C_THROUGH_ESL-1/(B326*C_THROUGH_C)))))</f>
        <v>0</v>
      </c>
      <c r="E326">
        <f>COMPLEX(2*LINE_INPUT_DCR,2*B326*LINE_INPUT_L)</f>
        <v>0</v>
      </c>
      <c r="F326">
        <f>COMPLEX(0,B326*(LINE_INPUT_CLINE+LINE_INPUT_CCHA/2))</f>
        <v>0</v>
      </c>
      <c r="G326">
        <f>IMPRODUCT("2",IMDIV("1",IMSUM(IMDIV("1",COMPLEX(LDM1_DCR,B326*LDM1_L)),COMPLEX(0,B326*LDM1_CPA))))</f>
        <v>0</v>
      </c>
      <c r="H326">
        <f>IMSUM(IMDIV("1",COMPLEX(CX1_ESR,B326*CX1_ESL-1/(B326*CX1_C))),IMDIV("1",IMSUM(COMPLEX(DUMP1_R,0),COMPLEX(DUMP1_ESR,B326*DUMP1_ESL-1/(B326*DUMP1_C)))))</f>
        <v>0</v>
      </c>
      <c r="I326">
        <f>IMPRODUCT("2",IMDIV("1",IMSUM(IMDIV("1",COMPLEX(LDM2_DCR,B326*LDM2_L)),COMPLEX(0,B326*LDM2_CPA))))</f>
        <v>0</v>
      </c>
      <c r="J326">
        <f>IMSUM(IMDIV("1",COMPLEX(CX2_ESR,B326*CX2_ESL-1/(B326*CX2_C))),IMDIV("1",IMSUM(COMPLEX(DUMP2_R,0),COMPLEX(DUMP2_ESR,B326*DUMP2_ESL-1/(B326*DUMP2_C)))))</f>
        <v>0</v>
      </c>
      <c r="K326">
        <f>IMPRODUCT("2",IMDIV("1",IMSUM(IMDIV("1",COMPLEX(CMC_DCR,B326*CMC_L*(1-CMC_K))),COMPLEX(0,B326*CMC_CPA))))</f>
        <v>0</v>
      </c>
      <c r="L326">
        <f>IMSUM(COMPLEX(0,B326*CMC_CLINE),IMDIV("1",IMPRODUCT("2",COMPLEX(CY_ESR,B326*CY_ESL-1/(B326*CY_C)))),COMPLEX(1/DUMMY_R,0))</f>
        <v>0</v>
      </c>
      <c r="M326">
        <f>IMSUM(D326,IMDIV("1",C326))</f>
        <v>0</v>
      </c>
      <c r="N326">
        <f>IMDIV("1",IMSUM(E326,IMDIV("1",M326)))</f>
        <v>0</v>
      </c>
      <c r="O326">
        <f>IMSUM(F326,N326)</f>
        <v>0</v>
      </c>
      <c r="P326">
        <f>IMDIV("1",IMSUM(G326,IMDIV("1",O326)))</f>
        <v>0</v>
      </c>
      <c r="Q326">
        <f>IMSUM(H326,P326)</f>
        <v>0</v>
      </c>
      <c r="R326">
        <f>IMDIV("1",IMSUM(I326,IMDIV("1",Q326)))</f>
        <v>0</v>
      </c>
      <c r="S326">
        <f>IMSUM(J326,R326)</f>
        <v>0</v>
      </c>
      <c r="T326">
        <f>IMDIV("1",IMSUM(K326,IMDIV("1",S326)))</f>
        <v>0</v>
      </c>
      <c r="U326">
        <f>IMSUM(L326,T326)</f>
        <v>0</v>
      </c>
      <c r="V326">
        <f>IMDIV(COMPLEX(I_DM_SOURCE,0),U326)</f>
        <v>0</v>
      </c>
      <c r="W326">
        <f>IMPRODUCT(V326,T326)</f>
        <v>0</v>
      </c>
      <c r="X326">
        <f>IMDIV(W326,S326)</f>
        <v>0</v>
      </c>
      <c r="Y326">
        <f>IMPRODUCT(X326,R326)</f>
        <v>0</v>
      </c>
      <c r="Z326">
        <f>IMDIV(Y326,Q326)</f>
        <v>0</v>
      </c>
      <c r="AA326">
        <f>IMPRODUCT(Z326,P326)</f>
        <v>0</v>
      </c>
      <c r="AB326">
        <f>AA326</f>
        <v>0</v>
      </c>
      <c r="AC326">
        <f>IMPRODUCT("-1",AB326)</f>
        <v>0</v>
      </c>
      <c r="AD326">
        <f>IMDIV(IMSUB(AB326,AC326),"2")</f>
        <v>0</v>
      </c>
      <c r="AE326" s="6">
        <f>IMABS(AB326)</f>
        <v>0</v>
      </c>
      <c r="AF326" s="6">
        <f>IMABS(AC326)</f>
        <v>0</v>
      </c>
      <c r="AG326" s="6">
        <f>IMABS(AD326)</f>
        <v>0</v>
      </c>
      <c r="AH326" s="7">
        <f>20*LOG10(MAX(AE326,1E-300)*1E6)</f>
        <v>0</v>
      </c>
      <c r="AI326" s="7">
        <f>20*LOG10(MAX(AF326,1E-300)*1E6)</f>
        <v>0</v>
      </c>
      <c r="AJ326" s="7">
        <f>20*LOG10(MAX(AG326,1E-300)*1E6)</f>
        <v>0</v>
      </c>
      <c r="AK326" s="7">
        <f>DEGREES(IMARGUMENT(AB326))</f>
        <v>0</v>
      </c>
      <c r="AL326" s="7">
        <f>DEGREES(IMARGUMENT(AC326))</f>
        <v>0</v>
      </c>
      <c r="AM326" s="7">
        <f>DEGREES(IMARGUMENT(AD326))</f>
        <v>0</v>
      </c>
    </row>
    <row r="327" spans="1:39">
      <c r="A327" s="6">
        <f>10^(LOG10(F_START)+(ROW()-ROW($A$2))*(LOG10(F_STOP)-LOG10(F_START))/(N_POINTS-1))</f>
        <v>0</v>
      </c>
      <c r="B327" s="6">
        <f>2*PI()*A327</f>
        <v>0</v>
      </c>
      <c r="C327">
        <f>COMPLEX(2*LINE_PS_DCR,2*B327*LINE_PS_L)</f>
        <v>0</v>
      </c>
      <c r="D327">
        <f>IMSUM(COMPLEX(0,B327*(LINE_PS_CLINE+LINE_PS_CCHA/2)),IMDIV("1",IMPRODUCT("2",COMPLEX(C_THROUGH_ESR,B327*C_THROUGH_ESL-1/(B327*C_THROUGH_C)))))</f>
        <v>0</v>
      </c>
      <c r="E327">
        <f>COMPLEX(2*LINE_INPUT_DCR,2*B327*LINE_INPUT_L)</f>
        <v>0</v>
      </c>
      <c r="F327">
        <f>COMPLEX(0,B327*(LINE_INPUT_CLINE+LINE_INPUT_CCHA/2))</f>
        <v>0</v>
      </c>
      <c r="G327">
        <f>IMPRODUCT("2",IMDIV("1",IMSUM(IMDIV("1",COMPLEX(LDM1_DCR,B327*LDM1_L)),COMPLEX(0,B327*LDM1_CPA))))</f>
        <v>0</v>
      </c>
      <c r="H327">
        <f>IMSUM(IMDIV("1",COMPLEX(CX1_ESR,B327*CX1_ESL-1/(B327*CX1_C))),IMDIV("1",IMSUM(COMPLEX(DUMP1_R,0),COMPLEX(DUMP1_ESR,B327*DUMP1_ESL-1/(B327*DUMP1_C)))))</f>
        <v>0</v>
      </c>
      <c r="I327">
        <f>IMPRODUCT("2",IMDIV("1",IMSUM(IMDIV("1",COMPLEX(LDM2_DCR,B327*LDM2_L)),COMPLEX(0,B327*LDM2_CPA))))</f>
        <v>0</v>
      </c>
      <c r="J327">
        <f>IMSUM(IMDIV("1",COMPLEX(CX2_ESR,B327*CX2_ESL-1/(B327*CX2_C))),IMDIV("1",IMSUM(COMPLEX(DUMP2_R,0),COMPLEX(DUMP2_ESR,B327*DUMP2_ESL-1/(B327*DUMP2_C)))))</f>
        <v>0</v>
      </c>
      <c r="K327">
        <f>IMPRODUCT("2",IMDIV("1",IMSUM(IMDIV("1",COMPLEX(CMC_DCR,B327*CMC_L*(1-CMC_K))),COMPLEX(0,B327*CMC_CPA))))</f>
        <v>0</v>
      </c>
      <c r="L327">
        <f>IMSUM(COMPLEX(0,B327*CMC_CLINE),IMDIV("1",IMPRODUCT("2",COMPLEX(CY_ESR,B327*CY_ESL-1/(B327*CY_C)))),COMPLEX(1/DUMMY_R,0))</f>
        <v>0</v>
      </c>
      <c r="M327">
        <f>IMSUM(D327,IMDIV("1",C327))</f>
        <v>0</v>
      </c>
      <c r="N327">
        <f>IMDIV("1",IMSUM(E327,IMDIV("1",M327)))</f>
        <v>0</v>
      </c>
      <c r="O327">
        <f>IMSUM(F327,N327)</f>
        <v>0</v>
      </c>
      <c r="P327">
        <f>IMDIV("1",IMSUM(G327,IMDIV("1",O327)))</f>
        <v>0</v>
      </c>
      <c r="Q327">
        <f>IMSUM(H327,P327)</f>
        <v>0</v>
      </c>
      <c r="R327">
        <f>IMDIV("1",IMSUM(I327,IMDIV("1",Q327)))</f>
        <v>0</v>
      </c>
      <c r="S327">
        <f>IMSUM(J327,R327)</f>
        <v>0</v>
      </c>
      <c r="T327">
        <f>IMDIV("1",IMSUM(K327,IMDIV("1",S327)))</f>
        <v>0</v>
      </c>
      <c r="U327">
        <f>IMSUM(L327,T327)</f>
        <v>0</v>
      </c>
      <c r="V327">
        <f>IMDIV(COMPLEX(I_DM_SOURCE,0),U327)</f>
        <v>0</v>
      </c>
      <c r="W327">
        <f>IMPRODUCT(V327,T327)</f>
        <v>0</v>
      </c>
      <c r="X327">
        <f>IMDIV(W327,S327)</f>
        <v>0</v>
      </c>
      <c r="Y327">
        <f>IMPRODUCT(X327,R327)</f>
        <v>0</v>
      </c>
      <c r="Z327">
        <f>IMDIV(Y327,Q327)</f>
        <v>0</v>
      </c>
      <c r="AA327">
        <f>IMPRODUCT(Z327,P327)</f>
        <v>0</v>
      </c>
      <c r="AB327">
        <f>AA327</f>
        <v>0</v>
      </c>
      <c r="AC327">
        <f>IMPRODUCT("-1",AB327)</f>
        <v>0</v>
      </c>
      <c r="AD327">
        <f>IMDIV(IMSUB(AB327,AC327),"2")</f>
        <v>0</v>
      </c>
      <c r="AE327" s="6">
        <f>IMABS(AB327)</f>
        <v>0</v>
      </c>
      <c r="AF327" s="6">
        <f>IMABS(AC327)</f>
        <v>0</v>
      </c>
      <c r="AG327" s="6">
        <f>IMABS(AD327)</f>
        <v>0</v>
      </c>
      <c r="AH327" s="7">
        <f>20*LOG10(MAX(AE327,1E-300)*1E6)</f>
        <v>0</v>
      </c>
      <c r="AI327" s="7">
        <f>20*LOG10(MAX(AF327,1E-300)*1E6)</f>
        <v>0</v>
      </c>
      <c r="AJ327" s="7">
        <f>20*LOG10(MAX(AG327,1E-300)*1E6)</f>
        <v>0</v>
      </c>
      <c r="AK327" s="7">
        <f>DEGREES(IMARGUMENT(AB327))</f>
        <v>0</v>
      </c>
      <c r="AL327" s="7">
        <f>DEGREES(IMARGUMENT(AC327))</f>
        <v>0</v>
      </c>
      <c r="AM327" s="7">
        <f>DEGREES(IMARGUMENT(AD327))</f>
        <v>0</v>
      </c>
    </row>
    <row r="328" spans="1:39">
      <c r="A328" s="6">
        <f>10^(LOG10(F_START)+(ROW()-ROW($A$2))*(LOG10(F_STOP)-LOG10(F_START))/(N_POINTS-1))</f>
        <v>0</v>
      </c>
      <c r="B328" s="6">
        <f>2*PI()*A328</f>
        <v>0</v>
      </c>
      <c r="C328">
        <f>COMPLEX(2*LINE_PS_DCR,2*B328*LINE_PS_L)</f>
        <v>0</v>
      </c>
      <c r="D328">
        <f>IMSUM(COMPLEX(0,B328*(LINE_PS_CLINE+LINE_PS_CCHA/2)),IMDIV("1",IMPRODUCT("2",COMPLEX(C_THROUGH_ESR,B328*C_THROUGH_ESL-1/(B328*C_THROUGH_C)))))</f>
        <v>0</v>
      </c>
      <c r="E328">
        <f>COMPLEX(2*LINE_INPUT_DCR,2*B328*LINE_INPUT_L)</f>
        <v>0</v>
      </c>
      <c r="F328">
        <f>COMPLEX(0,B328*(LINE_INPUT_CLINE+LINE_INPUT_CCHA/2))</f>
        <v>0</v>
      </c>
      <c r="G328">
        <f>IMPRODUCT("2",IMDIV("1",IMSUM(IMDIV("1",COMPLEX(LDM1_DCR,B328*LDM1_L)),COMPLEX(0,B328*LDM1_CPA))))</f>
        <v>0</v>
      </c>
      <c r="H328">
        <f>IMSUM(IMDIV("1",COMPLEX(CX1_ESR,B328*CX1_ESL-1/(B328*CX1_C))),IMDIV("1",IMSUM(COMPLEX(DUMP1_R,0),COMPLEX(DUMP1_ESR,B328*DUMP1_ESL-1/(B328*DUMP1_C)))))</f>
        <v>0</v>
      </c>
      <c r="I328">
        <f>IMPRODUCT("2",IMDIV("1",IMSUM(IMDIV("1",COMPLEX(LDM2_DCR,B328*LDM2_L)),COMPLEX(0,B328*LDM2_CPA))))</f>
        <v>0</v>
      </c>
      <c r="J328">
        <f>IMSUM(IMDIV("1",COMPLEX(CX2_ESR,B328*CX2_ESL-1/(B328*CX2_C))),IMDIV("1",IMSUM(COMPLEX(DUMP2_R,0),COMPLEX(DUMP2_ESR,B328*DUMP2_ESL-1/(B328*DUMP2_C)))))</f>
        <v>0</v>
      </c>
      <c r="K328">
        <f>IMPRODUCT("2",IMDIV("1",IMSUM(IMDIV("1",COMPLEX(CMC_DCR,B328*CMC_L*(1-CMC_K))),COMPLEX(0,B328*CMC_CPA))))</f>
        <v>0</v>
      </c>
      <c r="L328">
        <f>IMSUM(COMPLEX(0,B328*CMC_CLINE),IMDIV("1",IMPRODUCT("2",COMPLEX(CY_ESR,B328*CY_ESL-1/(B328*CY_C)))),COMPLEX(1/DUMMY_R,0))</f>
        <v>0</v>
      </c>
      <c r="M328">
        <f>IMSUM(D328,IMDIV("1",C328))</f>
        <v>0</v>
      </c>
      <c r="N328">
        <f>IMDIV("1",IMSUM(E328,IMDIV("1",M328)))</f>
        <v>0</v>
      </c>
      <c r="O328">
        <f>IMSUM(F328,N328)</f>
        <v>0</v>
      </c>
      <c r="P328">
        <f>IMDIV("1",IMSUM(G328,IMDIV("1",O328)))</f>
        <v>0</v>
      </c>
      <c r="Q328">
        <f>IMSUM(H328,P328)</f>
        <v>0</v>
      </c>
      <c r="R328">
        <f>IMDIV("1",IMSUM(I328,IMDIV("1",Q328)))</f>
        <v>0</v>
      </c>
      <c r="S328">
        <f>IMSUM(J328,R328)</f>
        <v>0</v>
      </c>
      <c r="T328">
        <f>IMDIV("1",IMSUM(K328,IMDIV("1",S328)))</f>
        <v>0</v>
      </c>
      <c r="U328">
        <f>IMSUM(L328,T328)</f>
        <v>0</v>
      </c>
      <c r="V328">
        <f>IMDIV(COMPLEX(I_DM_SOURCE,0),U328)</f>
        <v>0</v>
      </c>
      <c r="W328">
        <f>IMPRODUCT(V328,T328)</f>
        <v>0</v>
      </c>
      <c r="X328">
        <f>IMDIV(W328,S328)</f>
        <v>0</v>
      </c>
      <c r="Y328">
        <f>IMPRODUCT(X328,R328)</f>
        <v>0</v>
      </c>
      <c r="Z328">
        <f>IMDIV(Y328,Q328)</f>
        <v>0</v>
      </c>
      <c r="AA328">
        <f>IMPRODUCT(Z328,P328)</f>
        <v>0</v>
      </c>
      <c r="AB328">
        <f>AA328</f>
        <v>0</v>
      </c>
      <c r="AC328">
        <f>IMPRODUCT("-1",AB328)</f>
        <v>0</v>
      </c>
      <c r="AD328">
        <f>IMDIV(IMSUB(AB328,AC328),"2")</f>
        <v>0</v>
      </c>
      <c r="AE328" s="6">
        <f>IMABS(AB328)</f>
        <v>0</v>
      </c>
      <c r="AF328" s="6">
        <f>IMABS(AC328)</f>
        <v>0</v>
      </c>
      <c r="AG328" s="6">
        <f>IMABS(AD328)</f>
        <v>0</v>
      </c>
      <c r="AH328" s="7">
        <f>20*LOG10(MAX(AE328,1E-300)*1E6)</f>
        <v>0</v>
      </c>
      <c r="AI328" s="7">
        <f>20*LOG10(MAX(AF328,1E-300)*1E6)</f>
        <v>0</v>
      </c>
      <c r="AJ328" s="7">
        <f>20*LOG10(MAX(AG328,1E-300)*1E6)</f>
        <v>0</v>
      </c>
      <c r="AK328" s="7">
        <f>DEGREES(IMARGUMENT(AB328))</f>
        <v>0</v>
      </c>
      <c r="AL328" s="7">
        <f>DEGREES(IMARGUMENT(AC328))</f>
        <v>0</v>
      </c>
      <c r="AM328" s="7">
        <f>DEGREES(IMARGUMENT(AD328))</f>
        <v>0</v>
      </c>
    </row>
    <row r="329" spans="1:39">
      <c r="A329" s="6">
        <f>10^(LOG10(F_START)+(ROW()-ROW($A$2))*(LOG10(F_STOP)-LOG10(F_START))/(N_POINTS-1))</f>
        <v>0</v>
      </c>
      <c r="B329" s="6">
        <f>2*PI()*A329</f>
        <v>0</v>
      </c>
      <c r="C329">
        <f>COMPLEX(2*LINE_PS_DCR,2*B329*LINE_PS_L)</f>
        <v>0</v>
      </c>
      <c r="D329">
        <f>IMSUM(COMPLEX(0,B329*(LINE_PS_CLINE+LINE_PS_CCHA/2)),IMDIV("1",IMPRODUCT("2",COMPLEX(C_THROUGH_ESR,B329*C_THROUGH_ESL-1/(B329*C_THROUGH_C)))))</f>
        <v>0</v>
      </c>
      <c r="E329">
        <f>COMPLEX(2*LINE_INPUT_DCR,2*B329*LINE_INPUT_L)</f>
        <v>0</v>
      </c>
      <c r="F329">
        <f>COMPLEX(0,B329*(LINE_INPUT_CLINE+LINE_INPUT_CCHA/2))</f>
        <v>0</v>
      </c>
      <c r="G329">
        <f>IMPRODUCT("2",IMDIV("1",IMSUM(IMDIV("1",COMPLEX(LDM1_DCR,B329*LDM1_L)),COMPLEX(0,B329*LDM1_CPA))))</f>
        <v>0</v>
      </c>
      <c r="H329">
        <f>IMSUM(IMDIV("1",COMPLEX(CX1_ESR,B329*CX1_ESL-1/(B329*CX1_C))),IMDIV("1",IMSUM(COMPLEX(DUMP1_R,0),COMPLEX(DUMP1_ESR,B329*DUMP1_ESL-1/(B329*DUMP1_C)))))</f>
        <v>0</v>
      </c>
      <c r="I329">
        <f>IMPRODUCT("2",IMDIV("1",IMSUM(IMDIV("1",COMPLEX(LDM2_DCR,B329*LDM2_L)),COMPLEX(0,B329*LDM2_CPA))))</f>
        <v>0</v>
      </c>
      <c r="J329">
        <f>IMSUM(IMDIV("1",COMPLEX(CX2_ESR,B329*CX2_ESL-1/(B329*CX2_C))),IMDIV("1",IMSUM(COMPLEX(DUMP2_R,0),COMPLEX(DUMP2_ESR,B329*DUMP2_ESL-1/(B329*DUMP2_C)))))</f>
        <v>0</v>
      </c>
      <c r="K329">
        <f>IMPRODUCT("2",IMDIV("1",IMSUM(IMDIV("1",COMPLEX(CMC_DCR,B329*CMC_L*(1-CMC_K))),COMPLEX(0,B329*CMC_CPA))))</f>
        <v>0</v>
      </c>
      <c r="L329">
        <f>IMSUM(COMPLEX(0,B329*CMC_CLINE),IMDIV("1",IMPRODUCT("2",COMPLEX(CY_ESR,B329*CY_ESL-1/(B329*CY_C)))),COMPLEX(1/DUMMY_R,0))</f>
        <v>0</v>
      </c>
      <c r="M329">
        <f>IMSUM(D329,IMDIV("1",C329))</f>
        <v>0</v>
      </c>
      <c r="N329">
        <f>IMDIV("1",IMSUM(E329,IMDIV("1",M329)))</f>
        <v>0</v>
      </c>
      <c r="O329">
        <f>IMSUM(F329,N329)</f>
        <v>0</v>
      </c>
      <c r="P329">
        <f>IMDIV("1",IMSUM(G329,IMDIV("1",O329)))</f>
        <v>0</v>
      </c>
      <c r="Q329">
        <f>IMSUM(H329,P329)</f>
        <v>0</v>
      </c>
      <c r="R329">
        <f>IMDIV("1",IMSUM(I329,IMDIV("1",Q329)))</f>
        <v>0</v>
      </c>
      <c r="S329">
        <f>IMSUM(J329,R329)</f>
        <v>0</v>
      </c>
      <c r="T329">
        <f>IMDIV("1",IMSUM(K329,IMDIV("1",S329)))</f>
        <v>0</v>
      </c>
      <c r="U329">
        <f>IMSUM(L329,T329)</f>
        <v>0</v>
      </c>
      <c r="V329">
        <f>IMDIV(COMPLEX(I_DM_SOURCE,0),U329)</f>
        <v>0</v>
      </c>
      <c r="W329">
        <f>IMPRODUCT(V329,T329)</f>
        <v>0</v>
      </c>
      <c r="X329">
        <f>IMDIV(W329,S329)</f>
        <v>0</v>
      </c>
      <c r="Y329">
        <f>IMPRODUCT(X329,R329)</f>
        <v>0</v>
      </c>
      <c r="Z329">
        <f>IMDIV(Y329,Q329)</f>
        <v>0</v>
      </c>
      <c r="AA329">
        <f>IMPRODUCT(Z329,P329)</f>
        <v>0</v>
      </c>
      <c r="AB329">
        <f>AA329</f>
        <v>0</v>
      </c>
      <c r="AC329">
        <f>IMPRODUCT("-1",AB329)</f>
        <v>0</v>
      </c>
      <c r="AD329">
        <f>IMDIV(IMSUB(AB329,AC329),"2")</f>
        <v>0</v>
      </c>
      <c r="AE329" s="6">
        <f>IMABS(AB329)</f>
        <v>0</v>
      </c>
      <c r="AF329" s="6">
        <f>IMABS(AC329)</f>
        <v>0</v>
      </c>
      <c r="AG329" s="6">
        <f>IMABS(AD329)</f>
        <v>0</v>
      </c>
      <c r="AH329" s="7">
        <f>20*LOG10(MAX(AE329,1E-300)*1E6)</f>
        <v>0</v>
      </c>
      <c r="AI329" s="7">
        <f>20*LOG10(MAX(AF329,1E-300)*1E6)</f>
        <v>0</v>
      </c>
      <c r="AJ329" s="7">
        <f>20*LOG10(MAX(AG329,1E-300)*1E6)</f>
        <v>0</v>
      </c>
      <c r="AK329" s="7">
        <f>DEGREES(IMARGUMENT(AB329))</f>
        <v>0</v>
      </c>
      <c r="AL329" s="7">
        <f>DEGREES(IMARGUMENT(AC329))</f>
        <v>0</v>
      </c>
      <c r="AM329" s="7">
        <f>DEGREES(IMARGUMENT(AD329))</f>
        <v>0</v>
      </c>
    </row>
    <row r="330" spans="1:39">
      <c r="A330" s="6">
        <f>10^(LOG10(F_START)+(ROW()-ROW($A$2))*(LOG10(F_STOP)-LOG10(F_START))/(N_POINTS-1))</f>
        <v>0</v>
      </c>
      <c r="B330" s="6">
        <f>2*PI()*A330</f>
        <v>0</v>
      </c>
      <c r="C330">
        <f>COMPLEX(2*LINE_PS_DCR,2*B330*LINE_PS_L)</f>
        <v>0</v>
      </c>
      <c r="D330">
        <f>IMSUM(COMPLEX(0,B330*(LINE_PS_CLINE+LINE_PS_CCHA/2)),IMDIV("1",IMPRODUCT("2",COMPLEX(C_THROUGH_ESR,B330*C_THROUGH_ESL-1/(B330*C_THROUGH_C)))))</f>
        <v>0</v>
      </c>
      <c r="E330">
        <f>COMPLEX(2*LINE_INPUT_DCR,2*B330*LINE_INPUT_L)</f>
        <v>0</v>
      </c>
      <c r="F330">
        <f>COMPLEX(0,B330*(LINE_INPUT_CLINE+LINE_INPUT_CCHA/2))</f>
        <v>0</v>
      </c>
      <c r="G330">
        <f>IMPRODUCT("2",IMDIV("1",IMSUM(IMDIV("1",COMPLEX(LDM1_DCR,B330*LDM1_L)),COMPLEX(0,B330*LDM1_CPA))))</f>
        <v>0</v>
      </c>
      <c r="H330">
        <f>IMSUM(IMDIV("1",COMPLEX(CX1_ESR,B330*CX1_ESL-1/(B330*CX1_C))),IMDIV("1",IMSUM(COMPLEX(DUMP1_R,0),COMPLEX(DUMP1_ESR,B330*DUMP1_ESL-1/(B330*DUMP1_C)))))</f>
        <v>0</v>
      </c>
      <c r="I330">
        <f>IMPRODUCT("2",IMDIV("1",IMSUM(IMDIV("1",COMPLEX(LDM2_DCR,B330*LDM2_L)),COMPLEX(0,B330*LDM2_CPA))))</f>
        <v>0</v>
      </c>
      <c r="J330">
        <f>IMSUM(IMDIV("1",COMPLEX(CX2_ESR,B330*CX2_ESL-1/(B330*CX2_C))),IMDIV("1",IMSUM(COMPLEX(DUMP2_R,0),COMPLEX(DUMP2_ESR,B330*DUMP2_ESL-1/(B330*DUMP2_C)))))</f>
        <v>0</v>
      </c>
      <c r="K330">
        <f>IMPRODUCT("2",IMDIV("1",IMSUM(IMDIV("1",COMPLEX(CMC_DCR,B330*CMC_L*(1-CMC_K))),COMPLEX(0,B330*CMC_CPA))))</f>
        <v>0</v>
      </c>
      <c r="L330">
        <f>IMSUM(COMPLEX(0,B330*CMC_CLINE),IMDIV("1",IMPRODUCT("2",COMPLEX(CY_ESR,B330*CY_ESL-1/(B330*CY_C)))),COMPLEX(1/DUMMY_R,0))</f>
        <v>0</v>
      </c>
      <c r="M330">
        <f>IMSUM(D330,IMDIV("1",C330))</f>
        <v>0</v>
      </c>
      <c r="N330">
        <f>IMDIV("1",IMSUM(E330,IMDIV("1",M330)))</f>
        <v>0</v>
      </c>
      <c r="O330">
        <f>IMSUM(F330,N330)</f>
        <v>0</v>
      </c>
      <c r="P330">
        <f>IMDIV("1",IMSUM(G330,IMDIV("1",O330)))</f>
        <v>0</v>
      </c>
      <c r="Q330">
        <f>IMSUM(H330,P330)</f>
        <v>0</v>
      </c>
      <c r="R330">
        <f>IMDIV("1",IMSUM(I330,IMDIV("1",Q330)))</f>
        <v>0</v>
      </c>
      <c r="S330">
        <f>IMSUM(J330,R330)</f>
        <v>0</v>
      </c>
      <c r="T330">
        <f>IMDIV("1",IMSUM(K330,IMDIV("1",S330)))</f>
        <v>0</v>
      </c>
      <c r="U330">
        <f>IMSUM(L330,T330)</f>
        <v>0</v>
      </c>
      <c r="V330">
        <f>IMDIV(COMPLEX(I_DM_SOURCE,0),U330)</f>
        <v>0</v>
      </c>
      <c r="W330">
        <f>IMPRODUCT(V330,T330)</f>
        <v>0</v>
      </c>
      <c r="X330">
        <f>IMDIV(W330,S330)</f>
        <v>0</v>
      </c>
      <c r="Y330">
        <f>IMPRODUCT(X330,R330)</f>
        <v>0</v>
      </c>
      <c r="Z330">
        <f>IMDIV(Y330,Q330)</f>
        <v>0</v>
      </c>
      <c r="AA330">
        <f>IMPRODUCT(Z330,P330)</f>
        <v>0</v>
      </c>
      <c r="AB330">
        <f>AA330</f>
        <v>0</v>
      </c>
      <c r="AC330">
        <f>IMPRODUCT("-1",AB330)</f>
        <v>0</v>
      </c>
      <c r="AD330">
        <f>IMDIV(IMSUB(AB330,AC330),"2")</f>
        <v>0</v>
      </c>
      <c r="AE330" s="6">
        <f>IMABS(AB330)</f>
        <v>0</v>
      </c>
      <c r="AF330" s="6">
        <f>IMABS(AC330)</f>
        <v>0</v>
      </c>
      <c r="AG330" s="6">
        <f>IMABS(AD330)</f>
        <v>0</v>
      </c>
      <c r="AH330" s="7">
        <f>20*LOG10(MAX(AE330,1E-300)*1E6)</f>
        <v>0</v>
      </c>
      <c r="AI330" s="7">
        <f>20*LOG10(MAX(AF330,1E-300)*1E6)</f>
        <v>0</v>
      </c>
      <c r="AJ330" s="7">
        <f>20*LOG10(MAX(AG330,1E-300)*1E6)</f>
        <v>0</v>
      </c>
      <c r="AK330" s="7">
        <f>DEGREES(IMARGUMENT(AB330))</f>
        <v>0</v>
      </c>
      <c r="AL330" s="7">
        <f>DEGREES(IMARGUMENT(AC330))</f>
        <v>0</v>
      </c>
      <c r="AM330" s="7">
        <f>DEGREES(IMARGUMENT(AD330))</f>
        <v>0</v>
      </c>
    </row>
    <row r="331" spans="1:39">
      <c r="A331" s="6">
        <f>10^(LOG10(F_START)+(ROW()-ROW($A$2))*(LOG10(F_STOP)-LOG10(F_START))/(N_POINTS-1))</f>
        <v>0</v>
      </c>
      <c r="B331" s="6">
        <f>2*PI()*A331</f>
        <v>0</v>
      </c>
      <c r="C331">
        <f>COMPLEX(2*LINE_PS_DCR,2*B331*LINE_PS_L)</f>
        <v>0</v>
      </c>
      <c r="D331">
        <f>IMSUM(COMPLEX(0,B331*(LINE_PS_CLINE+LINE_PS_CCHA/2)),IMDIV("1",IMPRODUCT("2",COMPLEX(C_THROUGH_ESR,B331*C_THROUGH_ESL-1/(B331*C_THROUGH_C)))))</f>
        <v>0</v>
      </c>
      <c r="E331">
        <f>COMPLEX(2*LINE_INPUT_DCR,2*B331*LINE_INPUT_L)</f>
        <v>0</v>
      </c>
      <c r="F331">
        <f>COMPLEX(0,B331*(LINE_INPUT_CLINE+LINE_INPUT_CCHA/2))</f>
        <v>0</v>
      </c>
      <c r="G331">
        <f>IMPRODUCT("2",IMDIV("1",IMSUM(IMDIV("1",COMPLEX(LDM1_DCR,B331*LDM1_L)),COMPLEX(0,B331*LDM1_CPA))))</f>
        <v>0</v>
      </c>
      <c r="H331">
        <f>IMSUM(IMDIV("1",COMPLEX(CX1_ESR,B331*CX1_ESL-1/(B331*CX1_C))),IMDIV("1",IMSUM(COMPLEX(DUMP1_R,0),COMPLEX(DUMP1_ESR,B331*DUMP1_ESL-1/(B331*DUMP1_C)))))</f>
        <v>0</v>
      </c>
      <c r="I331">
        <f>IMPRODUCT("2",IMDIV("1",IMSUM(IMDIV("1",COMPLEX(LDM2_DCR,B331*LDM2_L)),COMPLEX(0,B331*LDM2_CPA))))</f>
        <v>0</v>
      </c>
      <c r="J331">
        <f>IMSUM(IMDIV("1",COMPLEX(CX2_ESR,B331*CX2_ESL-1/(B331*CX2_C))),IMDIV("1",IMSUM(COMPLEX(DUMP2_R,0),COMPLEX(DUMP2_ESR,B331*DUMP2_ESL-1/(B331*DUMP2_C)))))</f>
        <v>0</v>
      </c>
      <c r="K331">
        <f>IMPRODUCT("2",IMDIV("1",IMSUM(IMDIV("1",COMPLEX(CMC_DCR,B331*CMC_L*(1-CMC_K))),COMPLEX(0,B331*CMC_CPA))))</f>
        <v>0</v>
      </c>
      <c r="L331">
        <f>IMSUM(COMPLEX(0,B331*CMC_CLINE),IMDIV("1",IMPRODUCT("2",COMPLEX(CY_ESR,B331*CY_ESL-1/(B331*CY_C)))),COMPLEX(1/DUMMY_R,0))</f>
        <v>0</v>
      </c>
      <c r="M331">
        <f>IMSUM(D331,IMDIV("1",C331))</f>
        <v>0</v>
      </c>
      <c r="N331">
        <f>IMDIV("1",IMSUM(E331,IMDIV("1",M331)))</f>
        <v>0</v>
      </c>
      <c r="O331">
        <f>IMSUM(F331,N331)</f>
        <v>0</v>
      </c>
      <c r="P331">
        <f>IMDIV("1",IMSUM(G331,IMDIV("1",O331)))</f>
        <v>0</v>
      </c>
      <c r="Q331">
        <f>IMSUM(H331,P331)</f>
        <v>0</v>
      </c>
      <c r="R331">
        <f>IMDIV("1",IMSUM(I331,IMDIV("1",Q331)))</f>
        <v>0</v>
      </c>
      <c r="S331">
        <f>IMSUM(J331,R331)</f>
        <v>0</v>
      </c>
      <c r="T331">
        <f>IMDIV("1",IMSUM(K331,IMDIV("1",S331)))</f>
        <v>0</v>
      </c>
      <c r="U331">
        <f>IMSUM(L331,T331)</f>
        <v>0</v>
      </c>
      <c r="V331">
        <f>IMDIV(COMPLEX(I_DM_SOURCE,0),U331)</f>
        <v>0</v>
      </c>
      <c r="W331">
        <f>IMPRODUCT(V331,T331)</f>
        <v>0</v>
      </c>
      <c r="X331">
        <f>IMDIV(W331,S331)</f>
        <v>0</v>
      </c>
      <c r="Y331">
        <f>IMPRODUCT(X331,R331)</f>
        <v>0</v>
      </c>
      <c r="Z331">
        <f>IMDIV(Y331,Q331)</f>
        <v>0</v>
      </c>
      <c r="AA331">
        <f>IMPRODUCT(Z331,P331)</f>
        <v>0</v>
      </c>
      <c r="AB331">
        <f>AA331</f>
        <v>0</v>
      </c>
      <c r="AC331">
        <f>IMPRODUCT("-1",AB331)</f>
        <v>0</v>
      </c>
      <c r="AD331">
        <f>IMDIV(IMSUB(AB331,AC331),"2")</f>
        <v>0</v>
      </c>
      <c r="AE331" s="6">
        <f>IMABS(AB331)</f>
        <v>0</v>
      </c>
      <c r="AF331" s="6">
        <f>IMABS(AC331)</f>
        <v>0</v>
      </c>
      <c r="AG331" s="6">
        <f>IMABS(AD331)</f>
        <v>0</v>
      </c>
      <c r="AH331" s="7">
        <f>20*LOG10(MAX(AE331,1E-300)*1E6)</f>
        <v>0</v>
      </c>
      <c r="AI331" s="7">
        <f>20*LOG10(MAX(AF331,1E-300)*1E6)</f>
        <v>0</v>
      </c>
      <c r="AJ331" s="7">
        <f>20*LOG10(MAX(AG331,1E-300)*1E6)</f>
        <v>0</v>
      </c>
      <c r="AK331" s="7">
        <f>DEGREES(IMARGUMENT(AB331))</f>
        <v>0</v>
      </c>
      <c r="AL331" s="7">
        <f>DEGREES(IMARGUMENT(AC331))</f>
        <v>0</v>
      </c>
      <c r="AM331" s="7">
        <f>DEGREES(IMARGUMENT(AD331))</f>
        <v>0</v>
      </c>
    </row>
    <row r="332" spans="1:39">
      <c r="A332" s="6">
        <f>10^(LOG10(F_START)+(ROW()-ROW($A$2))*(LOG10(F_STOP)-LOG10(F_START))/(N_POINTS-1))</f>
        <v>0</v>
      </c>
      <c r="B332" s="6">
        <f>2*PI()*A332</f>
        <v>0</v>
      </c>
      <c r="C332">
        <f>COMPLEX(2*LINE_PS_DCR,2*B332*LINE_PS_L)</f>
        <v>0</v>
      </c>
      <c r="D332">
        <f>IMSUM(COMPLEX(0,B332*(LINE_PS_CLINE+LINE_PS_CCHA/2)),IMDIV("1",IMPRODUCT("2",COMPLEX(C_THROUGH_ESR,B332*C_THROUGH_ESL-1/(B332*C_THROUGH_C)))))</f>
        <v>0</v>
      </c>
      <c r="E332">
        <f>COMPLEX(2*LINE_INPUT_DCR,2*B332*LINE_INPUT_L)</f>
        <v>0</v>
      </c>
      <c r="F332">
        <f>COMPLEX(0,B332*(LINE_INPUT_CLINE+LINE_INPUT_CCHA/2))</f>
        <v>0</v>
      </c>
      <c r="G332">
        <f>IMPRODUCT("2",IMDIV("1",IMSUM(IMDIV("1",COMPLEX(LDM1_DCR,B332*LDM1_L)),COMPLEX(0,B332*LDM1_CPA))))</f>
        <v>0</v>
      </c>
      <c r="H332">
        <f>IMSUM(IMDIV("1",COMPLEX(CX1_ESR,B332*CX1_ESL-1/(B332*CX1_C))),IMDIV("1",IMSUM(COMPLEX(DUMP1_R,0),COMPLEX(DUMP1_ESR,B332*DUMP1_ESL-1/(B332*DUMP1_C)))))</f>
        <v>0</v>
      </c>
      <c r="I332">
        <f>IMPRODUCT("2",IMDIV("1",IMSUM(IMDIV("1",COMPLEX(LDM2_DCR,B332*LDM2_L)),COMPLEX(0,B332*LDM2_CPA))))</f>
        <v>0</v>
      </c>
      <c r="J332">
        <f>IMSUM(IMDIV("1",COMPLEX(CX2_ESR,B332*CX2_ESL-1/(B332*CX2_C))),IMDIV("1",IMSUM(COMPLEX(DUMP2_R,0),COMPLEX(DUMP2_ESR,B332*DUMP2_ESL-1/(B332*DUMP2_C)))))</f>
        <v>0</v>
      </c>
      <c r="K332">
        <f>IMPRODUCT("2",IMDIV("1",IMSUM(IMDIV("1",COMPLEX(CMC_DCR,B332*CMC_L*(1-CMC_K))),COMPLEX(0,B332*CMC_CPA))))</f>
        <v>0</v>
      </c>
      <c r="L332">
        <f>IMSUM(COMPLEX(0,B332*CMC_CLINE),IMDIV("1",IMPRODUCT("2",COMPLEX(CY_ESR,B332*CY_ESL-1/(B332*CY_C)))),COMPLEX(1/DUMMY_R,0))</f>
        <v>0</v>
      </c>
      <c r="M332">
        <f>IMSUM(D332,IMDIV("1",C332))</f>
        <v>0</v>
      </c>
      <c r="N332">
        <f>IMDIV("1",IMSUM(E332,IMDIV("1",M332)))</f>
        <v>0</v>
      </c>
      <c r="O332">
        <f>IMSUM(F332,N332)</f>
        <v>0</v>
      </c>
      <c r="P332">
        <f>IMDIV("1",IMSUM(G332,IMDIV("1",O332)))</f>
        <v>0</v>
      </c>
      <c r="Q332">
        <f>IMSUM(H332,P332)</f>
        <v>0</v>
      </c>
      <c r="R332">
        <f>IMDIV("1",IMSUM(I332,IMDIV("1",Q332)))</f>
        <v>0</v>
      </c>
      <c r="S332">
        <f>IMSUM(J332,R332)</f>
        <v>0</v>
      </c>
      <c r="T332">
        <f>IMDIV("1",IMSUM(K332,IMDIV("1",S332)))</f>
        <v>0</v>
      </c>
      <c r="U332">
        <f>IMSUM(L332,T332)</f>
        <v>0</v>
      </c>
      <c r="V332">
        <f>IMDIV(COMPLEX(I_DM_SOURCE,0),U332)</f>
        <v>0</v>
      </c>
      <c r="W332">
        <f>IMPRODUCT(V332,T332)</f>
        <v>0</v>
      </c>
      <c r="X332">
        <f>IMDIV(W332,S332)</f>
        <v>0</v>
      </c>
      <c r="Y332">
        <f>IMPRODUCT(X332,R332)</f>
        <v>0</v>
      </c>
      <c r="Z332">
        <f>IMDIV(Y332,Q332)</f>
        <v>0</v>
      </c>
      <c r="AA332">
        <f>IMPRODUCT(Z332,P332)</f>
        <v>0</v>
      </c>
      <c r="AB332">
        <f>AA332</f>
        <v>0</v>
      </c>
      <c r="AC332">
        <f>IMPRODUCT("-1",AB332)</f>
        <v>0</v>
      </c>
      <c r="AD332">
        <f>IMDIV(IMSUB(AB332,AC332),"2")</f>
        <v>0</v>
      </c>
      <c r="AE332" s="6">
        <f>IMABS(AB332)</f>
        <v>0</v>
      </c>
      <c r="AF332" s="6">
        <f>IMABS(AC332)</f>
        <v>0</v>
      </c>
      <c r="AG332" s="6">
        <f>IMABS(AD332)</f>
        <v>0</v>
      </c>
      <c r="AH332" s="7">
        <f>20*LOG10(MAX(AE332,1E-300)*1E6)</f>
        <v>0</v>
      </c>
      <c r="AI332" s="7">
        <f>20*LOG10(MAX(AF332,1E-300)*1E6)</f>
        <v>0</v>
      </c>
      <c r="AJ332" s="7">
        <f>20*LOG10(MAX(AG332,1E-300)*1E6)</f>
        <v>0</v>
      </c>
      <c r="AK332" s="7">
        <f>DEGREES(IMARGUMENT(AB332))</f>
        <v>0</v>
      </c>
      <c r="AL332" s="7">
        <f>DEGREES(IMARGUMENT(AC332))</f>
        <v>0</v>
      </c>
      <c r="AM332" s="7">
        <f>DEGREES(IMARGUMENT(AD332))</f>
        <v>0</v>
      </c>
    </row>
    <row r="333" spans="1:39">
      <c r="A333" s="6">
        <f>10^(LOG10(F_START)+(ROW()-ROW($A$2))*(LOG10(F_STOP)-LOG10(F_START))/(N_POINTS-1))</f>
        <v>0</v>
      </c>
      <c r="B333" s="6">
        <f>2*PI()*A333</f>
        <v>0</v>
      </c>
      <c r="C333">
        <f>COMPLEX(2*LINE_PS_DCR,2*B333*LINE_PS_L)</f>
        <v>0</v>
      </c>
      <c r="D333">
        <f>IMSUM(COMPLEX(0,B333*(LINE_PS_CLINE+LINE_PS_CCHA/2)),IMDIV("1",IMPRODUCT("2",COMPLEX(C_THROUGH_ESR,B333*C_THROUGH_ESL-1/(B333*C_THROUGH_C)))))</f>
        <v>0</v>
      </c>
      <c r="E333">
        <f>COMPLEX(2*LINE_INPUT_DCR,2*B333*LINE_INPUT_L)</f>
        <v>0</v>
      </c>
      <c r="F333">
        <f>COMPLEX(0,B333*(LINE_INPUT_CLINE+LINE_INPUT_CCHA/2))</f>
        <v>0</v>
      </c>
      <c r="G333">
        <f>IMPRODUCT("2",IMDIV("1",IMSUM(IMDIV("1",COMPLEX(LDM1_DCR,B333*LDM1_L)),COMPLEX(0,B333*LDM1_CPA))))</f>
        <v>0</v>
      </c>
      <c r="H333">
        <f>IMSUM(IMDIV("1",COMPLEX(CX1_ESR,B333*CX1_ESL-1/(B333*CX1_C))),IMDIV("1",IMSUM(COMPLEX(DUMP1_R,0),COMPLEX(DUMP1_ESR,B333*DUMP1_ESL-1/(B333*DUMP1_C)))))</f>
        <v>0</v>
      </c>
      <c r="I333">
        <f>IMPRODUCT("2",IMDIV("1",IMSUM(IMDIV("1",COMPLEX(LDM2_DCR,B333*LDM2_L)),COMPLEX(0,B333*LDM2_CPA))))</f>
        <v>0</v>
      </c>
      <c r="J333">
        <f>IMSUM(IMDIV("1",COMPLEX(CX2_ESR,B333*CX2_ESL-1/(B333*CX2_C))),IMDIV("1",IMSUM(COMPLEX(DUMP2_R,0),COMPLEX(DUMP2_ESR,B333*DUMP2_ESL-1/(B333*DUMP2_C)))))</f>
        <v>0</v>
      </c>
      <c r="K333">
        <f>IMPRODUCT("2",IMDIV("1",IMSUM(IMDIV("1",COMPLEX(CMC_DCR,B333*CMC_L*(1-CMC_K))),COMPLEX(0,B333*CMC_CPA))))</f>
        <v>0</v>
      </c>
      <c r="L333">
        <f>IMSUM(COMPLEX(0,B333*CMC_CLINE),IMDIV("1",IMPRODUCT("2",COMPLEX(CY_ESR,B333*CY_ESL-1/(B333*CY_C)))),COMPLEX(1/DUMMY_R,0))</f>
        <v>0</v>
      </c>
      <c r="M333">
        <f>IMSUM(D333,IMDIV("1",C333))</f>
        <v>0</v>
      </c>
      <c r="N333">
        <f>IMDIV("1",IMSUM(E333,IMDIV("1",M333)))</f>
        <v>0</v>
      </c>
      <c r="O333">
        <f>IMSUM(F333,N333)</f>
        <v>0</v>
      </c>
      <c r="P333">
        <f>IMDIV("1",IMSUM(G333,IMDIV("1",O333)))</f>
        <v>0</v>
      </c>
      <c r="Q333">
        <f>IMSUM(H333,P333)</f>
        <v>0</v>
      </c>
      <c r="R333">
        <f>IMDIV("1",IMSUM(I333,IMDIV("1",Q333)))</f>
        <v>0</v>
      </c>
      <c r="S333">
        <f>IMSUM(J333,R333)</f>
        <v>0</v>
      </c>
      <c r="T333">
        <f>IMDIV("1",IMSUM(K333,IMDIV("1",S333)))</f>
        <v>0</v>
      </c>
      <c r="U333">
        <f>IMSUM(L333,T333)</f>
        <v>0</v>
      </c>
      <c r="V333">
        <f>IMDIV(COMPLEX(I_DM_SOURCE,0),U333)</f>
        <v>0</v>
      </c>
      <c r="W333">
        <f>IMPRODUCT(V333,T333)</f>
        <v>0</v>
      </c>
      <c r="X333">
        <f>IMDIV(W333,S333)</f>
        <v>0</v>
      </c>
      <c r="Y333">
        <f>IMPRODUCT(X333,R333)</f>
        <v>0</v>
      </c>
      <c r="Z333">
        <f>IMDIV(Y333,Q333)</f>
        <v>0</v>
      </c>
      <c r="AA333">
        <f>IMPRODUCT(Z333,P333)</f>
        <v>0</v>
      </c>
      <c r="AB333">
        <f>AA333</f>
        <v>0</v>
      </c>
      <c r="AC333">
        <f>IMPRODUCT("-1",AB333)</f>
        <v>0</v>
      </c>
      <c r="AD333">
        <f>IMDIV(IMSUB(AB333,AC333),"2")</f>
        <v>0</v>
      </c>
      <c r="AE333" s="6">
        <f>IMABS(AB333)</f>
        <v>0</v>
      </c>
      <c r="AF333" s="6">
        <f>IMABS(AC333)</f>
        <v>0</v>
      </c>
      <c r="AG333" s="6">
        <f>IMABS(AD333)</f>
        <v>0</v>
      </c>
      <c r="AH333" s="7">
        <f>20*LOG10(MAX(AE333,1E-300)*1E6)</f>
        <v>0</v>
      </c>
      <c r="AI333" s="7">
        <f>20*LOG10(MAX(AF333,1E-300)*1E6)</f>
        <v>0</v>
      </c>
      <c r="AJ333" s="7">
        <f>20*LOG10(MAX(AG333,1E-300)*1E6)</f>
        <v>0</v>
      </c>
      <c r="AK333" s="7">
        <f>DEGREES(IMARGUMENT(AB333))</f>
        <v>0</v>
      </c>
      <c r="AL333" s="7">
        <f>DEGREES(IMARGUMENT(AC333))</f>
        <v>0</v>
      </c>
      <c r="AM333" s="7">
        <f>DEGREES(IMARGUMENT(AD333))</f>
        <v>0</v>
      </c>
    </row>
    <row r="334" spans="1:39">
      <c r="A334" s="6">
        <f>10^(LOG10(F_START)+(ROW()-ROW($A$2))*(LOG10(F_STOP)-LOG10(F_START))/(N_POINTS-1))</f>
        <v>0</v>
      </c>
      <c r="B334" s="6">
        <f>2*PI()*A334</f>
        <v>0</v>
      </c>
      <c r="C334">
        <f>COMPLEX(2*LINE_PS_DCR,2*B334*LINE_PS_L)</f>
        <v>0</v>
      </c>
      <c r="D334">
        <f>IMSUM(COMPLEX(0,B334*(LINE_PS_CLINE+LINE_PS_CCHA/2)),IMDIV("1",IMPRODUCT("2",COMPLEX(C_THROUGH_ESR,B334*C_THROUGH_ESL-1/(B334*C_THROUGH_C)))))</f>
        <v>0</v>
      </c>
      <c r="E334">
        <f>COMPLEX(2*LINE_INPUT_DCR,2*B334*LINE_INPUT_L)</f>
        <v>0</v>
      </c>
      <c r="F334">
        <f>COMPLEX(0,B334*(LINE_INPUT_CLINE+LINE_INPUT_CCHA/2))</f>
        <v>0</v>
      </c>
      <c r="G334">
        <f>IMPRODUCT("2",IMDIV("1",IMSUM(IMDIV("1",COMPLEX(LDM1_DCR,B334*LDM1_L)),COMPLEX(0,B334*LDM1_CPA))))</f>
        <v>0</v>
      </c>
      <c r="H334">
        <f>IMSUM(IMDIV("1",COMPLEX(CX1_ESR,B334*CX1_ESL-1/(B334*CX1_C))),IMDIV("1",IMSUM(COMPLEX(DUMP1_R,0),COMPLEX(DUMP1_ESR,B334*DUMP1_ESL-1/(B334*DUMP1_C)))))</f>
        <v>0</v>
      </c>
      <c r="I334">
        <f>IMPRODUCT("2",IMDIV("1",IMSUM(IMDIV("1",COMPLEX(LDM2_DCR,B334*LDM2_L)),COMPLEX(0,B334*LDM2_CPA))))</f>
        <v>0</v>
      </c>
      <c r="J334">
        <f>IMSUM(IMDIV("1",COMPLEX(CX2_ESR,B334*CX2_ESL-1/(B334*CX2_C))),IMDIV("1",IMSUM(COMPLEX(DUMP2_R,0),COMPLEX(DUMP2_ESR,B334*DUMP2_ESL-1/(B334*DUMP2_C)))))</f>
        <v>0</v>
      </c>
      <c r="K334">
        <f>IMPRODUCT("2",IMDIV("1",IMSUM(IMDIV("1",COMPLEX(CMC_DCR,B334*CMC_L*(1-CMC_K))),COMPLEX(0,B334*CMC_CPA))))</f>
        <v>0</v>
      </c>
      <c r="L334">
        <f>IMSUM(COMPLEX(0,B334*CMC_CLINE),IMDIV("1",IMPRODUCT("2",COMPLEX(CY_ESR,B334*CY_ESL-1/(B334*CY_C)))),COMPLEX(1/DUMMY_R,0))</f>
        <v>0</v>
      </c>
      <c r="M334">
        <f>IMSUM(D334,IMDIV("1",C334))</f>
        <v>0</v>
      </c>
      <c r="N334">
        <f>IMDIV("1",IMSUM(E334,IMDIV("1",M334)))</f>
        <v>0</v>
      </c>
      <c r="O334">
        <f>IMSUM(F334,N334)</f>
        <v>0</v>
      </c>
      <c r="P334">
        <f>IMDIV("1",IMSUM(G334,IMDIV("1",O334)))</f>
        <v>0</v>
      </c>
      <c r="Q334">
        <f>IMSUM(H334,P334)</f>
        <v>0</v>
      </c>
      <c r="R334">
        <f>IMDIV("1",IMSUM(I334,IMDIV("1",Q334)))</f>
        <v>0</v>
      </c>
      <c r="S334">
        <f>IMSUM(J334,R334)</f>
        <v>0</v>
      </c>
      <c r="T334">
        <f>IMDIV("1",IMSUM(K334,IMDIV("1",S334)))</f>
        <v>0</v>
      </c>
      <c r="U334">
        <f>IMSUM(L334,T334)</f>
        <v>0</v>
      </c>
      <c r="V334">
        <f>IMDIV(COMPLEX(I_DM_SOURCE,0),U334)</f>
        <v>0</v>
      </c>
      <c r="W334">
        <f>IMPRODUCT(V334,T334)</f>
        <v>0</v>
      </c>
      <c r="X334">
        <f>IMDIV(W334,S334)</f>
        <v>0</v>
      </c>
      <c r="Y334">
        <f>IMPRODUCT(X334,R334)</f>
        <v>0</v>
      </c>
      <c r="Z334">
        <f>IMDIV(Y334,Q334)</f>
        <v>0</v>
      </c>
      <c r="AA334">
        <f>IMPRODUCT(Z334,P334)</f>
        <v>0</v>
      </c>
      <c r="AB334">
        <f>AA334</f>
        <v>0</v>
      </c>
      <c r="AC334">
        <f>IMPRODUCT("-1",AB334)</f>
        <v>0</v>
      </c>
      <c r="AD334">
        <f>IMDIV(IMSUB(AB334,AC334),"2")</f>
        <v>0</v>
      </c>
      <c r="AE334" s="6">
        <f>IMABS(AB334)</f>
        <v>0</v>
      </c>
      <c r="AF334" s="6">
        <f>IMABS(AC334)</f>
        <v>0</v>
      </c>
      <c r="AG334" s="6">
        <f>IMABS(AD334)</f>
        <v>0</v>
      </c>
      <c r="AH334" s="7">
        <f>20*LOG10(MAX(AE334,1E-300)*1E6)</f>
        <v>0</v>
      </c>
      <c r="AI334" s="7">
        <f>20*LOG10(MAX(AF334,1E-300)*1E6)</f>
        <v>0</v>
      </c>
      <c r="AJ334" s="7">
        <f>20*LOG10(MAX(AG334,1E-300)*1E6)</f>
        <v>0</v>
      </c>
      <c r="AK334" s="7">
        <f>DEGREES(IMARGUMENT(AB334))</f>
        <v>0</v>
      </c>
      <c r="AL334" s="7">
        <f>DEGREES(IMARGUMENT(AC334))</f>
        <v>0</v>
      </c>
      <c r="AM334" s="7">
        <f>DEGREES(IMARGUMENT(AD334))</f>
        <v>0</v>
      </c>
    </row>
    <row r="335" spans="1:39">
      <c r="A335" s="6">
        <f>10^(LOG10(F_START)+(ROW()-ROW($A$2))*(LOG10(F_STOP)-LOG10(F_START))/(N_POINTS-1))</f>
        <v>0</v>
      </c>
      <c r="B335" s="6">
        <f>2*PI()*A335</f>
        <v>0</v>
      </c>
      <c r="C335">
        <f>COMPLEX(2*LINE_PS_DCR,2*B335*LINE_PS_L)</f>
        <v>0</v>
      </c>
      <c r="D335">
        <f>IMSUM(COMPLEX(0,B335*(LINE_PS_CLINE+LINE_PS_CCHA/2)),IMDIV("1",IMPRODUCT("2",COMPLEX(C_THROUGH_ESR,B335*C_THROUGH_ESL-1/(B335*C_THROUGH_C)))))</f>
        <v>0</v>
      </c>
      <c r="E335">
        <f>COMPLEX(2*LINE_INPUT_DCR,2*B335*LINE_INPUT_L)</f>
        <v>0</v>
      </c>
      <c r="F335">
        <f>COMPLEX(0,B335*(LINE_INPUT_CLINE+LINE_INPUT_CCHA/2))</f>
        <v>0</v>
      </c>
      <c r="G335">
        <f>IMPRODUCT("2",IMDIV("1",IMSUM(IMDIV("1",COMPLEX(LDM1_DCR,B335*LDM1_L)),COMPLEX(0,B335*LDM1_CPA))))</f>
        <v>0</v>
      </c>
      <c r="H335">
        <f>IMSUM(IMDIV("1",COMPLEX(CX1_ESR,B335*CX1_ESL-1/(B335*CX1_C))),IMDIV("1",IMSUM(COMPLEX(DUMP1_R,0),COMPLEX(DUMP1_ESR,B335*DUMP1_ESL-1/(B335*DUMP1_C)))))</f>
        <v>0</v>
      </c>
      <c r="I335">
        <f>IMPRODUCT("2",IMDIV("1",IMSUM(IMDIV("1",COMPLEX(LDM2_DCR,B335*LDM2_L)),COMPLEX(0,B335*LDM2_CPA))))</f>
        <v>0</v>
      </c>
      <c r="J335">
        <f>IMSUM(IMDIV("1",COMPLEX(CX2_ESR,B335*CX2_ESL-1/(B335*CX2_C))),IMDIV("1",IMSUM(COMPLEX(DUMP2_R,0),COMPLEX(DUMP2_ESR,B335*DUMP2_ESL-1/(B335*DUMP2_C)))))</f>
        <v>0</v>
      </c>
      <c r="K335">
        <f>IMPRODUCT("2",IMDIV("1",IMSUM(IMDIV("1",COMPLEX(CMC_DCR,B335*CMC_L*(1-CMC_K))),COMPLEX(0,B335*CMC_CPA))))</f>
        <v>0</v>
      </c>
      <c r="L335">
        <f>IMSUM(COMPLEX(0,B335*CMC_CLINE),IMDIV("1",IMPRODUCT("2",COMPLEX(CY_ESR,B335*CY_ESL-1/(B335*CY_C)))),COMPLEX(1/DUMMY_R,0))</f>
        <v>0</v>
      </c>
      <c r="M335">
        <f>IMSUM(D335,IMDIV("1",C335))</f>
        <v>0</v>
      </c>
      <c r="N335">
        <f>IMDIV("1",IMSUM(E335,IMDIV("1",M335)))</f>
        <v>0</v>
      </c>
      <c r="O335">
        <f>IMSUM(F335,N335)</f>
        <v>0</v>
      </c>
      <c r="P335">
        <f>IMDIV("1",IMSUM(G335,IMDIV("1",O335)))</f>
        <v>0</v>
      </c>
      <c r="Q335">
        <f>IMSUM(H335,P335)</f>
        <v>0</v>
      </c>
      <c r="R335">
        <f>IMDIV("1",IMSUM(I335,IMDIV("1",Q335)))</f>
        <v>0</v>
      </c>
      <c r="S335">
        <f>IMSUM(J335,R335)</f>
        <v>0</v>
      </c>
      <c r="T335">
        <f>IMDIV("1",IMSUM(K335,IMDIV("1",S335)))</f>
        <v>0</v>
      </c>
      <c r="U335">
        <f>IMSUM(L335,T335)</f>
        <v>0</v>
      </c>
      <c r="V335">
        <f>IMDIV(COMPLEX(I_DM_SOURCE,0),U335)</f>
        <v>0</v>
      </c>
      <c r="W335">
        <f>IMPRODUCT(V335,T335)</f>
        <v>0</v>
      </c>
      <c r="X335">
        <f>IMDIV(W335,S335)</f>
        <v>0</v>
      </c>
      <c r="Y335">
        <f>IMPRODUCT(X335,R335)</f>
        <v>0</v>
      </c>
      <c r="Z335">
        <f>IMDIV(Y335,Q335)</f>
        <v>0</v>
      </c>
      <c r="AA335">
        <f>IMPRODUCT(Z335,P335)</f>
        <v>0</v>
      </c>
      <c r="AB335">
        <f>AA335</f>
        <v>0</v>
      </c>
      <c r="AC335">
        <f>IMPRODUCT("-1",AB335)</f>
        <v>0</v>
      </c>
      <c r="AD335">
        <f>IMDIV(IMSUB(AB335,AC335),"2")</f>
        <v>0</v>
      </c>
      <c r="AE335" s="6">
        <f>IMABS(AB335)</f>
        <v>0</v>
      </c>
      <c r="AF335" s="6">
        <f>IMABS(AC335)</f>
        <v>0</v>
      </c>
      <c r="AG335" s="6">
        <f>IMABS(AD335)</f>
        <v>0</v>
      </c>
      <c r="AH335" s="7">
        <f>20*LOG10(MAX(AE335,1E-300)*1E6)</f>
        <v>0</v>
      </c>
      <c r="AI335" s="7">
        <f>20*LOG10(MAX(AF335,1E-300)*1E6)</f>
        <v>0</v>
      </c>
      <c r="AJ335" s="7">
        <f>20*LOG10(MAX(AG335,1E-300)*1E6)</f>
        <v>0</v>
      </c>
      <c r="AK335" s="7">
        <f>DEGREES(IMARGUMENT(AB335))</f>
        <v>0</v>
      </c>
      <c r="AL335" s="7">
        <f>DEGREES(IMARGUMENT(AC335))</f>
        <v>0</v>
      </c>
      <c r="AM335" s="7">
        <f>DEGREES(IMARGUMENT(AD335))</f>
        <v>0</v>
      </c>
    </row>
    <row r="336" spans="1:39">
      <c r="A336" s="6">
        <f>10^(LOG10(F_START)+(ROW()-ROW($A$2))*(LOG10(F_STOP)-LOG10(F_START))/(N_POINTS-1))</f>
        <v>0</v>
      </c>
      <c r="B336" s="6">
        <f>2*PI()*A336</f>
        <v>0</v>
      </c>
      <c r="C336">
        <f>COMPLEX(2*LINE_PS_DCR,2*B336*LINE_PS_L)</f>
        <v>0</v>
      </c>
      <c r="D336">
        <f>IMSUM(COMPLEX(0,B336*(LINE_PS_CLINE+LINE_PS_CCHA/2)),IMDIV("1",IMPRODUCT("2",COMPLEX(C_THROUGH_ESR,B336*C_THROUGH_ESL-1/(B336*C_THROUGH_C)))))</f>
        <v>0</v>
      </c>
      <c r="E336">
        <f>COMPLEX(2*LINE_INPUT_DCR,2*B336*LINE_INPUT_L)</f>
        <v>0</v>
      </c>
      <c r="F336">
        <f>COMPLEX(0,B336*(LINE_INPUT_CLINE+LINE_INPUT_CCHA/2))</f>
        <v>0</v>
      </c>
      <c r="G336">
        <f>IMPRODUCT("2",IMDIV("1",IMSUM(IMDIV("1",COMPLEX(LDM1_DCR,B336*LDM1_L)),COMPLEX(0,B336*LDM1_CPA))))</f>
        <v>0</v>
      </c>
      <c r="H336">
        <f>IMSUM(IMDIV("1",COMPLEX(CX1_ESR,B336*CX1_ESL-1/(B336*CX1_C))),IMDIV("1",IMSUM(COMPLEX(DUMP1_R,0),COMPLEX(DUMP1_ESR,B336*DUMP1_ESL-1/(B336*DUMP1_C)))))</f>
        <v>0</v>
      </c>
      <c r="I336">
        <f>IMPRODUCT("2",IMDIV("1",IMSUM(IMDIV("1",COMPLEX(LDM2_DCR,B336*LDM2_L)),COMPLEX(0,B336*LDM2_CPA))))</f>
        <v>0</v>
      </c>
      <c r="J336">
        <f>IMSUM(IMDIV("1",COMPLEX(CX2_ESR,B336*CX2_ESL-1/(B336*CX2_C))),IMDIV("1",IMSUM(COMPLEX(DUMP2_R,0),COMPLEX(DUMP2_ESR,B336*DUMP2_ESL-1/(B336*DUMP2_C)))))</f>
        <v>0</v>
      </c>
      <c r="K336">
        <f>IMPRODUCT("2",IMDIV("1",IMSUM(IMDIV("1",COMPLEX(CMC_DCR,B336*CMC_L*(1-CMC_K))),COMPLEX(0,B336*CMC_CPA))))</f>
        <v>0</v>
      </c>
      <c r="L336">
        <f>IMSUM(COMPLEX(0,B336*CMC_CLINE),IMDIV("1",IMPRODUCT("2",COMPLEX(CY_ESR,B336*CY_ESL-1/(B336*CY_C)))),COMPLEX(1/DUMMY_R,0))</f>
        <v>0</v>
      </c>
      <c r="M336">
        <f>IMSUM(D336,IMDIV("1",C336))</f>
        <v>0</v>
      </c>
      <c r="N336">
        <f>IMDIV("1",IMSUM(E336,IMDIV("1",M336)))</f>
        <v>0</v>
      </c>
      <c r="O336">
        <f>IMSUM(F336,N336)</f>
        <v>0</v>
      </c>
      <c r="P336">
        <f>IMDIV("1",IMSUM(G336,IMDIV("1",O336)))</f>
        <v>0</v>
      </c>
      <c r="Q336">
        <f>IMSUM(H336,P336)</f>
        <v>0</v>
      </c>
      <c r="R336">
        <f>IMDIV("1",IMSUM(I336,IMDIV("1",Q336)))</f>
        <v>0</v>
      </c>
      <c r="S336">
        <f>IMSUM(J336,R336)</f>
        <v>0</v>
      </c>
      <c r="T336">
        <f>IMDIV("1",IMSUM(K336,IMDIV("1",S336)))</f>
        <v>0</v>
      </c>
      <c r="U336">
        <f>IMSUM(L336,T336)</f>
        <v>0</v>
      </c>
      <c r="V336">
        <f>IMDIV(COMPLEX(I_DM_SOURCE,0),U336)</f>
        <v>0</v>
      </c>
      <c r="W336">
        <f>IMPRODUCT(V336,T336)</f>
        <v>0</v>
      </c>
      <c r="X336">
        <f>IMDIV(W336,S336)</f>
        <v>0</v>
      </c>
      <c r="Y336">
        <f>IMPRODUCT(X336,R336)</f>
        <v>0</v>
      </c>
      <c r="Z336">
        <f>IMDIV(Y336,Q336)</f>
        <v>0</v>
      </c>
      <c r="AA336">
        <f>IMPRODUCT(Z336,P336)</f>
        <v>0</v>
      </c>
      <c r="AB336">
        <f>AA336</f>
        <v>0</v>
      </c>
      <c r="AC336">
        <f>IMPRODUCT("-1",AB336)</f>
        <v>0</v>
      </c>
      <c r="AD336">
        <f>IMDIV(IMSUB(AB336,AC336),"2")</f>
        <v>0</v>
      </c>
      <c r="AE336" s="6">
        <f>IMABS(AB336)</f>
        <v>0</v>
      </c>
      <c r="AF336" s="6">
        <f>IMABS(AC336)</f>
        <v>0</v>
      </c>
      <c r="AG336" s="6">
        <f>IMABS(AD336)</f>
        <v>0</v>
      </c>
      <c r="AH336" s="7">
        <f>20*LOG10(MAX(AE336,1E-300)*1E6)</f>
        <v>0</v>
      </c>
      <c r="AI336" s="7">
        <f>20*LOG10(MAX(AF336,1E-300)*1E6)</f>
        <v>0</v>
      </c>
      <c r="AJ336" s="7">
        <f>20*LOG10(MAX(AG336,1E-300)*1E6)</f>
        <v>0</v>
      </c>
      <c r="AK336" s="7">
        <f>DEGREES(IMARGUMENT(AB336))</f>
        <v>0</v>
      </c>
      <c r="AL336" s="7">
        <f>DEGREES(IMARGUMENT(AC336))</f>
        <v>0</v>
      </c>
      <c r="AM336" s="7">
        <f>DEGREES(IMARGUMENT(AD336))</f>
        <v>0</v>
      </c>
    </row>
    <row r="337" spans="1:39">
      <c r="A337" s="6">
        <f>10^(LOG10(F_START)+(ROW()-ROW($A$2))*(LOG10(F_STOP)-LOG10(F_START))/(N_POINTS-1))</f>
        <v>0</v>
      </c>
      <c r="B337" s="6">
        <f>2*PI()*A337</f>
        <v>0</v>
      </c>
      <c r="C337">
        <f>COMPLEX(2*LINE_PS_DCR,2*B337*LINE_PS_L)</f>
        <v>0</v>
      </c>
      <c r="D337">
        <f>IMSUM(COMPLEX(0,B337*(LINE_PS_CLINE+LINE_PS_CCHA/2)),IMDIV("1",IMPRODUCT("2",COMPLEX(C_THROUGH_ESR,B337*C_THROUGH_ESL-1/(B337*C_THROUGH_C)))))</f>
        <v>0</v>
      </c>
      <c r="E337">
        <f>COMPLEX(2*LINE_INPUT_DCR,2*B337*LINE_INPUT_L)</f>
        <v>0</v>
      </c>
      <c r="F337">
        <f>COMPLEX(0,B337*(LINE_INPUT_CLINE+LINE_INPUT_CCHA/2))</f>
        <v>0</v>
      </c>
      <c r="G337">
        <f>IMPRODUCT("2",IMDIV("1",IMSUM(IMDIV("1",COMPLEX(LDM1_DCR,B337*LDM1_L)),COMPLEX(0,B337*LDM1_CPA))))</f>
        <v>0</v>
      </c>
      <c r="H337">
        <f>IMSUM(IMDIV("1",COMPLEX(CX1_ESR,B337*CX1_ESL-1/(B337*CX1_C))),IMDIV("1",IMSUM(COMPLEX(DUMP1_R,0),COMPLEX(DUMP1_ESR,B337*DUMP1_ESL-1/(B337*DUMP1_C)))))</f>
        <v>0</v>
      </c>
      <c r="I337">
        <f>IMPRODUCT("2",IMDIV("1",IMSUM(IMDIV("1",COMPLEX(LDM2_DCR,B337*LDM2_L)),COMPLEX(0,B337*LDM2_CPA))))</f>
        <v>0</v>
      </c>
      <c r="J337">
        <f>IMSUM(IMDIV("1",COMPLEX(CX2_ESR,B337*CX2_ESL-1/(B337*CX2_C))),IMDIV("1",IMSUM(COMPLEX(DUMP2_R,0),COMPLEX(DUMP2_ESR,B337*DUMP2_ESL-1/(B337*DUMP2_C)))))</f>
        <v>0</v>
      </c>
      <c r="K337">
        <f>IMPRODUCT("2",IMDIV("1",IMSUM(IMDIV("1",COMPLEX(CMC_DCR,B337*CMC_L*(1-CMC_K))),COMPLEX(0,B337*CMC_CPA))))</f>
        <v>0</v>
      </c>
      <c r="L337">
        <f>IMSUM(COMPLEX(0,B337*CMC_CLINE),IMDIV("1",IMPRODUCT("2",COMPLEX(CY_ESR,B337*CY_ESL-1/(B337*CY_C)))),COMPLEX(1/DUMMY_R,0))</f>
        <v>0</v>
      </c>
      <c r="M337">
        <f>IMSUM(D337,IMDIV("1",C337))</f>
        <v>0</v>
      </c>
      <c r="N337">
        <f>IMDIV("1",IMSUM(E337,IMDIV("1",M337)))</f>
        <v>0</v>
      </c>
      <c r="O337">
        <f>IMSUM(F337,N337)</f>
        <v>0</v>
      </c>
      <c r="P337">
        <f>IMDIV("1",IMSUM(G337,IMDIV("1",O337)))</f>
        <v>0</v>
      </c>
      <c r="Q337">
        <f>IMSUM(H337,P337)</f>
        <v>0</v>
      </c>
      <c r="R337">
        <f>IMDIV("1",IMSUM(I337,IMDIV("1",Q337)))</f>
        <v>0</v>
      </c>
      <c r="S337">
        <f>IMSUM(J337,R337)</f>
        <v>0</v>
      </c>
      <c r="T337">
        <f>IMDIV("1",IMSUM(K337,IMDIV("1",S337)))</f>
        <v>0</v>
      </c>
      <c r="U337">
        <f>IMSUM(L337,T337)</f>
        <v>0</v>
      </c>
      <c r="V337">
        <f>IMDIV(COMPLEX(I_DM_SOURCE,0),U337)</f>
        <v>0</v>
      </c>
      <c r="W337">
        <f>IMPRODUCT(V337,T337)</f>
        <v>0</v>
      </c>
      <c r="X337">
        <f>IMDIV(W337,S337)</f>
        <v>0</v>
      </c>
      <c r="Y337">
        <f>IMPRODUCT(X337,R337)</f>
        <v>0</v>
      </c>
      <c r="Z337">
        <f>IMDIV(Y337,Q337)</f>
        <v>0</v>
      </c>
      <c r="AA337">
        <f>IMPRODUCT(Z337,P337)</f>
        <v>0</v>
      </c>
      <c r="AB337">
        <f>AA337</f>
        <v>0</v>
      </c>
      <c r="AC337">
        <f>IMPRODUCT("-1",AB337)</f>
        <v>0</v>
      </c>
      <c r="AD337">
        <f>IMDIV(IMSUB(AB337,AC337),"2")</f>
        <v>0</v>
      </c>
      <c r="AE337" s="6">
        <f>IMABS(AB337)</f>
        <v>0</v>
      </c>
      <c r="AF337" s="6">
        <f>IMABS(AC337)</f>
        <v>0</v>
      </c>
      <c r="AG337" s="6">
        <f>IMABS(AD337)</f>
        <v>0</v>
      </c>
      <c r="AH337" s="7">
        <f>20*LOG10(MAX(AE337,1E-300)*1E6)</f>
        <v>0</v>
      </c>
      <c r="AI337" s="7">
        <f>20*LOG10(MAX(AF337,1E-300)*1E6)</f>
        <v>0</v>
      </c>
      <c r="AJ337" s="7">
        <f>20*LOG10(MAX(AG337,1E-300)*1E6)</f>
        <v>0</v>
      </c>
      <c r="AK337" s="7">
        <f>DEGREES(IMARGUMENT(AB337))</f>
        <v>0</v>
      </c>
      <c r="AL337" s="7">
        <f>DEGREES(IMARGUMENT(AC337))</f>
        <v>0</v>
      </c>
      <c r="AM337" s="7">
        <f>DEGREES(IMARGUMENT(AD337))</f>
        <v>0</v>
      </c>
    </row>
    <row r="338" spans="1:39">
      <c r="A338" s="6">
        <f>10^(LOG10(F_START)+(ROW()-ROW($A$2))*(LOG10(F_STOP)-LOG10(F_START))/(N_POINTS-1))</f>
        <v>0</v>
      </c>
      <c r="B338" s="6">
        <f>2*PI()*A338</f>
        <v>0</v>
      </c>
      <c r="C338">
        <f>COMPLEX(2*LINE_PS_DCR,2*B338*LINE_PS_L)</f>
        <v>0</v>
      </c>
      <c r="D338">
        <f>IMSUM(COMPLEX(0,B338*(LINE_PS_CLINE+LINE_PS_CCHA/2)),IMDIV("1",IMPRODUCT("2",COMPLEX(C_THROUGH_ESR,B338*C_THROUGH_ESL-1/(B338*C_THROUGH_C)))))</f>
        <v>0</v>
      </c>
      <c r="E338">
        <f>COMPLEX(2*LINE_INPUT_DCR,2*B338*LINE_INPUT_L)</f>
        <v>0</v>
      </c>
      <c r="F338">
        <f>COMPLEX(0,B338*(LINE_INPUT_CLINE+LINE_INPUT_CCHA/2))</f>
        <v>0</v>
      </c>
      <c r="G338">
        <f>IMPRODUCT("2",IMDIV("1",IMSUM(IMDIV("1",COMPLEX(LDM1_DCR,B338*LDM1_L)),COMPLEX(0,B338*LDM1_CPA))))</f>
        <v>0</v>
      </c>
      <c r="H338">
        <f>IMSUM(IMDIV("1",COMPLEX(CX1_ESR,B338*CX1_ESL-1/(B338*CX1_C))),IMDIV("1",IMSUM(COMPLEX(DUMP1_R,0),COMPLEX(DUMP1_ESR,B338*DUMP1_ESL-1/(B338*DUMP1_C)))))</f>
        <v>0</v>
      </c>
      <c r="I338">
        <f>IMPRODUCT("2",IMDIV("1",IMSUM(IMDIV("1",COMPLEX(LDM2_DCR,B338*LDM2_L)),COMPLEX(0,B338*LDM2_CPA))))</f>
        <v>0</v>
      </c>
      <c r="J338">
        <f>IMSUM(IMDIV("1",COMPLEX(CX2_ESR,B338*CX2_ESL-1/(B338*CX2_C))),IMDIV("1",IMSUM(COMPLEX(DUMP2_R,0),COMPLEX(DUMP2_ESR,B338*DUMP2_ESL-1/(B338*DUMP2_C)))))</f>
        <v>0</v>
      </c>
      <c r="K338">
        <f>IMPRODUCT("2",IMDIV("1",IMSUM(IMDIV("1",COMPLEX(CMC_DCR,B338*CMC_L*(1-CMC_K))),COMPLEX(0,B338*CMC_CPA))))</f>
        <v>0</v>
      </c>
      <c r="L338">
        <f>IMSUM(COMPLEX(0,B338*CMC_CLINE),IMDIV("1",IMPRODUCT("2",COMPLEX(CY_ESR,B338*CY_ESL-1/(B338*CY_C)))),COMPLEX(1/DUMMY_R,0))</f>
        <v>0</v>
      </c>
      <c r="M338">
        <f>IMSUM(D338,IMDIV("1",C338))</f>
        <v>0</v>
      </c>
      <c r="N338">
        <f>IMDIV("1",IMSUM(E338,IMDIV("1",M338)))</f>
        <v>0</v>
      </c>
      <c r="O338">
        <f>IMSUM(F338,N338)</f>
        <v>0</v>
      </c>
      <c r="P338">
        <f>IMDIV("1",IMSUM(G338,IMDIV("1",O338)))</f>
        <v>0</v>
      </c>
      <c r="Q338">
        <f>IMSUM(H338,P338)</f>
        <v>0</v>
      </c>
      <c r="R338">
        <f>IMDIV("1",IMSUM(I338,IMDIV("1",Q338)))</f>
        <v>0</v>
      </c>
      <c r="S338">
        <f>IMSUM(J338,R338)</f>
        <v>0</v>
      </c>
      <c r="T338">
        <f>IMDIV("1",IMSUM(K338,IMDIV("1",S338)))</f>
        <v>0</v>
      </c>
      <c r="U338">
        <f>IMSUM(L338,T338)</f>
        <v>0</v>
      </c>
      <c r="V338">
        <f>IMDIV(COMPLEX(I_DM_SOURCE,0),U338)</f>
        <v>0</v>
      </c>
      <c r="W338">
        <f>IMPRODUCT(V338,T338)</f>
        <v>0</v>
      </c>
      <c r="X338">
        <f>IMDIV(W338,S338)</f>
        <v>0</v>
      </c>
      <c r="Y338">
        <f>IMPRODUCT(X338,R338)</f>
        <v>0</v>
      </c>
      <c r="Z338">
        <f>IMDIV(Y338,Q338)</f>
        <v>0</v>
      </c>
      <c r="AA338">
        <f>IMPRODUCT(Z338,P338)</f>
        <v>0</v>
      </c>
      <c r="AB338">
        <f>AA338</f>
        <v>0</v>
      </c>
      <c r="AC338">
        <f>IMPRODUCT("-1",AB338)</f>
        <v>0</v>
      </c>
      <c r="AD338">
        <f>IMDIV(IMSUB(AB338,AC338),"2")</f>
        <v>0</v>
      </c>
      <c r="AE338" s="6">
        <f>IMABS(AB338)</f>
        <v>0</v>
      </c>
      <c r="AF338" s="6">
        <f>IMABS(AC338)</f>
        <v>0</v>
      </c>
      <c r="AG338" s="6">
        <f>IMABS(AD338)</f>
        <v>0</v>
      </c>
      <c r="AH338" s="7">
        <f>20*LOG10(MAX(AE338,1E-300)*1E6)</f>
        <v>0</v>
      </c>
      <c r="AI338" s="7">
        <f>20*LOG10(MAX(AF338,1E-300)*1E6)</f>
        <v>0</v>
      </c>
      <c r="AJ338" s="7">
        <f>20*LOG10(MAX(AG338,1E-300)*1E6)</f>
        <v>0</v>
      </c>
      <c r="AK338" s="7">
        <f>DEGREES(IMARGUMENT(AB338))</f>
        <v>0</v>
      </c>
      <c r="AL338" s="7">
        <f>DEGREES(IMARGUMENT(AC338))</f>
        <v>0</v>
      </c>
      <c r="AM338" s="7">
        <f>DEGREES(IMARGUMENT(AD338))</f>
        <v>0</v>
      </c>
    </row>
    <row r="339" spans="1:39">
      <c r="A339" s="6">
        <f>10^(LOG10(F_START)+(ROW()-ROW($A$2))*(LOG10(F_STOP)-LOG10(F_START))/(N_POINTS-1))</f>
        <v>0</v>
      </c>
      <c r="B339" s="6">
        <f>2*PI()*A339</f>
        <v>0</v>
      </c>
      <c r="C339">
        <f>COMPLEX(2*LINE_PS_DCR,2*B339*LINE_PS_L)</f>
        <v>0</v>
      </c>
      <c r="D339">
        <f>IMSUM(COMPLEX(0,B339*(LINE_PS_CLINE+LINE_PS_CCHA/2)),IMDIV("1",IMPRODUCT("2",COMPLEX(C_THROUGH_ESR,B339*C_THROUGH_ESL-1/(B339*C_THROUGH_C)))))</f>
        <v>0</v>
      </c>
      <c r="E339">
        <f>COMPLEX(2*LINE_INPUT_DCR,2*B339*LINE_INPUT_L)</f>
        <v>0</v>
      </c>
      <c r="F339">
        <f>COMPLEX(0,B339*(LINE_INPUT_CLINE+LINE_INPUT_CCHA/2))</f>
        <v>0</v>
      </c>
      <c r="G339">
        <f>IMPRODUCT("2",IMDIV("1",IMSUM(IMDIV("1",COMPLEX(LDM1_DCR,B339*LDM1_L)),COMPLEX(0,B339*LDM1_CPA))))</f>
        <v>0</v>
      </c>
      <c r="H339">
        <f>IMSUM(IMDIV("1",COMPLEX(CX1_ESR,B339*CX1_ESL-1/(B339*CX1_C))),IMDIV("1",IMSUM(COMPLEX(DUMP1_R,0),COMPLEX(DUMP1_ESR,B339*DUMP1_ESL-1/(B339*DUMP1_C)))))</f>
        <v>0</v>
      </c>
      <c r="I339">
        <f>IMPRODUCT("2",IMDIV("1",IMSUM(IMDIV("1",COMPLEX(LDM2_DCR,B339*LDM2_L)),COMPLEX(0,B339*LDM2_CPA))))</f>
        <v>0</v>
      </c>
      <c r="J339">
        <f>IMSUM(IMDIV("1",COMPLEX(CX2_ESR,B339*CX2_ESL-1/(B339*CX2_C))),IMDIV("1",IMSUM(COMPLEX(DUMP2_R,0),COMPLEX(DUMP2_ESR,B339*DUMP2_ESL-1/(B339*DUMP2_C)))))</f>
        <v>0</v>
      </c>
      <c r="K339">
        <f>IMPRODUCT("2",IMDIV("1",IMSUM(IMDIV("1",COMPLEX(CMC_DCR,B339*CMC_L*(1-CMC_K))),COMPLEX(0,B339*CMC_CPA))))</f>
        <v>0</v>
      </c>
      <c r="L339">
        <f>IMSUM(COMPLEX(0,B339*CMC_CLINE),IMDIV("1",IMPRODUCT("2",COMPLEX(CY_ESR,B339*CY_ESL-1/(B339*CY_C)))),COMPLEX(1/DUMMY_R,0))</f>
        <v>0</v>
      </c>
      <c r="M339">
        <f>IMSUM(D339,IMDIV("1",C339))</f>
        <v>0</v>
      </c>
      <c r="N339">
        <f>IMDIV("1",IMSUM(E339,IMDIV("1",M339)))</f>
        <v>0</v>
      </c>
      <c r="O339">
        <f>IMSUM(F339,N339)</f>
        <v>0</v>
      </c>
      <c r="P339">
        <f>IMDIV("1",IMSUM(G339,IMDIV("1",O339)))</f>
        <v>0</v>
      </c>
      <c r="Q339">
        <f>IMSUM(H339,P339)</f>
        <v>0</v>
      </c>
      <c r="R339">
        <f>IMDIV("1",IMSUM(I339,IMDIV("1",Q339)))</f>
        <v>0</v>
      </c>
      <c r="S339">
        <f>IMSUM(J339,R339)</f>
        <v>0</v>
      </c>
      <c r="T339">
        <f>IMDIV("1",IMSUM(K339,IMDIV("1",S339)))</f>
        <v>0</v>
      </c>
      <c r="U339">
        <f>IMSUM(L339,T339)</f>
        <v>0</v>
      </c>
      <c r="V339">
        <f>IMDIV(COMPLEX(I_DM_SOURCE,0),U339)</f>
        <v>0</v>
      </c>
      <c r="W339">
        <f>IMPRODUCT(V339,T339)</f>
        <v>0</v>
      </c>
      <c r="X339">
        <f>IMDIV(W339,S339)</f>
        <v>0</v>
      </c>
      <c r="Y339">
        <f>IMPRODUCT(X339,R339)</f>
        <v>0</v>
      </c>
      <c r="Z339">
        <f>IMDIV(Y339,Q339)</f>
        <v>0</v>
      </c>
      <c r="AA339">
        <f>IMPRODUCT(Z339,P339)</f>
        <v>0</v>
      </c>
      <c r="AB339">
        <f>AA339</f>
        <v>0</v>
      </c>
      <c r="AC339">
        <f>IMPRODUCT("-1",AB339)</f>
        <v>0</v>
      </c>
      <c r="AD339">
        <f>IMDIV(IMSUB(AB339,AC339),"2")</f>
        <v>0</v>
      </c>
      <c r="AE339" s="6">
        <f>IMABS(AB339)</f>
        <v>0</v>
      </c>
      <c r="AF339" s="6">
        <f>IMABS(AC339)</f>
        <v>0</v>
      </c>
      <c r="AG339" s="6">
        <f>IMABS(AD339)</f>
        <v>0</v>
      </c>
      <c r="AH339" s="7">
        <f>20*LOG10(MAX(AE339,1E-300)*1E6)</f>
        <v>0</v>
      </c>
      <c r="AI339" s="7">
        <f>20*LOG10(MAX(AF339,1E-300)*1E6)</f>
        <v>0</v>
      </c>
      <c r="AJ339" s="7">
        <f>20*LOG10(MAX(AG339,1E-300)*1E6)</f>
        <v>0</v>
      </c>
      <c r="AK339" s="7">
        <f>DEGREES(IMARGUMENT(AB339))</f>
        <v>0</v>
      </c>
      <c r="AL339" s="7">
        <f>DEGREES(IMARGUMENT(AC339))</f>
        <v>0</v>
      </c>
      <c r="AM339" s="7">
        <f>DEGREES(IMARGUMENT(AD339))</f>
        <v>0</v>
      </c>
    </row>
    <row r="340" spans="1:39">
      <c r="A340" s="6">
        <f>10^(LOG10(F_START)+(ROW()-ROW($A$2))*(LOG10(F_STOP)-LOG10(F_START))/(N_POINTS-1))</f>
        <v>0</v>
      </c>
      <c r="B340" s="6">
        <f>2*PI()*A340</f>
        <v>0</v>
      </c>
      <c r="C340">
        <f>COMPLEX(2*LINE_PS_DCR,2*B340*LINE_PS_L)</f>
        <v>0</v>
      </c>
      <c r="D340">
        <f>IMSUM(COMPLEX(0,B340*(LINE_PS_CLINE+LINE_PS_CCHA/2)),IMDIV("1",IMPRODUCT("2",COMPLEX(C_THROUGH_ESR,B340*C_THROUGH_ESL-1/(B340*C_THROUGH_C)))))</f>
        <v>0</v>
      </c>
      <c r="E340">
        <f>COMPLEX(2*LINE_INPUT_DCR,2*B340*LINE_INPUT_L)</f>
        <v>0</v>
      </c>
      <c r="F340">
        <f>COMPLEX(0,B340*(LINE_INPUT_CLINE+LINE_INPUT_CCHA/2))</f>
        <v>0</v>
      </c>
      <c r="G340">
        <f>IMPRODUCT("2",IMDIV("1",IMSUM(IMDIV("1",COMPLEX(LDM1_DCR,B340*LDM1_L)),COMPLEX(0,B340*LDM1_CPA))))</f>
        <v>0</v>
      </c>
      <c r="H340">
        <f>IMSUM(IMDIV("1",COMPLEX(CX1_ESR,B340*CX1_ESL-1/(B340*CX1_C))),IMDIV("1",IMSUM(COMPLEX(DUMP1_R,0),COMPLEX(DUMP1_ESR,B340*DUMP1_ESL-1/(B340*DUMP1_C)))))</f>
        <v>0</v>
      </c>
      <c r="I340">
        <f>IMPRODUCT("2",IMDIV("1",IMSUM(IMDIV("1",COMPLEX(LDM2_DCR,B340*LDM2_L)),COMPLEX(0,B340*LDM2_CPA))))</f>
        <v>0</v>
      </c>
      <c r="J340">
        <f>IMSUM(IMDIV("1",COMPLEX(CX2_ESR,B340*CX2_ESL-1/(B340*CX2_C))),IMDIV("1",IMSUM(COMPLEX(DUMP2_R,0),COMPLEX(DUMP2_ESR,B340*DUMP2_ESL-1/(B340*DUMP2_C)))))</f>
        <v>0</v>
      </c>
      <c r="K340">
        <f>IMPRODUCT("2",IMDIV("1",IMSUM(IMDIV("1",COMPLEX(CMC_DCR,B340*CMC_L*(1-CMC_K))),COMPLEX(0,B340*CMC_CPA))))</f>
        <v>0</v>
      </c>
      <c r="L340">
        <f>IMSUM(COMPLEX(0,B340*CMC_CLINE),IMDIV("1",IMPRODUCT("2",COMPLEX(CY_ESR,B340*CY_ESL-1/(B340*CY_C)))),COMPLEX(1/DUMMY_R,0))</f>
        <v>0</v>
      </c>
      <c r="M340">
        <f>IMSUM(D340,IMDIV("1",C340))</f>
        <v>0</v>
      </c>
      <c r="N340">
        <f>IMDIV("1",IMSUM(E340,IMDIV("1",M340)))</f>
        <v>0</v>
      </c>
      <c r="O340">
        <f>IMSUM(F340,N340)</f>
        <v>0</v>
      </c>
      <c r="P340">
        <f>IMDIV("1",IMSUM(G340,IMDIV("1",O340)))</f>
        <v>0</v>
      </c>
      <c r="Q340">
        <f>IMSUM(H340,P340)</f>
        <v>0</v>
      </c>
      <c r="R340">
        <f>IMDIV("1",IMSUM(I340,IMDIV("1",Q340)))</f>
        <v>0</v>
      </c>
      <c r="S340">
        <f>IMSUM(J340,R340)</f>
        <v>0</v>
      </c>
      <c r="T340">
        <f>IMDIV("1",IMSUM(K340,IMDIV("1",S340)))</f>
        <v>0</v>
      </c>
      <c r="U340">
        <f>IMSUM(L340,T340)</f>
        <v>0</v>
      </c>
      <c r="V340">
        <f>IMDIV(COMPLEX(I_DM_SOURCE,0),U340)</f>
        <v>0</v>
      </c>
      <c r="W340">
        <f>IMPRODUCT(V340,T340)</f>
        <v>0</v>
      </c>
      <c r="X340">
        <f>IMDIV(W340,S340)</f>
        <v>0</v>
      </c>
      <c r="Y340">
        <f>IMPRODUCT(X340,R340)</f>
        <v>0</v>
      </c>
      <c r="Z340">
        <f>IMDIV(Y340,Q340)</f>
        <v>0</v>
      </c>
      <c r="AA340">
        <f>IMPRODUCT(Z340,P340)</f>
        <v>0</v>
      </c>
      <c r="AB340">
        <f>AA340</f>
        <v>0</v>
      </c>
      <c r="AC340">
        <f>IMPRODUCT("-1",AB340)</f>
        <v>0</v>
      </c>
      <c r="AD340">
        <f>IMDIV(IMSUB(AB340,AC340),"2")</f>
        <v>0</v>
      </c>
      <c r="AE340" s="6">
        <f>IMABS(AB340)</f>
        <v>0</v>
      </c>
      <c r="AF340" s="6">
        <f>IMABS(AC340)</f>
        <v>0</v>
      </c>
      <c r="AG340" s="6">
        <f>IMABS(AD340)</f>
        <v>0</v>
      </c>
      <c r="AH340" s="7">
        <f>20*LOG10(MAX(AE340,1E-300)*1E6)</f>
        <v>0</v>
      </c>
      <c r="AI340" s="7">
        <f>20*LOG10(MAX(AF340,1E-300)*1E6)</f>
        <v>0</v>
      </c>
      <c r="AJ340" s="7">
        <f>20*LOG10(MAX(AG340,1E-300)*1E6)</f>
        <v>0</v>
      </c>
      <c r="AK340" s="7">
        <f>DEGREES(IMARGUMENT(AB340))</f>
        <v>0</v>
      </c>
      <c r="AL340" s="7">
        <f>DEGREES(IMARGUMENT(AC340))</f>
        <v>0</v>
      </c>
      <c r="AM340" s="7">
        <f>DEGREES(IMARGUMENT(AD340))</f>
        <v>0</v>
      </c>
    </row>
    <row r="341" spans="1:39">
      <c r="A341" s="6">
        <f>10^(LOG10(F_START)+(ROW()-ROW($A$2))*(LOG10(F_STOP)-LOG10(F_START))/(N_POINTS-1))</f>
        <v>0</v>
      </c>
      <c r="B341" s="6">
        <f>2*PI()*A341</f>
        <v>0</v>
      </c>
      <c r="C341">
        <f>COMPLEX(2*LINE_PS_DCR,2*B341*LINE_PS_L)</f>
        <v>0</v>
      </c>
      <c r="D341">
        <f>IMSUM(COMPLEX(0,B341*(LINE_PS_CLINE+LINE_PS_CCHA/2)),IMDIV("1",IMPRODUCT("2",COMPLEX(C_THROUGH_ESR,B341*C_THROUGH_ESL-1/(B341*C_THROUGH_C)))))</f>
        <v>0</v>
      </c>
      <c r="E341">
        <f>COMPLEX(2*LINE_INPUT_DCR,2*B341*LINE_INPUT_L)</f>
        <v>0</v>
      </c>
      <c r="F341">
        <f>COMPLEX(0,B341*(LINE_INPUT_CLINE+LINE_INPUT_CCHA/2))</f>
        <v>0</v>
      </c>
      <c r="G341">
        <f>IMPRODUCT("2",IMDIV("1",IMSUM(IMDIV("1",COMPLEX(LDM1_DCR,B341*LDM1_L)),COMPLEX(0,B341*LDM1_CPA))))</f>
        <v>0</v>
      </c>
      <c r="H341">
        <f>IMSUM(IMDIV("1",COMPLEX(CX1_ESR,B341*CX1_ESL-1/(B341*CX1_C))),IMDIV("1",IMSUM(COMPLEX(DUMP1_R,0),COMPLEX(DUMP1_ESR,B341*DUMP1_ESL-1/(B341*DUMP1_C)))))</f>
        <v>0</v>
      </c>
      <c r="I341">
        <f>IMPRODUCT("2",IMDIV("1",IMSUM(IMDIV("1",COMPLEX(LDM2_DCR,B341*LDM2_L)),COMPLEX(0,B341*LDM2_CPA))))</f>
        <v>0</v>
      </c>
      <c r="J341">
        <f>IMSUM(IMDIV("1",COMPLEX(CX2_ESR,B341*CX2_ESL-1/(B341*CX2_C))),IMDIV("1",IMSUM(COMPLEX(DUMP2_R,0),COMPLEX(DUMP2_ESR,B341*DUMP2_ESL-1/(B341*DUMP2_C)))))</f>
        <v>0</v>
      </c>
      <c r="K341">
        <f>IMPRODUCT("2",IMDIV("1",IMSUM(IMDIV("1",COMPLEX(CMC_DCR,B341*CMC_L*(1-CMC_K))),COMPLEX(0,B341*CMC_CPA))))</f>
        <v>0</v>
      </c>
      <c r="L341">
        <f>IMSUM(COMPLEX(0,B341*CMC_CLINE),IMDIV("1",IMPRODUCT("2",COMPLEX(CY_ESR,B341*CY_ESL-1/(B341*CY_C)))),COMPLEX(1/DUMMY_R,0))</f>
        <v>0</v>
      </c>
      <c r="M341">
        <f>IMSUM(D341,IMDIV("1",C341))</f>
        <v>0</v>
      </c>
      <c r="N341">
        <f>IMDIV("1",IMSUM(E341,IMDIV("1",M341)))</f>
        <v>0</v>
      </c>
      <c r="O341">
        <f>IMSUM(F341,N341)</f>
        <v>0</v>
      </c>
      <c r="P341">
        <f>IMDIV("1",IMSUM(G341,IMDIV("1",O341)))</f>
        <v>0</v>
      </c>
      <c r="Q341">
        <f>IMSUM(H341,P341)</f>
        <v>0</v>
      </c>
      <c r="R341">
        <f>IMDIV("1",IMSUM(I341,IMDIV("1",Q341)))</f>
        <v>0</v>
      </c>
      <c r="S341">
        <f>IMSUM(J341,R341)</f>
        <v>0</v>
      </c>
      <c r="T341">
        <f>IMDIV("1",IMSUM(K341,IMDIV("1",S341)))</f>
        <v>0</v>
      </c>
      <c r="U341">
        <f>IMSUM(L341,T341)</f>
        <v>0</v>
      </c>
      <c r="V341">
        <f>IMDIV(COMPLEX(I_DM_SOURCE,0),U341)</f>
        <v>0</v>
      </c>
      <c r="W341">
        <f>IMPRODUCT(V341,T341)</f>
        <v>0</v>
      </c>
      <c r="X341">
        <f>IMDIV(W341,S341)</f>
        <v>0</v>
      </c>
      <c r="Y341">
        <f>IMPRODUCT(X341,R341)</f>
        <v>0</v>
      </c>
      <c r="Z341">
        <f>IMDIV(Y341,Q341)</f>
        <v>0</v>
      </c>
      <c r="AA341">
        <f>IMPRODUCT(Z341,P341)</f>
        <v>0</v>
      </c>
      <c r="AB341">
        <f>AA341</f>
        <v>0</v>
      </c>
      <c r="AC341">
        <f>IMPRODUCT("-1",AB341)</f>
        <v>0</v>
      </c>
      <c r="AD341">
        <f>IMDIV(IMSUB(AB341,AC341),"2")</f>
        <v>0</v>
      </c>
      <c r="AE341" s="6">
        <f>IMABS(AB341)</f>
        <v>0</v>
      </c>
      <c r="AF341" s="6">
        <f>IMABS(AC341)</f>
        <v>0</v>
      </c>
      <c r="AG341" s="6">
        <f>IMABS(AD341)</f>
        <v>0</v>
      </c>
      <c r="AH341" s="7">
        <f>20*LOG10(MAX(AE341,1E-300)*1E6)</f>
        <v>0</v>
      </c>
      <c r="AI341" s="7">
        <f>20*LOG10(MAX(AF341,1E-300)*1E6)</f>
        <v>0</v>
      </c>
      <c r="AJ341" s="7">
        <f>20*LOG10(MAX(AG341,1E-300)*1E6)</f>
        <v>0</v>
      </c>
      <c r="AK341" s="7">
        <f>DEGREES(IMARGUMENT(AB341))</f>
        <v>0</v>
      </c>
      <c r="AL341" s="7">
        <f>DEGREES(IMARGUMENT(AC341))</f>
        <v>0</v>
      </c>
      <c r="AM341" s="7">
        <f>DEGREES(IMARGUMENT(AD341))</f>
        <v>0</v>
      </c>
    </row>
    <row r="342" spans="1:39">
      <c r="A342" s="6">
        <f>10^(LOG10(F_START)+(ROW()-ROW($A$2))*(LOG10(F_STOP)-LOG10(F_START))/(N_POINTS-1))</f>
        <v>0</v>
      </c>
      <c r="B342" s="6">
        <f>2*PI()*A342</f>
        <v>0</v>
      </c>
      <c r="C342">
        <f>COMPLEX(2*LINE_PS_DCR,2*B342*LINE_PS_L)</f>
        <v>0</v>
      </c>
      <c r="D342">
        <f>IMSUM(COMPLEX(0,B342*(LINE_PS_CLINE+LINE_PS_CCHA/2)),IMDIV("1",IMPRODUCT("2",COMPLEX(C_THROUGH_ESR,B342*C_THROUGH_ESL-1/(B342*C_THROUGH_C)))))</f>
        <v>0</v>
      </c>
      <c r="E342">
        <f>COMPLEX(2*LINE_INPUT_DCR,2*B342*LINE_INPUT_L)</f>
        <v>0</v>
      </c>
      <c r="F342">
        <f>COMPLEX(0,B342*(LINE_INPUT_CLINE+LINE_INPUT_CCHA/2))</f>
        <v>0</v>
      </c>
      <c r="G342">
        <f>IMPRODUCT("2",IMDIV("1",IMSUM(IMDIV("1",COMPLEX(LDM1_DCR,B342*LDM1_L)),COMPLEX(0,B342*LDM1_CPA))))</f>
        <v>0</v>
      </c>
      <c r="H342">
        <f>IMSUM(IMDIV("1",COMPLEX(CX1_ESR,B342*CX1_ESL-1/(B342*CX1_C))),IMDIV("1",IMSUM(COMPLEX(DUMP1_R,0),COMPLEX(DUMP1_ESR,B342*DUMP1_ESL-1/(B342*DUMP1_C)))))</f>
        <v>0</v>
      </c>
      <c r="I342">
        <f>IMPRODUCT("2",IMDIV("1",IMSUM(IMDIV("1",COMPLEX(LDM2_DCR,B342*LDM2_L)),COMPLEX(0,B342*LDM2_CPA))))</f>
        <v>0</v>
      </c>
      <c r="J342">
        <f>IMSUM(IMDIV("1",COMPLEX(CX2_ESR,B342*CX2_ESL-1/(B342*CX2_C))),IMDIV("1",IMSUM(COMPLEX(DUMP2_R,0),COMPLEX(DUMP2_ESR,B342*DUMP2_ESL-1/(B342*DUMP2_C)))))</f>
        <v>0</v>
      </c>
      <c r="K342">
        <f>IMPRODUCT("2",IMDIV("1",IMSUM(IMDIV("1",COMPLEX(CMC_DCR,B342*CMC_L*(1-CMC_K))),COMPLEX(0,B342*CMC_CPA))))</f>
        <v>0</v>
      </c>
      <c r="L342">
        <f>IMSUM(COMPLEX(0,B342*CMC_CLINE),IMDIV("1",IMPRODUCT("2",COMPLEX(CY_ESR,B342*CY_ESL-1/(B342*CY_C)))),COMPLEX(1/DUMMY_R,0))</f>
        <v>0</v>
      </c>
      <c r="M342">
        <f>IMSUM(D342,IMDIV("1",C342))</f>
        <v>0</v>
      </c>
      <c r="N342">
        <f>IMDIV("1",IMSUM(E342,IMDIV("1",M342)))</f>
        <v>0</v>
      </c>
      <c r="O342">
        <f>IMSUM(F342,N342)</f>
        <v>0</v>
      </c>
      <c r="P342">
        <f>IMDIV("1",IMSUM(G342,IMDIV("1",O342)))</f>
        <v>0</v>
      </c>
      <c r="Q342">
        <f>IMSUM(H342,P342)</f>
        <v>0</v>
      </c>
      <c r="R342">
        <f>IMDIV("1",IMSUM(I342,IMDIV("1",Q342)))</f>
        <v>0</v>
      </c>
      <c r="S342">
        <f>IMSUM(J342,R342)</f>
        <v>0</v>
      </c>
      <c r="T342">
        <f>IMDIV("1",IMSUM(K342,IMDIV("1",S342)))</f>
        <v>0</v>
      </c>
      <c r="U342">
        <f>IMSUM(L342,T342)</f>
        <v>0</v>
      </c>
      <c r="V342">
        <f>IMDIV(COMPLEX(I_DM_SOURCE,0),U342)</f>
        <v>0</v>
      </c>
      <c r="W342">
        <f>IMPRODUCT(V342,T342)</f>
        <v>0</v>
      </c>
      <c r="X342">
        <f>IMDIV(W342,S342)</f>
        <v>0</v>
      </c>
      <c r="Y342">
        <f>IMPRODUCT(X342,R342)</f>
        <v>0</v>
      </c>
      <c r="Z342">
        <f>IMDIV(Y342,Q342)</f>
        <v>0</v>
      </c>
      <c r="AA342">
        <f>IMPRODUCT(Z342,P342)</f>
        <v>0</v>
      </c>
      <c r="AB342">
        <f>AA342</f>
        <v>0</v>
      </c>
      <c r="AC342">
        <f>IMPRODUCT("-1",AB342)</f>
        <v>0</v>
      </c>
      <c r="AD342">
        <f>IMDIV(IMSUB(AB342,AC342),"2")</f>
        <v>0</v>
      </c>
      <c r="AE342" s="6">
        <f>IMABS(AB342)</f>
        <v>0</v>
      </c>
      <c r="AF342" s="6">
        <f>IMABS(AC342)</f>
        <v>0</v>
      </c>
      <c r="AG342" s="6">
        <f>IMABS(AD342)</f>
        <v>0</v>
      </c>
      <c r="AH342" s="7">
        <f>20*LOG10(MAX(AE342,1E-300)*1E6)</f>
        <v>0</v>
      </c>
      <c r="AI342" s="7">
        <f>20*LOG10(MAX(AF342,1E-300)*1E6)</f>
        <v>0</v>
      </c>
      <c r="AJ342" s="7">
        <f>20*LOG10(MAX(AG342,1E-300)*1E6)</f>
        <v>0</v>
      </c>
      <c r="AK342" s="7">
        <f>DEGREES(IMARGUMENT(AB342))</f>
        <v>0</v>
      </c>
      <c r="AL342" s="7">
        <f>DEGREES(IMARGUMENT(AC342))</f>
        <v>0</v>
      </c>
      <c r="AM342" s="7">
        <f>DEGREES(IMARGUMENT(AD342))</f>
        <v>0</v>
      </c>
    </row>
    <row r="343" spans="1:39">
      <c r="A343" s="6">
        <f>10^(LOG10(F_START)+(ROW()-ROW($A$2))*(LOG10(F_STOP)-LOG10(F_START))/(N_POINTS-1))</f>
        <v>0</v>
      </c>
      <c r="B343" s="6">
        <f>2*PI()*A343</f>
        <v>0</v>
      </c>
      <c r="C343">
        <f>COMPLEX(2*LINE_PS_DCR,2*B343*LINE_PS_L)</f>
        <v>0</v>
      </c>
      <c r="D343">
        <f>IMSUM(COMPLEX(0,B343*(LINE_PS_CLINE+LINE_PS_CCHA/2)),IMDIV("1",IMPRODUCT("2",COMPLEX(C_THROUGH_ESR,B343*C_THROUGH_ESL-1/(B343*C_THROUGH_C)))))</f>
        <v>0</v>
      </c>
      <c r="E343">
        <f>COMPLEX(2*LINE_INPUT_DCR,2*B343*LINE_INPUT_L)</f>
        <v>0</v>
      </c>
      <c r="F343">
        <f>COMPLEX(0,B343*(LINE_INPUT_CLINE+LINE_INPUT_CCHA/2))</f>
        <v>0</v>
      </c>
      <c r="G343">
        <f>IMPRODUCT("2",IMDIV("1",IMSUM(IMDIV("1",COMPLEX(LDM1_DCR,B343*LDM1_L)),COMPLEX(0,B343*LDM1_CPA))))</f>
        <v>0</v>
      </c>
      <c r="H343">
        <f>IMSUM(IMDIV("1",COMPLEX(CX1_ESR,B343*CX1_ESL-1/(B343*CX1_C))),IMDIV("1",IMSUM(COMPLEX(DUMP1_R,0),COMPLEX(DUMP1_ESR,B343*DUMP1_ESL-1/(B343*DUMP1_C)))))</f>
        <v>0</v>
      </c>
      <c r="I343">
        <f>IMPRODUCT("2",IMDIV("1",IMSUM(IMDIV("1",COMPLEX(LDM2_DCR,B343*LDM2_L)),COMPLEX(0,B343*LDM2_CPA))))</f>
        <v>0</v>
      </c>
      <c r="J343">
        <f>IMSUM(IMDIV("1",COMPLEX(CX2_ESR,B343*CX2_ESL-1/(B343*CX2_C))),IMDIV("1",IMSUM(COMPLEX(DUMP2_R,0),COMPLEX(DUMP2_ESR,B343*DUMP2_ESL-1/(B343*DUMP2_C)))))</f>
        <v>0</v>
      </c>
      <c r="K343">
        <f>IMPRODUCT("2",IMDIV("1",IMSUM(IMDIV("1",COMPLEX(CMC_DCR,B343*CMC_L*(1-CMC_K))),COMPLEX(0,B343*CMC_CPA))))</f>
        <v>0</v>
      </c>
      <c r="L343">
        <f>IMSUM(COMPLEX(0,B343*CMC_CLINE),IMDIV("1",IMPRODUCT("2",COMPLEX(CY_ESR,B343*CY_ESL-1/(B343*CY_C)))),COMPLEX(1/DUMMY_R,0))</f>
        <v>0</v>
      </c>
      <c r="M343">
        <f>IMSUM(D343,IMDIV("1",C343))</f>
        <v>0</v>
      </c>
      <c r="N343">
        <f>IMDIV("1",IMSUM(E343,IMDIV("1",M343)))</f>
        <v>0</v>
      </c>
      <c r="O343">
        <f>IMSUM(F343,N343)</f>
        <v>0</v>
      </c>
      <c r="P343">
        <f>IMDIV("1",IMSUM(G343,IMDIV("1",O343)))</f>
        <v>0</v>
      </c>
      <c r="Q343">
        <f>IMSUM(H343,P343)</f>
        <v>0</v>
      </c>
      <c r="R343">
        <f>IMDIV("1",IMSUM(I343,IMDIV("1",Q343)))</f>
        <v>0</v>
      </c>
      <c r="S343">
        <f>IMSUM(J343,R343)</f>
        <v>0</v>
      </c>
      <c r="T343">
        <f>IMDIV("1",IMSUM(K343,IMDIV("1",S343)))</f>
        <v>0</v>
      </c>
      <c r="U343">
        <f>IMSUM(L343,T343)</f>
        <v>0</v>
      </c>
      <c r="V343">
        <f>IMDIV(COMPLEX(I_DM_SOURCE,0),U343)</f>
        <v>0</v>
      </c>
      <c r="W343">
        <f>IMPRODUCT(V343,T343)</f>
        <v>0</v>
      </c>
      <c r="X343">
        <f>IMDIV(W343,S343)</f>
        <v>0</v>
      </c>
      <c r="Y343">
        <f>IMPRODUCT(X343,R343)</f>
        <v>0</v>
      </c>
      <c r="Z343">
        <f>IMDIV(Y343,Q343)</f>
        <v>0</v>
      </c>
      <c r="AA343">
        <f>IMPRODUCT(Z343,P343)</f>
        <v>0</v>
      </c>
      <c r="AB343">
        <f>AA343</f>
        <v>0</v>
      </c>
      <c r="AC343">
        <f>IMPRODUCT("-1",AB343)</f>
        <v>0</v>
      </c>
      <c r="AD343">
        <f>IMDIV(IMSUB(AB343,AC343),"2")</f>
        <v>0</v>
      </c>
      <c r="AE343" s="6">
        <f>IMABS(AB343)</f>
        <v>0</v>
      </c>
      <c r="AF343" s="6">
        <f>IMABS(AC343)</f>
        <v>0</v>
      </c>
      <c r="AG343" s="6">
        <f>IMABS(AD343)</f>
        <v>0</v>
      </c>
      <c r="AH343" s="7">
        <f>20*LOG10(MAX(AE343,1E-300)*1E6)</f>
        <v>0</v>
      </c>
      <c r="AI343" s="7">
        <f>20*LOG10(MAX(AF343,1E-300)*1E6)</f>
        <v>0</v>
      </c>
      <c r="AJ343" s="7">
        <f>20*LOG10(MAX(AG343,1E-300)*1E6)</f>
        <v>0</v>
      </c>
      <c r="AK343" s="7">
        <f>DEGREES(IMARGUMENT(AB343))</f>
        <v>0</v>
      </c>
      <c r="AL343" s="7">
        <f>DEGREES(IMARGUMENT(AC343))</f>
        <v>0</v>
      </c>
      <c r="AM343" s="7">
        <f>DEGREES(IMARGUMENT(AD343))</f>
        <v>0</v>
      </c>
    </row>
    <row r="344" spans="1:39">
      <c r="A344" s="6">
        <f>10^(LOG10(F_START)+(ROW()-ROW($A$2))*(LOG10(F_STOP)-LOG10(F_START))/(N_POINTS-1))</f>
        <v>0</v>
      </c>
      <c r="B344" s="6">
        <f>2*PI()*A344</f>
        <v>0</v>
      </c>
      <c r="C344">
        <f>COMPLEX(2*LINE_PS_DCR,2*B344*LINE_PS_L)</f>
        <v>0</v>
      </c>
      <c r="D344">
        <f>IMSUM(COMPLEX(0,B344*(LINE_PS_CLINE+LINE_PS_CCHA/2)),IMDIV("1",IMPRODUCT("2",COMPLEX(C_THROUGH_ESR,B344*C_THROUGH_ESL-1/(B344*C_THROUGH_C)))))</f>
        <v>0</v>
      </c>
      <c r="E344">
        <f>COMPLEX(2*LINE_INPUT_DCR,2*B344*LINE_INPUT_L)</f>
        <v>0</v>
      </c>
      <c r="F344">
        <f>COMPLEX(0,B344*(LINE_INPUT_CLINE+LINE_INPUT_CCHA/2))</f>
        <v>0</v>
      </c>
      <c r="G344">
        <f>IMPRODUCT("2",IMDIV("1",IMSUM(IMDIV("1",COMPLEX(LDM1_DCR,B344*LDM1_L)),COMPLEX(0,B344*LDM1_CPA))))</f>
        <v>0</v>
      </c>
      <c r="H344">
        <f>IMSUM(IMDIV("1",COMPLEX(CX1_ESR,B344*CX1_ESL-1/(B344*CX1_C))),IMDIV("1",IMSUM(COMPLEX(DUMP1_R,0),COMPLEX(DUMP1_ESR,B344*DUMP1_ESL-1/(B344*DUMP1_C)))))</f>
        <v>0</v>
      </c>
      <c r="I344">
        <f>IMPRODUCT("2",IMDIV("1",IMSUM(IMDIV("1",COMPLEX(LDM2_DCR,B344*LDM2_L)),COMPLEX(0,B344*LDM2_CPA))))</f>
        <v>0</v>
      </c>
      <c r="J344">
        <f>IMSUM(IMDIV("1",COMPLEX(CX2_ESR,B344*CX2_ESL-1/(B344*CX2_C))),IMDIV("1",IMSUM(COMPLEX(DUMP2_R,0),COMPLEX(DUMP2_ESR,B344*DUMP2_ESL-1/(B344*DUMP2_C)))))</f>
        <v>0</v>
      </c>
      <c r="K344">
        <f>IMPRODUCT("2",IMDIV("1",IMSUM(IMDIV("1",COMPLEX(CMC_DCR,B344*CMC_L*(1-CMC_K))),COMPLEX(0,B344*CMC_CPA))))</f>
        <v>0</v>
      </c>
      <c r="L344">
        <f>IMSUM(COMPLEX(0,B344*CMC_CLINE),IMDIV("1",IMPRODUCT("2",COMPLEX(CY_ESR,B344*CY_ESL-1/(B344*CY_C)))),COMPLEX(1/DUMMY_R,0))</f>
        <v>0</v>
      </c>
      <c r="M344">
        <f>IMSUM(D344,IMDIV("1",C344))</f>
        <v>0</v>
      </c>
      <c r="N344">
        <f>IMDIV("1",IMSUM(E344,IMDIV("1",M344)))</f>
        <v>0</v>
      </c>
      <c r="O344">
        <f>IMSUM(F344,N344)</f>
        <v>0</v>
      </c>
      <c r="P344">
        <f>IMDIV("1",IMSUM(G344,IMDIV("1",O344)))</f>
        <v>0</v>
      </c>
      <c r="Q344">
        <f>IMSUM(H344,P344)</f>
        <v>0</v>
      </c>
      <c r="R344">
        <f>IMDIV("1",IMSUM(I344,IMDIV("1",Q344)))</f>
        <v>0</v>
      </c>
      <c r="S344">
        <f>IMSUM(J344,R344)</f>
        <v>0</v>
      </c>
      <c r="T344">
        <f>IMDIV("1",IMSUM(K344,IMDIV("1",S344)))</f>
        <v>0</v>
      </c>
      <c r="U344">
        <f>IMSUM(L344,T344)</f>
        <v>0</v>
      </c>
      <c r="V344">
        <f>IMDIV(COMPLEX(I_DM_SOURCE,0),U344)</f>
        <v>0</v>
      </c>
      <c r="W344">
        <f>IMPRODUCT(V344,T344)</f>
        <v>0</v>
      </c>
      <c r="X344">
        <f>IMDIV(W344,S344)</f>
        <v>0</v>
      </c>
      <c r="Y344">
        <f>IMPRODUCT(X344,R344)</f>
        <v>0</v>
      </c>
      <c r="Z344">
        <f>IMDIV(Y344,Q344)</f>
        <v>0</v>
      </c>
      <c r="AA344">
        <f>IMPRODUCT(Z344,P344)</f>
        <v>0</v>
      </c>
      <c r="AB344">
        <f>AA344</f>
        <v>0</v>
      </c>
      <c r="AC344">
        <f>IMPRODUCT("-1",AB344)</f>
        <v>0</v>
      </c>
      <c r="AD344">
        <f>IMDIV(IMSUB(AB344,AC344),"2")</f>
        <v>0</v>
      </c>
      <c r="AE344" s="6">
        <f>IMABS(AB344)</f>
        <v>0</v>
      </c>
      <c r="AF344" s="6">
        <f>IMABS(AC344)</f>
        <v>0</v>
      </c>
      <c r="AG344" s="6">
        <f>IMABS(AD344)</f>
        <v>0</v>
      </c>
      <c r="AH344" s="7">
        <f>20*LOG10(MAX(AE344,1E-300)*1E6)</f>
        <v>0</v>
      </c>
      <c r="AI344" s="7">
        <f>20*LOG10(MAX(AF344,1E-300)*1E6)</f>
        <v>0</v>
      </c>
      <c r="AJ344" s="7">
        <f>20*LOG10(MAX(AG344,1E-300)*1E6)</f>
        <v>0</v>
      </c>
      <c r="AK344" s="7">
        <f>DEGREES(IMARGUMENT(AB344))</f>
        <v>0</v>
      </c>
      <c r="AL344" s="7">
        <f>DEGREES(IMARGUMENT(AC344))</f>
        <v>0</v>
      </c>
      <c r="AM344" s="7">
        <f>DEGREES(IMARGUMENT(AD344))</f>
        <v>0</v>
      </c>
    </row>
    <row r="345" spans="1:39">
      <c r="A345" s="6">
        <f>10^(LOG10(F_START)+(ROW()-ROW($A$2))*(LOG10(F_STOP)-LOG10(F_START))/(N_POINTS-1))</f>
        <v>0</v>
      </c>
      <c r="B345" s="6">
        <f>2*PI()*A345</f>
        <v>0</v>
      </c>
      <c r="C345">
        <f>COMPLEX(2*LINE_PS_DCR,2*B345*LINE_PS_L)</f>
        <v>0</v>
      </c>
      <c r="D345">
        <f>IMSUM(COMPLEX(0,B345*(LINE_PS_CLINE+LINE_PS_CCHA/2)),IMDIV("1",IMPRODUCT("2",COMPLEX(C_THROUGH_ESR,B345*C_THROUGH_ESL-1/(B345*C_THROUGH_C)))))</f>
        <v>0</v>
      </c>
      <c r="E345">
        <f>COMPLEX(2*LINE_INPUT_DCR,2*B345*LINE_INPUT_L)</f>
        <v>0</v>
      </c>
      <c r="F345">
        <f>COMPLEX(0,B345*(LINE_INPUT_CLINE+LINE_INPUT_CCHA/2))</f>
        <v>0</v>
      </c>
      <c r="G345">
        <f>IMPRODUCT("2",IMDIV("1",IMSUM(IMDIV("1",COMPLEX(LDM1_DCR,B345*LDM1_L)),COMPLEX(0,B345*LDM1_CPA))))</f>
        <v>0</v>
      </c>
      <c r="H345">
        <f>IMSUM(IMDIV("1",COMPLEX(CX1_ESR,B345*CX1_ESL-1/(B345*CX1_C))),IMDIV("1",IMSUM(COMPLEX(DUMP1_R,0),COMPLEX(DUMP1_ESR,B345*DUMP1_ESL-1/(B345*DUMP1_C)))))</f>
        <v>0</v>
      </c>
      <c r="I345">
        <f>IMPRODUCT("2",IMDIV("1",IMSUM(IMDIV("1",COMPLEX(LDM2_DCR,B345*LDM2_L)),COMPLEX(0,B345*LDM2_CPA))))</f>
        <v>0</v>
      </c>
      <c r="J345">
        <f>IMSUM(IMDIV("1",COMPLEX(CX2_ESR,B345*CX2_ESL-1/(B345*CX2_C))),IMDIV("1",IMSUM(COMPLEX(DUMP2_R,0),COMPLEX(DUMP2_ESR,B345*DUMP2_ESL-1/(B345*DUMP2_C)))))</f>
        <v>0</v>
      </c>
      <c r="K345">
        <f>IMPRODUCT("2",IMDIV("1",IMSUM(IMDIV("1",COMPLEX(CMC_DCR,B345*CMC_L*(1-CMC_K))),COMPLEX(0,B345*CMC_CPA))))</f>
        <v>0</v>
      </c>
      <c r="L345">
        <f>IMSUM(COMPLEX(0,B345*CMC_CLINE),IMDIV("1",IMPRODUCT("2",COMPLEX(CY_ESR,B345*CY_ESL-1/(B345*CY_C)))),COMPLEX(1/DUMMY_R,0))</f>
        <v>0</v>
      </c>
      <c r="M345">
        <f>IMSUM(D345,IMDIV("1",C345))</f>
        <v>0</v>
      </c>
      <c r="N345">
        <f>IMDIV("1",IMSUM(E345,IMDIV("1",M345)))</f>
        <v>0</v>
      </c>
      <c r="O345">
        <f>IMSUM(F345,N345)</f>
        <v>0</v>
      </c>
      <c r="P345">
        <f>IMDIV("1",IMSUM(G345,IMDIV("1",O345)))</f>
        <v>0</v>
      </c>
      <c r="Q345">
        <f>IMSUM(H345,P345)</f>
        <v>0</v>
      </c>
      <c r="R345">
        <f>IMDIV("1",IMSUM(I345,IMDIV("1",Q345)))</f>
        <v>0</v>
      </c>
      <c r="S345">
        <f>IMSUM(J345,R345)</f>
        <v>0</v>
      </c>
      <c r="T345">
        <f>IMDIV("1",IMSUM(K345,IMDIV("1",S345)))</f>
        <v>0</v>
      </c>
      <c r="U345">
        <f>IMSUM(L345,T345)</f>
        <v>0</v>
      </c>
      <c r="V345">
        <f>IMDIV(COMPLEX(I_DM_SOURCE,0),U345)</f>
        <v>0</v>
      </c>
      <c r="W345">
        <f>IMPRODUCT(V345,T345)</f>
        <v>0</v>
      </c>
      <c r="X345">
        <f>IMDIV(W345,S345)</f>
        <v>0</v>
      </c>
      <c r="Y345">
        <f>IMPRODUCT(X345,R345)</f>
        <v>0</v>
      </c>
      <c r="Z345">
        <f>IMDIV(Y345,Q345)</f>
        <v>0</v>
      </c>
      <c r="AA345">
        <f>IMPRODUCT(Z345,P345)</f>
        <v>0</v>
      </c>
      <c r="AB345">
        <f>AA345</f>
        <v>0</v>
      </c>
      <c r="AC345">
        <f>IMPRODUCT("-1",AB345)</f>
        <v>0</v>
      </c>
      <c r="AD345">
        <f>IMDIV(IMSUB(AB345,AC345),"2")</f>
        <v>0</v>
      </c>
      <c r="AE345" s="6">
        <f>IMABS(AB345)</f>
        <v>0</v>
      </c>
      <c r="AF345" s="6">
        <f>IMABS(AC345)</f>
        <v>0</v>
      </c>
      <c r="AG345" s="6">
        <f>IMABS(AD345)</f>
        <v>0</v>
      </c>
      <c r="AH345" s="7">
        <f>20*LOG10(MAX(AE345,1E-300)*1E6)</f>
        <v>0</v>
      </c>
      <c r="AI345" s="7">
        <f>20*LOG10(MAX(AF345,1E-300)*1E6)</f>
        <v>0</v>
      </c>
      <c r="AJ345" s="7">
        <f>20*LOG10(MAX(AG345,1E-300)*1E6)</f>
        <v>0</v>
      </c>
      <c r="AK345" s="7">
        <f>DEGREES(IMARGUMENT(AB345))</f>
        <v>0</v>
      </c>
      <c r="AL345" s="7">
        <f>DEGREES(IMARGUMENT(AC345))</f>
        <v>0</v>
      </c>
      <c r="AM345" s="7">
        <f>DEGREES(IMARGUMENT(AD345))</f>
        <v>0</v>
      </c>
    </row>
    <row r="346" spans="1:39">
      <c r="A346" s="6">
        <f>10^(LOG10(F_START)+(ROW()-ROW($A$2))*(LOG10(F_STOP)-LOG10(F_START))/(N_POINTS-1))</f>
        <v>0</v>
      </c>
      <c r="B346" s="6">
        <f>2*PI()*A346</f>
        <v>0</v>
      </c>
      <c r="C346">
        <f>COMPLEX(2*LINE_PS_DCR,2*B346*LINE_PS_L)</f>
        <v>0</v>
      </c>
      <c r="D346">
        <f>IMSUM(COMPLEX(0,B346*(LINE_PS_CLINE+LINE_PS_CCHA/2)),IMDIV("1",IMPRODUCT("2",COMPLEX(C_THROUGH_ESR,B346*C_THROUGH_ESL-1/(B346*C_THROUGH_C)))))</f>
        <v>0</v>
      </c>
      <c r="E346">
        <f>COMPLEX(2*LINE_INPUT_DCR,2*B346*LINE_INPUT_L)</f>
        <v>0</v>
      </c>
      <c r="F346">
        <f>COMPLEX(0,B346*(LINE_INPUT_CLINE+LINE_INPUT_CCHA/2))</f>
        <v>0</v>
      </c>
      <c r="G346">
        <f>IMPRODUCT("2",IMDIV("1",IMSUM(IMDIV("1",COMPLEX(LDM1_DCR,B346*LDM1_L)),COMPLEX(0,B346*LDM1_CPA))))</f>
        <v>0</v>
      </c>
      <c r="H346">
        <f>IMSUM(IMDIV("1",COMPLEX(CX1_ESR,B346*CX1_ESL-1/(B346*CX1_C))),IMDIV("1",IMSUM(COMPLEX(DUMP1_R,0),COMPLEX(DUMP1_ESR,B346*DUMP1_ESL-1/(B346*DUMP1_C)))))</f>
        <v>0</v>
      </c>
      <c r="I346">
        <f>IMPRODUCT("2",IMDIV("1",IMSUM(IMDIV("1",COMPLEX(LDM2_DCR,B346*LDM2_L)),COMPLEX(0,B346*LDM2_CPA))))</f>
        <v>0</v>
      </c>
      <c r="J346">
        <f>IMSUM(IMDIV("1",COMPLEX(CX2_ESR,B346*CX2_ESL-1/(B346*CX2_C))),IMDIV("1",IMSUM(COMPLEX(DUMP2_R,0),COMPLEX(DUMP2_ESR,B346*DUMP2_ESL-1/(B346*DUMP2_C)))))</f>
        <v>0</v>
      </c>
      <c r="K346">
        <f>IMPRODUCT("2",IMDIV("1",IMSUM(IMDIV("1",COMPLEX(CMC_DCR,B346*CMC_L*(1-CMC_K))),COMPLEX(0,B346*CMC_CPA))))</f>
        <v>0</v>
      </c>
      <c r="L346">
        <f>IMSUM(COMPLEX(0,B346*CMC_CLINE),IMDIV("1",IMPRODUCT("2",COMPLEX(CY_ESR,B346*CY_ESL-1/(B346*CY_C)))),COMPLEX(1/DUMMY_R,0))</f>
        <v>0</v>
      </c>
      <c r="M346">
        <f>IMSUM(D346,IMDIV("1",C346))</f>
        <v>0</v>
      </c>
      <c r="N346">
        <f>IMDIV("1",IMSUM(E346,IMDIV("1",M346)))</f>
        <v>0</v>
      </c>
      <c r="O346">
        <f>IMSUM(F346,N346)</f>
        <v>0</v>
      </c>
      <c r="P346">
        <f>IMDIV("1",IMSUM(G346,IMDIV("1",O346)))</f>
        <v>0</v>
      </c>
      <c r="Q346">
        <f>IMSUM(H346,P346)</f>
        <v>0</v>
      </c>
      <c r="R346">
        <f>IMDIV("1",IMSUM(I346,IMDIV("1",Q346)))</f>
        <v>0</v>
      </c>
      <c r="S346">
        <f>IMSUM(J346,R346)</f>
        <v>0</v>
      </c>
      <c r="T346">
        <f>IMDIV("1",IMSUM(K346,IMDIV("1",S346)))</f>
        <v>0</v>
      </c>
      <c r="U346">
        <f>IMSUM(L346,T346)</f>
        <v>0</v>
      </c>
      <c r="V346">
        <f>IMDIV(COMPLEX(I_DM_SOURCE,0),U346)</f>
        <v>0</v>
      </c>
      <c r="W346">
        <f>IMPRODUCT(V346,T346)</f>
        <v>0</v>
      </c>
      <c r="X346">
        <f>IMDIV(W346,S346)</f>
        <v>0</v>
      </c>
      <c r="Y346">
        <f>IMPRODUCT(X346,R346)</f>
        <v>0</v>
      </c>
      <c r="Z346">
        <f>IMDIV(Y346,Q346)</f>
        <v>0</v>
      </c>
      <c r="AA346">
        <f>IMPRODUCT(Z346,P346)</f>
        <v>0</v>
      </c>
      <c r="AB346">
        <f>AA346</f>
        <v>0</v>
      </c>
      <c r="AC346">
        <f>IMPRODUCT("-1",AB346)</f>
        <v>0</v>
      </c>
      <c r="AD346">
        <f>IMDIV(IMSUB(AB346,AC346),"2")</f>
        <v>0</v>
      </c>
      <c r="AE346" s="6">
        <f>IMABS(AB346)</f>
        <v>0</v>
      </c>
      <c r="AF346" s="6">
        <f>IMABS(AC346)</f>
        <v>0</v>
      </c>
      <c r="AG346" s="6">
        <f>IMABS(AD346)</f>
        <v>0</v>
      </c>
      <c r="AH346" s="7">
        <f>20*LOG10(MAX(AE346,1E-300)*1E6)</f>
        <v>0</v>
      </c>
      <c r="AI346" s="7">
        <f>20*LOG10(MAX(AF346,1E-300)*1E6)</f>
        <v>0</v>
      </c>
      <c r="AJ346" s="7">
        <f>20*LOG10(MAX(AG346,1E-300)*1E6)</f>
        <v>0</v>
      </c>
      <c r="AK346" s="7">
        <f>DEGREES(IMARGUMENT(AB346))</f>
        <v>0</v>
      </c>
      <c r="AL346" s="7">
        <f>DEGREES(IMARGUMENT(AC346))</f>
        <v>0</v>
      </c>
      <c r="AM346" s="7">
        <f>DEGREES(IMARGUMENT(AD346))</f>
        <v>0</v>
      </c>
    </row>
    <row r="347" spans="1:39">
      <c r="A347" s="6">
        <f>10^(LOG10(F_START)+(ROW()-ROW($A$2))*(LOG10(F_STOP)-LOG10(F_START))/(N_POINTS-1))</f>
        <v>0</v>
      </c>
      <c r="B347" s="6">
        <f>2*PI()*A347</f>
        <v>0</v>
      </c>
      <c r="C347">
        <f>COMPLEX(2*LINE_PS_DCR,2*B347*LINE_PS_L)</f>
        <v>0</v>
      </c>
      <c r="D347">
        <f>IMSUM(COMPLEX(0,B347*(LINE_PS_CLINE+LINE_PS_CCHA/2)),IMDIV("1",IMPRODUCT("2",COMPLEX(C_THROUGH_ESR,B347*C_THROUGH_ESL-1/(B347*C_THROUGH_C)))))</f>
        <v>0</v>
      </c>
      <c r="E347">
        <f>COMPLEX(2*LINE_INPUT_DCR,2*B347*LINE_INPUT_L)</f>
        <v>0</v>
      </c>
      <c r="F347">
        <f>COMPLEX(0,B347*(LINE_INPUT_CLINE+LINE_INPUT_CCHA/2))</f>
        <v>0</v>
      </c>
      <c r="G347">
        <f>IMPRODUCT("2",IMDIV("1",IMSUM(IMDIV("1",COMPLEX(LDM1_DCR,B347*LDM1_L)),COMPLEX(0,B347*LDM1_CPA))))</f>
        <v>0</v>
      </c>
      <c r="H347">
        <f>IMSUM(IMDIV("1",COMPLEX(CX1_ESR,B347*CX1_ESL-1/(B347*CX1_C))),IMDIV("1",IMSUM(COMPLEX(DUMP1_R,0),COMPLEX(DUMP1_ESR,B347*DUMP1_ESL-1/(B347*DUMP1_C)))))</f>
        <v>0</v>
      </c>
      <c r="I347">
        <f>IMPRODUCT("2",IMDIV("1",IMSUM(IMDIV("1",COMPLEX(LDM2_DCR,B347*LDM2_L)),COMPLEX(0,B347*LDM2_CPA))))</f>
        <v>0</v>
      </c>
      <c r="J347">
        <f>IMSUM(IMDIV("1",COMPLEX(CX2_ESR,B347*CX2_ESL-1/(B347*CX2_C))),IMDIV("1",IMSUM(COMPLEX(DUMP2_R,0),COMPLEX(DUMP2_ESR,B347*DUMP2_ESL-1/(B347*DUMP2_C)))))</f>
        <v>0</v>
      </c>
      <c r="K347">
        <f>IMPRODUCT("2",IMDIV("1",IMSUM(IMDIV("1",COMPLEX(CMC_DCR,B347*CMC_L*(1-CMC_K))),COMPLEX(0,B347*CMC_CPA))))</f>
        <v>0</v>
      </c>
      <c r="L347">
        <f>IMSUM(COMPLEX(0,B347*CMC_CLINE),IMDIV("1",IMPRODUCT("2",COMPLEX(CY_ESR,B347*CY_ESL-1/(B347*CY_C)))),COMPLEX(1/DUMMY_R,0))</f>
        <v>0</v>
      </c>
      <c r="M347">
        <f>IMSUM(D347,IMDIV("1",C347))</f>
        <v>0</v>
      </c>
      <c r="N347">
        <f>IMDIV("1",IMSUM(E347,IMDIV("1",M347)))</f>
        <v>0</v>
      </c>
      <c r="O347">
        <f>IMSUM(F347,N347)</f>
        <v>0</v>
      </c>
      <c r="P347">
        <f>IMDIV("1",IMSUM(G347,IMDIV("1",O347)))</f>
        <v>0</v>
      </c>
      <c r="Q347">
        <f>IMSUM(H347,P347)</f>
        <v>0</v>
      </c>
      <c r="R347">
        <f>IMDIV("1",IMSUM(I347,IMDIV("1",Q347)))</f>
        <v>0</v>
      </c>
      <c r="S347">
        <f>IMSUM(J347,R347)</f>
        <v>0</v>
      </c>
      <c r="T347">
        <f>IMDIV("1",IMSUM(K347,IMDIV("1",S347)))</f>
        <v>0</v>
      </c>
      <c r="U347">
        <f>IMSUM(L347,T347)</f>
        <v>0</v>
      </c>
      <c r="V347">
        <f>IMDIV(COMPLEX(I_DM_SOURCE,0),U347)</f>
        <v>0</v>
      </c>
      <c r="W347">
        <f>IMPRODUCT(V347,T347)</f>
        <v>0</v>
      </c>
      <c r="X347">
        <f>IMDIV(W347,S347)</f>
        <v>0</v>
      </c>
      <c r="Y347">
        <f>IMPRODUCT(X347,R347)</f>
        <v>0</v>
      </c>
      <c r="Z347">
        <f>IMDIV(Y347,Q347)</f>
        <v>0</v>
      </c>
      <c r="AA347">
        <f>IMPRODUCT(Z347,P347)</f>
        <v>0</v>
      </c>
      <c r="AB347">
        <f>AA347</f>
        <v>0</v>
      </c>
      <c r="AC347">
        <f>IMPRODUCT("-1",AB347)</f>
        <v>0</v>
      </c>
      <c r="AD347">
        <f>IMDIV(IMSUB(AB347,AC347),"2")</f>
        <v>0</v>
      </c>
      <c r="AE347" s="6">
        <f>IMABS(AB347)</f>
        <v>0</v>
      </c>
      <c r="AF347" s="6">
        <f>IMABS(AC347)</f>
        <v>0</v>
      </c>
      <c r="AG347" s="6">
        <f>IMABS(AD347)</f>
        <v>0</v>
      </c>
      <c r="AH347" s="7">
        <f>20*LOG10(MAX(AE347,1E-300)*1E6)</f>
        <v>0</v>
      </c>
      <c r="AI347" s="7">
        <f>20*LOG10(MAX(AF347,1E-300)*1E6)</f>
        <v>0</v>
      </c>
      <c r="AJ347" s="7">
        <f>20*LOG10(MAX(AG347,1E-300)*1E6)</f>
        <v>0</v>
      </c>
      <c r="AK347" s="7">
        <f>DEGREES(IMARGUMENT(AB347))</f>
        <v>0</v>
      </c>
      <c r="AL347" s="7">
        <f>DEGREES(IMARGUMENT(AC347))</f>
        <v>0</v>
      </c>
      <c r="AM347" s="7">
        <f>DEGREES(IMARGUMENT(AD347))</f>
        <v>0</v>
      </c>
    </row>
    <row r="348" spans="1:39">
      <c r="A348" s="6">
        <f>10^(LOG10(F_START)+(ROW()-ROW($A$2))*(LOG10(F_STOP)-LOG10(F_START))/(N_POINTS-1))</f>
        <v>0</v>
      </c>
      <c r="B348" s="6">
        <f>2*PI()*A348</f>
        <v>0</v>
      </c>
      <c r="C348">
        <f>COMPLEX(2*LINE_PS_DCR,2*B348*LINE_PS_L)</f>
        <v>0</v>
      </c>
      <c r="D348">
        <f>IMSUM(COMPLEX(0,B348*(LINE_PS_CLINE+LINE_PS_CCHA/2)),IMDIV("1",IMPRODUCT("2",COMPLEX(C_THROUGH_ESR,B348*C_THROUGH_ESL-1/(B348*C_THROUGH_C)))))</f>
        <v>0</v>
      </c>
      <c r="E348">
        <f>COMPLEX(2*LINE_INPUT_DCR,2*B348*LINE_INPUT_L)</f>
        <v>0</v>
      </c>
      <c r="F348">
        <f>COMPLEX(0,B348*(LINE_INPUT_CLINE+LINE_INPUT_CCHA/2))</f>
        <v>0</v>
      </c>
      <c r="G348">
        <f>IMPRODUCT("2",IMDIV("1",IMSUM(IMDIV("1",COMPLEX(LDM1_DCR,B348*LDM1_L)),COMPLEX(0,B348*LDM1_CPA))))</f>
        <v>0</v>
      </c>
      <c r="H348">
        <f>IMSUM(IMDIV("1",COMPLEX(CX1_ESR,B348*CX1_ESL-1/(B348*CX1_C))),IMDIV("1",IMSUM(COMPLEX(DUMP1_R,0),COMPLEX(DUMP1_ESR,B348*DUMP1_ESL-1/(B348*DUMP1_C)))))</f>
        <v>0</v>
      </c>
      <c r="I348">
        <f>IMPRODUCT("2",IMDIV("1",IMSUM(IMDIV("1",COMPLEX(LDM2_DCR,B348*LDM2_L)),COMPLEX(0,B348*LDM2_CPA))))</f>
        <v>0</v>
      </c>
      <c r="J348">
        <f>IMSUM(IMDIV("1",COMPLEX(CX2_ESR,B348*CX2_ESL-1/(B348*CX2_C))),IMDIV("1",IMSUM(COMPLEX(DUMP2_R,0),COMPLEX(DUMP2_ESR,B348*DUMP2_ESL-1/(B348*DUMP2_C)))))</f>
        <v>0</v>
      </c>
      <c r="K348">
        <f>IMPRODUCT("2",IMDIV("1",IMSUM(IMDIV("1",COMPLEX(CMC_DCR,B348*CMC_L*(1-CMC_K))),COMPLEX(0,B348*CMC_CPA))))</f>
        <v>0</v>
      </c>
      <c r="L348">
        <f>IMSUM(COMPLEX(0,B348*CMC_CLINE),IMDIV("1",IMPRODUCT("2",COMPLEX(CY_ESR,B348*CY_ESL-1/(B348*CY_C)))),COMPLEX(1/DUMMY_R,0))</f>
        <v>0</v>
      </c>
      <c r="M348">
        <f>IMSUM(D348,IMDIV("1",C348))</f>
        <v>0</v>
      </c>
      <c r="N348">
        <f>IMDIV("1",IMSUM(E348,IMDIV("1",M348)))</f>
        <v>0</v>
      </c>
      <c r="O348">
        <f>IMSUM(F348,N348)</f>
        <v>0</v>
      </c>
      <c r="P348">
        <f>IMDIV("1",IMSUM(G348,IMDIV("1",O348)))</f>
        <v>0</v>
      </c>
      <c r="Q348">
        <f>IMSUM(H348,P348)</f>
        <v>0</v>
      </c>
      <c r="R348">
        <f>IMDIV("1",IMSUM(I348,IMDIV("1",Q348)))</f>
        <v>0</v>
      </c>
      <c r="S348">
        <f>IMSUM(J348,R348)</f>
        <v>0</v>
      </c>
      <c r="T348">
        <f>IMDIV("1",IMSUM(K348,IMDIV("1",S348)))</f>
        <v>0</v>
      </c>
      <c r="U348">
        <f>IMSUM(L348,T348)</f>
        <v>0</v>
      </c>
      <c r="V348">
        <f>IMDIV(COMPLEX(I_DM_SOURCE,0),U348)</f>
        <v>0</v>
      </c>
      <c r="W348">
        <f>IMPRODUCT(V348,T348)</f>
        <v>0</v>
      </c>
      <c r="X348">
        <f>IMDIV(W348,S348)</f>
        <v>0</v>
      </c>
      <c r="Y348">
        <f>IMPRODUCT(X348,R348)</f>
        <v>0</v>
      </c>
      <c r="Z348">
        <f>IMDIV(Y348,Q348)</f>
        <v>0</v>
      </c>
      <c r="AA348">
        <f>IMPRODUCT(Z348,P348)</f>
        <v>0</v>
      </c>
      <c r="AB348">
        <f>AA348</f>
        <v>0</v>
      </c>
      <c r="AC348">
        <f>IMPRODUCT("-1",AB348)</f>
        <v>0</v>
      </c>
      <c r="AD348">
        <f>IMDIV(IMSUB(AB348,AC348),"2")</f>
        <v>0</v>
      </c>
      <c r="AE348" s="6">
        <f>IMABS(AB348)</f>
        <v>0</v>
      </c>
      <c r="AF348" s="6">
        <f>IMABS(AC348)</f>
        <v>0</v>
      </c>
      <c r="AG348" s="6">
        <f>IMABS(AD348)</f>
        <v>0</v>
      </c>
      <c r="AH348" s="7">
        <f>20*LOG10(MAX(AE348,1E-300)*1E6)</f>
        <v>0</v>
      </c>
      <c r="AI348" s="7">
        <f>20*LOG10(MAX(AF348,1E-300)*1E6)</f>
        <v>0</v>
      </c>
      <c r="AJ348" s="7">
        <f>20*LOG10(MAX(AG348,1E-300)*1E6)</f>
        <v>0</v>
      </c>
      <c r="AK348" s="7">
        <f>DEGREES(IMARGUMENT(AB348))</f>
        <v>0</v>
      </c>
      <c r="AL348" s="7">
        <f>DEGREES(IMARGUMENT(AC348))</f>
        <v>0</v>
      </c>
      <c r="AM348" s="7">
        <f>DEGREES(IMARGUMENT(AD348))</f>
        <v>0</v>
      </c>
    </row>
    <row r="349" spans="1:39">
      <c r="A349" s="6">
        <f>10^(LOG10(F_START)+(ROW()-ROW($A$2))*(LOG10(F_STOP)-LOG10(F_START))/(N_POINTS-1))</f>
        <v>0</v>
      </c>
      <c r="B349" s="6">
        <f>2*PI()*A349</f>
        <v>0</v>
      </c>
      <c r="C349">
        <f>COMPLEX(2*LINE_PS_DCR,2*B349*LINE_PS_L)</f>
        <v>0</v>
      </c>
      <c r="D349">
        <f>IMSUM(COMPLEX(0,B349*(LINE_PS_CLINE+LINE_PS_CCHA/2)),IMDIV("1",IMPRODUCT("2",COMPLEX(C_THROUGH_ESR,B349*C_THROUGH_ESL-1/(B349*C_THROUGH_C)))))</f>
        <v>0</v>
      </c>
      <c r="E349">
        <f>COMPLEX(2*LINE_INPUT_DCR,2*B349*LINE_INPUT_L)</f>
        <v>0</v>
      </c>
      <c r="F349">
        <f>COMPLEX(0,B349*(LINE_INPUT_CLINE+LINE_INPUT_CCHA/2))</f>
        <v>0</v>
      </c>
      <c r="G349">
        <f>IMPRODUCT("2",IMDIV("1",IMSUM(IMDIV("1",COMPLEX(LDM1_DCR,B349*LDM1_L)),COMPLEX(0,B349*LDM1_CPA))))</f>
        <v>0</v>
      </c>
      <c r="H349">
        <f>IMSUM(IMDIV("1",COMPLEX(CX1_ESR,B349*CX1_ESL-1/(B349*CX1_C))),IMDIV("1",IMSUM(COMPLEX(DUMP1_R,0),COMPLEX(DUMP1_ESR,B349*DUMP1_ESL-1/(B349*DUMP1_C)))))</f>
        <v>0</v>
      </c>
      <c r="I349">
        <f>IMPRODUCT("2",IMDIV("1",IMSUM(IMDIV("1",COMPLEX(LDM2_DCR,B349*LDM2_L)),COMPLEX(0,B349*LDM2_CPA))))</f>
        <v>0</v>
      </c>
      <c r="J349">
        <f>IMSUM(IMDIV("1",COMPLEX(CX2_ESR,B349*CX2_ESL-1/(B349*CX2_C))),IMDIV("1",IMSUM(COMPLEX(DUMP2_R,0),COMPLEX(DUMP2_ESR,B349*DUMP2_ESL-1/(B349*DUMP2_C)))))</f>
        <v>0</v>
      </c>
      <c r="K349">
        <f>IMPRODUCT("2",IMDIV("1",IMSUM(IMDIV("1",COMPLEX(CMC_DCR,B349*CMC_L*(1-CMC_K))),COMPLEX(0,B349*CMC_CPA))))</f>
        <v>0</v>
      </c>
      <c r="L349">
        <f>IMSUM(COMPLEX(0,B349*CMC_CLINE),IMDIV("1",IMPRODUCT("2",COMPLEX(CY_ESR,B349*CY_ESL-1/(B349*CY_C)))),COMPLEX(1/DUMMY_R,0))</f>
        <v>0</v>
      </c>
      <c r="M349">
        <f>IMSUM(D349,IMDIV("1",C349))</f>
        <v>0</v>
      </c>
      <c r="N349">
        <f>IMDIV("1",IMSUM(E349,IMDIV("1",M349)))</f>
        <v>0</v>
      </c>
      <c r="O349">
        <f>IMSUM(F349,N349)</f>
        <v>0</v>
      </c>
      <c r="P349">
        <f>IMDIV("1",IMSUM(G349,IMDIV("1",O349)))</f>
        <v>0</v>
      </c>
      <c r="Q349">
        <f>IMSUM(H349,P349)</f>
        <v>0</v>
      </c>
      <c r="R349">
        <f>IMDIV("1",IMSUM(I349,IMDIV("1",Q349)))</f>
        <v>0</v>
      </c>
      <c r="S349">
        <f>IMSUM(J349,R349)</f>
        <v>0</v>
      </c>
      <c r="T349">
        <f>IMDIV("1",IMSUM(K349,IMDIV("1",S349)))</f>
        <v>0</v>
      </c>
      <c r="U349">
        <f>IMSUM(L349,T349)</f>
        <v>0</v>
      </c>
      <c r="V349">
        <f>IMDIV(COMPLEX(I_DM_SOURCE,0),U349)</f>
        <v>0</v>
      </c>
      <c r="W349">
        <f>IMPRODUCT(V349,T349)</f>
        <v>0</v>
      </c>
      <c r="X349">
        <f>IMDIV(W349,S349)</f>
        <v>0</v>
      </c>
      <c r="Y349">
        <f>IMPRODUCT(X349,R349)</f>
        <v>0</v>
      </c>
      <c r="Z349">
        <f>IMDIV(Y349,Q349)</f>
        <v>0</v>
      </c>
      <c r="AA349">
        <f>IMPRODUCT(Z349,P349)</f>
        <v>0</v>
      </c>
      <c r="AB349">
        <f>AA349</f>
        <v>0</v>
      </c>
      <c r="AC349">
        <f>IMPRODUCT("-1",AB349)</f>
        <v>0</v>
      </c>
      <c r="AD349">
        <f>IMDIV(IMSUB(AB349,AC349),"2")</f>
        <v>0</v>
      </c>
      <c r="AE349" s="6">
        <f>IMABS(AB349)</f>
        <v>0</v>
      </c>
      <c r="AF349" s="6">
        <f>IMABS(AC349)</f>
        <v>0</v>
      </c>
      <c r="AG349" s="6">
        <f>IMABS(AD349)</f>
        <v>0</v>
      </c>
      <c r="AH349" s="7">
        <f>20*LOG10(MAX(AE349,1E-300)*1E6)</f>
        <v>0</v>
      </c>
      <c r="AI349" s="7">
        <f>20*LOG10(MAX(AF349,1E-300)*1E6)</f>
        <v>0</v>
      </c>
      <c r="AJ349" s="7">
        <f>20*LOG10(MAX(AG349,1E-300)*1E6)</f>
        <v>0</v>
      </c>
      <c r="AK349" s="7">
        <f>DEGREES(IMARGUMENT(AB349))</f>
        <v>0</v>
      </c>
      <c r="AL349" s="7">
        <f>DEGREES(IMARGUMENT(AC349))</f>
        <v>0</v>
      </c>
      <c r="AM349" s="7">
        <f>DEGREES(IMARGUMENT(AD349))</f>
        <v>0</v>
      </c>
    </row>
    <row r="350" spans="1:39">
      <c r="A350" s="6">
        <f>10^(LOG10(F_START)+(ROW()-ROW($A$2))*(LOG10(F_STOP)-LOG10(F_START))/(N_POINTS-1))</f>
        <v>0</v>
      </c>
      <c r="B350" s="6">
        <f>2*PI()*A350</f>
        <v>0</v>
      </c>
      <c r="C350">
        <f>COMPLEX(2*LINE_PS_DCR,2*B350*LINE_PS_L)</f>
        <v>0</v>
      </c>
      <c r="D350">
        <f>IMSUM(COMPLEX(0,B350*(LINE_PS_CLINE+LINE_PS_CCHA/2)),IMDIV("1",IMPRODUCT("2",COMPLEX(C_THROUGH_ESR,B350*C_THROUGH_ESL-1/(B350*C_THROUGH_C)))))</f>
        <v>0</v>
      </c>
      <c r="E350">
        <f>COMPLEX(2*LINE_INPUT_DCR,2*B350*LINE_INPUT_L)</f>
        <v>0</v>
      </c>
      <c r="F350">
        <f>COMPLEX(0,B350*(LINE_INPUT_CLINE+LINE_INPUT_CCHA/2))</f>
        <v>0</v>
      </c>
      <c r="G350">
        <f>IMPRODUCT("2",IMDIV("1",IMSUM(IMDIV("1",COMPLEX(LDM1_DCR,B350*LDM1_L)),COMPLEX(0,B350*LDM1_CPA))))</f>
        <v>0</v>
      </c>
      <c r="H350">
        <f>IMSUM(IMDIV("1",COMPLEX(CX1_ESR,B350*CX1_ESL-1/(B350*CX1_C))),IMDIV("1",IMSUM(COMPLEX(DUMP1_R,0),COMPLEX(DUMP1_ESR,B350*DUMP1_ESL-1/(B350*DUMP1_C)))))</f>
        <v>0</v>
      </c>
      <c r="I350">
        <f>IMPRODUCT("2",IMDIV("1",IMSUM(IMDIV("1",COMPLEX(LDM2_DCR,B350*LDM2_L)),COMPLEX(0,B350*LDM2_CPA))))</f>
        <v>0</v>
      </c>
      <c r="J350">
        <f>IMSUM(IMDIV("1",COMPLEX(CX2_ESR,B350*CX2_ESL-1/(B350*CX2_C))),IMDIV("1",IMSUM(COMPLEX(DUMP2_R,0),COMPLEX(DUMP2_ESR,B350*DUMP2_ESL-1/(B350*DUMP2_C)))))</f>
        <v>0</v>
      </c>
      <c r="K350">
        <f>IMPRODUCT("2",IMDIV("1",IMSUM(IMDIV("1",COMPLEX(CMC_DCR,B350*CMC_L*(1-CMC_K))),COMPLEX(0,B350*CMC_CPA))))</f>
        <v>0</v>
      </c>
      <c r="L350">
        <f>IMSUM(COMPLEX(0,B350*CMC_CLINE),IMDIV("1",IMPRODUCT("2",COMPLEX(CY_ESR,B350*CY_ESL-1/(B350*CY_C)))),COMPLEX(1/DUMMY_R,0))</f>
        <v>0</v>
      </c>
      <c r="M350">
        <f>IMSUM(D350,IMDIV("1",C350))</f>
        <v>0</v>
      </c>
      <c r="N350">
        <f>IMDIV("1",IMSUM(E350,IMDIV("1",M350)))</f>
        <v>0</v>
      </c>
      <c r="O350">
        <f>IMSUM(F350,N350)</f>
        <v>0</v>
      </c>
      <c r="P350">
        <f>IMDIV("1",IMSUM(G350,IMDIV("1",O350)))</f>
        <v>0</v>
      </c>
      <c r="Q350">
        <f>IMSUM(H350,P350)</f>
        <v>0</v>
      </c>
      <c r="R350">
        <f>IMDIV("1",IMSUM(I350,IMDIV("1",Q350)))</f>
        <v>0</v>
      </c>
      <c r="S350">
        <f>IMSUM(J350,R350)</f>
        <v>0</v>
      </c>
      <c r="T350">
        <f>IMDIV("1",IMSUM(K350,IMDIV("1",S350)))</f>
        <v>0</v>
      </c>
      <c r="U350">
        <f>IMSUM(L350,T350)</f>
        <v>0</v>
      </c>
      <c r="V350">
        <f>IMDIV(COMPLEX(I_DM_SOURCE,0),U350)</f>
        <v>0</v>
      </c>
      <c r="W350">
        <f>IMPRODUCT(V350,T350)</f>
        <v>0</v>
      </c>
      <c r="X350">
        <f>IMDIV(W350,S350)</f>
        <v>0</v>
      </c>
      <c r="Y350">
        <f>IMPRODUCT(X350,R350)</f>
        <v>0</v>
      </c>
      <c r="Z350">
        <f>IMDIV(Y350,Q350)</f>
        <v>0</v>
      </c>
      <c r="AA350">
        <f>IMPRODUCT(Z350,P350)</f>
        <v>0</v>
      </c>
      <c r="AB350">
        <f>AA350</f>
        <v>0</v>
      </c>
      <c r="AC350">
        <f>IMPRODUCT("-1",AB350)</f>
        <v>0</v>
      </c>
      <c r="AD350">
        <f>IMDIV(IMSUB(AB350,AC350),"2")</f>
        <v>0</v>
      </c>
      <c r="AE350" s="6">
        <f>IMABS(AB350)</f>
        <v>0</v>
      </c>
      <c r="AF350" s="6">
        <f>IMABS(AC350)</f>
        <v>0</v>
      </c>
      <c r="AG350" s="6">
        <f>IMABS(AD350)</f>
        <v>0</v>
      </c>
      <c r="AH350" s="7">
        <f>20*LOG10(MAX(AE350,1E-300)*1E6)</f>
        <v>0</v>
      </c>
      <c r="AI350" s="7">
        <f>20*LOG10(MAX(AF350,1E-300)*1E6)</f>
        <v>0</v>
      </c>
      <c r="AJ350" s="7">
        <f>20*LOG10(MAX(AG350,1E-300)*1E6)</f>
        <v>0</v>
      </c>
      <c r="AK350" s="7">
        <f>DEGREES(IMARGUMENT(AB350))</f>
        <v>0</v>
      </c>
      <c r="AL350" s="7">
        <f>DEGREES(IMARGUMENT(AC350))</f>
        <v>0</v>
      </c>
      <c r="AM350" s="7">
        <f>DEGREES(IMARGUMENT(AD350))</f>
        <v>0</v>
      </c>
    </row>
    <row r="351" spans="1:39">
      <c r="A351" s="6">
        <f>10^(LOG10(F_START)+(ROW()-ROW($A$2))*(LOG10(F_STOP)-LOG10(F_START))/(N_POINTS-1))</f>
        <v>0</v>
      </c>
      <c r="B351" s="6">
        <f>2*PI()*A351</f>
        <v>0</v>
      </c>
      <c r="C351">
        <f>COMPLEX(2*LINE_PS_DCR,2*B351*LINE_PS_L)</f>
        <v>0</v>
      </c>
      <c r="D351">
        <f>IMSUM(COMPLEX(0,B351*(LINE_PS_CLINE+LINE_PS_CCHA/2)),IMDIV("1",IMPRODUCT("2",COMPLEX(C_THROUGH_ESR,B351*C_THROUGH_ESL-1/(B351*C_THROUGH_C)))))</f>
        <v>0</v>
      </c>
      <c r="E351">
        <f>COMPLEX(2*LINE_INPUT_DCR,2*B351*LINE_INPUT_L)</f>
        <v>0</v>
      </c>
      <c r="F351">
        <f>COMPLEX(0,B351*(LINE_INPUT_CLINE+LINE_INPUT_CCHA/2))</f>
        <v>0</v>
      </c>
      <c r="G351">
        <f>IMPRODUCT("2",IMDIV("1",IMSUM(IMDIV("1",COMPLEX(LDM1_DCR,B351*LDM1_L)),COMPLEX(0,B351*LDM1_CPA))))</f>
        <v>0</v>
      </c>
      <c r="H351">
        <f>IMSUM(IMDIV("1",COMPLEX(CX1_ESR,B351*CX1_ESL-1/(B351*CX1_C))),IMDIV("1",IMSUM(COMPLEX(DUMP1_R,0),COMPLEX(DUMP1_ESR,B351*DUMP1_ESL-1/(B351*DUMP1_C)))))</f>
        <v>0</v>
      </c>
      <c r="I351">
        <f>IMPRODUCT("2",IMDIV("1",IMSUM(IMDIV("1",COMPLEX(LDM2_DCR,B351*LDM2_L)),COMPLEX(0,B351*LDM2_CPA))))</f>
        <v>0</v>
      </c>
      <c r="J351">
        <f>IMSUM(IMDIV("1",COMPLEX(CX2_ESR,B351*CX2_ESL-1/(B351*CX2_C))),IMDIV("1",IMSUM(COMPLEX(DUMP2_R,0),COMPLEX(DUMP2_ESR,B351*DUMP2_ESL-1/(B351*DUMP2_C)))))</f>
        <v>0</v>
      </c>
      <c r="K351">
        <f>IMPRODUCT("2",IMDIV("1",IMSUM(IMDIV("1",COMPLEX(CMC_DCR,B351*CMC_L*(1-CMC_K))),COMPLEX(0,B351*CMC_CPA))))</f>
        <v>0</v>
      </c>
      <c r="L351">
        <f>IMSUM(COMPLEX(0,B351*CMC_CLINE),IMDIV("1",IMPRODUCT("2",COMPLEX(CY_ESR,B351*CY_ESL-1/(B351*CY_C)))),COMPLEX(1/DUMMY_R,0))</f>
        <v>0</v>
      </c>
      <c r="M351">
        <f>IMSUM(D351,IMDIV("1",C351))</f>
        <v>0</v>
      </c>
      <c r="N351">
        <f>IMDIV("1",IMSUM(E351,IMDIV("1",M351)))</f>
        <v>0</v>
      </c>
      <c r="O351">
        <f>IMSUM(F351,N351)</f>
        <v>0</v>
      </c>
      <c r="P351">
        <f>IMDIV("1",IMSUM(G351,IMDIV("1",O351)))</f>
        <v>0</v>
      </c>
      <c r="Q351">
        <f>IMSUM(H351,P351)</f>
        <v>0</v>
      </c>
      <c r="R351">
        <f>IMDIV("1",IMSUM(I351,IMDIV("1",Q351)))</f>
        <v>0</v>
      </c>
      <c r="S351">
        <f>IMSUM(J351,R351)</f>
        <v>0</v>
      </c>
      <c r="T351">
        <f>IMDIV("1",IMSUM(K351,IMDIV("1",S351)))</f>
        <v>0</v>
      </c>
      <c r="U351">
        <f>IMSUM(L351,T351)</f>
        <v>0</v>
      </c>
      <c r="V351">
        <f>IMDIV(COMPLEX(I_DM_SOURCE,0),U351)</f>
        <v>0</v>
      </c>
      <c r="W351">
        <f>IMPRODUCT(V351,T351)</f>
        <v>0</v>
      </c>
      <c r="X351">
        <f>IMDIV(W351,S351)</f>
        <v>0</v>
      </c>
      <c r="Y351">
        <f>IMPRODUCT(X351,R351)</f>
        <v>0</v>
      </c>
      <c r="Z351">
        <f>IMDIV(Y351,Q351)</f>
        <v>0</v>
      </c>
      <c r="AA351">
        <f>IMPRODUCT(Z351,P351)</f>
        <v>0</v>
      </c>
      <c r="AB351">
        <f>AA351</f>
        <v>0</v>
      </c>
      <c r="AC351">
        <f>IMPRODUCT("-1",AB351)</f>
        <v>0</v>
      </c>
      <c r="AD351">
        <f>IMDIV(IMSUB(AB351,AC351),"2")</f>
        <v>0</v>
      </c>
      <c r="AE351" s="6">
        <f>IMABS(AB351)</f>
        <v>0</v>
      </c>
      <c r="AF351" s="6">
        <f>IMABS(AC351)</f>
        <v>0</v>
      </c>
      <c r="AG351" s="6">
        <f>IMABS(AD351)</f>
        <v>0</v>
      </c>
      <c r="AH351" s="7">
        <f>20*LOG10(MAX(AE351,1E-300)*1E6)</f>
        <v>0</v>
      </c>
      <c r="AI351" s="7">
        <f>20*LOG10(MAX(AF351,1E-300)*1E6)</f>
        <v>0</v>
      </c>
      <c r="AJ351" s="7">
        <f>20*LOG10(MAX(AG351,1E-300)*1E6)</f>
        <v>0</v>
      </c>
      <c r="AK351" s="7">
        <f>DEGREES(IMARGUMENT(AB351))</f>
        <v>0</v>
      </c>
      <c r="AL351" s="7">
        <f>DEGREES(IMARGUMENT(AC351))</f>
        <v>0</v>
      </c>
      <c r="AM351" s="7">
        <f>DEGREES(IMARGUMENT(AD351))</f>
        <v>0</v>
      </c>
    </row>
    <row r="352" spans="1:39">
      <c r="A352" s="6">
        <f>10^(LOG10(F_START)+(ROW()-ROW($A$2))*(LOG10(F_STOP)-LOG10(F_START))/(N_POINTS-1))</f>
        <v>0</v>
      </c>
      <c r="B352" s="6">
        <f>2*PI()*A352</f>
        <v>0</v>
      </c>
      <c r="C352">
        <f>COMPLEX(2*LINE_PS_DCR,2*B352*LINE_PS_L)</f>
        <v>0</v>
      </c>
      <c r="D352">
        <f>IMSUM(COMPLEX(0,B352*(LINE_PS_CLINE+LINE_PS_CCHA/2)),IMDIV("1",IMPRODUCT("2",COMPLEX(C_THROUGH_ESR,B352*C_THROUGH_ESL-1/(B352*C_THROUGH_C)))))</f>
        <v>0</v>
      </c>
      <c r="E352">
        <f>COMPLEX(2*LINE_INPUT_DCR,2*B352*LINE_INPUT_L)</f>
        <v>0</v>
      </c>
      <c r="F352">
        <f>COMPLEX(0,B352*(LINE_INPUT_CLINE+LINE_INPUT_CCHA/2))</f>
        <v>0</v>
      </c>
      <c r="G352">
        <f>IMPRODUCT("2",IMDIV("1",IMSUM(IMDIV("1",COMPLEX(LDM1_DCR,B352*LDM1_L)),COMPLEX(0,B352*LDM1_CPA))))</f>
        <v>0</v>
      </c>
      <c r="H352">
        <f>IMSUM(IMDIV("1",COMPLEX(CX1_ESR,B352*CX1_ESL-1/(B352*CX1_C))),IMDIV("1",IMSUM(COMPLEX(DUMP1_R,0),COMPLEX(DUMP1_ESR,B352*DUMP1_ESL-1/(B352*DUMP1_C)))))</f>
        <v>0</v>
      </c>
      <c r="I352">
        <f>IMPRODUCT("2",IMDIV("1",IMSUM(IMDIV("1",COMPLEX(LDM2_DCR,B352*LDM2_L)),COMPLEX(0,B352*LDM2_CPA))))</f>
        <v>0</v>
      </c>
      <c r="J352">
        <f>IMSUM(IMDIV("1",COMPLEX(CX2_ESR,B352*CX2_ESL-1/(B352*CX2_C))),IMDIV("1",IMSUM(COMPLEX(DUMP2_R,0),COMPLEX(DUMP2_ESR,B352*DUMP2_ESL-1/(B352*DUMP2_C)))))</f>
        <v>0</v>
      </c>
      <c r="K352">
        <f>IMPRODUCT("2",IMDIV("1",IMSUM(IMDIV("1",COMPLEX(CMC_DCR,B352*CMC_L*(1-CMC_K))),COMPLEX(0,B352*CMC_CPA))))</f>
        <v>0</v>
      </c>
      <c r="L352">
        <f>IMSUM(COMPLEX(0,B352*CMC_CLINE),IMDIV("1",IMPRODUCT("2",COMPLEX(CY_ESR,B352*CY_ESL-1/(B352*CY_C)))),COMPLEX(1/DUMMY_R,0))</f>
        <v>0</v>
      </c>
      <c r="M352">
        <f>IMSUM(D352,IMDIV("1",C352))</f>
        <v>0</v>
      </c>
      <c r="N352">
        <f>IMDIV("1",IMSUM(E352,IMDIV("1",M352)))</f>
        <v>0</v>
      </c>
      <c r="O352">
        <f>IMSUM(F352,N352)</f>
        <v>0</v>
      </c>
      <c r="P352">
        <f>IMDIV("1",IMSUM(G352,IMDIV("1",O352)))</f>
        <v>0</v>
      </c>
      <c r="Q352">
        <f>IMSUM(H352,P352)</f>
        <v>0</v>
      </c>
      <c r="R352">
        <f>IMDIV("1",IMSUM(I352,IMDIV("1",Q352)))</f>
        <v>0</v>
      </c>
      <c r="S352">
        <f>IMSUM(J352,R352)</f>
        <v>0</v>
      </c>
      <c r="T352">
        <f>IMDIV("1",IMSUM(K352,IMDIV("1",S352)))</f>
        <v>0</v>
      </c>
      <c r="U352">
        <f>IMSUM(L352,T352)</f>
        <v>0</v>
      </c>
      <c r="V352">
        <f>IMDIV(COMPLEX(I_DM_SOURCE,0),U352)</f>
        <v>0</v>
      </c>
      <c r="W352">
        <f>IMPRODUCT(V352,T352)</f>
        <v>0</v>
      </c>
      <c r="X352">
        <f>IMDIV(W352,S352)</f>
        <v>0</v>
      </c>
      <c r="Y352">
        <f>IMPRODUCT(X352,R352)</f>
        <v>0</v>
      </c>
      <c r="Z352">
        <f>IMDIV(Y352,Q352)</f>
        <v>0</v>
      </c>
      <c r="AA352">
        <f>IMPRODUCT(Z352,P352)</f>
        <v>0</v>
      </c>
      <c r="AB352">
        <f>AA352</f>
        <v>0</v>
      </c>
      <c r="AC352">
        <f>IMPRODUCT("-1",AB352)</f>
        <v>0</v>
      </c>
      <c r="AD352">
        <f>IMDIV(IMSUB(AB352,AC352),"2")</f>
        <v>0</v>
      </c>
      <c r="AE352" s="6">
        <f>IMABS(AB352)</f>
        <v>0</v>
      </c>
      <c r="AF352" s="6">
        <f>IMABS(AC352)</f>
        <v>0</v>
      </c>
      <c r="AG352" s="6">
        <f>IMABS(AD352)</f>
        <v>0</v>
      </c>
      <c r="AH352" s="7">
        <f>20*LOG10(MAX(AE352,1E-300)*1E6)</f>
        <v>0</v>
      </c>
      <c r="AI352" s="7">
        <f>20*LOG10(MAX(AF352,1E-300)*1E6)</f>
        <v>0</v>
      </c>
      <c r="AJ352" s="7">
        <f>20*LOG10(MAX(AG352,1E-300)*1E6)</f>
        <v>0</v>
      </c>
      <c r="AK352" s="7">
        <f>DEGREES(IMARGUMENT(AB352))</f>
        <v>0</v>
      </c>
      <c r="AL352" s="7">
        <f>DEGREES(IMARGUMENT(AC352))</f>
        <v>0</v>
      </c>
      <c r="AM352" s="7">
        <f>DEGREES(IMARGUMENT(AD352))</f>
        <v>0</v>
      </c>
    </row>
    <row r="353" spans="1:39">
      <c r="A353" s="6">
        <f>10^(LOG10(F_START)+(ROW()-ROW($A$2))*(LOG10(F_STOP)-LOG10(F_START))/(N_POINTS-1))</f>
        <v>0</v>
      </c>
      <c r="B353" s="6">
        <f>2*PI()*A353</f>
        <v>0</v>
      </c>
      <c r="C353">
        <f>COMPLEX(2*LINE_PS_DCR,2*B353*LINE_PS_L)</f>
        <v>0</v>
      </c>
      <c r="D353">
        <f>IMSUM(COMPLEX(0,B353*(LINE_PS_CLINE+LINE_PS_CCHA/2)),IMDIV("1",IMPRODUCT("2",COMPLEX(C_THROUGH_ESR,B353*C_THROUGH_ESL-1/(B353*C_THROUGH_C)))))</f>
        <v>0</v>
      </c>
      <c r="E353">
        <f>COMPLEX(2*LINE_INPUT_DCR,2*B353*LINE_INPUT_L)</f>
        <v>0</v>
      </c>
      <c r="F353">
        <f>COMPLEX(0,B353*(LINE_INPUT_CLINE+LINE_INPUT_CCHA/2))</f>
        <v>0</v>
      </c>
      <c r="G353">
        <f>IMPRODUCT("2",IMDIV("1",IMSUM(IMDIV("1",COMPLEX(LDM1_DCR,B353*LDM1_L)),COMPLEX(0,B353*LDM1_CPA))))</f>
        <v>0</v>
      </c>
      <c r="H353">
        <f>IMSUM(IMDIV("1",COMPLEX(CX1_ESR,B353*CX1_ESL-1/(B353*CX1_C))),IMDIV("1",IMSUM(COMPLEX(DUMP1_R,0),COMPLEX(DUMP1_ESR,B353*DUMP1_ESL-1/(B353*DUMP1_C)))))</f>
        <v>0</v>
      </c>
      <c r="I353">
        <f>IMPRODUCT("2",IMDIV("1",IMSUM(IMDIV("1",COMPLEX(LDM2_DCR,B353*LDM2_L)),COMPLEX(0,B353*LDM2_CPA))))</f>
        <v>0</v>
      </c>
      <c r="J353">
        <f>IMSUM(IMDIV("1",COMPLEX(CX2_ESR,B353*CX2_ESL-1/(B353*CX2_C))),IMDIV("1",IMSUM(COMPLEX(DUMP2_R,0),COMPLEX(DUMP2_ESR,B353*DUMP2_ESL-1/(B353*DUMP2_C)))))</f>
        <v>0</v>
      </c>
      <c r="K353">
        <f>IMPRODUCT("2",IMDIV("1",IMSUM(IMDIV("1",COMPLEX(CMC_DCR,B353*CMC_L*(1-CMC_K))),COMPLEX(0,B353*CMC_CPA))))</f>
        <v>0</v>
      </c>
      <c r="L353">
        <f>IMSUM(COMPLEX(0,B353*CMC_CLINE),IMDIV("1",IMPRODUCT("2",COMPLEX(CY_ESR,B353*CY_ESL-1/(B353*CY_C)))),COMPLEX(1/DUMMY_R,0))</f>
        <v>0</v>
      </c>
      <c r="M353">
        <f>IMSUM(D353,IMDIV("1",C353))</f>
        <v>0</v>
      </c>
      <c r="N353">
        <f>IMDIV("1",IMSUM(E353,IMDIV("1",M353)))</f>
        <v>0</v>
      </c>
      <c r="O353">
        <f>IMSUM(F353,N353)</f>
        <v>0</v>
      </c>
      <c r="P353">
        <f>IMDIV("1",IMSUM(G353,IMDIV("1",O353)))</f>
        <v>0</v>
      </c>
      <c r="Q353">
        <f>IMSUM(H353,P353)</f>
        <v>0</v>
      </c>
      <c r="R353">
        <f>IMDIV("1",IMSUM(I353,IMDIV("1",Q353)))</f>
        <v>0</v>
      </c>
      <c r="S353">
        <f>IMSUM(J353,R353)</f>
        <v>0</v>
      </c>
      <c r="T353">
        <f>IMDIV("1",IMSUM(K353,IMDIV("1",S353)))</f>
        <v>0</v>
      </c>
      <c r="U353">
        <f>IMSUM(L353,T353)</f>
        <v>0</v>
      </c>
      <c r="V353">
        <f>IMDIV(COMPLEX(I_DM_SOURCE,0),U353)</f>
        <v>0</v>
      </c>
      <c r="W353">
        <f>IMPRODUCT(V353,T353)</f>
        <v>0</v>
      </c>
      <c r="X353">
        <f>IMDIV(W353,S353)</f>
        <v>0</v>
      </c>
      <c r="Y353">
        <f>IMPRODUCT(X353,R353)</f>
        <v>0</v>
      </c>
      <c r="Z353">
        <f>IMDIV(Y353,Q353)</f>
        <v>0</v>
      </c>
      <c r="AA353">
        <f>IMPRODUCT(Z353,P353)</f>
        <v>0</v>
      </c>
      <c r="AB353">
        <f>AA353</f>
        <v>0</v>
      </c>
      <c r="AC353">
        <f>IMPRODUCT("-1",AB353)</f>
        <v>0</v>
      </c>
      <c r="AD353">
        <f>IMDIV(IMSUB(AB353,AC353),"2")</f>
        <v>0</v>
      </c>
      <c r="AE353" s="6">
        <f>IMABS(AB353)</f>
        <v>0</v>
      </c>
      <c r="AF353" s="6">
        <f>IMABS(AC353)</f>
        <v>0</v>
      </c>
      <c r="AG353" s="6">
        <f>IMABS(AD353)</f>
        <v>0</v>
      </c>
      <c r="AH353" s="7">
        <f>20*LOG10(MAX(AE353,1E-300)*1E6)</f>
        <v>0</v>
      </c>
      <c r="AI353" s="7">
        <f>20*LOG10(MAX(AF353,1E-300)*1E6)</f>
        <v>0</v>
      </c>
      <c r="AJ353" s="7">
        <f>20*LOG10(MAX(AG353,1E-300)*1E6)</f>
        <v>0</v>
      </c>
      <c r="AK353" s="7">
        <f>DEGREES(IMARGUMENT(AB353))</f>
        <v>0</v>
      </c>
      <c r="AL353" s="7">
        <f>DEGREES(IMARGUMENT(AC353))</f>
        <v>0</v>
      </c>
      <c r="AM353" s="7">
        <f>DEGREES(IMARGUMENT(AD353))</f>
        <v>0</v>
      </c>
    </row>
    <row r="354" spans="1:39">
      <c r="A354" s="6">
        <f>10^(LOG10(F_START)+(ROW()-ROW($A$2))*(LOG10(F_STOP)-LOG10(F_START))/(N_POINTS-1))</f>
        <v>0</v>
      </c>
      <c r="B354" s="6">
        <f>2*PI()*A354</f>
        <v>0</v>
      </c>
      <c r="C354">
        <f>COMPLEX(2*LINE_PS_DCR,2*B354*LINE_PS_L)</f>
        <v>0</v>
      </c>
      <c r="D354">
        <f>IMSUM(COMPLEX(0,B354*(LINE_PS_CLINE+LINE_PS_CCHA/2)),IMDIV("1",IMPRODUCT("2",COMPLEX(C_THROUGH_ESR,B354*C_THROUGH_ESL-1/(B354*C_THROUGH_C)))))</f>
        <v>0</v>
      </c>
      <c r="E354">
        <f>COMPLEX(2*LINE_INPUT_DCR,2*B354*LINE_INPUT_L)</f>
        <v>0</v>
      </c>
      <c r="F354">
        <f>COMPLEX(0,B354*(LINE_INPUT_CLINE+LINE_INPUT_CCHA/2))</f>
        <v>0</v>
      </c>
      <c r="G354">
        <f>IMPRODUCT("2",IMDIV("1",IMSUM(IMDIV("1",COMPLEX(LDM1_DCR,B354*LDM1_L)),COMPLEX(0,B354*LDM1_CPA))))</f>
        <v>0</v>
      </c>
      <c r="H354">
        <f>IMSUM(IMDIV("1",COMPLEX(CX1_ESR,B354*CX1_ESL-1/(B354*CX1_C))),IMDIV("1",IMSUM(COMPLEX(DUMP1_R,0),COMPLEX(DUMP1_ESR,B354*DUMP1_ESL-1/(B354*DUMP1_C)))))</f>
        <v>0</v>
      </c>
      <c r="I354">
        <f>IMPRODUCT("2",IMDIV("1",IMSUM(IMDIV("1",COMPLEX(LDM2_DCR,B354*LDM2_L)),COMPLEX(0,B354*LDM2_CPA))))</f>
        <v>0</v>
      </c>
      <c r="J354">
        <f>IMSUM(IMDIV("1",COMPLEX(CX2_ESR,B354*CX2_ESL-1/(B354*CX2_C))),IMDIV("1",IMSUM(COMPLEX(DUMP2_R,0),COMPLEX(DUMP2_ESR,B354*DUMP2_ESL-1/(B354*DUMP2_C)))))</f>
        <v>0</v>
      </c>
      <c r="K354">
        <f>IMPRODUCT("2",IMDIV("1",IMSUM(IMDIV("1",COMPLEX(CMC_DCR,B354*CMC_L*(1-CMC_K))),COMPLEX(0,B354*CMC_CPA))))</f>
        <v>0</v>
      </c>
      <c r="L354">
        <f>IMSUM(COMPLEX(0,B354*CMC_CLINE),IMDIV("1",IMPRODUCT("2",COMPLEX(CY_ESR,B354*CY_ESL-1/(B354*CY_C)))),COMPLEX(1/DUMMY_R,0))</f>
        <v>0</v>
      </c>
      <c r="M354">
        <f>IMSUM(D354,IMDIV("1",C354))</f>
        <v>0</v>
      </c>
      <c r="N354">
        <f>IMDIV("1",IMSUM(E354,IMDIV("1",M354)))</f>
        <v>0</v>
      </c>
      <c r="O354">
        <f>IMSUM(F354,N354)</f>
        <v>0</v>
      </c>
      <c r="P354">
        <f>IMDIV("1",IMSUM(G354,IMDIV("1",O354)))</f>
        <v>0</v>
      </c>
      <c r="Q354">
        <f>IMSUM(H354,P354)</f>
        <v>0</v>
      </c>
      <c r="R354">
        <f>IMDIV("1",IMSUM(I354,IMDIV("1",Q354)))</f>
        <v>0</v>
      </c>
      <c r="S354">
        <f>IMSUM(J354,R354)</f>
        <v>0</v>
      </c>
      <c r="T354">
        <f>IMDIV("1",IMSUM(K354,IMDIV("1",S354)))</f>
        <v>0</v>
      </c>
      <c r="U354">
        <f>IMSUM(L354,T354)</f>
        <v>0</v>
      </c>
      <c r="V354">
        <f>IMDIV(COMPLEX(I_DM_SOURCE,0),U354)</f>
        <v>0</v>
      </c>
      <c r="W354">
        <f>IMPRODUCT(V354,T354)</f>
        <v>0</v>
      </c>
      <c r="X354">
        <f>IMDIV(W354,S354)</f>
        <v>0</v>
      </c>
      <c r="Y354">
        <f>IMPRODUCT(X354,R354)</f>
        <v>0</v>
      </c>
      <c r="Z354">
        <f>IMDIV(Y354,Q354)</f>
        <v>0</v>
      </c>
      <c r="AA354">
        <f>IMPRODUCT(Z354,P354)</f>
        <v>0</v>
      </c>
      <c r="AB354">
        <f>AA354</f>
        <v>0</v>
      </c>
      <c r="AC354">
        <f>IMPRODUCT("-1",AB354)</f>
        <v>0</v>
      </c>
      <c r="AD354">
        <f>IMDIV(IMSUB(AB354,AC354),"2")</f>
        <v>0</v>
      </c>
      <c r="AE354" s="6">
        <f>IMABS(AB354)</f>
        <v>0</v>
      </c>
      <c r="AF354" s="6">
        <f>IMABS(AC354)</f>
        <v>0</v>
      </c>
      <c r="AG354" s="6">
        <f>IMABS(AD354)</f>
        <v>0</v>
      </c>
      <c r="AH354" s="7">
        <f>20*LOG10(MAX(AE354,1E-300)*1E6)</f>
        <v>0</v>
      </c>
      <c r="AI354" s="7">
        <f>20*LOG10(MAX(AF354,1E-300)*1E6)</f>
        <v>0</v>
      </c>
      <c r="AJ354" s="7">
        <f>20*LOG10(MAX(AG354,1E-300)*1E6)</f>
        <v>0</v>
      </c>
      <c r="AK354" s="7">
        <f>DEGREES(IMARGUMENT(AB354))</f>
        <v>0</v>
      </c>
      <c r="AL354" s="7">
        <f>DEGREES(IMARGUMENT(AC354))</f>
        <v>0</v>
      </c>
      <c r="AM354" s="7">
        <f>DEGREES(IMARGUMENT(AD354))</f>
        <v>0</v>
      </c>
    </row>
    <row r="355" spans="1:39">
      <c r="A355" s="6">
        <f>10^(LOG10(F_START)+(ROW()-ROW($A$2))*(LOG10(F_STOP)-LOG10(F_START))/(N_POINTS-1))</f>
        <v>0</v>
      </c>
      <c r="B355" s="6">
        <f>2*PI()*A355</f>
        <v>0</v>
      </c>
      <c r="C355">
        <f>COMPLEX(2*LINE_PS_DCR,2*B355*LINE_PS_L)</f>
        <v>0</v>
      </c>
      <c r="D355">
        <f>IMSUM(COMPLEX(0,B355*(LINE_PS_CLINE+LINE_PS_CCHA/2)),IMDIV("1",IMPRODUCT("2",COMPLEX(C_THROUGH_ESR,B355*C_THROUGH_ESL-1/(B355*C_THROUGH_C)))))</f>
        <v>0</v>
      </c>
      <c r="E355">
        <f>COMPLEX(2*LINE_INPUT_DCR,2*B355*LINE_INPUT_L)</f>
        <v>0</v>
      </c>
      <c r="F355">
        <f>COMPLEX(0,B355*(LINE_INPUT_CLINE+LINE_INPUT_CCHA/2))</f>
        <v>0</v>
      </c>
      <c r="G355">
        <f>IMPRODUCT("2",IMDIV("1",IMSUM(IMDIV("1",COMPLEX(LDM1_DCR,B355*LDM1_L)),COMPLEX(0,B355*LDM1_CPA))))</f>
        <v>0</v>
      </c>
      <c r="H355">
        <f>IMSUM(IMDIV("1",COMPLEX(CX1_ESR,B355*CX1_ESL-1/(B355*CX1_C))),IMDIV("1",IMSUM(COMPLEX(DUMP1_R,0),COMPLEX(DUMP1_ESR,B355*DUMP1_ESL-1/(B355*DUMP1_C)))))</f>
        <v>0</v>
      </c>
      <c r="I355">
        <f>IMPRODUCT("2",IMDIV("1",IMSUM(IMDIV("1",COMPLEX(LDM2_DCR,B355*LDM2_L)),COMPLEX(0,B355*LDM2_CPA))))</f>
        <v>0</v>
      </c>
      <c r="J355">
        <f>IMSUM(IMDIV("1",COMPLEX(CX2_ESR,B355*CX2_ESL-1/(B355*CX2_C))),IMDIV("1",IMSUM(COMPLEX(DUMP2_R,0),COMPLEX(DUMP2_ESR,B355*DUMP2_ESL-1/(B355*DUMP2_C)))))</f>
        <v>0</v>
      </c>
      <c r="K355">
        <f>IMPRODUCT("2",IMDIV("1",IMSUM(IMDIV("1",COMPLEX(CMC_DCR,B355*CMC_L*(1-CMC_K))),COMPLEX(0,B355*CMC_CPA))))</f>
        <v>0</v>
      </c>
      <c r="L355">
        <f>IMSUM(COMPLEX(0,B355*CMC_CLINE),IMDIV("1",IMPRODUCT("2",COMPLEX(CY_ESR,B355*CY_ESL-1/(B355*CY_C)))),COMPLEX(1/DUMMY_R,0))</f>
        <v>0</v>
      </c>
      <c r="M355">
        <f>IMSUM(D355,IMDIV("1",C355))</f>
        <v>0</v>
      </c>
      <c r="N355">
        <f>IMDIV("1",IMSUM(E355,IMDIV("1",M355)))</f>
        <v>0</v>
      </c>
      <c r="O355">
        <f>IMSUM(F355,N355)</f>
        <v>0</v>
      </c>
      <c r="P355">
        <f>IMDIV("1",IMSUM(G355,IMDIV("1",O355)))</f>
        <v>0</v>
      </c>
      <c r="Q355">
        <f>IMSUM(H355,P355)</f>
        <v>0</v>
      </c>
      <c r="R355">
        <f>IMDIV("1",IMSUM(I355,IMDIV("1",Q355)))</f>
        <v>0</v>
      </c>
      <c r="S355">
        <f>IMSUM(J355,R355)</f>
        <v>0</v>
      </c>
      <c r="T355">
        <f>IMDIV("1",IMSUM(K355,IMDIV("1",S355)))</f>
        <v>0</v>
      </c>
      <c r="U355">
        <f>IMSUM(L355,T355)</f>
        <v>0</v>
      </c>
      <c r="V355">
        <f>IMDIV(COMPLEX(I_DM_SOURCE,0),U355)</f>
        <v>0</v>
      </c>
      <c r="W355">
        <f>IMPRODUCT(V355,T355)</f>
        <v>0</v>
      </c>
      <c r="X355">
        <f>IMDIV(W355,S355)</f>
        <v>0</v>
      </c>
      <c r="Y355">
        <f>IMPRODUCT(X355,R355)</f>
        <v>0</v>
      </c>
      <c r="Z355">
        <f>IMDIV(Y355,Q355)</f>
        <v>0</v>
      </c>
      <c r="AA355">
        <f>IMPRODUCT(Z355,P355)</f>
        <v>0</v>
      </c>
      <c r="AB355">
        <f>AA355</f>
        <v>0</v>
      </c>
      <c r="AC355">
        <f>IMPRODUCT("-1",AB355)</f>
        <v>0</v>
      </c>
      <c r="AD355">
        <f>IMDIV(IMSUB(AB355,AC355),"2")</f>
        <v>0</v>
      </c>
      <c r="AE355" s="6">
        <f>IMABS(AB355)</f>
        <v>0</v>
      </c>
      <c r="AF355" s="6">
        <f>IMABS(AC355)</f>
        <v>0</v>
      </c>
      <c r="AG355" s="6">
        <f>IMABS(AD355)</f>
        <v>0</v>
      </c>
      <c r="AH355" s="7">
        <f>20*LOG10(MAX(AE355,1E-300)*1E6)</f>
        <v>0</v>
      </c>
      <c r="AI355" s="7">
        <f>20*LOG10(MAX(AF355,1E-300)*1E6)</f>
        <v>0</v>
      </c>
      <c r="AJ355" s="7">
        <f>20*LOG10(MAX(AG355,1E-300)*1E6)</f>
        <v>0</v>
      </c>
      <c r="AK355" s="7">
        <f>DEGREES(IMARGUMENT(AB355))</f>
        <v>0</v>
      </c>
      <c r="AL355" s="7">
        <f>DEGREES(IMARGUMENT(AC355))</f>
        <v>0</v>
      </c>
      <c r="AM355" s="7">
        <f>DEGREES(IMARGUMENT(AD355))</f>
        <v>0</v>
      </c>
    </row>
    <row r="356" spans="1:39">
      <c r="A356" s="6">
        <f>10^(LOG10(F_START)+(ROW()-ROW($A$2))*(LOG10(F_STOP)-LOG10(F_START))/(N_POINTS-1))</f>
        <v>0</v>
      </c>
      <c r="B356" s="6">
        <f>2*PI()*A356</f>
        <v>0</v>
      </c>
      <c r="C356">
        <f>COMPLEX(2*LINE_PS_DCR,2*B356*LINE_PS_L)</f>
        <v>0</v>
      </c>
      <c r="D356">
        <f>IMSUM(COMPLEX(0,B356*(LINE_PS_CLINE+LINE_PS_CCHA/2)),IMDIV("1",IMPRODUCT("2",COMPLEX(C_THROUGH_ESR,B356*C_THROUGH_ESL-1/(B356*C_THROUGH_C)))))</f>
        <v>0</v>
      </c>
      <c r="E356">
        <f>COMPLEX(2*LINE_INPUT_DCR,2*B356*LINE_INPUT_L)</f>
        <v>0</v>
      </c>
      <c r="F356">
        <f>COMPLEX(0,B356*(LINE_INPUT_CLINE+LINE_INPUT_CCHA/2))</f>
        <v>0</v>
      </c>
      <c r="G356">
        <f>IMPRODUCT("2",IMDIV("1",IMSUM(IMDIV("1",COMPLEX(LDM1_DCR,B356*LDM1_L)),COMPLEX(0,B356*LDM1_CPA))))</f>
        <v>0</v>
      </c>
      <c r="H356">
        <f>IMSUM(IMDIV("1",COMPLEX(CX1_ESR,B356*CX1_ESL-1/(B356*CX1_C))),IMDIV("1",IMSUM(COMPLEX(DUMP1_R,0),COMPLEX(DUMP1_ESR,B356*DUMP1_ESL-1/(B356*DUMP1_C)))))</f>
        <v>0</v>
      </c>
      <c r="I356">
        <f>IMPRODUCT("2",IMDIV("1",IMSUM(IMDIV("1",COMPLEX(LDM2_DCR,B356*LDM2_L)),COMPLEX(0,B356*LDM2_CPA))))</f>
        <v>0</v>
      </c>
      <c r="J356">
        <f>IMSUM(IMDIV("1",COMPLEX(CX2_ESR,B356*CX2_ESL-1/(B356*CX2_C))),IMDIV("1",IMSUM(COMPLEX(DUMP2_R,0),COMPLEX(DUMP2_ESR,B356*DUMP2_ESL-1/(B356*DUMP2_C)))))</f>
        <v>0</v>
      </c>
      <c r="K356">
        <f>IMPRODUCT("2",IMDIV("1",IMSUM(IMDIV("1",COMPLEX(CMC_DCR,B356*CMC_L*(1-CMC_K))),COMPLEX(0,B356*CMC_CPA))))</f>
        <v>0</v>
      </c>
      <c r="L356">
        <f>IMSUM(COMPLEX(0,B356*CMC_CLINE),IMDIV("1",IMPRODUCT("2",COMPLEX(CY_ESR,B356*CY_ESL-1/(B356*CY_C)))),COMPLEX(1/DUMMY_R,0))</f>
        <v>0</v>
      </c>
      <c r="M356">
        <f>IMSUM(D356,IMDIV("1",C356))</f>
        <v>0</v>
      </c>
      <c r="N356">
        <f>IMDIV("1",IMSUM(E356,IMDIV("1",M356)))</f>
        <v>0</v>
      </c>
      <c r="O356">
        <f>IMSUM(F356,N356)</f>
        <v>0</v>
      </c>
      <c r="P356">
        <f>IMDIV("1",IMSUM(G356,IMDIV("1",O356)))</f>
        <v>0</v>
      </c>
      <c r="Q356">
        <f>IMSUM(H356,P356)</f>
        <v>0</v>
      </c>
      <c r="R356">
        <f>IMDIV("1",IMSUM(I356,IMDIV("1",Q356)))</f>
        <v>0</v>
      </c>
      <c r="S356">
        <f>IMSUM(J356,R356)</f>
        <v>0</v>
      </c>
      <c r="T356">
        <f>IMDIV("1",IMSUM(K356,IMDIV("1",S356)))</f>
        <v>0</v>
      </c>
      <c r="U356">
        <f>IMSUM(L356,T356)</f>
        <v>0</v>
      </c>
      <c r="V356">
        <f>IMDIV(COMPLEX(I_DM_SOURCE,0),U356)</f>
        <v>0</v>
      </c>
      <c r="W356">
        <f>IMPRODUCT(V356,T356)</f>
        <v>0</v>
      </c>
      <c r="X356">
        <f>IMDIV(W356,S356)</f>
        <v>0</v>
      </c>
      <c r="Y356">
        <f>IMPRODUCT(X356,R356)</f>
        <v>0</v>
      </c>
      <c r="Z356">
        <f>IMDIV(Y356,Q356)</f>
        <v>0</v>
      </c>
      <c r="AA356">
        <f>IMPRODUCT(Z356,P356)</f>
        <v>0</v>
      </c>
      <c r="AB356">
        <f>AA356</f>
        <v>0</v>
      </c>
      <c r="AC356">
        <f>IMPRODUCT("-1",AB356)</f>
        <v>0</v>
      </c>
      <c r="AD356">
        <f>IMDIV(IMSUB(AB356,AC356),"2")</f>
        <v>0</v>
      </c>
      <c r="AE356" s="6">
        <f>IMABS(AB356)</f>
        <v>0</v>
      </c>
      <c r="AF356" s="6">
        <f>IMABS(AC356)</f>
        <v>0</v>
      </c>
      <c r="AG356" s="6">
        <f>IMABS(AD356)</f>
        <v>0</v>
      </c>
      <c r="AH356" s="7">
        <f>20*LOG10(MAX(AE356,1E-300)*1E6)</f>
        <v>0</v>
      </c>
      <c r="AI356" s="7">
        <f>20*LOG10(MAX(AF356,1E-300)*1E6)</f>
        <v>0</v>
      </c>
      <c r="AJ356" s="7">
        <f>20*LOG10(MAX(AG356,1E-300)*1E6)</f>
        <v>0</v>
      </c>
      <c r="AK356" s="7">
        <f>DEGREES(IMARGUMENT(AB356))</f>
        <v>0</v>
      </c>
      <c r="AL356" s="7">
        <f>DEGREES(IMARGUMENT(AC356))</f>
        <v>0</v>
      </c>
      <c r="AM356" s="7">
        <f>DEGREES(IMARGUMENT(AD356))</f>
        <v>0</v>
      </c>
    </row>
    <row r="357" spans="1:39">
      <c r="A357" s="6">
        <f>10^(LOG10(F_START)+(ROW()-ROW($A$2))*(LOG10(F_STOP)-LOG10(F_START))/(N_POINTS-1))</f>
        <v>0</v>
      </c>
      <c r="B357" s="6">
        <f>2*PI()*A357</f>
        <v>0</v>
      </c>
      <c r="C357">
        <f>COMPLEX(2*LINE_PS_DCR,2*B357*LINE_PS_L)</f>
        <v>0</v>
      </c>
      <c r="D357">
        <f>IMSUM(COMPLEX(0,B357*(LINE_PS_CLINE+LINE_PS_CCHA/2)),IMDIV("1",IMPRODUCT("2",COMPLEX(C_THROUGH_ESR,B357*C_THROUGH_ESL-1/(B357*C_THROUGH_C)))))</f>
        <v>0</v>
      </c>
      <c r="E357">
        <f>COMPLEX(2*LINE_INPUT_DCR,2*B357*LINE_INPUT_L)</f>
        <v>0</v>
      </c>
      <c r="F357">
        <f>COMPLEX(0,B357*(LINE_INPUT_CLINE+LINE_INPUT_CCHA/2))</f>
        <v>0</v>
      </c>
      <c r="G357">
        <f>IMPRODUCT("2",IMDIV("1",IMSUM(IMDIV("1",COMPLEX(LDM1_DCR,B357*LDM1_L)),COMPLEX(0,B357*LDM1_CPA))))</f>
        <v>0</v>
      </c>
      <c r="H357">
        <f>IMSUM(IMDIV("1",COMPLEX(CX1_ESR,B357*CX1_ESL-1/(B357*CX1_C))),IMDIV("1",IMSUM(COMPLEX(DUMP1_R,0),COMPLEX(DUMP1_ESR,B357*DUMP1_ESL-1/(B357*DUMP1_C)))))</f>
        <v>0</v>
      </c>
      <c r="I357">
        <f>IMPRODUCT("2",IMDIV("1",IMSUM(IMDIV("1",COMPLEX(LDM2_DCR,B357*LDM2_L)),COMPLEX(0,B357*LDM2_CPA))))</f>
        <v>0</v>
      </c>
      <c r="J357">
        <f>IMSUM(IMDIV("1",COMPLEX(CX2_ESR,B357*CX2_ESL-1/(B357*CX2_C))),IMDIV("1",IMSUM(COMPLEX(DUMP2_R,0),COMPLEX(DUMP2_ESR,B357*DUMP2_ESL-1/(B357*DUMP2_C)))))</f>
        <v>0</v>
      </c>
      <c r="K357">
        <f>IMPRODUCT("2",IMDIV("1",IMSUM(IMDIV("1",COMPLEX(CMC_DCR,B357*CMC_L*(1-CMC_K))),COMPLEX(0,B357*CMC_CPA))))</f>
        <v>0</v>
      </c>
      <c r="L357">
        <f>IMSUM(COMPLEX(0,B357*CMC_CLINE),IMDIV("1",IMPRODUCT("2",COMPLEX(CY_ESR,B357*CY_ESL-1/(B357*CY_C)))),COMPLEX(1/DUMMY_R,0))</f>
        <v>0</v>
      </c>
      <c r="M357">
        <f>IMSUM(D357,IMDIV("1",C357))</f>
        <v>0</v>
      </c>
      <c r="N357">
        <f>IMDIV("1",IMSUM(E357,IMDIV("1",M357)))</f>
        <v>0</v>
      </c>
      <c r="O357">
        <f>IMSUM(F357,N357)</f>
        <v>0</v>
      </c>
      <c r="P357">
        <f>IMDIV("1",IMSUM(G357,IMDIV("1",O357)))</f>
        <v>0</v>
      </c>
      <c r="Q357">
        <f>IMSUM(H357,P357)</f>
        <v>0</v>
      </c>
      <c r="R357">
        <f>IMDIV("1",IMSUM(I357,IMDIV("1",Q357)))</f>
        <v>0</v>
      </c>
      <c r="S357">
        <f>IMSUM(J357,R357)</f>
        <v>0</v>
      </c>
      <c r="T357">
        <f>IMDIV("1",IMSUM(K357,IMDIV("1",S357)))</f>
        <v>0</v>
      </c>
      <c r="U357">
        <f>IMSUM(L357,T357)</f>
        <v>0</v>
      </c>
      <c r="V357">
        <f>IMDIV(COMPLEX(I_DM_SOURCE,0),U357)</f>
        <v>0</v>
      </c>
      <c r="W357">
        <f>IMPRODUCT(V357,T357)</f>
        <v>0</v>
      </c>
      <c r="X357">
        <f>IMDIV(W357,S357)</f>
        <v>0</v>
      </c>
      <c r="Y357">
        <f>IMPRODUCT(X357,R357)</f>
        <v>0</v>
      </c>
      <c r="Z357">
        <f>IMDIV(Y357,Q357)</f>
        <v>0</v>
      </c>
      <c r="AA357">
        <f>IMPRODUCT(Z357,P357)</f>
        <v>0</v>
      </c>
      <c r="AB357">
        <f>AA357</f>
        <v>0</v>
      </c>
      <c r="AC357">
        <f>IMPRODUCT("-1",AB357)</f>
        <v>0</v>
      </c>
      <c r="AD357">
        <f>IMDIV(IMSUB(AB357,AC357),"2")</f>
        <v>0</v>
      </c>
      <c r="AE357" s="6">
        <f>IMABS(AB357)</f>
        <v>0</v>
      </c>
      <c r="AF357" s="6">
        <f>IMABS(AC357)</f>
        <v>0</v>
      </c>
      <c r="AG357" s="6">
        <f>IMABS(AD357)</f>
        <v>0</v>
      </c>
      <c r="AH357" s="7">
        <f>20*LOG10(MAX(AE357,1E-300)*1E6)</f>
        <v>0</v>
      </c>
      <c r="AI357" s="7">
        <f>20*LOG10(MAX(AF357,1E-300)*1E6)</f>
        <v>0</v>
      </c>
      <c r="AJ357" s="7">
        <f>20*LOG10(MAX(AG357,1E-300)*1E6)</f>
        <v>0</v>
      </c>
      <c r="AK357" s="7">
        <f>DEGREES(IMARGUMENT(AB357))</f>
        <v>0</v>
      </c>
      <c r="AL357" s="7">
        <f>DEGREES(IMARGUMENT(AC357))</f>
        <v>0</v>
      </c>
      <c r="AM357" s="7">
        <f>DEGREES(IMARGUMENT(AD357))</f>
        <v>0</v>
      </c>
    </row>
    <row r="358" spans="1:39">
      <c r="A358" s="6">
        <f>10^(LOG10(F_START)+(ROW()-ROW($A$2))*(LOG10(F_STOP)-LOG10(F_START))/(N_POINTS-1))</f>
        <v>0</v>
      </c>
      <c r="B358" s="6">
        <f>2*PI()*A358</f>
        <v>0</v>
      </c>
      <c r="C358">
        <f>COMPLEX(2*LINE_PS_DCR,2*B358*LINE_PS_L)</f>
        <v>0</v>
      </c>
      <c r="D358">
        <f>IMSUM(COMPLEX(0,B358*(LINE_PS_CLINE+LINE_PS_CCHA/2)),IMDIV("1",IMPRODUCT("2",COMPLEX(C_THROUGH_ESR,B358*C_THROUGH_ESL-1/(B358*C_THROUGH_C)))))</f>
        <v>0</v>
      </c>
      <c r="E358">
        <f>COMPLEX(2*LINE_INPUT_DCR,2*B358*LINE_INPUT_L)</f>
        <v>0</v>
      </c>
      <c r="F358">
        <f>COMPLEX(0,B358*(LINE_INPUT_CLINE+LINE_INPUT_CCHA/2))</f>
        <v>0</v>
      </c>
      <c r="G358">
        <f>IMPRODUCT("2",IMDIV("1",IMSUM(IMDIV("1",COMPLEX(LDM1_DCR,B358*LDM1_L)),COMPLEX(0,B358*LDM1_CPA))))</f>
        <v>0</v>
      </c>
      <c r="H358">
        <f>IMSUM(IMDIV("1",COMPLEX(CX1_ESR,B358*CX1_ESL-1/(B358*CX1_C))),IMDIV("1",IMSUM(COMPLEX(DUMP1_R,0),COMPLEX(DUMP1_ESR,B358*DUMP1_ESL-1/(B358*DUMP1_C)))))</f>
        <v>0</v>
      </c>
      <c r="I358">
        <f>IMPRODUCT("2",IMDIV("1",IMSUM(IMDIV("1",COMPLEX(LDM2_DCR,B358*LDM2_L)),COMPLEX(0,B358*LDM2_CPA))))</f>
        <v>0</v>
      </c>
      <c r="J358">
        <f>IMSUM(IMDIV("1",COMPLEX(CX2_ESR,B358*CX2_ESL-1/(B358*CX2_C))),IMDIV("1",IMSUM(COMPLEX(DUMP2_R,0),COMPLEX(DUMP2_ESR,B358*DUMP2_ESL-1/(B358*DUMP2_C)))))</f>
        <v>0</v>
      </c>
      <c r="K358">
        <f>IMPRODUCT("2",IMDIV("1",IMSUM(IMDIV("1",COMPLEX(CMC_DCR,B358*CMC_L*(1-CMC_K))),COMPLEX(0,B358*CMC_CPA))))</f>
        <v>0</v>
      </c>
      <c r="L358">
        <f>IMSUM(COMPLEX(0,B358*CMC_CLINE),IMDIV("1",IMPRODUCT("2",COMPLEX(CY_ESR,B358*CY_ESL-1/(B358*CY_C)))),COMPLEX(1/DUMMY_R,0))</f>
        <v>0</v>
      </c>
      <c r="M358">
        <f>IMSUM(D358,IMDIV("1",C358))</f>
        <v>0</v>
      </c>
      <c r="N358">
        <f>IMDIV("1",IMSUM(E358,IMDIV("1",M358)))</f>
        <v>0</v>
      </c>
      <c r="O358">
        <f>IMSUM(F358,N358)</f>
        <v>0</v>
      </c>
      <c r="P358">
        <f>IMDIV("1",IMSUM(G358,IMDIV("1",O358)))</f>
        <v>0</v>
      </c>
      <c r="Q358">
        <f>IMSUM(H358,P358)</f>
        <v>0</v>
      </c>
      <c r="R358">
        <f>IMDIV("1",IMSUM(I358,IMDIV("1",Q358)))</f>
        <v>0</v>
      </c>
      <c r="S358">
        <f>IMSUM(J358,R358)</f>
        <v>0</v>
      </c>
      <c r="T358">
        <f>IMDIV("1",IMSUM(K358,IMDIV("1",S358)))</f>
        <v>0</v>
      </c>
      <c r="U358">
        <f>IMSUM(L358,T358)</f>
        <v>0</v>
      </c>
      <c r="V358">
        <f>IMDIV(COMPLEX(I_DM_SOURCE,0),U358)</f>
        <v>0</v>
      </c>
      <c r="W358">
        <f>IMPRODUCT(V358,T358)</f>
        <v>0</v>
      </c>
      <c r="X358">
        <f>IMDIV(W358,S358)</f>
        <v>0</v>
      </c>
      <c r="Y358">
        <f>IMPRODUCT(X358,R358)</f>
        <v>0</v>
      </c>
      <c r="Z358">
        <f>IMDIV(Y358,Q358)</f>
        <v>0</v>
      </c>
      <c r="AA358">
        <f>IMPRODUCT(Z358,P358)</f>
        <v>0</v>
      </c>
      <c r="AB358">
        <f>AA358</f>
        <v>0</v>
      </c>
      <c r="AC358">
        <f>IMPRODUCT("-1",AB358)</f>
        <v>0</v>
      </c>
      <c r="AD358">
        <f>IMDIV(IMSUB(AB358,AC358),"2")</f>
        <v>0</v>
      </c>
      <c r="AE358" s="6">
        <f>IMABS(AB358)</f>
        <v>0</v>
      </c>
      <c r="AF358" s="6">
        <f>IMABS(AC358)</f>
        <v>0</v>
      </c>
      <c r="AG358" s="6">
        <f>IMABS(AD358)</f>
        <v>0</v>
      </c>
      <c r="AH358" s="7">
        <f>20*LOG10(MAX(AE358,1E-300)*1E6)</f>
        <v>0</v>
      </c>
      <c r="AI358" s="7">
        <f>20*LOG10(MAX(AF358,1E-300)*1E6)</f>
        <v>0</v>
      </c>
      <c r="AJ358" s="7">
        <f>20*LOG10(MAX(AG358,1E-300)*1E6)</f>
        <v>0</v>
      </c>
      <c r="AK358" s="7">
        <f>DEGREES(IMARGUMENT(AB358))</f>
        <v>0</v>
      </c>
      <c r="AL358" s="7">
        <f>DEGREES(IMARGUMENT(AC358))</f>
        <v>0</v>
      </c>
      <c r="AM358" s="7">
        <f>DEGREES(IMARGUMENT(AD358))</f>
        <v>0</v>
      </c>
    </row>
    <row r="359" spans="1:39">
      <c r="A359" s="6">
        <f>10^(LOG10(F_START)+(ROW()-ROW($A$2))*(LOG10(F_STOP)-LOG10(F_START))/(N_POINTS-1))</f>
        <v>0</v>
      </c>
      <c r="B359" s="6">
        <f>2*PI()*A359</f>
        <v>0</v>
      </c>
      <c r="C359">
        <f>COMPLEX(2*LINE_PS_DCR,2*B359*LINE_PS_L)</f>
        <v>0</v>
      </c>
      <c r="D359">
        <f>IMSUM(COMPLEX(0,B359*(LINE_PS_CLINE+LINE_PS_CCHA/2)),IMDIV("1",IMPRODUCT("2",COMPLEX(C_THROUGH_ESR,B359*C_THROUGH_ESL-1/(B359*C_THROUGH_C)))))</f>
        <v>0</v>
      </c>
      <c r="E359">
        <f>COMPLEX(2*LINE_INPUT_DCR,2*B359*LINE_INPUT_L)</f>
        <v>0</v>
      </c>
      <c r="F359">
        <f>COMPLEX(0,B359*(LINE_INPUT_CLINE+LINE_INPUT_CCHA/2))</f>
        <v>0</v>
      </c>
      <c r="G359">
        <f>IMPRODUCT("2",IMDIV("1",IMSUM(IMDIV("1",COMPLEX(LDM1_DCR,B359*LDM1_L)),COMPLEX(0,B359*LDM1_CPA))))</f>
        <v>0</v>
      </c>
      <c r="H359">
        <f>IMSUM(IMDIV("1",COMPLEX(CX1_ESR,B359*CX1_ESL-1/(B359*CX1_C))),IMDIV("1",IMSUM(COMPLEX(DUMP1_R,0),COMPLEX(DUMP1_ESR,B359*DUMP1_ESL-1/(B359*DUMP1_C)))))</f>
        <v>0</v>
      </c>
      <c r="I359">
        <f>IMPRODUCT("2",IMDIV("1",IMSUM(IMDIV("1",COMPLEX(LDM2_DCR,B359*LDM2_L)),COMPLEX(0,B359*LDM2_CPA))))</f>
        <v>0</v>
      </c>
      <c r="J359">
        <f>IMSUM(IMDIV("1",COMPLEX(CX2_ESR,B359*CX2_ESL-1/(B359*CX2_C))),IMDIV("1",IMSUM(COMPLEX(DUMP2_R,0),COMPLEX(DUMP2_ESR,B359*DUMP2_ESL-1/(B359*DUMP2_C)))))</f>
        <v>0</v>
      </c>
      <c r="K359">
        <f>IMPRODUCT("2",IMDIV("1",IMSUM(IMDIV("1",COMPLEX(CMC_DCR,B359*CMC_L*(1-CMC_K))),COMPLEX(0,B359*CMC_CPA))))</f>
        <v>0</v>
      </c>
      <c r="L359">
        <f>IMSUM(COMPLEX(0,B359*CMC_CLINE),IMDIV("1",IMPRODUCT("2",COMPLEX(CY_ESR,B359*CY_ESL-1/(B359*CY_C)))),COMPLEX(1/DUMMY_R,0))</f>
        <v>0</v>
      </c>
      <c r="M359">
        <f>IMSUM(D359,IMDIV("1",C359))</f>
        <v>0</v>
      </c>
      <c r="N359">
        <f>IMDIV("1",IMSUM(E359,IMDIV("1",M359)))</f>
        <v>0</v>
      </c>
      <c r="O359">
        <f>IMSUM(F359,N359)</f>
        <v>0</v>
      </c>
      <c r="P359">
        <f>IMDIV("1",IMSUM(G359,IMDIV("1",O359)))</f>
        <v>0</v>
      </c>
      <c r="Q359">
        <f>IMSUM(H359,P359)</f>
        <v>0</v>
      </c>
      <c r="R359">
        <f>IMDIV("1",IMSUM(I359,IMDIV("1",Q359)))</f>
        <v>0</v>
      </c>
      <c r="S359">
        <f>IMSUM(J359,R359)</f>
        <v>0</v>
      </c>
      <c r="T359">
        <f>IMDIV("1",IMSUM(K359,IMDIV("1",S359)))</f>
        <v>0</v>
      </c>
      <c r="U359">
        <f>IMSUM(L359,T359)</f>
        <v>0</v>
      </c>
      <c r="V359">
        <f>IMDIV(COMPLEX(I_DM_SOURCE,0),U359)</f>
        <v>0</v>
      </c>
      <c r="W359">
        <f>IMPRODUCT(V359,T359)</f>
        <v>0</v>
      </c>
      <c r="X359">
        <f>IMDIV(W359,S359)</f>
        <v>0</v>
      </c>
      <c r="Y359">
        <f>IMPRODUCT(X359,R359)</f>
        <v>0</v>
      </c>
      <c r="Z359">
        <f>IMDIV(Y359,Q359)</f>
        <v>0</v>
      </c>
      <c r="AA359">
        <f>IMPRODUCT(Z359,P359)</f>
        <v>0</v>
      </c>
      <c r="AB359">
        <f>AA359</f>
        <v>0</v>
      </c>
      <c r="AC359">
        <f>IMPRODUCT("-1",AB359)</f>
        <v>0</v>
      </c>
      <c r="AD359">
        <f>IMDIV(IMSUB(AB359,AC359),"2")</f>
        <v>0</v>
      </c>
      <c r="AE359" s="6">
        <f>IMABS(AB359)</f>
        <v>0</v>
      </c>
      <c r="AF359" s="6">
        <f>IMABS(AC359)</f>
        <v>0</v>
      </c>
      <c r="AG359" s="6">
        <f>IMABS(AD359)</f>
        <v>0</v>
      </c>
      <c r="AH359" s="7">
        <f>20*LOG10(MAX(AE359,1E-300)*1E6)</f>
        <v>0</v>
      </c>
      <c r="AI359" s="7">
        <f>20*LOG10(MAX(AF359,1E-300)*1E6)</f>
        <v>0</v>
      </c>
      <c r="AJ359" s="7">
        <f>20*LOG10(MAX(AG359,1E-300)*1E6)</f>
        <v>0</v>
      </c>
      <c r="AK359" s="7">
        <f>DEGREES(IMARGUMENT(AB359))</f>
        <v>0</v>
      </c>
      <c r="AL359" s="7">
        <f>DEGREES(IMARGUMENT(AC359))</f>
        <v>0</v>
      </c>
      <c r="AM359" s="7">
        <f>DEGREES(IMARGUMENT(AD359))</f>
        <v>0</v>
      </c>
    </row>
    <row r="360" spans="1:39">
      <c r="A360" s="6">
        <f>10^(LOG10(F_START)+(ROW()-ROW($A$2))*(LOG10(F_STOP)-LOG10(F_START))/(N_POINTS-1))</f>
        <v>0</v>
      </c>
      <c r="B360" s="6">
        <f>2*PI()*A360</f>
        <v>0</v>
      </c>
      <c r="C360">
        <f>COMPLEX(2*LINE_PS_DCR,2*B360*LINE_PS_L)</f>
        <v>0</v>
      </c>
      <c r="D360">
        <f>IMSUM(COMPLEX(0,B360*(LINE_PS_CLINE+LINE_PS_CCHA/2)),IMDIV("1",IMPRODUCT("2",COMPLEX(C_THROUGH_ESR,B360*C_THROUGH_ESL-1/(B360*C_THROUGH_C)))))</f>
        <v>0</v>
      </c>
      <c r="E360">
        <f>COMPLEX(2*LINE_INPUT_DCR,2*B360*LINE_INPUT_L)</f>
        <v>0</v>
      </c>
      <c r="F360">
        <f>COMPLEX(0,B360*(LINE_INPUT_CLINE+LINE_INPUT_CCHA/2))</f>
        <v>0</v>
      </c>
      <c r="G360">
        <f>IMPRODUCT("2",IMDIV("1",IMSUM(IMDIV("1",COMPLEX(LDM1_DCR,B360*LDM1_L)),COMPLEX(0,B360*LDM1_CPA))))</f>
        <v>0</v>
      </c>
      <c r="H360">
        <f>IMSUM(IMDIV("1",COMPLEX(CX1_ESR,B360*CX1_ESL-1/(B360*CX1_C))),IMDIV("1",IMSUM(COMPLEX(DUMP1_R,0),COMPLEX(DUMP1_ESR,B360*DUMP1_ESL-1/(B360*DUMP1_C)))))</f>
        <v>0</v>
      </c>
      <c r="I360">
        <f>IMPRODUCT("2",IMDIV("1",IMSUM(IMDIV("1",COMPLEX(LDM2_DCR,B360*LDM2_L)),COMPLEX(0,B360*LDM2_CPA))))</f>
        <v>0</v>
      </c>
      <c r="J360">
        <f>IMSUM(IMDIV("1",COMPLEX(CX2_ESR,B360*CX2_ESL-1/(B360*CX2_C))),IMDIV("1",IMSUM(COMPLEX(DUMP2_R,0),COMPLEX(DUMP2_ESR,B360*DUMP2_ESL-1/(B360*DUMP2_C)))))</f>
        <v>0</v>
      </c>
      <c r="K360">
        <f>IMPRODUCT("2",IMDIV("1",IMSUM(IMDIV("1",COMPLEX(CMC_DCR,B360*CMC_L*(1-CMC_K))),COMPLEX(0,B360*CMC_CPA))))</f>
        <v>0</v>
      </c>
      <c r="L360">
        <f>IMSUM(COMPLEX(0,B360*CMC_CLINE),IMDIV("1",IMPRODUCT("2",COMPLEX(CY_ESR,B360*CY_ESL-1/(B360*CY_C)))),COMPLEX(1/DUMMY_R,0))</f>
        <v>0</v>
      </c>
      <c r="M360">
        <f>IMSUM(D360,IMDIV("1",C360))</f>
        <v>0</v>
      </c>
      <c r="N360">
        <f>IMDIV("1",IMSUM(E360,IMDIV("1",M360)))</f>
        <v>0</v>
      </c>
      <c r="O360">
        <f>IMSUM(F360,N360)</f>
        <v>0</v>
      </c>
      <c r="P360">
        <f>IMDIV("1",IMSUM(G360,IMDIV("1",O360)))</f>
        <v>0</v>
      </c>
      <c r="Q360">
        <f>IMSUM(H360,P360)</f>
        <v>0</v>
      </c>
      <c r="R360">
        <f>IMDIV("1",IMSUM(I360,IMDIV("1",Q360)))</f>
        <v>0</v>
      </c>
      <c r="S360">
        <f>IMSUM(J360,R360)</f>
        <v>0</v>
      </c>
      <c r="T360">
        <f>IMDIV("1",IMSUM(K360,IMDIV("1",S360)))</f>
        <v>0</v>
      </c>
      <c r="U360">
        <f>IMSUM(L360,T360)</f>
        <v>0</v>
      </c>
      <c r="V360">
        <f>IMDIV(COMPLEX(I_DM_SOURCE,0),U360)</f>
        <v>0</v>
      </c>
      <c r="W360">
        <f>IMPRODUCT(V360,T360)</f>
        <v>0</v>
      </c>
      <c r="X360">
        <f>IMDIV(W360,S360)</f>
        <v>0</v>
      </c>
      <c r="Y360">
        <f>IMPRODUCT(X360,R360)</f>
        <v>0</v>
      </c>
      <c r="Z360">
        <f>IMDIV(Y360,Q360)</f>
        <v>0</v>
      </c>
      <c r="AA360">
        <f>IMPRODUCT(Z360,P360)</f>
        <v>0</v>
      </c>
      <c r="AB360">
        <f>AA360</f>
        <v>0</v>
      </c>
      <c r="AC360">
        <f>IMPRODUCT("-1",AB360)</f>
        <v>0</v>
      </c>
      <c r="AD360">
        <f>IMDIV(IMSUB(AB360,AC360),"2")</f>
        <v>0</v>
      </c>
      <c r="AE360" s="6">
        <f>IMABS(AB360)</f>
        <v>0</v>
      </c>
      <c r="AF360" s="6">
        <f>IMABS(AC360)</f>
        <v>0</v>
      </c>
      <c r="AG360" s="6">
        <f>IMABS(AD360)</f>
        <v>0</v>
      </c>
      <c r="AH360" s="7">
        <f>20*LOG10(MAX(AE360,1E-300)*1E6)</f>
        <v>0</v>
      </c>
      <c r="AI360" s="7">
        <f>20*LOG10(MAX(AF360,1E-300)*1E6)</f>
        <v>0</v>
      </c>
      <c r="AJ360" s="7">
        <f>20*LOG10(MAX(AG360,1E-300)*1E6)</f>
        <v>0</v>
      </c>
      <c r="AK360" s="7">
        <f>DEGREES(IMARGUMENT(AB360))</f>
        <v>0</v>
      </c>
      <c r="AL360" s="7">
        <f>DEGREES(IMARGUMENT(AC360))</f>
        <v>0</v>
      </c>
      <c r="AM360" s="7">
        <f>DEGREES(IMARGUMENT(AD360))</f>
        <v>0</v>
      </c>
    </row>
    <row r="361" spans="1:39">
      <c r="A361" s="6">
        <f>10^(LOG10(F_START)+(ROW()-ROW($A$2))*(LOG10(F_STOP)-LOG10(F_START))/(N_POINTS-1))</f>
        <v>0</v>
      </c>
      <c r="B361" s="6">
        <f>2*PI()*A361</f>
        <v>0</v>
      </c>
      <c r="C361">
        <f>COMPLEX(2*LINE_PS_DCR,2*B361*LINE_PS_L)</f>
        <v>0</v>
      </c>
      <c r="D361">
        <f>IMSUM(COMPLEX(0,B361*(LINE_PS_CLINE+LINE_PS_CCHA/2)),IMDIV("1",IMPRODUCT("2",COMPLEX(C_THROUGH_ESR,B361*C_THROUGH_ESL-1/(B361*C_THROUGH_C)))))</f>
        <v>0</v>
      </c>
      <c r="E361">
        <f>COMPLEX(2*LINE_INPUT_DCR,2*B361*LINE_INPUT_L)</f>
        <v>0</v>
      </c>
      <c r="F361">
        <f>COMPLEX(0,B361*(LINE_INPUT_CLINE+LINE_INPUT_CCHA/2))</f>
        <v>0</v>
      </c>
      <c r="G361">
        <f>IMPRODUCT("2",IMDIV("1",IMSUM(IMDIV("1",COMPLEX(LDM1_DCR,B361*LDM1_L)),COMPLEX(0,B361*LDM1_CPA))))</f>
        <v>0</v>
      </c>
      <c r="H361">
        <f>IMSUM(IMDIV("1",COMPLEX(CX1_ESR,B361*CX1_ESL-1/(B361*CX1_C))),IMDIV("1",IMSUM(COMPLEX(DUMP1_R,0),COMPLEX(DUMP1_ESR,B361*DUMP1_ESL-1/(B361*DUMP1_C)))))</f>
        <v>0</v>
      </c>
      <c r="I361">
        <f>IMPRODUCT("2",IMDIV("1",IMSUM(IMDIV("1",COMPLEX(LDM2_DCR,B361*LDM2_L)),COMPLEX(0,B361*LDM2_CPA))))</f>
        <v>0</v>
      </c>
      <c r="J361">
        <f>IMSUM(IMDIV("1",COMPLEX(CX2_ESR,B361*CX2_ESL-1/(B361*CX2_C))),IMDIV("1",IMSUM(COMPLEX(DUMP2_R,0),COMPLEX(DUMP2_ESR,B361*DUMP2_ESL-1/(B361*DUMP2_C)))))</f>
        <v>0</v>
      </c>
      <c r="K361">
        <f>IMPRODUCT("2",IMDIV("1",IMSUM(IMDIV("1",COMPLEX(CMC_DCR,B361*CMC_L*(1-CMC_K))),COMPLEX(0,B361*CMC_CPA))))</f>
        <v>0</v>
      </c>
      <c r="L361">
        <f>IMSUM(COMPLEX(0,B361*CMC_CLINE),IMDIV("1",IMPRODUCT("2",COMPLEX(CY_ESR,B361*CY_ESL-1/(B361*CY_C)))),COMPLEX(1/DUMMY_R,0))</f>
        <v>0</v>
      </c>
      <c r="M361">
        <f>IMSUM(D361,IMDIV("1",C361))</f>
        <v>0</v>
      </c>
      <c r="N361">
        <f>IMDIV("1",IMSUM(E361,IMDIV("1",M361)))</f>
        <v>0</v>
      </c>
      <c r="O361">
        <f>IMSUM(F361,N361)</f>
        <v>0</v>
      </c>
      <c r="P361">
        <f>IMDIV("1",IMSUM(G361,IMDIV("1",O361)))</f>
        <v>0</v>
      </c>
      <c r="Q361">
        <f>IMSUM(H361,P361)</f>
        <v>0</v>
      </c>
      <c r="R361">
        <f>IMDIV("1",IMSUM(I361,IMDIV("1",Q361)))</f>
        <v>0</v>
      </c>
      <c r="S361">
        <f>IMSUM(J361,R361)</f>
        <v>0</v>
      </c>
      <c r="T361">
        <f>IMDIV("1",IMSUM(K361,IMDIV("1",S361)))</f>
        <v>0</v>
      </c>
      <c r="U361">
        <f>IMSUM(L361,T361)</f>
        <v>0</v>
      </c>
      <c r="V361">
        <f>IMDIV(COMPLEX(I_DM_SOURCE,0),U361)</f>
        <v>0</v>
      </c>
      <c r="W361">
        <f>IMPRODUCT(V361,T361)</f>
        <v>0</v>
      </c>
      <c r="X361">
        <f>IMDIV(W361,S361)</f>
        <v>0</v>
      </c>
      <c r="Y361">
        <f>IMPRODUCT(X361,R361)</f>
        <v>0</v>
      </c>
      <c r="Z361">
        <f>IMDIV(Y361,Q361)</f>
        <v>0</v>
      </c>
      <c r="AA361">
        <f>IMPRODUCT(Z361,P361)</f>
        <v>0</v>
      </c>
      <c r="AB361">
        <f>AA361</f>
        <v>0</v>
      </c>
      <c r="AC361">
        <f>IMPRODUCT("-1",AB361)</f>
        <v>0</v>
      </c>
      <c r="AD361">
        <f>IMDIV(IMSUB(AB361,AC361),"2")</f>
        <v>0</v>
      </c>
      <c r="AE361" s="6">
        <f>IMABS(AB361)</f>
        <v>0</v>
      </c>
      <c r="AF361" s="6">
        <f>IMABS(AC361)</f>
        <v>0</v>
      </c>
      <c r="AG361" s="6">
        <f>IMABS(AD361)</f>
        <v>0</v>
      </c>
      <c r="AH361" s="7">
        <f>20*LOG10(MAX(AE361,1E-300)*1E6)</f>
        <v>0</v>
      </c>
      <c r="AI361" s="7">
        <f>20*LOG10(MAX(AF361,1E-300)*1E6)</f>
        <v>0</v>
      </c>
      <c r="AJ361" s="7">
        <f>20*LOG10(MAX(AG361,1E-300)*1E6)</f>
        <v>0</v>
      </c>
      <c r="AK361" s="7">
        <f>DEGREES(IMARGUMENT(AB361))</f>
        <v>0</v>
      </c>
      <c r="AL361" s="7">
        <f>DEGREES(IMARGUMENT(AC361))</f>
        <v>0</v>
      </c>
      <c r="AM361" s="7">
        <f>DEGREES(IMARGUMENT(AD361))</f>
        <v>0</v>
      </c>
    </row>
    <row r="362" spans="1:39">
      <c r="A362" s="6">
        <f>10^(LOG10(F_START)+(ROW()-ROW($A$2))*(LOG10(F_STOP)-LOG10(F_START))/(N_POINTS-1))</f>
        <v>0</v>
      </c>
      <c r="B362" s="6">
        <f>2*PI()*A362</f>
        <v>0</v>
      </c>
      <c r="C362">
        <f>COMPLEX(2*LINE_PS_DCR,2*B362*LINE_PS_L)</f>
        <v>0</v>
      </c>
      <c r="D362">
        <f>IMSUM(COMPLEX(0,B362*(LINE_PS_CLINE+LINE_PS_CCHA/2)),IMDIV("1",IMPRODUCT("2",COMPLEX(C_THROUGH_ESR,B362*C_THROUGH_ESL-1/(B362*C_THROUGH_C)))))</f>
        <v>0</v>
      </c>
      <c r="E362">
        <f>COMPLEX(2*LINE_INPUT_DCR,2*B362*LINE_INPUT_L)</f>
        <v>0</v>
      </c>
      <c r="F362">
        <f>COMPLEX(0,B362*(LINE_INPUT_CLINE+LINE_INPUT_CCHA/2))</f>
        <v>0</v>
      </c>
      <c r="G362">
        <f>IMPRODUCT("2",IMDIV("1",IMSUM(IMDIV("1",COMPLEX(LDM1_DCR,B362*LDM1_L)),COMPLEX(0,B362*LDM1_CPA))))</f>
        <v>0</v>
      </c>
      <c r="H362">
        <f>IMSUM(IMDIV("1",COMPLEX(CX1_ESR,B362*CX1_ESL-1/(B362*CX1_C))),IMDIV("1",IMSUM(COMPLEX(DUMP1_R,0),COMPLEX(DUMP1_ESR,B362*DUMP1_ESL-1/(B362*DUMP1_C)))))</f>
        <v>0</v>
      </c>
      <c r="I362">
        <f>IMPRODUCT("2",IMDIV("1",IMSUM(IMDIV("1",COMPLEX(LDM2_DCR,B362*LDM2_L)),COMPLEX(0,B362*LDM2_CPA))))</f>
        <v>0</v>
      </c>
      <c r="J362">
        <f>IMSUM(IMDIV("1",COMPLEX(CX2_ESR,B362*CX2_ESL-1/(B362*CX2_C))),IMDIV("1",IMSUM(COMPLEX(DUMP2_R,0),COMPLEX(DUMP2_ESR,B362*DUMP2_ESL-1/(B362*DUMP2_C)))))</f>
        <v>0</v>
      </c>
      <c r="K362">
        <f>IMPRODUCT("2",IMDIV("1",IMSUM(IMDIV("1",COMPLEX(CMC_DCR,B362*CMC_L*(1-CMC_K))),COMPLEX(0,B362*CMC_CPA))))</f>
        <v>0</v>
      </c>
      <c r="L362">
        <f>IMSUM(COMPLEX(0,B362*CMC_CLINE),IMDIV("1",IMPRODUCT("2",COMPLEX(CY_ESR,B362*CY_ESL-1/(B362*CY_C)))),COMPLEX(1/DUMMY_R,0))</f>
        <v>0</v>
      </c>
      <c r="M362">
        <f>IMSUM(D362,IMDIV("1",C362))</f>
        <v>0</v>
      </c>
      <c r="N362">
        <f>IMDIV("1",IMSUM(E362,IMDIV("1",M362)))</f>
        <v>0</v>
      </c>
      <c r="O362">
        <f>IMSUM(F362,N362)</f>
        <v>0</v>
      </c>
      <c r="P362">
        <f>IMDIV("1",IMSUM(G362,IMDIV("1",O362)))</f>
        <v>0</v>
      </c>
      <c r="Q362">
        <f>IMSUM(H362,P362)</f>
        <v>0</v>
      </c>
      <c r="R362">
        <f>IMDIV("1",IMSUM(I362,IMDIV("1",Q362)))</f>
        <v>0</v>
      </c>
      <c r="S362">
        <f>IMSUM(J362,R362)</f>
        <v>0</v>
      </c>
      <c r="T362">
        <f>IMDIV("1",IMSUM(K362,IMDIV("1",S362)))</f>
        <v>0</v>
      </c>
      <c r="U362">
        <f>IMSUM(L362,T362)</f>
        <v>0</v>
      </c>
      <c r="V362">
        <f>IMDIV(COMPLEX(I_DM_SOURCE,0),U362)</f>
        <v>0</v>
      </c>
      <c r="W362">
        <f>IMPRODUCT(V362,T362)</f>
        <v>0</v>
      </c>
      <c r="X362">
        <f>IMDIV(W362,S362)</f>
        <v>0</v>
      </c>
      <c r="Y362">
        <f>IMPRODUCT(X362,R362)</f>
        <v>0</v>
      </c>
      <c r="Z362">
        <f>IMDIV(Y362,Q362)</f>
        <v>0</v>
      </c>
      <c r="AA362">
        <f>IMPRODUCT(Z362,P362)</f>
        <v>0</v>
      </c>
      <c r="AB362">
        <f>AA362</f>
        <v>0</v>
      </c>
      <c r="AC362">
        <f>IMPRODUCT("-1",AB362)</f>
        <v>0</v>
      </c>
      <c r="AD362">
        <f>IMDIV(IMSUB(AB362,AC362),"2")</f>
        <v>0</v>
      </c>
      <c r="AE362" s="6">
        <f>IMABS(AB362)</f>
        <v>0</v>
      </c>
      <c r="AF362" s="6">
        <f>IMABS(AC362)</f>
        <v>0</v>
      </c>
      <c r="AG362" s="6">
        <f>IMABS(AD362)</f>
        <v>0</v>
      </c>
      <c r="AH362" s="7">
        <f>20*LOG10(MAX(AE362,1E-300)*1E6)</f>
        <v>0</v>
      </c>
      <c r="AI362" s="7">
        <f>20*LOG10(MAX(AF362,1E-300)*1E6)</f>
        <v>0</v>
      </c>
      <c r="AJ362" s="7">
        <f>20*LOG10(MAX(AG362,1E-300)*1E6)</f>
        <v>0</v>
      </c>
      <c r="AK362" s="7">
        <f>DEGREES(IMARGUMENT(AB362))</f>
        <v>0</v>
      </c>
      <c r="AL362" s="7">
        <f>DEGREES(IMARGUMENT(AC362))</f>
        <v>0</v>
      </c>
      <c r="AM362" s="7">
        <f>DEGREES(IMARGUMENT(AD362))</f>
        <v>0</v>
      </c>
    </row>
    <row r="363" spans="1:39">
      <c r="A363" s="6">
        <f>10^(LOG10(F_START)+(ROW()-ROW($A$2))*(LOG10(F_STOP)-LOG10(F_START))/(N_POINTS-1))</f>
        <v>0</v>
      </c>
      <c r="B363" s="6">
        <f>2*PI()*A363</f>
        <v>0</v>
      </c>
      <c r="C363">
        <f>COMPLEX(2*LINE_PS_DCR,2*B363*LINE_PS_L)</f>
        <v>0</v>
      </c>
      <c r="D363">
        <f>IMSUM(COMPLEX(0,B363*(LINE_PS_CLINE+LINE_PS_CCHA/2)),IMDIV("1",IMPRODUCT("2",COMPLEX(C_THROUGH_ESR,B363*C_THROUGH_ESL-1/(B363*C_THROUGH_C)))))</f>
        <v>0</v>
      </c>
      <c r="E363">
        <f>COMPLEX(2*LINE_INPUT_DCR,2*B363*LINE_INPUT_L)</f>
        <v>0</v>
      </c>
      <c r="F363">
        <f>COMPLEX(0,B363*(LINE_INPUT_CLINE+LINE_INPUT_CCHA/2))</f>
        <v>0</v>
      </c>
      <c r="G363">
        <f>IMPRODUCT("2",IMDIV("1",IMSUM(IMDIV("1",COMPLEX(LDM1_DCR,B363*LDM1_L)),COMPLEX(0,B363*LDM1_CPA))))</f>
        <v>0</v>
      </c>
      <c r="H363">
        <f>IMSUM(IMDIV("1",COMPLEX(CX1_ESR,B363*CX1_ESL-1/(B363*CX1_C))),IMDIV("1",IMSUM(COMPLEX(DUMP1_R,0),COMPLEX(DUMP1_ESR,B363*DUMP1_ESL-1/(B363*DUMP1_C)))))</f>
        <v>0</v>
      </c>
      <c r="I363">
        <f>IMPRODUCT("2",IMDIV("1",IMSUM(IMDIV("1",COMPLEX(LDM2_DCR,B363*LDM2_L)),COMPLEX(0,B363*LDM2_CPA))))</f>
        <v>0</v>
      </c>
      <c r="J363">
        <f>IMSUM(IMDIV("1",COMPLEX(CX2_ESR,B363*CX2_ESL-1/(B363*CX2_C))),IMDIV("1",IMSUM(COMPLEX(DUMP2_R,0),COMPLEX(DUMP2_ESR,B363*DUMP2_ESL-1/(B363*DUMP2_C)))))</f>
        <v>0</v>
      </c>
      <c r="K363">
        <f>IMPRODUCT("2",IMDIV("1",IMSUM(IMDIV("1",COMPLEX(CMC_DCR,B363*CMC_L*(1-CMC_K))),COMPLEX(0,B363*CMC_CPA))))</f>
        <v>0</v>
      </c>
      <c r="L363">
        <f>IMSUM(COMPLEX(0,B363*CMC_CLINE),IMDIV("1",IMPRODUCT("2",COMPLEX(CY_ESR,B363*CY_ESL-1/(B363*CY_C)))),COMPLEX(1/DUMMY_R,0))</f>
        <v>0</v>
      </c>
      <c r="M363">
        <f>IMSUM(D363,IMDIV("1",C363))</f>
        <v>0</v>
      </c>
      <c r="N363">
        <f>IMDIV("1",IMSUM(E363,IMDIV("1",M363)))</f>
        <v>0</v>
      </c>
      <c r="O363">
        <f>IMSUM(F363,N363)</f>
        <v>0</v>
      </c>
      <c r="P363">
        <f>IMDIV("1",IMSUM(G363,IMDIV("1",O363)))</f>
        <v>0</v>
      </c>
      <c r="Q363">
        <f>IMSUM(H363,P363)</f>
        <v>0</v>
      </c>
      <c r="R363">
        <f>IMDIV("1",IMSUM(I363,IMDIV("1",Q363)))</f>
        <v>0</v>
      </c>
      <c r="S363">
        <f>IMSUM(J363,R363)</f>
        <v>0</v>
      </c>
      <c r="T363">
        <f>IMDIV("1",IMSUM(K363,IMDIV("1",S363)))</f>
        <v>0</v>
      </c>
      <c r="U363">
        <f>IMSUM(L363,T363)</f>
        <v>0</v>
      </c>
      <c r="V363">
        <f>IMDIV(COMPLEX(I_DM_SOURCE,0),U363)</f>
        <v>0</v>
      </c>
      <c r="W363">
        <f>IMPRODUCT(V363,T363)</f>
        <v>0</v>
      </c>
      <c r="X363">
        <f>IMDIV(W363,S363)</f>
        <v>0</v>
      </c>
      <c r="Y363">
        <f>IMPRODUCT(X363,R363)</f>
        <v>0</v>
      </c>
      <c r="Z363">
        <f>IMDIV(Y363,Q363)</f>
        <v>0</v>
      </c>
      <c r="AA363">
        <f>IMPRODUCT(Z363,P363)</f>
        <v>0</v>
      </c>
      <c r="AB363">
        <f>AA363</f>
        <v>0</v>
      </c>
      <c r="AC363">
        <f>IMPRODUCT("-1",AB363)</f>
        <v>0</v>
      </c>
      <c r="AD363">
        <f>IMDIV(IMSUB(AB363,AC363),"2")</f>
        <v>0</v>
      </c>
      <c r="AE363" s="6">
        <f>IMABS(AB363)</f>
        <v>0</v>
      </c>
      <c r="AF363" s="6">
        <f>IMABS(AC363)</f>
        <v>0</v>
      </c>
      <c r="AG363" s="6">
        <f>IMABS(AD363)</f>
        <v>0</v>
      </c>
      <c r="AH363" s="7">
        <f>20*LOG10(MAX(AE363,1E-300)*1E6)</f>
        <v>0</v>
      </c>
      <c r="AI363" s="7">
        <f>20*LOG10(MAX(AF363,1E-300)*1E6)</f>
        <v>0</v>
      </c>
      <c r="AJ363" s="7">
        <f>20*LOG10(MAX(AG363,1E-300)*1E6)</f>
        <v>0</v>
      </c>
      <c r="AK363" s="7">
        <f>DEGREES(IMARGUMENT(AB363))</f>
        <v>0</v>
      </c>
      <c r="AL363" s="7">
        <f>DEGREES(IMARGUMENT(AC363))</f>
        <v>0</v>
      </c>
      <c r="AM363" s="7">
        <f>DEGREES(IMARGUMENT(AD363))</f>
        <v>0</v>
      </c>
    </row>
    <row r="364" spans="1:39">
      <c r="A364" s="6">
        <f>10^(LOG10(F_START)+(ROW()-ROW($A$2))*(LOG10(F_STOP)-LOG10(F_START))/(N_POINTS-1))</f>
        <v>0</v>
      </c>
      <c r="B364" s="6">
        <f>2*PI()*A364</f>
        <v>0</v>
      </c>
      <c r="C364">
        <f>COMPLEX(2*LINE_PS_DCR,2*B364*LINE_PS_L)</f>
        <v>0</v>
      </c>
      <c r="D364">
        <f>IMSUM(COMPLEX(0,B364*(LINE_PS_CLINE+LINE_PS_CCHA/2)),IMDIV("1",IMPRODUCT("2",COMPLEX(C_THROUGH_ESR,B364*C_THROUGH_ESL-1/(B364*C_THROUGH_C)))))</f>
        <v>0</v>
      </c>
      <c r="E364">
        <f>COMPLEX(2*LINE_INPUT_DCR,2*B364*LINE_INPUT_L)</f>
        <v>0</v>
      </c>
      <c r="F364">
        <f>COMPLEX(0,B364*(LINE_INPUT_CLINE+LINE_INPUT_CCHA/2))</f>
        <v>0</v>
      </c>
      <c r="G364">
        <f>IMPRODUCT("2",IMDIV("1",IMSUM(IMDIV("1",COMPLEX(LDM1_DCR,B364*LDM1_L)),COMPLEX(0,B364*LDM1_CPA))))</f>
        <v>0</v>
      </c>
      <c r="H364">
        <f>IMSUM(IMDIV("1",COMPLEX(CX1_ESR,B364*CX1_ESL-1/(B364*CX1_C))),IMDIV("1",IMSUM(COMPLEX(DUMP1_R,0),COMPLEX(DUMP1_ESR,B364*DUMP1_ESL-1/(B364*DUMP1_C)))))</f>
        <v>0</v>
      </c>
      <c r="I364">
        <f>IMPRODUCT("2",IMDIV("1",IMSUM(IMDIV("1",COMPLEX(LDM2_DCR,B364*LDM2_L)),COMPLEX(0,B364*LDM2_CPA))))</f>
        <v>0</v>
      </c>
      <c r="J364">
        <f>IMSUM(IMDIV("1",COMPLEX(CX2_ESR,B364*CX2_ESL-1/(B364*CX2_C))),IMDIV("1",IMSUM(COMPLEX(DUMP2_R,0),COMPLEX(DUMP2_ESR,B364*DUMP2_ESL-1/(B364*DUMP2_C)))))</f>
        <v>0</v>
      </c>
      <c r="K364">
        <f>IMPRODUCT("2",IMDIV("1",IMSUM(IMDIV("1",COMPLEX(CMC_DCR,B364*CMC_L*(1-CMC_K))),COMPLEX(0,B364*CMC_CPA))))</f>
        <v>0</v>
      </c>
      <c r="L364">
        <f>IMSUM(COMPLEX(0,B364*CMC_CLINE),IMDIV("1",IMPRODUCT("2",COMPLEX(CY_ESR,B364*CY_ESL-1/(B364*CY_C)))),COMPLEX(1/DUMMY_R,0))</f>
        <v>0</v>
      </c>
      <c r="M364">
        <f>IMSUM(D364,IMDIV("1",C364))</f>
        <v>0</v>
      </c>
      <c r="N364">
        <f>IMDIV("1",IMSUM(E364,IMDIV("1",M364)))</f>
        <v>0</v>
      </c>
      <c r="O364">
        <f>IMSUM(F364,N364)</f>
        <v>0</v>
      </c>
      <c r="P364">
        <f>IMDIV("1",IMSUM(G364,IMDIV("1",O364)))</f>
        <v>0</v>
      </c>
      <c r="Q364">
        <f>IMSUM(H364,P364)</f>
        <v>0</v>
      </c>
      <c r="R364">
        <f>IMDIV("1",IMSUM(I364,IMDIV("1",Q364)))</f>
        <v>0</v>
      </c>
      <c r="S364">
        <f>IMSUM(J364,R364)</f>
        <v>0</v>
      </c>
      <c r="T364">
        <f>IMDIV("1",IMSUM(K364,IMDIV("1",S364)))</f>
        <v>0</v>
      </c>
      <c r="U364">
        <f>IMSUM(L364,T364)</f>
        <v>0</v>
      </c>
      <c r="V364">
        <f>IMDIV(COMPLEX(I_DM_SOURCE,0),U364)</f>
        <v>0</v>
      </c>
      <c r="W364">
        <f>IMPRODUCT(V364,T364)</f>
        <v>0</v>
      </c>
      <c r="X364">
        <f>IMDIV(W364,S364)</f>
        <v>0</v>
      </c>
      <c r="Y364">
        <f>IMPRODUCT(X364,R364)</f>
        <v>0</v>
      </c>
      <c r="Z364">
        <f>IMDIV(Y364,Q364)</f>
        <v>0</v>
      </c>
      <c r="AA364">
        <f>IMPRODUCT(Z364,P364)</f>
        <v>0</v>
      </c>
      <c r="AB364">
        <f>AA364</f>
        <v>0</v>
      </c>
      <c r="AC364">
        <f>IMPRODUCT("-1",AB364)</f>
        <v>0</v>
      </c>
      <c r="AD364">
        <f>IMDIV(IMSUB(AB364,AC364),"2")</f>
        <v>0</v>
      </c>
      <c r="AE364" s="6">
        <f>IMABS(AB364)</f>
        <v>0</v>
      </c>
      <c r="AF364" s="6">
        <f>IMABS(AC364)</f>
        <v>0</v>
      </c>
      <c r="AG364" s="6">
        <f>IMABS(AD364)</f>
        <v>0</v>
      </c>
      <c r="AH364" s="7">
        <f>20*LOG10(MAX(AE364,1E-300)*1E6)</f>
        <v>0</v>
      </c>
      <c r="AI364" s="7">
        <f>20*LOG10(MAX(AF364,1E-300)*1E6)</f>
        <v>0</v>
      </c>
      <c r="AJ364" s="7">
        <f>20*LOG10(MAX(AG364,1E-300)*1E6)</f>
        <v>0</v>
      </c>
      <c r="AK364" s="7">
        <f>DEGREES(IMARGUMENT(AB364))</f>
        <v>0</v>
      </c>
      <c r="AL364" s="7">
        <f>DEGREES(IMARGUMENT(AC364))</f>
        <v>0</v>
      </c>
      <c r="AM364" s="7">
        <f>DEGREES(IMARGUMENT(AD364))</f>
        <v>0</v>
      </c>
    </row>
    <row r="365" spans="1:39">
      <c r="A365" s="6">
        <f>10^(LOG10(F_START)+(ROW()-ROW($A$2))*(LOG10(F_STOP)-LOG10(F_START))/(N_POINTS-1))</f>
        <v>0</v>
      </c>
      <c r="B365" s="6">
        <f>2*PI()*A365</f>
        <v>0</v>
      </c>
      <c r="C365">
        <f>COMPLEX(2*LINE_PS_DCR,2*B365*LINE_PS_L)</f>
        <v>0</v>
      </c>
      <c r="D365">
        <f>IMSUM(COMPLEX(0,B365*(LINE_PS_CLINE+LINE_PS_CCHA/2)),IMDIV("1",IMPRODUCT("2",COMPLEX(C_THROUGH_ESR,B365*C_THROUGH_ESL-1/(B365*C_THROUGH_C)))))</f>
        <v>0</v>
      </c>
      <c r="E365">
        <f>COMPLEX(2*LINE_INPUT_DCR,2*B365*LINE_INPUT_L)</f>
        <v>0</v>
      </c>
      <c r="F365">
        <f>COMPLEX(0,B365*(LINE_INPUT_CLINE+LINE_INPUT_CCHA/2))</f>
        <v>0</v>
      </c>
      <c r="G365">
        <f>IMPRODUCT("2",IMDIV("1",IMSUM(IMDIV("1",COMPLEX(LDM1_DCR,B365*LDM1_L)),COMPLEX(0,B365*LDM1_CPA))))</f>
        <v>0</v>
      </c>
      <c r="H365">
        <f>IMSUM(IMDIV("1",COMPLEX(CX1_ESR,B365*CX1_ESL-1/(B365*CX1_C))),IMDIV("1",IMSUM(COMPLEX(DUMP1_R,0),COMPLEX(DUMP1_ESR,B365*DUMP1_ESL-1/(B365*DUMP1_C)))))</f>
        <v>0</v>
      </c>
      <c r="I365">
        <f>IMPRODUCT("2",IMDIV("1",IMSUM(IMDIV("1",COMPLEX(LDM2_DCR,B365*LDM2_L)),COMPLEX(0,B365*LDM2_CPA))))</f>
        <v>0</v>
      </c>
      <c r="J365">
        <f>IMSUM(IMDIV("1",COMPLEX(CX2_ESR,B365*CX2_ESL-1/(B365*CX2_C))),IMDIV("1",IMSUM(COMPLEX(DUMP2_R,0),COMPLEX(DUMP2_ESR,B365*DUMP2_ESL-1/(B365*DUMP2_C)))))</f>
        <v>0</v>
      </c>
      <c r="K365">
        <f>IMPRODUCT("2",IMDIV("1",IMSUM(IMDIV("1",COMPLEX(CMC_DCR,B365*CMC_L*(1-CMC_K))),COMPLEX(0,B365*CMC_CPA))))</f>
        <v>0</v>
      </c>
      <c r="L365">
        <f>IMSUM(COMPLEX(0,B365*CMC_CLINE),IMDIV("1",IMPRODUCT("2",COMPLEX(CY_ESR,B365*CY_ESL-1/(B365*CY_C)))),COMPLEX(1/DUMMY_R,0))</f>
        <v>0</v>
      </c>
      <c r="M365">
        <f>IMSUM(D365,IMDIV("1",C365))</f>
        <v>0</v>
      </c>
      <c r="N365">
        <f>IMDIV("1",IMSUM(E365,IMDIV("1",M365)))</f>
        <v>0</v>
      </c>
      <c r="O365">
        <f>IMSUM(F365,N365)</f>
        <v>0</v>
      </c>
      <c r="P365">
        <f>IMDIV("1",IMSUM(G365,IMDIV("1",O365)))</f>
        <v>0</v>
      </c>
      <c r="Q365">
        <f>IMSUM(H365,P365)</f>
        <v>0</v>
      </c>
      <c r="R365">
        <f>IMDIV("1",IMSUM(I365,IMDIV("1",Q365)))</f>
        <v>0</v>
      </c>
      <c r="S365">
        <f>IMSUM(J365,R365)</f>
        <v>0</v>
      </c>
      <c r="T365">
        <f>IMDIV("1",IMSUM(K365,IMDIV("1",S365)))</f>
        <v>0</v>
      </c>
      <c r="U365">
        <f>IMSUM(L365,T365)</f>
        <v>0</v>
      </c>
      <c r="V365">
        <f>IMDIV(COMPLEX(I_DM_SOURCE,0),U365)</f>
        <v>0</v>
      </c>
      <c r="W365">
        <f>IMPRODUCT(V365,T365)</f>
        <v>0</v>
      </c>
      <c r="X365">
        <f>IMDIV(W365,S365)</f>
        <v>0</v>
      </c>
      <c r="Y365">
        <f>IMPRODUCT(X365,R365)</f>
        <v>0</v>
      </c>
      <c r="Z365">
        <f>IMDIV(Y365,Q365)</f>
        <v>0</v>
      </c>
      <c r="AA365">
        <f>IMPRODUCT(Z365,P365)</f>
        <v>0</v>
      </c>
      <c r="AB365">
        <f>AA365</f>
        <v>0</v>
      </c>
      <c r="AC365">
        <f>IMPRODUCT("-1",AB365)</f>
        <v>0</v>
      </c>
      <c r="AD365">
        <f>IMDIV(IMSUB(AB365,AC365),"2")</f>
        <v>0</v>
      </c>
      <c r="AE365" s="6">
        <f>IMABS(AB365)</f>
        <v>0</v>
      </c>
      <c r="AF365" s="6">
        <f>IMABS(AC365)</f>
        <v>0</v>
      </c>
      <c r="AG365" s="6">
        <f>IMABS(AD365)</f>
        <v>0</v>
      </c>
      <c r="AH365" s="7">
        <f>20*LOG10(MAX(AE365,1E-300)*1E6)</f>
        <v>0</v>
      </c>
      <c r="AI365" s="7">
        <f>20*LOG10(MAX(AF365,1E-300)*1E6)</f>
        <v>0</v>
      </c>
      <c r="AJ365" s="7">
        <f>20*LOG10(MAX(AG365,1E-300)*1E6)</f>
        <v>0</v>
      </c>
      <c r="AK365" s="7">
        <f>DEGREES(IMARGUMENT(AB365))</f>
        <v>0</v>
      </c>
      <c r="AL365" s="7">
        <f>DEGREES(IMARGUMENT(AC365))</f>
        <v>0</v>
      </c>
      <c r="AM365" s="7">
        <f>DEGREES(IMARGUMENT(AD365))</f>
        <v>0</v>
      </c>
    </row>
    <row r="366" spans="1:39">
      <c r="A366" s="6">
        <f>10^(LOG10(F_START)+(ROW()-ROW($A$2))*(LOG10(F_STOP)-LOG10(F_START))/(N_POINTS-1))</f>
        <v>0</v>
      </c>
      <c r="B366" s="6">
        <f>2*PI()*A366</f>
        <v>0</v>
      </c>
      <c r="C366">
        <f>COMPLEX(2*LINE_PS_DCR,2*B366*LINE_PS_L)</f>
        <v>0</v>
      </c>
      <c r="D366">
        <f>IMSUM(COMPLEX(0,B366*(LINE_PS_CLINE+LINE_PS_CCHA/2)),IMDIV("1",IMPRODUCT("2",COMPLEX(C_THROUGH_ESR,B366*C_THROUGH_ESL-1/(B366*C_THROUGH_C)))))</f>
        <v>0</v>
      </c>
      <c r="E366">
        <f>COMPLEX(2*LINE_INPUT_DCR,2*B366*LINE_INPUT_L)</f>
        <v>0</v>
      </c>
      <c r="F366">
        <f>COMPLEX(0,B366*(LINE_INPUT_CLINE+LINE_INPUT_CCHA/2))</f>
        <v>0</v>
      </c>
      <c r="G366">
        <f>IMPRODUCT("2",IMDIV("1",IMSUM(IMDIV("1",COMPLEX(LDM1_DCR,B366*LDM1_L)),COMPLEX(0,B366*LDM1_CPA))))</f>
        <v>0</v>
      </c>
      <c r="H366">
        <f>IMSUM(IMDIV("1",COMPLEX(CX1_ESR,B366*CX1_ESL-1/(B366*CX1_C))),IMDIV("1",IMSUM(COMPLEX(DUMP1_R,0),COMPLEX(DUMP1_ESR,B366*DUMP1_ESL-1/(B366*DUMP1_C)))))</f>
        <v>0</v>
      </c>
      <c r="I366">
        <f>IMPRODUCT("2",IMDIV("1",IMSUM(IMDIV("1",COMPLEX(LDM2_DCR,B366*LDM2_L)),COMPLEX(0,B366*LDM2_CPA))))</f>
        <v>0</v>
      </c>
      <c r="J366">
        <f>IMSUM(IMDIV("1",COMPLEX(CX2_ESR,B366*CX2_ESL-1/(B366*CX2_C))),IMDIV("1",IMSUM(COMPLEX(DUMP2_R,0),COMPLEX(DUMP2_ESR,B366*DUMP2_ESL-1/(B366*DUMP2_C)))))</f>
        <v>0</v>
      </c>
      <c r="K366">
        <f>IMPRODUCT("2",IMDIV("1",IMSUM(IMDIV("1",COMPLEX(CMC_DCR,B366*CMC_L*(1-CMC_K))),COMPLEX(0,B366*CMC_CPA))))</f>
        <v>0</v>
      </c>
      <c r="L366">
        <f>IMSUM(COMPLEX(0,B366*CMC_CLINE),IMDIV("1",IMPRODUCT("2",COMPLEX(CY_ESR,B366*CY_ESL-1/(B366*CY_C)))),COMPLEX(1/DUMMY_R,0))</f>
        <v>0</v>
      </c>
      <c r="M366">
        <f>IMSUM(D366,IMDIV("1",C366))</f>
        <v>0</v>
      </c>
      <c r="N366">
        <f>IMDIV("1",IMSUM(E366,IMDIV("1",M366)))</f>
        <v>0</v>
      </c>
      <c r="O366">
        <f>IMSUM(F366,N366)</f>
        <v>0</v>
      </c>
      <c r="P366">
        <f>IMDIV("1",IMSUM(G366,IMDIV("1",O366)))</f>
        <v>0</v>
      </c>
      <c r="Q366">
        <f>IMSUM(H366,P366)</f>
        <v>0</v>
      </c>
      <c r="R366">
        <f>IMDIV("1",IMSUM(I366,IMDIV("1",Q366)))</f>
        <v>0</v>
      </c>
      <c r="S366">
        <f>IMSUM(J366,R366)</f>
        <v>0</v>
      </c>
      <c r="T366">
        <f>IMDIV("1",IMSUM(K366,IMDIV("1",S366)))</f>
        <v>0</v>
      </c>
      <c r="U366">
        <f>IMSUM(L366,T366)</f>
        <v>0</v>
      </c>
      <c r="V366">
        <f>IMDIV(COMPLEX(I_DM_SOURCE,0),U366)</f>
        <v>0</v>
      </c>
      <c r="W366">
        <f>IMPRODUCT(V366,T366)</f>
        <v>0</v>
      </c>
      <c r="X366">
        <f>IMDIV(W366,S366)</f>
        <v>0</v>
      </c>
      <c r="Y366">
        <f>IMPRODUCT(X366,R366)</f>
        <v>0</v>
      </c>
      <c r="Z366">
        <f>IMDIV(Y366,Q366)</f>
        <v>0</v>
      </c>
      <c r="AA366">
        <f>IMPRODUCT(Z366,P366)</f>
        <v>0</v>
      </c>
      <c r="AB366">
        <f>AA366</f>
        <v>0</v>
      </c>
      <c r="AC366">
        <f>IMPRODUCT("-1",AB366)</f>
        <v>0</v>
      </c>
      <c r="AD366">
        <f>IMDIV(IMSUB(AB366,AC366),"2")</f>
        <v>0</v>
      </c>
      <c r="AE366" s="6">
        <f>IMABS(AB366)</f>
        <v>0</v>
      </c>
      <c r="AF366" s="6">
        <f>IMABS(AC366)</f>
        <v>0</v>
      </c>
      <c r="AG366" s="6">
        <f>IMABS(AD366)</f>
        <v>0</v>
      </c>
      <c r="AH366" s="7">
        <f>20*LOG10(MAX(AE366,1E-300)*1E6)</f>
        <v>0</v>
      </c>
      <c r="AI366" s="7">
        <f>20*LOG10(MAX(AF366,1E-300)*1E6)</f>
        <v>0</v>
      </c>
      <c r="AJ366" s="7">
        <f>20*LOG10(MAX(AG366,1E-300)*1E6)</f>
        <v>0</v>
      </c>
      <c r="AK366" s="7">
        <f>DEGREES(IMARGUMENT(AB366))</f>
        <v>0</v>
      </c>
      <c r="AL366" s="7">
        <f>DEGREES(IMARGUMENT(AC366))</f>
        <v>0</v>
      </c>
      <c r="AM366" s="7">
        <f>DEGREES(IMARGUMENT(AD366))</f>
        <v>0</v>
      </c>
    </row>
    <row r="367" spans="1:39">
      <c r="A367" s="6">
        <f>10^(LOG10(F_START)+(ROW()-ROW($A$2))*(LOG10(F_STOP)-LOG10(F_START))/(N_POINTS-1))</f>
        <v>0</v>
      </c>
      <c r="B367" s="6">
        <f>2*PI()*A367</f>
        <v>0</v>
      </c>
      <c r="C367">
        <f>COMPLEX(2*LINE_PS_DCR,2*B367*LINE_PS_L)</f>
        <v>0</v>
      </c>
      <c r="D367">
        <f>IMSUM(COMPLEX(0,B367*(LINE_PS_CLINE+LINE_PS_CCHA/2)),IMDIV("1",IMPRODUCT("2",COMPLEX(C_THROUGH_ESR,B367*C_THROUGH_ESL-1/(B367*C_THROUGH_C)))))</f>
        <v>0</v>
      </c>
      <c r="E367">
        <f>COMPLEX(2*LINE_INPUT_DCR,2*B367*LINE_INPUT_L)</f>
        <v>0</v>
      </c>
      <c r="F367">
        <f>COMPLEX(0,B367*(LINE_INPUT_CLINE+LINE_INPUT_CCHA/2))</f>
        <v>0</v>
      </c>
      <c r="G367">
        <f>IMPRODUCT("2",IMDIV("1",IMSUM(IMDIV("1",COMPLEX(LDM1_DCR,B367*LDM1_L)),COMPLEX(0,B367*LDM1_CPA))))</f>
        <v>0</v>
      </c>
      <c r="H367">
        <f>IMSUM(IMDIV("1",COMPLEX(CX1_ESR,B367*CX1_ESL-1/(B367*CX1_C))),IMDIV("1",IMSUM(COMPLEX(DUMP1_R,0),COMPLEX(DUMP1_ESR,B367*DUMP1_ESL-1/(B367*DUMP1_C)))))</f>
        <v>0</v>
      </c>
      <c r="I367">
        <f>IMPRODUCT("2",IMDIV("1",IMSUM(IMDIV("1",COMPLEX(LDM2_DCR,B367*LDM2_L)),COMPLEX(0,B367*LDM2_CPA))))</f>
        <v>0</v>
      </c>
      <c r="J367">
        <f>IMSUM(IMDIV("1",COMPLEX(CX2_ESR,B367*CX2_ESL-1/(B367*CX2_C))),IMDIV("1",IMSUM(COMPLEX(DUMP2_R,0),COMPLEX(DUMP2_ESR,B367*DUMP2_ESL-1/(B367*DUMP2_C)))))</f>
        <v>0</v>
      </c>
      <c r="K367">
        <f>IMPRODUCT("2",IMDIV("1",IMSUM(IMDIV("1",COMPLEX(CMC_DCR,B367*CMC_L*(1-CMC_K))),COMPLEX(0,B367*CMC_CPA))))</f>
        <v>0</v>
      </c>
      <c r="L367">
        <f>IMSUM(COMPLEX(0,B367*CMC_CLINE),IMDIV("1",IMPRODUCT("2",COMPLEX(CY_ESR,B367*CY_ESL-1/(B367*CY_C)))),COMPLEX(1/DUMMY_R,0))</f>
        <v>0</v>
      </c>
      <c r="M367">
        <f>IMSUM(D367,IMDIV("1",C367))</f>
        <v>0</v>
      </c>
      <c r="N367">
        <f>IMDIV("1",IMSUM(E367,IMDIV("1",M367)))</f>
        <v>0</v>
      </c>
      <c r="O367">
        <f>IMSUM(F367,N367)</f>
        <v>0</v>
      </c>
      <c r="P367">
        <f>IMDIV("1",IMSUM(G367,IMDIV("1",O367)))</f>
        <v>0</v>
      </c>
      <c r="Q367">
        <f>IMSUM(H367,P367)</f>
        <v>0</v>
      </c>
      <c r="R367">
        <f>IMDIV("1",IMSUM(I367,IMDIV("1",Q367)))</f>
        <v>0</v>
      </c>
      <c r="S367">
        <f>IMSUM(J367,R367)</f>
        <v>0</v>
      </c>
      <c r="T367">
        <f>IMDIV("1",IMSUM(K367,IMDIV("1",S367)))</f>
        <v>0</v>
      </c>
      <c r="U367">
        <f>IMSUM(L367,T367)</f>
        <v>0</v>
      </c>
      <c r="V367">
        <f>IMDIV(COMPLEX(I_DM_SOURCE,0),U367)</f>
        <v>0</v>
      </c>
      <c r="W367">
        <f>IMPRODUCT(V367,T367)</f>
        <v>0</v>
      </c>
      <c r="X367">
        <f>IMDIV(W367,S367)</f>
        <v>0</v>
      </c>
      <c r="Y367">
        <f>IMPRODUCT(X367,R367)</f>
        <v>0</v>
      </c>
      <c r="Z367">
        <f>IMDIV(Y367,Q367)</f>
        <v>0</v>
      </c>
      <c r="AA367">
        <f>IMPRODUCT(Z367,P367)</f>
        <v>0</v>
      </c>
      <c r="AB367">
        <f>AA367</f>
        <v>0</v>
      </c>
      <c r="AC367">
        <f>IMPRODUCT("-1",AB367)</f>
        <v>0</v>
      </c>
      <c r="AD367">
        <f>IMDIV(IMSUB(AB367,AC367),"2")</f>
        <v>0</v>
      </c>
      <c r="AE367" s="6">
        <f>IMABS(AB367)</f>
        <v>0</v>
      </c>
      <c r="AF367" s="6">
        <f>IMABS(AC367)</f>
        <v>0</v>
      </c>
      <c r="AG367" s="6">
        <f>IMABS(AD367)</f>
        <v>0</v>
      </c>
      <c r="AH367" s="7">
        <f>20*LOG10(MAX(AE367,1E-300)*1E6)</f>
        <v>0</v>
      </c>
      <c r="AI367" s="7">
        <f>20*LOG10(MAX(AF367,1E-300)*1E6)</f>
        <v>0</v>
      </c>
      <c r="AJ367" s="7">
        <f>20*LOG10(MAX(AG367,1E-300)*1E6)</f>
        <v>0</v>
      </c>
      <c r="AK367" s="7">
        <f>DEGREES(IMARGUMENT(AB367))</f>
        <v>0</v>
      </c>
      <c r="AL367" s="7">
        <f>DEGREES(IMARGUMENT(AC367))</f>
        <v>0</v>
      </c>
      <c r="AM367" s="7">
        <f>DEGREES(IMARGUMENT(AD367))</f>
        <v>0</v>
      </c>
    </row>
    <row r="368" spans="1:39">
      <c r="A368" s="6">
        <f>10^(LOG10(F_START)+(ROW()-ROW($A$2))*(LOG10(F_STOP)-LOG10(F_START))/(N_POINTS-1))</f>
        <v>0</v>
      </c>
      <c r="B368" s="6">
        <f>2*PI()*A368</f>
        <v>0</v>
      </c>
      <c r="C368">
        <f>COMPLEX(2*LINE_PS_DCR,2*B368*LINE_PS_L)</f>
        <v>0</v>
      </c>
      <c r="D368">
        <f>IMSUM(COMPLEX(0,B368*(LINE_PS_CLINE+LINE_PS_CCHA/2)),IMDIV("1",IMPRODUCT("2",COMPLEX(C_THROUGH_ESR,B368*C_THROUGH_ESL-1/(B368*C_THROUGH_C)))))</f>
        <v>0</v>
      </c>
      <c r="E368">
        <f>COMPLEX(2*LINE_INPUT_DCR,2*B368*LINE_INPUT_L)</f>
        <v>0</v>
      </c>
      <c r="F368">
        <f>COMPLEX(0,B368*(LINE_INPUT_CLINE+LINE_INPUT_CCHA/2))</f>
        <v>0</v>
      </c>
      <c r="G368">
        <f>IMPRODUCT("2",IMDIV("1",IMSUM(IMDIV("1",COMPLEX(LDM1_DCR,B368*LDM1_L)),COMPLEX(0,B368*LDM1_CPA))))</f>
        <v>0</v>
      </c>
      <c r="H368">
        <f>IMSUM(IMDIV("1",COMPLEX(CX1_ESR,B368*CX1_ESL-1/(B368*CX1_C))),IMDIV("1",IMSUM(COMPLEX(DUMP1_R,0),COMPLEX(DUMP1_ESR,B368*DUMP1_ESL-1/(B368*DUMP1_C)))))</f>
        <v>0</v>
      </c>
      <c r="I368">
        <f>IMPRODUCT("2",IMDIV("1",IMSUM(IMDIV("1",COMPLEX(LDM2_DCR,B368*LDM2_L)),COMPLEX(0,B368*LDM2_CPA))))</f>
        <v>0</v>
      </c>
      <c r="J368">
        <f>IMSUM(IMDIV("1",COMPLEX(CX2_ESR,B368*CX2_ESL-1/(B368*CX2_C))),IMDIV("1",IMSUM(COMPLEX(DUMP2_R,0),COMPLEX(DUMP2_ESR,B368*DUMP2_ESL-1/(B368*DUMP2_C)))))</f>
        <v>0</v>
      </c>
      <c r="K368">
        <f>IMPRODUCT("2",IMDIV("1",IMSUM(IMDIV("1",COMPLEX(CMC_DCR,B368*CMC_L*(1-CMC_K))),COMPLEX(0,B368*CMC_CPA))))</f>
        <v>0</v>
      </c>
      <c r="L368">
        <f>IMSUM(COMPLEX(0,B368*CMC_CLINE),IMDIV("1",IMPRODUCT("2",COMPLEX(CY_ESR,B368*CY_ESL-1/(B368*CY_C)))),COMPLEX(1/DUMMY_R,0))</f>
        <v>0</v>
      </c>
      <c r="M368">
        <f>IMSUM(D368,IMDIV("1",C368))</f>
        <v>0</v>
      </c>
      <c r="N368">
        <f>IMDIV("1",IMSUM(E368,IMDIV("1",M368)))</f>
        <v>0</v>
      </c>
      <c r="O368">
        <f>IMSUM(F368,N368)</f>
        <v>0</v>
      </c>
      <c r="P368">
        <f>IMDIV("1",IMSUM(G368,IMDIV("1",O368)))</f>
        <v>0</v>
      </c>
      <c r="Q368">
        <f>IMSUM(H368,P368)</f>
        <v>0</v>
      </c>
      <c r="R368">
        <f>IMDIV("1",IMSUM(I368,IMDIV("1",Q368)))</f>
        <v>0</v>
      </c>
      <c r="S368">
        <f>IMSUM(J368,R368)</f>
        <v>0</v>
      </c>
      <c r="T368">
        <f>IMDIV("1",IMSUM(K368,IMDIV("1",S368)))</f>
        <v>0</v>
      </c>
      <c r="U368">
        <f>IMSUM(L368,T368)</f>
        <v>0</v>
      </c>
      <c r="V368">
        <f>IMDIV(COMPLEX(I_DM_SOURCE,0),U368)</f>
        <v>0</v>
      </c>
      <c r="W368">
        <f>IMPRODUCT(V368,T368)</f>
        <v>0</v>
      </c>
      <c r="X368">
        <f>IMDIV(W368,S368)</f>
        <v>0</v>
      </c>
      <c r="Y368">
        <f>IMPRODUCT(X368,R368)</f>
        <v>0</v>
      </c>
      <c r="Z368">
        <f>IMDIV(Y368,Q368)</f>
        <v>0</v>
      </c>
      <c r="AA368">
        <f>IMPRODUCT(Z368,P368)</f>
        <v>0</v>
      </c>
      <c r="AB368">
        <f>AA368</f>
        <v>0</v>
      </c>
      <c r="AC368">
        <f>IMPRODUCT("-1",AB368)</f>
        <v>0</v>
      </c>
      <c r="AD368">
        <f>IMDIV(IMSUB(AB368,AC368),"2")</f>
        <v>0</v>
      </c>
      <c r="AE368" s="6">
        <f>IMABS(AB368)</f>
        <v>0</v>
      </c>
      <c r="AF368" s="6">
        <f>IMABS(AC368)</f>
        <v>0</v>
      </c>
      <c r="AG368" s="6">
        <f>IMABS(AD368)</f>
        <v>0</v>
      </c>
      <c r="AH368" s="7">
        <f>20*LOG10(MAX(AE368,1E-300)*1E6)</f>
        <v>0</v>
      </c>
      <c r="AI368" s="7">
        <f>20*LOG10(MAX(AF368,1E-300)*1E6)</f>
        <v>0</v>
      </c>
      <c r="AJ368" s="7">
        <f>20*LOG10(MAX(AG368,1E-300)*1E6)</f>
        <v>0</v>
      </c>
      <c r="AK368" s="7">
        <f>DEGREES(IMARGUMENT(AB368))</f>
        <v>0</v>
      </c>
      <c r="AL368" s="7">
        <f>DEGREES(IMARGUMENT(AC368))</f>
        <v>0</v>
      </c>
      <c r="AM368" s="7">
        <f>DEGREES(IMARGUMENT(AD368))</f>
        <v>0</v>
      </c>
    </row>
    <row r="369" spans="1:39">
      <c r="A369" s="6">
        <f>10^(LOG10(F_START)+(ROW()-ROW($A$2))*(LOG10(F_STOP)-LOG10(F_START))/(N_POINTS-1))</f>
        <v>0</v>
      </c>
      <c r="B369" s="6">
        <f>2*PI()*A369</f>
        <v>0</v>
      </c>
      <c r="C369">
        <f>COMPLEX(2*LINE_PS_DCR,2*B369*LINE_PS_L)</f>
        <v>0</v>
      </c>
      <c r="D369">
        <f>IMSUM(COMPLEX(0,B369*(LINE_PS_CLINE+LINE_PS_CCHA/2)),IMDIV("1",IMPRODUCT("2",COMPLEX(C_THROUGH_ESR,B369*C_THROUGH_ESL-1/(B369*C_THROUGH_C)))))</f>
        <v>0</v>
      </c>
      <c r="E369">
        <f>COMPLEX(2*LINE_INPUT_DCR,2*B369*LINE_INPUT_L)</f>
        <v>0</v>
      </c>
      <c r="F369">
        <f>COMPLEX(0,B369*(LINE_INPUT_CLINE+LINE_INPUT_CCHA/2))</f>
        <v>0</v>
      </c>
      <c r="G369">
        <f>IMPRODUCT("2",IMDIV("1",IMSUM(IMDIV("1",COMPLEX(LDM1_DCR,B369*LDM1_L)),COMPLEX(0,B369*LDM1_CPA))))</f>
        <v>0</v>
      </c>
      <c r="H369">
        <f>IMSUM(IMDIV("1",COMPLEX(CX1_ESR,B369*CX1_ESL-1/(B369*CX1_C))),IMDIV("1",IMSUM(COMPLEX(DUMP1_R,0),COMPLEX(DUMP1_ESR,B369*DUMP1_ESL-1/(B369*DUMP1_C)))))</f>
        <v>0</v>
      </c>
      <c r="I369">
        <f>IMPRODUCT("2",IMDIV("1",IMSUM(IMDIV("1",COMPLEX(LDM2_DCR,B369*LDM2_L)),COMPLEX(0,B369*LDM2_CPA))))</f>
        <v>0</v>
      </c>
      <c r="J369">
        <f>IMSUM(IMDIV("1",COMPLEX(CX2_ESR,B369*CX2_ESL-1/(B369*CX2_C))),IMDIV("1",IMSUM(COMPLEX(DUMP2_R,0),COMPLEX(DUMP2_ESR,B369*DUMP2_ESL-1/(B369*DUMP2_C)))))</f>
        <v>0</v>
      </c>
      <c r="K369">
        <f>IMPRODUCT("2",IMDIV("1",IMSUM(IMDIV("1",COMPLEX(CMC_DCR,B369*CMC_L*(1-CMC_K))),COMPLEX(0,B369*CMC_CPA))))</f>
        <v>0</v>
      </c>
      <c r="L369">
        <f>IMSUM(COMPLEX(0,B369*CMC_CLINE),IMDIV("1",IMPRODUCT("2",COMPLEX(CY_ESR,B369*CY_ESL-1/(B369*CY_C)))),COMPLEX(1/DUMMY_R,0))</f>
        <v>0</v>
      </c>
      <c r="M369">
        <f>IMSUM(D369,IMDIV("1",C369))</f>
        <v>0</v>
      </c>
      <c r="N369">
        <f>IMDIV("1",IMSUM(E369,IMDIV("1",M369)))</f>
        <v>0</v>
      </c>
      <c r="O369">
        <f>IMSUM(F369,N369)</f>
        <v>0</v>
      </c>
      <c r="P369">
        <f>IMDIV("1",IMSUM(G369,IMDIV("1",O369)))</f>
        <v>0</v>
      </c>
      <c r="Q369">
        <f>IMSUM(H369,P369)</f>
        <v>0</v>
      </c>
      <c r="R369">
        <f>IMDIV("1",IMSUM(I369,IMDIV("1",Q369)))</f>
        <v>0</v>
      </c>
      <c r="S369">
        <f>IMSUM(J369,R369)</f>
        <v>0</v>
      </c>
      <c r="T369">
        <f>IMDIV("1",IMSUM(K369,IMDIV("1",S369)))</f>
        <v>0</v>
      </c>
      <c r="U369">
        <f>IMSUM(L369,T369)</f>
        <v>0</v>
      </c>
      <c r="V369">
        <f>IMDIV(COMPLEX(I_DM_SOURCE,0),U369)</f>
        <v>0</v>
      </c>
      <c r="W369">
        <f>IMPRODUCT(V369,T369)</f>
        <v>0</v>
      </c>
      <c r="X369">
        <f>IMDIV(W369,S369)</f>
        <v>0</v>
      </c>
      <c r="Y369">
        <f>IMPRODUCT(X369,R369)</f>
        <v>0</v>
      </c>
      <c r="Z369">
        <f>IMDIV(Y369,Q369)</f>
        <v>0</v>
      </c>
      <c r="AA369">
        <f>IMPRODUCT(Z369,P369)</f>
        <v>0</v>
      </c>
      <c r="AB369">
        <f>AA369</f>
        <v>0</v>
      </c>
      <c r="AC369">
        <f>IMPRODUCT("-1",AB369)</f>
        <v>0</v>
      </c>
      <c r="AD369">
        <f>IMDIV(IMSUB(AB369,AC369),"2")</f>
        <v>0</v>
      </c>
      <c r="AE369" s="6">
        <f>IMABS(AB369)</f>
        <v>0</v>
      </c>
      <c r="AF369" s="6">
        <f>IMABS(AC369)</f>
        <v>0</v>
      </c>
      <c r="AG369" s="6">
        <f>IMABS(AD369)</f>
        <v>0</v>
      </c>
      <c r="AH369" s="7">
        <f>20*LOG10(MAX(AE369,1E-300)*1E6)</f>
        <v>0</v>
      </c>
      <c r="AI369" s="7">
        <f>20*LOG10(MAX(AF369,1E-300)*1E6)</f>
        <v>0</v>
      </c>
      <c r="AJ369" s="7">
        <f>20*LOG10(MAX(AG369,1E-300)*1E6)</f>
        <v>0</v>
      </c>
      <c r="AK369" s="7">
        <f>DEGREES(IMARGUMENT(AB369))</f>
        <v>0</v>
      </c>
      <c r="AL369" s="7">
        <f>DEGREES(IMARGUMENT(AC369))</f>
        <v>0</v>
      </c>
      <c r="AM369" s="7">
        <f>DEGREES(IMARGUMENT(AD369))</f>
        <v>0</v>
      </c>
    </row>
    <row r="370" spans="1:39">
      <c r="A370" s="6">
        <f>10^(LOG10(F_START)+(ROW()-ROW($A$2))*(LOG10(F_STOP)-LOG10(F_START))/(N_POINTS-1))</f>
        <v>0</v>
      </c>
      <c r="B370" s="6">
        <f>2*PI()*A370</f>
        <v>0</v>
      </c>
      <c r="C370">
        <f>COMPLEX(2*LINE_PS_DCR,2*B370*LINE_PS_L)</f>
        <v>0</v>
      </c>
      <c r="D370">
        <f>IMSUM(COMPLEX(0,B370*(LINE_PS_CLINE+LINE_PS_CCHA/2)),IMDIV("1",IMPRODUCT("2",COMPLEX(C_THROUGH_ESR,B370*C_THROUGH_ESL-1/(B370*C_THROUGH_C)))))</f>
        <v>0</v>
      </c>
      <c r="E370">
        <f>COMPLEX(2*LINE_INPUT_DCR,2*B370*LINE_INPUT_L)</f>
        <v>0</v>
      </c>
      <c r="F370">
        <f>COMPLEX(0,B370*(LINE_INPUT_CLINE+LINE_INPUT_CCHA/2))</f>
        <v>0</v>
      </c>
      <c r="G370">
        <f>IMPRODUCT("2",IMDIV("1",IMSUM(IMDIV("1",COMPLEX(LDM1_DCR,B370*LDM1_L)),COMPLEX(0,B370*LDM1_CPA))))</f>
        <v>0</v>
      </c>
      <c r="H370">
        <f>IMSUM(IMDIV("1",COMPLEX(CX1_ESR,B370*CX1_ESL-1/(B370*CX1_C))),IMDIV("1",IMSUM(COMPLEX(DUMP1_R,0),COMPLEX(DUMP1_ESR,B370*DUMP1_ESL-1/(B370*DUMP1_C)))))</f>
        <v>0</v>
      </c>
      <c r="I370">
        <f>IMPRODUCT("2",IMDIV("1",IMSUM(IMDIV("1",COMPLEX(LDM2_DCR,B370*LDM2_L)),COMPLEX(0,B370*LDM2_CPA))))</f>
        <v>0</v>
      </c>
      <c r="J370">
        <f>IMSUM(IMDIV("1",COMPLEX(CX2_ESR,B370*CX2_ESL-1/(B370*CX2_C))),IMDIV("1",IMSUM(COMPLEX(DUMP2_R,0),COMPLEX(DUMP2_ESR,B370*DUMP2_ESL-1/(B370*DUMP2_C)))))</f>
        <v>0</v>
      </c>
      <c r="K370">
        <f>IMPRODUCT("2",IMDIV("1",IMSUM(IMDIV("1",COMPLEX(CMC_DCR,B370*CMC_L*(1-CMC_K))),COMPLEX(0,B370*CMC_CPA))))</f>
        <v>0</v>
      </c>
      <c r="L370">
        <f>IMSUM(COMPLEX(0,B370*CMC_CLINE),IMDIV("1",IMPRODUCT("2",COMPLEX(CY_ESR,B370*CY_ESL-1/(B370*CY_C)))),COMPLEX(1/DUMMY_R,0))</f>
        <v>0</v>
      </c>
      <c r="M370">
        <f>IMSUM(D370,IMDIV("1",C370))</f>
        <v>0</v>
      </c>
      <c r="N370">
        <f>IMDIV("1",IMSUM(E370,IMDIV("1",M370)))</f>
        <v>0</v>
      </c>
      <c r="O370">
        <f>IMSUM(F370,N370)</f>
        <v>0</v>
      </c>
      <c r="P370">
        <f>IMDIV("1",IMSUM(G370,IMDIV("1",O370)))</f>
        <v>0</v>
      </c>
      <c r="Q370">
        <f>IMSUM(H370,P370)</f>
        <v>0</v>
      </c>
      <c r="R370">
        <f>IMDIV("1",IMSUM(I370,IMDIV("1",Q370)))</f>
        <v>0</v>
      </c>
      <c r="S370">
        <f>IMSUM(J370,R370)</f>
        <v>0</v>
      </c>
      <c r="T370">
        <f>IMDIV("1",IMSUM(K370,IMDIV("1",S370)))</f>
        <v>0</v>
      </c>
      <c r="U370">
        <f>IMSUM(L370,T370)</f>
        <v>0</v>
      </c>
      <c r="V370">
        <f>IMDIV(COMPLEX(I_DM_SOURCE,0),U370)</f>
        <v>0</v>
      </c>
      <c r="W370">
        <f>IMPRODUCT(V370,T370)</f>
        <v>0</v>
      </c>
      <c r="X370">
        <f>IMDIV(W370,S370)</f>
        <v>0</v>
      </c>
      <c r="Y370">
        <f>IMPRODUCT(X370,R370)</f>
        <v>0</v>
      </c>
      <c r="Z370">
        <f>IMDIV(Y370,Q370)</f>
        <v>0</v>
      </c>
      <c r="AA370">
        <f>IMPRODUCT(Z370,P370)</f>
        <v>0</v>
      </c>
      <c r="AB370">
        <f>AA370</f>
        <v>0</v>
      </c>
      <c r="AC370">
        <f>IMPRODUCT("-1",AB370)</f>
        <v>0</v>
      </c>
      <c r="AD370">
        <f>IMDIV(IMSUB(AB370,AC370),"2")</f>
        <v>0</v>
      </c>
      <c r="AE370" s="6">
        <f>IMABS(AB370)</f>
        <v>0</v>
      </c>
      <c r="AF370" s="6">
        <f>IMABS(AC370)</f>
        <v>0</v>
      </c>
      <c r="AG370" s="6">
        <f>IMABS(AD370)</f>
        <v>0</v>
      </c>
      <c r="AH370" s="7">
        <f>20*LOG10(MAX(AE370,1E-300)*1E6)</f>
        <v>0</v>
      </c>
      <c r="AI370" s="7">
        <f>20*LOG10(MAX(AF370,1E-300)*1E6)</f>
        <v>0</v>
      </c>
      <c r="AJ370" s="7">
        <f>20*LOG10(MAX(AG370,1E-300)*1E6)</f>
        <v>0</v>
      </c>
      <c r="AK370" s="7">
        <f>DEGREES(IMARGUMENT(AB370))</f>
        <v>0</v>
      </c>
      <c r="AL370" s="7">
        <f>DEGREES(IMARGUMENT(AC370))</f>
        <v>0</v>
      </c>
      <c r="AM370" s="7">
        <f>DEGREES(IMARGUMENT(AD370))</f>
        <v>0</v>
      </c>
    </row>
    <row r="371" spans="1:39">
      <c r="A371" s="6">
        <f>10^(LOG10(F_START)+(ROW()-ROW($A$2))*(LOG10(F_STOP)-LOG10(F_START))/(N_POINTS-1))</f>
        <v>0</v>
      </c>
      <c r="B371" s="6">
        <f>2*PI()*A371</f>
        <v>0</v>
      </c>
      <c r="C371">
        <f>COMPLEX(2*LINE_PS_DCR,2*B371*LINE_PS_L)</f>
        <v>0</v>
      </c>
      <c r="D371">
        <f>IMSUM(COMPLEX(0,B371*(LINE_PS_CLINE+LINE_PS_CCHA/2)),IMDIV("1",IMPRODUCT("2",COMPLEX(C_THROUGH_ESR,B371*C_THROUGH_ESL-1/(B371*C_THROUGH_C)))))</f>
        <v>0</v>
      </c>
      <c r="E371">
        <f>COMPLEX(2*LINE_INPUT_DCR,2*B371*LINE_INPUT_L)</f>
        <v>0</v>
      </c>
      <c r="F371">
        <f>COMPLEX(0,B371*(LINE_INPUT_CLINE+LINE_INPUT_CCHA/2))</f>
        <v>0</v>
      </c>
      <c r="G371">
        <f>IMPRODUCT("2",IMDIV("1",IMSUM(IMDIV("1",COMPLEX(LDM1_DCR,B371*LDM1_L)),COMPLEX(0,B371*LDM1_CPA))))</f>
        <v>0</v>
      </c>
      <c r="H371">
        <f>IMSUM(IMDIV("1",COMPLEX(CX1_ESR,B371*CX1_ESL-1/(B371*CX1_C))),IMDIV("1",IMSUM(COMPLEX(DUMP1_R,0),COMPLEX(DUMP1_ESR,B371*DUMP1_ESL-1/(B371*DUMP1_C)))))</f>
        <v>0</v>
      </c>
      <c r="I371">
        <f>IMPRODUCT("2",IMDIV("1",IMSUM(IMDIV("1",COMPLEX(LDM2_DCR,B371*LDM2_L)),COMPLEX(0,B371*LDM2_CPA))))</f>
        <v>0</v>
      </c>
      <c r="J371">
        <f>IMSUM(IMDIV("1",COMPLEX(CX2_ESR,B371*CX2_ESL-1/(B371*CX2_C))),IMDIV("1",IMSUM(COMPLEX(DUMP2_R,0),COMPLEX(DUMP2_ESR,B371*DUMP2_ESL-1/(B371*DUMP2_C)))))</f>
        <v>0</v>
      </c>
      <c r="K371">
        <f>IMPRODUCT("2",IMDIV("1",IMSUM(IMDIV("1",COMPLEX(CMC_DCR,B371*CMC_L*(1-CMC_K))),COMPLEX(0,B371*CMC_CPA))))</f>
        <v>0</v>
      </c>
      <c r="L371">
        <f>IMSUM(COMPLEX(0,B371*CMC_CLINE),IMDIV("1",IMPRODUCT("2",COMPLEX(CY_ESR,B371*CY_ESL-1/(B371*CY_C)))),COMPLEX(1/DUMMY_R,0))</f>
        <v>0</v>
      </c>
      <c r="M371">
        <f>IMSUM(D371,IMDIV("1",C371))</f>
        <v>0</v>
      </c>
      <c r="N371">
        <f>IMDIV("1",IMSUM(E371,IMDIV("1",M371)))</f>
        <v>0</v>
      </c>
      <c r="O371">
        <f>IMSUM(F371,N371)</f>
        <v>0</v>
      </c>
      <c r="P371">
        <f>IMDIV("1",IMSUM(G371,IMDIV("1",O371)))</f>
        <v>0</v>
      </c>
      <c r="Q371">
        <f>IMSUM(H371,P371)</f>
        <v>0</v>
      </c>
      <c r="R371">
        <f>IMDIV("1",IMSUM(I371,IMDIV("1",Q371)))</f>
        <v>0</v>
      </c>
      <c r="S371">
        <f>IMSUM(J371,R371)</f>
        <v>0</v>
      </c>
      <c r="T371">
        <f>IMDIV("1",IMSUM(K371,IMDIV("1",S371)))</f>
        <v>0</v>
      </c>
      <c r="U371">
        <f>IMSUM(L371,T371)</f>
        <v>0</v>
      </c>
      <c r="V371">
        <f>IMDIV(COMPLEX(I_DM_SOURCE,0),U371)</f>
        <v>0</v>
      </c>
      <c r="W371">
        <f>IMPRODUCT(V371,T371)</f>
        <v>0</v>
      </c>
      <c r="X371">
        <f>IMDIV(W371,S371)</f>
        <v>0</v>
      </c>
      <c r="Y371">
        <f>IMPRODUCT(X371,R371)</f>
        <v>0</v>
      </c>
      <c r="Z371">
        <f>IMDIV(Y371,Q371)</f>
        <v>0</v>
      </c>
      <c r="AA371">
        <f>IMPRODUCT(Z371,P371)</f>
        <v>0</v>
      </c>
      <c r="AB371">
        <f>AA371</f>
        <v>0</v>
      </c>
      <c r="AC371">
        <f>IMPRODUCT("-1",AB371)</f>
        <v>0</v>
      </c>
      <c r="AD371">
        <f>IMDIV(IMSUB(AB371,AC371),"2")</f>
        <v>0</v>
      </c>
      <c r="AE371" s="6">
        <f>IMABS(AB371)</f>
        <v>0</v>
      </c>
      <c r="AF371" s="6">
        <f>IMABS(AC371)</f>
        <v>0</v>
      </c>
      <c r="AG371" s="6">
        <f>IMABS(AD371)</f>
        <v>0</v>
      </c>
      <c r="AH371" s="7">
        <f>20*LOG10(MAX(AE371,1E-300)*1E6)</f>
        <v>0</v>
      </c>
      <c r="AI371" s="7">
        <f>20*LOG10(MAX(AF371,1E-300)*1E6)</f>
        <v>0</v>
      </c>
      <c r="AJ371" s="7">
        <f>20*LOG10(MAX(AG371,1E-300)*1E6)</f>
        <v>0</v>
      </c>
      <c r="AK371" s="7">
        <f>DEGREES(IMARGUMENT(AB371))</f>
        <v>0</v>
      </c>
      <c r="AL371" s="7">
        <f>DEGREES(IMARGUMENT(AC371))</f>
        <v>0</v>
      </c>
      <c r="AM371" s="7">
        <f>DEGREES(IMARGUMENT(AD371))</f>
        <v>0</v>
      </c>
    </row>
    <row r="372" spans="1:39">
      <c r="A372" s="6">
        <f>10^(LOG10(F_START)+(ROW()-ROW($A$2))*(LOG10(F_STOP)-LOG10(F_START))/(N_POINTS-1))</f>
        <v>0</v>
      </c>
      <c r="B372" s="6">
        <f>2*PI()*A372</f>
        <v>0</v>
      </c>
      <c r="C372">
        <f>COMPLEX(2*LINE_PS_DCR,2*B372*LINE_PS_L)</f>
        <v>0</v>
      </c>
      <c r="D372">
        <f>IMSUM(COMPLEX(0,B372*(LINE_PS_CLINE+LINE_PS_CCHA/2)),IMDIV("1",IMPRODUCT("2",COMPLEX(C_THROUGH_ESR,B372*C_THROUGH_ESL-1/(B372*C_THROUGH_C)))))</f>
        <v>0</v>
      </c>
      <c r="E372">
        <f>COMPLEX(2*LINE_INPUT_DCR,2*B372*LINE_INPUT_L)</f>
        <v>0</v>
      </c>
      <c r="F372">
        <f>COMPLEX(0,B372*(LINE_INPUT_CLINE+LINE_INPUT_CCHA/2))</f>
        <v>0</v>
      </c>
      <c r="G372">
        <f>IMPRODUCT("2",IMDIV("1",IMSUM(IMDIV("1",COMPLEX(LDM1_DCR,B372*LDM1_L)),COMPLEX(0,B372*LDM1_CPA))))</f>
        <v>0</v>
      </c>
      <c r="H372">
        <f>IMSUM(IMDIV("1",COMPLEX(CX1_ESR,B372*CX1_ESL-1/(B372*CX1_C))),IMDIV("1",IMSUM(COMPLEX(DUMP1_R,0),COMPLEX(DUMP1_ESR,B372*DUMP1_ESL-1/(B372*DUMP1_C)))))</f>
        <v>0</v>
      </c>
      <c r="I372">
        <f>IMPRODUCT("2",IMDIV("1",IMSUM(IMDIV("1",COMPLEX(LDM2_DCR,B372*LDM2_L)),COMPLEX(0,B372*LDM2_CPA))))</f>
        <v>0</v>
      </c>
      <c r="J372">
        <f>IMSUM(IMDIV("1",COMPLEX(CX2_ESR,B372*CX2_ESL-1/(B372*CX2_C))),IMDIV("1",IMSUM(COMPLEX(DUMP2_R,0),COMPLEX(DUMP2_ESR,B372*DUMP2_ESL-1/(B372*DUMP2_C)))))</f>
        <v>0</v>
      </c>
      <c r="K372">
        <f>IMPRODUCT("2",IMDIV("1",IMSUM(IMDIV("1",COMPLEX(CMC_DCR,B372*CMC_L*(1-CMC_K))),COMPLEX(0,B372*CMC_CPA))))</f>
        <v>0</v>
      </c>
      <c r="L372">
        <f>IMSUM(COMPLEX(0,B372*CMC_CLINE),IMDIV("1",IMPRODUCT("2",COMPLEX(CY_ESR,B372*CY_ESL-1/(B372*CY_C)))),COMPLEX(1/DUMMY_R,0))</f>
        <v>0</v>
      </c>
      <c r="M372">
        <f>IMSUM(D372,IMDIV("1",C372))</f>
        <v>0</v>
      </c>
      <c r="N372">
        <f>IMDIV("1",IMSUM(E372,IMDIV("1",M372)))</f>
        <v>0</v>
      </c>
      <c r="O372">
        <f>IMSUM(F372,N372)</f>
        <v>0</v>
      </c>
      <c r="P372">
        <f>IMDIV("1",IMSUM(G372,IMDIV("1",O372)))</f>
        <v>0</v>
      </c>
      <c r="Q372">
        <f>IMSUM(H372,P372)</f>
        <v>0</v>
      </c>
      <c r="R372">
        <f>IMDIV("1",IMSUM(I372,IMDIV("1",Q372)))</f>
        <v>0</v>
      </c>
      <c r="S372">
        <f>IMSUM(J372,R372)</f>
        <v>0</v>
      </c>
      <c r="T372">
        <f>IMDIV("1",IMSUM(K372,IMDIV("1",S372)))</f>
        <v>0</v>
      </c>
      <c r="U372">
        <f>IMSUM(L372,T372)</f>
        <v>0</v>
      </c>
      <c r="V372">
        <f>IMDIV(COMPLEX(I_DM_SOURCE,0),U372)</f>
        <v>0</v>
      </c>
      <c r="W372">
        <f>IMPRODUCT(V372,T372)</f>
        <v>0</v>
      </c>
      <c r="X372">
        <f>IMDIV(W372,S372)</f>
        <v>0</v>
      </c>
      <c r="Y372">
        <f>IMPRODUCT(X372,R372)</f>
        <v>0</v>
      </c>
      <c r="Z372">
        <f>IMDIV(Y372,Q372)</f>
        <v>0</v>
      </c>
      <c r="AA372">
        <f>IMPRODUCT(Z372,P372)</f>
        <v>0</v>
      </c>
      <c r="AB372">
        <f>AA372</f>
        <v>0</v>
      </c>
      <c r="AC372">
        <f>IMPRODUCT("-1",AB372)</f>
        <v>0</v>
      </c>
      <c r="AD372">
        <f>IMDIV(IMSUB(AB372,AC372),"2")</f>
        <v>0</v>
      </c>
      <c r="AE372" s="6">
        <f>IMABS(AB372)</f>
        <v>0</v>
      </c>
      <c r="AF372" s="6">
        <f>IMABS(AC372)</f>
        <v>0</v>
      </c>
      <c r="AG372" s="6">
        <f>IMABS(AD372)</f>
        <v>0</v>
      </c>
      <c r="AH372" s="7">
        <f>20*LOG10(MAX(AE372,1E-300)*1E6)</f>
        <v>0</v>
      </c>
      <c r="AI372" s="7">
        <f>20*LOG10(MAX(AF372,1E-300)*1E6)</f>
        <v>0</v>
      </c>
      <c r="AJ372" s="7">
        <f>20*LOG10(MAX(AG372,1E-300)*1E6)</f>
        <v>0</v>
      </c>
      <c r="AK372" s="7">
        <f>DEGREES(IMARGUMENT(AB372))</f>
        <v>0</v>
      </c>
      <c r="AL372" s="7">
        <f>DEGREES(IMARGUMENT(AC372))</f>
        <v>0</v>
      </c>
      <c r="AM372" s="7">
        <f>DEGREES(IMARGUMENT(AD372))</f>
        <v>0</v>
      </c>
    </row>
    <row r="373" spans="1:39">
      <c r="A373" s="6">
        <f>10^(LOG10(F_START)+(ROW()-ROW($A$2))*(LOG10(F_STOP)-LOG10(F_START))/(N_POINTS-1))</f>
        <v>0</v>
      </c>
      <c r="B373" s="6">
        <f>2*PI()*A373</f>
        <v>0</v>
      </c>
      <c r="C373">
        <f>COMPLEX(2*LINE_PS_DCR,2*B373*LINE_PS_L)</f>
        <v>0</v>
      </c>
      <c r="D373">
        <f>IMSUM(COMPLEX(0,B373*(LINE_PS_CLINE+LINE_PS_CCHA/2)),IMDIV("1",IMPRODUCT("2",COMPLEX(C_THROUGH_ESR,B373*C_THROUGH_ESL-1/(B373*C_THROUGH_C)))))</f>
        <v>0</v>
      </c>
      <c r="E373">
        <f>COMPLEX(2*LINE_INPUT_DCR,2*B373*LINE_INPUT_L)</f>
        <v>0</v>
      </c>
      <c r="F373">
        <f>COMPLEX(0,B373*(LINE_INPUT_CLINE+LINE_INPUT_CCHA/2))</f>
        <v>0</v>
      </c>
      <c r="G373">
        <f>IMPRODUCT("2",IMDIV("1",IMSUM(IMDIV("1",COMPLEX(LDM1_DCR,B373*LDM1_L)),COMPLEX(0,B373*LDM1_CPA))))</f>
        <v>0</v>
      </c>
      <c r="H373">
        <f>IMSUM(IMDIV("1",COMPLEX(CX1_ESR,B373*CX1_ESL-1/(B373*CX1_C))),IMDIV("1",IMSUM(COMPLEX(DUMP1_R,0),COMPLEX(DUMP1_ESR,B373*DUMP1_ESL-1/(B373*DUMP1_C)))))</f>
        <v>0</v>
      </c>
      <c r="I373">
        <f>IMPRODUCT("2",IMDIV("1",IMSUM(IMDIV("1",COMPLEX(LDM2_DCR,B373*LDM2_L)),COMPLEX(0,B373*LDM2_CPA))))</f>
        <v>0</v>
      </c>
      <c r="J373">
        <f>IMSUM(IMDIV("1",COMPLEX(CX2_ESR,B373*CX2_ESL-1/(B373*CX2_C))),IMDIV("1",IMSUM(COMPLEX(DUMP2_R,0),COMPLEX(DUMP2_ESR,B373*DUMP2_ESL-1/(B373*DUMP2_C)))))</f>
        <v>0</v>
      </c>
      <c r="K373">
        <f>IMPRODUCT("2",IMDIV("1",IMSUM(IMDIV("1",COMPLEX(CMC_DCR,B373*CMC_L*(1-CMC_K))),COMPLEX(0,B373*CMC_CPA))))</f>
        <v>0</v>
      </c>
      <c r="L373">
        <f>IMSUM(COMPLEX(0,B373*CMC_CLINE),IMDIV("1",IMPRODUCT("2",COMPLEX(CY_ESR,B373*CY_ESL-1/(B373*CY_C)))),COMPLEX(1/DUMMY_R,0))</f>
        <v>0</v>
      </c>
      <c r="M373">
        <f>IMSUM(D373,IMDIV("1",C373))</f>
        <v>0</v>
      </c>
      <c r="N373">
        <f>IMDIV("1",IMSUM(E373,IMDIV("1",M373)))</f>
        <v>0</v>
      </c>
      <c r="O373">
        <f>IMSUM(F373,N373)</f>
        <v>0</v>
      </c>
      <c r="P373">
        <f>IMDIV("1",IMSUM(G373,IMDIV("1",O373)))</f>
        <v>0</v>
      </c>
      <c r="Q373">
        <f>IMSUM(H373,P373)</f>
        <v>0</v>
      </c>
      <c r="R373">
        <f>IMDIV("1",IMSUM(I373,IMDIV("1",Q373)))</f>
        <v>0</v>
      </c>
      <c r="S373">
        <f>IMSUM(J373,R373)</f>
        <v>0</v>
      </c>
      <c r="T373">
        <f>IMDIV("1",IMSUM(K373,IMDIV("1",S373)))</f>
        <v>0</v>
      </c>
      <c r="U373">
        <f>IMSUM(L373,T373)</f>
        <v>0</v>
      </c>
      <c r="V373">
        <f>IMDIV(COMPLEX(I_DM_SOURCE,0),U373)</f>
        <v>0</v>
      </c>
      <c r="W373">
        <f>IMPRODUCT(V373,T373)</f>
        <v>0</v>
      </c>
      <c r="X373">
        <f>IMDIV(W373,S373)</f>
        <v>0</v>
      </c>
      <c r="Y373">
        <f>IMPRODUCT(X373,R373)</f>
        <v>0</v>
      </c>
      <c r="Z373">
        <f>IMDIV(Y373,Q373)</f>
        <v>0</v>
      </c>
      <c r="AA373">
        <f>IMPRODUCT(Z373,P373)</f>
        <v>0</v>
      </c>
      <c r="AB373">
        <f>AA373</f>
        <v>0</v>
      </c>
      <c r="AC373">
        <f>IMPRODUCT("-1",AB373)</f>
        <v>0</v>
      </c>
      <c r="AD373">
        <f>IMDIV(IMSUB(AB373,AC373),"2")</f>
        <v>0</v>
      </c>
      <c r="AE373" s="6">
        <f>IMABS(AB373)</f>
        <v>0</v>
      </c>
      <c r="AF373" s="6">
        <f>IMABS(AC373)</f>
        <v>0</v>
      </c>
      <c r="AG373" s="6">
        <f>IMABS(AD373)</f>
        <v>0</v>
      </c>
      <c r="AH373" s="7">
        <f>20*LOG10(MAX(AE373,1E-300)*1E6)</f>
        <v>0</v>
      </c>
      <c r="AI373" s="7">
        <f>20*LOG10(MAX(AF373,1E-300)*1E6)</f>
        <v>0</v>
      </c>
      <c r="AJ373" s="7">
        <f>20*LOG10(MAX(AG373,1E-300)*1E6)</f>
        <v>0</v>
      </c>
      <c r="AK373" s="7">
        <f>DEGREES(IMARGUMENT(AB373))</f>
        <v>0</v>
      </c>
      <c r="AL373" s="7">
        <f>DEGREES(IMARGUMENT(AC373))</f>
        <v>0</v>
      </c>
      <c r="AM373" s="7">
        <f>DEGREES(IMARGUMENT(AD373))</f>
        <v>0</v>
      </c>
    </row>
    <row r="374" spans="1:39">
      <c r="A374" s="6">
        <f>10^(LOG10(F_START)+(ROW()-ROW($A$2))*(LOG10(F_STOP)-LOG10(F_START))/(N_POINTS-1))</f>
        <v>0</v>
      </c>
      <c r="B374" s="6">
        <f>2*PI()*A374</f>
        <v>0</v>
      </c>
      <c r="C374">
        <f>COMPLEX(2*LINE_PS_DCR,2*B374*LINE_PS_L)</f>
        <v>0</v>
      </c>
      <c r="D374">
        <f>IMSUM(COMPLEX(0,B374*(LINE_PS_CLINE+LINE_PS_CCHA/2)),IMDIV("1",IMPRODUCT("2",COMPLEX(C_THROUGH_ESR,B374*C_THROUGH_ESL-1/(B374*C_THROUGH_C)))))</f>
        <v>0</v>
      </c>
      <c r="E374">
        <f>COMPLEX(2*LINE_INPUT_DCR,2*B374*LINE_INPUT_L)</f>
        <v>0</v>
      </c>
      <c r="F374">
        <f>COMPLEX(0,B374*(LINE_INPUT_CLINE+LINE_INPUT_CCHA/2))</f>
        <v>0</v>
      </c>
      <c r="G374">
        <f>IMPRODUCT("2",IMDIV("1",IMSUM(IMDIV("1",COMPLEX(LDM1_DCR,B374*LDM1_L)),COMPLEX(0,B374*LDM1_CPA))))</f>
        <v>0</v>
      </c>
      <c r="H374">
        <f>IMSUM(IMDIV("1",COMPLEX(CX1_ESR,B374*CX1_ESL-1/(B374*CX1_C))),IMDIV("1",IMSUM(COMPLEX(DUMP1_R,0),COMPLEX(DUMP1_ESR,B374*DUMP1_ESL-1/(B374*DUMP1_C)))))</f>
        <v>0</v>
      </c>
      <c r="I374">
        <f>IMPRODUCT("2",IMDIV("1",IMSUM(IMDIV("1",COMPLEX(LDM2_DCR,B374*LDM2_L)),COMPLEX(0,B374*LDM2_CPA))))</f>
        <v>0</v>
      </c>
      <c r="J374">
        <f>IMSUM(IMDIV("1",COMPLEX(CX2_ESR,B374*CX2_ESL-1/(B374*CX2_C))),IMDIV("1",IMSUM(COMPLEX(DUMP2_R,0),COMPLEX(DUMP2_ESR,B374*DUMP2_ESL-1/(B374*DUMP2_C)))))</f>
        <v>0</v>
      </c>
      <c r="K374">
        <f>IMPRODUCT("2",IMDIV("1",IMSUM(IMDIV("1",COMPLEX(CMC_DCR,B374*CMC_L*(1-CMC_K))),COMPLEX(0,B374*CMC_CPA))))</f>
        <v>0</v>
      </c>
      <c r="L374">
        <f>IMSUM(COMPLEX(0,B374*CMC_CLINE),IMDIV("1",IMPRODUCT("2",COMPLEX(CY_ESR,B374*CY_ESL-1/(B374*CY_C)))),COMPLEX(1/DUMMY_R,0))</f>
        <v>0</v>
      </c>
      <c r="M374">
        <f>IMSUM(D374,IMDIV("1",C374))</f>
        <v>0</v>
      </c>
      <c r="N374">
        <f>IMDIV("1",IMSUM(E374,IMDIV("1",M374)))</f>
        <v>0</v>
      </c>
      <c r="O374">
        <f>IMSUM(F374,N374)</f>
        <v>0</v>
      </c>
      <c r="P374">
        <f>IMDIV("1",IMSUM(G374,IMDIV("1",O374)))</f>
        <v>0</v>
      </c>
      <c r="Q374">
        <f>IMSUM(H374,P374)</f>
        <v>0</v>
      </c>
      <c r="R374">
        <f>IMDIV("1",IMSUM(I374,IMDIV("1",Q374)))</f>
        <v>0</v>
      </c>
      <c r="S374">
        <f>IMSUM(J374,R374)</f>
        <v>0</v>
      </c>
      <c r="T374">
        <f>IMDIV("1",IMSUM(K374,IMDIV("1",S374)))</f>
        <v>0</v>
      </c>
      <c r="U374">
        <f>IMSUM(L374,T374)</f>
        <v>0</v>
      </c>
      <c r="V374">
        <f>IMDIV(COMPLEX(I_DM_SOURCE,0),U374)</f>
        <v>0</v>
      </c>
      <c r="W374">
        <f>IMPRODUCT(V374,T374)</f>
        <v>0</v>
      </c>
      <c r="X374">
        <f>IMDIV(W374,S374)</f>
        <v>0</v>
      </c>
      <c r="Y374">
        <f>IMPRODUCT(X374,R374)</f>
        <v>0</v>
      </c>
      <c r="Z374">
        <f>IMDIV(Y374,Q374)</f>
        <v>0</v>
      </c>
      <c r="AA374">
        <f>IMPRODUCT(Z374,P374)</f>
        <v>0</v>
      </c>
      <c r="AB374">
        <f>AA374</f>
        <v>0</v>
      </c>
      <c r="AC374">
        <f>IMPRODUCT("-1",AB374)</f>
        <v>0</v>
      </c>
      <c r="AD374">
        <f>IMDIV(IMSUB(AB374,AC374),"2")</f>
        <v>0</v>
      </c>
      <c r="AE374" s="6">
        <f>IMABS(AB374)</f>
        <v>0</v>
      </c>
      <c r="AF374" s="6">
        <f>IMABS(AC374)</f>
        <v>0</v>
      </c>
      <c r="AG374" s="6">
        <f>IMABS(AD374)</f>
        <v>0</v>
      </c>
      <c r="AH374" s="7">
        <f>20*LOG10(MAX(AE374,1E-300)*1E6)</f>
        <v>0</v>
      </c>
      <c r="AI374" s="7">
        <f>20*LOG10(MAX(AF374,1E-300)*1E6)</f>
        <v>0</v>
      </c>
      <c r="AJ374" s="7">
        <f>20*LOG10(MAX(AG374,1E-300)*1E6)</f>
        <v>0</v>
      </c>
      <c r="AK374" s="7">
        <f>DEGREES(IMARGUMENT(AB374))</f>
        <v>0</v>
      </c>
      <c r="AL374" s="7">
        <f>DEGREES(IMARGUMENT(AC374))</f>
        <v>0</v>
      </c>
      <c r="AM374" s="7">
        <f>DEGREES(IMARGUMENT(AD374))</f>
        <v>0</v>
      </c>
    </row>
    <row r="375" spans="1:39">
      <c r="A375" s="6">
        <f>10^(LOG10(F_START)+(ROW()-ROW($A$2))*(LOG10(F_STOP)-LOG10(F_START))/(N_POINTS-1))</f>
        <v>0</v>
      </c>
      <c r="B375" s="6">
        <f>2*PI()*A375</f>
        <v>0</v>
      </c>
      <c r="C375">
        <f>COMPLEX(2*LINE_PS_DCR,2*B375*LINE_PS_L)</f>
        <v>0</v>
      </c>
      <c r="D375">
        <f>IMSUM(COMPLEX(0,B375*(LINE_PS_CLINE+LINE_PS_CCHA/2)),IMDIV("1",IMPRODUCT("2",COMPLEX(C_THROUGH_ESR,B375*C_THROUGH_ESL-1/(B375*C_THROUGH_C)))))</f>
        <v>0</v>
      </c>
      <c r="E375">
        <f>COMPLEX(2*LINE_INPUT_DCR,2*B375*LINE_INPUT_L)</f>
        <v>0</v>
      </c>
      <c r="F375">
        <f>COMPLEX(0,B375*(LINE_INPUT_CLINE+LINE_INPUT_CCHA/2))</f>
        <v>0</v>
      </c>
      <c r="G375">
        <f>IMPRODUCT("2",IMDIV("1",IMSUM(IMDIV("1",COMPLEX(LDM1_DCR,B375*LDM1_L)),COMPLEX(0,B375*LDM1_CPA))))</f>
        <v>0</v>
      </c>
      <c r="H375">
        <f>IMSUM(IMDIV("1",COMPLEX(CX1_ESR,B375*CX1_ESL-1/(B375*CX1_C))),IMDIV("1",IMSUM(COMPLEX(DUMP1_R,0),COMPLEX(DUMP1_ESR,B375*DUMP1_ESL-1/(B375*DUMP1_C)))))</f>
        <v>0</v>
      </c>
      <c r="I375">
        <f>IMPRODUCT("2",IMDIV("1",IMSUM(IMDIV("1",COMPLEX(LDM2_DCR,B375*LDM2_L)),COMPLEX(0,B375*LDM2_CPA))))</f>
        <v>0</v>
      </c>
      <c r="J375">
        <f>IMSUM(IMDIV("1",COMPLEX(CX2_ESR,B375*CX2_ESL-1/(B375*CX2_C))),IMDIV("1",IMSUM(COMPLEX(DUMP2_R,0),COMPLEX(DUMP2_ESR,B375*DUMP2_ESL-1/(B375*DUMP2_C)))))</f>
        <v>0</v>
      </c>
      <c r="K375">
        <f>IMPRODUCT("2",IMDIV("1",IMSUM(IMDIV("1",COMPLEX(CMC_DCR,B375*CMC_L*(1-CMC_K))),COMPLEX(0,B375*CMC_CPA))))</f>
        <v>0</v>
      </c>
      <c r="L375">
        <f>IMSUM(COMPLEX(0,B375*CMC_CLINE),IMDIV("1",IMPRODUCT("2",COMPLEX(CY_ESR,B375*CY_ESL-1/(B375*CY_C)))),COMPLEX(1/DUMMY_R,0))</f>
        <v>0</v>
      </c>
      <c r="M375">
        <f>IMSUM(D375,IMDIV("1",C375))</f>
        <v>0</v>
      </c>
      <c r="N375">
        <f>IMDIV("1",IMSUM(E375,IMDIV("1",M375)))</f>
        <v>0</v>
      </c>
      <c r="O375">
        <f>IMSUM(F375,N375)</f>
        <v>0</v>
      </c>
      <c r="P375">
        <f>IMDIV("1",IMSUM(G375,IMDIV("1",O375)))</f>
        <v>0</v>
      </c>
      <c r="Q375">
        <f>IMSUM(H375,P375)</f>
        <v>0</v>
      </c>
      <c r="R375">
        <f>IMDIV("1",IMSUM(I375,IMDIV("1",Q375)))</f>
        <v>0</v>
      </c>
      <c r="S375">
        <f>IMSUM(J375,R375)</f>
        <v>0</v>
      </c>
      <c r="T375">
        <f>IMDIV("1",IMSUM(K375,IMDIV("1",S375)))</f>
        <v>0</v>
      </c>
      <c r="U375">
        <f>IMSUM(L375,T375)</f>
        <v>0</v>
      </c>
      <c r="V375">
        <f>IMDIV(COMPLEX(I_DM_SOURCE,0),U375)</f>
        <v>0</v>
      </c>
      <c r="W375">
        <f>IMPRODUCT(V375,T375)</f>
        <v>0</v>
      </c>
      <c r="X375">
        <f>IMDIV(W375,S375)</f>
        <v>0</v>
      </c>
      <c r="Y375">
        <f>IMPRODUCT(X375,R375)</f>
        <v>0</v>
      </c>
      <c r="Z375">
        <f>IMDIV(Y375,Q375)</f>
        <v>0</v>
      </c>
      <c r="AA375">
        <f>IMPRODUCT(Z375,P375)</f>
        <v>0</v>
      </c>
      <c r="AB375">
        <f>AA375</f>
        <v>0</v>
      </c>
      <c r="AC375">
        <f>IMPRODUCT("-1",AB375)</f>
        <v>0</v>
      </c>
      <c r="AD375">
        <f>IMDIV(IMSUB(AB375,AC375),"2")</f>
        <v>0</v>
      </c>
      <c r="AE375" s="6">
        <f>IMABS(AB375)</f>
        <v>0</v>
      </c>
      <c r="AF375" s="6">
        <f>IMABS(AC375)</f>
        <v>0</v>
      </c>
      <c r="AG375" s="6">
        <f>IMABS(AD375)</f>
        <v>0</v>
      </c>
      <c r="AH375" s="7">
        <f>20*LOG10(MAX(AE375,1E-300)*1E6)</f>
        <v>0</v>
      </c>
      <c r="AI375" s="7">
        <f>20*LOG10(MAX(AF375,1E-300)*1E6)</f>
        <v>0</v>
      </c>
      <c r="AJ375" s="7">
        <f>20*LOG10(MAX(AG375,1E-300)*1E6)</f>
        <v>0</v>
      </c>
      <c r="AK375" s="7">
        <f>DEGREES(IMARGUMENT(AB375))</f>
        <v>0</v>
      </c>
      <c r="AL375" s="7">
        <f>DEGREES(IMARGUMENT(AC375))</f>
        <v>0</v>
      </c>
      <c r="AM375" s="7">
        <f>DEGREES(IMARGUMENT(AD375))</f>
        <v>0</v>
      </c>
    </row>
    <row r="376" spans="1:39">
      <c r="A376" s="6">
        <f>10^(LOG10(F_START)+(ROW()-ROW($A$2))*(LOG10(F_STOP)-LOG10(F_START))/(N_POINTS-1))</f>
        <v>0</v>
      </c>
      <c r="B376" s="6">
        <f>2*PI()*A376</f>
        <v>0</v>
      </c>
      <c r="C376">
        <f>COMPLEX(2*LINE_PS_DCR,2*B376*LINE_PS_L)</f>
        <v>0</v>
      </c>
      <c r="D376">
        <f>IMSUM(COMPLEX(0,B376*(LINE_PS_CLINE+LINE_PS_CCHA/2)),IMDIV("1",IMPRODUCT("2",COMPLEX(C_THROUGH_ESR,B376*C_THROUGH_ESL-1/(B376*C_THROUGH_C)))))</f>
        <v>0</v>
      </c>
      <c r="E376">
        <f>COMPLEX(2*LINE_INPUT_DCR,2*B376*LINE_INPUT_L)</f>
        <v>0</v>
      </c>
      <c r="F376">
        <f>COMPLEX(0,B376*(LINE_INPUT_CLINE+LINE_INPUT_CCHA/2))</f>
        <v>0</v>
      </c>
      <c r="G376">
        <f>IMPRODUCT("2",IMDIV("1",IMSUM(IMDIV("1",COMPLEX(LDM1_DCR,B376*LDM1_L)),COMPLEX(0,B376*LDM1_CPA))))</f>
        <v>0</v>
      </c>
      <c r="H376">
        <f>IMSUM(IMDIV("1",COMPLEX(CX1_ESR,B376*CX1_ESL-1/(B376*CX1_C))),IMDIV("1",IMSUM(COMPLEX(DUMP1_R,0),COMPLEX(DUMP1_ESR,B376*DUMP1_ESL-1/(B376*DUMP1_C)))))</f>
        <v>0</v>
      </c>
      <c r="I376">
        <f>IMPRODUCT("2",IMDIV("1",IMSUM(IMDIV("1",COMPLEX(LDM2_DCR,B376*LDM2_L)),COMPLEX(0,B376*LDM2_CPA))))</f>
        <v>0</v>
      </c>
      <c r="J376">
        <f>IMSUM(IMDIV("1",COMPLEX(CX2_ESR,B376*CX2_ESL-1/(B376*CX2_C))),IMDIV("1",IMSUM(COMPLEX(DUMP2_R,0),COMPLEX(DUMP2_ESR,B376*DUMP2_ESL-1/(B376*DUMP2_C)))))</f>
        <v>0</v>
      </c>
      <c r="K376">
        <f>IMPRODUCT("2",IMDIV("1",IMSUM(IMDIV("1",COMPLEX(CMC_DCR,B376*CMC_L*(1-CMC_K))),COMPLEX(0,B376*CMC_CPA))))</f>
        <v>0</v>
      </c>
      <c r="L376">
        <f>IMSUM(COMPLEX(0,B376*CMC_CLINE),IMDIV("1",IMPRODUCT("2",COMPLEX(CY_ESR,B376*CY_ESL-1/(B376*CY_C)))),COMPLEX(1/DUMMY_R,0))</f>
        <v>0</v>
      </c>
      <c r="M376">
        <f>IMSUM(D376,IMDIV("1",C376))</f>
        <v>0</v>
      </c>
      <c r="N376">
        <f>IMDIV("1",IMSUM(E376,IMDIV("1",M376)))</f>
        <v>0</v>
      </c>
      <c r="O376">
        <f>IMSUM(F376,N376)</f>
        <v>0</v>
      </c>
      <c r="P376">
        <f>IMDIV("1",IMSUM(G376,IMDIV("1",O376)))</f>
        <v>0</v>
      </c>
      <c r="Q376">
        <f>IMSUM(H376,P376)</f>
        <v>0</v>
      </c>
      <c r="R376">
        <f>IMDIV("1",IMSUM(I376,IMDIV("1",Q376)))</f>
        <v>0</v>
      </c>
      <c r="S376">
        <f>IMSUM(J376,R376)</f>
        <v>0</v>
      </c>
      <c r="T376">
        <f>IMDIV("1",IMSUM(K376,IMDIV("1",S376)))</f>
        <v>0</v>
      </c>
      <c r="U376">
        <f>IMSUM(L376,T376)</f>
        <v>0</v>
      </c>
      <c r="V376">
        <f>IMDIV(COMPLEX(I_DM_SOURCE,0),U376)</f>
        <v>0</v>
      </c>
      <c r="W376">
        <f>IMPRODUCT(V376,T376)</f>
        <v>0</v>
      </c>
      <c r="X376">
        <f>IMDIV(W376,S376)</f>
        <v>0</v>
      </c>
      <c r="Y376">
        <f>IMPRODUCT(X376,R376)</f>
        <v>0</v>
      </c>
      <c r="Z376">
        <f>IMDIV(Y376,Q376)</f>
        <v>0</v>
      </c>
      <c r="AA376">
        <f>IMPRODUCT(Z376,P376)</f>
        <v>0</v>
      </c>
      <c r="AB376">
        <f>AA376</f>
        <v>0</v>
      </c>
      <c r="AC376">
        <f>IMPRODUCT("-1",AB376)</f>
        <v>0</v>
      </c>
      <c r="AD376">
        <f>IMDIV(IMSUB(AB376,AC376),"2")</f>
        <v>0</v>
      </c>
      <c r="AE376" s="6">
        <f>IMABS(AB376)</f>
        <v>0</v>
      </c>
      <c r="AF376" s="6">
        <f>IMABS(AC376)</f>
        <v>0</v>
      </c>
      <c r="AG376" s="6">
        <f>IMABS(AD376)</f>
        <v>0</v>
      </c>
      <c r="AH376" s="7">
        <f>20*LOG10(MAX(AE376,1E-300)*1E6)</f>
        <v>0</v>
      </c>
      <c r="AI376" s="7">
        <f>20*LOG10(MAX(AF376,1E-300)*1E6)</f>
        <v>0</v>
      </c>
      <c r="AJ376" s="7">
        <f>20*LOG10(MAX(AG376,1E-300)*1E6)</f>
        <v>0</v>
      </c>
      <c r="AK376" s="7">
        <f>DEGREES(IMARGUMENT(AB376))</f>
        <v>0</v>
      </c>
      <c r="AL376" s="7">
        <f>DEGREES(IMARGUMENT(AC376))</f>
        <v>0</v>
      </c>
      <c r="AM376" s="7">
        <f>DEGREES(IMARGUMENT(AD376))</f>
        <v>0</v>
      </c>
    </row>
    <row r="377" spans="1:39">
      <c r="A377" s="6">
        <f>10^(LOG10(F_START)+(ROW()-ROW($A$2))*(LOG10(F_STOP)-LOG10(F_START))/(N_POINTS-1))</f>
        <v>0</v>
      </c>
      <c r="B377" s="6">
        <f>2*PI()*A377</f>
        <v>0</v>
      </c>
      <c r="C377">
        <f>COMPLEX(2*LINE_PS_DCR,2*B377*LINE_PS_L)</f>
        <v>0</v>
      </c>
      <c r="D377">
        <f>IMSUM(COMPLEX(0,B377*(LINE_PS_CLINE+LINE_PS_CCHA/2)),IMDIV("1",IMPRODUCT("2",COMPLEX(C_THROUGH_ESR,B377*C_THROUGH_ESL-1/(B377*C_THROUGH_C)))))</f>
        <v>0</v>
      </c>
      <c r="E377">
        <f>COMPLEX(2*LINE_INPUT_DCR,2*B377*LINE_INPUT_L)</f>
        <v>0</v>
      </c>
      <c r="F377">
        <f>COMPLEX(0,B377*(LINE_INPUT_CLINE+LINE_INPUT_CCHA/2))</f>
        <v>0</v>
      </c>
      <c r="G377">
        <f>IMPRODUCT("2",IMDIV("1",IMSUM(IMDIV("1",COMPLEX(LDM1_DCR,B377*LDM1_L)),COMPLEX(0,B377*LDM1_CPA))))</f>
        <v>0</v>
      </c>
      <c r="H377">
        <f>IMSUM(IMDIV("1",COMPLEX(CX1_ESR,B377*CX1_ESL-1/(B377*CX1_C))),IMDIV("1",IMSUM(COMPLEX(DUMP1_R,0),COMPLEX(DUMP1_ESR,B377*DUMP1_ESL-1/(B377*DUMP1_C)))))</f>
        <v>0</v>
      </c>
      <c r="I377">
        <f>IMPRODUCT("2",IMDIV("1",IMSUM(IMDIV("1",COMPLEX(LDM2_DCR,B377*LDM2_L)),COMPLEX(0,B377*LDM2_CPA))))</f>
        <v>0</v>
      </c>
      <c r="J377">
        <f>IMSUM(IMDIV("1",COMPLEX(CX2_ESR,B377*CX2_ESL-1/(B377*CX2_C))),IMDIV("1",IMSUM(COMPLEX(DUMP2_R,0),COMPLEX(DUMP2_ESR,B377*DUMP2_ESL-1/(B377*DUMP2_C)))))</f>
        <v>0</v>
      </c>
      <c r="K377">
        <f>IMPRODUCT("2",IMDIV("1",IMSUM(IMDIV("1",COMPLEX(CMC_DCR,B377*CMC_L*(1-CMC_K))),COMPLEX(0,B377*CMC_CPA))))</f>
        <v>0</v>
      </c>
      <c r="L377">
        <f>IMSUM(COMPLEX(0,B377*CMC_CLINE),IMDIV("1",IMPRODUCT("2",COMPLEX(CY_ESR,B377*CY_ESL-1/(B377*CY_C)))),COMPLEX(1/DUMMY_R,0))</f>
        <v>0</v>
      </c>
      <c r="M377">
        <f>IMSUM(D377,IMDIV("1",C377))</f>
        <v>0</v>
      </c>
      <c r="N377">
        <f>IMDIV("1",IMSUM(E377,IMDIV("1",M377)))</f>
        <v>0</v>
      </c>
      <c r="O377">
        <f>IMSUM(F377,N377)</f>
        <v>0</v>
      </c>
      <c r="P377">
        <f>IMDIV("1",IMSUM(G377,IMDIV("1",O377)))</f>
        <v>0</v>
      </c>
      <c r="Q377">
        <f>IMSUM(H377,P377)</f>
        <v>0</v>
      </c>
      <c r="R377">
        <f>IMDIV("1",IMSUM(I377,IMDIV("1",Q377)))</f>
        <v>0</v>
      </c>
      <c r="S377">
        <f>IMSUM(J377,R377)</f>
        <v>0</v>
      </c>
      <c r="T377">
        <f>IMDIV("1",IMSUM(K377,IMDIV("1",S377)))</f>
        <v>0</v>
      </c>
      <c r="U377">
        <f>IMSUM(L377,T377)</f>
        <v>0</v>
      </c>
      <c r="V377">
        <f>IMDIV(COMPLEX(I_DM_SOURCE,0),U377)</f>
        <v>0</v>
      </c>
      <c r="W377">
        <f>IMPRODUCT(V377,T377)</f>
        <v>0</v>
      </c>
      <c r="X377">
        <f>IMDIV(W377,S377)</f>
        <v>0</v>
      </c>
      <c r="Y377">
        <f>IMPRODUCT(X377,R377)</f>
        <v>0</v>
      </c>
      <c r="Z377">
        <f>IMDIV(Y377,Q377)</f>
        <v>0</v>
      </c>
      <c r="AA377">
        <f>IMPRODUCT(Z377,P377)</f>
        <v>0</v>
      </c>
      <c r="AB377">
        <f>AA377</f>
        <v>0</v>
      </c>
      <c r="AC377">
        <f>IMPRODUCT("-1",AB377)</f>
        <v>0</v>
      </c>
      <c r="AD377">
        <f>IMDIV(IMSUB(AB377,AC377),"2")</f>
        <v>0</v>
      </c>
      <c r="AE377" s="6">
        <f>IMABS(AB377)</f>
        <v>0</v>
      </c>
      <c r="AF377" s="6">
        <f>IMABS(AC377)</f>
        <v>0</v>
      </c>
      <c r="AG377" s="6">
        <f>IMABS(AD377)</f>
        <v>0</v>
      </c>
      <c r="AH377" s="7">
        <f>20*LOG10(MAX(AE377,1E-300)*1E6)</f>
        <v>0</v>
      </c>
      <c r="AI377" s="7">
        <f>20*LOG10(MAX(AF377,1E-300)*1E6)</f>
        <v>0</v>
      </c>
      <c r="AJ377" s="7">
        <f>20*LOG10(MAX(AG377,1E-300)*1E6)</f>
        <v>0</v>
      </c>
      <c r="AK377" s="7">
        <f>DEGREES(IMARGUMENT(AB377))</f>
        <v>0</v>
      </c>
      <c r="AL377" s="7">
        <f>DEGREES(IMARGUMENT(AC377))</f>
        <v>0</v>
      </c>
      <c r="AM377" s="7">
        <f>DEGREES(IMARGUMENT(AD377))</f>
        <v>0</v>
      </c>
    </row>
    <row r="378" spans="1:39">
      <c r="A378" s="6">
        <f>10^(LOG10(F_START)+(ROW()-ROW($A$2))*(LOG10(F_STOP)-LOG10(F_START))/(N_POINTS-1))</f>
        <v>0</v>
      </c>
      <c r="B378" s="6">
        <f>2*PI()*A378</f>
        <v>0</v>
      </c>
      <c r="C378">
        <f>COMPLEX(2*LINE_PS_DCR,2*B378*LINE_PS_L)</f>
        <v>0</v>
      </c>
      <c r="D378">
        <f>IMSUM(COMPLEX(0,B378*(LINE_PS_CLINE+LINE_PS_CCHA/2)),IMDIV("1",IMPRODUCT("2",COMPLEX(C_THROUGH_ESR,B378*C_THROUGH_ESL-1/(B378*C_THROUGH_C)))))</f>
        <v>0</v>
      </c>
      <c r="E378">
        <f>COMPLEX(2*LINE_INPUT_DCR,2*B378*LINE_INPUT_L)</f>
        <v>0</v>
      </c>
      <c r="F378">
        <f>COMPLEX(0,B378*(LINE_INPUT_CLINE+LINE_INPUT_CCHA/2))</f>
        <v>0</v>
      </c>
      <c r="G378">
        <f>IMPRODUCT("2",IMDIV("1",IMSUM(IMDIV("1",COMPLEX(LDM1_DCR,B378*LDM1_L)),COMPLEX(0,B378*LDM1_CPA))))</f>
        <v>0</v>
      </c>
      <c r="H378">
        <f>IMSUM(IMDIV("1",COMPLEX(CX1_ESR,B378*CX1_ESL-1/(B378*CX1_C))),IMDIV("1",IMSUM(COMPLEX(DUMP1_R,0),COMPLEX(DUMP1_ESR,B378*DUMP1_ESL-1/(B378*DUMP1_C)))))</f>
        <v>0</v>
      </c>
      <c r="I378">
        <f>IMPRODUCT("2",IMDIV("1",IMSUM(IMDIV("1",COMPLEX(LDM2_DCR,B378*LDM2_L)),COMPLEX(0,B378*LDM2_CPA))))</f>
        <v>0</v>
      </c>
      <c r="J378">
        <f>IMSUM(IMDIV("1",COMPLEX(CX2_ESR,B378*CX2_ESL-1/(B378*CX2_C))),IMDIV("1",IMSUM(COMPLEX(DUMP2_R,0),COMPLEX(DUMP2_ESR,B378*DUMP2_ESL-1/(B378*DUMP2_C)))))</f>
        <v>0</v>
      </c>
      <c r="K378">
        <f>IMPRODUCT("2",IMDIV("1",IMSUM(IMDIV("1",COMPLEX(CMC_DCR,B378*CMC_L*(1-CMC_K))),COMPLEX(0,B378*CMC_CPA))))</f>
        <v>0</v>
      </c>
      <c r="L378">
        <f>IMSUM(COMPLEX(0,B378*CMC_CLINE),IMDIV("1",IMPRODUCT("2",COMPLEX(CY_ESR,B378*CY_ESL-1/(B378*CY_C)))),COMPLEX(1/DUMMY_R,0))</f>
        <v>0</v>
      </c>
      <c r="M378">
        <f>IMSUM(D378,IMDIV("1",C378))</f>
        <v>0</v>
      </c>
      <c r="N378">
        <f>IMDIV("1",IMSUM(E378,IMDIV("1",M378)))</f>
        <v>0</v>
      </c>
      <c r="O378">
        <f>IMSUM(F378,N378)</f>
        <v>0</v>
      </c>
      <c r="P378">
        <f>IMDIV("1",IMSUM(G378,IMDIV("1",O378)))</f>
        <v>0</v>
      </c>
      <c r="Q378">
        <f>IMSUM(H378,P378)</f>
        <v>0</v>
      </c>
      <c r="R378">
        <f>IMDIV("1",IMSUM(I378,IMDIV("1",Q378)))</f>
        <v>0</v>
      </c>
      <c r="S378">
        <f>IMSUM(J378,R378)</f>
        <v>0</v>
      </c>
      <c r="T378">
        <f>IMDIV("1",IMSUM(K378,IMDIV("1",S378)))</f>
        <v>0</v>
      </c>
      <c r="U378">
        <f>IMSUM(L378,T378)</f>
        <v>0</v>
      </c>
      <c r="V378">
        <f>IMDIV(COMPLEX(I_DM_SOURCE,0),U378)</f>
        <v>0</v>
      </c>
      <c r="W378">
        <f>IMPRODUCT(V378,T378)</f>
        <v>0</v>
      </c>
      <c r="X378">
        <f>IMDIV(W378,S378)</f>
        <v>0</v>
      </c>
      <c r="Y378">
        <f>IMPRODUCT(X378,R378)</f>
        <v>0</v>
      </c>
      <c r="Z378">
        <f>IMDIV(Y378,Q378)</f>
        <v>0</v>
      </c>
      <c r="AA378">
        <f>IMPRODUCT(Z378,P378)</f>
        <v>0</v>
      </c>
      <c r="AB378">
        <f>AA378</f>
        <v>0</v>
      </c>
      <c r="AC378">
        <f>IMPRODUCT("-1",AB378)</f>
        <v>0</v>
      </c>
      <c r="AD378">
        <f>IMDIV(IMSUB(AB378,AC378),"2")</f>
        <v>0</v>
      </c>
      <c r="AE378" s="6">
        <f>IMABS(AB378)</f>
        <v>0</v>
      </c>
      <c r="AF378" s="6">
        <f>IMABS(AC378)</f>
        <v>0</v>
      </c>
      <c r="AG378" s="6">
        <f>IMABS(AD378)</f>
        <v>0</v>
      </c>
      <c r="AH378" s="7">
        <f>20*LOG10(MAX(AE378,1E-300)*1E6)</f>
        <v>0</v>
      </c>
      <c r="AI378" s="7">
        <f>20*LOG10(MAX(AF378,1E-300)*1E6)</f>
        <v>0</v>
      </c>
      <c r="AJ378" s="7">
        <f>20*LOG10(MAX(AG378,1E-300)*1E6)</f>
        <v>0</v>
      </c>
      <c r="AK378" s="7">
        <f>DEGREES(IMARGUMENT(AB378))</f>
        <v>0</v>
      </c>
      <c r="AL378" s="7">
        <f>DEGREES(IMARGUMENT(AC378))</f>
        <v>0</v>
      </c>
      <c r="AM378" s="7">
        <f>DEGREES(IMARGUMENT(AD378))</f>
        <v>0</v>
      </c>
    </row>
    <row r="379" spans="1:39">
      <c r="A379" s="6">
        <f>10^(LOG10(F_START)+(ROW()-ROW($A$2))*(LOG10(F_STOP)-LOG10(F_START))/(N_POINTS-1))</f>
        <v>0</v>
      </c>
      <c r="B379" s="6">
        <f>2*PI()*A379</f>
        <v>0</v>
      </c>
      <c r="C379">
        <f>COMPLEX(2*LINE_PS_DCR,2*B379*LINE_PS_L)</f>
        <v>0</v>
      </c>
      <c r="D379">
        <f>IMSUM(COMPLEX(0,B379*(LINE_PS_CLINE+LINE_PS_CCHA/2)),IMDIV("1",IMPRODUCT("2",COMPLEX(C_THROUGH_ESR,B379*C_THROUGH_ESL-1/(B379*C_THROUGH_C)))))</f>
        <v>0</v>
      </c>
      <c r="E379">
        <f>COMPLEX(2*LINE_INPUT_DCR,2*B379*LINE_INPUT_L)</f>
        <v>0</v>
      </c>
      <c r="F379">
        <f>COMPLEX(0,B379*(LINE_INPUT_CLINE+LINE_INPUT_CCHA/2))</f>
        <v>0</v>
      </c>
      <c r="G379">
        <f>IMPRODUCT("2",IMDIV("1",IMSUM(IMDIV("1",COMPLEX(LDM1_DCR,B379*LDM1_L)),COMPLEX(0,B379*LDM1_CPA))))</f>
        <v>0</v>
      </c>
      <c r="H379">
        <f>IMSUM(IMDIV("1",COMPLEX(CX1_ESR,B379*CX1_ESL-1/(B379*CX1_C))),IMDIV("1",IMSUM(COMPLEX(DUMP1_R,0),COMPLEX(DUMP1_ESR,B379*DUMP1_ESL-1/(B379*DUMP1_C)))))</f>
        <v>0</v>
      </c>
      <c r="I379">
        <f>IMPRODUCT("2",IMDIV("1",IMSUM(IMDIV("1",COMPLEX(LDM2_DCR,B379*LDM2_L)),COMPLEX(0,B379*LDM2_CPA))))</f>
        <v>0</v>
      </c>
      <c r="J379">
        <f>IMSUM(IMDIV("1",COMPLEX(CX2_ESR,B379*CX2_ESL-1/(B379*CX2_C))),IMDIV("1",IMSUM(COMPLEX(DUMP2_R,0),COMPLEX(DUMP2_ESR,B379*DUMP2_ESL-1/(B379*DUMP2_C)))))</f>
        <v>0</v>
      </c>
      <c r="K379">
        <f>IMPRODUCT("2",IMDIV("1",IMSUM(IMDIV("1",COMPLEX(CMC_DCR,B379*CMC_L*(1-CMC_K))),COMPLEX(0,B379*CMC_CPA))))</f>
        <v>0</v>
      </c>
      <c r="L379">
        <f>IMSUM(COMPLEX(0,B379*CMC_CLINE),IMDIV("1",IMPRODUCT("2",COMPLEX(CY_ESR,B379*CY_ESL-1/(B379*CY_C)))),COMPLEX(1/DUMMY_R,0))</f>
        <v>0</v>
      </c>
      <c r="M379">
        <f>IMSUM(D379,IMDIV("1",C379))</f>
        <v>0</v>
      </c>
      <c r="N379">
        <f>IMDIV("1",IMSUM(E379,IMDIV("1",M379)))</f>
        <v>0</v>
      </c>
      <c r="O379">
        <f>IMSUM(F379,N379)</f>
        <v>0</v>
      </c>
      <c r="P379">
        <f>IMDIV("1",IMSUM(G379,IMDIV("1",O379)))</f>
        <v>0</v>
      </c>
      <c r="Q379">
        <f>IMSUM(H379,P379)</f>
        <v>0</v>
      </c>
      <c r="R379">
        <f>IMDIV("1",IMSUM(I379,IMDIV("1",Q379)))</f>
        <v>0</v>
      </c>
      <c r="S379">
        <f>IMSUM(J379,R379)</f>
        <v>0</v>
      </c>
      <c r="T379">
        <f>IMDIV("1",IMSUM(K379,IMDIV("1",S379)))</f>
        <v>0</v>
      </c>
      <c r="U379">
        <f>IMSUM(L379,T379)</f>
        <v>0</v>
      </c>
      <c r="V379">
        <f>IMDIV(COMPLEX(I_DM_SOURCE,0),U379)</f>
        <v>0</v>
      </c>
      <c r="W379">
        <f>IMPRODUCT(V379,T379)</f>
        <v>0</v>
      </c>
      <c r="X379">
        <f>IMDIV(W379,S379)</f>
        <v>0</v>
      </c>
      <c r="Y379">
        <f>IMPRODUCT(X379,R379)</f>
        <v>0</v>
      </c>
      <c r="Z379">
        <f>IMDIV(Y379,Q379)</f>
        <v>0</v>
      </c>
      <c r="AA379">
        <f>IMPRODUCT(Z379,P379)</f>
        <v>0</v>
      </c>
      <c r="AB379">
        <f>AA379</f>
        <v>0</v>
      </c>
      <c r="AC379">
        <f>IMPRODUCT("-1",AB379)</f>
        <v>0</v>
      </c>
      <c r="AD379">
        <f>IMDIV(IMSUB(AB379,AC379),"2")</f>
        <v>0</v>
      </c>
      <c r="AE379" s="6">
        <f>IMABS(AB379)</f>
        <v>0</v>
      </c>
      <c r="AF379" s="6">
        <f>IMABS(AC379)</f>
        <v>0</v>
      </c>
      <c r="AG379" s="6">
        <f>IMABS(AD379)</f>
        <v>0</v>
      </c>
      <c r="AH379" s="7">
        <f>20*LOG10(MAX(AE379,1E-300)*1E6)</f>
        <v>0</v>
      </c>
      <c r="AI379" s="7">
        <f>20*LOG10(MAX(AF379,1E-300)*1E6)</f>
        <v>0</v>
      </c>
      <c r="AJ379" s="7">
        <f>20*LOG10(MAX(AG379,1E-300)*1E6)</f>
        <v>0</v>
      </c>
      <c r="AK379" s="7">
        <f>DEGREES(IMARGUMENT(AB379))</f>
        <v>0</v>
      </c>
      <c r="AL379" s="7">
        <f>DEGREES(IMARGUMENT(AC379))</f>
        <v>0</v>
      </c>
      <c r="AM379" s="7">
        <f>DEGREES(IMARGUMENT(AD379))</f>
        <v>0</v>
      </c>
    </row>
    <row r="380" spans="1:39">
      <c r="A380" s="6">
        <f>10^(LOG10(F_START)+(ROW()-ROW($A$2))*(LOG10(F_STOP)-LOG10(F_START))/(N_POINTS-1))</f>
        <v>0</v>
      </c>
      <c r="B380" s="6">
        <f>2*PI()*A380</f>
        <v>0</v>
      </c>
      <c r="C380">
        <f>COMPLEX(2*LINE_PS_DCR,2*B380*LINE_PS_L)</f>
        <v>0</v>
      </c>
      <c r="D380">
        <f>IMSUM(COMPLEX(0,B380*(LINE_PS_CLINE+LINE_PS_CCHA/2)),IMDIV("1",IMPRODUCT("2",COMPLEX(C_THROUGH_ESR,B380*C_THROUGH_ESL-1/(B380*C_THROUGH_C)))))</f>
        <v>0</v>
      </c>
      <c r="E380">
        <f>COMPLEX(2*LINE_INPUT_DCR,2*B380*LINE_INPUT_L)</f>
        <v>0</v>
      </c>
      <c r="F380">
        <f>COMPLEX(0,B380*(LINE_INPUT_CLINE+LINE_INPUT_CCHA/2))</f>
        <v>0</v>
      </c>
      <c r="G380">
        <f>IMPRODUCT("2",IMDIV("1",IMSUM(IMDIV("1",COMPLEX(LDM1_DCR,B380*LDM1_L)),COMPLEX(0,B380*LDM1_CPA))))</f>
        <v>0</v>
      </c>
      <c r="H380">
        <f>IMSUM(IMDIV("1",COMPLEX(CX1_ESR,B380*CX1_ESL-1/(B380*CX1_C))),IMDIV("1",IMSUM(COMPLEX(DUMP1_R,0),COMPLEX(DUMP1_ESR,B380*DUMP1_ESL-1/(B380*DUMP1_C)))))</f>
        <v>0</v>
      </c>
      <c r="I380">
        <f>IMPRODUCT("2",IMDIV("1",IMSUM(IMDIV("1",COMPLEX(LDM2_DCR,B380*LDM2_L)),COMPLEX(0,B380*LDM2_CPA))))</f>
        <v>0</v>
      </c>
      <c r="J380">
        <f>IMSUM(IMDIV("1",COMPLEX(CX2_ESR,B380*CX2_ESL-1/(B380*CX2_C))),IMDIV("1",IMSUM(COMPLEX(DUMP2_R,0),COMPLEX(DUMP2_ESR,B380*DUMP2_ESL-1/(B380*DUMP2_C)))))</f>
        <v>0</v>
      </c>
      <c r="K380">
        <f>IMPRODUCT("2",IMDIV("1",IMSUM(IMDIV("1",COMPLEX(CMC_DCR,B380*CMC_L*(1-CMC_K))),COMPLEX(0,B380*CMC_CPA))))</f>
        <v>0</v>
      </c>
      <c r="L380">
        <f>IMSUM(COMPLEX(0,B380*CMC_CLINE),IMDIV("1",IMPRODUCT("2",COMPLEX(CY_ESR,B380*CY_ESL-1/(B380*CY_C)))),COMPLEX(1/DUMMY_R,0))</f>
        <v>0</v>
      </c>
      <c r="M380">
        <f>IMSUM(D380,IMDIV("1",C380))</f>
        <v>0</v>
      </c>
      <c r="N380">
        <f>IMDIV("1",IMSUM(E380,IMDIV("1",M380)))</f>
        <v>0</v>
      </c>
      <c r="O380">
        <f>IMSUM(F380,N380)</f>
        <v>0</v>
      </c>
      <c r="P380">
        <f>IMDIV("1",IMSUM(G380,IMDIV("1",O380)))</f>
        <v>0</v>
      </c>
      <c r="Q380">
        <f>IMSUM(H380,P380)</f>
        <v>0</v>
      </c>
      <c r="R380">
        <f>IMDIV("1",IMSUM(I380,IMDIV("1",Q380)))</f>
        <v>0</v>
      </c>
      <c r="S380">
        <f>IMSUM(J380,R380)</f>
        <v>0</v>
      </c>
      <c r="T380">
        <f>IMDIV("1",IMSUM(K380,IMDIV("1",S380)))</f>
        <v>0</v>
      </c>
      <c r="U380">
        <f>IMSUM(L380,T380)</f>
        <v>0</v>
      </c>
      <c r="V380">
        <f>IMDIV(COMPLEX(I_DM_SOURCE,0),U380)</f>
        <v>0</v>
      </c>
      <c r="W380">
        <f>IMPRODUCT(V380,T380)</f>
        <v>0</v>
      </c>
      <c r="X380">
        <f>IMDIV(W380,S380)</f>
        <v>0</v>
      </c>
      <c r="Y380">
        <f>IMPRODUCT(X380,R380)</f>
        <v>0</v>
      </c>
      <c r="Z380">
        <f>IMDIV(Y380,Q380)</f>
        <v>0</v>
      </c>
      <c r="AA380">
        <f>IMPRODUCT(Z380,P380)</f>
        <v>0</v>
      </c>
      <c r="AB380">
        <f>AA380</f>
        <v>0</v>
      </c>
      <c r="AC380">
        <f>IMPRODUCT("-1",AB380)</f>
        <v>0</v>
      </c>
      <c r="AD380">
        <f>IMDIV(IMSUB(AB380,AC380),"2")</f>
        <v>0</v>
      </c>
      <c r="AE380" s="6">
        <f>IMABS(AB380)</f>
        <v>0</v>
      </c>
      <c r="AF380" s="6">
        <f>IMABS(AC380)</f>
        <v>0</v>
      </c>
      <c r="AG380" s="6">
        <f>IMABS(AD380)</f>
        <v>0</v>
      </c>
      <c r="AH380" s="7">
        <f>20*LOG10(MAX(AE380,1E-300)*1E6)</f>
        <v>0</v>
      </c>
      <c r="AI380" s="7">
        <f>20*LOG10(MAX(AF380,1E-300)*1E6)</f>
        <v>0</v>
      </c>
      <c r="AJ380" s="7">
        <f>20*LOG10(MAX(AG380,1E-300)*1E6)</f>
        <v>0</v>
      </c>
      <c r="AK380" s="7">
        <f>DEGREES(IMARGUMENT(AB380))</f>
        <v>0</v>
      </c>
      <c r="AL380" s="7">
        <f>DEGREES(IMARGUMENT(AC380))</f>
        <v>0</v>
      </c>
      <c r="AM380" s="7">
        <f>DEGREES(IMARGUMENT(AD380))</f>
        <v>0</v>
      </c>
    </row>
    <row r="381" spans="1:39">
      <c r="A381" s="6">
        <f>10^(LOG10(F_START)+(ROW()-ROW($A$2))*(LOG10(F_STOP)-LOG10(F_START))/(N_POINTS-1))</f>
        <v>0</v>
      </c>
      <c r="B381" s="6">
        <f>2*PI()*A381</f>
        <v>0</v>
      </c>
      <c r="C381">
        <f>COMPLEX(2*LINE_PS_DCR,2*B381*LINE_PS_L)</f>
        <v>0</v>
      </c>
      <c r="D381">
        <f>IMSUM(COMPLEX(0,B381*(LINE_PS_CLINE+LINE_PS_CCHA/2)),IMDIV("1",IMPRODUCT("2",COMPLEX(C_THROUGH_ESR,B381*C_THROUGH_ESL-1/(B381*C_THROUGH_C)))))</f>
        <v>0</v>
      </c>
      <c r="E381">
        <f>COMPLEX(2*LINE_INPUT_DCR,2*B381*LINE_INPUT_L)</f>
        <v>0</v>
      </c>
      <c r="F381">
        <f>COMPLEX(0,B381*(LINE_INPUT_CLINE+LINE_INPUT_CCHA/2))</f>
        <v>0</v>
      </c>
      <c r="G381">
        <f>IMPRODUCT("2",IMDIV("1",IMSUM(IMDIV("1",COMPLEX(LDM1_DCR,B381*LDM1_L)),COMPLEX(0,B381*LDM1_CPA))))</f>
        <v>0</v>
      </c>
      <c r="H381">
        <f>IMSUM(IMDIV("1",COMPLEX(CX1_ESR,B381*CX1_ESL-1/(B381*CX1_C))),IMDIV("1",IMSUM(COMPLEX(DUMP1_R,0),COMPLEX(DUMP1_ESR,B381*DUMP1_ESL-1/(B381*DUMP1_C)))))</f>
        <v>0</v>
      </c>
      <c r="I381">
        <f>IMPRODUCT("2",IMDIV("1",IMSUM(IMDIV("1",COMPLEX(LDM2_DCR,B381*LDM2_L)),COMPLEX(0,B381*LDM2_CPA))))</f>
        <v>0</v>
      </c>
      <c r="J381">
        <f>IMSUM(IMDIV("1",COMPLEX(CX2_ESR,B381*CX2_ESL-1/(B381*CX2_C))),IMDIV("1",IMSUM(COMPLEX(DUMP2_R,0),COMPLEX(DUMP2_ESR,B381*DUMP2_ESL-1/(B381*DUMP2_C)))))</f>
        <v>0</v>
      </c>
      <c r="K381">
        <f>IMPRODUCT("2",IMDIV("1",IMSUM(IMDIV("1",COMPLEX(CMC_DCR,B381*CMC_L*(1-CMC_K))),COMPLEX(0,B381*CMC_CPA))))</f>
        <v>0</v>
      </c>
      <c r="L381">
        <f>IMSUM(COMPLEX(0,B381*CMC_CLINE),IMDIV("1",IMPRODUCT("2",COMPLEX(CY_ESR,B381*CY_ESL-1/(B381*CY_C)))),COMPLEX(1/DUMMY_R,0))</f>
        <v>0</v>
      </c>
      <c r="M381">
        <f>IMSUM(D381,IMDIV("1",C381))</f>
        <v>0</v>
      </c>
      <c r="N381">
        <f>IMDIV("1",IMSUM(E381,IMDIV("1",M381)))</f>
        <v>0</v>
      </c>
      <c r="O381">
        <f>IMSUM(F381,N381)</f>
        <v>0</v>
      </c>
      <c r="P381">
        <f>IMDIV("1",IMSUM(G381,IMDIV("1",O381)))</f>
        <v>0</v>
      </c>
      <c r="Q381">
        <f>IMSUM(H381,P381)</f>
        <v>0</v>
      </c>
      <c r="R381">
        <f>IMDIV("1",IMSUM(I381,IMDIV("1",Q381)))</f>
        <v>0</v>
      </c>
      <c r="S381">
        <f>IMSUM(J381,R381)</f>
        <v>0</v>
      </c>
      <c r="T381">
        <f>IMDIV("1",IMSUM(K381,IMDIV("1",S381)))</f>
        <v>0</v>
      </c>
      <c r="U381">
        <f>IMSUM(L381,T381)</f>
        <v>0</v>
      </c>
      <c r="V381">
        <f>IMDIV(COMPLEX(I_DM_SOURCE,0),U381)</f>
        <v>0</v>
      </c>
      <c r="W381">
        <f>IMPRODUCT(V381,T381)</f>
        <v>0</v>
      </c>
      <c r="X381">
        <f>IMDIV(W381,S381)</f>
        <v>0</v>
      </c>
      <c r="Y381">
        <f>IMPRODUCT(X381,R381)</f>
        <v>0</v>
      </c>
      <c r="Z381">
        <f>IMDIV(Y381,Q381)</f>
        <v>0</v>
      </c>
      <c r="AA381">
        <f>IMPRODUCT(Z381,P381)</f>
        <v>0</v>
      </c>
      <c r="AB381">
        <f>AA381</f>
        <v>0</v>
      </c>
      <c r="AC381">
        <f>IMPRODUCT("-1",AB381)</f>
        <v>0</v>
      </c>
      <c r="AD381">
        <f>IMDIV(IMSUB(AB381,AC381),"2")</f>
        <v>0</v>
      </c>
      <c r="AE381" s="6">
        <f>IMABS(AB381)</f>
        <v>0</v>
      </c>
      <c r="AF381" s="6">
        <f>IMABS(AC381)</f>
        <v>0</v>
      </c>
      <c r="AG381" s="6">
        <f>IMABS(AD381)</f>
        <v>0</v>
      </c>
      <c r="AH381" s="7">
        <f>20*LOG10(MAX(AE381,1E-300)*1E6)</f>
        <v>0</v>
      </c>
      <c r="AI381" s="7">
        <f>20*LOG10(MAX(AF381,1E-300)*1E6)</f>
        <v>0</v>
      </c>
      <c r="AJ381" s="7">
        <f>20*LOG10(MAX(AG381,1E-300)*1E6)</f>
        <v>0</v>
      </c>
      <c r="AK381" s="7">
        <f>DEGREES(IMARGUMENT(AB381))</f>
        <v>0</v>
      </c>
      <c r="AL381" s="7">
        <f>DEGREES(IMARGUMENT(AC381))</f>
        <v>0</v>
      </c>
      <c r="AM381" s="7">
        <f>DEGREES(IMARGUMENT(AD381))</f>
        <v>0</v>
      </c>
    </row>
    <row r="382" spans="1:39">
      <c r="A382" s="6">
        <f>10^(LOG10(F_START)+(ROW()-ROW($A$2))*(LOG10(F_STOP)-LOG10(F_START))/(N_POINTS-1))</f>
        <v>0</v>
      </c>
      <c r="B382" s="6">
        <f>2*PI()*A382</f>
        <v>0</v>
      </c>
      <c r="C382">
        <f>COMPLEX(2*LINE_PS_DCR,2*B382*LINE_PS_L)</f>
        <v>0</v>
      </c>
      <c r="D382">
        <f>IMSUM(COMPLEX(0,B382*(LINE_PS_CLINE+LINE_PS_CCHA/2)),IMDIV("1",IMPRODUCT("2",COMPLEX(C_THROUGH_ESR,B382*C_THROUGH_ESL-1/(B382*C_THROUGH_C)))))</f>
        <v>0</v>
      </c>
      <c r="E382">
        <f>COMPLEX(2*LINE_INPUT_DCR,2*B382*LINE_INPUT_L)</f>
        <v>0</v>
      </c>
      <c r="F382">
        <f>COMPLEX(0,B382*(LINE_INPUT_CLINE+LINE_INPUT_CCHA/2))</f>
        <v>0</v>
      </c>
      <c r="G382">
        <f>IMPRODUCT("2",IMDIV("1",IMSUM(IMDIV("1",COMPLEX(LDM1_DCR,B382*LDM1_L)),COMPLEX(0,B382*LDM1_CPA))))</f>
        <v>0</v>
      </c>
      <c r="H382">
        <f>IMSUM(IMDIV("1",COMPLEX(CX1_ESR,B382*CX1_ESL-1/(B382*CX1_C))),IMDIV("1",IMSUM(COMPLEX(DUMP1_R,0),COMPLEX(DUMP1_ESR,B382*DUMP1_ESL-1/(B382*DUMP1_C)))))</f>
        <v>0</v>
      </c>
      <c r="I382">
        <f>IMPRODUCT("2",IMDIV("1",IMSUM(IMDIV("1",COMPLEX(LDM2_DCR,B382*LDM2_L)),COMPLEX(0,B382*LDM2_CPA))))</f>
        <v>0</v>
      </c>
      <c r="J382">
        <f>IMSUM(IMDIV("1",COMPLEX(CX2_ESR,B382*CX2_ESL-1/(B382*CX2_C))),IMDIV("1",IMSUM(COMPLEX(DUMP2_R,0),COMPLEX(DUMP2_ESR,B382*DUMP2_ESL-1/(B382*DUMP2_C)))))</f>
        <v>0</v>
      </c>
      <c r="K382">
        <f>IMPRODUCT("2",IMDIV("1",IMSUM(IMDIV("1",COMPLEX(CMC_DCR,B382*CMC_L*(1-CMC_K))),COMPLEX(0,B382*CMC_CPA))))</f>
        <v>0</v>
      </c>
      <c r="L382">
        <f>IMSUM(COMPLEX(0,B382*CMC_CLINE),IMDIV("1",IMPRODUCT("2",COMPLEX(CY_ESR,B382*CY_ESL-1/(B382*CY_C)))),COMPLEX(1/DUMMY_R,0))</f>
        <v>0</v>
      </c>
      <c r="M382">
        <f>IMSUM(D382,IMDIV("1",C382))</f>
        <v>0</v>
      </c>
      <c r="N382">
        <f>IMDIV("1",IMSUM(E382,IMDIV("1",M382)))</f>
        <v>0</v>
      </c>
      <c r="O382">
        <f>IMSUM(F382,N382)</f>
        <v>0</v>
      </c>
      <c r="P382">
        <f>IMDIV("1",IMSUM(G382,IMDIV("1",O382)))</f>
        <v>0</v>
      </c>
      <c r="Q382">
        <f>IMSUM(H382,P382)</f>
        <v>0</v>
      </c>
      <c r="R382">
        <f>IMDIV("1",IMSUM(I382,IMDIV("1",Q382)))</f>
        <v>0</v>
      </c>
      <c r="S382">
        <f>IMSUM(J382,R382)</f>
        <v>0</v>
      </c>
      <c r="T382">
        <f>IMDIV("1",IMSUM(K382,IMDIV("1",S382)))</f>
        <v>0</v>
      </c>
      <c r="U382">
        <f>IMSUM(L382,T382)</f>
        <v>0</v>
      </c>
      <c r="V382">
        <f>IMDIV(COMPLEX(I_DM_SOURCE,0),U382)</f>
        <v>0</v>
      </c>
      <c r="W382">
        <f>IMPRODUCT(V382,T382)</f>
        <v>0</v>
      </c>
      <c r="X382">
        <f>IMDIV(W382,S382)</f>
        <v>0</v>
      </c>
      <c r="Y382">
        <f>IMPRODUCT(X382,R382)</f>
        <v>0</v>
      </c>
      <c r="Z382">
        <f>IMDIV(Y382,Q382)</f>
        <v>0</v>
      </c>
      <c r="AA382">
        <f>IMPRODUCT(Z382,P382)</f>
        <v>0</v>
      </c>
      <c r="AB382">
        <f>AA382</f>
        <v>0</v>
      </c>
      <c r="AC382">
        <f>IMPRODUCT("-1",AB382)</f>
        <v>0</v>
      </c>
      <c r="AD382">
        <f>IMDIV(IMSUB(AB382,AC382),"2")</f>
        <v>0</v>
      </c>
      <c r="AE382" s="6">
        <f>IMABS(AB382)</f>
        <v>0</v>
      </c>
      <c r="AF382" s="6">
        <f>IMABS(AC382)</f>
        <v>0</v>
      </c>
      <c r="AG382" s="6">
        <f>IMABS(AD382)</f>
        <v>0</v>
      </c>
      <c r="AH382" s="7">
        <f>20*LOG10(MAX(AE382,1E-300)*1E6)</f>
        <v>0</v>
      </c>
      <c r="AI382" s="7">
        <f>20*LOG10(MAX(AF382,1E-300)*1E6)</f>
        <v>0</v>
      </c>
      <c r="AJ382" s="7">
        <f>20*LOG10(MAX(AG382,1E-300)*1E6)</f>
        <v>0</v>
      </c>
      <c r="AK382" s="7">
        <f>DEGREES(IMARGUMENT(AB382))</f>
        <v>0</v>
      </c>
      <c r="AL382" s="7">
        <f>DEGREES(IMARGUMENT(AC382))</f>
        <v>0</v>
      </c>
      <c r="AM382" s="7">
        <f>DEGREES(IMARGUMENT(AD382))</f>
        <v>0</v>
      </c>
    </row>
    <row r="383" spans="1:39">
      <c r="A383" s="6">
        <f>10^(LOG10(F_START)+(ROW()-ROW($A$2))*(LOG10(F_STOP)-LOG10(F_START))/(N_POINTS-1))</f>
        <v>0</v>
      </c>
      <c r="B383" s="6">
        <f>2*PI()*A383</f>
        <v>0</v>
      </c>
      <c r="C383">
        <f>COMPLEX(2*LINE_PS_DCR,2*B383*LINE_PS_L)</f>
        <v>0</v>
      </c>
      <c r="D383">
        <f>IMSUM(COMPLEX(0,B383*(LINE_PS_CLINE+LINE_PS_CCHA/2)),IMDIV("1",IMPRODUCT("2",COMPLEX(C_THROUGH_ESR,B383*C_THROUGH_ESL-1/(B383*C_THROUGH_C)))))</f>
        <v>0</v>
      </c>
      <c r="E383">
        <f>COMPLEX(2*LINE_INPUT_DCR,2*B383*LINE_INPUT_L)</f>
        <v>0</v>
      </c>
      <c r="F383">
        <f>COMPLEX(0,B383*(LINE_INPUT_CLINE+LINE_INPUT_CCHA/2))</f>
        <v>0</v>
      </c>
      <c r="G383">
        <f>IMPRODUCT("2",IMDIV("1",IMSUM(IMDIV("1",COMPLEX(LDM1_DCR,B383*LDM1_L)),COMPLEX(0,B383*LDM1_CPA))))</f>
        <v>0</v>
      </c>
      <c r="H383">
        <f>IMSUM(IMDIV("1",COMPLEX(CX1_ESR,B383*CX1_ESL-1/(B383*CX1_C))),IMDIV("1",IMSUM(COMPLEX(DUMP1_R,0),COMPLEX(DUMP1_ESR,B383*DUMP1_ESL-1/(B383*DUMP1_C)))))</f>
        <v>0</v>
      </c>
      <c r="I383">
        <f>IMPRODUCT("2",IMDIV("1",IMSUM(IMDIV("1",COMPLEX(LDM2_DCR,B383*LDM2_L)),COMPLEX(0,B383*LDM2_CPA))))</f>
        <v>0</v>
      </c>
      <c r="J383">
        <f>IMSUM(IMDIV("1",COMPLEX(CX2_ESR,B383*CX2_ESL-1/(B383*CX2_C))),IMDIV("1",IMSUM(COMPLEX(DUMP2_R,0),COMPLEX(DUMP2_ESR,B383*DUMP2_ESL-1/(B383*DUMP2_C)))))</f>
        <v>0</v>
      </c>
      <c r="K383">
        <f>IMPRODUCT("2",IMDIV("1",IMSUM(IMDIV("1",COMPLEX(CMC_DCR,B383*CMC_L*(1-CMC_K))),COMPLEX(0,B383*CMC_CPA))))</f>
        <v>0</v>
      </c>
      <c r="L383">
        <f>IMSUM(COMPLEX(0,B383*CMC_CLINE),IMDIV("1",IMPRODUCT("2",COMPLEX(CY_ESR,B383*CY_ESL-1/(B383*CY_C)))),COMPLEX(1/DUMMY_R,0))</f>
        <v>0</v>
      </c>
      <c r="M383">
        <f>IMSUM(D383,IMDIV("1",C383))</f>
        <v>0</v>
      </c>
      <c r="N383">
        <f>IMDIV("1",IMSUM(E383,IMDIV("1",M383)))</f>
        <v>0</v>
      </c>
      <c r="O383">
        <f>IMSUM(F383,N383)</f>
        <v>0</v>
      </c>
      <c r="P383">
        <f>IMDIV("1",IMSUM(G383,IMDIV("1",O383)))</f>
        <v>0</v>
      </c>
      <c r="Q383">
        <f>IMSUM(H383,P383)</f>
        <v>0</v>
      </c>
      <c r="R383">
        <f>IMDIV("1",IMSUM(I383,IMDIV("1",Q383)))</f>
        <v>0</v>
      </c>
      <c r="S383">
        <f>IMSUM(J383,R383)</f>
        <v>0</v>
      </c>
      <c r="T383">
        <f>IMDIV("1",IMSUM(K383,IMDIV("1",S383)))</f>
        <v>0</v>
      </c>
      <c r="U383">
        <f>IMSUM(L383,T383)</f>
        <v>0</v>
      </c>
      <c r="V383">
        <f>IMDIV(COMPLEX(I_DM_SOURCE,0),U383)</f>
        <v>0</v>
      </c>
      <c r="W383">
        <f>IMPRODUCT(V383,T383)</f>
        <v>0</v>
      </c>
      <c r="X383">
        <f>IMDIV(W383,S383)</f>
        <v>0</v>
      </c>
      <c r="Y383">
        <f>IMPRODUCT(X383,R383)</f>
        <v>0</v>
      </c>
      <c r="Z383">
        <f>IMDIV(Y383,Q383)</f>
        <v>0</v>
      </c>
      <c r="AA383">
        <f>IMPRODUCT(Z383,P383)</f>
        <v>0</v>
      </c>
      <c r="AB383">
        <f>AA383</f>
        <v>0</v>
      </c>
      <c r="AC383">
        <f>IMPRODUCT("-1",AB383)</f>
        <v>0</v>
      </c>
      <c r="AD383">
        <f>IMDIV(IMSUB(AB383,AC383),"2")</f>
        <v>0</v>
      </c>
      <c r="AE383" s="6">
        <f>IMABS(AB383)</f>
        <v>0</v>
      </c>
      <c r="AF383" s="6">
        <f>IMABS(AC383)</f>
        <v>0</v>
      </c>
      <c r="AG383" s="6">
        <f>IMABS(AD383)</f>
        <v>0</v>
      </c>
      <c r="AH383" s="7">
        <f>20*LOG10(MAX(AE383,1E-300)*1E6)</f>
        <v>0</v>
      </c>
      <c r="AI383" s="7">
        <f>20*LOG10(MAX(AF383,1E-300)*1E6)</f>
        <v>0</v>
      </c>
      <c r="AJ383" s="7">
        <f>20*LOG10(MAX(AG383,1E-300)*1E6)</f>
        <v>0</v>
      </c>
      <c r="AK383" s="7">
        <f>DEGREES(IMARGUMENT(AB383))</f>
        <v>0</v>
      </c>
      <c r="AL383" s="7">
        <f>DEGREES(IMARGUMENT(AC383))</f>
        <v>0</v>
      </c>
      <c r="AM383" s="7">
        <f>DEGREES(IMARGUMENT(AD383))</f>
        <v>0</v>
      </c>
    </row>
    <row r="384" spans="1:39">
      <c r="A384" s="6">
        <f>10^(LOG10(F_START)+(ROW()-ROW($A$2))*(LOG10(F_STOP)-LOG10(F_START))/(N_POINTS-1))</f>
        <v>0</v>
      </c>
      <c r="B384" s="6">
        <f>2*PI()*A384</f>
        <v>0</v>
      </c>
      <c r="C384">
        <f>COMPLEX(2*LINE_PS_DCR,2*B384*LINE_PS_L)</f>
        <v>0</v>
      </c>
      <c r="D384">
        <f>IMSUM(COMPLEX(0,B384*(LINE_PS_CLINE+LINE_PS_CCHA/2)),IMDIV("1",IMPRODUCT("2",COMPLEX(C_THROUGH_ESR,B384*C_THROUGH_ESL-1/(B384*C_THROUGH_C)))))</f>
        <v>0</v>
      </c>
      <c r="E384">
        <f>COMPLEX(2*LINE_INPUT_DCR,2*B384*LINE_INPUT_L)</f>
        <v>0</v>
      </c>
      <c r="F384">
        <f>COMPLEX(0,B384*(LINE_INPUT_CLINE+LINE_INPUT_CCHA/2))</f>
        <v>0</v>
      </c>
      <c r="G384">
        <f>IMPRODUCT("2",IMDIV("1",IMSUM(IMDIV("1",COMPLEX(LDM1_DCR,B384*LDM1_L)),COMPLEX(0,B384*LDM1_CPA))))</f>
        <v>0</v>
      </c>
      <c r="H384">
        <f>IMSUM(IMDIV("1",COMPLEX(CX1_ESR,B384*CX1_ESL-1/(B384*CX1_C))),IMDIV("1",IMSUM(COMPLEX(DUMP1_R,0),COMPLEX(DUMP1_ESR,B384*DUMP1_ESL-1/(B384*DUMP1_C)))))</f>
        <v>0</v>
      </c>
      <c r="I384">
        <f>IMPRODUCT("2",IMDIV("1",IMSUM(IMDIV("1",COMPLEX(LDM2_DCR,B384*LDM2_L)),COMPLEX(0,B384*LDM2_CPA))))</f>
        <v>0</v>
      </c>
      <c r="J384">
        <f>IMSUM(IMDIV("1",COMPLEX(CX2_ESR,B384*CX2_ESL-1/(B384*CX2_C))),IMDIV("1",IMSUM(COMPLEX(DUMP2_R,0),COMPLEX(DUMP2_ESR,B384*DUMP2_ESL-1/(B384*DUMP2_C)))))</f>
        <v>0</v>
      </c>
      <c r="K384">
        <f>IMPRODUCT("2",IMDIV("1",IMSUM(IMDIV("1",COMPLEX(CMC_DCR,B384*CMC_L*(1-CMC_K))),COMPLEX(0,B384*CMC_CPA))))</f>
        <v>0</v>
      </c>
      <c r="L384">
        <f>IMSUM(COMPLEX(0,B384*CMC_CLINE),IMDIV("1",IMPRODUCT("2",COMPLEX(CY_ESR,B384*CY_ESL-1/(B384*CY_C)))),COMPLEX(1/DUMMY_R,0))</f>
        <v>0</v>
      </c>
      <c r="M384">
        <f>IMSUM(D384,IMDIV("1",C384))</f>
        <v>0</v>
      </c>
      <c r="N384">
        <f>IMDIV("1",IMSUM(E384,IMDIV("1",M384)))</f>
        <v>0</v>
      </c>
      <c r="O384">
        <f>IMSUM(F384,N384)</f>
        <v>0</v>
      </c>
      <c r="P384">
        <f>IMDIV("1",IMSUM(G384,IMDIV("1",O384)))</f>
        <v>0</v>
      </c>
      <c r="Q384">
        <f>IMSUM(H384,P384)</f>
        <v>0</v>
      </c>
      <c r="R384">
        <f>IMDIV("1",IMSUM(I384,IMDIV("1",Q384)))</f>
        <v>0</v>
      </c>
      <c r="S384">
        <f>IMSUM(J384,R384)</f>
        <v>0</v>
      </c>
      <c r="T384">
        <f>IMDIV("1",IMSUM(K384,IMDIV("1",S384)))</f>
        <v>0</v>
      </c>
      <c r="U384">
        <f>IMSUM(L384,T384)</f>
        <v>0</v>
      </c>
      <c r="V384">
        <f>IMDIV(COMPLEX(I_DM_SOURCE,0),U384)</f>
        <v>0</v>
      </c>
      <c r="W384">
        <f>IMPRODUCT(V384,T384)</f>
        <v>0</v>
      </c>
      <c r="X384">
        <f>IMDIV(W384,S384)</f>
        <v>0</v>
      </c>
      <c r="Y384">
        <f>IMPRODUCT(X384,R384)</f>
        <v>0</v>
      </c>
      <c r="Z384">
        <f>IMDIV(Y384,Q384)</f>
        <v>0</v>
      </c>
      <c r="AA384">
        <f>IMPRODUCT(Z384,P384)</f>
        <v>0</v>
      </c>
      <c r="AB384">
        <f>AA384</f>
        <v>0</v>
      </c>
      <c r="AC384">
        <f>IMPRODUCT("-1",AB384)</f>
        <v>0</v>
      </c>
      <c r="AD384">
        <f>IMDIV(IMSUB(AB384,AC384),"2")</f>
        <v>0</v>
      </c>
      <c r="AE384" s="6">
        <f>IMABS(AB384)</f>
        <v>0</v>
      </c>
      <c r="AF384" s="6">
        <f>IMABS(AC384)</f>
        <v>0</v>
      </c>
      <c r="AG384" s="6">
        <f>IMABS(AD384)</f>
        <v>0</v>
      </c>
      <c r="AH384" s="7">
        <f>20*LOG10(MAX(AE384,1E-300)*1E6)</f>
        <v>0</v>
      </c>
      <c r="AI384" s="7">
        <f>20*LOG10(MAX(AF384,1E-300)*1E6)</f>
        <v>0</v>
      </c>
      <c r="AJ384" s="7">
        <f>20*LOG10(MAX(AG384,1E-300)*1E6)</f>
        <v>0</v>
      </c>
      <c r="AK384" s="7">
        <f>DEGREES(IMARGUMENT(AB384))</f>
        <v>0</v>
      </c>
      <c r="AL384" s="7">
        <f>DEGREES(IMARGUMENT(AC384))</f>
        <v>0</v>
      </c>
      <c r="AM384" s="7">
        <f>DEGREES(IMARGUMENT(AD384))</f>
        <v>0</v>
      </c>
    </row>
    <row r="385" spans="1:39">
      <c r="A385" s="6">
        <f>10^(LOG10(F_START)+(ROW()-ROW($A$2))*(LOG10(F_STOP)-LOG10(F_START))/(N_POINTS-1))</f>
        <v>0</v>
      </c>
      <c r="B385" s="6">
        <f>2*PI()*A385</f>
        <v>0</v>
      </c>
      <c r="C385">
        <f>COMPLEX(2*LINE_PS_DCR,2*B385*LINE_PS_L)</f>
        <v>0</v>
      </c>
      <c r="D385">
        <f>IMSUM(COMPLEX(0,B385*(LINE_PS_CLINE+LINE_PS_CCHA/2)),IMDIV("1",IMPRODUCT("2",COMPLEX(C_THROUGH_ESR,B385*C_THROUGH_ESL-1/(B385*C_THROUGH_C)))))</f>
        <v>0</v>
      </c>
      <c r="E385">
        <f>COMPLEX(2*LINE_INPUT_DCR,2*B385*LINE_INPUT_L)</f>
        <v>0</v>
      </c>
      <c r="F385">
        <f>COMPLEX(0,B385*(LINE_INPUT_CLINE+LINE_INPUT_CCHA/2))</f>
        <v>0</v>
      </c>
      <c r="G385">
        <f>IMPRODUCT("2",IMDIV("1",IMSUM(IMDIV("1",COMPLEX(LDM1_DCR,B385*LDM1_L)),COMPLEX(0,B385*LDM1_CPA))))</f>
        <v>0</v>
      </c>
      <c r="H385">
        <f>IMSUM(IMDIV("1",COMPLEX(CX1_ESR,B385*CX1_ESL-1/(B385*CX1_C))),IMDIV("1",IMSUM(COMPLEX(DUMP1_R,0),COMPLEX(DUMP1_ESR,B385*DUMP1_ESL-1/(B385*DUMP1_C)))))</f>
        <v>0</v>
      </c>
      <c r="I385">
        <f>IMPRODUCT("2",IMDIV("1",IMSUM(IMDIV("1",COMPLEX(LDM2_DCR,B385*LDM2_L)),COMPLEX(0,B385*LDM2_CPA))))</f>
        <v>0</v>
      </c>
      <c r="J385">
        <f>IMSUM(IMDIV("1",COMPLEX(CX2_ESR,B385*CX2_ESL-1/(B385*CX2_C))),IMDIV("1",IMSUM(COMPLEX(DUMP2_R,0),COMPLEX(DUMP2_ESR,B385*DUMP2_ESL-1/(B385*DUMP2_C)))))</f>
        <v>0</v>
      </c>
      <c r="K385">
        <f>IMPRODUCT("2",IMDIV("1",IMSUM(IMDIV("1",COMPLEX(CMC_DCR,B385*CMC_L*(1-CMC_K))),COMPLEX(0,B385*CMC_CPA))))</f>
        <v>0</v>
      </c>
      <c r="L385">
        <f>IMSUM(COMPLEX(0,B385*CMC_CLINE),IMDIV("1",IMPRODUCT("2",COMPLEX(CY_ESR,B385*CY_ESL-1/(B385*CY_C)))),COMPLEX(1/DUMMY_R,0))</f>
        <v>0</v>
      </c>
      <c r="M385">
        <f>IMSUM(D385,IMDIV("1",C385))</f>
        <v>0</v>
      </c>
      <c r="N385">
        <f>IMDIV("1",IMSUM(E385,IMDIV("1",M385)))</f>
        <v>0</v>
      </c>
      <c r="O385">
        <f>IMSUM(F385,N385)</f>
        <v>0</v>
      </c>
      <c r="P385">
        <f>IMDIV("1",IMSUM(G385,IMDIV("1",O385)))</f>
        <v>0</v>
      </c>
      <c r="Q385">
        <f>IMSUM(H385,P385)</f>
        <v>0</v>
      </c>
      <c r="R385">
        <f>IMDIV("1",IMSUM(I385,IMDIV("1",Q385)))</f>
        <v>0</v>
      </c>
      <c r="S385">
        <f>IMSUM(J385,R385)</f>
        <v>0</v>
      </c>
      <c r="T385">
        <f>IMDIV("1",IMSUM(K385,IMDIV("1",S385)))</f>
        <v>0</v>
      </c>
      <c r="U385">
        <f>IMSUM(L385,T385)</f>
        <v>0</v>
      </c>
      <c r="V385">
        <f>IMDIV(COMPLEX(I_DM_SOURCE,0),U385)</f>
        <v>0</v>
      </c>
      <c r="W385">
        <f>IMPRODUCT(V385,T385)</f>
        <v>0</v>
      </c>
      <c r="X385">
        <f>IMDIV(W385,S385)</f>
        <v>0</v>
      </c>
      <c r="Y385">
        <f>IMPRODUCT(X385,R385)</f>
        <v>0</v>
      </c>
      <c r="Z385">
        <f>IMDIV(Y385,Q385)</f>
        <v>0</v>
      </c>
      <c r="AA385">
        <f>IMPRODUCT(Z385,P385)</f>
        <v>0</v>
      </c>
      <c r="AB385">
        <f>AA385</f>
        <v>0</v>
      </c>
      <c r="AC385">
        <f>IMPRODUCT("-1",AB385)</f>
        <v>0</v>
      </c>
      <c r="AD385">
        <f>IMDIV(IMSUB(AB385,AC385),"2")</f>
        <v>0</v>
      </c>
      <c r="AE385" s="6">
        <f>IMABS(AB385)</f>
        <v>0</v>
      </c>
      <c r="AF385" s="6">
        <f>IMABS(AC385)</f>
        <v>0</v>
      </c>
      <c r="AG385" s="6">
        <f>IMABS(AD385)</f>
        <v>0</v>
      </c>
      <c r="AH385" s="7">
        <f>20*LOG10(MAX(AE385,1E-300)*1E6)</f>
        <v>0</v>
      </c>
      <c r="AI385" s="7">
        <f>20*LOG10(MAX(AF385,1E-300)*1E6)</f>
        <v>0</v>
      </c>
      <c r="AJ385" s="7">
        <f>20*LOG10(MAX(AG385,1E-300)*1E6)</f>
        <v>0</v>
      </c>
      <c r="AK385" s="7">
        <f>DEGREES(IMARGUMENT(AB385))</f>
        <v>0</v>
      </c>
      <c r="AL385" s="7">
        <f>DEGREES(IMARGUMENT(AC385))</f>
        <v>0</v>
      </c>
      <c r="AM385" s="7">
        <f>DEGREES(IMARGUMENT(AD385))</f>
        <v>0</v>
      </c>
    </row>
    <row r="386" spans="1:39">
      <c r="A386" s="6">
        <f>10^(LOG10(F_START)+(ROW()-ROW($A$2))*(LOG10(F_STOP)-LOG10(F_START))/(N_POINTS-1))</f>
        <v>0</v>
      </c>
      <c r="B386" s="6">
        <f>2*PI()*A386</f>
        <v>0</v>
      </c>
      <c r="C386">
        <f>COMPLEX(2*LINE_PS_DCR,2*B386*LINE_PS_L)</f>
        <v>0</v>
      </c>
      <c r="D386">
        <f>IMSUM(COMPLEX(0,B386*(LINE_PS_CLINE+LINE_PS_CCHA/2)),IMDIV("1",IMPRODUCT("2",COMPLEX(C_THROUGH_ESR,B386*C_THROUGH_ESL-1/(B386*C_THROUGH_C)))))</f>
        <v>0</v>
      </c>
      <c r="E386">
        <f>COMPLEX(2*LINE_INPUT_DCR,2*B386*LINE_INPUT_L)</f>
        <v>0</v>
      </c>
      <c r="F386">
        <f>COMPLEX(0,B386*(LINE_INPUT_CLINE+LINE_INPUT_CCHA/2))</f>
        <v>0</v>
      </c>
      <c r="G386">
        <f>IMPRODUCT("2",IMDIV("1",IMSUM(IMDIV("1",COMPLEX(LDM1_DCR,B386*LDM1_L)),COMPLEX(0,B386*LDM1_CPA))))</f>
        <v>0</v>
      </c>
      <c r="H386">
        <f>IMSUM(IMDIV("1",COMPLEX(CX1_ESR,B386*CX1_ESL-1/(B386*CX1_C))),IMDIV("1",IMSUM(COMPLEX(DUMP1_R,0),COMPLEX(DUMP1_ESR,B386*DUMP1_ESL-1/(B386*DUMP1_C)))))</f>
        <v>0</v>
      </c>
      <c r="I386">
        <f>IMPRODUCT("2",IMDIV("1",IMSUM(IMDIV("1",COMPLEX(LDM2_DCR,B386*LDM2_L)),COMPLEX(0,B386*LDM2_CPA))))</f>
        <v>0</v>
      </c>
      <c r="J386">
        <f>IMSUM(IMDIV("1",COMPLEX(CX2_ESR,B386*CX2_ESL-1/(B386*CX2_C))),IMDIV("1",IMSUM(COMPLEX(DUMP2_R,0),COMPLEX(DUMP2_ESR,B386*DUMP2_ESL-1/(B386*DUMP2_C)))))</f>
        <v>0</v>
      </c>
      <c r="K386">
        <f>IMPRODUCT("2",IMDIV("1",IMSUM(IMDIV("1",COMPLEX(CMC_DCR,B386*CMC_L*(1-CMC_K))),COMPLEX(0,B386*CMC_CPA))))</f>
        <v>0</v>
      </c>
      <c r="L386">
        <f>IMSUM(COMPLEX(0,B386*CMC_CLINE),IMDIV("1",IMPRODUCT("2",COMPLEX(CY_ESR,B386*CY_ESL-1/(B386*CY_C)))),COMPLEX(1/DUMMY_R,0))</f>
        <v>0</v>
      </c>
      <c r="M386">
        <f>IMSUM(D386,IMDIV("1",C386))</f>
        <v>0</v>
      </c>
      <c r="N386">
        <f>IMDIV("1",IMSUM(E386,IMDIV("1",M386)))</f>
        <v>0</v>
      </c>
      <c r="O386">
        <f>IMSUM(F386,N386)</f>
        <v>0</v>
      </c>
      <c r="P386">
        <f>IMDIV("1",IMSUM(G386,IMDIV("1",O386)))</f>
        <v>0</v>
      </c>
      <c r="Q386">
        <f>IMSUM(H386,P386)</f>
        <v>0</v>
      </c>
      <c r="R386">
        <f>IMDIV("1",IMSUM(I386,IMDIV("1",Q386)))</f>
        <v>0</v>
      </c>
      <c r="S386">
        <f>IMSUM(J386,R386)</f>
        <v>0</v>
      </c>
      <c r="T386">
        <f>IMDIV("1",IMSUM(K386,IMDIV("1",S386)))</f>
        <v>0</v>
      </c>
      <c r="U386">
        <f>IMSUM(L386,T386)</f>
        <v>0</v>
      </c>
      <c r="V386">
        <f>IMDIV(COMPLEX(I_DM_SOURCE,0),U386)</f>
        <v>0</v>
      </c>
      <c r="W386">
        <f>IMPRODUCT(V386,T386)</f>
        <v>0</v>
      </c>
      <c r="X386">
        <f>IMDIV(W386,S386)</f>
        <v>0</v>
      </c>
      <c r="Y386">
        <f>IMPRODUCT(X386,R386)</f>
        <v>0</v>
      </c>
      <c r="Z386">
        <f>IMDIV(Y386,Q386)</f>
        <v>0</v>
      </c>
      <c r="AA386">
        <f>IMPRODUCT(Z386,P386)</f>
        <v>0</v>
      </c>
      <c r="AB386">
        <f>AA386</f>
        <v>0</v>
      </c>
      <c r="AC386">
        <f>IMPRODUCT("-1",AB386)</f>
        <v>0</v>
      </c>
      <c r="AD386">
        <f>IMDIV(IMSUB(AB386,AC386),"2")</f>
        <v>0</v>
      </c>
      <c r="AE386" s="6">
        <f>IMABS(AB386)</f>
        <v>0</v>
      </c>
      <c r="AF386" s="6">
        <f>IMABS(AC386)</f>
        <v>0</v>
      </c>
      <c r="AG386" s="6">
        <f>IMABS(AD386)</f>
        <v>0</v>
      </c>
      <c r="AH386" s="7">
        <f>20*LOG10(MAX(AE386,1E-300)*1E6)</f>
        <v>0</v>
      </c>
      <c r="AI386" s="7">
        <f>20*LOG10(MAX(AF386,1E-300)*1E6)</f>
        <v>0</v>
      </c>
      <c r="AJ386" s="7">
        <f>20*LOG10(MAX(AG386,1E-300)*1E6)</f>
        <v>0</v>
      </c>
      <c r="AK386" s="7">
        <f>DEGREES(IMARGUMENT(AB386))</f>
        <v>0</v>
      </c>
      <c r="AL386" s="7">
        <f>DEGREES(IMARGUMENT(AC386))</f>
        <v>0</v>
      </c>
      <c r="AM386" s="7">
        <f>DEGREES(IMARGUMENT(AD386))</f>
        <v>0</v>
      </c>
    </row>
    <row r="387" spans="1:39">
      <c r="A387" s="6">
        <f>10^(LOG10(F_START)+(ROW()-ROW($A$2))*(LOG10(F_STOP)-LOG10(F_START))/(N_POINTS-1))</f>
        <v>0</v>
      </c>
      <c r="B387" s="6">
        <f>2*PI()*A387</f>
        <v>0</v>
      </c>
      <c r="C387">
        <f>COMPLEX(2*LINE_PS_DCR,2*B387*LINE_PS_L)</f>
        <v>0</v>
      </c>
      <c r="D387">
        <f>IMSUM(COMPLEX(0,B387*(LINE_PS_CLINE+LINE_PS_CCHA/2)),IMDIV("1",IMPRODUCT("2",COMPLEX(C_THROUGH_ESR,B387*C_THROUGH_ESL-1/(B387*C_THROUGH_C)))))</f>
        <v>0</v>
      </c>
      <c r="E387">
        <f>COMPLEX(2*LINE_INPUT_DCR,2*B387*LINE_INPUT_L)</f>
        <v>0</v>
      </c>
      <c r="F387">
        <f>COMPLEX(0,B387*(LINE_INPUT_CLINE+LINE_INPUT_CCHA/2))</f>
        <v>0</v>
      </c>
      <c r="G387">
        <f>IMPRODUCT("2",IMDIV("1",IMSUM(IMDIV("1",COMPLEX(LDM1_DCR,B387*LDM1_L)),COMPLEX(0,B387*LDM1_CPA))))</f>
        <v>0</v>
      </c>
      <c r="H387">
        <f>IMSUM(IMDIV("1",COMPLEX(CX1_ESR,B387*CX1_ESL-1/(B387*CX1_C))),IMDIV("1",IMSUM(COMPLEX(DUMP1_R,0),COMPLEX(DUMP1_ESR,B387*DUMP1_ESL-1/(B387*DUMP1_C)))))</f>
        <v>0</v>
      </c>
      <c r="I387">
        <f>IMPRODUCT("2",IMDIV("1",IMSUM(IMDIV("1",COMPLEX(LDM2_DCR,B387*LDM2_L)),COMPLEX(0,B387*LDM2_CPA))))</f>
        <v>0</v>
      </c>
      <c r="J387">
        <f>IMSUM(IMDIV("1",COMPLEX(CX2_ESR,B387*CX2_ESL-1/(B387*CX2_C))),IMDIV("1",IMSUM(COMPLEX(DUMP2_R,0),COMPLEX(DUMP2_ESR,B387*DUMP2_ESL-1/(B387*DUMP2_C)))))</f>
        <v>0</v>
      </c>
      <c r="K387">
        <f>IMPRODUCT("2",IMDIV("1",IMSUM(IMDIV("1",COMPLEX(CMC_DCR,B387*CMC_L*(1-CMC_K))),COMPLEX(0,B387*CMC_CPA))))</f>
        <v>0</v>
      </c>
      <c r="L387">
        <f>IMSUM(COMPLEX(0,B387*CMC_CLINE),IMDIV("1",IMPRODUCT("2",COMPLEX(CY_ESR,B387*CY_ESL-1/(B387*CY_C)))),COMPLEX(1/DUMMY_R,0))</f>
        <v>0</v>
      </c>
      <c r="M387">
        <f>IMSUM(D387,IMDIV("1",C387))</f>
        <v>0</v>
      </c>
      <c r="N387">
        <f>IMDIV("1",IMSUM(E387,IMDIV("1",M387)))</f>
        <v>0</v>
      </c>
      <c r="O387">
        <f>IMSUM(F387,N387)</f>
        <v>0</v>
      </c>
      <c r="P387">
        <f>IMDIV("1",IMSUM(G387,IMDIV("1",O387)))</f>
        <v>0</v>
      </c>
      <c r="Q387">
        <f>IMSUM(H387,P387)</f>
        <v>0</v>
      </c>
      <c r="R387">
        <f>IMDIV("1",IMSUM(I387,IMDIV("1",Q387)))</f>
        <v>0</v>
      </c>
      <c r="S387">
        <f>IMSUM(J387,R387)</f>
        <v>0</v>
      </c>
      <c r="T387">
        <f>IMDIV("1",IMSUM(K387,IMDIV("1",S387)))</f>
        <v>0</v>
      </c>
      <c r="U387">
        <f>IMSUM(L387,T387)</f>
        <v>0</v>
      </c>
      <c r="V387">
        <f>IMDIV(COMPLEX(I_DM_SOURCE,0),U387)</f>
        <v>0</v>
      </c>
      <c r="W387">
        <f>IMPRODUCT(V387,T387)</f>
        <v>0</v>
      </c>
      <c r="X387">
        <f>IMDIV(W387,S387)</f>
        <v>0</v>
      </c>
      <c r="Y387">
        <f>IMPRODUCT(X387,R387)</f>
        <v>0</v>
      </c>
      <c r="Z387">
        <f>IMDIV(Y387,Q387)</f>
        <v>0</v>
      </c>
      <c r="AA387">
        <f>IMPRODUCT(Z387,P387)</f>
        <v>0</v>
      </c>
      <c r="AB387">
        <f>AA387</f>
        <v>0</v>
      </c>
      <c r="AC387">
        <f>IMPRODUCT("-1",AB387)</f>
        <v>0</v>
      </c>
      <c r="AD387">
        <f>IMDIV(IMSUB(AB387,AC387),"2")</f>
        <v>0</v>
      </c>
      <c r="AE387" s="6">
        <f>IMABS(AB387)</f>
        <v>0</v>
      </c>
      <c r="AF387" s="6">
        <f>IMABS(AC387)</f>
        <v>0</v>
      </c>
      <c r="AG387" s="6">
        <f>IMABS(AD387)</f>
        <v>0</v>
      </c>
      <c r="AH387" s="7">
        <f>20*LOG10(MAX(AE387,1E-300)*1E6)</f>
        <v>0</v>
      </c>
      <c r="AI387" s="7">
        <f>20*LOG10(MAX(AF387,1E-300)*1E6)</f>
        <v>0</v>
      </c>
      <c r="AJ387" s="7">
        <f>20*LOG10(MAX(AG387,1E-300)*1E6)</f>
        <v>0</v>
      </c>
      <c r="AK387" s="7">
        <f>DEGREES(IMARGUMENT(AB387))</f>
        <v>0</v>
      </c>
      <c r="AL387" s="7">
        <f>DEGREES(IMARGUMENT(AC387))</f>
        <v>0</v>
      </c>
      <c r="AM387" s="7">
        <f>DEGREES(IMARGUMENT(AD387))</f>
        <v>0</v>
      </c>
    </row>
    <row r="388" spans="1:39">
      <c r="A388" s="6">
        <f>10^(LOG10(F_START)+(ROW()-ROW($A$2))*(LOG10(F_STOP)-LOG10(F_START))/(N_POINTS-1))</f>
        <v>0</v>
      </c>
      <c r="B388" s="6">
        <f>2*PI()*A388</f>
        <v>0</v>
      </c>
      <c r="C388">
        <f>COMPLEX(2*LINE_PS_DCR,2*B388*LINE_PS_L)</f>
        <v>0</v>
      </c>
      <c r="D388">
        <f>IMSUM(COMPLEX(0,B388*(LINE_PS_CLINE+LINE_PS_CCHA/2)),IMDIV("1",IMPRODUCT("2",COMPLEX(C_THROUGH_ESR,B388*C_THROUGH_ESL-1/(B388*C_THROUGH_C)))))</f>
        <v>0</v>
      </c>
      <c r="E388">
        <f>COMPLEX(2*LINE_INPUT_DCR,2*B388*LINE_INPUT_L)</f>
        <v>0</v>
      </c>
      <c r="F388">
        <f>COMPLEX(0,B388*(LINE_INPUT_CLINE+LINE_INPUT_CCHA/2))</f>
        <v>0</v>
      </c>
      <c r="G388">
        <f>IMPRODUCT("2",IMDIV("1",IMSUM(IMDIV("1",COMPLEX(LDM1_DCR,B388*LDM1_L)),COMPLEX(0,B388*LDM1_CPA))))</f>
        <v>0</v>
      </c>
      <c r="H388">
        <f>IMSUM(IMDIV("1",COMPLEX(CX1_ESR,B388*CX1_ESL-1/(B388*CX1_C))),IMDIV("1",IMSUM(COMPLEX(DUMP1_R,0),COMPLEX(DUMP1_ESR,B388*DUMP1_ESL-1/(B388*DUMP1_C)))))</f>
        <v>0</v>
      </c>
      <c r="I388">
        <f>IMPRODUCT("2",IMDIV("1",IMSUM(IMDIV("1",COMPLEX(LDM2_DCR,B388*LDM2_L)),COMPLEX(0,B388*LDM2_CPA))))</f>
        <v>0</v>
      </c>
      <c r="J388">
        <f>IMSUM(IMDIV("1",COMPLEX(CX2_ESR,B388*CX2_ESL-1/(B388*CX2_C))),IMDIV("1",IMSUM(COMPLEX(DUMP2_R,0),COMPLEX(DUMP2_ESR,B388*DUMP2_ESL-1/(B388*DUMP2_C)))))</f>
        <v>0</v>
      </c>
      <c r="K388">
        <f>IMPRODUCT("2",IMDIV("1",IMSUM(IMDIV("1",COMPLEX(CMC_DCR,B388*CMC_L*(1-CMC_K))),COMPLEX(0,B388*CMC_CPA))))</f>
        <v>0</v>
      </c>
      <c r="L388">
        <f>IMSUM(COMPLEX(0,B388*CMC_CLINE),IMDIV("1",IMPRODUCT("2",COMPLEX(CY_ESR,B388*CY_ESL-1/(B388*CY_C)))),COMPLEX(1/DUMMY_R,0))</f>
        <v>0</v>
      </c>
      <c r="M388">
        <f>IMSUM(D388,IMDIV("1",C388))</f>
        <v>0</v>
      </c>
      <c r="N388">
        <f>IMDIV("1",IMSUM(E388,IMDIV("1",M388)))</f>
        <v>0</v>
      </c>
      <c r="O388">
        <f>IMSUM(F388,N388)</f>
        <v>0</v>
      </c>
      <c r="P388">
        <f>IMDIV("1",IMSUM(G388,IMDIV("1",O388)))</f>
        <v>0</v>
      </c>
      <c r="Q388">
        <f>IMSUM(H388,P388)</f>
        <v>0</v>
      </c>
      <c r="R388">
        <f>IMDIV("1",IMSUM(I388,IMDIV("1",Q388)))</f>
        <v>0</v>
      </c>
      <c r="S388">
        <f>IMSUM(J388,R388)</f>
        <v>0</v>
      </c>
      <c r="T388">
        <f>IMDIV("1",IMSUM(K388,IMDIV("1",S388)))</f>
        <v>0</v>
      </c>
      <c r="U388">
        <f>IMSUM(L388,T388)</f>
        <v>0</v>
      </c>
      <c r="V388">
        <f>IMDIV(COMPLEX(I_DM_SOURCE,0),U388)</f>
        <v>0</v>
      </c>
      <c r="W388">
        <f>IMPRODUCT(V388,T388)</f>
        <v>0</v>
      </c>
      <c r="X388">
        <f>IMDIV(W388,S388)</f>
        <v>0</v>
      </c>
      <c r="Y388">
        <f>IMPRODUCT(X388,R388)</f>
        <v>0</v>
      </c>
      <c r="Z388">
        <f>IMDIV(Y388,Q388)</f>
        <v>0</v>
      </c>
      <c r="AA388">
        <f>IMPRODUCT(Z388,P388)</f>
        <v>0</v>
      </c>
      <c r="AB388">
        <f>AA388</f>
        <v>0</v>
      </c>
      <c r="AC388">
        <f>IMPRODUCT("-1",AB388)</f>
        <v>0</v>
      </c>
      <c r="AD388">
        <f>IMDIV(IMSUB(AB388,AC388),"2")</f>
        <v>0</v>
      </c>
      <c r="AE388" s="6">
        <f>IMABS(AB388)</f>
        <v>0</v>
      </c>
      <c r="AF388" s="6">
        <f>IMABS(AC388)</f>
        <v>0</v>
      </c>
      <c r="AG388" s="6">
        <f>IMABS(AD388)</f>
        <v>0</v>
      </c>
      <c r="AH388" s="7">
        <f>20*LOG10(MAX(AE388,1E-300)*1E6)</f>
        <v>0</v>
      </c>
      <c r="AI388" s="7">
        <f>20*LOG10(MAX(AF388,1E-300)*1E6)</f>
        <v>0</v>
      </c>
      <c r="AJ388" s="7">
        <f>20*LOG10(MAX(AG388,1E-300)*1E6)</f>
        <v>0</v>
      </c>
      <c r="AK388" s="7">
        <f>DEGREES(IMARGUMENT(AB388))</f>
        <v>0</v>
      </c>
      <c r="AL388" s="7">
        <f>DEGREES(IMARGUMENT(AC388))</f>
        <v>0</v>
      </c>
      <c r="AM388" s="7">
        <f>DEGREES(IMARGUMENT(AD388))</f>
        <v>0</v>
      </c>
    </row>
    <row r="389" spans="1:39">
      <c r="A389" s="6">
        <f>10^(LOG10(F_START)+(ROW()-ROW($A$2))*(LOG10(F_STOP)-LOG10(F_START))/(N_POINTS-1))</f>
        <v>0</v>
      </c>
      <c r="B389" s="6">
        <f>2*PI()*A389</f>
        <v>0</v>
      </c>
      <c r="C389">
        <f>COMPLEX(2*LINE_PS_DCR,2*B389*LINE_PS_L)</f>
        <v>0</v>
      </c>
      <c r="D389">
        <f>IMSUM(COMPLEX(0,B389*(LINE_PS_CLINE+LINE_PS_CCHA/2)),IMDIV("1",IMPRODUCT("2",COMPLEX(C_THROUGH_ESR,B389*C_THROUGH_ESL-1/(B389*C_THROUGH_C)))))</f>
        <v>0</v>
      </c>
      <c r="E389">
        <f>COMPLEX(2*LINE_INPUT_DCR,2*B389*LINE_INPUT_L)</f>
        <v>0</v>
      </c>
      <c r="F389">
        <f>COMPLEX(0,B389*(LINE_INPUT_CLINE+LINE_INPUT_CCHA/2))</f>
        <v>0</v>
      </c>
      <c r="G389">
        <f>IMPRODUCT("2",IMDIV("1",IMSUM(IMDIV("1",COMPLEX(LDM1_DCR,B389*LDM1_L)),COMPLEX(0,B389*LDM1_CPA))))</f>
        <v>0</v>
      </c>
      <c r="H389">
        <f>IMSUM(IMDIV("1",COMPLEX(CX1_ESR,B389*CX1_ESL-1/(B389*CX1_C))),IMDIV("1",IMSUM(COMPLEX(DUMP1_R,0),COMPLEX(DUMP1_ESR,B389*DUMP1_ESL-1/(B389*DUMP1_C)))))</f>
        <v>0</v>
      </c>
      <c r="I389">
        <f>IMPRODUCT("2",IMDIV("1",IMSUM(IMDIV("1",COMPLEX(LDM2_DCR,B389*LDM2_L)),COMPLEX(0,B389*LDM2_CPA))))</f>
        <v>0</v>
      </c>
      <c r="J389">
        <f>IMSUM(IMDIV("1",COMPLEX(CX2_ESR,B389*CX2_ESL-1/(B389*CX2_C))),IMDIV("1",IMSUM(COMPLEX(DUMP2_R,0),COMPLEX(DUMP2_ESR,B389*DUMP2_ESL-1/(B389*DUMP2_C)))))</f>
        <v>0</v>
      </c>
      <c r="K389">
        <f>IMPRODUCT("2",IMDIV("1",IMSUM(IMDIV("1",COMPLEX(CMC_DCR,B389*CMC_L*(1-CMC_K))),COMPLEX(0,B389*CMC_CPA))))</f>
        <v>0</v>
      </c>
      <c r="L389">
        <f>IMSUM(COMPLEX(0,B389*CMC_CLINE),IMDIV("1",IMPRODUCT("2",COMPLEX(CY_ESR,B389*CY_ESL-1/(B389*CY_C)))),COMPLEX(1/DUMMY_R,0))</f>
        <v>0</v>
      </c>
      <c r="M389">
        <f>IMSUM(D389,IMDIV("1",C389))</f>
        <v>0</v>
      </c>
      <c r="N389">
        <f>IMDIV("1",IMSUM(E389,IMDIV("1",M389)))</f>
        <v>0</v>
      </c>
      <c r="O389">
        <f>IMSUM(F389,N389)</f>
        <v>0</v>
      </c>
      <c r="P389">
        <f>IMDIV("1",IMSUM(G389,IMDIV("1",O389)))</f>
        <v>0</v>
      </c>
      <c r="Q389">
        <f>IMSUM(H389,P389)</f>
        <v>0</v>
      </c>
      <c r="R389">
        <f>IMDIV("1",IMSUM(I389,IMDIV("1",Q389)))</f>
        <v>0</v>
      </c>
      <c r="S389">
        <f>IMSUM(J389,R389)</f>
        <v>0</v>
      </c>
      <c r="T389">
        <f>IMDIV("1",IMSUM(K389,IMDIV("1",S389)))</f>
        <v>0</v>
      </c>
      <c r="U389">
        <f>IMSUM(L389,T389)</f>
        <v>0</v>
      </c>
      <c r="V389">
        <f>IMDIV(COMPLEX(I_DM_SOURCE,0),U389)</f>
        <v>0</v>
      </c>
      <c r="W389">
        <f>IMPRODUCT(V389,T389)</f>
        <v>0</v>
      </c>
      <c r="X389">
        <f>IMDIV(W389,S389)</f>
        <v>0</v>
      </c>
      <c r="Y389">
        <f>IMPRODUCT(X389,R389)</f>
        <v>0</v>
      </c>
      <c r="Z389">
        <f>IMDIV(Y389,Q389)</f>
        <v>0</v>
      </c>
      <c r="AA389">
        <f>IMPRODUCT(Z389,P389)</f>
        <v>0</v>
      </c>
      <c r="AB389">
        <f>AA389</f>
        <v>0</v>
      </c>
      <c r="AC389">
        <f>IMPRODUCT("-1",AB389)</f>
        <v>0</v>
      </c>
      <c r="AD389">
        <f>IMDIV(IMSUB(AB389,AC389),"2")</f>
        <v>0</v>
      </c>
      <c r="AE389" s="6">
        <f>IMABS(AB389)</f>
        <v>0</v>
      </c>
      <c r="AF389" s="6">
        <f>IMABS(AC389)</f>
        <v>0</v>
      </c>
      <c r="AG389" s="6">
        <f>IMABS(AD389)</f>
        <v>0</v>
      </c>
      <c r="AH389" s="7">
        <f>20*LOG10(MAX(AE389,1E-300)*1E6)</f>
        <v>0</v>
      </c>
      <c r="AI389" s="7">
        <f>20*LOG10(MAX(AF389,1E-300)*1E6)</f>
        <v>0</v>
      </c>
      <c r="AJ389" s="7">
        <f>20*LOG10(MAX(AG389,1E-300)*1E6)</f>
        <v>0</v>
      </c>
      <c r="AK389" s="7">
        <f>DEGREES(IMARGUMENT(AB389))</f>
        <v>0</v>
      </c>
      <c r="AL389" s="7">
        <f>DEGREES(IMARGUMENT(AC389))</f>
        <v>0</v>
      </c>
      <c r="AM389" s="7">
        <f>DEGREES(IMARGUMENT(AD389))</f>
        <v>0</v>
      </c>
    </row>
    <row r="390" spans="1:39">
      <c r="A390" s="6">
        <f>10^(LOG10(F_START)+(ROW()-ROW($A$2))*(LOG10(F_STOP)-LOG10(F_START))/(N_POINTS-1))</f>
        <v>0</v>
      </c>
      <c r="B390" s="6">
        <f>2*PI()*A390</f>
        <v>0</v>
      </c>
      <c r="C390">
        <f>COMPLEX(2*LINE_PS_DCR,2*B390*LINE_PS_L)</f>
        <v>0</v>
      </c>
      <c r="D390">
        <f>IMSUM(COMPLEX(0,B390*(LINE_PS_CLINE+LINE_PS_CCHA/2)),IMDIV("1",IMPRODUCT("2",COMPLEX(C_THROUGH_ESR,B390*C_THROUGH_ESL-1/(B390*C_THROUGH_C)))))</f>
        <v>0</v>
      </c>
      <c r="E390">
        <f>COMPLEX(2*LINE_INPUT_DCR,2*B390*LINE_INPUT_L)</f>
        <v>0</v>
      </c>
      <c r="F390">
        <f>COMPLEX(0,B390*(LINE_INPUT_CLINE+LINE_INPUT_CCHA/2))</f>
        <v>0</v>
      </c>
      <c r="G390">
        <f>IMPRODUCT("2",IMDIV("1",IMSUM(IMDIV("1",COMPLEX(LDM1_DCR,B390*LDM1_L)),COMPLEX(0,B390*LDM1_CPA))))</f>
        <v>0</v>
      </c>
      <c r="H390">
        <f>IMSUM(IMDIV("1",COMPLEX(CX1_ESR,B390*CX1_ESL-1/(B390*CX1_C))),IMDIV("1",IMSUM(COMPLEX(DUMP1_R,0),COMPLEX(DUMP1_ESR,B390*DUMP1_ESL-1/(B390*DUMP1_C)))))</f>
        <v>0</v>
      </c>
      <c r="I390">
        <f>IMPRODUCT("2",IMDIV("1",IMSUM(IMDIV("1",COMPLEX(LDM2_DCR,B390*LDM2_L)),COMPLEX(0,B390*LDM2_CPA))))</f>
        <v>0</v>
      </c>
      <c r="J390">
        <f>IMSUM(IMDIV("1",COMPLEX(CX2_ESR,B390*CX2_ESL-1/(B390*CX2_C))),IMDIV("1",IMSUM(COMPLEX(DUMP2_R,0),COMPLEX(DUMP2_ESR,B390*DUMP2_ESL-1/(B390*DUMP2_C)))))</f>
        <v>0</v>
      </c>
      <c r="K390">
        <f>IMPRODUCT("2",IMDIV("1",IMSUM(IMDIV("1",COMPLEX(CMC_DCR,B390*CMC_L*(1-CMC_K))),COMPLEX(0,B390*CMC_CPA))))</f>
        <v>0</v>
      </c>
      <c r="L390">
        <f>IMSUM(COMPLEX(0,B390*CMC_CLINE),IMDIV("1",IMPRODUCT("2",COMPLEX(CY_ESR,B390*CY_ESL-1/(B390*CY_C)))),COMPLEX(1/DUMMY_R,0))</f>
        <v>0</v>
      </c>
      <c r="M390">
        <f>IMSUM(D390,IMDIV("1",C390))</f>
        <v>0</v>
      </c>
      <c r="N390">
        <f>IMDIV("1",IMSUM(E390,IMDIV("1",M390)))</f>
        <v>0</v>
      </c>
      <c r="O390">
        <f>IMSUM(F390,N390)</f>
        <v>0</v>
      </c>
      <c r="P390">
        <f>IMDIV("1",IMSUM(G390,IMDIV("1",O390)))</f>
        <v>0</v>
      </c>
      <c r="Q390">
        <f>IMSUM(H390,P390)</f>
        <v>0</v>
      </c>
      <c r="R390">
        <f>IMDIV("1",IMSUM(I390,IMDIV("1",Q390)))</f>
        <v>0</v>
      </c>
      <c r="S390">
        <f>IMSUM(J390,R390)</f>
        <v>0</v>
      </c>
      <c r="T390">
        <f>IMDIV("1",IMSUM(K390,IMDIV("1",S390)))</f>
        <v>0</v>
      </c>
      <c r="U390">
        <f>IMSUM(L390,T390)</f>
        <v>0</v>
      </c>
      <c r="V390">
        <f>IMDIV(COMPLEX(I_DM_SOURCE,0),U390)</f>
        <v>0</v>
      </c>
      <c r="W390">
        <f>IMPRODUCT(V390,T390)</f>
        <v>0</v>
      </c>
      <c r="X390">
        <f>IMDIV(W390,S390)</f>
        <v>0</v>
      </c>
      <c r="Y390">
        <f>IMPRODUCT(X390,R390)</f>
        <v>0</v>
      </c>
      <c r="Z390">
        <f>IMDIV(Y390,Q390)</f>
        <v>0</v>
      </c>
      <c r="AA390">
        <f>IMPRODUCT(Z390,P390)</f>
        <v>0</v>
      </c>
      <c r="AB390">
        <f>AA390</f>
        <v>0</v>
      </c>
      <c r="AC390">
        <f>IMPRODUCT("-1",AB390)</f>
        <v>0</v>
      </c>
      <c r="AD390">
        <f>IMDIV(IMSUB(AB390,AC390),"2")</f>
        <v>0</v>
      </c>
      <c r="AE390" s="6">
        <f>IMABS(AB390)</f>
        <v>0</v>
      </c>
      <c r="AF390" s="6">
        <f>IMABS(AC390)</f>
        <v>0</v>
      </c>
      <c r="AG390" s="6">
        <f>IMABS(AD390)</f>
        <v>0</v>
      </c>
      <c r="AH390" s="7">
        <f>20*LOG10(MAX(AE390,1E-300)*1E6)</f>
        <v>0</v>
      </c>
      <c r="AI390" s="7">
        <f>20*LOG10(MAX(AF390,1E-300)*1E6)</f>
        <v>0</v>
      </c>
      <c r="AJ390" s="7">
        <f>20*LOG10(MAX(AG390,1E-300)*1E6)</f>
        <v>0</v>
      </c>
      <c r="AK390" s="7">
        <f>DEGREES(IMARGUMENT(AB390))</f>
        <v>0</v>
      </c>
      <c r="AL390" s="7">
        <f>DEGREES(IMARGUMENT(AC390))</f>
        <v>0</v>
      </c>
      <c r="AM390" s="7">
        <f>DEGREES(IMARGUMENT(AD390))</f>
        <v>0</v>
      </c>
    </row>
    <row r="391" spans="1:39">
      <c r="A391" s="6">
        <f>10^(LOG10(F_START)+(ROW()-ROW($A$2))*(LOG10(F_STOP)-LOG10(F_START))/(N_POINTS-1))</f>
        <v>0</v>
      </c>
      <c r="B391" s="6">
        <f>2*PI()*A391</f>
        <v>0</v>
      </c>
      <c r="C391">
        <f>COMPLEX(2*LINE_PS_DCR,2*B391*LINE_PS_L)</f>
        <v>0</v>
      </c>
      <c r="D391">
        <f>IMSUM(COMPLEX(0,B391*(LINE_PS_CLINE+LINE_PS_CCHA/2)),IMDIV("1",IMPRODUCT("2",COMPLEX(C_THROUGH_ESR,B391*C_THROUGH_ESL-1/(B391*C_THROUGH_C)))))</f>
        <v>0</v>
      </c>
      <c r="E391">
        <f>COMPLEX(2*LINE_INPUT_DCR,2*B391*LINE_INPUT_L)</f>
        <v>0</v>
      </c>
      <c r="F391">
        <f>COMPLEX(0,B391*(LINE_INPUT_CLINE+LINE_INPUT_CCHA/2))</f>
        <v>0</v>
      </c>
      <c r="G391">
        <f>IMPRODUCT("2",IMDIV("1",IMSUM(IMDIV("1",COMPLEX(LDM1_DCR,B391*LDM1_L)),COMPLEX(0,B391*LDM1_CPA))))</f>
        <v>0</v>
      </c>
      <c r="H391">
        <f>IMSUM(IMDIV("1",COMPLEX(CX1_ESR,B391*CX1_ESL-1/(B391*CX1_C))),IMDIV("1",IMSUM(COMPLEX(DUMP1_R,0),COMPLEX(DUMP1_ESR,B391*DUMP1_ESL-1/(B391*DUMP1_C)))))</f>
        <v>0</v>
      </c>
      <c r="I391">
        <f>IMPRODUCT("2",IMDIV("1",IMSUM(IMDIV("1",COMPLEX(LDM2_DCR,B391*LDM2_L)),COMPLEX(0,B391*LDM2_CPA))))</f>
        <v>0</v>
      </c>
      <c r="J391">
        <f>IMSUM(IMDIV("1",COMPLEX(CX2_ESR,B391*CX2_ESL-1/(B391*CX2_C))),IMDIV("1",IMSUM(COMPLEX(DUMP2_R,0),COMPLEX(DUMP2_ESR,B391*DUMP2_ESL-1/(B391*DUMP2_C)))))</f>
        <v>0</v>
      </c>
      <c r="K391">
        <f>IMPRODUCT("2",IMDIV("1",IMSUM(IMDIV("1",COMPLEX(CMC_DCR,B391*CMC_L*(1-CMC_K))),COMPLEX(0,B391*CMC_CPA))))</f>
        <v>0</v>
      </c>
      <c r="L391">
        <f>IMSUM(COMPLEX(0,B391*CMC_CLINE),IMDIV("1",IMPRODUCT("2",COMPLEX(CY_ESR,B391*CY_ESL-1/(B391*CY_C)))),COMPLEX(1/DUMMY_R,0))</f>
        <v>0</v>
      </c>
      <c r="M391">
        <f>IMSUM(D391,IMDIV("1",C391))</f>
        <v>0</v>
      </c>
      <c r="N391">
        <f>IMDIV("1",IMSUM(E391,IMDIV("1",M391)))</f>
        <v>0</v>
      </c>
      <c r="O391">
        <f>IMSUM(F391,N391)</f>
        <v>0</v>
      </c>
      <c r="P391">
        <f>IMDIV("1",IMSUM(G391,IMDIV("1",O391)))</f>
        <v>0</v>
      </c>
      <c r="Q391">
        <f>IMSUM(H391,P391)</f>
        <v>0</v>
      </c>
      <c r="R391">
        <f>IMDIV("1",IMSUM(I391,IMDIV("1",Q391)))</f>
        <v>0</v>
      </c>
      <c r="S391">
        <f>IMSUM(J391,R391)</f>
        <v>0</v>
      </c>
      <c r="T391">
        <f>IMDIV("1",IMSUM(K391,IMDIV("1",S391)))</f>
        <v>0</v>
      </c>
      <c r="U391">
        <f>IMSUM(L391,T391)</f>
        <v>0</v>
      </c>
      <c r="V391">
        <f>IMDIV(COMPLEX(I_DM_SOURCE,0),U391)</f>
        <v>0</v>
      </c>
      <c r="W391">
        <f>IMPRODUCT(V391,T391)</f>
        <v>0</v>
      </c>
      <c r="X391">
        <f>IMDIV(W391,S391)</f>
        <v>0</v>
      </c>
      <c r="Y391">
        <f>IMPRODUCT(X391,R391)</f>
        <v>0</v>
      </c>
      <c r="Z391">
        <f>IMDIV(Y391,Q391)</f>
        <v>0</v>
      </c>
      <c r="AA391">
        <f>IMPRODUCT(Z391,P391)</f>
        <v>0</v>
      </c>
      <c r="AB391">
        <f>AA391</f>
        <v>0</v>
      </c>
      <c r="AC391">
        <f>IMPRODUCT("-1",AB391)</f>
        <v>0</v>
      </c>
      <c r="AD391">
        <f>IMDIV(IMSUB(AB391,AC391),"2")</f>
        <v>0</v>
      </c>
      <c r="AE391" s="6">
        <f>IMABS(AB391)</f>
        <v>0</v>
      </c>
      <c r="AF391" s="6">
        <f>IMABS(AC391)</f>
        <v>0</v>
      </c>
      <c r="AG391" s="6">
        <f>IMABS(AD391)</f>
        <v>0</v>
      </c>
      <c r="AH391" s="7">
        <f>20*LOG10(MAX(AE391,1E-300)*1E6)</f>
        <v>0</v>
      </c>
      <c r="AI391" s="7">
        <f>20*LOG10(MAX(AF391,1E-300)*1E6)</f>
        <v>0</v>
      </c>
      <c r="AJ391" s="7">
        <f>20*LOG10(MAX(AG391,1E-300)*1E6)</f>
        <v>0</v>
      </c>
      <c r="AK391" s="7">
        <f>DEGREES(IMARGUMENT(AB391))</f>
        <v>0</v>
      </c>
      <c r="AL391" s="7">
        <f>DEGREES(IMARGUMENT(AC391))</f>
        <v>0</v>
      </c>
      <c r="AM391" s="7">
        <f>DEGREES(IMARGUMENT(AD391))</f>
        <v>0</v>
      </c>
    </row>
    <row r="392" spans="1:39">
      <c r="A392" s="6">
        <f>10^(LOG10(F_START)+(ROW()-ROW($A$2))*(LOG10(F_STOP)-LOG10(F_START))/(N_POINTS-1))</f>
        <v>0</v>
      </c>
      <c r="B392" s="6">
        <f>2*PI()*A392</f>
        <v>0</v>
      </c>
      <c r="C392">
        <f>COMPLEX(2*LINE_PS_DCR,2*B392*LINE_PS_L)</f>
        <v>0</v>
      </c>
      <c r="D392">
        <f>IMSUM(COMPLEX(0,B392*(LINE_PS_CLINE+LINE_PS_CCHA/2)),IMDIV("1",IMPRODUCT("2",COMPLEX(C_THROUGH_ESR,B392*C_THROUGH_ESL-1/(B392*C_THROUGH_C)))))</f>
        <v>0</v>
      </c>
      <c r="E392">
        <f>COMPLEX(2*LINE_INPUT_DCR,2*B392*LINE_INPUT_L)</f>
        <v>0</v>
      </c>
      <c r="F392">
        <f>COMPLEX(0,B392*(LINE_INPUT_CLINE+LINE_INPUT_CCHA/2))</f>
        <v>0</v>
      </c>
      <c r="G392">
        <f>IMPRODUCT("2",IMDIV("1",IMSUM(IMDIV("1",COMPLEX(LDM1_DCR,B392*LDM1_L)),COMPLEX(0,B392*LDM1_CPA))))</f>
        <v>0</v>
      </c>
      <c r="H392">
        <f>IMSUM(IMDIV("1",COMPLEX(CX1_ESR,B392*CX1_ESL-1/(B392*CX1_C))),IMDIV("1",IMSUM(COMPLEX(DUMP1_R,0),COMPLEX(DUMP1_ESR,B392*DUMP1_ESL-1/(B392*DUMP1_C)))))</f>
        <v>0</v>
      </c>
      <c r="I392">
        <f>IMPRODUCT("2",IMDIV("1",IMSUM(IMDIV("1",COMPLEX(LDM2_DCR,B392*LDM2_L)),COMPLEX(0,B392*LDM2_CPA))))</f>
        <v>0</v>
      </c>
      <c r="J392">
        <f>IMSUM(IMDIV("1",COMPLEX(CX2_ESR,B392*CX2_ESL-1/(B392*CX2_C))),IMDIV("1",IMSUM(COMPLEX(DUMP2_R,0),COMPLEX(DUMP2_ESR,B392*DUMP2_ESL-1/(B392*DUMP2_C)))))</f>
        <v>0</v>
      </c>
      <c r="K392">
        <f>IMPRODUCT("2",IMDIV("1",IMSUM(IMDIV("1",COMPLEX(CMC_DCR,B392*CMC_L*(1-CMC_K))),COMPLEX(0,B392*CMC_CPA))))</f>
        <v>0</v>
      </c>
      <c r="L392">
        <f>IMSUM(COMPLEX(0,B392*CMC_CLINE),IMDIV("1",IMPRODUCT("2",COMPLEX(CY_ESR,B392*CY_ESL-1/(B392*CY_C)))),COMPLEX(1/DUMMY_R,0))</f>
        <v>0</v>
      </c>
      <c r="M392">
        <f>IMSUM(D392,IMDIV("1",C392))</f>
        <v>0</v>
      </c>
      <c r="N392">
        <f>IMDIV("1",IMSUM(E392,IMDIV("1",M392)))</f>
        <v>0</v>
      </c>
      <c r="O392">
        <f>IMSUM(F392,N392)</f>
        <v>0</v>
      </c>
      <c r="P392">
        <f>IMDIV("1",IMSUM(G392,IMDIV("1",O392)))</f>
        <v>0</v>
      </c>
      <c r="Q392">
        <f>IMSUM(H392,P392)</f>
        <v>0</v>
      </c>
      <c r="R392">
        <f>IMDIV("1",IMSUM(I392,IMDIV("1",Q392)))</f>
        <v>0</v>
      </c>
      <c r="S392">
        <f>IMSUM(J392,R392)</f>
        <v>0</v>
      </c>
      <c r="T392">
        <f>IMDIV("1",IMSUM(K392,IMDIV("1",S392)))</f>
        <v>0</v>
      </c>
      <c r="U392">
        <f>IMSUM(L392,T392)</f>
        <v>0</v>
      </c>
      <c r="V392">
        <f>IMDIV(COMPLEX(I_DM_SOURCE,0),U392)</f>
        <v>0</v>
      </c>
      <c r="W392">
        <f>IMPRODUCT(V392,T392)</f>
        <v>0</v>
      </c>
      <c r="X392">
        <f>IMDIV(W392,S392)</f>
        <v>0</v>
      </c>
      <c r="Y392">
        <f>IMPRODUCT(X392,R392)</f>
        <v>0</v>
      </c>
      <c r="Z392">
        <f>IMDIV(Y392,Q392)</f>
        <v>0</v>
      </c>
      <c r="AA392">
        <f>IMPRODUCT(Z392,P392)</f>
        <v>0</v>
      </c>
      <c r="AB392">
        <f>AA392</f>
        <v>0</v>
      </c>
      <c r="AC392">
        <f>IMPRODUCT("-1",AB392)</f>
        <v>0</v>
      </c>
      <c r="AD392">
        <f>IMDIV(IMSUB(AB392,AC392),"2")</f>
        <v>0</v>
      </c>
      <c r="AE392" s="6">
        <f>IMABS(AB392)</f>
        <v>0</v>
      </c>
      <c r="AF392" s="6">
        <f>IMABS(AC392)</f>
        <v>0</v>
      </c>
      <c r="AG392" s="6">
        <f>IMABS(AD392)</f>
        <v>0</v>
      </c>
      <c r="AH392" s="7">
        <f>20*LOG10(MAX(AE392,1E-300)*1E6)</f>
        <v>0</v>
      </c>
      <c r="AI392" s="7">
        <f>20*LOG10(MAX(AF392,1E-300)*1E6)</f>
        <v>0</v>
      </c>
      <c r="AJ392" s="7">
        <f>20*LOG10(MAX(AG392,1E-300)*1E6)</f>
        <v>0</v>
      </c>
      <c r="AK392" s="7">
        <f>DEGREES(IMARGUMENT(AB392))</f>
        <v>0</v>
      </c>
      <c r="AL392" s="7">
        <f>DEGREES(IMARGUMENT(AC392))</f>
        <v>0</v>
      </c>
      <c r="AM392" s="7">
        <f>DEGREES(IMARGUMENT(AD392))</f>
        <v>0</v>
      </c>
    </row>
    <row r="393" spans="1:39">
      <c r="A393" s="6">
        <f>10^(LOG10(F_START)+(ROW()-ROW($A$2))*(LOG10(F_STOP)-LOG10(F_START))/(N_POINTS-1))</f>
        <v>0</v>
      </c>
      <c r="B393" s="6">
        <f>2*PI()*A393</f>
        <v>0</v>
      </c>
      <c r="C393">
        <f>COMPLEX(2*LINE_PS_DCR,2*B393*LINE_PS_L)</f>
        <v>0</v>
      </c>
      <c r="D393">
        <f>IMSUM(COMPLEX(0,B393*(LINE_PS_CLINE+LINE_PS_CCHA/2)),IMDIV("1",IMPRODUCT("2",COMPLEX(C_THROUGH_ESR,B393*C_THROUGH_ESL-1/(B393*C_THROUGH_C)))))</f>
        <v>0</v>
      </c>
      <c r="E393">
        <f>COMPLEX(2*LINE_INPUT_DCR,2*B393*LINE_INPUT_L)</f>
        <v>0</v>
      </c>
      <c r="F393">
        <f>COMPLEX(0,B393*(LINE_INPUT_CLINE+LINE_INPUT_CCHA/2))</f>
        <v>0</v>
      </c>
      <c r="G393">
        <f>IMPRODUCT("2",IMDIV("1",IMSUM(IMDIV("1",COMPLEX(LDM1_DCR,B393*LDM1_L)),COMPLEX(0,B393*LDM1_CPA))))</f>
        <v>0</v>
      </c>
      <c r="H393">
        <f>IMSUM(IMDIV("1",COMPLEX(CX1_ESR,B393*CX1_ESL-1/(B393*CX1_C))),IMDIV("1",IMSUM(COMPLEX(DUMP1_R,0),COMPLEX(DUMP1_ESR,B393*DUMP1_ESL-1/(B393*DUMP1_C)))))</f>
        <v>0</v>
      </c>
      <c r="I393">
        <f>IMPRODUCT("2",IMDIV("1",IMSUM(IMDIV("1",COMPLEX(LDM2_DCR,B393*LDM2_L)),COMPLEX(0,B393*LDM2_CPA))))</f>
        <v>0</v>
      </c>
      <c r="J393">
        <f>IMSUM(IMDIV("1",COMPLEX(CX2_ESR,B393*CX2_ESL-1/(B393*CX2_C))),IMDIV("1",IMSUM(COMPLEX(DUMP2_R,0),COMPLEX(DUMP2_ESR,B393*DUMP2_ESL-1/(B393*DUMP2_C)))))</f>
        <v>0</v>
      </c>
      <c r="K393">
        <f>IMPRODUCT("2",IMDIV("1",IMSUM(IMDIV("1",COMPLEX(CMC_DCR,B393*CMC_L*(1-CMC_K))),COMPLEX(0,B393*CMC_CPA))))</f>
        <v>0</v>
      </c>
      <c r="L393">
        <f>IMSUM(COMPLEX(0,B393*CMC_CLINE),IMDIV("1",IMPRODUCT("2",COMPLEX(CY_ESR,B393*CY_ESL-1/(B393*CY_C)))),COMPLEX(1/DUMMY_R,0))</f>
        <v>0</v>
      </c>
      <c r="M393">
        <f>IMSUM(D393,IMDIV("1",C393))</f>
        <v>0</v>
      </c>
      <c r="N393">
        <f>IMDIV("1",IMSUM(E393,IMDIV("1",M393)))</f>
        <v>0</v>
      </c>
      <c r="O393">
        <f>IMSUM(F393,N393)</f>
        <v>0</v>
      </c>
      <c r="P393">
        <f>IMDIV("1",IMSUM(G393,IMDIV("1",O393)))</f>
        <v>0</v>
      </c>
      <c r="Q393">
        <f>IMSUM(H393,P393)</f>
        <v>0</v>
      </c>
      <c r="R393">
        <f>IMDIV("1",IMSUM(I393,IMDIV("1",Q393)))</f>
        <v>0</v>
      </c>
      <c r="S393">
        <f>IMSUM(J393,R393)</f>
        <v>0</v>
      </c>
      <c r="T393">
        <f>IMDIV("1",IMSUM(K393,IMDIV("1",S393)))</f>
        <v>0</v>
      </c>
      <c r="U393">
        <f>IMSUM(L393,T393)</f>
        <v>0</v>
      </c>
      <c r="V393">
        <f>IMDIV(COMPLEX(I_DM_SOURCE,0),U393)</f>
        <v>0</v>
      </c>
      <c r="W393">
        <f>IMPRODUCT(V393,T393)</f>
        <v>0</v>
      </c>
      <c r="X393">
        <f>IMDIV(W393,S393)</f>
        <v>0</v>
      </c>
      <c r="Y393">
        <f>IMPRODUCT(X393,R393)</f>
        <v>0</v>
      </c>
      <c r="Z393">
        <f>IMDIV(Y393,Q393)</f>
        <v>0</v>
      </c>
      <c r="AA393">
        <f>IMPRODUCT(Z393,P393)</f>
        <v>0</v>
      </c>
      <c r="AB393">
        <f>AA393</f>
        <v>0</v>
      </c>
      <c r="AC393">
        <f>IMPRODUCT("-1",AB393)</f>
        <v>0</v>
      </c>
      <c r="AD393">
        <f>IMDIV(IMSUB(AB393,AC393),"2")</f>
        <v>0</v>
      </c>
      <c r="AE393" s="6">
        <f>IMABS(AB393)</f>
        <v>0</v>
      </c>
      <c r="AF393" s="6">
        <f>IMABS(AC393)</f>
        <v>0</v>
      </c>
      <c r="AG393" s="6">
        <f>IMABS(AD393)</f>
        <v>0</v>
      </c>
      <c r="AH393" s="7">
        <f>20*LOG10(MAX(AE393,1E-300)*1E6)</f>
        <v>0</v>
      </c>
      <c r="AI393" s="7">
        <f>20*LOG10(MAX(AF393,1E-300)*1E6)</f>
        <v>0</v>
      </c>
      <c r="AJ393" s="7">
        <f>20*LOG10(MAX(AG393,1E-300)*1E6)</f>
        <v>0</v>
      </c>
      <c r="AK393" s="7">
        <f>DEGREES(IMARGUMENT(AB393))</f>
        <v>0</v>
      </c>
      <c r="AL393" s="7">
        <f>DEGREES(IMARGUMENT(AC393))</f>
        <v>0</v>
      </c>
      <c r="AM393" s="7">
        <f>DEGREES(IMARGUMENT(AD393))</f>
        <v>0</v>
      </c>
    </row>
    <row r="394" spans="1:39">
      <c r="A394" s="6">
        <f>10^(LOG10(F_START)+(ROW()-ROW($A$2))*(LOG10(F_STOP)-LOG10(F_START))/(N_POINTS-1))</f>
        <v>0</v>
      </c>
      <c r="B394" s="6">
        <f>2*PI()*A394</f>
        <v>0</v>
      </c>
      <c r="C394">
        <f>COMPLEX(2*LINE_PS_DCR,2*B394*LINE_PS_L)</f>
        <v>0</v>
      </c>
      <c r="D394">
        <f>IMSUM(COMPLEX(0,B394*(LINE_PS_CLINE+LINE_PS_CCHA/2)),IMDIV("1",IMPRODUCT("2",COMPLEX(C_THROUGH_ESR,B394*C_THROUGH_ESL-1/(B394*C_THROUGH_C)))))</f>
        <v>0</v>
      </c>
      <c r="E394">
        <f>COMPLEX(2*LINE_INPUT_DCR,2*B394*LINE_INPUT_L)</f>
        <v>0</v>
      </c>
      <c r="F394">
        <f>COMPLEX(0,B394*(LINE_INPUT_CLINE+LINE_INPUT_CCHA/2))</f>
        <v>0</v>
      </c>
      <c r="G394">
        <f>IMPRODUCT("2",IMDIV("1",IMSUM(IMDIV("1",COMPLEX(LDM1_DCR,B394*LDM1_L)),COMPLEX(0,B394*LDM1_CPA))))</f>
        <v>0</v>
      </c>
      <c r="H394">
        <f>IMSUM(IMDIV("1",COMPLEX(CX1_ESR,B394*CX1_ESL-1/(B394*CX1_C))),IMDIV("1",IMSUM(COMPLEX(DUMP1_R,0),COMPLEX(DUMP1_ESR,B394*DUMP1_ESL-1/(B394*DUMP1_C)))))</f>
        <v>0</v>
      </c>
      <c r="I394">
        <f>IMPRODUCT("2",IMDIV("1",IMSUM(IMDIV("1",COMPLEX(LDM2_DCR,B394*LDM2_L)),COMPLEX(0,B394*LDM2_CPA))))</f>
        <v>0</v>
      </c>
      <c r="J394">
        <f>IMSUM(IMDIV("1",COMPLEX(CX2_ESR,B394*CX2_ESL-1/(B394*CX2_C))),IMDIV("1",IMSUM(COMPLEX(DUMP2_R,0),COMPLEX(DUMP2_ESR,B394*DUMP2_ESL-1/(B394*DUMP2_C)))))</f>
        <v>0</v>
      </c>
      <c r="K394">
        <f>IMPRODUCT("2",IMDIV("1",IMSUM(IMDIV("1",COMPLEX(CMC_DCR,B394*CMC_L*(1-CMC_K))),COMPLEX(0,B394*CMC_CPA))))</f>
        <v>0</v>
      </c>
      <c r="L394">
        <f>IMSUM(COMPLEX(0,B394*CMC_CLINE),IMDIV("1",IMPRODUCT("2",COMPLEX(CY_ESR,B394*CY_ESL-1/(B394*CY_C)))),COMPLEX(1/DUMMY_R,0))</f>
        <v>0</v>
      </c>
      <c r="M394">
        <f>IMSUM(D394,IMDIV("1",C394))</f>
        <v>0</v>
      </c>
      <c r="N394">
        <f>IMDIV("1",IMSUM(E394,IMDIV("1",M394)))</f>
        <v>0</v>
      </c>
      <c r="O394">
        <f>IMSUM(F394,N394)</f>
        <v>0</v>
      </c>
      <c r="P394">
        <f>IMDIV("1",IMSUM(G394,IMDIV("1",O394)))</f>
        <v>0</v>
      </c>
      <c r="Q394">
        <f>IMSUM(H394,P394)</f>
        <v>0</v>
      </c>
      <c r="R394">
        <f>IMDIV("1",IMSUM(I394,IMDIV("1",Q394)))</f>
        <v>0</v>
      </c>
      <c r="S394">
        <f>IMSUM(J394,R394)</f>
        <v>0</v>
      </c>
      <c r="T394">
        <f>IMDIV("1",IMSUM(K394,IMDIV("1",S394)))</f>
        <v>0</v>
      </c>
      <c r="U394">
        <f>IMSUM(L394,T394)</f>
        <v>0</v>
      </c>
      <c r="V394">
        <f>IMDIV(COMPLEX(I_DM_SOURCE,0),U394)</f>
        <v>0</v>
      </c>
      <c r="W394">
        <f>IMPRODUCT(V394,T394)</f>
        <v>0</v>
      </c>
      <c r="X394">
        <f>IMDIV(W394,S394)</f>
        <v>0</v>
      </c>
      <c r="Y394">
        <f>IMPRODUCT(X394,R394)</f>
        <v>0</v>
      </c>
      <c r="Z394">
        <f>IMDIV(Y394,Q394)</f>
        <v>0</v>
      </c>
      <c r="AA394">
        <f>IMPRODUCT(Z394,P394)</f>
        <v>0</v>
      </c>
      <c r="AB394">
        <f>AA394</f>
        <v>0</v>
      </c>
      <c r="AC394">
        <f>IMPRODUCT("-1",AB394)</f>
        <v>0</v>
      </c>
      <c r="AD394">
        <f>IMDIV(IMSUB(AB394,AC394),"2")</f>
        <v>0</v>
      </c>
      <c r="AE394" s="6">
        <f>IMABS(AB394)</f>
        <v>0</v>
      </c>
      <c r="AF394" s="6">
        <f>IMABS(AC394)</f>
        <v>0</v>
      </c>
      <c r="AG394" s="6">
        <f>IMABS(AD394)</f>
        <v>0</v>
      </c>
      <c r="AH394" s="7">
        <f>20*LOG10(MAX(AE394,1E-300)*1E6)</f>
        <v>0</v>
      </c>
      <c r="AI394" s="7">
        <f>20*LOG10(MAX(AF394,1E-300)*1E6)</f>
        <v>0</v>
      </c>
      <c r="AJ394" s="7">
        <f>20*LOG10(MAX(AG394,1E-300)*1E6)</f>
        <v>0</v>
      </c>
      <c r="AK394" s="7">
        <f>DEGREES(IMARGUMENT(AB394))</f>
        <v>0</v>
      </c>
      <c r="AL394" s="7">
        <f>DEGREES(IMARGUMENT(AC394))</f>
        <v>0</v>
      </c>
      <c r="AM394" s="7">
        <f>DEGREES(IMARGUMENT(AD394))</f>
        <v>0</v>
      </c>
    </row>
    <row r="395" spans="1:39">
      <c r="A395" s="6">
        <f>10^(LOG10(F_START)+(ROW()-ROW($A$2))*(LOG10(F_STOP)-LOG10(F_START))/(N_POINTS-1))</f>
        <v>0</v>
      </c>
      <c r="B395" s="6">
        <f>2*PI()*A395</f>
        <v>0</v>
      </c>
      <c r="C395">
        <f>COMPLEX(2*LINE_PS_DCR,2*B395*LINE_PS_L)</f>
        <v>0</v>
      </c>
      <c r="D395">
        <f>IMSUM(COMPLEX(0,B395*(LINE_PS_CLINE+LINE_PS_CCHA/2)),IMDIV("1",IMPRODUCT("2",COMPLEX(C_THROUGH_ESR,B395*C_THROUGH_ESL-1/(B395*C_THROUGH_C)))))</f>
        <v>0</v>
      </c>
      <c r="E395">
        <f>COMPLEX(2*LINE_INPUT_DCR,2*B395*LINE_INPUT_L)</f>
        <v>0</v>
      </c>
      <c r="F395">
        <f>COMPLEX(0,B395*(LINE_INPUT_CLINE+LINE_INPUT_CCHA/2))</f>
        <v>0</v>
      </c>
      <c r="G395">
        <f>IMPRODUCT("2",IMDIV("1",IMSUM(IMDIV("1",COMPLEX(LDM1_DCR,B395*LDM1_L)),COMPLEX(0,B395*LDM1_CPA))))</f>
        <v>0</v>
      </c>
      <c r="H395">
        <f>IMSUM(IMDIV("1",COMPLEX(CX1_ESR,B395*CX1_ESL-1/(B395*CX1_C))),IMDIV("1",IMSUM(COMPLEX(DUMP1_R,0),COMPLEX(DUMP1_ESR,B395*DUMP1_ESL-1/(B395*DUMP1_C)))))</f>
        <v>0</v>
      </c>
      <c r="I395">
        <f>IMPRODUCT("2",IMDIV("1",IMSUM(IMDIV("1",COMPLEX(LDM2_DCR,B395*LDM2_L)),COMPLEX(0,B395*LDM2_CPA))))</f>
        <v>0</v>
      </c>
      <c r="J395">
        <f>IMSUM(IMDIV("1",COMPLEX(CX2_ESR,B395*CX2_ESL-1/(B395*CX2_C))),IMDIV("1",IMSUM(COMPLEX(DUMP2_R,0),COMPLEX(DUMP2_ESR,B395*DUMP2_ESL-1/(B395*DUMP2_C)))))</f>
        <v>0</v>
      </c>
      <c r="K395">
        <f>IMPRODUCT("2",IMDIV("1",IMSUM(IMDIV("1",COMPLEX(CMC_DCR,B395*CMC_L*(1-CMC_K))),COMPLEX(0,B395*CMC_CPA))))</f>
        <v>0</v>
      </c>
      <c r="L395">
        <f>IMSUM(COMPLEX(0,B395*CMC_CLINE),IMDIV("1",IMPRODUCT("2",COMPLEX(CY_ESR,B395*CY_ESL-1/(B395*CY_C)))),COMPLEX(1/DUMMY_R,0))</f>
        <v>0</v>
      </c>
      <c r="M395">
        <f>IMSUM(D395,IMDIV("1",C395))</f>
        <v>0</v>
      </c>
      <c r="N395">
        <f>IMDIV("1",IMSUM(E395,IMDIV("1",M395)))</f>
        <v>0</v>
      </c>
      <c r="O395">
        <f>IMSUM(F395,N395)</f>
        <v>0</v>
      </c>
      <c r="P395">
        <f>IMDIV("1",IMSUM(G395,IMDIV("1",O395)))</f>
        <v>0</v>
      </c>
      <c r="Q395">
        <f>IMSUM(H395,P395)</f>
        <v>0</v>
      </c>
      <c r="R395">
        <f>IMDIV("1",IMSUM(I395,IMDIV("1",Q395)))</f>
        <v>0</v>
      </c>
      <c r="S395">
        <f>IMSUM(J395,R395)</f>
        <v>0</v>
      </c>
      <c r="T395">
        <f>IMDIV("1",IMSUM(K395,IMDIV("1",S395)))</f>
        <v>0</v>
      </c>
      <c r="U395">
        <f>IMSUM(L395,T395)</f>
        <v>0</v>
      </c>
      <c r="V395">
        <f>IMDIV(COMPLEX(I_DM_SOURCE,0),U395)</f>
        <v>0</v>
      </c>
      <c r="W395">
        <f>IMPRODUCT(V395,T395)</f>
        <v>0</v>
      </c>
      <c r="X395">
        <f>IMDIV(W395,S395)</f>
        <v>0</v>
      </c>
      <c r="Y395">
        <f>IMPRODUCT(X395,R395)</f>
        <v>0</v>
      </c>
      <c r="Z395">
        <f>IMDIV(Y395,Q395)</f>
        <v>0</v>
      </c>
      <c r="AA395">
        <f>IMPRODUCT(Z395,P395)</f>
        <v>0</v>
      </c>
      <c r="AB395">
        <f>AA395</f>
        <v>0</v>
      </c>
      <c r="AC395">
        <f>IMPRODUCT("-1",AB395)</f>
        <v>0</v>
      </c>
      <c r="AD395">
        <f>IMDIV(IMSUB(AB395,AC395),"2")</f>
        <v>0</v>
      </c>
      <c r="AE395" s="6">
        <f>IMABS(AB395)</f>
        <v>0</v>
      </c>
      <c r="AF395" s="6">
        <f>IMABS(AC395)</f>
        <v>0</v>
      </c>
      <c r="AG395" s="6">
        <f>IMABS(AD395)</f>
        <v>0</v>
      </c>
      <c r="AH395" s="7">
        <f>20*LOG10(MAX(AE395,1E-300)*1E6)</f>
        <v>0</v>
      </c>
      <c r="AI395" s="7">
        <f>20*LOG10(MAX(AF395,1E-300)*1E6)</f>
        <v>0</v>
      </c>
      <c r="AJ395" s="7">
        <f>20*LOG10(MAX(AG395,1E-300)*1E6)</f>
        <v>0</v>
      </c>
      <c r="AK395" s="7">
        <f>DEGREES(IMARGUMENT(AB395))</f>
        <v>0</v>
      </c>
      <c r="AL395" s="7">
        <f>DEGREES(IMARGUMENT(AC395))</f>
        <v>0</v>
      </c>
      <c r="AM395" s="7">
        <f>DEGREES(IMARGUMENT(AD395))</f>
        <v>0</v>
      </c>
    </row>
    <row r="396" spans="1:39">
      <c r="A396" s="6">
        <f>10^(LOG10(F_START)+(ROW()-ROW($A$2))*(LOG10(F_STOP)-LOG10(F_START))/(N_POINTS-1))</f>
        <v>0</v>
      </c>
      <c r="B396" s="6">
        <f>2*PI()*A396</f>
        <v>0</v>
      </c>
      <c r="C396">
        <f>COMPLEX(2*LINE_PS_DCR,2*B396*LINE_PS_L)</f>
        <v>0</v>
      </c>
      <c r="D396">
        <f>IMSUM(COMPLEX(0,B396*(LINE_PS_CLINE+LINE_PS_CCHA/2)),IMDIV("1",IMPRODUCT("2",COMPLEX(C_THROUGH_ESR,B396*C_THROUGH_ESL-1/(B396*C_THROUGH_C)))))</f>
        <v>0</v>
      </c>
      <c r="E396">
        <f>COMPLEX(2*LINE_INPUT_DCR,2*B396*LINE_INPUT_L)</f>
        <v>0</v>
      </c>
      <c r="F396">
        <f>COMPLEX(0,B396*(LINE_INPUT_CLINE+LINE_INPUT_CCHA/2))</f>
        <v>0</v>
      </c>
      <c r="G396">
        <f>IMPRODUCT("2",IMDIV("1",IMSUM(IMDIV("1",COMPLEX(LDM1_DCR,B396*LDM1_L)),COMPLEX(0,B396*LDM1_CPA))))</f>
        <v>0</v>
      </c>
      <c r="H396">
        <f>IMSUM(IMDIV("1",COMPLEX(CX1_ESR,B396*CX1_ESL-1/(B396*CX1_C))),IMDIV("1",IMSUM(COMPLEX(DUMP1_R,0),COMPLEX(DUMP1_ESR,B396*DUMP1_ESL-1/(B396*DUMP1_C)))))</f>
        <v>0</v>
      </c>
      <c r="I396">
        <f>IMPRODUCT("2",IMDIV("1",IMSUM(IMDIV("1",COMPLEX(LDM2_DCR,B396*LDM2_L)),COMPLEX(0,B396*LDM2_CPA))))</f>
        <v>0</v>
      </c>
      <c r="J396">
        <f>IMSUM(IMDIV("1",COMPLEX(CX2_ESR,B396*CX2_ESL-1/(B396*CX2_C))),IMDIV("1",IMSUM(COMPLEX(DUMP2_R,0),COMPLEX(DUMP2_ESR,B396*DUMP2_ESL-1/(B396*DUMP2_C)))))</f>
        <v>0</v>
      </c>
      <c r="K396">
        <f>IMPRODUCT("2",IMDIV("1",IMSUM(IMDIV("1",COMPLEX(CMC_DCR,B396*CMC_L*(1-CMC_K))),COMPLEX(0,B396*CMC_CPA))))</f>
        <v>0</v>
      </c>
      <c r="L396">
        <f>IMSUM(COMPLEX(0,B396*CMC_CLINE),IMDIV("1",IMPRODUCT("2",COMPLEX(CY_ESR,B396*CY_ESL-1/(B396*CY_C)))),COMPLEX(1/DUMMY_R,0))</f>
        <v>0</v>
      </c>
      <c r="M396">
        <f>IMSUM(D396,IMDIV("1",C396))</f>
        <v>0</v>
      </c>
      <c r="N396">
        <f>IMDIV("1",IMSUM(E396,IMDIV("1",M396)))</f>
        <v>0</v>
      </c>
      <c r="O396">
        <f>IMSUM(F396,N396)</f>
        <v>0</v>
      </c>
      <c r="P396">
        <f>IMDIV("1",IMSUM(G396,IMDIV("1",O396)))</f>
        <v>0</v>
      </c>
      <c r="Q396">
        <f>IMSUM(H396,P396)</f>
        <v>0</v>
      </c>
      <c r="R396">
        <f>IMDIV("1",IMSUM(I396,IMDIV("1",Q396)))</f>
        <v>0</v>
      </c>
      <c r="S396">
        <f>IMSUM(J396,R396)</f>
        <v>0</v>
      </c>
      <c r="T396">
        <f>IMDIV("1",IMSUM(K396,IMDIV("1",S396)))</f>
        <v>0</v>
      </c>
      <c r="U396">
        <f>IMSUM(L396,T396)</f>
        <v>0</v>
      </c>
      <c r="V396">
        <f>IMDIV(COMPLEX(I_DM_SOURCE,0),U396)</f>
        <v>0</v>
      </c>
      <c r="W396">
        <f>IMPRODUCT(V396,T396)</f>
        <v>0</v>
      </c>
      <c r="X396">
        <f>IMDIV(W396,S396)</f>
        <v>0</v>
      </c>
      <c r="Y396">
        <f>IMPRODUCT(X396,R396)</f>
        <v>0</v>
      </c>
      <c r="Z396">
        <f>IMDIV(Y396,Q396)</f>
        <v>0</v>
      </c>
      <c r="AA396">
        <f>IMPRODUCT(Z396,P396)</f>
        <v>0</v>
      </c>
      <c r="AB396">
        <f>AA396</f>
        <v>0</v>
      </c>
      <c r="AC396">
        <f>IMPRODUCT("-1",AB396)</f>
        <v>0</v>
      </c>
      <c r="AD396">
        <f>IMDIV(IMSUB(AB396,AC396),"2")</f>
        <v>0</v>
      </c>
      <c r="AE396" s="6">
        <f>IMABS(AB396)</f>
        <v>0</v>
      </c>
      <c r="AF396" s="6">
        <f>IMABS(AC396)</f>
        <v>0</v>
      </c>
      <c r="AG396" s="6">
        <f>IMABS(AD396)</f>
        <v>0</v>
      </c>
      <c r="AH396" s="7">
        <f>20*LOG10(MAX(AE396,1E-300)*1E6)</f>
        <v>0</v>
      </c>
      <c r="AI396" s="7">
        <f>20*LOG10(MAX(AF396,1E-300)*1E6)</f>
        <v>0</v>
      </c>
      <c r="AJ396" s="7">
        <f>20*LOG10(MAX(AG396,1E-300)*1E6)</f>
        <v>0</v>
      </c>
      <c r="AK396" s="7">
        <f>DEGREES(IMARGUMENT(AB396))</f>
        <v>0</v>
      </c>
      <c r="AL396" s="7">
        <f>DEGREES(IMARGUMENT(AC396))</f>
        <v>0</v>
      </c>
      <c r="AM396" s="7">
        <f>DEGREES(IMARGUMENT(AD396))</f>
        <v>0</v>
      </c>
    </row>
    <row r="397" spans="1:39">
      <c r="A397" s="6">
        <f>10^(LOG10(F_START)+(ROW()-ROW($A$2))*(LOG10(F_STOP)-LOG10(F_START))/(N_POINTS-1))</f>
        <v>0</v>
      </c>
      <c r="B397" s="6">
        <f>2*PI()*A397</f>
        <v>0</v>
      </c>
      <c r="C397">
        <f>COMPLEX(2*LINE_PS_DCR,2*B397*LINE_PS_L)</f>
        <v>0</v>
      </c>
      <c r="D397">
        <f>IMSUM(COMPLEX(0,B397*(LINE_PS_CLINE+LINE_PS_CCHA/2)),IMDIV("1",IMPRODUCT("2",COMPLEX(C_THROUGH_ESR,B397*C_THROUGH_ESL-1/(B397*C_THROUGH_C)))))</f>
        <v>0</v>
      </c>
      <c r="E397">
        <f>COMPLEX(2*LINE_INPUT_DCR,2*B397*LINE_INPUT_L)</f>
        <v>0</v>
      </c>
      <c r="F397">
        <f>COMPLEX(0,B397*(LINE_INPUT_CLINE+LINE_INPUT_CCHA/2))</f>
        <v>0</v>
      </c>
      <c r="G397">
        <f>IMPRODUCT("2",IMDIV("1",IMSUM(IMDIV("1",COMPLEX(LDM1_DCR,B397*LDM1_L)),COMPLEX(0,B397*LDM1_CPA))))</f>
        <v>0</v>
      </c>
      <c r="H397">
        <f>IMSUM(IMDIV("1",COMPLEX(CX1_ESR,B397*CX1_ESL-1/(B397*CX1_C))),IMDIV("1",IMSUM(COMPLEX(DUMP1_R,0),COMPLEX(DUMP1_ESR,B397*DUMP1_ESL-1/(B397*DUMP1_C)))))</f>
        <v>0</v>
      </c>
      <c r="I397">
        <f>IMPRODUCT("2",IMDIV("1",IMSUM(IMDIV("1",COMPLEX(LDM2_DCR,B397*LDM2_L)),COMPLEX(0,B397*LDM2_CPA))))</f>
        <v>0</v>
      </c>
      <c r="J397">
        <f>IMSUM(IMDIV("1",COMPLEX(CX2_ESR,B397*CX2_ESL-1/(B397*CX2_C))),IMDIV("1",IMSUM(COMPLEX(DUMP2_R,0),COMPLEX(DUMP2_ESR,B397*DUMP2_ESL-1/(B397*DUMP2_C)))))</f>
        <v>0</v>
      </c>
      <c r="K397">
        <f>IMPRODUCT("2",IMDIV("1",IMSUM(IMDIV("1",COMPLEX(CMC_DCR,B397*CMC_L*(1-CMC_K))),COMPLEX(0,B397*CMC_CPA))))</f>
        <v>0</v>
      </c>
      <c r="L397">
        <f>IMSUM(COMPLEX(0,B397*CMC_CLINE),IMDIV("1",IMPRODUCT("2",COMPLEX(CY_ESR,B397*CY_ESL-1/(B397*CY_C)))),COMPLEX(1/DUMMY_R,0))</f>
        <v>0</v>
      </c>
      <c r="M397">
        <f>IMSUM(D397,IMDIV("1",C397))</f>
        <v>0</v>
      </c>
      <c r="N397">
        <f>IMDIV("1",IMSUM(E397,IMDIV("1",M397)))</f>
        <v>0</v>
      </c>
      <c r="O397">
        <f>IMSUM(F397,N397)</f>
        <v>0</v>
      </c>
      <c r="P397">
        <f>IMDIV("1",IMSUM(G397,IMDIV("1",O397)))</f>
        <v>0</v>
      </c>
      <c r="Q397">
        <f>IMSUM(H397,P397)</f>
        <v>0</v>
      </c>
      <c r="R397">
        <f>IMDIV("1",IMSUM(I397,IMDIV("1",Q397)))</f>
        <v>0</v>
      </c>
      <c r="S397">
        <f>IMSUM(J397,R397)</f>
        <v>0</v>
      </c>
      <c r="T397">
        <f>IMDIV("1",IMSUM(K397,IMDIV("1",S397)))</f>
        <v>0</v>
      </c>
      <c r="U397">
        <f>IMSUM(L397,T397)</f>
        <v>0</v>
      </c>
      <c r="V397">
        <f>IMDIV(COMPLEX(I_DM_SOURCE,0),U397)</f>
        <v>0</v>
      </c>
      <c r="W397">
        <f>IMPRODUCT(V397,T397)</f>
        <v>0</v>
      </c>
      <c r="X397">
        <f>IMDIV(W397,S397)</f>
        <v>0</v>
      </c>
      <c r="Y397">
        <f>IMPRODUCT(X397,R397)</f>
        <v>0</v>
      </c>
      <c r="Z397">
        <f>IMDIV(Y397,Q397)</f>
        <v>0</v>
      </c>
      <c r="AA397">
        <f>IMPRODUCT(Z397,P397)</f>
        <v>0</v>
      </c>
      <c r="AB397">
        <f>AA397</f>
        <v>0</v>
      </c>
      <c r="AC397">
        <f>IMPRODUCT("-1",AB397)</f>
        <v>0</v>
      </c>
      <c r="AD397">
        <f>IMDIV(IMSUB(AB397,AC397),"2")</f>
        <v>0</v>
      </c>
      <c r="AE397" s="6">
        <f>IMABS(AB397)</f>
        <v>0</v>
      </c>
      <c r="AF397" s="6">
        <f>IMABS(AC397)</f>
        <v>0</v>
      </c>
      <c r="AG397" s="6">
        <f>IMABS(AD397)</f>
        <v>0</v>
      </c>
      <c r="AH397" s="7">
        <f>20*LOG10(MAX(AE397,1E-300)*1E6)</f>
        <v>0</v>
      </c>
      <c r="AI397" s="7">
        <f>20*LOG10(MAX(AF397,1E-300)*1E6)</f>
        <v>0</v>
      </c>
      <c r="AJ397" s="7">
        <f>20*LOG10(MAX(AG397,1E-300)*1E6)</f>
        <v>0</v>
      </c>
      <c r="AK397" s="7">
        <f>DEGREES(IMARGUMENT(AB397))</f>
        <v>0</v>
      </c>
      <c r="AL397" s="7">
        <f>DEGREES(IMARGUMENT(AC397))</f>
        <v>0</v>
      </c>
      <c r="AM397" s="7">
        <f>DEGREES(IMARGUMENT(AD397))</f>
        <v>0</v>
      </c>
    </row>
    <row r="398" spans="1:39">
      <c r="A398" s="6">
        <f>10^(LOG10(F_START)+(ROW()-ROW($A$2))*(LOG10(F_STOP)-LOG10(F_START))/(N_POINTS-1))</f>
        <v>0</v>
      </c>
      <c r="B398" s="6">
        <f>2*PI()*A398</f>
        <v>0</v>
      </c>
      <c r="C398">
        <f>COMPLEX(2*LINE_PS_DCR,2*B398*LINE_PS_L)</f>
        <v>0</v>
      </c>
      <c r="D398">
        <f>IMSUM(COMPLEX(0,B398*(LINE_PS_CLINE+LINE_PS_CCHA/2)),IMDIV("1",IMPRODUCT("2",COMPLEX(C_THROUGH_ESR,B398*C_THROUGH_ESL-1/(B398*C_THROUGH_C)))))</f>
        <v>0</v>
      </c>
      <c r="E398">
        <f>COMPLEX(2*LINE_INPUT_DCR,2*B398*LINE_INPUT_L)</f>
        <v>0</v>
      </c>
      <c r="F398">
        <f>COMPLEX(0,B398*(LINE_INPUT_CLINE+LINE_INPUT_CCHA/2))</f>
        <v>0</v>
      </c>
      <c r="G398">
        <f>IMPRODUCT("2",IMDIV("1",IMSUM(IMDIV("1",COMPLEX(LDM1_DCR,B398*LDM1_L)),COMPLEX(0,B398*LDM1_CPA))))</f>
        <v>0</v>
      </c>
      <c r="H398">
        <f>IMSUM(IMDIV("1",COMPLEX(CX1_ESR,B398*CX1_ESL-1/(B398*CX1_C))),IMDIV("1",IMSUM(COMPLEX(DUMP1_R,0),COMPLEX(DUMP1_ESR,B398*DUMP1_ESL-1/(B398*DUMP1_C)))))</f>
        <v>0</v>
      </c>
      <c r="I398">
        <f>IMPRODUCT("2",IMDIV("1",IMSUM(IMDIV("1",COMPLEX(LDM2_DCR,B398*LDM2_L)),COMPLEX(0,B398*LDM2_CPA))))</f>
        <v>0</v>
      </c>
      <c r="J398">
        <f>IMSUM(IMDIV("1",COMPLEX(CX2_ESR,B398*CX2_ESL-1/(B398*CX2_C))),IMDIV("1",IMSUM(COMPLEX(DUMP2_R,0),COMPLEX(DUMP2_ESR,B398*DUMP2_ESL-1/(B398*DUMP2_C)))))</f>
        <v>0</v>
      </c>
      <c r="K398">
        <f>IMPRODUCT("2",IMDIV("1",IMSUM(IMDIV("1",COMPLEX(CMC_DCR,B398*CMC_L*(1-CMC_K))),COMPLEX(0,B398*CMC_CPA))))</f>
        <v>0</v>
      </c>
      <c r="L398">
        <f>IMSUM(COMPLEX(0,B398*CMC_CLINE),IMDIV("1",IMPRODUCT("2",COMPLEX(CY_ESR,B398*CY_ESL-1/(B398*CY_C)))),COMPLEX(1/DUMMY_R,0))</f>
        <v>0</v>
      </c>
      <c r="M398">
        <f>IMSUM(D398,IMDIV("1",C398))</f>
        <v>0</v>
      </c>
      <c r="N398">
        <f>IMDIV("1",IMSUM(E398,IMDIV("1",M398)))</f>
        <v>0</v>
      </c>
      <c r="O398">
        <f>IMSUM(F398,N398)</f>
        <v>0</v>
      </c>
      <c r="P398">
        <f>IMDIV("1",IMSUM(G398,IMDIV("1",O398)))</f>
        <v>0</v>
      </c>
      <c r="Q398">
        <f>IMSUM(H398,P398)</f>
        <v>0</v>
      </c>
      <c r="R398">
        <f>IMDIV("1",IMSUM(I398,IMDIV("1",Q398)))</f>
        <v>0</v>
      </c>
      <c r="S398">
        <f>IMSUM(J398,R398)</f>
        <v>0</v>
      </c>
      <c r="T398">
        <f>IMDIV("1",IMSUM(K398,IMDIV("1",S398)))</f>
        <v>0</v>
      </c>
      <c r="U398">
        <f>IMSUM(L398,T398)</f>
        <v>0</v>
      </c>
      <c r="V398">
        <f>IMDIV(COMPLEX(I_DM_SOURCE,0),U398)</f>
        <v>0</v>
      </c>
      <c r="W398">
        <f>IMPRODUCT(V398,T398)</f>
        <v>0</v>
      </c>
      <c r="X398">
        <f>IMDIV(W398,S398)</f>
        <v>0</v>
      </c>
      <c r="Y398">
        <f>IMPRODUCT(X398,R398)</f>
        <v>0</v>
      </c>
      <c r="Z398">
        <f>IMDIV(Y398,Q398)</f>
        <v>0</v>
      </c>
      <c r="AA398">
        <f>IMPRODUCT(Z398,P398)</f>
        <v>0</v>
      </c>
      <c r="AB398">
        <f>AA398</f>
        <v>0</v>
      </c>
      <c r="AC398">
        <f>IMPRODUCT("-1",AB398)</f>
        <v>0</v>
      </c>
      <c r="AD398">
        <f>IMDIV(IMSUB(AB398,AC398),"2")</f>
        <v>0</v>
      </c>
      <c r="AE398" s="6">
        <f>IMABS(AB398)</f>
        <v>0</v>
      </c>
      <c r="AF398" s="6">
        <f>IMABS(AC398)</f>
        <v>0</v>
      </c>
      <c r="AG398" s="6">
        <f>IMABS(AD398)</f>
        <v>0</v>
      </c>
      <c r="AH398" s="7">
        <f>20*LOG10(MAX(AE398,1E-300)*1E6)</f>
        <v>0</v>
      </c>
      <c r="AI398" s="7">
        <f>20*LOG10(MAX(AF398,1E-300)*1E6)</f>
        <v>0</v>
      </c>
      <c r="AJ398" s="7">
        <f>20*LOG10(MAX(AG398,1E-300)*1E6)</f>
        <v>0</v>
      </c>
      <c r="AK398" s="7">
        <f>DEGREES(IMARGUMENT(AB398))</f>
        <v>0</v>
      </c>
      <c r="AL398" s="7">
        <f>DEGREES(IMARGUMENT(AC398))</f>
        <v>0</v>
      </c>
      <c r="AM398" s="7">
        <f>DEGREES(IMARGUMENT(AD398))</f>
        <v>0</v>
      </c>
    </row>
    <row r="399" spans="1:39">
      <c r="A399" s="6">
        <f>10^(LOG10(F_START)+(ROW()-ROW($A$2))*(LOG10(F_STOP)-LOG10(F_START))/(N_POINTS-1))</f>
        <v>0</v>
      </c>
      <c r="B399" s="6">
        <f>2*PI()*A399</f>
        <v>0</v>
      </c>
      <c r="C399">
        <f>COMPLEX(2*LINE_PS_DCR,2*B399*LINE_PS_L)</f>
        <v>0</v>
      </c>
      <c r="D399">
        <f>IMSUM(COMPLEX(0,B399*(LINE_PS_CLINE+LINE_PS_CCHA/2)),IMDIV("1",IMPRODUCT("2",COMPLEX(C_THROUGH_ESR,B399*C_THROUGH_ESL-1/(B399*C_THROUGH_C)))))</f>
        <v>0</v>
      </c>
      <c r="E399">
        <f>COMPLEX(2*LINE_INPUT_DCR,2*B399*LINE_INPUT_L)</f>
        <v>0</v>
      </c>
      <c r="F399">
        <f>COMPLEX(0,B399*(LINE_INPUT_CLINE+LINE_INPUT_CCHA/2))</f>
        <v>0</v>
      </c>
      <c r="G399">
        <f>IMPRODUCT("2",IMDIV("1",IMSUM(IMDIV("1",COMPLEX(LDM1_DCR,B399*LDM1_L)),COMPLEX(0,B399*LDM1_CPA))))</f>
        <v>0</v>
      </c>
      <c r="H399">
        <f>IMSUM(IMDIV("1",COMPLEX(CX1_ESR,B399*CX1_ESL-1/(B399*CX1_C))),IMDIV("1",IMSUM(COMPLEX(DUMP1_R,0),COMPLEX(DUMP1_ESR,B399*DUMP1_ESL-1/(B399*DUMP1_C)))))</f>
        <v>0</v>
      </c>
      <c r="I399">
        <f>IMPRODUCT("2",IMDIV("1",IMSUM(IMDIV("1",COMPLEX(LDM2_DCR,B399*LDM2_L)),COMPLEX(0,B399*LDM2_CPA))))</f>
        <v>0</v>
      </c>
      <c r="J399">
        <f>IMSUM(IMDIV("1",COMPLEX(CX2_ESR,B399*CX2_ESL-1/(B399*CX2_C))),IMDIV("1",IMSUM(COMPLEX(DUMP2_R,0),COMPLEX(DUMP2_ESR,B399*DUMP2_ESL-1/(B399*DUMP2_C)))))</f>
        <v>0</v>
      </c>
      <c r="K399">
        <f>IMPRODUCT("2",IMDIV("1",IMSUM(IMDIV("1",COMPLEX(CMC_DCR,B399*CMC_L*(1-CMC_K))),COMPLEX(0,B399*CMC_CPA))))</f>
        <v>0</v>
      </c>
      <c r="L399">
        <f>IMSUM(COMPLEX(0,B399*CMC_CLINE),IMDIV("1",IMPRODUCT("2",COMPLEX(CY_ESR,B399*CY_ESL-1/(B399*CY_C)))),COMPLEX(1/DUMMY_R,0))</f>
        <v>0</v>
      </c>
      <c r="M399">
        <f>IMSUM(D399,IMDIV("1",C399))</f>
        <v>0</v>
      </c>
      <c r="N399">
        <f>IMDIV("1",IMSUM(E399,IMDIV("1",M399)))</f>
        <v>0</v>
      </c>
      <c r="O399">
        <f>IMSUM(F399,N399)</f>
        <v>0</v>
      </c>
      <c r="P399">
        <f>IMDIV("1",IMSUM(G399,IMDIV("1",O399)))</f>
        <v>0</v>
      </c>
      <c r="Q399">
        <f>IMSUM(H399,P399)</f>
        <v>0</v>
      </c>
      <c r="R399">
        <f>IMDIV("1",IMSUM(I399,IMDIV("1",Q399)))</f>
        <v>0</v>
      </c>
      <c r="S399">
        <f>IMSUM(J399,R399)</f>
        <v>0</v>
      </c>
      <c r="T399">
        <f>IMDIV("1",IMSUM(K399,IMDIV("1",S399)))</f>
        <v>0</v>
      </c>
      <c r="U399">
        <f>IMSUM(L399,T399)</f>
        <v>0</v>
      </c>
      <c r="V399">
        <f>IMDIV(COMPLEX(I_DM_SOURCE,0),U399)</f>
        <v>0</v>
      </c>
      <c r="W399">
        <f>IMPRODUCT(V399,T399)</f>
        <v>0</v>
      </c>
      <c r="X399">
        <f>IMDIV(W399,S399)</f>
        <v>0</v>
      </c>
      <c r="Y399">
        <f>IMPRODUCT(X399,R399)</f>
        <v>0</v>
      </c>
      <c r="Z399">
        <f>IMDIV(Y399,Q399)</f>
        <v>0</v>
      </c>
      <c r="AA399">
        <f>IMPRODUCT(Z399,P399)</f>
        <v>0</v>
      </c>
      <c r="AB399">
        <f>AA399</f>
        <v>0</v>
      </c>
      <c r="AC399">
        <f>IMPRODUCT("-1",AB399)</f>
        <v>0</v>
      </c>
      <c r="AD399">
        <f>IMDIV(IMSUB(AB399,AC399),"2")</f>
        <v>0</v>
      </c>
      <c r="AE399" s="6">
        <f>IMABS(AB399)</f>
        <v>0</v>
      </c>
      <c r="AF399" s="6">
        <f>IMABS(AC399)</f>
        <v>0</v>
      </c>
      <c r="AG399" s="6">
        <f>IMABS(AD399)</f>
        <v>0</v>
      </c>
      <c r="AH399" s="7">
        <f>20*LOG10(MAX(AE399,1E-300)*1E6)</f>
        <v>0</v>
      </c>
      <c r="AI399" s="7">
        <f>20*LOG10(MAX(AF399,1E-300)*1E6)</f>
        <v>0</v>
      </c>
      <c r="AJ399" s="7">
        <f>20*LOG10(MAX(AG399,1E-300)*1E6)</f>
        <v>0</v>
      </c>
      <c r="AK399" s="7">
        <f>DEGREES(IMARGUMENT(AB399))</f>
        <v>0</v>
      </c>
      <c r="AL399" s="7">
        <f>DEGREES(IMARGUMENT(AC399))</f>
        <v>0</v>
      </c>
      <c r="AM399" s="7">
        <f>DEGREES(IMARGUMENT(AD399))</f>
        <v>0</v>
      </c>
    </row>
    <row r="400" spans="1:39">
      <c r="A400" s="6">
        <f>10^(LOG10(F_START)+(ROW()-ROW($A$2))*(LOG10(F_STOP)-LOG10(F_START))/(N_POINTS-1))</f>
        <v>0</v>
      </c>
      <c r="B400" s="6">
        <f>2*PI()*A400</f>
        <v>0</v>
      </c>
      <c r="C400">
        <f>COMPLEX(2*LINE_PS_DCR,2*B400*LINE_PS_L)</f>
        <v>0</v>
      </c>
      <c r="D400">
        <f>IMSUM(COMPLEX(0,B400*(LINE_PS_CLINE+LINE_PS_CCHA/2)),IMDIV("1",IMPRODUCT("2",COMPLEX(C_THROUGH_ESR,B400*C_THROUGH_ESL-1/(B400*C_THROUGH_C)))))</f>
        <v>0</v>
      </c>
      <c r="E400">
        <f>COMPLEX(2*LINE_INPUT_DCR,2*B400*LINE_INPUT_L)</f>
        <v>0</v>
      </c>
      <c r="F400">
        <f>COMPLEX(0,B400*(LINE_INPUT_CLINE+LINE_INPUT_CCHA/2))</f>
        <v>0</v>
      </c>
      <c r="G400">
        <f>IMPRODUCT("2",IMDIV("1",IMSUM(IMDIV("1",COMPLEX(LDM1_DCR,B400*LDM1_L)),COMPLEX(0,B400*LDM1_CPA))))</f>
        <v>0</v>
      </c>
      <c r="H400">
        <f>IMSUM(IMDIV("1",COMPLEX(CX1_ESR,B400*CX1_ESL-1/(B400*CX1_C))),IMDIV("1",IMSUM(COMPLEX(DUMP1_R,0),COMPLEX(DUMP1_ESR,B400*DUMP1_ESL-1/(B400*DUMP1_C)))))</f>
        <v>0</v>
      </c>
      <c r="I400">
        <f>IMPRODUCT("2",IMDIV("1",IMSUM(IMDIV("1",COMPLEX(LDM2_DCR,B400*LDM2_L)),COMPLEX(0,B400*LDM2_CPA))))</f>
        <v>0</v>
      </c>
      <c r="J400">
        <f>IMSUM(IMDIV("1",COMPLEX(CX2_ESR,B400*CX2_ESL-1/(B400*CX2_C))),IMDIV("1",IMSUM(COMPLEX(DUMP2_R,0),COMPLEX(DUMP2_ESR,B400*DUMP2_ESL-1/(B400*DUMP2_C)))))</f>
        <v>0</v>
      </c>
      <c r="K400">
        <f>IMPRODUCT("2",IMDIV("1",IMSUM(IMDIV("1",COMPLEX(CMC_DCR,B400*CMC_L*(1-CMC_K))),COMPLEX(0,B400*CMC_CPA))))</f>
        <v>0</v>
      </c>
      <c r="L400">
        <f>IMSUM(COMPLEX(0,B400*CMC_CLINE),IMDIV("1",IMPRODUCT("2",COMPLEX(CY_ESR,B400*CY_ESL-1/(B400*CY_C)))),COMPLEX(1/DUMMY_R,0))</f>
        <v>0</v>
      </c>
      <c r="M400">
        <f>IMSUM(D400,IMDIV("1",C400))</f>
        <v>0</v>
      </c>
      <c r="N400">
        <f>IMDIV("1",IMSUM(E400,IMDIV("1",M400)))</f>
        <v>0</v>
      </c>
      <c r="O400">
        <f>IMSUM(F400,N400)</f>
        <v>0</v>
      </c>
      <c r="P400">
        <f>IMDIV("1",IMSUM(G400,IMDIV("1",O400)))</f>
        <v>0</v>
      </c>
      <c r="Q400">
        <f>IMSUM(H400,P400)</f>
        <v>0</v>
      </c>
      <c r="R400">
        <f>IMDIV("1",IMSUM(I400,IMDIV("1",Q400)))</f>
        <v>0</v>
      </c>
      <c r="S400">
        <f>IMSUM(J400,R400)</f>
        <v>0</v>
      </c>
      <c r="T400">
        <f>IMDIV("1",IMSUM(K400,IMDIV("1",S400)))</f>
        <v>0</v>
      </c>
      <c r="U400">
        <f>IMSUM(L400,T400)</f>
        <v>0</v>
      </c>
      <c r="V400">
        <f>IMDIV(COMPLEX(I_DM_SOURCE,0),U400)</f>
        <v>0</v>
      </c>
      <c r="W400">
        <f>IMPRODUCT(V400,T400)</f>
        <v>0</v>
      </c>
      <c r="X400">
        <f>IMDIV(W400,S400)</f>
        <v>0</v>
      </c>
      <c r="Y400">
        <f>IMPRODUCT(X400,R400)</f>
        <v>0</v>
      </c>
      <c r="Z400">
        <f>IMDIV(Y400,Q400)</f>
        <v>0</v>
      </c>
      <c r="AA400">
        <f>IMPRODUCT(Z400,P400)</f>
        <v>0</v>
      </c>
      <c r="AB400">
        <f>AA400</f>
        <v>0</v>
      </c>
      <c r="AC400">
        <f>IMPRODUCT("-1",AB400)</f>
        <v>0</v>
      </c>
      <c r="AD400">
        <f>IMDIV(IMSUB(AB400,AC400),"2")</f>
        <v>0</v>
      </c>
      <c r="AE400" s="6">
        <f>IMABS(AB400)</f>
        <v>0</v>
      </c>
      <c r="AF400" s="6">
        <f>IMABS(AC400)</f>
        <v>0</v>
      </c>
      <c r="AG400" s="6">
        <f>IMABS(AD400)</f>
        <v>0</v>
      </c>
      <c r="AH400" s="7">
        <f>20*LOG10(MAX(AE400,1E-300)*1E6)</f>
        <v>0</v>
      </c>
      <c r="AI400" s="7">
        <f>20*LOG10(MAX(AF400,1E-300)*1E6)</f>
        <v>0</v>
      </c>
      <c r="AJ400" s="7">
        <f>20*LOG10(MAX(AG400,1E-300)*1E6)</f>
        <v>0</v>
      </c>
      <c r="AK400" s="7">
        <f>DEGREES(IMARGUMENT(AB400))</f>
        <v>0</v>
      </c>
      <c r="AL400" s="7">
        <f>DEGREES(IMARGUMENT(AC400))</f>
        <v>0</v>
      </c>
      <c r="AM400" s="7">
        <f>DEGREES(IMARGUMENT(AD400))</f>
        <v>0</v>
      </c>
    </row>
    <row r="401" spans="1:39">
      <c r="A401" s="6">
        <f>10^(LOG10(F_START)+(ROW()-ROW($A$2))*(LOG10(F_STOP)-LOG10(F_START))/(N_POINTS-1))</f>
        <v>0</v>
      </c>
      <c r="B401" s="6">
        <f>2*PI()*A401</f>
        <v>0</v>
      </c>
      <c r="C401">
        <f>COMPLEX(2*LINE_PS_DCR,2*B401*LINE_PS_L)</f>
        <v>0</v>
      </c>
      <c r="D401">
        <f>IMSUM(COMPLEX(0,B401*(LINE_PS_CLINE+LINE_PS_CCHA/2)),IMDIV("1",IMPRODUCT("2",COMPLEX(C_THROUGH_ESR,B401*C_THROUGH_ESL-1/(B401*C_THROUGH_C)))))</f>
        <v>0</v>
      </c>
      <c r="E401">
        <f>COMPLEX(2*LINE_INPUT_DCR,2*B401*LINE_INPUT_L)</f>
        <v>0</v>
      </c>
      <c r="F401">
        <f>COMPLEX(0,B401*(LINE_INPUT_CLINE+LINE_INPUT_CCHA/2))</f>
        <v>0</v>
      </c>
      <c r="G401">
        <f>IMPRODUCT("2",IMDIV("1",IMSUM(IMDIV("1",COMPLEX(LDM1_DCR,B401*LDM1_L)),COMPLEX(0,B401*LDM1_CPA))))</f>
        <v>0</v>
      </c>
      <c r="H401">
        <f>IMSUM(IMDIV("1",COMPLEX(CX1_ESR,B401*CX1_ESL-1/(B401*CX1_C))),IMDIV("1",IMSUM(COMPLEX(DUMP1_R,0),COMPLEX(DUMP1_ESR,B401*DUMP1_ESL-1/(B401*DUMP1_C)))))</f>
        <v>0</v>
      </c>
      <c r="I401">
        <f>IMPRODUCT("2",IMDIV("1",IMSUM(IMDIV("1",COMPLEX(LDM2_DCR,B401*LDM2_L)),COMPLEX(0,B401*LDM2_CPA))))</f>
        <v>0</v>
      </c>
      <c r="J401">
        <f>IMSUM(IMDIV("1",COMPLEX(CX2_ESR,B401*CX2_ESL-1/(B401*CX2_C))),IMDIV("1",IMSUM(COMPLEX(DUMP2_R,0),COMPLEX(DUMP2_ESR,B401*DUMP2_ESL-1/(B401*DUMP2_C)))))</f>
        <v>0</v>
      </c>
      <c r="K401">
        <f>IMPRODUCT("2",IMDIV("1",IMSUM(IMDIV("1",COMPLEX(CMC_DCR,B401*CMC_L*(1-CMC_K))),COMPLEX(0,B401*CMC_CPA))))</f>
        <v>0</v>
      </c>
      <c r="L401">
        <f>IMSUM(COMPLEX(0,B401*CMC_CLINE),IMDIV("1",IMPRODUCT("2",COMPLEX(CY_ESR,B401*CY_ESL-1/(B401*CY_C)))),COMPLEX(1/DUMMY_R,0))</f>
        <v>0</v>
      </c>
      <c r="M401">
        <f>IMSUM(D401,IMDIV("1",C401))</f>
        <v>0</v>
      </c>
      <c r="N401">
        <f>IMDIV("1",IMSUM(E401,IMDIV("1",M401)))</f>
        <v>0</v>
      </c>
      <c r="O401">
        <f>IMSUM(F401,N401)</f>
        <v>0</v>
      </c>
      <c r="P401">
        <f>IMDIV("1",IMSUM(G401,IMDIV("1",O401)))</f>
        <v>0</v>
      </c>
      <c r="Q401">
        <f>IMSUM(H401,P401)</f>
        <v>0</v>
      </c>
      <c r="R401">
        <f>IMDIV("1",IMSUM(I401,IMDIV("1",Q401)))</f>
        <v>0</v>
      </c>
      <c r="S401">
        <f>IMSUM(J401,R401)</f>
        <v>0</v>
      </c>
      <c r="T401">
        <f>IMDIV("1",IMSUM(K401,IMDIV("1",S401)))</f>
        <v>0</v>
      </c>
      <c r="U401">
        <f>IMSUM(L401,T401)</f>
        <v>0</v>
      </c>
      <c r="V401">
        <f>IMDIV(COMPLEX(I_DM_SOURCE,0),U401)</f>
        <v>0</v>
      </c>
      <c r="W401">
        <f>IMPRODUCT(V401,T401)</f>
        <v>0</v>
      </c>
      <c r="X401">
        <f>IMDIV(W401,S401)</f>
        <v>0</v>
      </c>
      <c r="Y401">
        <f>IMPRODUCT(X401,R401)</f>
        <v>0</v>
      </c>
      <c r="Z401">
        <f>IMDIV(Y401,Q401)</f>
        <v>0</v>
      </c>
      <c r="AA401">
        <f>IMPRODUCT(Z401,P401)</f>
        <v>0</v>
      </c>
      <c r="AB401">
        <f>AA401</f>
        <v>0</v>
      </c>
      <c r="AC401">
        <f>IMPRODUCT("-1",AB401)</f>
        <v>0</v>
      </c>
      <c r="AD401">
        <f>IMDIV(IMSUB(AB401,AC401),"2")</f>
        <v>0</v>
      </c>
      <c r="AE401" s="6">
        <f>IMABS(AB401)</f>
        <v>0</v>
      </c>
      <c r="AF401" s="6">
        <f>IMABS(AC401)</f>
        <v>0</v>
      </c>
      <c r="AG401" s="6">
        <f>IMABS(AD401)</f>
        <v>0</v>
      </c>
      <c r="AH401" s="7">
        <f>20*LOG10(MAX(AE401,1E-300)*1E6)</f>
        <v>0</v>
      </c>
      <c r="AI401" s="7">
        <f>20*LOG10(MAX(AF401,1E-300)*1E6)</f>
        <v>0</v>
      </c>
      <c r="AJ401" s="7">
        <f>20*LOG10(MAX(AG401,1E-300)*1E6)</f>
        <v>0</v>
      </c>
      <c r="AK401" s="7">
        <f>DEGREES(IMARGUMENT(AB401))</f>
        <v>0</v>
      </c>
      <c r="AL401" s="7">
        <f>DEGREES(IMARGUMENT(AC401))</f>
        <v>0</v>
      </c>
      <c r="AM401" s="7">
        <f>DEGREES(IMARGUMENT(AD401))</f>
        <v>0</v>
      </c>
    </row>
    <row r="402" spans="1:39">
      <c r="A402" s="6">
        <f>10^(LOG10(F_START)+(ROW()-ROW($A$2))*(LOG10(F_STOP)-LOG10(F_START))/(N_POINTS-1))</f>
        <v>0</v>
      </c>
      <c r="B402" s="6">
        <f>2*PI()*A402</f>
        <v>0</v>
      </c>
      <c r="C402">
        <f>COMPLEX(2*LINE_PS_DCR,2*B402*LINE_PS_L)</f>
        <v>0</v>
      </c>
      <c r="D402">
        <f>IMSUM(COMPLEX(0,B402*(LINE_PS_CLINE+LINE_PS_CCHA/2)),IMDIV("1",IMPRODUCT("2",COMPLEX(C_THROUGH_ESR,B402*C_THROUGH_ESL-1/(B402*C_THROUGH_C)))))</f>
        <v>0</v>
      </c>
      <c r="E402">
        <f>COMPLEX(2*LINE_INPUT_DCR,2*B402*LINE_INPUT_L)</f>
        <v>0</v>
      </c>
      <c r="F402">
        <f>COMPLEX(0,B402*(LINE_INPUT_CLINE+LINE_INPUT_CCHA/2))</f>
        <v>0</v>
      </c>
      <c r="G402">
        <f>IMPRODUCT("2",IMDIV("1",IMSUM(IMDIV("1",COMPLEX(LDM1_DCR,B402*LDM1_L)),COMPLEX(0,B402*LDM1_CPA))))</f>
        <v>0</v>
      </c>
      <c r="H402">
        <f>IMSUM(IMDIV("1",COMPLEX(CX1_ESR,B402*CX1_ESL-1/(B402*CX1_C))),IMDIV("1",IMSUM(COMPLEX(DUMP1_R,0),COMPLEX(DUMP1_ESR,B402*DUMP1_ESL-1/(B402*DUMP1_C)))))</f>
        <v>0</v>
      </c>
      <c r="I402">
        <f>IMPRODUCT("2",IMDIV("1",IMSUM(IMDIV("1",COMPLEX(LDM2_DCR,B402*LDM2_L)),COMPLEX(0,B402*LDM2_CPA))))</f>
        <v>0</v>
      </c>
      <c r="J402">
        <f>IMSUM(IMDIV("1",COMPLEX(CX2_ESR,B402*CX2_ESL-1/(B402*CX2_C))),IMDIV("1",IMSUM(COMPLEX(DUMP2_R,0),COMPLEX(DUMP2_ESR,B402*DUMP2_ESL-1/(B402*DUMP2_C)))))</f>
        <v>0</v>
      </c>
      <c r="K402">
        <f>IMPRODUCT("2",IMDIV("1",IMSUM(IMDIV("1",COMPLEX(CMC_DCR,B402*CMC_L*(1-CMC_K))),COMPLEX(0,B402*CMC_CPA))))</f>
        <v>0</v>
      </c>
      <c r="L402">
        <f>IMSUM(COMPLEX(0,B402*CMC_CLINE),IMDIV("1",IMPRODUCT("2",COMPLEX(CY_ESR,B402*CY_ESL-1/(B402*CY_C)))),COMPLEX(1/DUMMY_R,0))</f>
        <v>0</v>
      </c>
      <c r="M402">
        <f>IMSUM(D402,IMDIV("1",C402))</f>
        <v>0</v>
      </c>
      <c r="N402">
        <f>IMDIV("1",IMSUM(E402,IMDIV("1",M402)))</f>
        <v>0</v>
      </c>
      <c r="O402">
        <f>IMSUM(F402,N402)</f>
        <v>0</v>
      </c>
      <c r="P402">
        <f>IMDIV("1",IMSUM(G402,IMDIV("1",O402)))</f>
        <v>0</v>
      </c>
      <c r="Q402">
        <f>IMSUM(H402,P402)</f>
        <v>0</v>
      </c>
      <c r="R402">
        <f>IMDIV("1",IMSUM(I402,IMDIV("1",Q402)))</f>
        <v>0</v>
      </c>
      <c r="S402">
        <f>IMSUM(J402,R402)</f>
        <v>0</v>
      </c>
      <c r="T402">
        <f>IMDIV("1",IMSUM(K402,IMDIV("1",S402)))</f>
        <v>0</v>
      </c>
      <c r="U402">
        <f>IMSUM(L402,T402)</f>
        <v>0</v>
      </c>
      <c r="V402">
        <f>IMDIV(COMPLEX(I_DM_SOURCE,0),U402)</f>
        <v>0</v>
      </c>
      <c r="W402">
        <f>IMPRODUCT(V402,T402)</f>
        <v>0</v>
      </c>
      <c r="X402">
        <f>IMDIV(W402,S402)</f>
        <v>0</v>
      </c>
      <c r="Y402">
        <f>IMPRODUCT(X402,R402)</f>
        <v>0</v>
      </c>
      <c r="Z402">
        <f>IMDIV(Y402,Q402)</f>
        <v>0</v>
      </c>
      <c r="AA402">
        <f>IMPRODUCT(Z402,P402)</f>
        <v>0</v>
      </c>
      <c r="AB402">
        <f>AA402</f>
        <v>0</v>
      </c>
      <c r="AC402">
        <f>IMPRODUCT("-1",AB402)</f>
        <v>0</v>
      </c>
      <c r="AD402">
        <f>IMDIV(IMSUB(AB402,AC402),"2")</f>
        <v>0</v>
      </c>
      <c r="AE402" s="6">
        <f>IMABS(AB402)</f>
        <v>0</v>
      </c>
      <c r="AF402" s="6">
        <f>IMABS(AC402)</f>
        <v>0</v>
      </c>
      <c r="AG402" s="6">
        <f>IMABS(AD402)</f>
        <v>0</v>
      </c>
      <c r="AH402" s="7">
        <f>20*LOG10(MAX(AE402,1E-300)*1E6)</f>
        <v>0</v>
      </c>
      <c r="AI402" s="7">
        <f>20*LOG10(MAX(AF402,1E-300)*1E6)</f>
        <v>0</v>
      </c>
      <c r="AJ402" s="7">
        <f>20*LOG10(MAX(AG402,1E-300)*1E6)</f>
        <v>0</v>
      </c>
      <c r="AK402" s="7">
        <f>DEGREES(IMARGUMENT(AB402))</f>
        <v>0</v>
      </c>
      <c r="AL402" s="7">
        <f>DEGREES(IMARGUMENT(AC402))</f>
        <v>0</v>
      </c>
      <c r="AM402" s="7">
        <f>DEGREES(IMARGUMENT(AD402))</f>
        <v>0</v>
      </c>
    </row>
    <row r="403" spans="1:39">
      <c r="A403" s="6">
        <f>10^(LOG10(F_START)+(ROW()-ROW($A$2))*(LOG10(F_STOP)-LOG10(F_START))/(N_POINTS-1))</f>
        <v>0</v>
      </c>
      <c r="B403" s="6">
        <f>2*PI()*A403</f>
        <v>0</v>
      </c>
      <c r="C403">
        <f>COMPLEX(2*LINE_PS_DCR,2*B403*LINE_PS_L)</f>
        <v>0</v>
      </c>
      <c r="D403">
        <f>IMSUM(COMPLEX(0,B403*(LINE_PS_CLINE+LINE_PS_CCHA/2)),IMDIV("1",IMPRODUCT("2",COMPLEX(C_THROUGH_ESR,B403*C_THROUGH_ESL-1/(B403*C_THROUGH_C)))))</f>
        <v>0</v>
      </c>
      <c r="E403">
        <f>COMPLEX(2*LINE_INPUT_DCR,2*B403*LINE_INPUT_L)</f>
        <v>0</v>
      </c>
      <c r="F403">
        <f>COMPLEX(0,B403*(LINE_INPUT_CLINE+LINE_INPUT_CCHA/2))</f>
        <v>0</v>
      </c>
      <c r="G403">
        <f>IMPRODUCT("2",IMDIV("1",IMSUM(IMDIV("1",COMPLEX(LDM1_DCR,B403*LDM1_L)),COMPLEX(0,B403*LDM1_CPA))))</f>
        <v>0</v>
      </c>
      <c r="H403">
        <f>IMSUM(IMDIV("1",COMPLEX(CX1_ESR,B403*CX1_ESL-1/(B403*CX1_C))),IMDIV("1",IMSUM(COMPLEX(DUMP1_R,0),COMPLEX(DUMP1_ESR,B403*DUMP1_ESL-1/(B403*DUMP1_C)))))</f>
        <v>0</v>
      </c>
      <c r="I403">
        <f>IMPRODUCT("2",IMDIV("1",IMSUM(IMDIV("1",COMPLEX(LDM2_DCR,B403*LDM2_L)),COMPLEX(0,B403*LDM2_CPA))))</f>
        <v>0</v>
      </c>
      <c r="J403">
        <f>IMSUM(IMDIV("1",COMPLEX(CX2_ESR,B403*CX2_ESL-1/(B403*CX2_C))),IMDIV("1",IMSUM(COMPLEX(DUMP2_R,0),COMPLEX(DUMP2_ESR,B403*DUMP2_ESL-1/(B403*DUMP2_C)))))</f>
        <v>0</v>
      </c>
      <c r="K403">
        <f>IMPRODUCT("2",IMDIV("1",IMSUM(IMDIV("1",COMPLEX(CMC_DCR,B403*CMC_L*(1-CMC_K))),COMPLEX(0,B403*CMC_CPA))))</f>
        <v>0</v>
      </c>
      <c r="L403">
        <f>IMSUM(COMPLEX(0,B403*CMC_CLINE),IMDIV("1",IMPRODUCT("2",COMPLEX(CY_ESR,B403*CY_ESL-1/(B403*CY_C)))),COMPLEX(1/DUMMY_R,0))</f>
        <v>0</v>
      </c>
      <c r="M403">
        <f>IMSUM(D403,IMDIV("1",C403))</f>
        <v>0</v>
      </c>
      <c r="N403">
        <f>IMDIV("1",IMSUM(E403,IMDIV("1",M403)))</f>
        <v>0</v>
      </c>
      <c r="O403">
        <f>IMSUM(F403,N403)</f>
        <v>0</v>
      </c>
      <c r="P403">
        <f>IMDIV("1",IMSUM(G403,IMDIV("1",O403)))</f>
        <v>0</v>
      </c>
      <c r="Q403">
        <f>IMSUM(H403,P403)</f>
        <v>0</v>
      </c>
      <c r="R403">
        <f>IMDIV("1",IMSUM(I403,IMDIV("1",Q403)))</f>
        <v>0</v>
      </c>
      <c r="S403">
        <f>IMSUM(J403,R403)</f>
        <v>0</v>
      </c>
      <c r="T403">
        <f>IMDIV("1",IMSUM(K403,IMDIV("1",S403)))</f>
        <v>0</v>
      </c>
      <c r="U403">
        <f>IMSUM(L403,T403)</f>
        <v>0</v>
      </c>
      <c r="V403">
        <f>IMDIV(COMPLEX(I_DM_SOURCE,0),U403)</f>
        <v>0</v>
      </c>
      <c r="W403">
        <f>IMPRODUCT(V403,T403)</f>
        <v>0</v>
      </c>
      <c r="X403">
        <f>IMDIV(W403,S403)</f>
        <v>0</v>
      </c>
      <c r="Y403">
        <f>IMPRODUCT(X403,R403)</f>
        <v>0</v>
      </c>
      <c r="Z403">
        <f>IMDIV(Y403,Q403)</f>
        <v>0</v>
      </c>
      <c r="AA403">
        <f>IMPRODUCT(Z403,P403)</f>
        <v>0</v>
      </c>
      <c r="AB403">
        <f>AA403</f>
        <v>0</v>
      </c>
      <c r="AC403">
        <f>IMPRODUCT("-1",AB403)</f>
        <v>0</v>
      </c>
      <c r="AD403">
        <f>IMDIV(IMSUB(AB403,AC403),"2")</f>
        <v>0</v>
      </c>
      <c r="AE403" s="6">
        <f>IMABS(AB403)</f>
        <v>0</v>
      </c>
      <c r="AF403" s="6">
        <f>IMABS(AC403)</f>
        <v>0</v>
      </c>
      <c r="AG403" s="6">
        <f>IMABS(AD403)</f>
        <v>0</v>
      </c>
      <c r="AH403" s="7">
        <f>20*LOG10(MAX(AE403,1E-300)*1E6)</f>
        <v>0</v>
      </c>
      <c r="AI403" s="7">
        <f>20*LOG10(MAX(AF403,1E-300)*1E6)</f>
        <v>0</v>
      </c>
      <c r="AJ403" s="7">
        <f>20*LOG10(MAX(AG403,1E-300)*1E6)</f>
        <v>0</v>
      </c>
      <c r="AK403" s="7">
        <f>DEGREES(IMARGUMENT(AB403))</f>
        <v>0</v>
      </c>
      <c r="AL403" s="7">
        <f>DEGREES(IMARGUMENT(AC403))</f>
        <v>0</v>
      </c>
      <c r="AM403" s="7">
        <f>DEGREES(IMARGUMENT(AD403))</f>
        <v>0</v>
      </c>
    </row>
    <row r="404" spans="1:39">
      <c r="A404" s="6">
        <f>10^(LOG10(F_START)+(ROW()-ROW($A$2))*(LOG10(F_STOP)-LOG10(F_START))/(N_POINTS-1))</f>
        <v>0</v>
      </c>
      <c r="B404" s="6">
        <f>2*PI()*A404</f>
        <v>0</v>
      </c>
      <c r="C404">
        <f>COMPLEX(2*LINE_PS_DCR,2*B404*LINE_PS_L)</f>
        <v>0</v>
      </c>
      <c r="D404">
        <f>IMSUM(COMPLEX(0,B404*(LINE_PS_CLINE+LINE_PS_CCHA/2)),IMDIV("1",IMPRODUCT("2",COMPLEX(C_THROUGH_ESR,B404*C_THROUGH_ESL-1/(B404*C_THROUGH_C)))))</f>
        <v>0</v>
      </c>
      <c r="E404">
        <f>COMPLEX(2*LINE_INPUT_DCR,2*B404*LINE_INPUT_L)</f>
        <v>0</v>
      </c>
      <c r="F404">
        <f>COMPLEX(0,B404*(LINE_INPUT_CLINE+LINE_INPUT_CCHA/2))</f>
        <v>0</v>
      </c>
      <c r="G404">
        <f>IMPRODUCT("2",IMDIV("1",IMSUM(IMDIV("1",COMPLEX(LDM1_DCR,B404*LDM1_L)),COMPLEX(0,B404*LDM1_CPA))))</f>
        <v>0</v>
      </c>
      <c r="H404">
        <f>IMSUM(IMDIV("1",COMPLEX(CX1_ESR,B404*CX1_ESL-1/(B404*CX1_C))),IMDIV("1",IMSUM(COMPLEX(DUMP1_R,0),COMPLEX(DUMP1_ESR,B404*DUMP1_ESL-1/(B404*DUMP1_C)))))</f>
        <v>0</v>
      </c>
      <c r="I404">
        <f>IMPRODUCT("2",IMDIV("1",IMSUM(IMDIV("1",COMPLEX(LDM2_DCR,B404*LDM2_L)),COMPLEX(0,B404*LDM2_CPA))))</f>
        <v>0</v>
      </c>
      <c r="J404">
        <f>IMSUM(IMDIV("1",COMPLEX(CX2_ESR,B404*CX2_ESL-1/(B404*CX2_C))),IMDIV("1",IMSUM(COMPLEX(DUMP2_R,0),COMPLEX(DUMP2_ESR,B404*DUMP2_ESL-1/(B404*DUMP2_C)))))</f>
        <v>0</v>
      </c>
      <c r="K404">
        <f>IMPRODUCT("2",IMDIV("1",IMSUM(IMDIV("1",COMPLEX(CMC_DCR,B404*CMC_L*(1-CMC_K))),COMPLEX(0,B404*CMC_CPA))))</f>
        <v>0</v>
      </c>
      <c r="L404">
        <f>IMSUM(COMPLEX(0,B404*CMC_CLINE),IMDIV("1",IMPRODUCT("2",COMPLEX(CY_ESR,B404*CY_ESL-1/(B404*CY_C)))),COMPLEX(1/DUMMY_R,0))</f>
        <v>0</v>
      </c>
      <c r="M404">
        <f>IMSUM(D404,IMDIV("1",C404))</f>
        <v>0</v>
      </c>
      <c r="N404">
        <f>IMDIV("1",IMSUM(E404,IMDIV("1",M404)))</f>
        <v>0</v>
      </c>
      <c r="O404">
        <f>IMSUM(F404,N404)</f>
        <v>0</v>
      </c>
      <c r="P404">
        <f>IMDIV("1",IMSUM(G404,IMDIV("1",O404)))</f>
        <v>0</v>
      </c>
      <c r="Q404">
        <f>IMSUM(H404,P404)</f>
        <v>0</v>
      </c>
      <c r="R404">
        <f>IMDIV("1",IMSUM(I404,IMDIV("1",Q404)))</f>
        <v>0</v>
      </c>
      <c r="S404">
        <f>IMSUM(J404,R404)</f>
        <v>0</v>
      </c>
      <c r="T404">
        <f>IMDIV("1",IMSUM(K404,IMDIV("1",S404)))</f>
        <v>0</v>
      </c>
      <c r="U404">
        <f>IMSUM(L404,T404)</f>
        <v>0</v>
      </c>
      <c r="V404">
        <f>IMDIV(COMPLEX(I_DM_SOURCE,0),U404)</f>
        <v>0</v>
      </c>
      <c r="W404">
        <f>IMPRODUCT(V404,T404)</f>
        <v>0</v>
      </c>
      <c r="X404">
        <f>IMDIV(W404,S404)</f>
        <v>0</v>
      </c>
      <c r="Y404">
        <f>IMPRODUCT(X404,R404)</f>
        <v>0</v>
      </c>
      <c r="Z404">
        <f>IMDIV(Y404,Q404)</f>
        <v>0</v>
      </c>
      <c r="AA404">
        <f>IMPRODUCT(Z404,P404)</f>
        <v>0</v>
      </c>
      <c r="AB404">
        <f>AA404</f>
        <v>0</v>
      </c>
      <c r="AC404">
        <f>IMPRODUCT("-1",AB404)</f>
        <v>0</v>
      </c>
      <c r="AD404">
        <f>IMDIV(IMSUB(AB404,AC404),"2")</f>
        <v>0</v>
      </c>
      <c r="AE404" s="6">
        <f>IMABS(AB404)</f>
        <v>0</v>
      </c>
      <c r="AF404" s="6">
        <f>IMABS(AC404)</f>
        <v>0</v>
      </c>
      <c r="AG404" s="6">
        <f>IMABS(AD404)</f>
        <v>0</v>
      </c>
      <c r="AH404" s="7">
        <f>20*LOG10(MAX(AE404,1E-300)*1E6)</f>
        <v>0</v>
      </c>
      <c r="AI404" s="7">
        <f>20*LOG10(MAX(AF404,1E-300)*1E6)</f>
        <v>0</v>
      </c>
      <c r="AJ404" s="7">
        <f>20*LOG10(MAX(AG404,1E-300)*1E6)</f>
        <v>0</v>
      </c>
      <c r="AK404" s="7">
        <f>DEGREES(IMARGUMENT(AB404))</f>
        <v>0</v>
      </c>
      <c r="AL404" s="7">
        <f>DEGREES(IMARGUMENT(AC404))</f>
        <v>0</v>
      </c>
      <c r="AM404" s="7">
        <f>DEGREES(IMARGUMENT(AD404))</f>
        <v>0</v>
      </c>
    </row>
    <row r="405" spans="1:39">
      <c r="A405" s="6">
        <f>10^(LOG10(F_START)+(ROW()-ROW($A$2))*(LOG10(F_STOP)-LOG10(F_START))/(N_POINTS-1))</f>
        <v>0</v>
      </c>
      <c r="B405" s="6">
        <f>2*PI()*A405</f>
        <v>0</v>
      </c>
      <c r="C405">
        <f>COMPLEX(2*LINE_PS_DCR,2*B405*LINE_PS_L)</f>
        <v>0</v>
      </c>
      <c r="D405">
        <f>IMSUM(COMPLEX(0,B405*(LINE_PS_CLINE+LINE_PS_CCHA/2)),IMDIV("1",IMPRODUCT("2",COMPLEX(C_THROUGH_ESR,B405*C_THROUGH_ESL-1/(B405*C_THROUGH_C)))))</f>
        <v>0</v>
      </c>
      <c r="E405">
        <f>COMPLEX(2*LINE_INPUT_DCR,2*B405*LINE_INPUT_L)</f>
        <v>0</v>
      </c>
      <c r="F405">
        <f>COMPLEX(0,B405*(LINE_INPUT_CLINE+LINE_INPUT_CCHA/2))</f>
        <v>0</v>
      </c>
      <c r="G405">
        <f>IMPRODUCT("2",IMDIV("1",IMSUM(IMDIV("1",COMPLEX(LDM1_DCR,B405*LDM1_L)),COMPLEX(0,B405*LDM1_CPA))))</f>
        <v>0</v>
      </c>
      <c r="H405">
        <f>IMSUM(IMDIV("1",COMPLEX(CX1_ESR,B405*CX1_ESL-1/(B405*CX1_C))),IMDIV("1",IMSUM(COMPLEX(DUMP1_R,0),COMPLEX(DUMP1_ESR,B405*DUMP1_ESL-1/(B405*DUMP1_C)))))</f>
        <v>0</v>
      </c>
      <c r="I405">
        <f>IMPRODUCT("2",IMDIV("1",IMSUM(IMDIV("1",COMPLEX(LDM2_DCR,B405*LDM2_L)),COMPLEX(0,B405*LDM2_CPA))))</f>
        <v>0</v>
      </c>
      <c r="J405">
        <f>IMSUM(IMDIV("1",COMPLEX(CX2_ESR,B405*CX2_ESL-1/(B405*CX2_C))),IMDIV("1",IMSUM(COMPLEX(DUMP2_R,0),COMPLEX(DUMP2_ESR,B405*DUMP2_ESL-1/(B405*DUMP2_C)))))</f>
        <v>0</v>
      </c>
      <c r="K405">
        <f>IMPRODUCT("2",IMDIV("1",IMSUM(IMDIV("1",COMPLEX(CMC_DCR,B405*CMC_L*(1-CMC_K))),COMPLEX(0,B405*CMC_CPA))))</f>
        <v>0</v>
      </c>
      <c r="L405">
        <f>IMSUM(COMPLEX(0,B405*CMC_CLINE),IMDIV("1",IMPRODUCT("2",COMPLEX(CY_ESR,B405*CY_ESL-1/(B405*CY_C)))),COMPLEX(1/DUMMY_R,0))</f>
        <v>0</v>
      </c>
      <c r="M405">
        <f>IMSUM(D405,IMDIV("1",C405))</f>
        <v>0</v>
      </c>
      <c r="N405">
        <f>IMDIV("1",IMSUM(E405,IMDIV("1",M405)))</f>
        <v>0</v>
      </c>
      <c r="O405">
        <f>IMSUM(F405,N405)</f>
        <v>0</v>
      </c>
      <c r="P405">
        <f>IMDIV("1",IMSUM(G405,IMDIV("1",O405)))</f>
        <v>0</v>
      </c>
      <c r="Q405">
        <f>IMSUM(H405,P405)</f>
        <v>0</v>
      </c>
      <c r="R405">
        <f>IMDIV("1",IMSUM(I405,IMDIV("1",Q405)))</f>
        <v>0</v>
      </c>
      <c r="S405">
        <f>IMSUM(J405,R405)</f>
        <v>0</v>
      </c>
      <c r="T405">
        <f>IMDIV("1",IMSUM(K405,IMDIV("1",S405)))</f>
        <v>0</v>
      </c>
      <c r="U405">
        <f>IMSUM(L405,T405)</f>
        <v>0</v>
      </c>
      <c r="V405">
        <f>IMDIV(COMPLEX(I_DM_SOURCE,0),U405)</f>
        <v>0</v>
      </c>
      <c r="W405">
        <f>IMPRODUCT(V405,T405)</f>
        <v>0</v>
      </c>
      <c r="X405">
        <f>IMDIV(W405,S405)</f>
        <v>0</v>
      </c>
      <c r="Y405">
        <f>IMPRODUCT(X405,R405)</f>
        <v>0</v>
      </c>
      <c r="Z405">
        <f>IMDIV(Y405,Q405)</f>
        <v>0</v>
      </c>
      <c r="AA405">
        <f>IMPRODUCT(Z405,P405)</f>
        <v>0</v>
      </c>
      <c r="AB405">
        <f>AA405</f>
        <v>0</v>
      </c>
      <c r="AC405">
        <f>IMPRODUCT("-1",AB405)</f>
        <v>0</v>
      </c>
      <c r="AD405">
        <f>IMDIV(IMSUB(AB405,AC405),"2")</f>
        <v>0</v>
      </c>
      <c r="AE405" s="6">
        <f>IMABS(AB405)</f>
        <v>0</v>
      </c>
      <c r="AF405" s="6">
        <f>IMABS(AC405)</f>
        <v>0</v>
      </c>
      <c r="AG405" s="6">
        <f>IMABS(AD405)</f>
        <v>0</v>
      </c>
      <c r="AH405" s="7">
        <f>20*LOG10(MAX(AE405,1E-300)*1E6)</f>
        <v>0</v>
      </c>
      <c r="AI405" s="7">
        <f>20*LOG10(MAX(AF405,1E-300)*1E6)</f>
        <v>0</v>
      </c>
      <c r="AJ405" s="7">
        <f>20*LOG10(MAX(AG405,1E-300)*1E6)</f>
        <v>0</v>
      </c>
      <c r="AK405" s="7">
        <f>DEGREES(IMARGUMENT(AB405))</f>
        <v>0</v>
      </c>
      <c r="AL405" s="7">
        <f>DEGREES(IMARGUMENT(AC405))</f>
        <v>0</v>
      </c>
      <c r="AM405" s="7">
        <f>DEGREES(IMARGUMENT(AD405))</f>
        <v>0</v>
      </c>
    </row>
    <row r="406" spans="1:39">
      <c r="A406" s="6">
        <f>10^(LOG10(F_START)+(ROW()-ROW($A$2))*(LOG10(F_STOP)-LOG10(F_START))/(N_POINTS-1))</f>
        <v>0</v>
      </c>
      <c r="B406" s="6">
        <f>2*PI()*A406</f>
        <v>0</v>
      </c>
      <c r="C406">
        <f>COMPLEX(2*LINE_PS_DCR,2*B406*LINE_PS_L)</f>
        <v>0</v>
      </c>
      <c r="D406">
        <f>IMSUM(COMPLEX(0,B406*(LINE_PS_CLINE+LINE_PS_CCHA/2)),IMDIV("1",IMPRODUCT("2",COMPLEX(C_THROUGH_ESR,B406*C_THROUGH_ESL-1/(B406*C_THROUGH_C)))))</f>
        <v>0</v>
      </c>
      <c r="E406">
        <f>COMPLEX(2*LINE_INPUT_DCR,2*B406*LINE_INPUT_L)</f>
        <v>0</v>
      </c>
      <c r="F406">
        <f>COMPLEX(0,B406*(LINE_INPUT_CLINE+LINE_INPUT_CCHA/2))</f>
        <v>0</v>
      </c>
      <c r="G406">
        <f>IMPRODUCT("2",IMDIV("1",IMSUM(IMDIV("1",COMPLEX(LDM1_DCR,B406*LDM1_L)),COMPLEX(0,B406*LDM1_CPA))))</f>
        <v>0</v>
      </c>
      <c r="H406">
        <f>IMSUM(IMDIV("1",COMPLEX(CX1_ESR,B406*CX1_ESL-1/(B406*CX1_C))),IMDIV("1",IMSUM(COMPLEX(DUMP1_R,0),COMPLEX(DUMP1_ESR,B406*DUMP1_ESL-1/(B406*DUMP1_C)))))</f>
        <v>0</v>
      </c>
      <c r="I406">
        <f>IMPRODUCT("2",IMDIV("1",IMSUM(IMDIV("1",COMPLEX(LDM2_DCR,B406*LDM2_L)),COMPLEX(0,B406*LDM2_CPA))))</f>
        <v>0</v>
      </c>
      <c r="J406">
        <f>IMSUM(IMDIV("1",COMPLEX(CX2_ESR,B406*CX2_ESL-1/(B406*CX2_C))),IMDIV("1",IMSUM(COMPLEX(DUMP2_R,0),COMPLEX(DUMP2_ESR,B406*DUMP2_ESL-1/(B406*DUMP2_C)))))</f>
        <v>0</v>
      </c>
      <c r="K406">
        <f>IMPRODUCT("2",IMDIV("1",IMSUM(IMDIV("1",COMPLEX(CMC_DCR,B406*CMC_L*(1-CMC_K))),COMPLEX(0,B406*CMC_CPA))))</f>
        <v>0</v>
      </c>
      <c r="L406">
        <f>IMSUM(COMPLEX(0,B406*CMC_CLINE),IMDIV("1",IMPRODUCT("2",COMPLEX(CY_ESR,B406*CY_ESL-1/(B406*CY_C)))),COMPLEX(1/DUMMY_R,0))</f>
        <v>0</v>
      </c>
      <c r="M406">
        <f>IMSUM(D406,IMDIV("1",C406))</f>
        <v>0</v>
      </c>
      <c r="N406">
        <f>IMDIV("1",IMSUM(E406,IMDIV("1",M406)))</f>
        <v>0</v>
      </c>
      <c r="O406">
        <f>IMSUM(F406,N406)</f>
        <v>0</v>
      </c>
      <c r="P406">
        <f>IMDIV("1",IMSUM(G406,IMDIV("1",O406)))</f>
        <v>0</v>
      </c>
      <c r="Q406">
        <f>IMSUM(H406,P406)</f>
        <v>0</v>
      </c>
      <c r="R406">
        <f>IMDIV("1",IMSUM(I406,IMDIV("1",Q406)))</f>
        <v>0</v>
      </c>
      <c r="S406">
        <f>IMSUM(J406,R406)</f>
        <v>0</v>
      </c>
      <c r="T406">
        <f>IMDIV("1",IMSUM(K406,IMDIV("1",S406)))</f>
        <v>0</v>
      </c>
      <c r="U406">
        <f>IMSUM(L406,T406)</f>
        <v>0</v>
      </c>
      <c r="V406">
        <f>IMDIV(COMPLEX(I_DM_SOURCE,0),U406)</f>
        <v>0</v>
      </c>
      <c r="W406">
        <f>IMPRODUCT(V406,T406)</f>
        <v>0</v>
      </c>
      <c r="X406">
        <f>IMDIV(W406,S406)</f>
        <v>0</v>
      </c>
      <c r="Y406">
        <f>IMPRODUCT(X406,R406)</f>
        <v>0</v>
      </c>
      <c r="Z406">
        <f>IMDIV(Y406,Q406)</f>
        <v>0</v>
      </c>
      <c r="AA406">
        <f>IMPRODUCT(Z406,P406)</f>
        <v>0</v>
      </c>
      <c r="AB406">
        <f>AA406</f>
        <v>0</v>
      </c>
      <c r="AC406">
        <f>IMPRODUCT("-1",AB406)</f>
        <v>0</v>
      </c>
      <c r="AD406">
        <f>IMDIV(IMSUB(AB406,AC406),"2")</f>
        <v>0</v>
      </c>
      <c r="AE406" s="6">
        <f>IMABS(AB406)</f>
        <v>0</v>
      </c>
      <c r="AF406" s="6">
        <f>IMABS(AC406)</f>
        <v>0</v>
      </c>
      <c r="AG406" s="6">
        <f>IMABS(AD406)</f>
        <v>0</v>
      </c>
      <c r="AH406" s="7">
        <f>20*LOG10(MAX(AE406,1E-300)*1E6)</f>
        <v>0</v>
      </c>
      <c r="AI406" s="7">
        <f>20*LOG10(MAX(AF406,1E-300)*1E6)</f>
        <v>0</v>
      </c>
      <c r="AJ406" s="7">
        <f>20*LOG10(MAX(AG406,1E-300)*1E6)</f>
        <v>0</v>
      </c>
      <c r="AK406" s="7">
        <f>DEGREES(IMARGUMENT(AB406))</f>
        <v>0</v>
      </c>
      <c r="AL406" s="7">
        <f>DEGREES(IMARGUMENT(AC406))</f>
        <v>0</v>
      </c>
      <c r="AM406" s="7">
        <f>DEGREES(IMARGUMENT(AD406))</f>
        <v>0</v>
      </c>
    </row>
    <row r="407" spans="1:39">
      <c r="A407" s="6">
        <f>10^(LOG10(F_START)+(ROW()-ROW($A$2))*(LOG10(F_STOP)-LOG10(F_START))/(N_POINTS-1))</f>
        <v>0</v>
      </c>
      <c r="B407" s="6">
        <f>2*PI()*A407</f>
        <v>0</v>
      </c>
      <c r="C407">
        <f>COMPLEX(2*LINE_PS_DCR,2*B407*LINE_PS_L)</f>
        <v>0</v>
      </c>
      <c r="D407">
        <f>IMSUM(COMPLEX(0,B407*(LINE_PS_CLINE+LINE_PS_CCHA/2)),IMDIV("1",IMPRODUCT("2",COMPLEX(C_THROUGH_ESR,B407*C_THROUGH_ESL-1/(B407*C_THROUGH_C)))))</f>
        <v>0</v>
      </c>
      <c r="E407">
        <f>COMPLEX(2*LINE_INPUT_DCR,2*B407*LINE_INPUT_L)</f>
        <v>0</v>
      </c>
      <c r="F407">
        <f>COMPLEX(0,B407*(LINE_INPUT_CLINE+LINE_INPUT_CCHA/2))</f>
        <v>0</v>
      </c>
      <c r="G407">
        <f>IMPRODUCT("2",IMDIV("1",IMSUM(IMDIV("1",COMPLEX(LDM1_DCR,B407*LDM1_L)),COMPLEX(0,B407*LDM1_CPA))))</f>
        <v>0</v>
      </c>
      <c r="H407">
        <f>IMSUM(IMDIV("1",COMPLEX(CX1_ESR,B407*CX1_ESL-1/(B407*CX1_C))),IMDIV("1",IMSUM(COMPLEX(DUMP1_R,0),COMPLEX(DUMP1_ESR,B407*DUMP1_ESL-1/(B407*DUMP1_C)))))</f>
        <v>0</v>
      </c>
      <c r="I407">
        <f>IMPRODUCT("2",IMDIV("1",IMSUM(IMDIV("1",COMPLEX(LDM2_DCR,B407*LDM2_L)),COMPLEX(0,B407*LDM2_CPA))))</f>
        <v>0</v>
      </c>
      <c r="J407">
        <f>IMSUM(IMDIV("1",COMPLEX(CX2_ESR,B407*CX2_ESL-1/(B407*CX2_C))),IMDIV("1",IMSUM(COMPLEX(DUMP2_R,0),COMPLEX(DUMP2_ESR,B407*DUMP2_ESL-1/(B407*DUMP2_C)))))</f>
        <v>0</v>
      </c>
      <c r="K407">
        <f>IMPRODUCT("2",IMDIV("1",IMSUM(IMDIV("1",COMPLEX(CMC_DCR,B407*CMC_L*(1-CMC_K))),COMPLEX(0,B407*CMC_CPA))))</f>
        <v>0</v>
      </c>
      <c r="L407">
        <f>IMSUM(COMPLEX(0,B407*CMC_CLINE),IMDIV("1",IMPRODUCT("2",COMPLEX(CY_ESR,B407*CY_ESL-1/(B407*CY_C)))),COMPLEX(1/DUMMY_R,0))</f>
        <v>0</v>
      </c>
      <c r="M407">
        <f>IMSUM(D407,IMDIV("1",C407))</f>
        <v>0</v>
      </c>
      <c r="N407">
        <f>IMDIV("1",IMSUM(E407,IMDIV("1",M407)))</f>
        <v>0</v>
      </c>
      <c r="O407">
        <f>IMSUM(F407,N407)</f>
        <v>0</v>
      </c>
      <c r="P407">
        <f>IMDIV("1",IMSUM(G407,IMDIV("1",O407)))</f>
        <v>0</v>
      </c>
      <c r="Q407">
        <f>IMSUM(H407,P407)</f>
        <v>0</v>
      </c>
      <c r="R407">
        <f>IMDIV("1",IMSUM(I407,IMDIV("1",Q407)))</f>
        <v>0</v>
      </c>
      <c r="S407">
        <f>IMSUM(J407,R407)</f>
        <v>0</v>
      </c>
      <c r="T407">
        <f>IMDIV("1",IMSUM(K407,IMDIV("1",S407)))</f>
        <v>0</v>
      </c>
      <c r="U407">
        <f>IMSUM(L407,T407)</f>
        <v>0</v>
      </c>
      <c r="V407">
        <f>IMDIV(COMPLEX(I_DM_SOURCE,0),U407)</f>
        <v>0</v>
      </c>
      <c r="W407">
        <f>IMPRODUCT(V407,T407)</f>
        <v>0</v>
      </c>
      <c r="X407">
        <f>IMDIV(W407,S407)</f>
        <v>0</v>
      </c>
      <c r="Y407">
        <f>IMPRODUCT(X407,R407)</f>
        <v>0</v>
      </c>
      <c r="Z407">
        <f>IMDIV(Y407,Q407)</f>
        <v>0</v>
      </c>
      <c r="AA407">
        <f>IMPRODUCT(Z407,P407)</f>
        <v>0</v>
      </c>
      <c r="AB407">
        <f>AA407</f>
        <v>0</v>
      </c>
      <c r="AC407">
        <f>IMPRODUCT("-1",AB407)</f>
        <v>0</v>
      </c>
      <c r="AD407">
        <f>IMDIV(IMSUB(AB407,AC407),"2")</f>
        <v>0</v>
      </c>
      <c r="AE407" s="6">
        <f>IMABS(AB407)</f>
        <v>0</v>
      </c>
      <c r="AF407" s="6">
        <f>IMABS(AC407)</f>
        <v>0</v>
      </c>
      <c r="AG407" s="6">
        <f>IMABS(AD407)</f>
        <v>0</v>
      </c>
      <c r="AH407" s="7">
        <f>20*LOG10(MAX(AE407,1E-300)*1E6)</f>
        <v>0</v>
      </c>
      <c r="AI407" s="7">
        <f>20*LOG10(MAX(AF407,1E-300)*1E6)</f>
        <v>0</v>
      </c>
      <c r="AJ407" s="7">
        <f>20*LOG10(MAX(AG407,1E-300)*1E6)</f>
        <v>0</v>
      </c>
      <c r="AK407" s="7">
        <f>DEGREES(IMARGUMENT(AB407))</f>
        <v>0</v>
      </c>
      <c r="AL407" s="7">
        <f>DEGREES(IMARGUMENT(AC407))</f>
        <v>0</v>
      </c>
      <c r="AM407" s="7">
        <f>DEGREES(IMARGUMENT(AD407))</f>
        <v>0</v>
      </c>
    </row>
    <row r="408" spans="1:39">
      <c r="A408" s="6">
        <f>10^(LOG10(F_START)+(ROW()-ROW($A$2))*(LOG10(F_STOP)-LOG10(F_START))/(N_POINTS-1))</f>
        <v>0</v>
      </c>
      <c r="B408" s="6">
        <f>2*PI()*A408</f>
        <v>0</v>
      </c>
      <c r="C408">
        <f>COMPLEX(2*LINE_PS_DCR,2*B408*LINE_PS_L)</f>
        <v>0</v>
      </c>
      <c r="D408">
        <f>IMSUM(COMPLEX(0,B408*(LINE_PS_CLINE+LINE_PS_CCHA/2)),IMDIV("1",IMPRODUCT("2",COMPLEX(C_THROUGH_ESR,B408*C_THROUGH_ESL-1/(B408*C_THROUGH_C)))))</f>
        <v>0</v>
      </c>
      <c r="E408">
        <f>COMPLEX(2*LINE_INPUT_DCR,2*B408*LINE_INPUT_L)</f>
        <v>0</v>
      </c>
      <c r="F408">
        <f>COMPLEX(0,B408*(LINE_INPUT_CLINE+LINE_INPUT_CCHA/2))</f>
        <v>0</v>
      </c>
      <c r="G408">
        <f>IMPRODUCT("2",IMDIV("1",IMSUM(IMDIV("1",COMPLEX(LDM1_DCR,B408*LDM1_L)),COMPLEX(0,B408*LDM1_CPA))))</f>
        <v>0</v>
      </c>
      <c r="H408">
        <f>IMSUM(IMDIV("1",COMPLEX(CX1_ESR,B408*CX1_ESL-1/(B408*CX1_C))),IMDIV("1",IMSUM(COMPLEX(DUMP1_R,0),COMPLEX(DUMP1_ESR,B408*DUMP1_ESL-1/(B408*DUMP1_C)))))</f>
        <v>0</v>
      </c>
      <c r="I408">
        <f>IMPRODUCT("2",IMDIV("1",IMSUM(IMDIV("1",COMPLEX(LDM2_DCR,B408*LDM2_L)),COMPLEX(0,B408*LDM2_CPA))))</f>
        <v>0</v>
      </c>
      <c r="J408">
        <f>IMSUM(IMDIV("1",COMPLEX(CX2_ESR,B408*CX2_ESL-1/(B408*CX2_C))),IMDIV("1",IMSUM(COMPLEX(DUMP2_R,0),COMPLEX(DUMP2_ESR,B408*DUMP2_ESL-1/(B408*DUMP2_C)))))</f>
        <v>0</v>
      </c>
      <c r="K408">
        <f>IMPRODUCT("2",IMDIV("1",IMSUM(IMDIV("1",COMPLEX(CMC_DCR,B408*CMC_L*(1-CMC_K))),COMPLEX(0,B408*CMC_CPA))))</f>
        <v>0</v>
      </c>
      <c r="L408">
        <f>IMSUM(COMPLEX(0,B408*CMC_CLINE),IMDIV("1",IMPRODUCT("2",COMPLEX(CY_ESR,B408*CY_ESL-1/(B408*CY_C)))),COMPLEX(1/DUMMY_R,0))</f>
        <v>0</v>
      </c>
      <c r="M408">
        <f>IMSUM(D408,IMDIV("1",C408))</f>
        <v>0</v>
      </c>
      <c r="N408">
        <f>IMDIV("1",IMSUM(E408,IMDIV("1",M408)))</f>
        <v>0</v>
      </c>
      <c r="O408">
        <f>IMSUM(F408,N408)</f>
        <v>0</v>
      </c>
      <c r="P408">
        <f>IMDIV("1",IMSUM(G408,IMDIV("1",O408)))</f>
        <v>0</v>
      </c>
      <c r="Q408">
        <f>IMSUM(H408,P408)</f>
        <v>0</v>
      </c>
      <c r="R408">
        <f>IMDIV("1",IMSUM(I408,IMDIV("1",Q408)))</f>
        <v>0</v>
      </c>
      <c r="S408">
        <f>IMSUM(J408,R408)</f>
        <v>0</v>
      </c>
      <c r="T408">
        <f>IMDIV("1",IMSUM(K408,IMDIV("1",S408)))</f>
        <v>0</v>
      </c>
      <c r="U408">
        <f>IMSUM(L408,T408)</f>
        <v>0</v>
      </c>
      <c r="V408">
        <f>IMDIV(COMPLEX(I_DM_SOURCE,0),U408)</f>
        <v>0</v>
      </c>
      <c r="W408">
        <f>IMPRODUCT(V408,T408)</f>
        <v>0</v>
      </c>
      <c r="X408">
        <f>IMDIV(W408,S408)</f>
        <v>0</v>
      </c>
      <c r="Y408">
        <f>IMPRODUCT(X408,R408)</f>
        <v>0</v>
      </c>
      <c r="Z408">
        <f>IMDIV(Y408,Q408)</f>
        <v>0</v>
      </c>
      <c r="AA408">
        <f>IMPRODUCT(Z408,P408)</f>
        <v>0</v>
      </c>
      <c r="AB408">
        <f>AA408</f>
        <v>0</v>
      </c>
      <c r="AC408">
        <f>IMPRODUCT("-1",AB408)</f>
        <v>0</v>
      </c>
      <c r="AD408">
        <f>IMDIV(IMSUB(AB408,AC408),"2")</f>
        <v>0</v>
      </c>
      <c r="AE408" s="6">
        <f>IMABS(AB408)</f>
        <v>0</v>
      </c>
      <c r="AF408" s="6">
        <f>IMABS(AC408)</f>
        <v>0</v>
      </c>
      <c r="AG408" s="6">
        <f>IMABS(AD408)</f>
        <v>0</v>
      </c>
      <c r="AH408" s="7">
        <f>20*LOG10(MAX(AE408,1E-300)*1E6)</f>
        <v>0</v>
      </c>
      <c r="AI408" s="7">
        <f>20*LOG10(MAX(AF408,1E-300)*1E6)</f>
        <v>0</v>
      </c>
      <c r="AJ408" s="7">
        <f>20*LOG10(MAX(AG408,1E-300)*1E6)</f>
        <v>0</v>
      </c>
      <c r="AK408" s="7">
        <f>DEGREES(IMARGUMENT(AB408))</f>
        <v>0</v>
      </c>
      <c r="AL408" s="7">
        <f>DEGREES(IMARGUMENT(AC408))</f>
        <v>0</v>
      </c>
      <c r="AM408" s="7">
        <f>DEGREES(IMARGUMENT(AD408))</f>
        <v>0</v>
      </c>
    </row>
    <row r="409" spans="1:39">
      <c r="A409" s="6">
        <f>10^(LOG10(F_START)+(ROW()-ROW($A$2))*(LOG10(F_STOP)-LOG10(F_START))/(N_POINTS-1))</f>
        <v>0</v>
      </c>
      <c r="B409" s="6">
        <f>2*PI()*A409</f>
        <v>0</v>
      </c>
      <c r="C409">
        <f>COMPLEX(2*LINE_PS_DCR,2*B409*LINE_PS_L)</f>
        <v>0</v>
      </c>
      <c r="D409">
        <f>IMSUM(COMPLEX(0,B409*(LINE_PS_CLINE+LINE_PS_CCHA/2)),IMDIV("1",IMPRODUCT("2",COMPLEX(C_THROUGH_ESR,B409*C_THROUGH_ESL-1/(B409*C_THROUGH_C)))))</f>
        <v>0</v>
      </c>
      <c r="E409">
        <f>COMPLEX(2*LINE_INPUT_DCR,2*B409*LINE_INPUT_L)</f>
        <v>0</v>
      </c>
      <c r="F409">
        <f>COMPLEX(0,B409*(LINE_INPUT_CLINE+LINE_INPUT_CCHA/2))</f>
        <v>0</v>
      </c>
      <c r="G409">
        <f>IMPRODUCT("2",IMDIV("1",IMSUM(IMDIV("1",COMPLEX(LDM1_DCR,B409*LDM1_L)),COMPLEX(0,B409*LDM1_CPA))))</f>
        <v>0</v>
      </c>
      <c r="H409">
        <f>IMSUM(IMDIV("1",COMPLEX(CX1_ESR,B409*CX1_ESL-1/(B409*CX1_C))),IMDIV("1",IMSUM(COMPLEX(DUMP1_R,0),COMPLEX(DUMP1_ESR,B409*DUMP1_ESL-1/(B409*DUMP1_C)))))</f>
        <v>0</v>
      </c>
      <c r="I409">
        <f>IMPRODUCT("2",IMDIV("1",IMSUM(IMDIV("1",COMPLEX(LDM2_DCR,B409*LDM2_L)),COMPLEX(0,B409*LDM2_CPA))))</f>
        <v>0</v>
      </c>
      <c r="J409">
        <f>IMSUM(IMDIV("1",COMPLEX(CX2_ESR,B409*CX2_ESL-1/(B409*CX2_C))),IMDIV("1",IMSUM(COMPLEX(DUMP2_R,0),COMPLEX(DUMP2_ESR,B409*DUMP2_ESL-1/(B409*DUMP2_C)))))</f>
        <v>0</v>
      </c>
      <c r="K409">
        <f>IMPRODUCT("2",IMDIV("1",IMSUM(IMDIV("1",COMPLEX(CMC_DCR,B409*CMC_L*(1-CMC_K))),COMPLEX(0,B409*CMC_CPA))))</f>
        <v>0</v>
      </c>
      <c r="L409">
        <f>IMSUM(COMPLEX(0,B409*CMC_CLINE),IMDIV("1",IMPRODUCT("2",COMPLEX(CY_ESR,B409*CY_ESL-1/(B409*CY_C)))),COMPLEX(1/DUMMY_R,0))</f>
        <v>0</v>
      </c>
      <c r="M409">
        <f>IMSUM(D409,IMDIV("1",C409))</f>
        <v>0</v>
      </c>
      <c r="N409">
        <f>IMDIV("1",IMSUM(E409,IMDIV("1",M409)))</f>
        <v>0</v>
      </c>
      <c r="O409">
        <f>IMSUM(F409,N409)</f>
        <v>0</v>
      </c>
      <c r="P409">
        <f>IMDIV("1",IMSUM(G409,IMDIV("1",O409)))</f>
        <v>0</v>
      </c>
      <c r="Q409">
        <f>IMSUM(H409,P409)</f>
        <v>0</v>
      </c>
      <c r="R409">
        <f>IMDIV("1",IMSUM(I409,IMDIV("1",Q409)))</f>
        <v>0</v>
      </c>
      <c r="S409">
        <f>IMSUM(J409,R409)</f>
        <v>0</v>
      </c>
      <c r="T409">
        <f>IMDIV("1",IMSUM(K409,IMDIV("1",S409)))</f>
        <v>0</v>
      </c>
      <c r="U409">
        <f>IMSUM(L409,T409)</f>
        <v>0</v>
      </c>
      <c r="V409">
        <f>IMDIV(COMPLEX(I_DM_SOURCE,0),U409)</f>
        <v>0</v>
      </c>
      <c r="W409">
        <f>IMPRODUCT(V409,T409)</f>
        <v>0</v>
      </c>
      <c r="X409">
        <f>IMDIV(W409,S409)</f>
        <v>0</v>
      </c>
      <c r="Y409">
        <f>IMPRODUCT(X409,R409)</f>
        <v>0</v>
      </c>
      <c r="Z409">
        <f>IMDIV(Y409,Q409)</f>
        <v>0</v>
      </c>
      <c r="AA409">
        <f>IMPRODUCT(Z409,P409)</f>
        <v>0</v>
      </c>
      <c r="AB409">
        <f>AA409</f>
        <v>0</v>
      </c>
      <c r="AC409">
        <f>IMPRODUCT("-1",AB409)</f>
        <v>0</v>
      </c>
      <c r="AD409">
        <f>IMDIV(IMSUB(AB409,AC409),"2")</f>
        <v>0</v>
      </c>
      <c r="AE409" s="6">
        <f>IMABS(AB409)</f>
        <v>0</v>
      </c>
      <c r="AF409" s="6">
        <f>IMABS(AC409)</f>
        <v>0</v>
      </c>
      <c r="AG409" s="6">
        <f>IMABS(AD409)</f>
        <v>0</v>
      </c>
      <c r="AH409" s="7">
        <f>20*LOG10(MAX(AE409,1E-300)*1E6)</f>
        <v>0</v>
      </c>
      <c r="AI409" s="7">
        <f>20*LOG10(MAX(AF409,1E-300)*1E6)</f>
        <v>0</v>
      </c>
      <c r="AJ409" s="7">
        <f>20*LOG10(MAX(AG409,1E-300)*1E6)</f>
        <v>0</v>
      </c>
      <c r="AK409" s="7">
        <f>DEGREES(IMARGUMENT(AB409))</f>
        <v>0</v>
      </c>
      <c r="AL409" s="7">
        <f>DEGREES(IMARGUMENT(AC409))</f>
        <v>0</v>
      </c>
      <c r="AM409" s="7">
        <f>DEGREES(IMARGUMENT(AD409))</f>
        <v>0</v>
      </c>
    </row>
    <row r="410" spans="1:39">
      <c r="A410" s="6">
        <f>10^(LOG10(F_START)+(ROW()-ROW($A$2))*(LOG10(F_STOP)-LOG10(F_START))/(N_POINTS-1))</f>
        <v>0</v>
      </c>
      <c r="B410" s="6">
        <f>2*PI()*A410</f>
        <v>0</v>
      </c>
      <c r="C410">
        <f>COMPLEX(2*LINE_PS_DCR,2*B410*LINE_PS_L)</f>
        <v>0</v>
      </c>
      <c r="D410">
        <f>IMSUM(COMPLEX(0,B410*(LINE_PS_CLINE+LINE_PS_CCHA/2)),IMDIV("1",IMPRODUCT("2",COMPLEX(C_THROUGH_ESR,B410*C_THROUGH_ESL-1/(B410*C_THROUGH_C)))))</f>
        <v>0</v>
      </c>
      <c r="E410">
        <f>COMPLEX(2*LINE_INPUT_DCR,2*B410*LINE_INPUT_L)</f>
        <v>0</v>
      </c>
      <c r="F410">
        <f>COMPLEX(0,B410*(LINE_INPUT_CLINE+LINE_INPUT_CCHA/2))</f>
        <v>0</v>
      </c>
      <c r="G410">
        <f>IMPRODUCT("2",IMDIV("1",IMSUM(IMDIV("1",COMPLEX(LDM1_DCR,B410*LDM1_L)),COMPLEX(0,B410*LDM1_CPA))))</f>
        <v>0</v>
      </c>
      <c r="H410">
        <f>IMSUM(IMDIV("1",COMPLEX(CX1_ESR,B410*CX1_ESL-1/(B410*CX1_C))),IMDIV("1",IMSUM(COMPLEX(DUMP1_R,0),COMPLEX(DUMP1_ESR,B410*DUMP1_ESL-1/(B410*DUMP1_C)))))</f>
        <v>0</v>
      </c>
      <c r="I410">
        <f>IMPRODUCT("2",IMDIV("1",IMSUM(IMDIV("1",COMPLEX(LDM2_DCR,B410*LDM2_L)),COMPLEX(0,B410*LDM2_CPA))))</f>
        <v>0</v>
      </c>
      <c r="J410">
        <f>IMSUM(IMDIV("1",COMPLEX(CX2_ESR,B410*CX2_ESL-1/(B410*CX2_C))),IMDIV("1",IMSUM(COMPLEX(DUMP2_R,0),COMPLEX(DUMP2_ESR,B410*DUMP2_ESL-1/(B410*DUMP2_C)))))</f>
        <v>0</v>
      </c>
      <c r="K410">
        <f>IMPRODUCT("2",IMDIV("1",IMSUM(IMDIV("1",COMPLEX(CMC_DCR,B410*CMC_L*(1-CMC_K))),COMPLEX(0,B410*CMC_CPA))))</f>
        <v>0</v>
      </c>
      <c r="L410">
        <f>IMSUM(COMPLEX(0,B410*CMC_CLINE),IMDIV("1",IMPRODUCT("2",COMPLEX(CY_ESR,B410*CY_ESL-1/(B410*CY_C)))),COMPLEX(1/DUMMY_R,0))</f>
        <v>0</v>
      </c>
      <c r="M410">
        <f>IMSUM(D410,IMDIV("1",C410))</f>
        <v>0</v>
      </c>
      <c r="N410">
        <f>IMDIV("1",IMSUM(E410,IMDIV("1",M410)))</f>
        <v>0</v>
      </c>
      <c r="O410">
        <f>IMSUM(F410,N410)</f>
        <v>0</v>
      </c>
      <c r="P410">
        <f>IMDIV("1",IMSUM(G410,IMDIV("1",O410)))</f>
        <v>0</v>
      </c>
      <c r="Q410">
        <f>IMSUM(H410,P410)</f>
        <v>0</v>
      </c>
      <c r="R410">
        <f>IMDIV("1",IMSUM(I410,IMDIV("1",Q410)))</f>
        <v>0</v>
      </c>
      <c r="S410">
        <f>IMSUM(J410,R410)</f>
        <v>0</v>
      </c>
      <c r="T410">
        <f>IMDIV("1",IMSUM(K410,IMDIV("1",S410)))</f>
        <v>0</v>
      </c>
      <c r="U410">
        <f>IMSUM(L410,T410)</f>
        <v>0</v>
      </c>
      <c r="V410">
        <f>IMDIV(COMPLEX(I_DM_SOURCE,0),U410)</f>
        <v>0</v>
      </c>
      <c r="W410">
        <f>IMPRODUCT(V410,T410)</f>
        <v>0</v>
      </c>
      <c r="X410">
        <f>IMDIV(W410,S410)</f>
        <v>0</v>
      </c>
      <c r="Y410">
        <f>IMPRODUCT(X410,R410)</f>
        <v>0</v>
      </c>
      <c r="Z410">
        <f>IMDIV(Y410,Q410)</f>
        <v>0</v>
      </c>
      <c r="AA410">
        <f>IMPRODUCT(Z410,P410)</f>
        <v>0</v>
      </c>
      <c r="AB410">
        <f>AA410</f>
        <v>0</v>
      </c>
      <c r="AC410">
        <f>IMPRODUCT("-1",AB410)</f>
        <v>0</v>
      </c>
      <c r="AD410">
        <f>IMDIV(IMSUB(AB410,AC410),"2")</f>
        <v>0</v>
      </c>
      <c r="AE410" s="6">
        <f>IMABS(AB410)</f>
        <v>0</v>
      </c>
      <c r="AF410" s="6">
        <f>IMABS(AC410)</f>
        <v>0</v>
      </c>
      <c r="AG410" s="6">
        <f>IMABS(AD410)</f>
        <v>0</v>
      </c>
      <c r="AH410" s="7">
        <f>20*LOG10(MAX(AE410,1E-300)*1E6)</f>
        <v>0</v>
      </c>
      <c r="AI410" s="7">
        <f>20*LOG10(MAX(AF410,1E-300)*1E6)</f>
        <v>0</v>
      </c>
      <c r="AJ410" s="7">
        <f>20*LOG10(MAX(AG410,1E-300)*1E6)</f>
        <v>0</v>
      </c>
      <c r="AK410" s="7">
        <f>DEGREES(IMARGUMENT(AB410))</f>
        <v>0</v>
      </c>
      <c r="AL410" s="7">
        <f>DEGREES(IMARGUMENT(AC410))</f>
        <v>0</v>
      </c>
      <c r="AM410" s="7">
        <f>DEGREES(IMARGUMENT(AD410))</f>
        <v>0</v>
      </c>
    </row>
    <row r="411" spans="1:39">
      <c r="A411" s="6">
        <f>10^(LOG10(F_START)+(ROW()-ROW($A$2))*(LOG10(F_STOP)-LOG10(F_START))/(N_POINTS-1))</f>
        <v>0</v>
      </c>
      <c r="B411" s="6">
        <f>2*PI()*A411</f>
        <v>0</v>
      </c>
      <c r="C411">
        <f>COMPLEX(2*LINE_PS_DCR,2*B411*LINE_PS_L)</f>
        <v>0</v>
      </c>
      <c r="D411">
        <f>IMSUM(COMPLEX(0,B411*(LINE_PS_CLINE+LINE_PS_CCHA/2)),IMDIV("1",IMPRODUCT("2",COMPLEX(C_THROUGH_ESR,B411*C_THROUGH_ESL-1/(B411*C_THROUGH_C)))))</f>
        <v>0</v>
      </c>
      <c r="E411">
        <f>COMPLEX(2*LINE_INPUT_DCR,2*B411*LINE_INPUT_L)</f>
        <v>0</v>
      </c>
      <c r="F411">
        <f>COMPLEX(0,B411*(LINE_INPUT_CLINE+LINE_INPUT_CCHA/2))</f>
        <v>0</v>
      </c>
      <c r="G411">
        <f>IMPRODUCT("2",IMDIV("1",IMSUM(IMDIV("1",COMPLEX(LDM1_DCR,B411*LDM1_L)),COMPLEX(0,B411*LDM1_CPA))))</f>
        <v>0</v>
      </c>
      <c r="H411">
        <f>IMSUM(IMDIV("1",COMPLEX(CX1_ESR,B411*CX1_ESL-1/(B411*CX1_C))),IMDIV("1",IMSUM(COMPLEX(DUMP1_R,0),COMPLEX(DUMP1_ESR,B411*DUMP1_ESL-1/(B411*DUMP1_C)))))</f>
        <v>0</v>
      </c>
      <c r="I411">
        <f>IMPRODUCT("2",IMDIV("1",IMSUM(IMDIV("1",COMPLEX(LDM2_DCR,B411*LDM2_L)),COMPLEX(0,B411*LDM2_CPA))))</f>
        <v>0</v>
      </c>
      <c r="J411">
        <f>IMSUM(IMDIV("1",COMPLEX(CX2_ESR,B411*CX2_ESL-1/(B411*CX2_C))),IMDIV("1",IMSUM(COMPLEX(DUMP2_R,0),COMPLEX(DUMP2_ESR,B411*DUMP2_ESL-1/(B411*DUMP2_C)))))</f>
        <v>0</v>
      </c>
      <c r="K411">
        <f>IMPRODUCT("2",IMDIV("1",IMSUM(IMDIV("1",COMPLEX(CMC_DCR,B411*CMC_L*(1-CMC_K))),COMPLEX(0,B411*CMC_CPA))))</f>
        <v>0</v>
      </c>
      <c r="L411">
        <f>IMSUM(COMPLEX(0,B411*CMC_CLINE),IMDIV("1",IMPRODUCT("2",COMPLEX(CY_ESR,B411*CY_ESL-1/(B411*CY_C)))),COMPLEX(1/DUMMY_R,0))</f>
        <v>0</v>
      </c>
      <c r="M411">
        <f>IMSUM(D411,IMDIV("1",C411))</f>
        <v>0</v>
      </c>
      <c r="N411">
        <f>IMDIV("1",IMSUM(E411,IMDIV("1",M411)))</f>
        <v>0</v>
      </c>
      <c r="O411">
        <f>IMSUM(F411,N411)</f>
        <v>0</v>
      </c>
      <c r="P411">
        <f>IMDIV("1",IMSUM(G411,IMDIV("1",O411)))</f>
        <v>0</v>
      </c>
      <c r="Q411">
        <f>IMSUM(H411,P411)</f>
        <v>0</v>
      </c>
      <c r="R411">
        <f>IMDIV("1",IMSUM(I411,IMDIV("1",Q411)))</f>
        <v>0</v>
      </c>
      <c r="S411">
        <f>IMSUM(J411,R411)</f>
        <v>0</v>
      </c>
      <c r="T411">
        <f>IMDIV("1",IMSUM(K411,IMDIV("1",S411)))</f>
        <v>0</v>
      </c>
      <c r="U411">
        <f>IMSUM(L411,T411)</f>
        <v>0</v>
      </c>
      <c r="V411">
        <f>IMDIV(COMPLEX(I_DM_SOURCE,0),U411)</f>
        <v>0</v>
      </c>
      <c r="W411">
        <f>IMPRODUCT(V411,T411)</f>
        <v>0</v>
      </c>
      <c r="X411">
        <f>IMDIV(W411,S411)</f>
        <v>0</v>
      </c>
      <c r="Y411">
        <f>IMPRODUCT(X411,R411)</f>
        <v>0</v>
      </c>
      <c r="Z411">
        <f>IMDIV(Y411,Q411)</f>
        <v>0</v>
      </c>
      <c r="AA411">
        <f>IMPRODUCT(Z411,P411)</f>
        <v>0</v>
      </c>
      <c r="AB411">
        <f>AA411</f>
        <v>0</v>
      </c>
      <c r="AC411">
        <f>IMPRODUCT("-1",AB411)</f>
        <v>0</v>
      </c>
      <c r="AD411">
        <f>IMDIV(IMSUB(AB411,AC411),"2")</f>
        <v>0</v>
      </c>
      <c r="AE411" s="6">
        <f>IMABS(AB411)</f>
        <v>0</v>
      </c>
      <c r="AF411" s="6">
        <f>IMABS(AC411)</f>
        <v>0</v>
      </c>
      <c r="AG411" s="6">
        <f>IMABS(AD411)</f>
        <v>0</v>
      </c>
      <c r="AH411" s="7">
        <f>20*LOG10(MAX(AE411,1E-300)*1E6)</f>
        <v>0</v>
      </c>
      <c r="AI411" s="7">
        <f>20*LOG10(MAX(AF411,1E-300)*1E6)</f>
        <v>0</v>
      </c>
      <c r="AJ411" s="7">
        <f>20*LOG10(MAX(AG411,1E-300)*1E6)</f>
        <v>0</v>
      </c>
      <c r="AK411" s="7">
        <f>DEGREES(IMARGUMENT(AB411))</f>
        <v>0</v>
      </c>
      <c r="AL411" s="7">
        <f>DEGREES(IMARGUMENT(AC411))</f>
        <v>0</v>
      </c>
      <c r="AM411" s="7">
        <f>DEGREES(IMARGUMENT(AD411))</f>
        <v>0</v>
      </c>
    </row>
    <row r="412" spans="1:39">
      <c r="A412" s="6">
        <f>10^(LOG10(F_START)+(ROW()-ROW($A$2))*(LOG10(F_STOP)-LOG10(F_START))/(N_POINTS-1))</f>
        <v>0</v>
      </c>
      <c r="B412" s="6">
        <f>2*PI()*A412</f>
        <v>0</v>
      </c>
      <c r="C412">
        <f>COMPLEX(2*LINE_PS_DCR,2*B412*LINE_PS_L)</f>
        <v>0</v>
      </c>
      <c r="D412">
        <f>IMSUM(COMPLEX(0,B412*(LINE_PS_CLINE+LINE_PS_CCHA/2)),IMDIV("1",IMPRODUCT("2",COMPLEX(C_THROUGH_ESR,B412*C_THROUGH_ESL-1/(B412*C_THROUGH_C)))))</f>
        <v>0</v>
      </c>
      <c r="E412">
        <f>COMPLEX(2*LINE_INPUT_DCR,2*B412*LINE_INPUT_L)</f>
        <v>0</v>
      </c>
      <c r="F412">
        <f>COMPLEX(0,B412*(LINE_INPUT_CLINE+LINE_INPUT_CCHA/2))</f>
        <v>0</v>
      </c>
      <c r="G412">
        <f>IMPRODUCT("2",IMDIV("1",IMSUM(IMDIV("1",COMPLEX(LDM1_DCR,B412*LDM1_L)),COMPLEX(0,B412*LDM1_CPA))))</f>
        <v>0</v>
      </c>
      <c r="H412">
        <f>IMSUM(IMDIV("1",COMPLEX(CX1_ESR,B412*CX1_ESL-1/(B412*CX1_C))),IMDIV("1",IMSUM(COMPLEX(DUMP1_R,0),COMPLEX(DUMP1_ESR,B412*DUMP1_ESL-1/(B412*DUMP1_C)))))</f>
        <v>0</v>
      </c>
      <c r="I412">
        <f>IMPRODUCT("2",IMDIV("1",IMSUM(IMDIV("1",COMPLEX(LDM2_DCR,B412*LDM2_L)),COMPLEX(0,B412*LDM2_CPA))))</f>
        <v>0</v>
      </c>
      <c r="J412">
        <f>IMSUM(IMDIV("1",COMPLEX(CX2_ESR,B412*CX2_ESL-1/(B412*CX2_C))),IMDIV("1",IMSUM(COMPLEX(DUMP2_R,0),COMPLEX(DUMP2_ESR,B412*DUMP2_ESL-1/(B412*DUMP2_C)))))</f>
        <v>0</v>
      </c>
      <c r="K412">
        <f>IMPRODUCT("2",IMDIV("1",IMSUM(IMDIV("1",COMPLEX(CMC_DCR,B412*CMC_L*(1-CMC_K))),COMPLEX(0,B412*CMC_CPA))))</f>
        <v>0</v>
      </c>
      <c r="L412">
        <f>IMSUM(COMPLEX(0,B412*CMC_CLINE),IMDIV("1",IMPRODUCT("2",COMPLEX(CY_ESR,B412*CY_ESL-1/(B412*CY_C)))),COMPLEX(1/DUMMY_R,0))</f>
        <v>0</v>
      </c>
      <c r="M412">
        <f>IMSUM(D412,IMDIV("1",C412))</f>
        <v>0</v>
      </c>
      <c r="N412">
        <f>IMDIV("1",IMSUM(E412,IMDIV("1",M412)))</f>
        <v>0</v>
      </c>
      <c r="O412">
        <f>IMSUM(F412,N412)</f>
        <v>0</v>
      </c>
      <c r="P412">
        <f>IMDIV("1",IMSUM(G412,IMDIV("1",O412)))</f>
        <v>0</v>
      </c>
      <c r="Q412">
        <f>IMSUM(H412,P412)</f>
        <v>0</v>
      </c>
      <c r="R412">
        <f>IMDIV("1",IMSUM(I412,IMDIV("1",Q412)))</f>
        <v>0</v>
      </c>
      <c r="S412">
        <f>IMSUM(J412,R412)</f>
        <v>0</v>
      </c>
      <c r="T412">
        <f>IMDIV("1",IMSUM(K412,IMDIV("1",S412)))</f>
        <v>0</v>
      </c>
      <c r="U412">
        <f>IMSUM(L412,T412)</f>
        <v>0</v>
      </c>
      <c r="V412">
        <f>IMDIV(COMPLEX(I_DM_SOURCE,0),U412)</f>
        <v>0</v>
      </c>
      <c r="W412">
        <f>IMPRODUCT(V412,T412)</f>
        <v>0</v>
      </c>
      <c r="X412">
        <f>IMDIV(W412,S412)</f>
        <v>0</v>
      </c>
      <c r="Y412">
        <f>IMPRODUCT(X412,R412)</f>
        <v>0</v>
      </c>
      <c r="Z412">
        <f>IMDIV(Y412,Q412)</f>
        <v>0</v>
      </c>
      <c r="AA412">
        <f>IMPRODUCT(Z412,P412)</f>
        <v>0</v>
      </c>
      <c r="AB412">
        <f>AA412</f>
        <v>0</v>
      </c>
      <c r="AC412">
        <f>IMPRODUCT("-1",AB412)</f>
        <v>0</v>
      </c>
      <c r="AD412">
        <f>IMDIV(IMSUB(AB412,AC412),"2")</f>
        <v>0</v>
      </c>
      <c r="AE412" s="6">
        <f>IMABS(AB412)</f>
        <v>0</v>
      </c>
      <c r="AF412" s="6">
        <f>IMABS(AC412)</f>
        <v>0</v>
      </c>
      <c r="AG412" s="6">
        <f>IMABS(AD412)</f>
        <v>0</v>
      </c>
      <c r="AH412" s="7">
        <f>20*LOG10(MAX(AE412,1E-300)*1E6)</f>
        <v>0</v>
      </c>
      <c r="AI412" s="7">
        <f>20*LOG10(MAX(AF412,1E-300)*1E6)</f>
        <v>0</v>
      </c>
      <c r="AJ412" s="7">
        <f>20*LOG10(MAX(AG412,1E-300)*1E6)</f>
        <v>0</v>
      </c>
      <c r="AK412" s="7">
        <f>DEGREES(IMARGUMENT(AB412))</f>
        <v>0</v>
      </c>
      <c r="AL412" s="7">
        <f>DEGREES(IMARGUMENT(AC412))</f>
        <v>0</v>
      </c>
      <c r="AM412" s="7">
        <f>DEGREES(IMARGUMENT(AD412))</f>
        <v>0</v>
      </c>
    </row>
    <row r="413" spans="1:39">
      <c r="A413" s="6">
        <f>10^(LOG10(F_START)+(ROW()-ROW($A$2))*(LOG10(F_STOP)-LOG10(F_START))/(N_POINTS-1))</f>
        <v>0</v>
      </c>
      <c r="B413" s="6">
        <f>2*PI()*A413</f>
        <v>0</v>
      </c>
      <c r="C413">
        <f>COMPLEX(2*LINE_PS_DCR,2*B413*LINE_PS_L)</f>
        <v>0</v>
      </c>
      <c r="D413">
        <f>IMSUM(COMPLEX(0,B413*(LINE_PS_CLINE+LINE_PS_CCHA/2)),IMDIV("1",IMPRODUCT("2",COMPLEX(C_THROUGH_ESR,B413*C_THROUGH_ESL-1/(B413*C_THROUGH_C)))))</f>
        <v>0</v>
      </c>
      <c r="E413">
        <f>COMPLEX(2*LINE_INPUT_DCR,2*B413*LINE_INPUT_L)</f>
        <v>0</v>
      </c>
      <c r="F413">
        <f>COMPLEX(0,B413*(LINE_INPUT_CLINE+LINE_INPUT_CCHA/2))</f>
        <v>0</v>
      </c>
      <c r="G413">
        <f>IMPRODUCT("2",IMDIV("1",IMSUM(IMDIV("1",COMPLEX(LDM1_DCR,B413*LDM1_L)),COMPLEX(0,B413*LDM1_CPA))))</f>
        <v>0</v>
      </c>
      <c r="H413">
        <f>IMSUM(IMDIV("1",COMPLEX(CX1_ESR,B413*CX1_ESL-1/(B413*CX1_C))),IMDIV("1",IMSUM(COMPLEX(DUMP1_R,0),COMPLEX(DUMP1_ESR,B413*DUMP1_ESL-1/(B413*DUMP1_C)))))</f>
        <v>0</v>
      </c>
      <c r="I413">
        <f>IMPRODUCT("2",IMDIV("1",IMSUM(IMDIV("1",COMPLEX(LDM2_DCR,B413*LDM2_L)),COMPLEX(0,B413*LDM2_CPA))))</f>
        <v>0</v>
      </c>
      <c r="J413">
        <f>IMSUM(IMDIV("1",COMPLEX(CX2_ESR,B413*CX2_ESL-1/(B413*CX2_C))),IMDIV("1",IMSUM(COMPLEX(DUMP2_R,0),COMPLEX(DUMP2_ESR,B413*DUMP2_ESL-1/(B413*DUMP2_C)))))</f>
        <v>0</v>
      </c>
      <c r="K413">
        <f>IMPRODUCT("2",IMDIV("1",IMSUM(IMDIV("1",COMPLEX(CMC_DCR,B413*CMC_L*(1-CMC_K))),COMPLEX(0,B413*CMC_CPA))))</f>
        <v>0</v>
      </c>
      <c r="L413">
        <f>IMSUM(COMPLEX(0,B413*CMC_CLINE),IMDIV("1",IMPRODUCT("2",COMPLEX(CY_ESR,B413*CY_ESL-1/(B413*CY_C)))),COMPLEX(1/DUMMY_R,0))</f>
        <v>0</v>
      </c>
      <c r="M413">
        <f>IMSUM(D413,IMDIV("1",C413))</f>
        <v>0</v>
      </c>
      <c r="N413">
        <f>IMDIV("1",IMSUM(E413,IMDIV("1",M413)))</f>
        <v>0</v>
      </c>
      <c r="O413">
        <f>IMSUM(F413,N413)</f>
        <v>0</v>
      </c>
      <c r="P413">
        <f>IMDIV("1",IMSUM(G413,IMDIV("1",O413)))</f>
        <v>0</v>
      </c>
      <c r="Q413">
        <f>IMSUM(H413,P413)</f>
        <v>0</v>
      </c>
      <c r="R413">
        <f>IMDIV("1",IMSUM(I413,IMDIV("1",Q413)))</f>
        <v>0</v>
      </c>
      <c r="S413">
        <f>IMSUM(J413,R413)</f>
        <v>0</v>
      </c>
      <c r="T413">
        <f>IMDIV("1",IMSUM(K413,IMDIV("1",S413)))</f>
        <v>0</v>
      </c>
      <c r="U413">
        <f>IMSUM(L413,T413)</f>
        <v>0</v>
      </c>
      <c r="V413">
        <f>IMDIV(COMPLEX(I_DM_SOURCE,0),U413)</f>
        <v>0</v>
      </c>
      <c r="W413">
        <f>IMPRODUCT(V413,T413)</f>
        <v>0</v>
      </c>
      <c r="X413">
        <f>IMDIV(W413,S413)</f>
        <v>0</v>
      </c>
      <c r="Y413">
        <f>IMPRODUCT(X413,R413)</f>
        <v>0</v>
      </c>
      <c r="Z413">
        <f>IMDIV(Y413,Q413)</f>
        <v>0</v>
      </c>
      <c r="AA413">
        <f>IMPRODUCT(Z413,P413)</f>
        <v>0</v>
      </c>
      <c r="AB413">
        <f>AA413</f>
        <v>0</v>
      </c>
      <c r="AC413">
        <f>IMPRODUCT("-1",AB413)</f>
        <v>0</v>
      </c>
      <c r="AD413">
        <f>IMDIV(IMSUB(AB413,AC413),"2")</f>
        <v>0</v>
      </c>
      <c r="AE413" s="6">
        <f>IMABS(AB413)</f>
        <v>0</v>
      </c>
      <c r="AF413" s="6">
        <f>IMABS(AC413)</f>
        <v>0</v>
      </c>
      <c r="AG413" s="6">
        <f>IMABS(AD413)</f>
        <v>0</v>
      </c>
      <c r="AH413" s="7">
        <f>20*LOG10(MAX(AE413,1E-300)*1E6)</f>
        <v>0</v>
      </c>
      <c r="AI413" s="7">
        <f>20*LOG10(MAX(AF413,1E-300)*1E6)</f>
        <v>0</v>
      </c>
      <c r="AJ413" s="7">
        <f>20*LOG10(MAX(AG413,1E-300)*1E6)</f>
        <v>0</v>
      </c>
      <c r="AK413" s="7">
        <f>DEGREES(IMARGUMENT(AB413))</f>
        <v>0</v>
      </c>
      <c r="AL413" s="7">
        <f>DEGREES(IMARGUMENT(AC413))</f>
        <v>0</v>
      </c>
      <c r="AM413" s="7">
        <f>DEGREES(IMARGUMENT(AD413))</f>
        <v>0</v>
      </c>
    </row>
    <row r="414" spans="1:39">
      <c r="A414" s="6">
        <f>10^(LOG10(F_START)+(ROW()-ROW($A$2))*(LOG10(F_STOP)-LOG10(F_START))/(N_POINTS-1))</f>
        <v>0</v>
      </c>
      <c r="B414" s="6">
        <f>2*PI()*A414</f>
        <v>0</v>
      </c>
      <c r="C414">
        <f>COMPLEX(2*LINE_PS_DCR,2*B414*LINE_PS_L)</f>
        <v>0</v>
      </c>
      <c r="D414">
        <f>IMSUM(COMPLEX(0,B414*(LINE_PS_CLINE+LINE_PS_CCHA/2)),IMDIV("1",IMPRODUCT("2",COMPLEX(C_THROUGH_ESR,B414*C_THROUGH_ESL-1/(B414*C_THROUGH_C)))))</f>
        <v>0</v>
      </c>
      <c r="E414">
        <f>COMPLEX(2*LINE_INPUT_DCR,2*B414*LINE_INPUT_L)</f>
        <v>0</v>
      </c>
      <c r="F414">
        <f>COMPLEX(0,B414*(LINE_INPUT_CLINE+LINE_INPUT_CCHA/2))</f>
        <v>0</v>
      </c>
      <c r="G414">
        <f>IMPRODUCT("2",IMDIV("1",IMSUM(IMDIV("1",COMPLEX(LDM1_DCR,B414*LDM1_L)),COMPLEX(0,B414*LDM1_CPA))))</f>
        <v>0</v>
      </c>
      <c r="H414">
        <f>IMSUM(IMDIV("1",COMPLEX(CX1_ESR,B414*CX1_ESL-1/(B414*CX1_C))),IMDIV("1",IMSUM(COMPLEX(DUMP1_R,0),COMPLEX(DUMP1_ESR,B414*DUMP1_ESL-1/(B414*DUMP1_C)))))</f>
        <v>0</v>
      </c>
      <c r="I414">
        <f>IMPRODUCT("2",IMDIV("1",IMSUM(IMDIV("1",COMPLEX(LDM2_DCR,B414*LDM2_L)),COMPLEX(0,B414*LDM2_CPA))))</f>
        <v>0</v>
      </c>
      <c r="J414">
        <f>IMSUM(IMDIV("1",COMPLEX(CX2_ESR,B414*CX2_ESL-1/(B414*CX2_C))),IMDIV("1",IMSUM(COMPLEX(DUMP2_R,0),COMPLEX(DUMP2_ESR,B414*DUMP2_ESL-1/(B414*DUMP2_C)))))</f>
        <v>0</v>
      </c>
      <c r="K414">
        <f>IMPRODUCT("2",IMDIV("1",IMSUM(IMDIV("1",COMPLEX(CMC_DCR,B414*CMC_L*(1-CMC_K))),COMPLEX(0,B414*CMC_CPA))))</f>
        <v>0</v>
      </c>
      <c r="L414">
        <f>IMSUM(COMPLEX(0,B414*CMC_CLINE),IMDIV("1",IMPRODUCT("2",COMPLEX(CY_ESR,B414*CY_ESL-1/(B414*CY_C)))),COMPLEX(1/DUMMY_R,0))</f>
        <v>0</v>
      </c>
      <c r="M414">
        <f>IMSUM(D414,IMDIV("1",C414))</f>
        <v>0</v>
      </c>
      <c r="N414">
        <f>IMDIV("1",IMSUM(E414,IMDIV("1",M414)))</f>
        <v>0</v>
      </c>
      <c r="O414">
        <f>IMSUM(F414,N414)</f>
        <v>0</v>
      </c>
      <c r="P414">
        <f>IMDIV("1",IMSUM(G414,IMDIV("1",O414)))</f>
        <v>0</v>
      </c>
      <c r="Q414">
        <f>IMSUM(H414,P414)</f>
        <v>0</v>
      </c>
      <c r="R414">
        <f>IMDIV("1",IMSUM(I414,IMDIV("1",Q414)))</f>
        <v>0</v>
      </c>
      <c r="S414">
        <f>IMSUM(J414,R414)</f>
        <v>0</v>
      </c>
      <c r="T414">
        <f>IMDIV("1",IMSUM(K414,IMDIV("1",S414)))</f>
        <v>0</v>
      </c>
      <c r="U414">
        <f>IMSUM(L414,T414)</f>
        <v>0</v>
      </c>
      <c r="V414">
        <f>IMDIV(COMPLEX(I_DM_SOURCE,0),U414)</f>
        <v>0</v>
      </c>
      <c r="W414">
        <f>IMPRODUCT(V414,T414)</f>
        <v>0</v>
      </c>
      <c r="X414">
        <f>IMDIV(W414,S414)</f>
        <v>0</v>
      </c>
      <c r="Y414">
        <f>IMPRODUCT(X414,R414)</f>
        <v>0</v>
      </c>
      <c r="Z414">
        <f>IMDIV(Y414,Q414)</f>
        <v>0</v>
      </c>
      <c r="AA414">
        <f>IMPRODUCT(Z414,P414)</f>
        <v>0</v>
      </c>
      <c r="AB414">
        <f>AA414</f>
        <v>0</v>
      </c>
      <c r="AC414">
        <f>IMPRODUCT("-1",AB414)</f>
        <v>0</v>
      </c>
      <c r="AD414">
        <f>IMDIV(IMSUB(AB414,AC414),"2")</f>
        <v>0</v>
      </c>
      <c r="AE414" s="6">
        <f>IMABS(AB414)</f>
        <v>0</v>
      </c>
      <c r="AF414" s="6">
        <f>IMABS(AC414)</f>
        <v>0</v>
      </c>
      <c r="AG414" s="6">
        <f>IMABS(AD414)</f>
        <v>0</v>
      </c>
      <c r="AH414" s="7">
        <f>20*LOG10(MAX(AE414,1E-300)*1E6)</f>
        <v>0</v>
      </c>
      <c r="AI414" s="7">
        <f>20*LOG10(MAX(AF414,1E-300)*1E6)</f>
        <v>0</v>
      </c>
      <c r="AJ414" s="7">
        <f>20*LOG10(MAX(AG414,1E-300)*1E6)</f>
        <v>0</v>
      </c>
      <c r="AK414" s="7">
        <f>DEGREES(IMARGUMENT(AB414))</f>
        <v>0</v>
      </c>
      <c r="AL414" s="7">
        <f>DEGREES(IMARGUMENT(AC414))</f>
        <v>0</v>
      </c>
      <c r="AM414" s="7">
        <f>DEGREES(IMARGUMENT(AD414))</f>
        <v>0</v>
      </c>
    </row>
    <row r="415" spans="1:39">
      <c r="A415" s="6">
        <f>10^(LOG10(F_START)+(ROW()-ROW($A$2))*(LOG10(F_STOP)-LOG10(F_START))/(N_POINTS-1))</f>
        <v>0</v>
      </c>
      <c r="B415" s="6">
        <f>2*PI()*A415</f>
        <v>0</v>
      </c>
      <c r="C415">
        <f>COMPLEX(2*LINE_PS_DCR,2*B415*LINE_PS_L)</f>
        <v>0</v>
      </c>
      <c r="D415">
        <f>IMSUM(COMPLEX(0,B415*(LINE_PS_CLINE+LINE_PS_CCHA/2)),IMDIV("1",IMPRODUCT("2",COMPLEX(C_THROUGH_ESR,B415*C_THROUGH_ESL-1/(B415*C_THROUGH_C)))))</f>
        <v>0</v>
      </c>
      <c r="E415">
        <f>COMPLEX(2*LINE_INPUT_DCR,2*B415*LINE_INPUT_L)</f>
        <v>0</v>
      </c>
      <c r="F415">
        <f>COMPLEX(0,B415*(LINE_INPUT_CLINE+LINE_INPUT_CCHA/2))</f>
        <v>0</v>
      </c>
      <c r="G415">
        <f>IMPRODUCT("2",IMDIV("1",IMSUM(IMDIV("1",COMPLEX(LDM1_DCR,B415*LDM1_L)),COMPLEX(0,B415*LDM1_CPA))))</f>
        <v>0</v>
      </c>
      <c r="H415">
        <f>IMSUM(IMDIV("1",COMPLEX(CX1_ESR,B415*CX1_ESL-1/(B415*CX1_C))),IMDIV("1",IMSUM(COMPLEX(DUMP1_R,0),COMPLEX(DUMP1_ESR,B415*DUMP1_ESL-1/(B415*DUMP1_C)))))</f>
        <v>0</v>
      </c>
      <c r="I415">
        <f>IMPRODUCT("2",IMDIV("1",IMSUM(IMDIV("1",COMPLEX(LDM2_DCR,B415*LDM2_L)),COMPLEX(0,B415*LDM2_CPA))))</f>
        <v>0</v>
      </c>
      <c r="J415">
        <f>IMSUM(IMDIV("1",COMPLEX(CX2_ESR,B415*CX2_ESL-1/(B415*CX2_C))),IMDIV("1",IMSUM(COMPLEX(DUMP2_R,0),COMPLEX(DUMP2_ESR,B415*DUMP2_ESL-1/(B415*DUMP2_C)))))</f>
        <v>0</v>
      </c>
      <c r="K415">
        <f>IMPRODUCT("2",IMDIV("1",IMSUM(IMDIV("1",COMPLEX(CMC_DCR,B415*CMC_L*(1-CMC_K))),COMPLEX(0,B415*CMC_CPA))))</f>
        <v>0</v>
      </c>
      <c r="L415">
        <f>IMSUM(COMPLEX(0,B415*CMC_CLINE),IMDIV("1",IMPRODUCT("2",COMPLEX(CY_ESR,B415*CY_ESL-1/(B415*CY_C)))),COMPLEX(1/DUMMY_R,0))</f>
        <v>0</v>
      </c>
      <c r="M415">
        <f>IMSUM(D415,IMDIV("1",C415))</f>
        <v>0</v>
      </c>
      <c r="N415">
        <f>IMDIV("1",IMSUM(E415,IMDIV("1",M415)))</f>
        <v>0</v>
      </c>
      <c r="O415">
        <f>IMSUM(F415,N415)</f>
        <v>0</v>
      </c>
      <c r="P415">
        <f>IMDIV("1",IMSUM(G415,IMDIV("1",O415)))</f>
        <v>0</v>
      </c>
      <c r="Q415">
        <f>IMSUM(H415,P415)</f>
        <v>0</v>
      </c>
      <c r="R415">
        <f>IMDIV("1",IMSUM(I415,IMDIV("1",Q415)))</f>
        <v>0</v>
      </c>
      <c r="S415">
        <f>IMSUM(J415,R415)</f>
        <v>0</v>
      </c>
      <c r="T415">
        <f>IMDIV("1",IMSUM(K415,IMDIV("1",S415)))</f>
        <v>0</v>
      </c>
      <c r="U415">
        <f>IMSUM(L415,T415)</f>
        <v>0</v>
      </c>
      <c r="V415">
        <f>IMDIV(COMPLEX(I_DM_SOURCE,0),U415)</f>
        <v>0</v>
      </c>
      <c r="W415">
        <f>IMPRODUCT(V415,T415)</f>
        <v>0</v>
      </c>
      <c r="X415">
        <f>IMDIV(W415,S415)</f>
        <v>0</v>
      </c>
      <c r="Y415">
        <f>IMPRODUCT(X415,R415)</f>
        <v>0</v>
      </c>
      <c r="Z415">
        <f>IMDIV(Y415,Q415)</f>
        <v>0</v>
      </c>
      <c r="AA415">
        <f>IMPRODUCT(Z415,P415)</f>
        <v>0</v>
      </c>
      <c r="AB415">
        <f>AA415</f>
        <v>0</v>
      </c>
      <c r="AC415">
        <f>IMPRODUCT("-1",AB415)</f>
        <v>0</v>
      </c>
      <c r="AD415">
        <f>IMDIV(IMSUB(AB415,AC415),"2")</f>
        <v>0</v>
      </c>
      <c r="AE415" s="6">
        <f>IMABS(AB415)</f>
        <v>0</v>
      </c>
      <c r="AF415" s="6">
        <f>IMABS(AC415)</f>
        <v>0</v>
      </c>
      <c r="AG415" s="6">
        <f>IMABS(AD415)</f>
        <v>0</v>
      </c>
      <c r="AH415" s="7">
        <f>20*LOG10(MAX(AE415,1E-300)*1E6)</f>
        <v>0</v>
      </c>
      <c r="AI415" s="7">
        <f>20*LOG10(MAX(AF415,1E-300)*1E6)</f>
        <v>0</v>
      </c>
      <c r="AJ415" s="7">
        <f>20*LOG10(MAX(AG415,1E-300)*1E6)</f>
        <v>0</v>
      </c>
      <c r="AK415" s="7">
        <f>DEGREES(IMARGUMENT(AB415))</f>
        <v>0</v>
      </c>
      <c r="AL415" s="7">
        <f>DEGREES(IMARGUMENT(AC415))</f>
        <v>0</v>
      </c>
      <c r="AM415" s="7">
        <f>DEGREES(IMARGUMENT(AD415))</f>
        <v>0</v>
      </c>
    </row>
    <row r="416" spans="1:39">
      <c r="A416" s="6">
        <f>10^(LOG10(F_START)+(ROW()-ROW($A$2))*(LOG10(F_STOP)-LOG10(F_START))/(N_POINTS-1))</f>
        <v>0</v>
      </c>
      <c r="B416" s="6">
        <f>2*PI()*A416</f>
        <v>0</v>
      </c>
      <c r="C416">
        <f>COMPLEX(2*LINE_PS_DCR,2*B416*LINE_PS_L)</f>
        <v>0</v>
      </c>
      <c r="D416">
        <f>IMSUM(COMPLEX(0,B416*(LINE_PS_CLINE+LINE_PS_CCHA/2)),IMDIV("1",IMPRODUCT("2",COMPLEX(C_THROUGH_ESR,B416*C_THROUGH_ESL-1/(B416*C_THROUGH_C)))))</f>
        <v>0</v>
      </c>
      <c r="E416">
        <f>COMPLEX(2*LINE_INPUT_DCR,2*B416*LINE_INPUT_L)</f>
        <v>0</v>
      </c>
      <c r="F416">
        <f>COMPLEX(0,B416*(LINE_INPUT_CLINE+LINE_INPUT_CCHA/2))</f>
        <v>0</v>
      </c>
      <c r="G416">
        <f>IMPRODUCT("2",IMDIV("1",IMSUM(IMDIV("1",COMPLEX(LDM1_DCR,B416*LDM1_L)),COMPLEX(0,B416*LDM1_CPA))))</f>
        <v>0</v>
      </c>
      <c r="H416">
        <f>IMSUM(IMDIV("1",COMPLEX(CX1_ESR,B416*CX1_ESL-1/(B416*CX1_C))),IMDIV("1",IMSUM(COMPLEX(DUMP1_R,0),COMPLEX(DUMP1_ESR,B416*DUMP1_ESL-1/(B416*DUMP1_C)))))</f>
        <v>0</v>
      </c>
      <c r="I416">
        <f>IMPRODUCT("2",IMDIV("1",IMSUM(IMDIV("1",COMPLEX(LDM2_DCR,B416*LDM2_L)),COMPLEX(0,B416*LDM2_CPA))))</f>
        <v>0</v>
      </c>
      <c r="J416">
        <f>IMSUM(IMDIV("1",COMPLEX(CX2_ESR,B416*CX2_ESL-1/(B416*CX2_C))),IMDIV("1",IMSUM(COMPLEX(DUMP2_R,0),COMPLEX(DUMP2_ESR,B416*DUMP2_ESL-1/(B416*DUMP2_C)))))</f>
        <v>0</v>
      </c>
      <c r="K416">
        <f>IMPRODUCT("2",IMDIV("1",IMSUM(IMDIV("1",COMPLEX(CMC_DCR,B416*CMC_L*(1-CMC_K))),COMPLEX(0,B416*CMC_CPA))))</f>
        <v>0</v>
      </c>
      <c r="L416">
        <f>IMSUM(COMPLEX(0,B416*CMC_CLINE),IMDIV("1",IMPRODUCT("2",COMPLEX(CY_ESR,B416*CY_ESL-1/(B416*CY_C)))),COMPLEX(1/DUMMY_R,0))</f>
        <v>0</v>
      </c>
      <c r="M416">
        <f>IMSUM(D416,IMDIV("1",C416))</f>
        <v>0</v>
      </c>
      <c r="N416">
        <f>IMDIV("1",IMSUM(E416,IMDIV("1",M416)))</f>
        <v>0</v>
      </c>
      <c r="O416">
        <f>IMSUM(F416,N416)</f>
        <v>0</v>
      </c>
      <c r="P416">
        <f>IMDIV("1",IMSUM(G416,IMDIV("1",O416)))</f>
        <v>0</v>
      </c>
      <c r="Q416">
        <f>IMSUM(H416,P416)</f>
        <v>0</v>
      </c>
      <c r="R416">
        <f>IMDIV("1",IMSUM(I416,IMDIV("1",Q416)))</f>
        <v>0</v>
      </c>
      <c r="S416">
        <f>IMSUM(J416,R416)</f>
        <v>0</v>
      </c>
      <c r="T416">
        <f>IMDIV("1",IMSUM(K416,IMDIV("1",S416)))</f>
        <v>0</v>
      </c>
      <c r="U416">
        <f>IMSUM(L416,T416)</f>
        <v>0</v>
      </c>
      <c r="V416">
        <f>IMDIV(COMPLEX(I_DM_SOURCE,0),U416)</f>
        <v>0</v>
      </c>
      <c r="W416">
        <f>IMPRODUCT(V416,T416)</f>
        <v>0</v>
      </c>
      <c r="X416">
        <f>IMDIV(W416,S416)</f>
        <v>0</v>
      </c>
      <c r="Y416">
        <f>IMPRODUCT(X416,R416)</f>
        <v>0</v>
      </c>
      <c r="Z416">
        <f>IMDIV(Y416,Q416)</f>
        <v>0</v>
      </c>
      <c r="AA416">
        <f>IMPRODUCT(Z416,P416)</f>
        <v>0</v>
      </c>
      <c r="AB416">
        <f>AA416</f>
        <v>0</v>
      </c>
      <c r="AC416">
        <f>IMPRODUCT("-1",AB416)</f>
        <v>0</v>
      </c>
      <c r="AD416">
        <f>IMDIV(IMSUB(AB416,AC416),"2")</f>
        <v>0</v>
      </c>
      <c r="AE416" s="6">
        <f>IMABS(AB416)</f>
        <v>0</v>
      </c>
      <c r="AF416" s="6">
        <f>IMABS(AC416)</f>
        <v>0</v>
      </c>
      <c r="AG416" s="6">
        <f>IMABS(AD416)</f>
        <v>0</v>
      </c>
      <c r="AH416" s="7">
        <f>20*LOG10(MAX(AE416,1E-300)*1E6)</f>
        <v>0</v>
      </c>
      <c r="AI416" s="7">
        <f>20*LOG10(MAX(AF416,1E-300)*1E6)</f>
        <v>0</v>
      </c>
      <c r="AJ416" s="7">
        <f>20*LOG10(MAX(AG416,1E-300)*1E6)</f>
        <v>0</v>
      </c>
      <c r="AK416" s="7">
        <f>DEGREES(IMARGUMENT(AB416))</f>
        <v>0</v>
      </c>
      <c r="AL416" s="7">
        <f>DEGREES(IMARGUMENT(AC416))</f>
        <v>0</v>
      </c>
      <c r="AM416" s="7">
        <f>DEGREES(IMARGUMENT(AD416))</f>
        <v>0</v>
      </c>
    </row>
    <row r="417" spans="1:39">
      <c r="A417" s="6">
        <f>10^(LOG10(F_START)+(ROW()-ROW($A$2))*(LOG10(F_STOP)-LOG10(F_START))/(N_POINTS-1))</f>
        <v>0</v>
      </c>
      <c r="B417" s="6">
        <f>2*PI()*A417</f>
        <v>0</v>
      </c>
      <c r="C417">
        <f>COMPLEX(2*LINE_PS_DCR,2*B417*LINE_PS_L)</f>
        <v>0</v>
      </c>
      <c r="D417">
        <f>IMSUM(COMPLEX(0,B417*(LINE_PS_CLINE+LINE_PS_CCHA/2)),IMDIV("1",IMPRODUCT("2",COMPLEX(C_THROUGH_ESR,B417*C_THROUGH_ESL-1/(B417*C_THROUGH_C)))))</f>
        <v>0</v>
      </c>
      <c r="E417">
        <f>COMPLEX(2*LINE_INPUT_DCR,2*B417*LINE_INPUT_L)</f>
        <v>0</v>
      </c>
      <c r="F417">
        <f>COMPLEX(0,B417*(LINE_INPUT_CLINE+LINE_INPUT_CCHA/2))</f>
        <v>0</v>
      </c>
      <c r="G417">
        <f>IMPRODUCT("2",IMDIV("1",IMSUM(IMDIV("1",COMPLEX(LDM1_DCR,B417*LDM1_L)),COMPLEX(0,B417*LDM1_CPA))))</f>
        <v>0</v>
      </c>
      <c r="H417">
        <f>IMSUM(IMDIV("1",COMPLEX(CX1_ESR,B417*CX1_ESL-1/(B417*CX1_C))),IMDIV("1",IMSUM(COMPLEX(DUMP1_R,0),COMPLEX(DUMP1_ESR,B417*DUMP1_ESL-1/(B417*DUMP1_C)))))</f>
        <v>0</v>
      </c>
      <c r="I417">
        <f>IMPRODUCT("2",IMDIV("1",IMSUM(IMDIV("1",COMPLEX(LDM2_DCR,B417*LDM2_L)),COMPLEX(0,B417*LDM2_CPA))))</f>
        <v>0</v>
      </c>
      <c r="J417">
        <f>IMSUM(IMDIV("1",COMPLEX(CX2_ESR,B417*CX2_ESL-1/(B417*CX2_C))),IMDIV("1",IMSUM(COMPLEX(DUMP2_R,0),COMPLEX(DUMP2_ESR,B417*DUMP2_ESL-1/(B417*DUMP2_C)))))</f>
        <v>0</v>
      </c>
      <c r="K417">
        <f>IMPRODUCT("2",IMDIV("1",IMSUM(IMDIV("1",COMPLEX(CMC_DCR,B417*CMC_L*(1-CMC_K))),COMPLEX(0,B417*CMC_CPA))))</f>
        <v>0</v>
      </c>
      <c r="L417">
        <f>IMSUM(COMPLEX(0,B417*CMC_CLINE),IMDIV("1",IMPRODUCT("2",COMPLEX(CY_ESR,B417*CY_ESL-1/(B417*CY_C)))),COMPLEX(1/DUMMY_R,0))</f>
        <v>0</v>
      </c>
      <c r="M417">
        <f>IMSUM(D417,IMDIV("1",C417))</f>
        <v>0</v>
      </c>
      <c r="N417">
        <f>IMDIV("1",IMSUM(E417,IMDIV("1",M417)))</f>
        <v>0</v>
      </c>
      <c r="O417">
        <f>IMSUM(F417,N417)</f>
        <v>0</v>
      </c>
      <c r="P417">
        <f>IMDIV("1",IMSUM(G417,IMDIV("1",O417)))</f>
        <v>0</v>
      </c>
      <c r="Q417">
        <f>IMSUM(H417,P417)</f>
        <v>0</v>
      </c>
      <c r="R417">
        <f>IMDIV("1",IMSUM(I417,IMDIV("1",Q417)))</f>
        <v>0</v>
      </c>
      <c r="S417">
        <f>IMSUM(J417,R417)</f>
        <v>0</v>
      </c>
      <c r="T417">
        <f>IMDIV("1",IMSUM(K417,IMDIV("1",S417)))</f>
        <v>0</v>
      </c>
      <c r="U417">
        <f>IMSUM(L417,T417)</f>
        <v>0</v>
      </c>
      <c r="V417">
        <f>IMDIV(COMPLEX(I_DM_SOURCE,0),U417)</f>
        <v>0</v>
      </c>
      <c r="W417">
        <f>IMPRODUCT(V417,T417)</f>
        <v>0</v>
      </c>
      <c r="X417">
        <f>IMDIV(W417,S417)</f>
        <v>0</v>
      </c>
      <c r="Y417">
        <f>IMPRODUCT(X417,R417)</f>
        <v>0</v>
      </c>
      <c r="Z417">
        <f>IMDIV(Y417,Q417)</f>
        <v>0</v>
      </c>
      <c r="AA417">
        <f>IMPRODUCT(Z417,P417)</f>
        <v>0</v>
      </c>
      <c r="AB417">
        <f>AA417</f>
        <v>0</v>
      </c>
      <c r="AC417">
        <f>IMPRODUCT("-1",AB417)</f>
        <v>0</v>
      </c>
      <c r="AD417">
        <f>IMDIV(IMSUB(AB417,AC417),"2")</f>
        <v>0</v>
      </c>
      <c r="AE417" s="6">
        <f>IMABS(AB417)</f>
        <v>0</v>
      </c>
      <c r="AF417" s="6">
        <f>IMABS(AC417)</f>
        <v>0</v>
      </c>
      <c r="AG417" s="6">
        <f>IMABS(AD417)</f>
        <v>0</v>
      </c>
      <c r="AH417" s="7">
        <f>20*LOG10(MAX(AE417,1E-300)*1E6)</f>
        <v>0</v>
      </c>
      <c r="AI417" s="7">
        <f>20*LOG10(MAX(AF417,1E-300)*1E6)</f>
        <v>0</v>
      </c>
      <c r="AJ417" s="7">
        <f>20*LOG10(MAX(AG417,1E-300)*1E6)</f>
        <v>0</v>
      </c>
      <c r="AK417" s="7">
        <f>DEGREES(IMARGUMENT(AB417))</f>
        <v>0</v>
      </c>
      <c r="AL417" s="7">
        <f>DEGREES(IMARGUMENT(AC417))</f>
        <v>0</v>
      </c>
      <c r="AM417" s="7">
        <f>DEGREES(IMARGUMENT(AD417))</f>
        <v>0</v>
      </c>
    </row>
    <row r="418" spans="1:39">
      <c r="A418" s="6">
        <f>10^(LOG10(F_START)+(ROW()-ROW($A$2))*(LOG10(F_STOP)-LOG10(F_START))/(N_POINTS-1))</f>
        <v>0</v>
      </c>
      <c r="B418" s="6">
        <f>2*PI()*A418</f>
        <v>0</v>
      </c>
      <c r="C418">
        <f>COMPLEX(2*LINE_PS_DCR,2*B418*LINE_PS_L)</f>
        <v>0</v>
      </c>
      <c r="D418">
        <f>IMSUM(COMPLEX(0,B418*(LINE_PS_CLINE+LINE_PS_CCHA/2)),IMDIV("1",IMPRODUCT("2",COMPLEX(C_THROUGH_ESR,B418*C_THROUGH_ESL-1/(B418*C_THROUGH_C)))))</f>
        <v>0</v>
      </c>
      <c r="E418">
        <f>COMPLEX(2*LINE_INPUT_DCR,2*B418*LINE_INPUT_L)</f>
        <v>0</v>
      </c>
      <c r="F418">
        <f>COMPLEX(0,B418*(LINE_INPUT_CLINE+LINE_INPUT_CCHA/2))</f>
        <v>0</v>
      </c>
      <c r="G418">
        <f>IMPRODUCT("2",IMDIV("1",IMSUM(IMDIV("1",COMPLEX(LDM1_DCR,B418*LDM1_L)),COMPLEX(0,B418*LDM1_CPA))))</f>
        <v>0</v>
      </c>
      <c r="H418">
        <f>IMSUM(IMDIV("1",COMPLEX(CX1_ESR,B418*CX1_ESL-1/(B418*CX1_C))),IMDIV("1",IMSUM(COMPLEX(DUMP1_R,0),COMPLEX(DUMP1_ESR,B418*DUMP1_ESL-1/(B418*DUMP1_C)))))</f>
        <v>0</v>
      </c>
      <c r="I418">
        <f>IMPRODUCT("2",IMDIV("1",IMSUM(IMDIV("1",COMPLEX(LDM2_DCR,B418*LDM2_L)),COMPLEX(0,B418*LDM2_CPA))))</f>
        <v>0</v>
      </c>
      <c r="J418">
        <f>IMSUM(IMDIV("1",COMPLEX(CX2_ESR,B418*CX2_ESL-1/(B418*CX2_C))),IMDIV("1",IMSUM(COMPLEX(DUMP2_R,0),COMPLEX(DUMP2_ESR,B418*DUMP2_ESL-1/(B418*DUMP2_C)))))</f>
        <v>0</v>
      </c>
      <c r="K418">
        <f>IMPRODUCT("2",IMDIV("1",IMSUM(IMDIV("1",COMPLEX(CMC_DCR,B418*CMC_L*(1-CMC_K))),COMPLEX(0,B418*CMC_CPA))))</f>
        <v>0</v>
      </c>
      <c r="L418">
        <f>IMSUM(COMPLEX(0,B418*CMC_CLINE),IMDIV("1",IMPRODUCT("2",COMPLEX(CY_ESR,B418*CY_ESL-1/(B418*CY_C)))),COMPLEX(1/DUMMY_R,0))</f>
        <v>0</v>
      </c>
      <c r="M418">
        <f>IMSUM(D418,IMDIV("1",C418))</f>
        <v>0</v>
      </c>
      <c r="N418">
        <f>IMDIV("1",IMSUM(E418,IMDIV("1",M418)))</f>
        <v>0</v>
      </c>
      <c r="O418">
        <f>IMSUM(F418,N418)</f>
        <v>0</v>
      </c>
      <c r="P418">
        <f>IMDIV("1",IMSUM(G418,IMDIV("1",O418)))</f>
        <v>0</v>
      </c>
      <c r="Q418">
        <f>IMSUM(H418,P418)</f>
        <v>0</v>
      </c>
      <c r="R418">
        <f>IMDIV("1",IMSUM(I418,IMDIV("1",Q418)))</f>
        <v>0</v>
      </c>
      <c r="S418">
        <f>IMSUM(J418,R418)</f>
        <v>0</v>
      </c>
      <c r="T418">
        <f>IMDIV("1",IMSUM(K418,IMDIV("1",S418)))</f>
        <v>0</v>
      </c>
      <c r="U418">
        <f>IMSUM(L418,T418)</f>
        <v>0</v>
      </c>
      <c r="V418">
        <f>IMDIV(COMPLEX(I_DM_SOURCE,0),U418)</f>
        <v>0</v>
      </c>
      <c r="W418">
        <f>IMPRODUCT(V418,T418)</f>
        <v>0</v>
      </c>
      <c r="X418">
        <f>IMDIV(W418,S418)</f>
        <v>0</v>
      </c>
      <c r="Y418">
        <f>IMPRODUCT(X418,R418)</f>
        <v>0</v>
      </c>
      <c r="Z418">
        <f>IMDIV(Y418,Q418)</f>
        <v>0</v>
      </c>
      <c r="AA418">
        <f>IMPRODUCT(Z418,P418)</f>
        <v>0</v>
      </c>
      <c r="AB418">
        <f>AA418</f>
        <v>0</v>
      </c>
      <c r="AC418">
        <f>IMPRODUCT("-1",AB418)</f>
        <v>0</v>
      </c>
      <c r="AD418">
        <f>IMDIV(IMSUB(AB418,AC418),"2")</f>
        <v>0</v>
      </c>
      <c r="AE418" s="6">
        <f>IMABS(AB418)</f>
        <v>0</v>
      </c>
      <c r="AF418" s="6">
        <f>IMABS(AC418)</f>
        <v>0</v>
      </c>
      <c r="AG418" s="6">
        <f>IMABS(AD418)</f>
        <v>0</v>
      </c>
      <c r="AH418" s="7">
        <f>20*LOG10(MAX(AE418,1E-300)*1E6)</f>
        <v>0</v>
      </c>
      <c r="AI418" s="7">
        <f>20*LOG10(MAX(AF418,1E-300)*1E6)</f>
        <v>0</v>
      </c>
      <c r="AJ418" s="7">
        <f>20*LOG10(MAX(AG418,1E-300)*1E6)</f>
        <v>0</v>
      </c>
      <c r="AK418" s="7">
        <f>DEGREES(IMARGUMENT(AB418))</f>
        <v>0</v>
      </c>
      <c r="AL418" s="7">
        <f>DEGREES(IMARGUMENT(AC418))</f>
        <v>0</v>
      </c>
      <c r="AM418" s="7">
        <f>DEGREES(IMARGUMENT(AD418))</f>
        <v>0</v>
      </c>
    </row>
    <row r="419" spans="1:39">
      <c r="A419" s="6">
        <f>10^(LOG10(F_START)+(ROW()-ROW($A$2))*(LOG10(F_STOP)-LOG10(F_START))/(N_POINTS-1))</f>
        <v>0</v>
      </c>
      <c r="B419" s="6">
        <f>2*PI()*A419</f>
        <v>0</v>
      </c>
      <c r="C419">
        <f>COMPLEX(2*LINE_PS_DCR,2*B419*LINE_PS_L)</f>
        <v>0</v>
      </c>
      <c r="D419">
        <f>IMSUM(COMPLEX(0,B419*(LINE_PS_CLINE+LINE_PS_CCHA/2)),IMDIV("1",IMPRODUCT("2",COMPLEX(C_THROUGH_ESR,B419*C_THROUGH_ESL-1/(B419*C_THROUGH_C)))))</f>
        <v>0</v>
      </c>
      <c r="E419">
        <f>COMPLEX(2*LINE_INPUT_DCR,2*B419*LINE_INPUT_L)</f>
        <v>0</v>
      </c>
      <c r="F419">
        <f>COMPLEX(0,B419*(LINE_INPUT_CLINE+LINE_INPUT_CCHA/2))</f>
        <v>0</v>
      </c>
      <c r="G419">
        <f>IMPRODUCT("2",IMDIV("1",IMSUM(IMDIV("1",COMPLEX(LDM1_DCR,B419*LDM1_L)),COMPLEX(0,B419*LDM1_CPA))))</f>
        <v>0</v>
      </c>
      <c r="H419">
        <f>IMSUM(IMDIV("1",COMPLEX(CX1_ESR,B419*CX1_ESL-1/(B419*CX1_C))),IMDIV("1",IMSUM(COMPLEX(DUMP1_R,0),COMPLEX(DUMP1_ESR,B419*DUMP1_ESL-1/(B419*DUMP1_C)))))</f>
        <v>0</v>
      </c>
      <c r="I419">
        <f>IMPRODUCT("2",IMDIV("1",IMSUM(IMDIV("1",COMPLEX(LDM2_DCR,B419*LDM2_L)),COMPLEX(0,B419*LDM2_CPA))))</f>
        <v>0</v>
      </c>
      <c r="J419">
        <f>IMSUM(IMDIV("1",COMPLEX(CX2_ESR,B419*CX2_ESL-1/(B419*CX2_C))),IMDIV("1",IMSUM(COMPLEX(DUMP2_R,0),COMPLEX(DUMP2_ESR,B419*DUMP2_ESL-1/(B419*DUMP2_C)))))</f>
        <v>0</v>
      </c>
      <c r="K419">
        <f>IMPRODUCT("2",IMDIV("1",IMSUM(IMDIV("1",COMPLEX(CMC_DCR,B419*CMC_L*(1-CMC_K))),COMPLEX(0,B419*CMC_CPA))))</f>
        <v>0</v>
      </c>
      <c r="L419">
        <f>IMSUM(COMPLEX(0,B419*CMC_CLINE),IMDIV("1",IMPRODUCT("2",COMPLEX(CY_ESR,B419*CY_ESL-1/(B419*CY_C)))),COMPLEX(1/DUMMY_R,0))</f>
        <v>0</v>
      </c>
      <c r="M419">
        <f>IMSUM(D419,IMDIV("1",C419))</f>
        <v>0</v>
      </c>
      <c r="N419">
        <f>IMDIV("1",IMSUM(E419,IMDIV("1",M419)))</f>
        <v>0</v>
      </c>
      <c r="O419">
        <f>IMSUM(F419,N419)</f>
        <v>0</v>
      </c>
      <c r="P419">
        <f>IMDIV("1",IMSUM(G419,IMDIV("1",O419)))</f>
        <v>0</v>
      </c>
      <c r="Q419">
        <f>IMSUM(H419,P419)</f>
        <v>0</v>
      </c>
      <c r="R419">
        <f>IMDIV("1",IMSUM(I419,IMDIV("1",Q419)))</f>
        <v>0</v>
      </c>
      <c r="S419">
        <f>IMSUM(J419,R419)</f>
        <v>0</v>
      </c>
      <c r="T419">
        <f>IMDIV("1",IMSUM(K419,IMDIV("1",S419)))</f>
        <v>0</v>
      </c>
      <c r="U419">
        <f>IMSUM(L419,T419)</f>
        <v>0</v>
      </c>
      <c r="V419">
        <f>IMDIV(COMPLEX(I_DM_SOURCE,0),U419)</f>
        <v>0</v>
      </c>
      <c r="W419">
        <f>IMPRODUCT(V419,T419)</f>
        <v>0</v>
      </c>
      <c r="X419">
        <f>IMDIV(W419,S419)</f>
        <v>0</v>
      </c>
      <c r="Y419">
        <f>IMPRODUCT(X419,R419)</f>
        <v>0</v>
      </c>
      <c r="Z419">
        <f>IMDIV(Y419,Q419)</f>
        <v>0</v>
      </c>
      <c r="AA419">
        <f>IMPRODUCT(Z419,P419)</f>
        <v>0</v>
      </c>
      <c r="AB419">
        <f>AA419</f>
        <v>0</v>
      </c>
      <c r="AC419">
        <f>IMPRODUCT("-1",AB419)</f>
        <v>0</v>
      </c>
      <c r="AD419">
        <f>IMDIV(IMSUB(AB419,AC419),"2")</f>
        <v>0</v>
      </c>
      <c r="AE419" s="6">
        <f>IMABS(AB419)</f>
        <v>0</v>
      </c>
      <c r="AF419" s="6">
        <f>IMABS(AC419)</f>
        <v>0</v>
      </c>
      <c r="AG419" s="6">
        <f>IMABS(AD419)</f>
        <v>0</v>
      </c>
      <c r="AH419" s="7">
        <f>20*LOG10(MAX(AE419,1E-300)*1E6)</f>
        <v>0</v>
      </c>
      <c r="AI419" s="7">
        <f>20*LOG10(MAX(AF419,1E-300)*1E6)</f>
        <v>0</v>
      </c>
      <c r="AJ419" s="7">
        <f>20*LOG10(MAX(AG419,1E-300)*1E6)</f>
        <v>0</v>
      </c>
      <c r="AK419" s="7">
        <f>DEGREES(IMARGUMENT(AB419))</f>
        <v>0</v>
      </c>
      <c r="AL419" s="7">
        <f>DEGREES(IMARGUMENT(AC419))</f>
        <v>0</v>
      </c>
      <c r="AM419" s="7">
        <f>DEGREES(IMARGUMENT(AD419))</f>
        <v>0</v>
      </c>
    </row>
    <row r="420" spans="1:39">
      <c r="A420" s="6">
        <f>10^(LOG10(F_START)+(ROW()-ROW($A$2))*(LOG10(F_STOP)-LOG10(F_START))/(N_POINTS-1))</f>
        <v>0</v>
      </c>
      <c r="B420" s="6">
        <f>2*PI()*A420</f>
        <v>0</v>
      </c>
      <c r="C420">
        <f>COMPLEX(2*LINE_PS_DCR,2*B420*LINE_PS_L)</f>
        <v>0</v>
      </c>
      <c r="D420">
        <f>IMSUM(COMPLEX(0,B420*(LINE_PS_CLINE+LINE_PS_CCHA/2)),IMDIV("1",IMPRODUCT("2",COMPLEX(C_THROUGH_ESR,B420*C_THROUGH_ESL-1/(B420*C_THROUGH_C)))))</f>
        <v>0</v>
      </c>
      <c r="E420">
        <f>COMPLEX(2*LINE_INPUT_DCR,2*B420*LINE_INPUT_L)</f>
        <v>0</v>
      </c>
      <c r="F420">
        <f>COMPLEX(0,B420*(LINE_INPUT_CLINE+LINE_INPUT_CCHA/2))</f>
        <v>0</v>
      </c>
      <c r="G420">
        <f>IMPRODUCT("2",IMDIV("1",IMSUM(IMDIV("1",COMPLEX(LDM1_DCR,B420*LDM1_L)),COMPLEX(0,B420*LDM1_CPA))))</f>
        <v>0</v>
      </c>
      <c r="H420">
        <f>IMSUM(IMDIV("1",COMPLEX(CX1_ESR,B420*CX1_ESL-1/(B420*CX1_C))),IMDIV("1",IMSUM(COMPLEX(DUMP1_R,0),COMPLEX(DUMP1_ESR,B420*DUMP1_ESL-1/(B420*DUMP1_C)))))</f>
        <v>0</v>
      </c>
      <c r="I420">
        <f>IMPRODUCT("2",IMDIV("1",IMSUM(IMDIV("1",COMPLEX(LDM2_DCR,B420*LDM2_L)),COMPLEX(0,B420*LDM2_CPA))))</f>
        <v>0</v>
      </c>
      <c r="J420">
        <f>IMSUM(IMDIV("1",COMPLEX(CX2_ESR,B420*CX2_ESL-1/(B420*CX2_C))),IMDIV("1",IMSUM(COMPLEX(DUMP2_R,0),COMPLEX(DUMP2_ESR,B420*DUMP2_ESL-1/(B420*DUMP2_C)))))</f>
        <v>0</v>
      </c>
      <c r="K420">
        <f>IMPRODUCT("2",IMDIV("1",IMSUM(IMDIV("1",COMPLEX(CMC_DCR,B420*CMC_L*(1-CMC_K))),COMPLEX(0,B420*CMC_CPA))))</f>
        <v>0</v>
      </c>
      <c r="L420">
        <f>IMSUM(COMPLEX(0,B420*CMC_CLINE),IMDIV("1",IMPRODUCT("2",COMPLEX(CY_ESR,B420*CY_ESL-1/(B420*CY_C)))),COMPLEX(1/DUMMY_R,0))</f>
        <v>0</v>
      </c>
      <c r="M420">
        <f>IMSUM(D420,IMDIV("1",C420))</f>
        <v>0</v>
      </c>
      <c r="N420">
        <f>IMDIV("1",IMSUM(E420,IMDIV("1",M420)))</f>
        <v>0</v>
      </c>
      <c r="O420">
        <f>IMSUM(F420,N420)</f>
        <v>0</v>
      </c>
      <c r="P420">
        <f>IMDIV("1",IMSUM(G420,IMDIV("1",O420)))</f>
        <v>0</v>
      </c>
      <c r="Q420">
        <f>IMSUM(H420,P420)</f>
        <v>0</v>
      </c>
      <c r="R420">
        <f>IMDIV("1",IMSUM(I420,IMDIV("1",Q420)))</f>
        <v>0</v>
      </c>
      <c r="S420">
        <f>IMSUM(J420,R420)</f>
        <v>0</v>
      </c>
      <c r="T420">
        <f>IMDIV("1",IMSUM(K420,IMDIV("1",S420)))</f>
        <v>0</v>
      </c>
      <c r="U420">
        <f>IMSUM(L420,T420)</f>
        <v>0</v>
      </c>
      <c r="V420">
        <f>IMDIV(COMPLEX(I_DM_SOURCE,0),U420)</f>
        <v>0</v>
      </c>
      <c r="W420">
        <f>IMPRODUCT(V420,T420)</f>
        <v>0</v>
      </c>
      <c r="X420">
        <f>IMDIV(W420,S420)</f>
        <v>0</v>
      </c>
      <c r="Y420">
        <f>IMPRODUCT(X420,R420)</f>
        <v>0</v>
      </c>
      <c r="Z420">
        <f>IMDIV(Y420,Q420)</f>
        <v>0</v>
      </c>
      <c r="AA420">
        <f>IMPRODUCT(Z420,P420)</f>
        <v>0</v>
      </c>
      <c r="AB420">
        <f>AA420</f>
        <v>0</v>
      </c>
      <c r="AC420">
        <f>IMPRODUCT("-1",AB420)</f>
        <v>0</v>
      </c>
      <c r="AD420">
        <f>IMDIV(IMSUB(AB420,AC420),"2")</f>
        <v>0</v>
      </c>
      <c r="AE420" s="6">
        <f>IMABS(AB420)</f>
        <v>0</v>
      </c>
      <c r="AF420" s="6">
        <f>IMABS(AC420)</f>
        <v>0</v>
      </c>
      <c r="AG420" s="6">
        <f>IMABS(AD420)</f>
        <v>0</v>
      </c>
      <c r="AH420" s="7">
        <f>20*LOG10(MAX(AE420,1E-300)*1E6)</f>
        <v>0</v>
      </c>
      <c r="AI420" s="7">
        <f>20*LOG10(MAX(AF420,1E-300)*1E6)</f>
        <v>0</v>
      </c>
      <c r="AJ420" s="7">
        <f>20*LOG10(MAX(AG420,1E-300)*1E6)</f>
        <v>0</v>
      </c>
      <c r="AK420" s="7">
        <f>DEGREES(IMARGUMENT(AB420))</f>
        <v>0</v>
      </c>
      <c r="AL420" s="7">
        <f>DEGREES(IMARGUMENT(AC420))</f>
        <v>0</v>
      </c>
      <c r="AM420" s="7">
        <f>DEGREES(IMARGUMENT(AD420))</f>
        <v>0</v>
      </c>
    </row>
    <row r="421" spans="1:39">
      <c r="A421" s="6">
        <f>10^(LOG10(F_START)+(ROW()-ROW($A$2))*(LOG10(F_STOP)-LOG10(F_START))/(N_POINTS-1))</f>
        <v>0</v>
      </c>
      <c r="B421" s="6">
        <f>2*PI()*A421</f>
        <v>0</v>
      </c>
      <c r="C421">
        <f>COMPLEX(2*LINE_PS_DCR,2*B421*LINE_PS_L)</f>
        <v>0</v>
      </c>
      <c r="D421">
        <f>IMSUM(COMPLEX(0,B421*(LINE_PS_CLINE+LINE_PS_CCHA/2)),IMDIV("1",IMPRODUCT("2",COMPLEX(C_THROUGH_ESR,B421*C_THROUGH_ESL-1/(B421*C_THROUGH_C)))))</f>
        <v>0</v>
      </c>
      <c r="E421">
        <f>COMPLEX(2*LINE_INPUT_DCR,2*B421*LINE_INPUT_L)</f>
        <v>0</v>
      </c>
      <c r="F421">
        <f>COMPLEX(0,B421*(LINE_INPUT_CLINE+LINE_INPUT_CCHA/2))</f>
        <v>0</v>
      </c>
      <c r="G421">
        <f>IMPRODUCT("2",IMDIV("1",IMSUM(IMDIV("1",COMPLEX(LDM1_DCR,B421*LDM1_L)),COMPLEX(0,B421*LDM1_CPA))))</f>
        <v>0</v>
      </c>
      <c r="H421">
        <f>IMSUM(IMDIV("1",COMPLEX(CX1_ESR,B421*CX1_ESL-1/(B421*CX1_C))),IMDIV("1",IMSUM(COMPLEX(DUMP1_R,0),COMPLEX(DUMP1_ESR,B421*DUMP1_ESL-1/(B421*DUMP1_C)))))</f>
        <v>0</v>
      </c>
      <c r="I421">
        <f>IMPRODUCT("2",IMDIV("1",IMSUM(IMDIV("1",COMPLEX(LDM2_DCR,B421*LDM2_L)),COMPLEX(0,B421*LDM2_CPA))))</f>
        <v>0</v>
      </c>
      <c r="J421">
        <f>IMSUM(IMDIV("1",COMPLEX(CX2_ESR,B421*CX2_ESL-1/(B421*CX2_C))),IMDIV("1",IMSUM(COMPLEX(DUMP2_R,0),COMPLEX(DUMP2_ESR,B421*DUMP2_ESL-1/(B421*DUMP2_C)))))</f>
        <v>0</v>
      </c>
      <c r="K421">
        <f>IMPRODUCT("2",IMDIV("1",IMSUM(IMDIV("1",COMPLEX(CMC_DCR,B421*CMC_L*(1-CMC_K))),COMPLEX(0,B421*CMC_CPA))))</f>
        <v>0</v>
      </c>
      <c r="L421">
        <f>IMSUM(COMPLEX(0,B421*CMC_CLINE),IMDIV("1",IMPRODUCT("2",COMPLEX(CY_ESR,B421*CY_ESL-1/(B421*CY_C)))),COMPLEX(1/DUMMY_R,0))</f>
        <v>0</v>
      </c>
      <c r="M421">
        <f>IMSUM(D421,IMDIV("1",C421))</f>
        <v>0</v>
      </c>
      <c r="N421">
        <f>IMDIV("1",IMSUM(E421,IMDIV("1",M421)))</f>
        <v>0</v>
      </c>
      <c r="O421">
        <f>IMSUM(F421,N421)</f>
        <v>0</v>
      </c>
      <c r="P421">
        <f>IMDIV("1",IMSUM(G421,IMDIV("1",O421)))</f>
        <v>0</v>
      </c>
      <c r="Q421">
        <f>IMSUM(H421,P421)</f>
        <v>0</v>
      </c>
      <c r="R421">
        <f>IMDIV("1",IMSUM(I421,IMDIV("1",Q421)))</f>
        <v>0</v>
      </c>
      <c r="S421">
        <f>IMSUM(J421,R421)</f>
        <v>0</v>
      </c>
      <c r="T421">
        <f>IMDIV("1",IMSUM(K421,IMDIV("1",S421)))</f>
        <v>0</v>
      </c>
      <c r="U421">
        <f>IMSUM(L421,T421)</f>
        <v>0</v>
      </c>
      <c r="V421">
        <f>IMDIV(COMPLEX(I_DM_SOURCE,0),U421)</f>
        <v>0</v>
      </c>
      <c r="W421">
        <f>IMPRODUCT(V421,T421)</f>
        <v>0</v>
      </c>
      <c r="X421">
        <f>IMDIV(W421,S421)</f>
        <v>0</v>
      </c>
      <c r="Y421">
        <f>IMPRODUCT(X421,R421)</f>
        <v>0</v>
      </c>
      <c r="Z421">
        <f>IMDIV(Y421,Q421)</f>
        <v>0</v>
      </c>
      <c r="AA421">
        <f>IMPRODUCT(Z421,P421)</f>
        <v>0</v>
      </c>
      <c r="AB421">
        <f>AA421</f>
        <v>0</v>
      </c>
      <c r="AC421">
        <f>IMPRODUCT("-1",AB421)</f>
        <v>0</v>
      </c>
      <c r="AD421">
        <f>IMDIV(IMSUB(AB421,AC421),"2")</f>
        <v>0</v>
      </c>
      <c r="AE421" s="6">
        <f>IMABS(AB421)</f>
        <v>0</v>
      </c>
      <c r="AF421" s="6">
        <f>IMABS(AC421)</f>
        <v>0</v>
      </c>
      <c r="AG421" s="6">
        <f>IMABS(AD421)</f>
        <v>0</v>
      </c>
      <c r="AH421" s="7">
        <f>20*LOG10(MAX(AE421,1E-300)*1E6)</f>
        <v>0</v>
      </c>
      <c r="AI421" s="7">
        <f>20*LOG10(MAX(AF421,1E-300)*1E6)</f>
        <v>0</v>
      </c>
      <c r="AJ421" s="7">
        <f>20*LOG10(MAX(AG421,1E-300)*1E6)</f>
        <v>0</v>
      </c>
      <c r="AK421" s="7">
        <f>DEGREES(IMARGUMENT(AB421))</f>
        <v>0</v>
      </c>
      <c r="AL421" s="7">
        <f>DEGREES(IMARGUMENT(AC421))</f>
        <v>0</v>
      </c>
      <c r="AM421" s="7">
        <f>DEGREES(IMARGUMENT(AD421))</f>
        <v>0</v>
      </c>
    </row>
    <row r="422" spans="1:39">
      <c r="A422" s="6">
        <f>10^(LOG10(F_START)+(ROW()-ROW($A$2))*(LOG10(F_STOP)-LOG10(F_START))/(N_POINTS-1))</f>
        <v>0</v>
      </c>
      <c r="B422" s="6">
        <f>2*PI()*A422</f>
        <v>0</v>
      </c>
      <c r="C422">
        <f>COMPLEX(2*LINE_PS_DCR,2*B422*LINE_PS_L)</f>
        <v>0</v>
      </c>
      <c r="D422">
        <f>IMSUM(COMPLEX(0,B422*(LINE_PS_CLINE+LINE_PS_CCHA/2)),IMDIV("1",IMPRODUCT("2",COMPLEX(C_THROUGH_ESR,B422*C_THROUGH_ESL-1/(B422*C_THROUGH_C)))))</f>
        <v>0</v>
      </c>
      <c r="E422">
        <f>COMPLEX(2*LINE_INPUT_DCR,2*B422*LINE_INPUT_L)</f>
        <v>0</v>
      </c>
      <c r="F422">
        <f>COMPLEX(0,B422*(LINE_INPUT_CLINE+LINE_INPUT_CCHA/2))</f>
        <v>0</v>
      </c>
      <c r="G422">
        <f>IMPRODUCT("2",IMDIV("1",IMSUM(IMDIV("1",COMPLEX(LDM1_DCR,B422*LDM1_L)),COMPLEX(0,B422*LDM1_CPA))))</f>
        <v>0</v>
      </c>
      <c r="H422">
        <f>IMSUM(IMDIV("1",COMPLEX(CX1_ESR,B422*CX1_ESL-1/(B422*CX1_C))),IMDIV("1",IMSUM(COMPLEX(DUMP1_R,0),COMPLEX(DUMP1_ESR,B422*DUMP1_ESL-1/(B422*DUMP1_C)))))</f>
        <v>0</v>
      </c>
      <c r="I422">
        <f>IMPRODUCT("2",IMDIV("1",IMSUM(IMDIV("1",COMPLEX(LDM2_DCR,B422*LDM2_L)),COMPLEX(0,B422*LDM2_CPA))))</f>
        <v>0</v>
      </c>
      <c r="J422">
        <f>IMSUM(IMDIV("1",COMPLEX(CX2_ESR,B422*CX2_ESL-1/(B422*CX2_C))),IMDIV("1",IMSUM(COMPLEX(DUMP2_R,0),COMPLEX(DUMP2_ESR,B422*DUMP2_ESL-1/(B422*DUMP2_C)))))</f>
        <v>0</v>
      </c>
      <c r="K422">
        <f>IMPRODUCT("2",IMDIV("1",IMSUM(IMDIV("1",COMPLEX(CMC_DCR,B422*CMC_L*(1-CMC_K))),COMPLEX(0,B422*CMC_CPA))))</f>
        <v>0</v>
      </c>
      <c r="L422">
        <f>IMSUM(COMPLEX(0,B422*CMC_CLINE),IMDIV("1",IMPRODUCT("2",COMPLEX(CY_ESR,B422*CY_ESL-1/(B422*CY_C)))),COMPLEX(1/DUMMY_R,0))</f>
        <v>0</v>
      </c>
      <c r="M422">
        <f>IMSUM(D422,IMDIV("1",C422))</f>
        <v>0</v>
      </c>
      <c r="N422">
        <f>IMDIV("1",IMSUM(E422,IMDIV("1",M422)))</f>
        <v>0</v>
      </c>
      <c r="O422">
        <f>IMSUM(F422,N422)</f>
        <v>0</v>
      </c>
      <c r="P422">
        <f>IMDIV("1",IMSUM(G422,IMDIV("1",O422)))</f>
        <v>0</v>
      </c>
      <c r="Q422">
        <f>IMSUM(H422,P422)</f>
        <v>0</v>
      </c>
      <c r="R422">
        <f>IMDIV("1",IMSUM(I422,IMDIV("1",Q422)))</f>
        <v>0</v>
      </c>
      <c r="S422">
        <f>IMSUM(J422,R422)</f>
        <v>0</v>
      </c>
      <c r="T422">
        <f>IMDIV("1",IMSUM(K422,IMDIV("1",S422)))</f>
        <v>0</v>
      </c>
      <c r="U422">
        <f>IMSUM(L422,T422)</f>
        <v>0</v>
      </c>
      <c r="V422">
        <f>IMDIV(COMPLEX(I_DM_SOURCE,0),U422)</f>
        <v>0</v>
      </c>
      <c r="W422">
        <f>IMPRODUCT(V422,T422)</f>
        <v>0</v>
      </c>
      <c r="X422">
        <f>IMDIV(W422,S422)</f>
        <v>0</v>
      </c>
      <c r="Y422">
        <f>IMPRODUCT(X422,R422)</f>
        <v>0</v>
      </c>
      <c r="Z422">
        <f>IMDIV(Y422,Q422)</f>
        <v>0</v>
      </c>
      <c r="AA422">
        <f>IMPRODUCT(Z422,P422)</f>
        <v>0</v>
      </c>
      <c r="AB422">
        <f>AA422</f>
        <v>0</v>
      </c>
      <c r="AC422">
        <f>IMPRODUCT("-1",AB422)</f>
        <v>0</v>
      </c>
      <c r="AD422">
        <f>IMDIV(IMSUB(AB422,AC422),"2")</f>
        <v>0</v>
      </c>
      <c r="AE422" s="6">
        <f>IMABS(AB422)</f>
        <v>0</v>
      </c>
      <c r="AF422" s="6">
        <f>IMABS(AC422)</f>
        <v>0</v>
      </c>
      <c r="AG422" s="6">
        <f>IMABS(AD422)</f>
        <v>0</v>
      </c>
      <c r="AH422" s="7">
        <f>20*LOG10(MAX(AE422,1E-300)*1E6)</f>
        <v>0</v>
      </c>
      <c r="AI422" s="7">
        <f>20*LOG10(MAX(AF422,1E-300)*1E6)</f>
        <v>0</v>
      </c>
      <c r="AJ422" s="7">
        <f>20*LOG10(MAX(AG422,1E-300)*1E6)</f>
        <v>0</v>
      </c>
      <c r="AK422" s="7">
        <f>DEGREES(IMARGUMENT(AB422))</f>
        <v>0</v>
      </c>
      <c r="AL422" s="7">
        <f>DEGREES(IMARGUMENT(AC422))</f>
        <v>0</v>
      </c>
      <c r="AM422" s="7">
        <f>DEGREES(IMARGUMENT(AD422))</f>
        <v>0</v>
      </c>
    </row>
    <row r="423" spans="1:39">
      <c r="A423" s="6">
        <f>10^(LOG10(F_START)+(ROW()-ROW($A$2))*(LOG10(F_STOP)-LOG10(F_START))/(N_POINTS-1))</f>
        <v>0</v>
      </c>
      <c r="B423" s="6">
        <f>2*PI()*A423</f>
        <v>0</v>
      </c>
      <c r="C423">
        <f>COMPLEX(2*LINE_PS_DCR,2*B423*LINE_PS_L)</f>
        <v>0</v>
      </c>
      <c r="D423">
        <f>IMSUM(COMPLEX(0,B423*(LINE_PS_CLINE+LINE_PS_CCHA/2)),IMDIV("1",IMPRODUCT("2",COMPLEX(C_THROUGH_ESR,B423*C_THROUGH_ESL-1/(B423*C_THROUGH_C)))))</f>
        <v>0</v>
      </c>
      <c r="E423">
        <f>COMPLEX(2*LINE_INPUT_DCR,2*B423*LINE_INPUT_L)</f>
        <v>0</v>
      </c>
      <c r="F423">
        <f>COMPLEX(0,B423*(LINE_INPUT_CLINE+LINE_INPUT_CCHA/2))</f>
        <v>0</v>
      </c>
      <c r="G423">
        <f>IMPRODUCT("2",IMDIV("1",IMSUM(IMDIV("1",COMPLEX(LDM1_DCR,B423*LDM1_L)),COMPLEX(0,B423*LDM1_CPA))))</f>
        <v>0</v>
      </c>
      <c r="H423">
        <f>IMSUM(IMDIV("1",COMPLEX(CX1_ESR,B423*CX1_ESL-1/(B423*CX1_C))),IMDIV("1",IMSUM(COMPLEX(DUMP1_R,0),COMPLEX(DUMP1_ESR,B423*DUMP1_ESL-1/(B423*DUMP1_C)))))</f>
        <v>0</v>
      </c>
      <c r="I423">
        <f>IMPRODUCT("2",IMDIV("1",IMSUM(IMDIV("1",COMPLEX(LDM2_DCR,B423*LDM2_L)),COMPLEX(0,B423*LDM2_CPA))))</f>
        <v>0</v>
      </c>
      <c r="J423">
        <f>IMSUM(IMDIV("1",COMPLEX(CX2_ESR,B423*CX2_ESL-1/(B423*CX2_C))),IMDIV("1",IMSUM(COMPLEX(DUMP2_R,0),COMPLEX(DUMP2_ESR,B423*DUMP2_ESL-1/(B423*DUMP2_C)))))</f>
        <v>0</v>
      </c>
      <c r="K423">
        <f>IMPRODUCT("2",IMDIV("1",IMSUM(IMDIV("1",COMPLEX(CMC_DCR,B423*CMC_L*(1-CMC_K))),COMPLEX(0,B423*CMC_CPA))))</f>
        <v>0</v>
      </c>
      <c r="L423">
        <f>IMSUM(COMPLEX(0,B423*CMC_CLINE),IMDIV("1",IMPRODUCT("2",COMPLEX(CY_ESR,B423*CY_ESL-1/(B423*CY_C)))),COMPLEX(1/DUMMY_R,0))</f>
        <v>0</v>
      </c>
      <c r="M423">
        <f>IMSUM(D423,IMDIV("1",C423))</f>
        <v>0</v>
      </c>
      <c r="N423">
        <f>IMDIV("1",IMSUM(E423,IMDIV("1",M423)))</f>
        <v>0</v>
      </c>
      <c r="O423">
        <f>IMSUM(F423,N423)</f>
        <v>0</v>
      </c>
      <c r="P423">
        <f>IMDIV("1",IMSUM(G423,IMDIV("1",O423)))</f>
        <v>0</v>
      </c>
      <c r="Q423">
        <f>IMSUM(H423,P423)</f>
        <v>0</v>
      </c>
      <c r="R423">
        <f>IMDIV("1",IMSUM(I423,IMDIV("1",Q423)))</f>
        <v>0</v>
      </c>
      <c r="S423">
        <f>IMSUM(J423,R423)</f>
        <v>0</v>
      </c>
      <c r="T423">
        <f>IMDIV("1",IMSUM(K423,IMDIV("1",S423)))</f>
        <v>0</v>
      </c>
      <c r="U423">
        <f>IMSUM(L423,T423)</f>
        <v>0</v>
      </c>
      <c r="V423">
        <f>IMDIV(COMPLEX(I_DM_SOURCE,0),U423)</f>
        <v>0</v>
      </c>
      <c r="W423">
        <f>IMPRODUCT(V423,T423)</f>
        <v>0</v>
      </c>
      <c r="X423">
        <f>IMDIV(W423,S423)</f>
        <v>0</v>
      </c>
      <c r="Y423">
        <f>IMPRODUCT(X423,R423)</f>
        <v>0</v>
      </c>
      <c r="Z423">
        <f>IMDIV(Y423,Q423)</f>
        <v>0</v>
      </c>
      <c r="AA423">
        <f>IMPRODUCT(Z423,P423)</f>
        <v>0</v>
      </c>
      <c r="AB423">
        <f>AA423</f>
        <v>0</v>
      </c>
      <c r="AC423">
        <f>IMPRODUCT("-1",AB423)</f>
        <v>0</v>
      </c>
      <c r="AD423">
        <f>IMDIV(IMSUB(AB423,AC423),"2")</f>
        <v>0</v>
      </c>
      <c r="AE423" s="6">
        <f>IMABS(AB423)</f>
        <v>0</v>
      </c>
      <c r="AF423" s="6">
        <f>IMABS(AC423)</f>
        <v>0</v>
      </c>
      <c r="AG423" s="6">
        <f>IMABS(AD423)</f>
        <v>0</v>
      </c>
      <c r="AH423" s="7">
        <f>20*LOG10(MAX(AE423,1E-300)*1E6)</f>
        <v>0</v>
      </c>
      <c r="AI423" s="7">
        <f>20*LOG10(MAX(AF423,1E-300)*1E6)</f>
        <v>0</v>
      </c>
      <c r="AJ423" s="7">
        <f>20*LOG10(MAX(AG423,1E-300)*1E6)</f>
        <v>0</v>
      </c>
      <c r="AK423" s="7">
        <f>DEGREES(IMARGUMENT(AB423))</f>
        <v>0</v>
      </c>
      <c r="AL423" s="7">
        <f>DEGREES(IMARGUMENT(AC423))</f>
        <v>0</v>
      </c>
      <c r="AM423" s="7">
        <f>DEGREES(IMARGUMENT(AD423))</f>
        <v>0</v>
      </c>
    </row>
    <row r="424" spans="1:39">
      <c r="A424" s="6">
        <f>10^(LOG10(F_START)+(ROW()-ROW($A$2))*(LOG10(F_STOP)-LOG10(F_START))/(N_POINTS-1))</f>
        <v>0</v>
      </c>
      <c r="B424" s="6">
        <f>2*PI()*A424</f>
        <v>0</v>
      </c>
      <c r="C424">
        <f>COMPLEX(2*LINE_PS_DCR,2*B424*LINE_PS_L)</f>
        <v>0</v>
      </c>
      <c r="D424">
        <f>IMSUM(COMPLEX(0,B424*(LINE_PS_CLINE+LINE_PS_CCHA/2)),IMDIV("1",IMPRODUCT("2",COMPLEX(C_THROUGH_ESR,B424*C_THROUGH_ESL-1/(B424*C_THROUGH_C)))))</f>
        <v>0</v>
      </c>
      <c r="E424">
        <f>COMPLEX(2*LINE_INPUT_DCR,2*B424*LINE_INPUT_L)</f>
        <v>0</v>
      </c>
      <c r="F424">
        <f>COMPLEX(0,B424*(LINE_INPUT_CLINE+LINE_INPUT_CCHA/2))</f>
        <v>0</v>
      </c>
      <c r="G424">
        <f>IMPRODUCT("2",IMDIV("1",IMSUM(IMDIV("1",COMPLEX(LDM1_DCR,B424*LDM1_L)),COMPLEX(0,B424*LDM1_CPA))))</f>
        <v>0</v>
      </c>
      <c r="H424">
        <f>IMSUM(IMDIV("1",COMPLEX(CX1_ESR,B424*CX1_ESL-1/(B424*CX1_C))),IMDIV("1",IMSUM(COMPLEX(DUMP1_R,0),COMPLEX(DUMP1_ESR,B424*DUMP1_ESL-1/(B424*DUMP1_C)))))</f>
        <v>0</v>
      </c>
      <c r="I424">
        <f>IMPRODUCT("2",IMDIV("1",IMSUM(IMDIV("1",COMPLEX(LDM2_DCR,B424*LDM2_L)),COMPLEX(0,B424*LDM2_CPA))))</f>
        <v>0</v>
      </c>
      <c r="J424">
        <f>IMSUM(IMDIV("1",COMPLEX(CX2_ESR,B424*CX2_ESL-1/(B424*CX2_C))),IMDIV("1",IMSUM(COMPLEX(DUMP2_R,0),COMPLEX(DUMP2_ESR,B424*DUMP2_ESL-1/(B424*DUMP2_C)))))</f>
        <v>0</v>
      </c>
      <c r="K424">
        <f>IMPRODUCT("2",IMDIV("1",IMSUM(IMDIV("1",COMPLEX(CMC_DCR,B424*CMC_L*(1-CMC_K))),COMPLEX(0,B424*CMC_CPA))))</f>
        <v>0</v>
      </c>
      <c r="L424">
        <f>IMSUM(COMPLEX(0,B424*CMC_CLINE),IMDIV("1",IMPRODUCT("2",COMPLEX(CY_ESR,B424*CY_ESL-1/(B424*CY_C)))),COMPLEX(1/DUMMY_R,0))</f>
        <v>0</v>
      </c>
      <c r="M424">
        <f>IMSUM(D424,IMDIV("1",C424))</f>
        <v>0</v>
      </c>
      <c r="N424">
        <f>IMDIV("1",IMSUM(E424,IMDIV("1",M424)))</f>
        <v>0</v>
      </c>
      <c r="O424">
        <f>IMSUM(F424,N424)</f>
        <v>0</v>
      </c>
      <c r="P424">
        <f>IMDIV("1",IMSUM(G424,IMDIV("1",O424)))</f>
        <v>0</v>
      </c>
      <c r="Q424">
        <f>IMSUM(H424,P424)</f>
        <v>0</v>
      </c>
      <c r="R424">
        <f>IMDIV("1",IMSUM(I424,IMDIV("1",Q424)))</f>
        <v>0</v>
      </c>
      <c r="S424">
        <f>IMSUM(J424,R424)</f>
        <v>0</v>
      </c>
      <c r="T424">
        <f>IMDIV("1",IMSUM(K424,IMDIV("1",S424)))</f>
        <v>0</v>
      </c>
      <c r="U424">
        <f>IMSUM(L424,T424)</f>
        <v>0</v>
      </c>
      <c r="V424">
        <f>IMDIV(COMPLEX(I_DM_SOURCE,0),U424)</f>
        <v>0</v>
      </c>
      <c r="W424">
        <f>IMPRODUCT(V424,T424)</f>
        <v>0</v>
      </c>
      <c r="X424">
        <f>IMDIV(W424,S424)</f>
        <v>0</v>
      </c>
      <c r="Y424">
        <f>IMPRODUCT(X424,R424)</f>
        <v>0</v>
      </c>
      <c r="Z424">
        <f>IMDIV(Y424,Q424)</f>
        <v>0</v>
      </c>
      <c r="AA424">
        <f>IMPRODUCT(Z424,P424)</f>
        <v>0</v>
      </c>
      <c r="AB424">
        <f>AA424</f>
        <v>0</v>
      </c>
      <c r="AC424">
        <f>IMPRODUCT("-1",AB424)</f>
        <v>0</v>
      </c>
      <c r="AD424">
        <f>IMDIV(IMSUB(AB424,AC424),"2")</f>
        <v>0</v>
      </c>
      <c r="AE424" s="6">
        <f>IMABS(AB424)</f>
        <v>0</v>
      </c>
      <c r="AF424" s="6">
        <f>IMABS(AC424)</f>
        <v>0</v>
      </c>
      <c r="AG424" s="6">
        <f>IMABS(AD424)</f>
        <v>0</v>
      </c>
      <c r="AH424" s="7">
        <f>20*LOG10(MAX(AE424,1E-300)*1E6)</f>
        <v>0</v>
      </c>
      <c r="AI424" s="7">
        <f>20*LOG10(MAX(AF424,1E-300)*1E6)</f>
        <v>0</v>
      </c>
      <c r="AJ424" s="7">
        <f>20*LOG10(MAX(AG424,1E-300)*1E6)</f>
        <v>0</v>
      </c>
      <c r="AK424" s="7">
        <f>DEGREES(IMARGUMENT(AB424))</f>
        <v>0</v>
      </c>
      <c r="AL424" s="7">
        <f>DEGREES(IMARGUMENT(AC424))</f>
        <v>0</v>
      </c>
      <c r="AM424" s="7">
        <f>DEGREES(IMARGUMENT(AD424))</f>
        <v>0</v>
      </c>
    </row>
    <row r="425" spans="1:39">
      <c r="A425" s="6">
        <f>10^(LOG10(F_START)+(ROW()-ROW($A$2))*(LOG10(F_STOP)-LOG10(F_START))/(N_POINTS-1))</f>
        <v>0</v>
      </c>
      <c r="B425" s="6">
        <f>2*PI()*A425</f>
        <v>0</v>
      </c>
      <c r="C425">
        <f>COMPLEX(2*LINE_PS_DCR,2*B425*LINE_PS_L)</f>
        <v>0</v>
      </c>
      <c r="D425">
        <f>IMSUM(COMPLEX(0,B425*(LINE_PS_CLINE+LINE_PS_CCHA/2)),IMDIV("1",IMPRODUCT("2",COMPLEX(C_THROUGH_ESR,B425*C_THROUGH_ESL-1/(B425*C_THROUGH_C)))))</f>
        <v>0</v>
      </c>
      <c r="E425">
        <f>COMPLEX(2*LINE_INPUT_DCR,2*B425*LINE_INPUT_L)</f>
        <v>0</v>
      </c>
      <c r="F425">
        <f>COMPLEX(0,B425*(LINE_INPUT_CLINE+LINE_INPUT_CCHA/2))</f>
        <v>0</v>
      </c>
      <c r="G425">
        <f>IMPRODUCT("2",IMDIV("1",IMSUM(IMDIV("1",COMPLEX(LDM1_DCR,B425*LDM1_L)),COMPLEX(0,B425*LDM1_CPA))))</f>
        <v>0</v>
      </c>
      <c r="H425">
        <f>IMSUM(IMDIV("1",COMPLEX(CX1_ESR,B425*CX1_ESL-1/(B425*CX1_C))),IMDIV("1",IMSUM(COMPLEX(DUMP1_R,0),COMPLEX(DUMP1_ESR,B425*DUMP1_ESL-1/(B425*DUMP1_C)))))</f>
        <v>0</v>
      </c>
      <c r="I425">
        <f>IMPRODUCT("2",IMDIV("1",IMSUM(IMDIV("1",COMPLEX(LDM2_DCR,B425*LDM2_L)),COMPLEX(0,B425*LDM2_CPA))))</f>
        <v>0</v>
      </c>
      <c r="J425">
        <f>IMSUM(IMDIV("1",COMPLEX(CX2_ESR,B425*CX2_ESL-1/(B425*CX2_C))),IMDIV("1",IMSUM(COMPLEX(DUMP2_R,0),COMPLEX(DUMP2_ESR,B425*DUMP2_ESL-1/(B425*DUMP2_C)))))</f>
        <v>0</v>
      </c>
      <c r="K425">
        <f>IMPRODUCT("2",IMDIV("1",IMSUM(IMDIV("1",COMPLEX(CMC_DCR,B425*CMC_L*(1-CMC_K))),COMPLEX(0,B425*CMC_CPA))))</f>
        <v>0</v>
      </c>
      <c r="L425">
        <f>IMSUM(COMPLEX(0,B425*CMC_CLINE),IMDIV("1",IMPRODUCT("2",COMPLEX(CY_ESR,B425*CY_ESL-1/(B425*CY_C)))),COMPLEX(1/DUMMY_R,0))</f>
        <v>0</v>
      </c>
      <c r="M425">
        <f>IMSUM(D425,IMDIV("1",C425))</f>
        <v>0</v>
      </c>
      <c r="N425">
        <f>IMDIV("1",IMSUM(E425,IMDIV("1",M425)))</f>
        <v>0</v>
      </c>
      <c r="O425">
        <f>IMSUM(F425,N425)</f>
        <v>0</v>
      </c>
      <c r="P425">
        <f>IMDIV("1",IMSUM(G425,IMDIV("1",O425)))</f>
        <v>0</v>
      </c>
      <c r="Q425">
        <f>IMSUM(H425,P425)</f>
        <v>0</v>
      </c>
      <c r="R425">
        <f>IMDIV("1",IMSUM(I425,IMDIV("1",Q425)))</f>
        <v>0</v>
      </c>
      <c r="S425">
        <f>IMSUM(J425,R425)</f>
        <v>0</v>
      </c>
      <c r="T425">
        <f>IMDIV("1",IMSUM(K425,IMDIV("1",S425)))</f>
        <v>0</v>
      </c>
      <c r="U425">
        <f>IMSUM(L425,T425)</f>
        <v>0</v>
      </c>
      <c r="V425">
        <f>IMDIV(COMPLEX(I_DM_SOURCE,0),U425)</f>
        <v>0</v>
      </c>
      <c r="W425">
        <f>IMPRODUCT(V425,T425)</f>
        <v>0</v>
      </c>
      <c r="X425">
        <f>IMDIV(W425,S425)</f>
        <v>0</v>
      </c>
      <c r="Y425">
        <f>IMPRODUCT(X425,R425)</f>
        <v>0</v>
      </c>
      <c r="Z425">
        <f>IMDIV(Y425,Q425)</f>
        <v>0</v>
      </c>
      <c r="AA425">
        <f>IMPRODUCT(Z425,P425)</f>
        <v>0</v>
      </c>
      <c r="AB425">
        <f>AA425</f>
        <v>0</v>
      </c>
      <c r="AC425">
        <f>IMPRODUCT("-1",AB425)</f>
        <v>0</v>
      </c>
      <c r="AD425">
        <f>IMDIV(IMSUB(AB425,AC425),"2")</f>
        <v>0</v>
      </c>
      <c r="AE425" s="6">
        <f>IMABS(AB425)</f>
        <v>0</v>
      </c>
      <c r="AF425" s="6">
        <f>IMABS(AC425)</f>
        <v>0</v>
      </c>
      <c r="AG425" s="6">
        <f>IMABS(AD425)</f>
        <v>0</v>
      </c>
      <c r="AH425" s="7">
        <f>20*LOG10(MAX(AE425,1E-300)*1E6)</f>
        <v>0</v>
      </c>
      <c r="AI425" s="7">
        <f>20*LOG10(MAX(AF425,1E-300)*1E6)</f>
        <v>0</v>
      </c>
      <c r="AJ425" s="7">
        <f>20*LOG10(MAX(AG425,1E-300)*1E6)</f>
        <v>0</v>
      </c>
      <c r="AK425" s="7">
        <f>DEGREES(IMARGUMENT(AB425))</f>
        <v>0</v>
      </c>
      <c r="AL425" s="7">
        <f>DEGREES(IMARGUMENT(AC425))</f>
        <v>0</v>
      </c>
      <c r="AM425" s="7">
        <f>DEGREES(IMARGUMENT(AD425))</f>
        <v>0</v>
      </c>
    </row>
    <row r="426" spans="1:39">
      <c r="A426" s="6">
        <f>10^(LOG10(F_START)+(ROW()-ROW($A$2))*(LOG10(F_STOP)-LOG10(F_START))/(N_POINTS-1))</f>
        <v>0</v>
      </c>
      <c r="B426" s="6">
        <f>2*PI()*A426</f>
        <v>0</v>
      </c>
      <c r="C426">
        <f>COMPLEX(2*LINE_PS_DCR,2*B426*LINE_PS_L)</f>
        <v>0</v>
      </c>
      <c r="D426">
        <f>IMSUM(COMPLEX(0,B426*(LINE_PS_CLINE+LINE_PS_CCHA/2)),IMDIV("1",IMPRODUCT("2",COMPLEX(C_THROUGH_ESR,B426*C_THROUGH_ESL-1/(B426*C_THROUGH_C)))))</f>
        <v>0</v>
      </c>
      <c r="E426">
        <f>COMPLEX(2*LINE_INPUT_DCR,2*B426*LINE_INPUT_L)</f>
        <v>0</v>
      </c>
      <c r="F426">
        <f>COMPLEX(0,B426*(LINE_INPUT_CLINE+LINE_INPUT_CCHA/2))</f>
        <v>0</v>
      </c>
      <c r="G426">
        <f>IMPRODUCT("2",IMDIV("1",IMSUM(IMDIV("1",COMPLEX(LDM1_DCR,B426*LDM1_L)),COMPLEX(0,B426*LDM1_CPA))))</f>
        <v>0</v>
      </c>
      <c r="H426">
        <f>IMSUM(IMDIV("1",COMPLEX(CX1_ESR,B426*CX1_ESL-1/(B426*CX1_C))),IMDIV("1",IMSUM(COMPLEX(DUMP1_R,0),COMPLEX(DUMP1_ESR,B426*DUMP1_ESL-1/(B426*DUMP1_C)))))</f>
        <v>0</v>
      </c>
      <c r="I426">
        <f>IMPRODUCT("2",IMDIV("1",IMSUM(IMDIV("1",COMPLEX(LDM2_DCR,B426*LDM2_L)),COMPLEX(0,B426*LDM2_CPA))))</f>
        <v>0</v>
      </c>
      <c r="J426">
        <f>IMSUM(IMDIV("1",COMPLEX(CX2_ESR,B426*CX2_ESL-1/(B426*CX2_C))),IMDIV("1",IMSUM(COMPLEX(DUMP2_R,0),COMPLEX(DUMP2_ESR,B426*DUMP2_ESL-1/(B426*DUMP2_C)))))</f>
        <v>0</v>
      </c>
      <c r="K426">
        <f>IMPRODUCT("2",IMDIV("1",IMSUM(IMDIV("1",COMPLEX(CMC_DCR,B426*CMC_L*(1-CMC_K))),COMPLEX(0,B426*CMC_CPA))))</f>
        <v>0</v>
      </c>
      <c r="L426">
        <f>IMSUM(COMPLEX(0,B426*CMC_CLINE),IMDIV("1",IMPRODUCT("2",COMPLEX(CY_ESR,B426*CY_ESL-1/(B426*CY_C)))),COMPLEX(1/DUMMY_R,0))</f>
        <v>0</v>
      </c>
      <c r="M426">
        <f>IMSUM(D426,IMDIV("1",C426))</f>
        <v>0</v>
      </c>
      <c r="N426">
        <f>IMDIV("1",IMSUM(E426,IMDIV("1",M426)))</f>
        <v>0</v>
      </c>
      <c r="O426">
        <f>IMSUM(F426,N426)</f>
        <v>0</v>
      </c>
      <c r="P426">
        <f>IMDIV("1",IMSUM(G426,IMDIV("1",O426)))</f>
        <v>0</v>
      </c>
      <c r="Q426">
        <f>IMSUM(H426,P426)</f>
        <v>0</v>
      </c>
      <c r="R426">
        <f>IMDIV("1",IMSUM(I426,IMDIV("1",Q426)))</f>
        <v>0</v>
      </c>
      <c r="S426">
        <f>IMSUM(J426,R426)</f>
        <v>0</v>
      </c>
      <c r="T426">
        <f>IMDIV("1",IMSUM(K426,IMDIV("1",S426)))</f>
        <v>0</v>
      </c>
      <c r="U426">
        <f>IMSUM(L426,T426)</f>
        <v>0</v>
      </c>
      <c r="V426">
        <f>IMDIV(COMPLEX(I_DM_SOURCE,0),U426)</f>
        <v>0</v>
      </c>
      <c r="W426">
        <f>IMPRODUCT(V426,T426)</f>
        <v>0</v>
      </c>
      <c r="X426">
        <f>IMDIV(W426,S426)</f>
        <v>0</v>
      </c>
      <c r="Y426">
        <f>IMPRODUCT(X426,R426)</f>
        <v>0</v>
      </c>
      <c r="Z426">
        <f>IMDIV(Y426,Q426)</f>
        <v>0</v>
      </c>
      <c r="AA426">
        <f>IMPRODUCT(Z426,P426)</f>
        <v>0</v>
      </c>
      <c r="AB426">
        <f>AA426</f>
        <v>0</v>
      </c>
      <c r="AC426">
        <f>IMPRODUCT("-1",AB426)</f>
        <v>0</v>
      </c>
      <c r="AD426">
        <f>IMDIV(IMSUB(AB426,AC426),"2")</f>
        <v>0</v>
      </c>
      <c r="AE426" s="6">
        <f>IMABS(AB426)</f>
        <v>0</v>
      </c>
      <c r="AF426" s="6">
        <f>IMABS(AC426)</f>
        <v>0</v>
      </c>
      <c r="AG426" s="6">
        <f>IMABS(AD426)</f>
        <v>0</v>
      </c>
      <c r="AH426" s="7">
        <f>20*LOG10(MAX(AE426,1E-300)*1E6)</f>
        <v>0</v>
      </c>
      <c r="AI426" s="7">
        <f>20*LOG10(MAX(AF426,1E-300)*1E6)</f>
        <v>0</v>
      </c>
      <c r="AJ426" s="7">
        <f>20*LOG10(MAX(AG426,1E-300)*1E6)</f>
        <v>0</v>
      </c>
      <c r="AK426" s="7">
        <f>DEGREES(IMARGUMENT(AB426))</f>
        <v>0</v>
      </c>
      <c r="AL426" s="7">
        <f>DEGREES(IMARGUMENT(AC426))</f>
        <v>0</v>
      </c>
      <c r="AM426" s="7">
        <f>DEGREES(IMARGUMENT(AD426))</f>
        <v>0</v>
      </c>
    </row>
    <row r="427" spans="1:39">
      <c r="A427" s="6">
        <f>10^(LOG10(F_START)+(ROW()-ROW($A$2))*(LOG10(F_STOP)-LOG10(F_START))/(N_POINTS-1))</f>
        <v>0</v>
      </c>
      <c r="B427" s="6">
        <f>2*PI()*A427</f>
        <v>0</v>
      </c>
      <c r="C427">
        <f>COMPLEX(2*LINE_PS_DCR,2*B427*LINE_PS_L)</f>
        <v>0</v>
      </c>
      <c r="D427">
        <f>IMSUM(COMPLEX(0,B427*(LINE_PS_CLINE+LINE_PS_CCHA/2)),IMDIV("1",IMPRODUCT("2",COMPLEX(C_THROUGH_ESR,B427*C_THROUGH_ESL-1/(B427*C_THROUGH_C)))))</f>
        <v>0</v>
      </c>
      <c r="E427">
        <f>COMPLEX(2*LINE_INPUT_DCR,2*B427*LINE_INPUT_L)</f>
        <v>0</v>
      </c>
      <c r="F427">
        <f>COMPLEX(0,B427*(LINE_INPUT_CLINE+LINE_INPUT_CCHA/2))</f>
        <v>0</v>
      </c>
      <c r="G427">
        <f>IMPRODUCT("2",IMDIV("1",IMSUM(IMDIV("1",COMPLEX(LDM1_DCR,B427*LDM1_L)),COMPLEX(0,B427*LDM1_CPA))))</f>
        <v>0</v>
      </c>
      <c r="H427">
        <f>IMSUM(IMDIV("1",COMPLEX(CX1_ESR,B427*CX1_ESL-1/(B427*CX1_C))),IMDIV("1",IMSUM(COMPLEX(DUMP1_R,0),COMPLEX(DUMP1_ESR,B427*DUMP1_ESL-1/(B427*DUMP1_C)))))</f>
        <v>0</v>
      </c>
      <c r="I427">
        <f>IMPRODUCT("2",IMDIV("1",IMSUM(IMDIV("1",COMPLEX(LDM2_DCR,B427*LDM2_L)),COMPLEX(0,B427*LDM2_CPA))))</f>
        <v>0</v>
      </c>
      <c r="J427">
        <f>IMSUM(IMDIV("1",COMPLEX(CX2_ESR,B427*CX2_ESL-1/(B427*CX2_C))),IMDIV("1",IMSUM(COMPLEX(DUMP2_R,0),COMPLEX(DUMP2_ESR,B427*DUMP2_ESL-1/(B427*DUMP2_C)))))</f>
        <v>0</v>
      </c>
      <c r="K427">
        <f>IMPRODUCT("2",IMDIV("1",IMSUM(IMDIV("1",COMPLEX(CMC_DCR,B427*CMC_L*(1-CMC_K))),COMPLEX(0,B427*CMC_CPA))))</f>
        <v>0</v>
      </c>
      <c r="L427">
        <f>IMSUM(COMPLEX(0,B427*CMC_CLINE),IMDIV("1",IMPRODUCT("2",COMPLEX(CY_ESR,B427*CY_ESL-1/(B427*CY_C)))),COMPLEX(1/DUMMY_R,0))</f>
        <v>0</v>
      </c>
      <c r="M427">
        <f>IMSUM(D427,IMDIV("1",C427))</f>
        <v>0</v>
      </c>
      <c r="N427">
        <f>IMDIV("1",IMSUM(E427,IMDIV("1",M427)))</f>
        <v>0</v>
      </c>
      <c r="O427">
        <f>IMSUM(F427,N427)</f>
        <v>0</v>
      </c>
      <c r="P427">
        <f>IMDIV("1",IMSUM(G427,IMDIV("1",O427)))</f>
        <v>0</v>
      </c>
      <c r="Q427">
        <f>IMSUM(H427,P427)</f>
        <v>0</v>
      </c>
      <c r="R427">
        <f>IMDIV("1",IMSUM(I427,IMDIV("1",Q427)))</f>
        <v>0</v>
      </c>
      <c r="S427">
        <f>IMSUM(J427,R427)</f>
        <v>0</v>
      </c>
      <c r="T427">
        <f>IMDIV("1",IMSUM(K427,IMDIV("1",S427)))</f>
        <v>0</v>
      </c>
      <c r="U427">
        <f>IMSUM(L427,T427)</f>
        <v>0</v>
      </c>
      <c r="V427">
        <f>IMDIV(COMPLEX(I_DM_SOURCE,0),U427)</f>
        <v>0</v>
      </c>
      <c r="W427">
        <f>IMPRODUCT(V427,T427)</f>
        <v>0</v>
      </c>
      <c r="X427">
        <f>IMDIV(W427,S427)</f>
        <v>0</v>
      </c>
      <c r="Y427">
        <f>IMPRODUCT(X427,R427)</f>
        <v>0</v>
      </c>
      <c r="Z427">
        <f>IMDIV(Y427,Q427)</f>
        <v>0</v>
      </c>
      <c r="AA427">
        <f>IMPRODUCT(Z427,P427)</f>
        <v>0</v>
      </c>
      <c r="AB427">
        <f>AA427</f>
        <v>0</v>
      </c>
      <c r="AC427">
        <f>IMPRODUCT("-1",AB427)</f>
        <v>0</v>
      </c>
      <c r="AD427">
        <f>IMDIV(IMSUB(AB427,AC427),"2")</f>
        <v>0</v>
      </c>
      <c r="AE427" s="6">
        <f>IMABS(AB427)</f>
        <v>0</v>
      </c>
      <c r="AF427" s="6">
        <f>IMABS(AC427)</f>
        <v>0</v>
      </c>
      <c r="AG427" s="6">
        <f>IMABS(AD427)</f>
        <v>0</v>
      </c>
      <c r="AH427" s="7">
        <f>20*LOG10(MAX(AE427,1E-300)*1E6)</f>
        <v>0</v>
      </c>
      <c r="AI427" s="7">
        <f>20*LOG10(MAX(AF427,1E-300)*1E6)</f>
        <v>0</v>
      </c>
      <c r="AJ427" s="7">
        <f>20*LOG10(MAX(AG427,1E-300)*1E6)</f>
        <v>0</v>
      </c>
      <c r="AK427" s="7">
        <f>DEGREES(IMARGUMENT(AB427))</f>
        <v>0</v>
      </c>
      <c r="AL427" s="7">
        <f>DEGREES(IMARGUMENT(AC427))</f>
        <v>0</v>
      </c>
      <c r="AM427" s="7">
        <f>DEGREES(IMARGUMENT(AD427))</f>
        <v>0</v>
      </c>
    </row>
    <row r="428" spans="1:39">
      <c r="A428" s="6">
        <f>10^(LOG10(F_START)+(ROW()-ROW($A$2))*(LOG10(F_STOP)-LOG10(F_START))/(N_POINTS-1))</f>
        <v>0</v>
      </c>
      <c r="B428" s="6">
        <f>2*PI()*A428</f>
        <v>0</v>
      </c>
      <c r="C428">
        <f>COMPLEX(2*LINE_PS_DCR,2*B428*LINE_PS_L)</f>
        <v>0</v>
      </c>
      <c r="D428">
        <f>IMSUM(COMPLEX(0,B428*(LINE_PS_CLINE+LINE_PS_CCHA/2)),IMDIV("1",IMPRODUCT("2",COMPLEX(C_THROUGH_ESR,B428*C_THROUGH_ESL-1/(B428*C_THROUGH_C)))))</f>
        <v>0</v>
      </c>
      <c r="E428">
        <f>COMPLEX(2*LINE_INPUT_DCR,2*B428*LINE_INPUT_L)</f>
        <v>0</v>
      </c>
      <c r="F428">
        <f>COMPLEX(0,B428*(LINE_INPUT_CLINE+LINE_INPUT_CCHA/2))</f>
        <v>0</v>
      </c>
      <c r="G428">
        <f>IMPRODUCT("2",IMDIV("1",IMSUM(IMDIV("1",COMPLEX(LDM1_DCR,B428*LDM1_L)),COMPLEX(0,B428*LDM1_CPA))))</f>
        <v>0</v>
      </c>
      <c r="H428">
        <f>IMSUM(IMDIV("1",COMPLEX(CX1_ESR,B428*CX1_ESL-1/(B428*CX1_C))),IMDIV("1",IMSUM(COMPLEX(DUMP1_R,0),COMPLEX(DUMP1_ESR,B428*DUMP1_ESL-1/(B428*DUMP1_C)))))</f>
        <v>0</v>
      </c>
      <c r="I428">
        <f>IMPRODUCT("2",IMDIV("1",IMSUM(IMDIV("1",COMPLEX(LDM2_DCR,B428*LDM2_L)),COMPLEX(0,B428*LDM2_CPA))))</f>
        <v>0</v>
      </c>
      <c r="J428">
        <f>IMSUM(IMDIV("1",COMPLEX(CX2_ESR,B428*CX2_ESL-1/(B428*CX2_C))),IMDIV("1",IMSUM(COMPLEX(DUMP2_R,0),COMPLEX(DUMP2_ESR,B428*DUMP2_ESL-1/(B428*DUMP2_C)))))</f>
        <v>0</v>
      </c>
      <c r="K428">
        <f>IMPRODUCT("2",IMDIV("1",IMSUM(IMDIV("1",COMPLEX(CMC_DCR,B428*CMC_L*(1-CMC_K))),COMPLEX(0,B428*CMC_CPA))))</f>
        <v>0</v>
      </c>
      <c r="L428">
        <f>IMSUM(COMPLEX(0,B428*CMC_CLINE),IMDIV("1",IMPRODUCT("2",COMPLEX(CY_ESR,B428*CY_ESL-1/(B428*CY_C)))),COMPLEX(1/DUMMY_R,0))</f>
        <v>0</v>
      </c>
      <c r="M428">
        <f>IMSUM(D428,IMDIV("1",C428))</f>
        <v>0</v>
      </c>
      <c r="N428">
        <f>IMDIV("1",IMSUM(E428,IMDIV("1",M428)))</f>
        <v>0</v>
      </c>
      <c r="O428">
        <f>IMSUM(F428,N428)</f>
        <v>0</v>
      </c>
      <c r="P428">
        <f>IMDIV("1",IMSUM(G428,IMDIV("1",O428)))</f>
        <v>0</v>
      </c>
      <c r="Q428">
        <f>IMSUM(H428,P428)</f>
        <v>0</v>
      </c>
      <c r="R428">
        <f>IMDIV("1",IMSUM(I428,IMDIV("1",Q428)))</f>
        <v>0</v>
      </c>
      <c r="S428">
        <f>IMSUM(J428,R428)</f>
        <v>0</v>
      </c>
      <c r="T428">
        <f>IMDIV("1",IMSUM(K428,IMDIV("1",S428)))</f>
        <v>0</v>
      </c>
      <c r="U428">
        <f>IMSUM(L428,T428)</f>
        <v>0</v>
      </c>
      <c r="V428">
        <f>IMDIV(COMPLEX(I_DM_SOURCE,0),U428)</f>
        <v>0</v>
      </c>
      <c r="W428">
        <f>IMPRODUCT(V428,T428)</f>
        <v>0</v>
      </c>
      <c r="X428">
        <f>IMDIV(W428,S428)</f>
        <v>0</v>
      </c>
      <c r="Y428">
        <f>IMPRODUCT(X428,R428)</f>
        <v>0</v>
      </c>
      <c r="Z428">
        <f>IMDIV(Y428,Q428)</f>
        <v>0</v>
      </c>
      <c r="AA428">
        <f>IMPRODUCT(Z428,P428)</f>
        <v>0</v>
      </c>
      <c r="AB428">
        <f>AA428</f>
        <v>0</v>
      </c>
      <c r="AC428">
        <f>IMPRODUCT("-1",AB428)</f>
        <v>0</v>
      </c>
      <c r="AD428">
        <f>IMDIV(IMSUB(AB428,AC428),"2")</f>
        <v>0</v>
      </c>
      <c r="AE428" s="6">
        <f>IMABS(AB428)</f>
        <v>0</v>
      </c>
      <c r="AF428" s="6">
        <f>IMABS(AC428)</f>
        <v>0</v>
      </c>
      <c r="AG428" s="6">
        <f>IMABS(AD428)</f>
        <v>0</v>
      </c>
      <c r="AH428" s="7">
        <f>20*LOG10(MAX(AE428,1E-300)*1E6)</f>
        <v>0</v>
      </c>
      <c r="AI428" s="7">
        <f>20*LOG10(MAX(AF428,1E-300)*1E6)</f>
        <v>0</v>
      </c>
      <c r="AJ428" s="7">
        <f>20*LOG10(MAX(AG428,1E-300)*1E6)</f>
        <v>0</v>
      </c>
      <c r="AK428" s="7">
        <f>DEGREES(IMARGUMENT(AB428))</f>
        <v>0</v>
      </c>
      <c r="AL428" s="7">
        <f>DEGREES(IMARGUMENT(AC428))</f>
        <v>0</v>
      </c>
      <c r="AM428" s="7">
        <f>DEGREES(IMARGUMENT(AD428))</f>
        <v>0</v>
      </c>
    </row>
    <row r="429" spans="1:39">
      <c r="A429" s="6">
        <f>10^(LOG10(F_START)+(ROW()-ROW($A$2))*(LOG10(F_STOP)-LOG10(F_START))/(N_POINTS-1))</f>
        <v>0</v>
      </c>
      <c r="B429" s="6">
        <f>2*PI()*A429</f>
        <v>0</v>
      </c>
      <c r="C429">
        <f>COMPLEX(2*LINE_PS_DCR,2*B429*LINE_PS_L)</f>
        <v>0</v>
      </c>
      <c r="D429">
        <f>IMSUM(COMPLEX(0,B429*(LINE_PS_CLINE+LINE_PS_CCHA/2)),IMDIV("1",IMPRODUCT("2",COMPLEX(C_THROUGH_ESR,B429*C_THROUGH_ESL-1/(B429*C_THROUGH_C)))))</f>
        <v>0</v>
      </c>
      <c r="E429">
        <f>COMPLEX(2*LINE_INPUT_DCR,2*B429*LINE_INPUT_L)</f>
        <v>0</v>
      </c>
      <c r="F429">
        <f>COMPLEX(0,B429*(LINE_INPUT_CLINE+LINE_INPUT_CCHA/2))</f>
        <v>0</v>
      </c>
      <c r="G429">
        <f>IMPRODUCT("2",IMDIV("1",IMSUM(IMDIV("1",COMPLEX(LDM1_DCR,B429*LDM1_L)),COMPLEX(0,B429*LDM1_CPA))))</f>
        <v>0</v>
      </c>
      <c r="H429">
        <f>IMSUM(IMDIV("1",COMPLEX(CX1_ESR,B429*CX1_ESL-1/(B429*CX1_C))),IMDIV("1",IMSUM(COMPLEX(DUMP1_R,0),COMPLEX(DUMP1_ESR,B429*DUMP1_ESL-1/(B429*DUMP1_C)))))</f>
        <v>0</v>
      </c>
      <c r="I429">
        <f>IMPRODUCT("2",IMDIV("1",IMSUM(IMDIV("1",COMPLEX(LDM2_DCR,B429*LDM2_L)),COMPLEX(0,B429*LDM2_CPA))))</f>
        <v>0</v>
      </c>
      <c r="J429">
        <f>IMSUM(IMDIV("1",COMPLEX(CX2_ESR,B429*CX2_ESL-1/(B429*CX2_C))),IMDIV("1",IMSUM(COMPLEX(DUMP2_R,0),COMPLEX(DUMP2_ESR,B429*DUMP2_ESL-1/(B429*DUMP2_C)))))</f>
        <v>0</v>
      </c>
      <c r="K429">
        <f>IMPRODUCT("2",IMDIV("1",IMSUM(IMDIV("1",COMPLEX(CMC_DCR,B429*CMC_L*(1-CMC_K))),COMPLEX(0,B429*CMC_CPA))))</f>
        <v>0</v>
      </c>
      <c r="L429">
        <f>IMSUM(COMPLEX(0,B429*CMC_CLINE),IMDIV("1",IMPRODUCT("2",COMPLEX(CY_ESR,B429*CY_ESL-1/(B429*CY_C)))),COMPLEX(1/DUMMY_R,0))</f>
        <v>0</v>
      </c>
      <c r="M429">
        <f>IMSUM(D429,IMDIV("1",C429))</f>
        <v>0</v>
      </c>
      <c r="N429">
        <f>IMDIV("1",IMSUM(E429,IMDIV("1",M429)))</f>
        <v>0</v>
      </c>
      <c r="O429">
        <f>IMSUM(F429,N429)</f>
        <v>0</v>
      </c>
      <c r="P429">
        <f>IMDIV("1",IMSUM(G429,IMDIV("1",O429)))</f>
        <v>0</v>
      </c>
      <c r="Q429">
        <f>IMSUM(H429,P429)</f>
        <v>0</v>
      </c>
      <c r="R429">
        <f>IMDIV("1",IMSUM(I429,IMDIV("1",Q429)))</f>
        <v>0</v>
      </c>
      <c r="S429">
        <f>IMSUM(J429,R429)</f>
        <v>0</v>
      </c>
      <c r="T429">
        <f>IMDIV("1",IMSUM(K429,IMDIV("1",S429)))</f>
        <v>0</v>
      </c>
      <c r="U429">
        <f>IMSUM(L429,T429)</f>
        <v>0</v>
      </c>
      <c r="V429">
        <f>IMDIV(COMPLEX(I_DM_SOURCE,0),U429)</f>
        <v>0</v>
      </c>
      <c r="W429">
        <f>IMPRODUCT(V429,T429)</f>
        <v>0</v>
      </c>
      <c r="X429">
        <f>IMDIV(W429,S429)</f>
        <v>0</v>
      </c>
      <c r="Y429">
        <f>IMPRODUCT(X429,R429)</f>
        <v>0</v>
      </c>
      <c r="Z429">
        <f>IMDIV(Y429,Q429)</f>
        <v>0</v>
      </c>
      <c r="AA429">
        <f>IMPRODUCT(Z429,P429)</f>
        <v>0</v>
      </c>
      <c r="AB429">
        <f>AA429</f>
        <v>0</v>
      </c>
      <c r="AC429">
        <f>IMPRODUCT("-1",AB429)</f>
        <v>0</v>
      </c>
      <c r="AD429">
        <f>IMDIV(IMSUB(AB429,AC429),"2")</f>
        <v>0</v>
      </c>
      <c r="AE429" s="6">
        <f>IMABS(AB429)</f>
        <v>0</v>
      </c>
      <c r="AF429" s="6">
        <f>IMABS(AC429)</f>
        <v>0</v>
      </c>
      <c r="AG429" s="6">
        <f>IMABS(AD429)</f>
        <v>0</v>
      </c>
      <c r="AH429" s="7">
        <f>20*LOG10(MAX(AE429,1E-300)*1E6)</f>
        <v>0</v>
      </c>
      <c r="AI429" s="7">
        <f>20*LOG10(MAX(AF429,1E-300)*1E6)</f>
        <v>0</v>
      </c>
      <c r="AJ429" s="7">
        <f>20*LOG10(MAX(AG429,1E-300)*1E6)</f>
        <v>0</v>
      </c>
      <c r="AK429" s="7">
        <f>DEGREES(IMARGUMENT(AB429))</f>
        <v>0</v>
      </c>
      <c r="AL429" s="7">
        <f>DEGREES(IMARGUMENT(AC429))</f>
        <v>0</v>
      </c>
      <c r="AM429" s="7">
        <f>DEGREES(IMARGUMENT(AD429))</f>
        <v>0</v>
      </c>
    </row>
    <row r="430" spans="1:39">
      <c r="A430" s="6">
        <f>10^(LOG10(F_START)+(ROW()-ROW($A$2))*(LOG10(F_STOP)-LOG10(F_START))/(N_POINTS-1))</f>
        <v>0</v>
      </c>
      <c r="B430" s="6">
        <f>2*PI()*A430</f>
        <v>0</v>
      </c>
      <c r="C430">
        <f>COMPLEX(2*LINE_PS_DCR,2*B430*LINE_PS_L)</f>
        <v>0</v>
      </c>
      <c r="D430">
        <f>IMSUM(COMPLEX(0,B430*(LINE_PS_CLINE+LINE_PS_CCHA/2)),IMDIV("1",IMPRODUCT("2",COMPLEX(C_THROUGH_ESR,B430*C_THROUGH_ESL-1/(B430*C_THROUGH_C)))))</f>
        <v>0</v>
      </c>
      <c r="E430">
        <f>COMPLEX(2*LINE_INPUT_DCR,2*B430*LINE_INPUT_L)</f>
        <v>0</v>
      </c>
      <c r="F430">
        <f>COMPLEX(0,B430*(LINE_INPUT_CLINE+LINE_INPUT_CCHA/2))</f>
        <v>0</v>
      </c>
      <c r="G430">
        <f>IMPRODUCT("2",IMDIV("1",IMSUM(IMDIV("1",COMPLEX(LDM1_DCR,B430*LDM1_L)),COMPLEX(0,B430*LDM1_CPA))))</f>
        <v>0</v>
      </c>
      <c r="H430">
        <f>IMSUM(IMDIV("1",COMPLEX(CX1_ESR,B430*CX1_ESL-1/(B430*CX1_C))),IMDIV("1",IMSUM(COMPLEX(DUMP1_R,0),COMPLEX(DUMP1_ESR,B430*DUMP1_ESL-1/(B430*DUMP1_C)))))</f>
        <v>0</v>
      </c>
      <c r="I430">
        <f>IMPRODUCT("2",IMDIV("1",IMSUM(IMDIV("1",COMPLEX(LDM2_DCR,B430*LDM2_L)),COMPLEX(0,B430*LDM2_CPA))))</f>
        <v>0</v>
      </c>
      <c r="J430">
        <f>IMSUM(IMDIV("1",COMPLEX(CX2_ESR,B430*CX2_ESL-1/(B430*CX2_C))),IMDIV("1",IMSUM(COMPLEX(DUMP2_R,0),COMPLEX(DUMP2_ESR,B430*DUMP2_ESL-1/(B430*DUMP2_C)))))</f>
        <v>0</v>
      </c>
      <c r="K430">
        <f>IMPRODUCT("2",IMDIV("1",IMSUM(IMDIV("1",COMPLEX(CMC_DCR,B430*CMC_L*(1-CMC_K))),COMPLEX(0,B430*CMC_CPA))))</f>
        <v>0</v>
      </c>
      <c r="L430">
        <f>IMSUM(COMPLEX(0,B430*CMC_CLINE),IMDIV("1",IMPRODUCT("2",COMPLEX(CY_ESR,B430*CY_ESL-1/(B430*CY_C)))),COMPLEX(1/DUMMY_R,0))</f>
        <v>0</v>
      </c>
      <c r="M430">
        <f>IMSUM(D430,IMDIV("1",C430))</f>
        <v>0</v>
      </c>
      <c r="N430">
        <f>IMDIV("1",IMSUM(E430,IMDIV("1",M430)))</f>
        <v>0</v>
      </c>
      <c r="O430">
        <f>IMSUM(F430,N430)</f>
        <v>0</v>
      </c>
      <c r="P430">
        <f>IMDIV("1",IMSUM(G430,IMDIV("1",O430)))</f>
        <v>0</v>
      </c>
      <c r="Q430">
        <f>IMSUM(H430,P430)</f>
        <v>0</v>
      </c>
      <c r="R430">
        <f>IMDIV("1",IMSUM(I430,IMDIV("1",Q430)))</f>
        <v>0</v>
      </c>
      <c r="S430">
        <f>IMSUM(J430,R430)</f>
        <v>0</v>
      </c>
      <c r="T430">
        <f>IMDIV("1",IMSUM(K430,IMDIV("1",S430)))</f>
        <v>0</v>
      </c>
      <c r="U430">
        <f>IMSUM(L430,T430)</f>
        <v>0</v>
      </c>
      <c r="V430">
        <f>IMDIV(COMPLEX(I_DM_SOURCE,0),U430)</f>
        <v>0</v>
      </c>
      <c r="W430">
        <f>IMPRODUCT(V430,T430)</f>
        <v>0</v>
      </c>
      <c r="X430">
        <f>IMDIV(W430,S430)</f>
        <v>0</v>
      </c>
      <c r="Y430">
        <f>IMPRODUCT(X430,R430)</f>
        <v>0</v>
      </c>
      <c r="Z430">
        <f>IMDIV(Y430,Q430)</f>
        <v>0</v>
      </c>
      <c r="AA430">
        <f>IMPRODUCT(Z430,P430)</f>
        <v>0</v>
      </c>
      <c r="AB430">
        <f>AA430</f>
        <v>0</v>
      </c>
      <c r="AC430">
        <f>IMPRODUCT("-1",AB430)</f>
        <v>0</v>
      </c>
      <c r="AD430">
        <f>IMDIV(IMSUB(AB430,AC430),"2")</f>
        <v>0</v>
      </c>
      <c r="AE430" s="6">
        <f>IMABS(AB430)</f>
        <v>0</v>
      </c>
      <c r="AF430" s="6">
        <f>IMABS(AC430)</f>
        <v>0</v>
      </c>
      <c r="AG430" s="6">
        <f>IMABS(AD430)</f>
        <v>0</v>
      </c>
      <c r="AH430" s="7">
        <f>20*LOG10(MAX(AE430,1E-300)*1E6)</f>
        <v>0</v>
      </c>
      <c r="AI430" s="7">
        <f>20*LOG10(MAX(AF430,1E-300)*1E6)</f>
        <v>0</v>
      </c>
      <c r="AJ430" s="7">
        <f>20*LOG10(MAX(AG430,1E-300)*1E6)</f>
        <v>0</v>
      </c>
      <c r="AK430" s="7">
        <f>DEGREES(IMARGUMENT(AB430))</f>
        <v>0</v>
      </c>
      <c r="AL430" s="7">
        <f>DEGREES(IMARGUMENT(AC430))</f>
        <v>0</v>
      </c>
      <c r="AM430" s="7">
        <f>DEGREES(IMARGUMENT(AD430))</f>
        <v>0</v>
      </c>
    </row>
    <row r="431" spans="1:39">
      <c r="A431" s="6">
        <f>10^(LOG10(F_START)+(ROW()-ROW($A$2))*(LOG10(F_STOP)-LOG10(F_START))/(N_POINTS-1))</f>
        <v>0</v>
      </c>
      <c r="B431" s="6">
        <f>2*PI()*A431</f>
        <v>0</v>
      </c>
      <c r="C431">
        <f>COMPLEX(2*LINE_PS_DCR,2*B431*LINE_PS_L)</f>
        <v>0</v>
      </c>
      <c r="D431">
        <f>IMSUM(COMPLEX(0,B431*(LINE_PS_CLINE+LINE_PS_CCHA/2)),IMDIV("1",IMPRODUCT("2",COMPLEX(C_THROUGH_ESR,B431*C_THROUGH_ESL-1/(B431*C_THROUGH_C)))))</f>
        <v>0</v>
      </c>
      <c r="E431">
        <f>COMPLEX(2*LINE_INPUT_DCR,2*B431*LINE_INPUT_L)</f>
        <v>0</v>
      </c>
      <c r="F431">
        <f>COMPLEX(0,B431*(LINE_INPUT_CLINE+LINE_INPUT_CCHA/2))</f>
        <v>0</v>
      </c>
      <c r="G431">
        <f>IMPRODUCT("2",IMDIV("1",IMSUM(IMDIV("1",COMPLEX(LDM1_DCR,B431*LDM1_L)),COMPLEX(0,B431*LDM1_CPA))))</f>
        <v>0</v>
      </c>
      <c r="H431">
        <f>IMSUM(IMDIV("1",COMPLEX(CX1_ESR,B431*CX1_ESL-1/(B431*CX1_C))),IMDIV("1",IMSUM(COMPLEX(DUMP1_R,0),COMPLEX(DUMP1_ESR,B431*DUMP1_ESL-1/(B431*DUMP1_C)))))</f>
        <v>0</v>
      </c>
      <c r="I431">
        <f>IMPRODUCT("2",IMDIV("1",IMSUM(IMDIV("1",COMPLEX(LDM2_DCR,B431*LDM2_L)),COMPLEX(0,B431*LDM2_CPA))))</f>
        <v>0</v>
      </c>
      <c r="J431">
        <f>IMSUM(IMDIV("1",COMPLEX(CX2_ESR,B431*CX2_ESL-1/(B431*CX2_C))),IMDIV("1",IMSUM(COMPLEX(DUMP2_R,0),COMPLEX(DUMP2_ESR,B431*DUMP2_ESL-1/(B431*DUMP2_C)))))</f>
        <v>0</v>
      </c>
      <c r="K431">
        <f>IMPRODUCT("2",IMDIV("1",IMSUM(IMDIV("1",COMPLEX(CMC_DCR,B431*CMC_L*(1-CMC_K))),COMPLEX(0,B431*CMC_CPA))))</f>
        <v>0</v>
      </c>
      <c r="L431">
        <f>IMSUM(COMPLEX(0,B431*CMC_CLINE),IMDIV("1",IMPRODUCT("2",COMPLEX(CY_ESR,B431*CY_ESL-1/(B431*CY_C)))),COMPLEX(1/DUMMY_R,0))</f>
        <v>0</v>
      </c>
      <c r="M431">
        <f>IMSUM(D431,IMDIV("1",C431))</f>
        <v>0</v>
      </c>
      <c r="N431">
        <f>IMDIV("1",IMSUM(E431,IMDIV("1",M431)))</f>
        <v>0</v>
      </c>
      <c r="O431">
        <f>IMSUM(F431,N431)</f>
        <v>0</v>
      </c>
      <c r="P431">
        <f>IMDIV("1",IMSUM(G431,IMDIV("1",O431)))</f>
        <v>0</v>
      </c>
      <c r="Q431">
        <f>IMSUM(H431,P431)</f>
        <v>0</v>
      </c>
      <c r="R431">
        <f>IMDIV("1",IMSUM(I431,IMDIV("1",Q431)))</f>
        <v>0</v>
      </c>
      <c r="S431">
        <f>IMSUM(J431,R431)</f>
        <v>0</v>
      </c>
      <c r="T431">
        <f>IMDIV("1",IMSUM(K431,IMDIV("1",S431)))</f>
        <v>0</v>
      </c>
      <c r="U431">
        <f>IMSUM(L431,T431)</f>
        <v>0</v>
      </c>
      <c r="V431">
        <f>IMDIV(COMPLEX(I_DM_SOURCE,0),U431)</f>
        <v>0</v>
      </c>
      <c r="W431">
        <f>IMPRODUCT(V431,T431)</f>
        <v>0</v>
      </c>
      <c r="X431">
        <f>IMDIV(W431,S431)</f>
        <v>0</v>
      </c>
      <c r="Y431">
        <f>IMPRODUCT(X431,R431)</f>
        <v>0</v>
      </c>
      <c r="Z431">
        <f>IMDIV(Y431,Q431)</f>
        <v>0</v>
      </c>
      <c r="AA431">
        <f>IMPRODUCT(Z431,P431)</f>
        <v>0</v>
      </c>
      <c r="AB431">
        <f>AA431</f>
        <v>0</v>
      </c>
      <c r="AC431">
        <f>IMPRODUCT("-1",AB431)</f>
        <v>0</v>
      </c>
      <c r="AD431">
        <f>IMDIV(IMSUB(AB431,AC431),"2")</f>
        <v>0</v>
      </c>
      <c r="AE431" s="6">
        <f>IMABS(AB431)</f>
        <v>0</v>
      </c>
      <c r="AF431" s="6">
        <f>IMABS(AC431)</f>
        <v>0</v>
      </c>
      <c r="AG431" s="6">
        <f>IMABS(AD431)</f>
        <v>0</v>
      </c>
      <c r="AH431" s="7">
        <f>20*LOG10(MAX(AE431,1E-300)*1E6)</f>
        <v>0</v>
      </c>
      <c r="AI431" s="7">
        <f>20*LOG10(MAX(AF431,1E-300)*1E6)</f>
        <v>0</v>
      </c>
      <c r="AJ431" s="7">
        <f>20*LOG10(MAX(AG431,1E-300)*1E6)</f>
        <v>0</v>
      </c>
      <c r="AK431" s="7">
        <f>DEGREES(IMARGUMENT(AB431))</f>
        <v>0</v>
      </c>
      <c r="AL431" s="7">
        <f>DEGREES(IMARGUMENT(AC431))</f>
        <v>0</v>
      </c>
      <c r="AM431" s="7">
        <f>DEGREES(IMARGUMENT(AD431))</f>
        <v>0</v>
      </c>
    </row>
    <row r="432" spans="1:39">
      <c r="A432" s="6">
        <f>10^(LOG10(F_START)+(ROW()-ROW($A$2))*(LOG10(F_STOP)-LOG10(F_START))/(N_POINTS-1))</f>
        <v>0</v>
      </c>
      <c r="B432" s="6">
        <f>2*PI()*A432</f>
        <v>0</v>
      </c>
      <c r="C432">
        <f>COMPLEX(2*LINE_PS_DCR,2*B432*LINE_PS_L)</f>
        <v>0</v>
      </c>
      <c r="D432">
        <f>IMSUM(COMPLEX(0,B432*(LINE_PS_CLINE+LINE_PS_CCHA/2)),IMDIV("1",IMPRODUCT("2",COMPLEX(C_THROUGH_ESR,B432*C_THROUGH_ESL-1/(B432*C_THROUGH_C)))))</f>
        <v>0</v>
      </c>
      <c r="E432">
        <f>COMPLEX(2*LINE_INPUT_DCR,2*B432*LINE_INPUT_L)</f>
        <v>0</v>
      </c>
      <c r="F432">
        <f>COMPLEX(0,B432*(LINE_INPUT_CLINE+LINE_INPUT_CCHA/2))</f>
        <v>0</v>
      </c>
      <c r="G432">
        <f>IMPRODUCT("2",IMDIV("1",IMSUM(IMDIV("1",COMPLEX(LDM1_DCR,B432*LDM1_L)),COMPLEX(0,B432*LDM1_CPA))))</f>
        <v>0</v>
      </c>
      <c r="H432">
        <f>IMSUM(IMDIV("1",COMPLEX(CX1_ESR,B432*CX1_ESL-1/(B432*CX1_C))),IMDIV("1",IMSUM(COMPLEX(DUMP1_R,0),COMPLEX(DUMP1_ESR,B432*DUMP1_ESL-1/(B432*DUMP1_C)))))</f>
        <v>0</v>
      </c>
      <c r="I432">
        <f>IMPRODUCT("2",IMDIV("1",IMSUM(IMDIV("1",COMPLEX(LDM2_DCR,B432*LDM2_L)),COMPLEX(0,B432*LDM2_CPA))))</f>
        <v>0</v>
      </c>
      <c r="J432">
        <f>IMSUM(IMDIV("1",COMPLEX(CX2_ESR,B432*CX2_ESL-1/(B432*CX2_C))),IMDIV("1",IMSUM(COMPLEX(DUMP2_R,0),COMPLEX(DUMP2_ESR,B432*DUMP2_ESL-1/(B432*DUMP2_C)))))</f>
        <v>0</v>
      </c>
      <c r="K432">
        <f>IMPRODUCT("2",IMDIV("1",IMSUM(IMDIV("1",COMPLEX(CMC_DCR,B432*CMC_L*(1-CMC_K))),COMPLEX(0,B432*CMC_CPA))))</f>
        <v>0</v>
      </c>
      <c r="L432">
        <f>IMSUM(COMPLEX(0,B432*CMC_CLINE),IMDIV("1",IMPRODUCT("2",COMPLEX(CY_ESR,B432*CY_ESL-1/(B432*CY_C)))),COMPLEX(1/DUMMY_R,0))</f>
        <v>0</v>
      </c>
      <c r="M432">
        <f>IMSUM(D432,IMDIV("1",C432))</f>
        <v>0</v>
      </c>
      <c r="N432">
        <f>IMDIV("1",IMSUM(E432,IMDIV("1",M432)))</f>
        <v>0</v>
      </c>
      <c r="O432">
        <f>IMSUM(F432,N432)</f>
        <v>0</v>
      </c>
      <c r="P432">
        <f>IMDIV("1",IMSUM(G432,IMDIV("1",O432)))</f>
        <v>0</v>
      </c>
      <c r="Q432">
        <f>IMSUM(H432,P432)</f>
        <v>0</v>
      </c>
      <c r="R432">
        <f>IMDIV("1",IMSUM(I432,IMDIV("1",Q432)))</f>
        <v>0</v>
      </c>
      <c r="S432">
        <f>IMSUM(J432,R432)</f>
        <v>0</v>
      </c>
      <c r="T432">
        <f>IMDIV("1",IMSUM(K432,IMDIV("1",S432)))</f>
        <v>0</v>
      </c>
      <c r="U432">
        <f>IMSUM(L432,T432)</f>
        <v>0</v>
      </c>
      <c r="V432">
        <f>IMDIV(COMPLEX(I_DM_SOURCE,0),U432)</f>
        <v>0</v>
      </c>
      <c r="W432">
        <f>IMPRODUCT(V432,T432)</f>
        <v>0</v>
      </c>
      <c r="X432">
        <f>IMDIV(W432,S432)</f>
        <v>0</v>
      </c>
      <c r="Y432">
        <f>IMPRODUCT(X432,R432)</f>
        <v>0</v>
      </c>
      <c r="Z432">
        <f>IMDIV(Y432,Q432)</f>
        <v>0</v>
      </c>
      <c r="AA432">
        <f>IMPRODUCT(Z432,P432)</f>
        <v>0</v>
      </c>
      <c r="AB432">
        <f>AA432</f>
        <v>0</v>
      </c>
      <c r="AC432">
        <f>IMPRODUCT("-1",AB432)</f>
        <v>0</v>
      </c>
      <c r="AD432">
        <f>IMDIV(IMSUB(AB432,AC432),"2")</f>
        <v>0</v>
      </c>
      <c r="AE432" s="6">
        <f>IMABS(AB432)</f>
        <v>0</v>
      </c>
      <c r="AF432" s="6">
        <f>IMABS(AC432)</f>
        <v>0</v>
      </c>
      <c r="AG432" s="6">
        <f>IMABS(AD432)</f>
        <v>0</v>
      </c>
      <c r="AH432" s="7">
        <f>20*LOG10(MAX(AE432,1E-300)*1E6)</f>
        <v>0</v>
      </c>
      <c r="AI432" s="7">
        <f>20*LOG10(MAX(AF432,1E-300)*1E6)</f>
        <v>0</v>
      </c>
      <c r="AJ432" s="7">
        <f>20*LOG10(MAX(AG432,1E-300)*1E6)</f>
        <v>0</v>
      </c>
      <c r="AK432" s="7">
        <f>DEGREES(IMARGUMENT(AB432))</f>
        <v>0</v>
      </c>
      <c r="AL432" s="7">
        <f>DEGREES(IMARGUMENT(AC432))</f>
        <v>0</v>
      </c>
      <c r="AM432" s="7">
        <f>DEGREES(IMARGUMENT(AD432))</f>
        <v>0</v>
      </c>
    </row>
    <row r="433" spans="1:39">
      <c r="A433" s="6">
        <f>10^(LOG10(F_START)+(ROW()-ROW($A$2))*(LOG10(F_STOP)-LOG10(F_START))/(N_POINTS-1))</f>
        <v>0</v>
      </c>
      <c r="B433" s="6">
        <f>2*PI()*A433</f>
        <v>0</v>
      </c>
      <c r="C433">
        <f>COMPLEX(2*LINE_PS_DCR,2*B433*LINE_PS_L)</f>
        <v>0</v>
      </c>
      <c r="D433">
        <f>IMSUM(COMPLEX(0,B433*(LINE_PS_CLINE+LINE_PS_CCHA/2)),IMDIV("1",IMPRODUCT("2",COMPLEX(C_THROUGH_ESR,B433*C_THROUGH_ESL-1/(B433*C_THROUGH_C)))))</f>
        <v>0</v>
      </c>
      <c r="E433">
        <f>COMPLEX(2*LINE_INPUT_DCR,2*B433*LINE_INPUT_L)</f>
        <v>0</v>
      </c>
      <c r="F433">
        <f>COMPLEX(0,B433*(LINE_INPUT_CLINE+LINE_INPUT_CCHA/2))</f>
        <v>0</v>
      </c>
      <c r="G433">
        <f>IMPRODUCT("2",IMDIV("1",IMSUM(IMDIV("1",COMPLEX(LDM1_DCR,B433*LDM1_L)),COMPLEX(0,B433*LDM1_CPA))))</f>
        <v>0</v>
      </c>
      <c r="H433">
        <f>IMSUM(IMDIV("1",COMPLEX(CX1_ESR,B433*CX1_ESL-1/(B433*CX1_C))),IMDIV("1",IMSUM(COMPLEX(DUMP1_R,0),COMPLEX(DUMP1_ESR,B433*DUMP1_ESL-1/(B433*DUMP1_C)))))</f>
        <v>0</v>
      </c>
      <c r="I433">
        <f>IMPRODUCT("2",IMDIV("1",IMSUM(IMDIV("1",COMPLEX(LDM2_DCR,B433*LDM2_L)),COMPLEX(0,B433*LDM2_CPA))))</f>
        <v>0</v>
      </c>
      <c r="J433">
        <f>IMSUM(IMDIV("1",COMPLEX(CX2_ESR,B433*CX2_ESL-1/(B433*CX2_C))),IMDIV("1",IMSUM(COMPLEX(DUMP2_R,0),COMPLEX(DUMP2_ESR,B433*DUMP2_ESL-1/(B433*DUMP2_C)))))</f>
        <v>0</v>
      </c>
      <c r="K433">
        <f>IMPRODUCT("2",IMDIV("1",IMSUM(IMDIV("1",COMPLEX(CMC_DCR,B433*CMC_L*(1-CMC_K))),COMPLEX(0,B433*CMC_CPA))))</f>
        <v>0</v>
      </c>
      <c r="L433">
        <f>IMSUM(COMPLEX(0,B433*CMC_CLINE),IMDIV("1",IMPRODUCT("2",COMPLEX(CY_ESR,B433*CY_ESL-1/(B433*CY_C)))),COMPLEX(1/DUMMY_R,0))</f>
        <v>0</v>
      </c>
      <c r="M433">
        <f>IMSUM(D433,IMDIV("1",C433))</f>
        <v>0</v>
      </c>
      <c r="N433">
        <f>IMDIV("1",IMSUM(E433,IMDIV("1",M433)))</f>
        <v>0</v>
      </c>
      <c r="O433">
        <f>IMSUM(F433,N433)</f>
        <v>0</v>
      </c>
      <c r="P433">
        <f>IMDIV("1",IMSUM(G433,IMDIV("1",O433)))</f>
        <v>0</v>
      </c>
      <c r="Q433">
        <f>IMSUM(H433,P433)</f>
        <v>0</v>
      </c>
      <c r="R433">
        <f>IMDIV("1",IMSUM(I433,IMDIV("1",Q433)))</f>
        <v>0</v>
      </c>
      <c r="S433">
        <f>IMSUM(J433,R433)</f>
        <v>0</v>
      </c>
      <c r="T433">
        <f>IMDIV("1",IMSUM(K433,IMDIV("1",S433)))</f>
        <v>0</v>
      </c>
      <c r="U433">
        <f>IMSUM(L433,T433)</f>
        <v>0</v>
      </c>
      <c r="V433">
        <f>IMDIV(COMPLEX(I_DM_SOURCE,0),U433)</f>
        <v>0</v>
      </c>
      <c r="W433">
        <f>IMPRODUCT(V433,T433)</f>
        <v>0</v>
      </c>
      <c r="X433">
        <f>IMDIV(W433,S433)</f>
        <v>0</v>
      </c>
      <c r="Y433">
        <f>IMPRODUCT(X433,R433)</f>
        <v>0</v>
      </c>
      <c r="Z433">
        <f>IMDIV(Y433,Q433)</f>
        <v>0</v>
      </c>
      <c r="AA433">
        <f>IMPRODUCT(Z433,P433)</f>
        <v>0</v>
      </c>
      <c r="AB433">
        <f>AA433</f>
        <v>0</v>
      </c>
      <c r="AC433">
        <f>IMPRODUCT("-1",AB433)</f>
        <v>0</v>
      </c>
      <c r="AD433">
        <f>IMDIV(IMSUB(AB433,AC433),"2")</f>
        <v>0</v>
      </c>
      <c r="AE433" s="6">
        <f>IMABS(AB433)</f>
        <v>0</v>
      </c>
      <c r="AF433" s="6">
        <f>IMABS(AC433)</f>
        <v>0</v>
      </c>
      <c r="AG433" s="6">
        <f>IMABS(AD433)</f>
        <v>0</v>
      </c>
      <c r="AH433" s="7">
        <f>20*LOG10(MAX(AE433,1E-300)*1E6)</f>
        <v>0</v>
      </c>
      <c r="AI433" s="7">
        <f>20*LOG10(MAX(AF433,1E-300)*1E6)</f>
        <v>0</v>
      </c>
      <c r="AJ433" s="7">
        <f>20*LOG10(MAX(AG433,1E-300)*1E6)</f>
        <v>0</v>
      </c>
      <c r="AK433" s="7">
        <f>DEGREES(IMARGUMENT(AB433))</f>
        <v>0</v>
      </c>
      <c r="AL433" s="7">
        <f>DEGREES(IMARGUMENT(AC433))</f>
        <v>0</v>
      </c>
      <c r="AM433" s="7">
        <f>DEGREES(IMARGUMENT(AD433))</f>
        <v>0</v>
      </c>
    </row>
    <row r="434" spans="1:39">
      <c r="A434" s="6">
        <f>10^(LOG10(F_START)+(ROW()-ROW($A$2))*(LOG10(F_STOP)-LOG10(F_START))/(N_POINTS-1))</f>
        <v>0</v>
      </c>
      <c r="B434" s="6">
        <f>2*PI()*A434</f>
        <v>0</v>
      </c>
      <c r="C434">
        <f>COMPLEX(2*LINE_PS_DCR,2*B434*LINE_PS_L)</f>
        <v>0</v>
      </c>
      <c r="D434">
        <f>IMSUM(COMPLEX(0,B434*(LINE_PS_CLINE+LINE_PS_CCHA/2)),IMDIV("1",IMPRODUCT("2",COMPLEX(C_THROUGH_ESR,B434*C_THROUGH_ESL-1/(B434*C_THROUGH_C)))))</f>
        <v>0</v>
      </c>
      <c r="E434">
        <f>COMPLEX(2*LINE_INPUT_DCR,2*B434*LINE_INPUT_L)</f>
        <v>0</v>
      </c>
      <c r="F434">
        <f>COMPLEX(0,B434*(LINE_INPUT_CLINE+LINE_INPUT_CCHA/2))</f>
        <v>0</v>
      </c>
      <c r="G434">
        <f>IMPRODUCT("2",IMDIV("1",IMSUM(IMDIV("1",COMPLEX(LDM1_DCR,B434*LDM1_L)),COMPLEX(0,B434*LDM1_CPA))))</f>
        <v>0</v>
      </c>
      <c r="H434">
        <f>IMSUM(IMDIV("1",COMPLEX(CX1_ESR,B434*CX1_ESL-1/(B434*CX1_C))),IMDIV("1",IMSUM(COMPLEX(DUMP1_R,0),COMPLEX(DUMP1_ESR,B434*DUMP1_ESL-1/(B434*DUMP1_C)))))</f>
        <v>0</v>
      </c>
      <c r="I434">
        <f>IMPRODUCT("2",IMDIV("1",IMSUM(IMDIV("1",COMPLEX(LDM2_DCR,B434*LDM2_L)),COMPLEX(0,B434*LDM2_CPA))))</f>
        <v>0</v>
      </c>
      <c r="J434">
        <f>IMSUM(IMDIV("1",COMPLEX(CX2_ESR,B434*CX2_ESL-1/(B434*CX2_C))),IMDIV("1",IMSUM(COMPLEX(DUMP2_R,0),COMPLEX(DUMP2_ESR,B434*DUMP2_ESL-1/(B434*DUMP2_C)))))</f>
        <v>0</v>
      </c>
      <c r="K434">
        <f>IMPRODUCT("2",IMDIV("1",IMSUM(IMDIV("1",COMPLEX(CMC_DCR,B434*CMC_L*(1-CMC_K))),COMPLEX(0,B434*CMC_CPA))))</f>
        <v>0</v>
      </c>
      <c r="L434">
        <f>IMSUM(COMPLEX(0,B434*CMC_CLINE),IMDIV("1",IMPRODUCT("2",COMPLEX(CY_ESR,B434*CY_ESL-1/(B434*CY_C)))),COMPLEX(1/DUMMY_R,0))</f>
        <v>0</v>
      </c>
      <c r="M434">
        <f>IMSUM(D434,IMDIV("1",C434))</f>
        <v>0</v>
      </c>
      <c r="N434">
        <f>IMDIV("1",IMSUM(E434,IMDIV("1",M434)))</f>
        <v>0</v>
      </c>
      <c r="O434">
        <f>IMSUM(F434,N434)</f>
        <v>0</v>
      </c>
      <c r="P434">
        <f>IMDIV("1",IMSUM(G434,IMDIV("1",O434)))</f>
        <v>0</v>
      </c>
      <c r="Q434">
        <f>IMSUM(H434,P434)</f>
        <v>0</v>
      </c>
      <c r="R434">
        <f>IMDIV("1",IMSUM(I434,IMDIV("1",Q434)))</f>
        <v>0</v>
      </c>
      <c r="S434">
        <f>IMSUM(J434,R434)</f>
        <v>0</v>
      </c>
      <c r="T434">
        <f>IMDIV("1",IMSUM(K434,IMDIV("1",S434)))</f>
        <v>0</v>
      </c>
      <c r="U434">
        <f>IMSUM(L434,T434)</f>
        <v>0</v>
      </c>
      <c r="V434">
        <f>IMDIV(COMPLEX(I_DM_SOURCE,0),U434)</f>
        <v>0</v>
      </c>
      <c r="W434">
        <f>IMPRODUCT(V434,T434)</f>
        <v>0</v>
      </c>
      <c r="X434">
        <f>IMDIV(W434,S434)</f>
        <v>0</v>
      </c>
      <c r="Y434">
        <f>IMPRODUCT(X434,R434)</f>
        <v>0</v>
      </c>
      <c r="Z434">
        <f>IMDIV(Y434,Q434)</f>
        <v>0</v>
      </c>
      <c r="AA434">
        <f>IMPRODUCT(Z434,P434)</f>
        <v>0</v>
      </c>
      <c r="AB434">
        <f>AA434</f>
        <v>0</v>
      </c>
      <c r="AC434">
        <f>IMPRODUCT("-1",AB434)</f>
        <v>0</v>
      </c>
      <c r="AD434">
        <f>IMDIV(IMSUB(AB434,AC434),"2")</f>
        <v>0</v>
      </c>
      <c r="AE434" s="6">
        <f>IMABS(AB434)</f>
        <v>0</v>
      </c>
      <c r="AF434" s="6">
        <f>IMABS(AC434)</f>
        <v>0</v>
      </c>
      <c r="AG434" s="6">
        <f>IMABS(AD434)</f>
        <v>0</v>
      </c>
      <c r="AH434" s="7">
        <f>20*LOG10(MAX(AE434,1E-300)*1E6)</f>
        <v>0</v>
      </c>
      <c r="AI434" s="7">
        <f>20*LOG10(MAX(AF434,1E-300)*1E6)</f>
        <v>0</v>
      </c>
      <c r="AJ434" s="7">
        <f>20*LOG10(MAX(AG434,1E-300)*1E6)</f>
        <v>0</v>
      </c>
      <c r="AK434" s="7">
        <f>DEGREES(IMARGUMENT(AB434))</f>
        <v>0</v>
      </c>
      <c r="AL434" s="7">
        <f>DEGREES(IMARGUMENT(AC434))</f>
        <v>0</v>
      </c>
      <c r="AM434" s="7">
        <f>DEGREES(IMARGUMENT(AD434))</f>
        <v>0</v>
      </c>
    </row>
    <row r="435" spans="1:39">
      <c r="A435" s="6">
        <f>10^(LOG10(F_START)+(ROW()-ROW($A$2))*(LOG10(F_STOP)-LOG10(F_START))/(N_POINTS-1))</f>
        <v>0</v>
      </c>
      <c r="B435" s="6">
        <f>2*PI()*A435</f>
        <v>0</v>
      </c>
      <c r="C435">
        <f>COMPLEX(2*LINE_PS_DCR,2*B435*LINE_PS_L)</f>
        <v>0</v>
      </c>
      <c r="D435">
        <f>IMSUM(COMPLEX(0,B435*(LINE_PS_CLINE+LINE_PS_CCHA/2)),IMDIV("1",IMPRODUCT("2",COMPLEX(C_THROUGH_ESR,B435*C_THROUGH_ESL-1/(B435*C_THROUGH_C)))))</f>
        <v>0</v>
      </c>
      <c r="E435">
        <f>COMPLEX(2*LINE_INPUT_DCR,2*B435*LINE_INPUT_L)</f>
        <v>0</v>
      </c>
      <c r="F435">
        <f>COMPLEX(0,B435*(LINE_INPUT_CLINE+LINE_INPUT_CCHA/2))</f>
        <v>0</v>
      </c>
      <c r="G435">
        <f>IMPRODUCT("2",IMDIV("1",IMSUM(IMDIV("1",COMPLEX(LDM1_DCR,B435*LDM1_L)),COMPLEX(0,B435*LDM1_CPA))))</f>
        <v>0</v>
      </c>
      <c r="H435">
        <f>IMSUM(IMDIV("1",COMPLEX(CX1_ESR,B435*CX1_ESL-1/(B435*CX1_C))),IMDIV("1",IMSUM(COMPLEX(DUMP1_R,0),COMPLEX(DUMP1_ESR,B435*DUMP1_ESL-1/(B435*DUMP1_C)))))</f>
        <v>0</v>
      </c>
      <c r="I435">
        <f>IMPRODUCT("2",IMDIV("1",IMSUM(IMDIV("1",COMPLEX(LDM2_DCR,B435*LDM2_L)),COMPLEX(0,B435*LDM2_CPA))))</f>
        <v>0</v>
      </c>
      <c r="J435">
        <f>IMSUM(IMDIV("1",COMPLEX(CX2_ESR,B435*CX2_ESL-1/(B435*CX2_C))),IMDIV("1",IMSUM(COMPLEX(DUMP2_R,0),COMPLEX(DUMP2_ESR,B435*DUMP2_ESL-1/(B435*DUMP2_C)))))</f>
        <v>0</v>
      </c>
      <c r="K435">
        <f>IMPRODUCT("2",IMDIV("1",IMSUM(IMDIV("1",COMPLEX(CMC_DCR,B435*CMC_L*(1-CMC_K))),COMPLEX(0,B435*CMC_CPA))))</f>
        <v>0</v>
      </c>
      <c r="L435">
        <f>IMSUM(COMPLEX(0,B435*CMC_CLINE),IMDIV("1",IMPRODUCT("2",COMPLEX(CY_ESR,B435*CY_ESL-1/(B435*CY_C)))),COMPLEX(1/DUMMY_R,0))</f>
        <v>0</v>
      </c>
      <c r="M435">
        <f>IMSUM(D435,IMDIV("1",C435))</f>
        <v>0</v>
      </c>
      <c r="N435">
        <f>IMDIV("1",IMSUM(E435,IMDIV("1",M435)))</f>
        <v>0</v>
      </c>
      <c r="O435">
        <f>IMSUM(F435,N435)</f>
        <v>0</v>
      </c>
      <c r="P435">
        <f>IMDIV("1",IMSUM(G435,IMDIV("1",O435)))</f>
        <v>0</v>
      </c>
      <c r="Q435">
        <f>IMSUM(H435,P435)</f>
        <v>0</v>
      </c>
      <c r="R435">
        <f>IMDIV("1",IMSUM(I435,IMDIV("1",Q435)))</f>
        <v>0</v>
      </c>
      <c r="S435">
        <f>IMSUM(J435,R435)</f>
        <v>0</v>
      </c>
      <c r="T435">
        <f>IMDIV("1",IMSUM(K435,IMDIV("1",S435)))</f>
        <v>0</v>
      </c>
      <c r="U435">
        <f>IMSUM(L435,T435)</f>
        <v>0</v>
      </c>
      <c r="V435">
        <f>IMDIV(COMPLEX(I_DM_SOURCE,0),U435)</f>
        <v>0</v>
      </c>
      <c r="W435">
        <f>IMPRODUCT(V435,T435)</f>
        <v>0</v>
      </c>
      <c r="X435">
        <f>IMDIV(W435,S435)</f>
        <v>0</v>
      </c>
      <c r="Y435">
        <f>IMPRODUCT(X435,R435)</f>
        <v>0</v>
      </c>
      <c r="Z435">
        <f>IMDIV(Y435,Q435)</f>
        <v>0</v>
      </c>
      <c r="AA435">
        <f>IMPRODUCT(Z435,P435)</f>
        <v>0</v>
      </c>
      <c r="AB435">
        <f>AA435</f>
        <v>0</v>
      </c>
      <c r="AC435">
        <f>IMPRODUCT("-1",AB435)</f>
        <v>0</v>
      </c>
      <c r="AD435">
        <f>IMDIV(IMSUB(AB435,AC435),"2")</f>
        <v>0</v>
      </c>
      <c r="AE435" s="6">
        <f>IMABS(AB435)</f>
        <v>0</v>
      </c>
      <c r="AF435" s="6">
        <f>IMABS(AC435)</f>
        <v>0</v>
      </c>
      <c r="AG435" s="6">
        <f>IMABS(AD435)</f>
        <v>0</v>
      </c>
      <c r="AH435" s="7">
        <f>20*LOG10(MAX(AE435,1E-300)*1E6)</f>
        <v>0</v>
      </c>
      <c r="AI435" s="7">
        <f>20*LOG10(MAX(AF435,1E-300)*1E6)</f>
        <v>0</v>
      </c>
      <c r="AJ435" s="7">
        <f>20*LOG10(MAX(AG435,1E-300)*1E6)</f>
        <v>0</v>
      </c>
      <c r="AK435" s="7">
        <f>DEGREES(IMARGUMENT(AB435))</f>
        <v>0</v>
      </c>
      <c r="AL435" s="7">
        <f>DEGREES(IMARGUMENT(AC435))</f>
        <v>0</v>
      </c>
      <c r="AM435" s="7">
        <f>DEGREES(IMARGUMENT(AD435))</f>
        <v>0</v>
      </c>
    </row>
    <row r="436" spans="1:39">
      <c r="A436" s="6">
        <f>10^(LOG10(F_START)+(ROW()-ROW($A$2))*(LOG10(F_STOP)-LOG10(F_START))/(N_POINTS-1))</f>
        <v>0</v>
      </c>
      <c r="B436" s="6">
        <f>2*PI()*A436</f>
        <v>0</v>
      </c>
      <c r="C436">
        <f>COMPLEX(2*LINE_PS_DCR,2*B436*LINE_PS_L)</f>
        <v>0</v>
      </c>
      <c r="D436">
        <f>IMSUM(COMPLEX(0,B436*(LINE_PS_CLINE+LINE_PS_CCHA/2)),IMDIV("1",IMPRODUCT("2",COMPLEX(C_THROUGH_ESR,B436*C_THROUGH_ESL-1/(B436*C_THROUGH_C)))))</f>
        <v>0</v>
      </c>
      <c r="E436">
        <f>COMPLEX(2*LINE_INPUT_DCR,2*B436*LINE_INPUT_L)</f>
        <v>0</v>
      </c>
      <c r="F436">
        <f>COMPLEX(0,B436*(LINE_INPUT_CLINE+LINE_INPUT_CCHA/2))</f>
        <v>0</v>
      </c>
      <c r="G436">
        <f>IMPRODUCT("2",IMDIV("1",IMSUM(IMDIV("1",COMPLEX(LDM1_DCR,B436*LDM1_L)),COMPLEX(0,B436*LDM1_CPA))))</f>
        <v>0</v>
      </c>
      <c r="H436">
        <f>IMSUM(IMDIV("1",COMPLEX(CX1_ESR,B436*CX1_ESL-1/(B436*CX1_C))),IMDIV("1",IMSUM(COMPLEX(DUMP1_R,0),COMPLEX(DUMP1_ESR,B436*DUMP1_ESL-1/(B436*DUMP1_C)))))</f>
        <v>0</v>
      </c>
      <c r="I436">
        <f>IMPRODUCT("2",IMDIV("1",IMSUM(IMDIV("1",COMPLEX(LDM2_DCR,B436*LDM2_L)),COMPLEX(0,B436*LDM2_CPA))))</f>
        <v>0</v>
      </c>
      <c r="J436">
        <f>IMSUM(IMDIV("1",COMPLEX(CX2_ESR,B436*CX2_ESL-1/(B436*CX2_C))),IMDIV("1",IMSUM(COMPLEX(DUMP2_R,0),COMPLEX(DUMP2_ESR,B436*DUMP2_ESL-1/(B436*DUMP2_C)))))</f>
        <v>0</v>
      </c>
      <c r="K436">
        <f>IMPRODUCT("2",IMDIV("1",IMSUM(IMDIV("1",COMPLEX(CMC_DCR,B436*CMC_L*(1-CMC_K))),COMPLEX(0,B436*CMC_CPA))))</f>
        <v>0</v>
      </c>
      <c r="L436">
        <f>IMSUM(COMPLEX(0,B436*CMC_CLINE),IMDIV("1",IMPRODUCT("2",COMPLEX(CY_ESR,B436*CY_ESL-1/(B436*CY_C)))),COMPLEX(1/DUMMY_R,0))</f>
        <v>0</v>
      </c>
      <c r="M436">
        <f>IMSUM(D436,IMDIV("1",C436))</f>
        <v>0</v>
      </c>
      <c r="N436">
        <f>IMDIV("1",IMSUM(E436,IMDIV("1",M436)))</f>
        <v>0</v>
      </c>
      <c r="O436">
        <f>IMSUM(F436,N436)</f>
        <v>0</v>
      </c>
      <c r="P436">
        <f>IMDIV("1",IMSUM(G436,IMDIV("1",O436)))</f>
        <v>0</v>
      </c>
      <c r="Q436">
        <f>IMSUM(H436,P436)</f>
        <v>0</v>
      </c>
      <c r="R436">
        <f>IMDIV("1",IMSUM(I436,IMDIV("1",Q436)))</f>
        <v>0</v>
      </c>
      <c r="S436">
        <f>IMSUM(J436,R436)</f>
        <v>0</v>
      </c>
      <c r="T436">
        <f>IMDIV("1",IMSUM(K436,IMDIV("1",S436)))</f>
        <v>0</v>
      </c>
      <c r="U436">
        <f>IMSUM(L436,T436)</f>
        <v>0</v>
      </c>
      <c r="V436">
        <f>IMDIV(COMPLEX(I_DM_SOURCE,0),U436)</f>
        <v>0</v>
      </c>
      <c r="W436">
        <f>IMPRODUCT(V436,T436)</f>
        <v>0</v>
      </c>
      <c r="X436">
        <f>IMDIV(W436,S436)</f>
        <v>0</v>
      </c>
      <c r="Y436">
        <f>IMPRODUCT(X436,R436)</f>
        <v>0</v>
      </c>
      <c r="Z436">
        <f>IMDIV(Y436,Q436)</f>
        <v>0</v>
      </c>
      <c r="AA436">
        <f>IMPRODUCT(Z436,P436)</f>
        <v>0</v>
      </c>
      <c r="AB436">
        <f>AA436</f>
        <v>0</v>
      </c>
      <c r="AC436">
        <f>IMPRODUCT("-1",AB436)</f>
        <v>0</v>
      </c>
      <c r="AD436">
        <f>IMDIV(IMSUB(AB436,AC436),"2")</f>
        <v>0</v>
      </c>
      <c r="AE436" s="6">
        <f>IMABS(AB436)</f>
        <v>0</v>
      </c>
      <c r="AF436" s="6">
        <f>IMABS(AC436)</f>
        <v>0</v>
      </c>
      <c r="AG436" s="6">
        <f>IMABS(AD436)</f>
        <v>0</v>
      </c>
      <c r="AH436" s="7">
        <f>20*LOG10(MAX(AE436,1E-300)*1E6)</f>
        <v>0</v>
      </c>
      <c r="AI436" s="7">
        <f>20*LOG10(MAX(AF436,1E-300)*1E6)</f>
        <v>0</v>
      </c>
      <c r="AJ436" s="7">
        <f>20*LOG10(MAX(AG436,1E-300)*1E6)</f>
        <v>0</v>
      </c>
      <c r="AK436" s="7">
        <f>DEGREES(IMARGUMENT(AB436))</f>
        <v>0</v>
      </c>
      <c r="AL436" s="7">
        <f>DEGREES(IMARGUMENT(AC436))</f>
        <v>0</v>
      </c>
      <c r="AM436" s="7">
        <f>DEGREES(IMARGUMENT(AD436))</f>
        <v>0</v>
      </c>
    </row>
    <row r="437" spans="1:39">
      <c r="A437" s="6">
        <f>10^(LOG10(F_START)+(ROW()-ROW($A$2))*(LOG10(F_STOP)-LOG10(F_START))/(N_POINTS-1))</f>
        <v>0</v>
      </c>
      <c r="B437" s="6">
        <f>2*PI()*A437</f>
        <v>0</v>
      </c>
      <c r="C437">
        <f>COMPLEX(2*LINE_PS_DCR,2*B437*LINE_PS_L)</f>
        <v>0</v>
      </c>
      <c r="D437">
        <f>IMSUM(COMPLEX(0,B437*(LINE_PS_CLINE+LINE_PS_CCHA/2)),IMDIV("1",IMPRODUCT("2",COMPLEX(C_THROUGH_ESR,B437*C_THROUGH_ESL-1/(B437*C_THROUGH_C)))))</f>
        <v>0</v>
      </c>
      <c r="E437">
        <f>COMPLEX(2*LINE_INPUT_DCR,2*B437*LINE_INPUT_L)</f>
        <v>0</v>
      </c>
      <c r="F437">
        <f>COMPLEX(0,B437*(LINE_INPUT_CLINE+LINE_INPUT_CCHA/2))</f>
        <v>0</v>
      </c>
      <c r="G437">
        <f>IMPRODUCT("2",IMDIV("1",IMSUM(IMDIV("1",COMPLEX(LDM1_DCR,B437*LDM1_L)),COMPLEX(0,B437*LDM1_CPA))))</f>
        <v>0</v>
      </c>
      <c r="H437">
        <f>IMSUM(IMDIV("1",COMPLEX(CX1_ESR,B437*CX1_ESL-1/(B437*CX1_C))),IMDIV("1",IMSUM(COMPLEX(DUMP1_R,0),COMPLEX(DUMP1_ESR,B437*DUMP1_ESL-1/(B437*DUMP1_C)))))</f>
        <v>0</v>
      </c>
      <c r="I437">
        <f>IMPRODUCT("2",IMDIV("1",IMSUM(IMDIV("1",COMPLEX(LDM2_DCR,B437*LDM2_L)),COMPLEX(0,B437*LDM2_CPA))))</f>
        <v>0</v>
      </c>
      <c r="J437">
        <f>IMSUM(IMDIV("1",COMPLEX(CX2_ESR,B437*CX2_ESL-1/(B437*CX2_C))),IMDIV("1",IMSUM(COMPLEX(DUMP2_R,0),COMPLEX(DUMP2_ESR,B437*DUMP2_ESL-1/(B437*DUMP2_C)))))</f>
        <v>0</v>
      </c>
      <c r="K437">
        <f>IMPRODUCT("2",IMDIV("1",IMSUM(IMDIV("1",COMPLEX(CMC_DCR,B437*CMC_L*(1-CMC_K))),COMPLEX(0,B437*CMC_CPA))))</f>
        <v>0</v>
      </c>
      <c r="L437">
        <f>IMSUM(COMPLEX(0,B437*CMC_CLINE),IMDIV("1",IMPRODUCT("2",COMPLEX(CY_ESR,B437*CY_ESL-1/(B437*CY_C)))),COMPLEX(1/DUMMY_R,0))</f>
        <v>0</v>
      </c>
      <c r="M437">
        <f>IMSUM(D437,IMDIV("1",C437))</f>
        <v>0</v>
      </c>
      <c r="N437">
        <f>IMDIV("1",IMSUM(E437,IMDIV("1",M437)))</f>
        <v>0</v>
      </c>
      <c r="O437">
        <f>IMSUM(F437,N437)</f>
        <v>0</v>
      </c>
      <c r="P437">
        <f>IMDIV("1",IMSUM(G437,IMDIV("1",O437)))</f>
        <v>0</v>
      </c>
      <c r="Q437">
        <f>IMSUM(H437,P437)</f>
        <v>0</v>
      </c>
      <c r="R437">
        <f>IMDIV("1",IMSUM(I437,IMDIV("1",Q437)))</f>
        <v>0</v>
      </c>
      <c r="S437">
        <f>IMSUM(J437,R437)</f>
        <v>0</v>
      </c>
      <c r="T437">
        <f>IMDIV("1",IMSUM(K437,IMDIV("1",S437)))</f>
        <v>0</v>
      </c>
      <c r="U437">
        <f>IMSUM(L437,T437)</f>
        <v>0</v>
      </c>
      <c r="V437">
        <f>IMDIV(COMPLEX(I_DM_SOURCE,0),U437)</f>
        <v>0</v>
      </c>
      <c r="W437">
        <f>IMPRODUCT(V437,T437)</f>
        <v>0</v>
      </c>
      <c r="X437">
        <f>IMDIV(W437,S437)</f>
        <v>0</v>
      </c>
      <c r="Y437">
        <f>IMPRODUCT(X437,R437)</f>
        <v>0</v>
      </c>
      <c r="Z437">
        <f>IMDIV(Y437,Q437)</f>
        <v>0</v>
      </c>
      <c r="AA437">
        <f>IMPRODUCT(Z437,P437)</f>
        <v>0</v>
      </c>
      <c r="AB437">
        <f>AA437</f>
        <v>0</v>
      </c>
      <c r="AC437">
        <f>IMPRODUCT("-1",AB437)</f>
        <v>0</v>
      </c>
      <c r="AD437">
        <f>IMDIV(IMSUB(AB437,AC437),"2")</f>
        <v>0</v>
      </c>
      <c r="AE437" s="6">
        <f>IMABS(AB437)</f>
        <v>0</v>
      </c>
      <c r="AF437" s="6">
        <f>IMABS(AC437)</f>
        <v>0</v>
      </c>
      <c r="AG437" s="6">
        <f>IMABS(AD437)</f>
        <v>0</v>
      </c>
      <c r="AH437" s="7">
        <f>20*LOG10(MAX(AE437,1E-300)*1E6)</f>
        <v>0</v>
      </c>
      <c r="AI437" s="7">
        <f>20*LOG10(MAX(AF437,1E-300)*1E6)</f>
        <v>0</v>
      </c>
      <c r="AJ437" s="7">
        <f>20*LOG10(MAX(AG437,1E-300)*1E6)</f>
        <v>0</v>
      </c>
      <c r="AK437" s="7">
        <f>DEGREES(IMARGUMENT(AB437))</f>
        <v>0</v>
      </c>
      <c r="AL437" s="7">
        <f>DEGREES(IMARGUMENT(AC437))</f>
        <v>0</v>
      </c>
      <c r="AM437" s="7">
        <f>DEGREES(IMARGUMENT(AD437))</f>
        <v>0</v>
      </c>
    </row>
    <row r="438" spans="1:39">
      <c r="A438" s="6">
        <f>10^(LOG10(F_START)+(ROW()-ROW($A$2))*(LOG10(F_STOP)-LOG10(F_START))/(N_POINTS-1))</f>
        <v>0</v>
      </c>
      <c r="B438" s="6">
        <f>2*PI()*A438</f>
        <v>0</v>
      </c>
      <c r="C438">
        <f>COMPLEX(2*LINE_PS_DCR,2*B438*LINE_PS_L)</f>
        <v>0</v>
      </c>
      <c r="D438">
        <f>IMSUM(COMPLEX(0,B438*(LINE_PS_CLINE+LINE_PS_CCHA/2)),IMDIV("1",IMPRODUCT("2",COMPLEX(C_THROUGH_ESR,B438*C_THROUGH_ESL-1/(B438*C_THROUGH_C)))))</f>
        <v>0</v>
      </c>
      <c r="E438">
        <f>COMPLEX(2*LINE_INPUT_DCR,2*B438*LINE_INPUT_L)</f>
        <v>0</v>
      </c>
      <c r="F438">
        <f>COMPLEX(0,B438*(LINE_INPUT_CLINE+LINE_INPUT_CCHA/2))</f>
        <v>0</v>
      </c>
      <c r="G438">
        <f>IMPRODUCT("2",IMDIV("1",IMSUM(IMDIV("1",COMPLEX(LDM1_DCR,B438*LDM1_L)),COMPLEX(0,B438*LDM1_CPA))))</f>
        <v>0</v>
      </c>
      <c r="H438">
        <f>IMSUM(IMDIV("1",COMPLEX(CX1_ESR,B438*CX1_ESL-1/(B438*CX1_C))),IMDIV("1",IMSUM(COMPLEX(DUMP1_R,0),COMPLEX(DUMP1_ESR,B438*DUMP1_ESL-1/(B438*DUMP1_C)))))</f>
        <v>0</v>
      </c>
      <c r="I438">
        <f>IMPRODUCT("2",IMDIV("1",IMSUM(IMDIV("1",COMPLEX(LDM2_DCR,B438*LDM2_L)),COMPLEX(0,B438*LDM2_CPA))))</f>
        <v>0</v>
      </c>
      <c r="J438">
        <f>IMSUM(IMDIV("1",COMPLEX(CX2_ESR,B438*CX2_ESL-1/(B438*CX2_C))),IMDIV("1",IMSUM(COMPLEX(DUMP2_R,0),COMPLEX(DUMP2_ESR,B438*DUMP2_ESL-1/(B438*DUMP2_C)))))</f>
        <v>0</v>
      </c>
      <c r="K438">
        <f>IMPRODUCT("2",IMDIV("1",IMSUM(IMDIV("1",COMPLEX(CMC_DCR,B438*CMC_L*(1-CMC_K))),COMPLEX(0,B438*CMC_CPA))))</f>
        <v>0</v>
      </c>
      <c r="L438">
        <f>IMSUM(COMPLEX(0,B438*CMC_CLINE),IMDIV("1",IMPRODUCT("2",COMPLEX(CY_ESR,B438*CY_ESL-1/(B438*CY_C)))),COMPLEX(1/DUMMY_R,0))</f>
        <v>0</v>
      </c>
      <c r="M438">
        <f>IMSUM(D438,IMDIV("1",C438))</f>
        <v>0</v>
      </c>
      <c r="N438">
        <f>IMDIV("1",IMSUM(E438,IMDIV("1",M438)))</f>
        <v>0</v>
      </c>
      <c r="O438">
        <f>IMSUM(F438,N438)</f>
        <v>0</v>
      </c>
      <c r="P438">
        <f>IMDIV("1",IMSUM(G438,IMDIV("1",O438)))</f>
        <v>0</v>
      </c>
      <c r="Q438">
        <f>IMSUM(H438,P438)</f>
        <v>0</v>
      </c>
      <c r="R438">
        <f>IMDIV("1",IMSUM(I438,IMDIV("1",Q438)))</f>
        <v>0</v>
      </c>
      <c r="S438">
        <f>IMSUM(J438,R438)</f>
        <v>0</v>
      </c>
      <c r="T438">
        <f>IMDIV("1",IMSUM(K438,IMDIV("1",S438)))</f>
        <v>0</v>
      </c>
      <c r="U438">
        <f>IMSUM(L438,T438)</f>
        <v>0</v>
      </c>
      <c r="V438">
        <f>IMDIV(COMPLEX(I_DM_SOURCE,0),U438)</f>
        <v>0</v>
      </c>
      <c r="W438">
        <f>IMPRODUCT(V438,T438)</f>
        <v>0</v>
      </c>
      <c r="X438">
        <f>IMDIV(W438,S438)</f>
        <v>0</v>
      </c>
      <c r="Y438">
        <f>IMPRODUCT(X438,R438)</f>
        <v>0</v>
      </c>
      <c r="Z438">
        <f>IMDIV(Y438,Q438)</f>
        <v>0</v>
      </c>
      <c r="AA438">
        <f>IMPRODUCT(Z438,P438)</f>
        <v>0</v>
      </c>
      <c r="AB438">
        <f>AA438</f>
        <v>0</v>
      </c>
      <c r="AC438">
        <f>IMPRODUCT("-1",AB438)</f>
        <v>0</v>
      </c>
      <c r="AD438">
        <f>IMDIV(IMSUB(AB438,AC438),"2")</f>
        <v>0</v>
      </c>
      <c r="AE438" s="6">
        <f>IMABS(AB438)</f>
        <v>0</v>
      </c>
      <c r="AF438" s="6">
        <f>IMABS(AC438)</f>
        <v>0</v>
      </c>
      <c r="AG438" s="6">
        <f>IMABS(AD438)</f>
        <v>0</v>
      </c>
      <c r="AH438" s="7">
        <f>20*LOG10(MAX(AE438,1E-300)*1E6)</f>
        <v>0</v>
      </c>
      <c r="AI438" s="7">
        <f>20*LOG10(MAX(AF438,1E-300)*1E6)</f>
        <v>0</v>
      </c>
      <c r="AJ438" s="7">
        <f>20*LOG10(MAX(AG438,1E-300)*1E6)</f>
        <v>0</v>
      </c>
      <c r="AK438" s="7">
        <f>DEGREES(IMARGUMENT(AB438))</f>
        <v>0</v>
      </c>
      <c r="AL438" s="7">
        <f>DEGREES(IMARGUMENT(AC438))</f>
        <v>0</v>
      </c>
      <c r="AM438" s="7">
        <f>DEGREES(IMARGUMENT(AD438))</f>
        <v>0</v>
      </c>
    </row>
    <row r="439" spans="1:39">
      <c r="A439" s="6">
        <f>10^(LOG10(F_START)+(ROW()-ROW($A$2))*(LOG10(F_STOP)-LOG10(F_START))/(N_POINTS-1))</f>
        <v>0</v>
      </c>
      <c r="B439" s="6">
        <f>2*PI()*A439</f>
        <v>0</v>
      </c>
      <c r="C439">
        <f>COMPLEX(2*LINE_PS_DCR,2*B439*LINE_PS_L)</f>
        <v>0</v>
      </c>
      <c r="D439">
        <f>IMSUM(COMPLEX(0,B439*(LINE_PS_CLINE+LINE_PS_CCHA/2)),IMDIV("1",IMPRODUCT("2",COMPLEX(C_THROUGH_ESR,B439*C_THROUGH_ESL-1/(B439*C_THROUGH_C)))))</f>
        <v>0</v>
      </c>
      <c r="E439">
        <f>COMPLEX(2*LINE_INPUT_DCR,2*B439*LINE_INPUT_L)</f>
        <v>0</v>
      </c>
      <c r="F439">
        <f>COMPLEX(0,B439*(LINE_INPUT_CLINE+LINE_INPUT_CCHA/2))</f>
        <v>0</v>
      </c>
      <c r="G439">
        <f>IMPRODUCT("2",IMDIV("1",IMSUM(IMDIV("1",COMPLEX(LDM1_DCR,B439*LDM1_L)),COMPLEX(0,B439*LDM1_CPA))))</f>
        <v>0</v>
      </c>
      <c r="H439">
        <f>IMSUM(IMDIV("1",COMPLEX(CX1_ESR,B439*CX1_ESL-1/(B439*CX1_C))),IMDIV("1",IMSUM(COMPLEX(DUMP1_R,0),COMPLEX(DUMP1_ESR,B439*DUMP1_ESL-1/(B439*DUMP1_C)))))</f>
        <v>0</v>
      </c>
      <c r="I439">
        <f>IMPRODUCT("2",IMDIV("1",IMSUM(IMDIV("1",COMPLEX(LDM2_DCR,B439*LDM2_L)),COMPLEX(0,B439*LDM2_CPA))))</f>
        <v>0</v>
      </c>
      <c r="J439">
        <f>IMSUM(IMDIV("1",COMPLEX(CX2_ESR,B439*CX2_ESL-1/(B439*CX2_C))),IMDIV("1",IMSUM(COMPLEX(DUMP2_R,0),COMPLEX(DUMP2_ESR,B439*DUMP2_ESL-1/(B439*DUMP2_C)))))</f>
        <v>0</v>
      </c>
      <c r="K439">
        <f>IMPRODUCT("2",IMDIV("1",IMSUM(IMDIV("1",COMPLEX(CMC_DCR,B439*CMC_L*(1-CMC_K))),COMPLEX(0,B439*CMC_CPA))))</f>
        <v>0</v>
      </c>
      <c r="L439">
        <f>IMSUM(COMPLEX(0,B439*CMC_CLINE),IMDIV("1",IMPRODUCT("2",COMPLEX(CY_ESR,B439*CY_ESL-1/(B439*CY_C)))),COMPLEX(1/DUMMY_R,0))</f>
        <v>0</v>
      </c>
      <c r="M439">
        <f>IMSUM(D439,IMDIV("1",C439))</f>
        <v>0</v>
      </c>
      <c r="N439">
        <f>IMDIV("1",IMSUM(E439,IMDIV("1",M439)))</f>
        <v>0</v>
      </c>
      <c r="O439">
        <f>IMSUM(F439,N439)</f>
        <v>0</v>
      </c>
      <c r="P439">
        <f>IMDIV("1",IMSUM(G439,IMDIV("1",O439)))</f>
        <v>0</v>
      </c>
      <c r="Q439">
        <f>IMSUM(H439,P439)</f>
        <v>0</v>
      </c>
      <c r="R439">
        <f>IMDIV("1",IMSUM(I439,IMDIV("1",Q439)))</f>
        <v>0</v>
      </c>
      <c r="S439">
        <f>IMSUM(J439,R439)</f>
        <v>0</v>
      </c>
      <c r="T439">
        <f>IMDIV("1",IMSUM(K439,IMDIV("1",S439)))</f>
        <v>0</v>
      </c>
      <c r="U439">
        <f>IMSUM(L439,T439)</f>
        <v>0</v>
      </c>
      <c r="V439">
        <f>IMDIV(COMPLEX(I_DM_SOURCE,0),U439)</f>
        <v>0</v>
      </c>
      <c r="W439">
        <f>IMPRODUCT(V439,T439)</f>
        <v>0</v>
      </c>
      <c r="X439">
        <f>IMDIV(W439,S439)</f>
        <v>0</v>
      </c>
      <c r="Y439">
        <f>IMPRODUCT(X439,R439)</f>
        <v>0</v>
      </c>
      <c r="Z439">
        <f>IMDIV(Y439,Q439)</f>
        <v>0</v>
      </c>
      <c r="AA439">
        <f>IMPRODUCT(Z439,P439)</f>
        <v>0</v>
      </c>
      <c r="AB439">
        <f>AA439</f>
        <v>0</v>
      </c>
      <c r="AC439">
        <f>IMPRODUCT("-1",AB439)</f>
        <v>0</v>
      </c>
      <c r="AD439">
        <f>IMDIV(IMSUB(AB439,AC439),"2")</f>
        <v>0</v>
      </c>
      <c r="AE439" s="6">
        <f>IMABS(AB439)</f>
        <v>0</v>
      </c>
      <c r="AF439" s="6">
        <f>IMABS(AC439)</f>
        <v>0</v>
      </c>
      <c r="AG439" s="6">
        <f>IMABS(AD439)</f>
        <v>0</v>
      </c>
      <c r="AH439" s="7">
        <f>20*LOG10(MAX(AE439,1E-300)*1E6)</f>
        <v>0</v>
      </c>
      <c r="AI439" s="7">
        <f>20*LOG10(MAX(AF439,1E-300)*1E6)</f>
        <v>0</v>
      </c>
      <c r="AJ439" s="7">
        <f>20*LOG10(MAX(AG439,1E-300)*1E6)</f>
        <v>0</v>
      </c>
      <c r="AK439" s="7">
        <f>DEGREES(IMARGUMENT(AB439))</f>
        <v>0</v>
      </c>
      <c r="AL439" s="7">
        <f>DEGREES(IMARGUMENT(AC439))</f>
        <v>0</v>
      </c>
      <c r="AM439" s="7">
        <f>DEGREES(IMARGUMENT(AD439))</f>
        <v>0</v>
      </c>
    </row>
    <row r="440" spans="1:39">
      <c r="A440" s="6">
        <f>10^(LOG10(F_START)+(ROW()-ROW($A$2))*(LOG10(F_STOP)-LOG10(F_START))/(N_POINTS-1))</f>
        <v>0</v>
      </c>
      <c r="B440" s="6">
        <f>2*PI()*A440</f>
        <v>0</v>
      </c>
      <c r="C440">
        <f>COMPLEX(2*LINE_PS_DCR,2*B440*LINE_PS_L)</f>
        <v>0</v>
      </c>
      <c r="D440">
        <f>IMSUM(COMPLEX(0,B440*(LINE_PS_CLINE+LINE_PS_CCHA/2)),IMDIV("1",IMPRODUCT("2",COMPLEX(C_THROUGH_ESR,B440*C_THROUGH_ESL-1/(B440*C_THROUGH_C)))))</f>
        <v>0</v>
      </c>
      <c r="E440">
        <f>COMPLEX(2*LINE_INPUT_DCR,2*B440*LINE_INPUT_L)</f>
        <v>0</v>
      </c>
      <c r="F440">
        <f>COMPLEX(0,B440*(LINE_INPUT_CLINE+LINE_INPUT_CCHA/2))</f>
        <v>0</v>
      </c>
      <c r="G440">
        <f>IMPRODUCT("2",IMDIV("1",IMSUM(IMDIV("1",COMPLEX(LDM1_DCR,B440*LDM1_L)),COMPLEX(0,B440*LDM1_CPA))))</f>
        <v>0</v>
      </c>
      <c r="H440">
        <f>IMSUM(IMDIV("1",COMPLEX(CX1_ESR,B440*CX1_ESL-1/(B440*CX1_C))),IMDIV("1",IMSUM(COMPLEX(DUMP1_R,0),COMPLEX(DUMP1_ESR,B440*DUMP1_ESL-1/(B440*DUMP1_C)))))</f>
        <v>0</v>
      </c>
      <c r="I440">
        <f>IMPRODUCT("2",IMDIV("1",IMSUM(IMDIV("1",COMPLEX(LDM2_DCR,B440*LDM2_L)),COMPLEX(0,B440*LDM2_CPA))))</f>
        <v>0</v>
      </c>
      <c r="J440">
        <f>IMSUM(IMDIV("1",COMPLEX(CX2_ESR,B440*CX2_ESL-1/(B440*CX2_C))),IMDIV("1",IMSUM(COMPLEX(DUMP2_R,0),COMPLEX(DUMP2_ESR,B440*DUMP2_ESL-1/(B440*DUMP2_C)))))</f>
        <v>0</v>
      </c>
      <c r="K440">
        <f>IMPRODUCT("2",IMDIV("1",IMSUM(IMDIV("1",COMPLEX(CMC_DCR,B440*CMC_L*(1-CMC_K))),COMPLEX(0,B440*CMC_CPA))))</f>
        <v>0</v>
      </c>
      <c r="L440">
        <f>IMSUM(COMPLEX(0,B440*CMC_CLINE),IMDIV("1",IMPRODUCT("2",COMPLEX(CY_ESR,B440*CY_ESL-1/(B440*CY_C)))),COMPLEX(1/DUMMY_R,0))</f>
        <v>0</v>
      </c>
      <c r="M440">
        <f>IMSUM(D440,IMDIV("1",C440))</f>
        <v>0</v>
      </c>
      <c r="N440">
        <f>IMDIV("1",IMSUM(E440,IMDIV("1",M440)))</f>
        <v>0</v>
      </c>
      <c r="O440">
        <f>IMSUM(F440,N440)</f>
        <v>0</v>
      </c>
      <c r="P440">
        <f>IMDIV("1",IMSUM(G440,IMDIV("1",O440)))</f>
        <v>0</v>
      </c>
      <c r="Q440">
        <f>IMSUM(H440,P440)</f>
        <v>0</v>
      </c>
      <c r="R440">
        <f>IMDIV("1",IMSUM(I440,IMDIV("1",Q440)))</f>
        <v>0</v>
      </c>
      <c r="S440">
        <f>IMSUM(J440,R440)</f>
        <v>0</v>
      </c>
      <c r="T440">
        <f>IMDIV("1",IMSUM(K440,IMDIV("1",S440)))</f>
        <v>0</v>
      </c>
      <c r="U440">
        <f>IMSUM(L440,T440)</f>
        <v>0</v>
      </c>
      <c r="V440">
        <f>IMDIV(COMPLEX(I_DM_SOURCE,0),U440)</f>
        <v>0</v>
      </c>
      <c r="W440">
        <f>IMPRODUCT(V440,T440)</f>
        <v>0</v>
      </c>
      <c r="X440">
        <f>IMDIV(W440,S440)</f>
        <v>0</v>
      </c>
      <c r="Y440">
        <f>IMPRODUCT(X440,R440)</f>
        <v>0</v>
      </c>
      <c r="Z440">
        <f>IMDIV(Y440,Q440)</f>
        <v>0</v>
      </c>
      <c r="AA440">
        <f>IMPRODUCT(Z440,P440)</f>
        <v>0</v>
      </c>
      <c r="AB440">
        <f>AA440</f>
        <v>0</v>
      </c>
      <c r="AC440">
        <f>IMPRODUCT("-1",AB440)</f>
        <v>0</v>
      </c>
      <c r="AD440">
        <f>IMDIV(IMSUB(AB440,AC440),"2")</f>
        <v>0</v>
      </c>
      <c r="AE440" s="6">
        <f>IMABS(AB440)</f>
        <v>0</v>
      </c>
      <c r="AF440" s="6">
        <f>IMABS(AC440)</f>
        <v>0</v>
      </c>
      <c r="AG440" s="6">
        <f>IMABS(AD440)</f>
        <v>0</v>
      </c>
      <c r="AH440" s="7">
        <f>20*LOG10(MAX(AE440,1E-300)*1E6)</f>
        <v>0</v>
      </c>
      <c r="AI440" s="7">
        <f>20*LOG10(MAX(AF440,1E-300)*1E6)</f>
        <v>0</v>
      </c>
      <c r="AJ440" s="7">
        <f>20*LOG10(MAX(AG440,1E-300)*1E6)</f>
        <v>0</v>
      </c>
      <c r="AK440" s="7">
        <f>DEGREES(IMARGUMENT(AB440))</f>
        <v>0</v>
      </c>
      <c r="AL440" s="7">
        <f>DEGREES(IMARGUMENT(AC440))</f>
        <v>0</v>
      </c>
      <c r="AM440" s="7">
        <f>DEGREES(IMARGUMENT(AD440))</f>
        <v>0</v>
      </c>
    </row>
    <row r="441" spans="1:39">
      <c r="A441" s="6">
        <f>10^(LOG10(F_START)+(ROW()-ROW($A$2))*(LOG10(F_STOP)-LOG10(F_START))/(N_POINTS-1))</f>
        <v>0</v>
      </c>
      <c r="B441" s="6">
        <f>2*PI()*A441</f>
        <v>0</v>
      </c>
      <c r="C441">
        <f>COMPLEX(2*LINE_PS_DCR,2*B441*LINE_PS_L)</f>
        <v>0</v>
      </c>
      <c r="D441">
        <f>IMSUM(COMPLEX(0,B441*(LINE_PS_CLINE+LINE_PS_CCHA/2)),IMDIV("1",IMPRODUCT("2",COMPLEX(C_THROUGH_ESR,B441*C_THROUGH_ESL-1/(B441*C_THROUGH_C)))))</f>
        <v>0</v>
      </c>
      <c r="E441">
        <f>COMPLEX(2*LINE_INPUT_DCR,2*B441*LINE_INPUT_L)</f>
        <v>0</v>
      </c>
      <c r="F441">
        <f>COMPLEX(0,B441*(LINE_INPUT_CLINE+LINE_INPUT_CCHA/2))</f>
        <v>0</v>
      </c>
      <c r="G441">
        <f>IMPRODUCT("2",IMDIV("1",IMSUM(IMDIV("1",COMPLEX(LDM1_DCR,B441*LDM1_L)),COMPLEX(0,B441*LDM1_CPA))))</f>
        <v>0</v>
      </c>
      <c r="H441">
        <f>IMSUM(IMDIV("1",COMPLEX(CX1_ESR,B441*CX1_ESL-1/(B441*CX1_C))),IMDIV("1",IMSUM(COMPLEX(DUMP1_R,0),COMPLEX(DUMP1_ESR,B441*DUMP1_ESL-1/(B441*DUMP1_C)))))</f>
        <v>0</v>
      </c>
      <c r="I441">
        <f>IMPRODUCT("2",IMDIV("1",IMSUM(IMDIV("1",COMPLEX(LDM2_DCR,B441*LDM2_L)),COMPLEX(0,B441*LDM2_CPA))))</f>
        <v>0</v>
      </c>
      <c r="J441">
        <f>IMSUM(IMDIV("1",COMPLEX(CX2_ESR,B441*CX2_ESL-1/(B441*CX2_C))),IMDIV("1",IMSUM(COMPLEX(DUMP2_R,0),COMPLEX(DUMP2_ESR,B441*DUMP2_ESL-1/(B441*DUMP2_C)))))</f>
        <v>0</v>
      </c>
      <c r="K441">
        <f>IMPRODUCT("2",IMDIV("1",IMSUM(IMDIV("1",COMPLEX(CMC_DCR,B441*CMC_L*(1-CMC_K))),COMPLEX(0,B441*CMC_CPA))))</f>
        <v>0</v>
      </c>
      <c r="L441">
        <f>IMSUM(COMPLEX(0,B441*CMC_CLINE),IMDIV("1",IMPRODUCT("2",COMPLEX(CY_ESR,B441*CY_ESL-1/(B441*CY_C)))),COMPLEX(1/DUMMY_R,0))</f>
        <v>0</v>
      </c>
      <c r="M441">
        <f>IMSUM(D441,IMDIV("1",C441))</f>
        <v>0</v>
      </c>
      <c r="N441">
        <f>IMDIV("1",IMSUM(E441,IMDIV("1",M441)))</f>
        <v>0</v>
      </c>
      <c r="O441">
        <f>IMSUM(F441,N441)</f>
        <v>0</v>
      </c>
      <c r="P441">
        <f>IMDIV("1",IMSUM(G441,IMDIV("1",O441)))</f>
        <v>0</v>
      </c>
      <c r="Q441">
        <f>IMSUM(H441,P441)</f>
        <v>0</v>
      </c>
      <c r="R441">
        <f>IMDIV("1",IMSUM(I441,IMDIV("1",Q441)))</f>
        <v>0</v>
      </c>
      <c r="S441">
        <f>IMSUM(J441,R441)</f>
        <v>0</v>
      </c>
      <c r="T441">
        <f>IMDIV("1",IMSUM(K441,IMDIV("1",S441)))</f>
        <v>0</v>
      </c>
      <c r="U441">
        <f>IMSUM(L441,T441)</f>
        <v>0</v>
      </c>
      <c r="V441">
        <f>IMDIV(COMPLEX(I_DM_SOURCE,0),U441)</f>
        <v>0</v>
      </c>
      <c r="W441">
        <f>IMPRODUCT(V441,T441)</f>
        <v>0</v>
      </c>
      <c r="X441">
        <f>IMDIV(W441,S441)</f>
        <v>0</v>
      </c>
      <c r="Y441">
        <f>IMPRODUCT(X441,R441)</f>
        <v>0</v>
      </c>
      <c r="Z441">
        <f>IMDIV(Y441,Q441)</f>
        <v>0</v>
      </c>
      <c r="AA441">
        <f>IMPRODUCT(Z441,P441)</f>
        <v>0</v>
      </c>
      <c r="AB441">
        <f>AA441</f>
        <v>0</v>
      </c>
      <c r="AC441">
        <f>IMPRODUCT("-1",AB441)</f>
        <v>0</v>
      </c>
      <c r="AD441">
        <f>IMDIV(IMSUB(AB441,AC441),"2")</f>
        <v>0</v>
      </c>
      <c r="AE441" s="6">
        <f>IMABS(AB441)</f>
        <v>0</v>
      </c>
      <c r="AF441" s="6">
        <f>IMABS(AC441)</f>
        <v>0</v>
      </c>
      <c r="AG441" s="6">
        <f>IMABS(AD441)</f>
        <v>0</v>
      </c>
      <c r="AH441" s="7">
        <f>20*LOG10(MAX(AE441,1E-300)*1E6)</f>
        <v>0</v>
      </c>
      <c r="AI441" s="7">
        <f>20*LOG10(MAX(AF441,1E-300)*1E6)</f>
        <v>0</v>
      </c>
      <c r="AJ441" s="7">
        <f>20*LOG10(MAX(AG441,1E-300)*1E6)</f>
        <v>0</v>
      </c>
      <c r="AK441" s="7">
        <f>DEGREES(IMARGUMENT(AB441))</f>
        <v>0</v>
      </c>
      <c r="AL441" s="7">
        <f>DEGREES(IMARGUMENT(AC441))</f>
        <v>0</v>
      </c>
      <c r="AM441" s="7">
        <f>DEGREES(IMARGUMENT(AD441))</f>
        <v>0</v>
      </c>
    </row>
    <row r="442" spans="1:39">
      <c r="A442" s="6">
        <f>10^(LOG10(F_START)+(ROW()-ROW($A$2))*(LOG10(F_STOP)-LOG10(F_START))/(N_POINTS-1))</f>
        <v>0</v>
      </c>
      <c r="B442" s="6">
        <f>2*PI()*A442</f>
        <v>0</v>
      </c>
      <c r="C442">
        <f>COMPLEX(2*LINE_PS_DCR,2*B442*LINE_PS_L)</f>
        <v>0</v>
      </c>
      <c r="D442">
        <f>IMSUM(COMPLEX(0,B442*(LINE_PS_CLINE+LINE_PS_CCHA/2)),IMDIV("1",IMPRODUCT("2",COMPLEX(C_THROUGH_ESR,B442*C_THROUGH_ESL-1/(B442*C_THROUGH_C)))))</f>
        <v>0</v>
      </c>
      <c r="E442">
        <f>COMPLEX(2*LINE_INPUT_DCR,2*B442*LINE_INPUT_L)</f>
        <v>0</v>
      </c>
      <c r="F442">
        <f>COMPLEX(0,B442*(LINE_INPUT_CLINE+LINE_INPUT_CCHA/2))</f>
        <v>0</v>
      </c>
      <c r="G442">
        <f>IMPRODUCT("2",IMDIV("1",IMSUM(IMDIV("1",COMPLEX(LDM1_DCR,B442*LDM1_L)),COMPLEX(0,B442*LDM1_CPA))))</f>
        <v>0</v>
      </c>
      <c r="H442">
        <f>IMSUM(IMDIV("1",COMPLEX(CX1_ESR,B442*CX1_ESL-1/(B442*CX1_C))),IMDIV("1",IMSUM(COMPLEX(DUMP1_R,0),COMPLEX(DUMP1_ESR,B442*DUMP1_ESL-1/(B442*DUMP1_C)))))</f>
        <v>0</v>
      </c>
      <c r="I442">
        <f>IMPRODUCT("2",IMDIV("1",IMSUM(IMDIV("1",COMPLEX(LDM2_DCR,B442*LDM2_L)),COMPLEX(0,B442*LDM2_CPA))))</f>
        <v>0</v>
      </c>
      <c r="J442">
        <f>IMSUM(IMDIV("1",COMPLEX(CX2_ESR,B442*CX2_ESL-1/(B442*CX2_C))),IMDIV("1",IMSUM(COMPLEX(DUMP2_R,0),COMPLEX(DUMP2_ESR,B442*DUMP2_ESL-1/(B442*DUMP2_C)))))</f>
        <v>0</v>
      </c>
      <c r="K442">
        <f>IMPRODUCT("2",IMDIV("1",IMSUM(IMDIV("1",COMPLEX(CMC_DCR,B442*CMC_L*(1-CMC_K))),COMPLEX(0,B442*CMC_CPA))))</f>
        <v>0</v>
      </c>
      <c r="L442">
        <f>IMSUM(COMPLEX(0,B442*CMC_CLINE),IMDIV("1",IMPRODUCT("2",COMPLEX(CY_ESR,B442*CY_ESL-1/(B442*CY_C)))),COMPLEX(1/DUMMY_R,0))</f>
        <v>0</v>
      </c>
      <c r="M442">
        <f>IMSUM(D442,IMDIV("1",C442))</f>
        <v>0</v>
      </c>
      <c r="N442">
        <f>IMDIV("1",IMSUM(E442,IMDIV("1",M442)))</f>
        <v>0</v>
      </c>
      <c r="O442">
        <f>IMSUM(F442,N442)</f>
        <v>0</v>
      </c>
      <c r="P442">
        <f>IMDIV("1",IMSUM(G442,IMDIV("1",O442)))</f>
        <v>0</v>
      </c>
      <c r="Q442">
        <f>IMSUM(H442,P442)</f>
        <v>0</v>
      </c>
      <c r="R442">
        <f>IMDIV("1",IMSUM(I442,IMDIV("1",Q442)))</f>
        <v>0</v>
      </c>
      <c r="S442">
        <f>IMSUM(J442,R442)</f>
        <v>0</v>
      </c>
      <c r="T442">
        <f>IMDIV("1",IMSUM(K442,IMDIV("1",S442)))</f>
        <v>0</v>
      </c>
      <c r="U442">
        <f>IMSUM(L442,T442)</f>
        <v>0</v>
      </c>
      <c r="V442">
        <f>IMDIV(COMPLEX(I_DM_SOURCE,0),U442)</f>
        <v>0</v>
      </c>
      <c r="W442">
        <f>IMPRODUCT(V442,T442)</f>
        <v>0</v>
      </c>
      <c r="X442">
        <f>IMDIV(W442,S442)</f>
        <v>0</v>
      </c>
      <c r="Y442">
        <f>IMPRODUCT(X442,R442)</f>
        <v>0</v>
      </c>
      <c r="Z442">
        <f>IMDIV(Y442,Q442)</f>
        <v>0</v>
      </c>
      <c r="AA442">
        <f>IMPRODUCT(Z442,P442)</f>
        <v>0</v>
      </c>
      <c r="AB442">
        <f>AA442</f>
        <v>0</v>
      </c>
      <c r="AC442">
        <f>IMPRODUCT("-1",AB442)</f>
        <v>0</v>
      </c>
      <c r="AD442">
        <f>IMDIV(IMSUB(AB442,AC442),"2")</f>
        <v>0</v>
      </c>
      <c r="AE442" s="6">
        <f>IMABS(AB442)</f>
        <v>0</v>
      </c>
      <c r="AF442" s="6">
        <f>IMABS(AC442)</f>
        <v>0</v>
      </c>
      <c r="AG442" s="6">
        <f>IMABS(AD442)</f>
        <v>0</v>
      </c>
      <c r="AH442" s="7">
        <f>20*LOG10(MAX(AE442,1E-300)*1E6)</f>
        <v>0</v>
      </c>
      <c r="AI442" s="7">
        <f>20*LOG10(MAX(AF442,1E-300)*1E6)</f>
        <v>0</v>
      </c>
      <c r="AJ442" s="7">
        <f>20*LOG10(MAX(AG442,1E-300)*1E6)</f>
        <v>0</v>
      </c>
      <c r="AK442" s="7">
        <f>DEGREES(IMARGUMENT(AB442))</f>
        <v>0</v>
      </c>
      <c r="AL442" s="7">
        <f>DEGREES(IMARGUMENT(AC442))</f>
        <v>0</v>
      </c>
      <c r="AM442" s="7">
        <f>DEGREES(IMARGUMENT(AD442))</f>
        <v>0</v>
      </c>
    </row>
    <row r="443" spans="1:39">
      <c r="A443" s="6">
        <f>10^(LOG10(F_START)+(ROW()-ROW($A$2))*(LOG10(F_STOP)-LOG10(F_START))/(N_POINTS-1))</f>
        <v>0</v>
      </c>
      <c r="B443" s="6">
        <f>2*PI()*A443</f>
        <v>0</v>
      </c>
      <c r="C443">
        <f>COMPLEX(2*LINE_PS_DCR,2*B443*LINE_PS_L)</f>
        <v>0</v>
      </c>
      <c r="D443">
        <f>IMSUM(COMPLEX(0,B443*(LINE_PS_CLINE+LINE_PS_CCHA/2)),IMDIV("1",IMPRODUCT("2",COMPLEX(C_THROUGH_ESR,B443*C_THROUGH_ESL-1/(B443*C_THROUGH_C)))))</f>
        <v>0</v>
      </c>
      <c r="E443">
        <f>COMPLEX(2*LINE_INPUT_DCR,2*B443*LINE_INPUT_L)</f>
        <v>0</v>
      </c>
      <c r="F443">
        <f>COMPLEX(0,B443*(LINE_INPUT_CLINE+LINE_INPUT_CCHA/2))</f>
        <v>0</v>
      </c>
      <c r="G443">
        <f>IMPRODUCT("2",IMDIV("1",IMSUM(IMDIV("1",COMPLEX(LDM1_DCR,B443*LDM1_L)),COMPLEX(0,B443*LDM1_CPA))))</f>
        <v>0</v>
      </c>
      <c r="H443">
        <f>IMSUM(IMDIV("1",COMPLEX(CX1_ESR,B443*CX1_ESL-1/(B443*CX1_C))),IMDIV("1",IMSUM(COMPLEX(DUMP1_R,0),COMPLEX(DUMP1_ESR,B443*DUMP1_ESL-1/(B443*DUMP1_C)))))</f>
        <v>0</v>
      </c>
      <c r="I443">
        <f>IMPRODUCT("2",IMDIV("1",IMSUM(IMDIV("1",COMPLEX(LDM2_DCR,B443*LDM2_L)),COMPLEX(0,B443*LDM2_CPA))))</f>
        <v>0</v>
      </c>
      <c r="J443">
        <f>IMSUM(IMDIV("1",COMPLEX(CX2_ESR,B443*CX2_ESL-1/(B443*CX2_C))),IMDIV("1",IMSUM(COMPLEX(DUMP2_R,0),COMPLEX(DUMP2_ESR,B443*DUMP2_ESL-1/(B443*DUMP2_C)))))</f>
        <v>0</v>
      </c>
      <c r="K443">
        <f>IMPRODUCT("2",IMDIV("1",IMSUM(IMDIV("1",COMPLEX(CMC_DCR,B443*CMC_L*(1-CMC_K))),COMPLEX(0,B443*CMC_CPA))))</f>
        <v>0</v>
      </c>
      <c r="L443">
        <f>IMSUM(COMPLEX(0,B443*CMC_CLINE),IMDIV("1",IMPRODUCT("2",COMPLEX(CY_ESR,B443*CY_ESL-1/(B443*CY_C)))),COMPLEX(1/DUMMY_R,0))</f>
        <v>0</v>
      </c>
      <c r="M443">
        <f>IMSUM(D443,IMDIV("1",C443))</f>
        <v>0</v>
      </c>
      <c r="N443">
        <f>IMDIV("1",IMSUM(E443,IMDIV("1",M443)))</f>
        <v>0</v>
      </c>
      <c r="O443">
        <f>IMSUM(F443,N443)</f>
        <v>0</v>
      </c>
      <c r="P443">
        <f>IMDIV("1",IMSUM(G443,IMDIV("1",O443)))</f>
        <v>0</v>
      </c>
      <c r="Q443">
        <f>IMSUM(H443,P443)</f>
        <v>0</v>
      </c>
      <c r="R443">
        <f>IMDIV("1",IMSUM(I443,IMDIV("1",Q443)))</f>
        <v>0</v>
      </c>
      <c r="S443">
        <f>IMSUM(J443,R443)</f>
        <v>0</v>
      </c>
      <c r="T443">
        <f>IMDIV("1",IMSUM(K443,IMDIV("1",S443)))</f>
        <v>0</v>
      </c>
      <c r="U443">
        <f>IMSUM(L443,T443)</f>
        <v>0</v>
      </c>
      <c r="V443">
        <f>IMDIV(COMPLEX(I_DM_SOURCE,0),U443)</f>
        <v>0</v>
      </c>
      <c r="W443">
        <f>IMPRODUCT(V443,T443)</f>
        <v>0</v>
      </c>
      <c r="X443">
        <f>IMDIV(W443,S443)</f>
        <v>0</v>
      </c>
      <c r="Y443">
        <f>IMPRODUCT(X443,R443)</f>
        <v>0</v>
      </c>
      <c r="Z443">
        <f>IMDIV(Y443,Q443)</f>
        <v>0</v>
      </c>
      <c r="AA443">
        <f>IMPRODUCT(Z443,P443)</f>
        <v>0</v>
      </c>
      <c r="AB443">
        <f>AA443</f>
        <v>0</v>
      </c>
      <c r="AC443">
        <f>IMPRODUCT("-1",AB443)</f>
        <v>0</v>
      </c>
      <c r="AD443">
        <f>IMDIV(IMSUB(AB443,AC443),"2")</f>
        <v>0</v>
      </c>
      <c r="AE443" s="6">
        <f>IMABS(AB443)</f>
        <v>0</v>
      </c>
      <c r="AF443" s="6">
        <f>IMABS(AC443)</f>
        <v>0</v>
      </c>
      <c r="AG443" s="6">
        <f>IMABS(AD443)</f>
        <v>0</v>
      </c>
      <c r="AH443" s="7">
        <f>20*LOG10(MAX(AE443,1E-300)*1E6)</f>
        <v>0</v>
      </c>
      <c r="AI443" s="7">
        <f>20*LOG10(MAX(AF443,1E-300)*1E6)</f>
        <v>0</v>
      </c>
      <c r="AJ443" s="7">
        <f>20*LOG10(MAX(AG443,1E-300)*1E6)</f>
        <v>0</v>
      </c>
      <c r="AK443" s="7">
        <f>DEGREES(IMARGUMENT(AB443))</f>
        <v>0</v>
      </c>
      <c r="AL443" s="7">
        <f>DEGREES(IMARGUMENT(AC443))</f>
        <v>0</v>
      </c>
      <c r="AM443" s="7">
        <f>DEGREES(IMARGUMENT(AD443))</f>
        <v>0</v>
      </c>
    </row>
    <row r="444" spans="1:39">
      <c r="A444" s="6">
        <f>10^(LOG10(F_START)+(ROW()-ROW($A$2))*(LOG10(F_STOP)-LOG10(F_START))/(N_POINTS-1))</f>
        <v>0</v>
      </c>
      <c r="B444" s="6">
        <f>2*PI()*A444</f>
        <v>0</v>
      </c>
      <c r="C444">
        <f>COMPLEX(2*LINE_PS_DCR,2*B444*LINE_PS_L)</f>
        <v>0</v>
      </c>
      <c r="D444">
        <f>IMSUM(COMPLEX(0,B444*(LINE_PS_CLINE+LINE_PS_CCHA/2)),IMDIV("1",IMPRODUCT("2",COMPLEX(C_THROUGH_ESR,B444*C_THROUGH_ESL-1/(B444*C_THROUGH_C)))))</f>
        <v>0</v>
      </c>
      <c r="E444">
        <f>COMPLEX(2*LINE_INPUT_DCR,2*B444*LINE_INPUT_L)</f>
        <v>0</v>
      </c>
      <c r="F444">
        <f>COMPLEX(0,B444*(LINE_INPUT_CLINE+LINE_INPUT_CCHA/2))</f>
        <v>0</v>
      </c>
      <c r="G444">
        <f>IMPRODUCT("2",IMDIV("1",IMSUM(IMDIV("1",COMPLEX(LDM1_DCR,B444*LDM1_L)),COMPLEX(0,B444*LDM1_CPA))))</f>
        <v>0</v>
      </c>
      <c r="H444">
        <f>IMSUM(IMDIV("1",COMPLEX(CX1_ESR,B444*CX1_ESL-1/(B444*CX1_C))),IMDIV("1",IMSUM(COMPLEX(DUMP1_R,0),COMPLEX(DUMP1_ESR,B444*DUMP1_ESL-1/(B444*DUMP1_C)))))</f>
        <v>0</v>
      </c>
      <c r="I444">
        <f>IMPRODUCT("2",IMDIV("1",IMSUM(IMDIV("1",COMPLEX(LDM2_DCR,B444*LDM2_L)),COMPLEX(0,B444*LDM2_CPA))))</f>
        <v>0</v>
      </c>
      <c r="J444">
        <f>IMSUM(IMDIV("1",COMPLEX(CX2_ESR,B444*CX2_ESL-1/(B444*CX2_C))),IMDIV("1",IMSUM(COMPLEX(DUMP2_R,0),COMPLEX(DUMP2_ESR,B444*DUMP2_ESL-1/(B444*DUMP2_C)))))</f>
        <v>0</v>
      </c>
      <c r="K444">
        <f>IMPRODUCT("2",IMDIV("1",IMSUM(IMDIV("1",COMPLEX(CMC_DCR,B444*CMC_L*(1-CMC_K))),COMPLEX(0,B444*CMC_CPA))))</f>
        <v>0</v>
      </c>
      <c r="L444">
        <f>IMSUM(COMPLEX(0,B444*CMC_CLINE),IMDIV("1",IMPRODUCT("2",COMPLEX(CY_ESR,B444*CY_ESL-1/(B444*CY_C)))),COMPLEX(1/DUMMY_R,0))</f>
        <v>0</v>
      </c>
      <c r="M444">
        <f>IMSUM(D444,IMDIV("1",C444))</f>
        <v>0</v>
      </c>
      <c r="N444">
        <f>IMDIV("1",IMSUM(E444,IMDIV("1",M444)))</f>
        <v>0</v>
      </c>
      <c r="O444">
        <f>IMSUM(F444,N444)</f>
        <v>0</v>
      </c>
      <c r="P444">
        <f>IMDIV("1",IMSUM(G444,IMDIV("1",O444)))</f>
        <v>0</v>
      </c>
      <c r="Q444">
        <f>IMSUM(H444,P444)</f>
        <v>0</v>
      </c>
      <c r="R444">
        <f>IMDIV("1",IMSUM(I444,IMDIV("1",Q444)))</f>
        <v>0</v>
      </c>
      <c r="S444">
        <f>IMSUM(J444,R444)</f>
        <v>0</v>
      </c>
      <c r="T444">
        <f>IMDIV("1",IMSUM(K444,IMDIV("1",S444)))</f>
        <v>0</v>
      </c>
      <c r="U444">
        <f>IMSUM(L444,T444)</f>
        <v>0</v>
      </c>
      <c r="V444">
        <f>IMDIV(COMPLEX(I_DM_SOURCE,0),U444)</f>
        <v>0</v>
      </c>
      <c r="W444">
        <f>IMPRODUCT(V444,T444)</f>
        <v>0</v>
      </c>
      <c r="X444">
        <f>IMDIV(W444,S444)</f>
        <v>0</v>
      </c>
      <c r="Y444">
        <f>IMPRODUCT(X444,R444)</f>
        <v>0</v>
      </c>
      <c r="Z444">
        <f>IMDIV(Y444,Q444)</f>
        <v>0</v>
      </c>
      <c r="AA444">
        <f>IMPRODUCT(Z444,P444)</f>
        <v>0</v>
      </c>
      <c r="AB444">
        <f>AA444</f>
        <v>0</v>
      </c>
      <c r="AC444">
        <f>IMPRODUCT("-1",AB444)</f>
        <v>0</v>
      </c>
      <c r="AD444">
        <f>IMDIV(IMSUB(AB444,AC444),"2")</f>
        <v>0</v>
      </c>
      <c r="AE444" s="6">
        <f>IMABS(AB444)</f>
        <v>0</v>
      </c>
      <c r="AF444" s="6">
        <f>IMABS(AC444)</f>
        <v>0</v>
      </c>
      <c r="AG444" s="6">
        <f>IMABS(AD444)</f>
        <v>0</v>
      </c>
      <c r="AH444" s="7">
        <f>20*LOG10(MAX(AE444,1E-300)*1E6)</f>
        <v>0</v>
      </c>
      <c r="AI444" s="7">
        <f>20*LOG10(MAX(AF444,1E-300)*1E6)</f>
        <v>0</v>
      </c>
      <c r="AJ444" s="7">
        <f>20*LOG10(MAX(AG444,1E-300)*1E6)</f>
        <v>0</v>
      </c>
      <c r="AK444" s="7">
        <f>DEGREES(IMARGUMENT(AB444))</f>
        <v>0</v>
      </c>
      <c r="AL444" s="7">
        <f>DEGREES(IMARGUMENT(AC444))</f>
        <v>0</v>
      </c>
      <c r="AM444" s="7">
        <f>DEGREES(IMARGUMENT(AD444))</f>
        <v>0</v>
      </c>
    </row>
    <row r="445" spans="1:39">
      <c r="A445" s="6">
        <f>10^(LOG10(F_START)+(ROW()-ROW($A$2))*(LOG10(F_STOP)-LOG10(F_START))/(N_POINTS-1))</f>
        <v>0</v>
      </c>
      <c r="B445" s="6">
        <f>2*PI()*A445</f>
        <v>0</v>
      </c>
      <c r="C445">
        <f>COMPLEX(2*LINE_PS_DCR,2*B445*LINE_PS_L)</f>
        <v>0</v>
      </c>
      <c r="D445">
        <f>IMSUM(COMPLEX(0,B445*(LINE_PS_CLINE+LINE_PS_CCHA/2)),IMDIV("1",IMPRODUCT("2",COMPLEX(C_THROUGH_ESR,B445*C_THROUGH_ESL-1/(B445*C_THROUGH_C)))))</f>
        <v>0</v>
      </c>
      <c r="E445">
        <f>COMPLEX(2*LINE_INPUT_DCR,2*B445*LINE_INPUT_L)</f>
        <v>0</v>
      </c>
      <c r="F445">
        <f>COMPLEX(0,B445*(LINE_INPUT_CLINE+LINE_INPUT_CCHA/2))</f>
        <v>0</v>
      </c>
      <c r="G445">
        <f>IMPRODUCT("2",IMDIV("1",IMSUM(IMDIV("1",COMPLEX(LDM1_DCR,B445*LDM1_L)),COMPLEX(0,B445*LDM1_CPA))))</f>
        <v>0</v>
      </c>
      <c r="H445">
        <f>IMSUM(IMDIV("1",COMPLEX(CX1_ESR,B445*CX1_ESL-1/(B445*CX1_C))),IMDIV("1",IMSUM(COMPLEX(DUMP1_R,0),COMPLEX(DUMP1_ESR,B445*DUMP1_ESL-1/(B445*DUMP1_C)))))</f>
        <v>0</v>
      </c>
      <c r="I445">
        <f>IMPRODUCT("2",IMDIV("1",IMSUM(IMDIV("1",COMPLEX(LDM2_DCR,B445*LDM2_L)),COMPLEX(0,B445*LDM2_CPA))))</f>
        <v>0</v>
      </c>
      <c r="J445">
        <f>IMSUM(IMDIV("1",COMPLEX(CX2_ESR,B445*CX2_ESL-1/(B445*CX2_C))),IMDIV("1",IMSUM(COMPLEX(DUMP2_R,0),COMPLEX(DUMP2_ESR,B445*DUMP2_ESL-1/(B445*DUMP2_C)))))</f>
        <v>0</v>
      </c>
      <c r="K445">
        <f>IMPRODUCT("2",IMDIV("1",IMSUM(IMDIV("1",COMPLEX(CMC_DCR,B445*CMC_L*(1-CMC_K))),COMPLEX(0,B445*CMC_CPA))))</f>
        <v>0</v>
      </c>
      <c r="L445">
        <f>IMSUM(COMPLEX(0,B445*CMC_CLINE),IMDIV("1",IMPRODUCT("2",COMPLEX(CY_ESR,B445*CY_ESL-1/(B445*CY_C)))),COMPLEX(1/DUMMY_R,0))</f>
        <v>0</v>
      </c>
      <c r="M445">
        <f>IMSUM(D445,IMDIV("1",C445))</f>
        <v>0</v>
      </c>
      <c r="N445">
        <f>IMDIV("1",IMSUM(E445,IMDIV("1",M445)))</f>
        <v>0</v>
      </c>
      <c r="O445">
        <f>IMSUM(F445,N445)</f>
        <v>0</v>
      </c>
      <c r="P445">
        <f>IMDIV("1",IMSUM(G445,IMDIV("1",O445)))</f>
        <v>0</v>
      </c>
      <c r="Q445">
        <f>IMSUM(H445,P445)</f>
        <v>0</v>
      </c>
      <c r="R445">
        <f>IMDIV("1",IMSUM(I445,IMDIV("1",Q445)))</f>
        <v>0</v>
      </c>
      <c r="S445">
        <f>IMSUM(J445,R445)</f>
        <v>0</v>
      </c>
      <c r="T445">
        <f>IMDIV("1",IMSUM(K445,IMDIV("1",S445)))</f>
        <v>0</v>
      </c>
      <c r="U445">
        <f>IMSUM(L445,T445)</f>
        <v>0</v>
      </c>
      <c r="V445">
        <f>IMDIV(COMPLEX(I_DM_SOURCE,0),U445)</f>
        <v>0</v>
      </c>
      <c r="W445">
        <f>IMPRODUCT(V445,T445)</f>
        <v>0</v>
      </c>
      <c r="X445">
        <f>IMDIV(W445,S445)</f>
        <v>0</v>
      </c>
      <c r="Y445">
        <f>IMPRODUCT(X445,R445)</f>
        <v>0</v>
      </c>
      <c r="Z445">
        <f>IMDIV(Y445,Q445)</f>
        <v>0</v>
      </c>
      <c r="AA445">
        <f>IMPRODUCT(Z445,P445)</f>
        <v>0</v>
      </c>
      <c r="AB445">
        <f>AA445</f>
        <v>0</v>
      </c>
      <c r="AC445">
        <f>IMPRODUCT("-1",AB445)</f>
        <v>0</v>
      </c>
      <c r="AD445">
        <f>IMDIV(IMSUB(AB445,AC445),"2")</f>
        <v>0</v>
      </c>
      <c r="AE445" s="6">
        <f>IMABS(AB445)</f>
        <v>0</v>
      </c>
      <c r="AF445" s="6">
        <f>IMABS(AC445)</f>
        <v>0</v>
      </c>
      <c r="AG445" s="6">
        <f>IMABS(AD445)</f>
        <v>0</v>
      </c>
      <c r="AH445" s="7">
        <f>20*LOG10(MAX(AE445,1E-300)*1E6)</f>
        <v>0</v>
      </c>
      <c r="AI445" s="7">
        <f>20*LOG10(MAX(AF445,1E-300)*1E6)</f>
        <v>0</v>
      </c>
      <c r="AJ445" s="7">
        <f>20*LOG10(MAX(AG445,1E-300)*1E6)</f>
        <v>0</v>
      </c>
      <c r="AK445" s="7">
        <f>DEGREES(IMARGUMENT(AB445))</f>
        <v>0</v>
      </c>
      <c r="AL445" s="7">
        <f>DEGREES(IMARGUMENT(AC445))</f>
        <v>0</v>
      </c>
      <c r="AM445" s="7">
        <f>DEGREES(IMARGUMENT(AD445))</f>
        <v>0</v>
      </c>
    </row>
    <row r="446" spans="1:39">
      <c r="A446" s="6">
        <f>10^(LOG10(F_START)+(ROW()-ROW($A$2))*(LOG10(F_STOP)-LOG10(F_START))/(N_POINTS-1))</f>
        <v>0</v>
      </c>
      <c r="B446" s="6">
        <f>2*PI()*A446</f>
        <v>0</v>
      </c>
      <c r="C446">
        <f>COMPLEX(2*LINE_PS_DCR,2*B446*LINE_PS_L)</f>
        <v>0</v>
      </c>
      <c r="D446">
        <f>IMSUM(COMPLEX(0,B446*(LINE_PS_CLINE+LINE_PS_CCHA/2)),IMDIV("1",IMPRODUCT("2",COMPLEX(C_THROUGH_ESR,B446*C_THROUGH_ESL-1/(B446*C_THROUGH_C)))))</f>
        <v>0</v>
      </c>
      <c r="E446">
        <f>COMPLEX(2*LINE_INPUT_DCR,2*B446*LINE_INPUT_L)</f>
        <v>0</v>
      </c>
      <c r="F446">
        <f>COMPLEX(0,B446*(LINE_INPUT_CLINE+LINE_INPUT_CCHA/2))</f>
        <v>0</v>
      </c>
      <c r="G446">
        <f>IMPRODUCT("2",IMDIV("1",IMSUM(IMDIV("1",COMPLEX(LDM1_DCR,B446*LDM1_L)),COMPLEX(0,B446*LDM1_CPA))))</f>
        <v>0</v>
      </c>
      <c r="H446">
        <f>IMSUM(IMDIV("1",COMPLEX(CX1_ESR,B446*CX1_ESL-1/(B446*CX1_C))),IMDIV("1",IMSUM(COMPLEX(DUMP1_R,0),COMPLEX(DUMP1_ESR,B446*DUMP1_ESL-1/(B446*DUMP1_C)))))</f>
        <v>0</v>
      </c>
      <c r="I446">
        <f>IMPRODUCT("2",IMDIV("1",IMSUM(IMDIV("1",COMPLEX(LDM2_DCR,B446*LDM2_L)),COMPLEX(0,B446*LDM2_CPA))))</f>
        <v>0</v>
      </c>
      <c r="J446">
        <f>IMSUM(IMDIV("1",COMPLEX(CX2_ESR,B446*CX2_ESL-1/(B446*CX2_C))),IMDIV("1",IMSUM(COMPLEX(DUMP2_R,0),COMPLEX(DUMP2_ESR,B446*DUMP2_ESL-1/(B446*DUMP2_C)))))</f>
        <v>0</v>
      </c>
      <c r="K446">
        <f>IMPRODUCT("2",IMDIV("1",IMSUM(IMDIV("1",COMPLEX(CMC_DCR,B446*CMC_L*(1-CMC_K))),COMPLEX(0,B446*CMC_CPA))))</f>
        <v>0</v>
      </c>
      <c r="L446">
        <f>IMSUM(COMPLEX(0,B446*CMC_CLINE),IMDIV("1",IMPRODUCT("2",COMPLEX(CY_ESR,B446*CY_ESL-1/(B446*CY_C)))),COMPLEX(1/DUMMY_R,0))</f>
        <v>0</v>
      </c>
      <c r="M446">
        <f>IMSUM(D446,IMDIV("1",C446))</f>
        <v>0</v>
      </c>
      <c r="N446">
        <f>IMDIV("1",IMSUM(E446,IMDIV("1",M446)))</f>
        <v>0</v>
      </c>
      <c r="O446">
        <f>IMSUM(F446,N446)</f>
        <v>0</v>
      </c>
      <c r="P446">
        <f>IMDIV("1",IMSUM(G446,IMDIV("1",O446)))</f>
        <v>0</v>
      </c>
      <c r="Q446">
        <f>IMSUM(H446,P446)</f>
        <v>0</v>
      </c>
      <c r="R446">
        <f>IMDIV("1",IMSUM(I446,IMDIV("1",Q446)))</f>
        <v>0</v>
      </c>
      <c r="S446">
        <f>IMSUM(J446,R446)</f>
        <v>0</v>
      </c>
      <c r="T446">
        <f>IMDIV("1",IMSUM(K446,IMDIV("1",S446)))</f>
        <v>0</v>
      </c>
      <c r="U446">
        <f>IMSUM(L446,T446)</f>
        <v>0</v>
      </c>
      <c r="V446">
        <f>IMDIV(COMPLEX(I_DM_SOURCE,0),U446)</f>
        <v>0</v>
      </c>
      <c r="W446">
        <f>IMPRODUCT(V446,T446)</f>
        <v>0</v>
      </c>
      <c r="X446">
        <f>IMDIV(W446,S446)</f>
        <v>0</v>
      </c>
      <c r="Y446">
        <f>IMPRODUCT(X446,R446)</f>
        <v>0</v>
      </c>
      <c r="Z446">
        <f>IMDIV(Y446,Q446)</f>
        <v>0</v>
      </c>
      <c r="AA446">
        <f>IMPRODUCT(Z446,P446)</f>
        <v>0</v>
      </c>
      <c r="AB446">
        <f>AA446</f>
        <v>0</v>
      </c>
      <c r="AC446">
        <f>IMPRODUCT("-1",AB446)</f>
        <v>0</v>
      </c>
      <c r="AD446">
        <f>IMDIV(IMSUB(AB446,AC446),"2")</f>
        <v>0</v>
      </c>
      <c r="AE446" s="6">
        <f>IMABS(AB446)</f>
        <v>0</v>
      </c>
      <c r="AF446" s="6">
        <f>IMABS(AC446)</f>
        <v>0</v>
      </c>
      <c r="AG446" s="6">
        <f>IMABS(AD446)</f>
        <v>0</v>
      </c>
      <c r="AH446" s="7">
        <f>20*LOG10(MAX(AE446,1E-300)*1E6)</f>
        <v>0</v>
      </c>
      <c r="AI446" s="7">
        <f>20*LOG10(MAX(AF446,1E-300)*1E6)</f>
        <v>0</v>
      </c>
      <c r="AJ446" s="7">
        <f>20*LOG10(MAX(AG446,1E-300)*1E6)</f>
        <v>0</v>
      </c>
      <c r="AK446" s="7">
        <f>DEGREES(IMARGUMENT(AB446))</f>
        <v>0</v>
      </c>
      <c r="AL446" s="7">
        <f>DEGREES(IMARGUMENT(AC446))</f>
        <v>0</v>
      </c>
      <c r="AM446" s="7">
        <f>DEGREES(IMARGUMENT(AD446))</f>
        <v>0</v>
      </c>
    </row>
    <row r="447" spans="1:39">
      <c r="A447" s="6">
        <f>10^(LOG10(F_START)+(ROW()-ROW($A$2))*(LOG10(F_STOP)-LOG10(F_START))/(N_POINTS-1))</f>
        <v>0</v>
      </c>
      <c r="B447" s="6">
        <f>2*PI()*A447</f>
        <v>0</v>
      </c>
      <c r="C447">
        <f>COMPLEX(2*LINE_PS_DCR,2*B447*LINE_PS_L)</f>
        <v>0</v>
      </c>
      <c r="D447">
        <f>IMSUM(COMPLEX(0,B447*(LINE_PS_CLINE+LINE_PS_CCHA/2)),IMDIV("1",IMPRODUCT("2",COMPLEX(C_THROUGH_ESR,B447*C_THROUGH_ESL-1/(B447*C_THROUGH_C)))))</f>
        <v>0</v>
      </c>
      <c r="E447">
        <f>COMPLEX(2*LINE_INPUT_DCR,2*B447*LINE_INPUT_L)</f>
        <v>0</v>
      </c>
      <c r="F447">
        <f>COMPLEX(0,B447*(LINE_INPUT_CLINE+LINE_INPUT_CCHA/2))</f>
        <v>0</v>
      </c>
      <c r="G447">
        <f>IMPRODUCT("2",IMDIV("1",IMSUM(IMDIV("1",COMPLEX(LDM1_DCR,B447*LDM1_L)),COMPLEX(0,B447*LDM1_CPA))))</f>
        <v>0</v>
      </c>
      <c r="H447">
        <f>IMSUM(IMDIV("1",COMPLEX(CX1_ESR,B447*CX1_ESL-1/(B447*CX1_C))),IMDIV("1",IMSUM(COMPLEX(DUMP1_R,0),COMPLEX(DUMP1_ESR,B447*DUMP1_ESL-1/(B447*DUMP1_C)))))</f>
        <v>0</v>
      </c>
      <c r="I447">
        <f>IMPRODUCT("2",IMDIV("1",IMSUM(IMDIV("1",COMPLEX(LDM2_DCR,B447*LDM2_L)),COMPLEX(0,B447*LDM2_CPA))))</f>
        <v>0</v>
      </c>
      <c r="J447">
        <f>IMSUM(IMDIV("1",COMPLEX(CX2_ESR,B447*CX2_ESL-1/(B447*CX2_C))),IMDIV("1",IMSUM(COMPLEX(DUMP2_R,0),COMPLEX(DUMP2_ESR,B447*DUMP2_ESL-1/(B447*DUMP2_C)))))</f>
        <v>0</v>
      </c>
      <c r="K447">
        <f>IMPRODUCT("2",IMDIV("1",IMSUM(IMDIV("1",COMPLEX(CMC_DCR,B447*CMC_L*(1-CMC_K))),COMPLEX(0,B447*CMC_CPA))))</f>
        <v>0</v>
      </c>
      <c r="L447">
        <f>IMSUM(COMPLEX(0,B447*CMC_CLINE),IMDIV("1",IMPRODUCT("2",COMPLEX(CY_ESR,B447*CY_ESL-1/(B447*CY_C)))),COMPLEX(1/DUMMY_R,0))</f>
        <v>0</v>
      </c>
      <c r="M447">
        <f>IMSUM(D447,IMDIV("1",C447))</f>
        <v>0</v>
      </c>
      <c r="N447">
        <f>IMDIV("1",IMSUM(E447,IMDIV("1",M447)))</f>
        <v>0</v>
      </c>
      <c r="O447">
        <f>IMSUM(F447,N447)</f>
        <v>0</v>
      </c>
      <c r="P447">
        <f>IMDIV("1",IMSUM(G447,IMDIV("1",O447)))</f>
        <v>0</v>
      </c>
      <c r="Q447">
        <f>IMSUM(H447,P447)</f>
        <v>0</v>
      </c>
      <c r="R447">
        <f>IMDIV("1",IMSUM(I447,IMDIV("1",Q447)))</f>
        <v>0</v>
      </c>
      <c r="S447">
        <f>IMSUM(J447,R447)</f>
        <v>0</v>
      </c>
      <c r="T447">
        <f>IMDIV("1",IMSUM(K447,IMDIV("1",S447)))</f>
        <v>0</v>
      </c>
      <c r="U447">
        <f>IMSUM(L447,T447)</f>
        <v>0</v>
      </c>
      <c r="V447">
        <f>IMDIV(COMPLEX(I_DM_SOURCE,0),U447)</f>
        <v>0</v>
      </c>
      <c r="W447">
        <f>IMPRODUCT(V447,T447)</f>
        <v>0</v>
      </c>
      <c r="X447">
        <f>IMDIV(W447,S447)</f>
        <v>0</v>
      </c>
      <c r="Y447">
        <f>IMPRODUCT(X447,R447)</f>
        <v>0</v>
      </c>
      <c r="Z447">
        <f>IMDIV(Y447,Q447)</f>
        <v>0</v>
      </c>
      <c r="AA447">
        <f>IMPRODUCT(Z447,P447)</f>
        <v>0</v>
      </c>
      <c r="AB447">
        <f>AA447</f>
        <v>0</v>
      </c>
      <c r="AC447">
        <f>IMPRODUCT("-1",AB447)</f>
        <v>0</v>
      </c>
      <c r="AD447">
        <f>IMDIV(IMSUB(AB447,AC447),"2")</f>
        <v>0</v>
      </c>
      <c r="AE447" s="6">
        <f>IMABS(AB447)</f>
        <v>0</v>
      </c>
      <c r="AF447" s="6">
        <f>IMABS(AC447)</f>
        <v>0</v>
      </c>
      <c r="AG447" s="6">
        <f>IMABS(AD447)</f>
        <v>0</v>
      </c>
      <c r="AH447" s="7">
        <f>20*LOG10(MAX(AE447,1E-300)*1E6)</f>
        <v>0</v>
      </c>
      <c r="AI447" s="7">
        <f>20*LOG10(MAX(AF447,1E-300)*1E6)</f>
        <v>0</v>
      </c>
      <c r="AJ447" s="7">
        <f>20*LOG10(MAX(AG447,1E-300)*1E6)</f>
        <v>0</v>
      </c>
      <c r="AK447" s="7">
        <f>DEGREES(IMARGUMENT(AB447))</f>
        <v>0</v>
      </c>
      <c r="AL447" s="7">
        <f>DEGREES(IMARGUMENT(AC447))</f>
        <v>0</v>
      </c>
      <c r="AM447" s="7">
        <f>DEGREES(IMARGUMENT(AD447))</f>
        <v>0</v>
      </c>
    </row>
    <row r="448" spans="1:39">
      <c r="A448" s="6">
        <f>10^(LOG10(F_START)+(ROW()-ROW($A$2))*(LOG10(F_STOP)-LOG10(F_START))/(N_POINTS-1))</f>
        <v>0</v>
      </c>
      <c r="B448" s="6">
        <f>2*PI()*A448</f>
        <v>0</v>
      </c>
      <c r="C448">
        <f>COMPLEX(2*LINE_PS_DCR,2*B448*LINE_PS_L)</f>
        <v>0</v>
      </c>
      <c r="D448">
        <f>IMSUM(COMPLEX(0,B448*(LINE_PS_CLINE+LINE_PS_CCHA/2)),IMDIV("1",IMPRODUCT("2",COMPLEX(C_THROUGH_ESR,B448*C_THROUGH_ESL-1/(B448*C_THROUGH_C)))))</f>
        <v>0</v>
      </c>
      <c r="E448">
        <f>COMPLEX(2*LINE_INPUT_DCR,2*B448*LINE_INPUT_L)</f>
        <v>0</v>
      </c>
      <c r="F448">
        <f>COMPLEX(0,B448*(LINE_INPUT_CLINE+LINE_INPUT_CCHA/2))</f>
        <v>0</v>
      </c>
      <c r="G448">
        <f>IMPRODUCT("2",IMDIV("1",IMSUM(IMDIV("1",COMPLEX(LDM1_DCR,B448*LDM1_L)),COMPLEX(0,B448*LDM1_CPA))))</f>
        <v>0</v>
      </c>
      <c r="H448">
        <f>IMSUM(IMDIV("1",COMPLEX(CX1_ESR,B448*CX1_ESL-1/(B448*CX1_C))),IMDIV("1",IMSUM(COMPLEX(DUMP1_R,0),COMPLEX(DUMP1_ESR,B448*DUMP1_ESL-1/(B448*DUMP1_C)))))</f>
        <v>0</v>
      </c>
      <c r="I448">
        <f>IMPRODUCT("2",IMDIV("1",IMSUM(IMDIV("1",COMPLEX(LDM2_DCR,B448*LDM2_L)),COMPLEX(0,B448*LDM2_CPA))))</f>
        <v>0</v>
      </c>
      <c r="J448">
        <f>IMSUM(IMDIV("1",COMPLEX(CX2_ESR,B448*CX2_ESL-1/(B448*CX2_C))),IMDIV("1",IMSUM(COMPLEX(DUMP2_R,0),COMPLEX(DUMP2_ESR,B448*DUMP2_ESL-1/(B448*DUMP2_C)))))</f>
        <v>0</v>
      </c>
      <c r="K448">
        <f>IMPRODUCT("2",IMDIV("1",IMSUM(IMDIV("1",COMPLEX(CMC_DCR,B448*CMC_L*(1-CMC_K))),COMPLEX(0,B448*CMC_CPA))))</f>
        <v>0</v>
      </c>
      <c r="L448">
        <f>IMSUM(COMPLEX(0,B448*CMC_CLINE),IMDIV("1",IMPRODUCT("2",COMPLEX(CY_ESR,B448*CY_ESL-1/(B448*CY_C)))),COMPLEX(1/DUMMY_R,0))</f>
        <v>0</v>
      </c>
      <c r="M448">
        <f>IMSUM(D448,IMDIV("1",C448))</f>
        <v>0</v>
      </c>
      <c r="N448">
        <f>IMDIV("1",IMSUM(E448,IMDIV("1",M448)))</f>
        <v>0</v>
      </c>
      <c r="O448">
        <f>IMSUM(F448,N448)</f>
        <v>0</v>
      </c>
      <c r="P448">
        <f>IMDIV("1",IMSUM(G448,IMDIV("1",O448)))</f>
        <v>0</v>
      </c>
      <c r="Q448">
        <f>IMSUM(H448,P448)</f>
        <v>0</v>
      </c>
      <c r="R448">
        <f>IMDIV("1",IMSUM(I448,IMDIV("1",Q448)))</f>
        <v>0</v>
      </c>
      <c r="S448">
        <f>IMSUM(J448,R448)</f>
        <v>0</v>
      </c>
      <c r="T448">
        <f>IMDIV("1",IMSUM(K448,IMDIV("1",S448)))</f>
        <v>0</v>
      </c>
      <c r="U448">
        <f>IMSUM(L448,T448)</f>
        <v>0</v>
      </c>
      <c r="V448">
        <f>IMDIV(COMPLEX(I_DM_SOURCE,0),U448)</f>
        <v>0</v>
      </c>
      <c r="W448">
        <f>IMPRODUCT(V448,T448)</f>
        <v>0</v>
      </c>
      <c r="X448">
        <f>IMDIV(W448,S448)</f>
        <v>0</v>
      </c>
      <c r="Y448">
        <f>IMPRODUCT(X448,R448)</f>
        <v>0</v>
      </c>
      <c r="Z448">
        <f>IMDIV(Y448,Q448)</f>
        <v>0</v>
      </c>
      <c r="AA448">
        <f>IMPRODUCT(Z448,P448)</f>
        <v>0</v>
      </c>
      <c r="AB448">
        <f>AA448</f>
        <v>0</v>
      </c>
      <c r="AC448">
        <f>IMPRODUCT("-1",AB448)</f>
        <v>0</v>
      </c>
      <c r="AD448">
        <f>IMDIV(IMSUB(AB448,AC448),"2")</f>
        <v>0</v>
      </c>
      <c r="AE448" s="6">
        <f>IMABS(AB448)</f>
        <v>0</v>
      </c>
      <c r="AF448" s="6">
        <f>IMABS(AC448)</f>
        <v>0</v>
      </c>
      <c r="AG448" s="6">
        <f>IMABS(AD448)</f>
        <v>0</v>
      </c>
      <c r="AH448" s="7">
        <f>20*LOG10(MAX(AE448,1E-300)*1E6)</f>
        <v>0</v>
      </c>
      <c r="AI448" s="7">
        <f>20*LOG10(MAX(AF448,1E-300)*1E6)</f>
        <v>0</v>
      </c>
      <c r="AJ448" s="7">
        <f>20*LOG10(MAX(AG448,1E-300)*1E6)</f>
        <v>0</v>
      </c>
      <c r="AK448" s="7">
        <f>DEGREES(IMARGUMENT(AB448))</f>
        <v>0</v>
      </c>
      <c r="AL448" s="7">
        <f>DEGREES(IMARGUMENT(AC448))</f>
        <v>0</v>
      </c>
      <c r="AM448" s="7">
        <f>DEGREES(IMARGUMENT(AD448))</f>
        <v>0</v>
      </c>
    </row>
    <row r="449" spans="1:39">
      <c r="A449" s="6">
        <f>10^(LOG10(F_START)+(ROW()-ROW($A$2))*(LOG10(F_STOP)-LOG10(F_START))/(N_POINTS-1))</f>
        <v>0</v>
      </c>
      <c r="B449" s="6">
        <f>2*PI()*A449</f>
        <v>0</v>
      </c>
      <c r="C449">
        <f>COMPLEX(2*LINE_PS_DCR,2*B449*LINE_PS_L)</f>
        <v>0</v>
      </c>
      <c r="D449">
        <f>IMSUM(COMPLEX(0,B449*(LINE_PS_CLINE+LINE_PS_CCHA/2)),IMDIV("1",IMPRODUCT("2",COMPLEX(C_THROUGH_ESR,B449*C_THROUGH_ESL-1/(B449*C_THROUGH_C)))))</f>
        <v>0</v>
      </c>
      <c r="E449">
        <f>COMPLEX(2*LINE_INPUT_DCR,2*B449*LINE_INPUT_L)</f>
        <v>0</v>
      </c>
      <c r="F449">
        <f>COMPLEX(0,B449*(LINE_INPUT_CLINE+LINE_INPUT_CCHA/2))</f>
        <v>0</v>
      </c>
      <c r="G449">
        <f>IMPRODUCT("2",IMDIV("1",IMSUM(IMDIV("1",COMPLEX(LDM1_DCR,B449*LDM1_L)),COMPLEX(0,B449*LDM1_CPA))))</f>
        <v>0</v>
      </c>
      <c r="H449">
        <f>IMSUM(IMDIV("1",COMPLEX(CX1_ESR,B449*CX1_ESL-1/(B449*CX1_C))),IMDIV("1",IMSUM(COMPLEX(DUMP1_R,0),COMPLEX(DUMP1_ESR,B449*DUMP1_ESL-1/(B449*DUMP1_C)))))</f>
        <v>0</v>
      </c>
      <c r="I449">
        <f>IMPRODUCT("2",IMDIV("1",IMSUM(IMDIV("1",COMPLEX(LDM2_DCR,B449*LDM2_L)),COMPLEX(0,B449*LDM2_CPA))))</f>
        <v>0</v>
      </c>
      <c r="J449">
        <f>IMSUM(IMDIV("1",COMPLEX(CX2_ESR,B449*CX2_ESL-1/(B449*CX2_C))),IMDIV("1",IMSUM(COMPLEX(DUMP2_R,0),COMPLEX(DUMP2_ESR,B449*DUMP2_ESL-1/(B449*DUMP2_C)))))</f>
        <v>0</v>
      </c>
      <c r="K449">
        <f>IMPRODUCT("2",IMDIV("1",IMSUM(IMDIV("1",COMPLEX(CMC_DCR,B449*CMC_L*(1-CMC_K))),COMPLEX(0,B449*CMC_CPA))))</f>
        <v>0</v>
      </c>
      <c r="L449">
        <f>IMSUM(COMPLEX(0,B449*CMC_CLINE),IMDIV("1",IMPRODUCT("2",COMPLEX(CY_ESR,B449*CY_ESL-1/(B449*CY_C)))),COMPLEX(1/DUMMY_R,0))</f>
        <v>0</v>
      </c>
      <c r="M449">
        <f>IMSUM(D449,IMDIV("1",C449))</f>
        <v>0</v>
      </c>
      <c r="N449">
        <f>IMDIV("1",IMSUM(E449,IMDIV("1",M449)))</f>
        <v>0</v>
      </c>
      <c r="O449">
        <f>IMSUM(F449,N449)</f>
        <v>0</v>
      </c>
      <c r="P449">
        <f>IMDIV("1",IMSUM(G449,IMDIV("1",O449)))</f>
        <v>0</v>
      </c>
      <c r="Q449">
        <f>IMSUM(H449,P449)</f>
        <v>0</v>
      </c>
      <c r="R449">
        <f>IMDIV("1",IMSUM(I449,IMDIV("1",Q449)))</f>
        <v>0</v>
      </c>
      <c r="S449">
        <f>IMSUM(J449,R449)</f>
        <v>0</v>
      </c>
      <c r="T449">
        <f>IMDIV("1",IMSUM(K449,IMDIV("1",S449)))</f>
        <v>0</v>
      </c>
      <c r="U449">
        <f>IMSUM(L449,T449)</f>
        <v>0</v>
      </c>
      <c r="V449">
        <f>IMDIV(COMPLEX(I_DM_SOURCE,0),U449)</f>
        <v>0</v>
      </c>
      <c r="W449">
        <f>IMPRODUCT(V449,T449)</f>
        <v>0</v>
      </c>
      <c r="X449">
        <f>IMDIV(W449,S449)</f>
        <v>0</v>
      </c>
      <c r="Y449">
        <f>IMPRODUCT(X449,R449)</f>
        <v>0</v>
      </c>
      <c r="Z449">
        <f>IMDIV(Y449,Q449)</f>
        <v>0</v>
      </c>
      <c r="AA449">
        <f>IMPRODUCT(Z449,P449)</f>
        <v>0</v>
      </c>
      <c r="AB449">
        <f>AA449</f>
        <v>0</v>
      </c>
      <c r="AC449">
        <f>IMPRODUCT("-1",AB449)</f>
        <v>0</v>
      </c>
      <c r="AD449">
        <f>IMDIV(IMSUB(AB449,AC449),"2")</f>
        <v>0</v>
      </c>
      <c r="AE449" s="6">
        <f>IMABS(AB449)</f>
        <v>0</v>
      </c>
      <c r="AF449" s="6">
        <f>IMABS(AC449)</f>
        <v>0</v>
      </c>
      <c r="AG449" s="6">
        <f>IMABS(AD449)</f>
        <v>0</v>
      </c>
      <c r="AH449" s="7">
        <f>20*LOG10(MAX(AE449,1E-300)*1E6)</f>
        <v>0</v>
      </c>
      <c r="AI449" s="7">
        <f>20*LOG10(MAX(AF449,1E-300)*1E6)</f>
        <v>0</v>
      </c>
      <c r="AJ449" s="7">
        <f>20*LOG10(MAX(AG449,1E-300)*1E6)</f>
        <v>0</v>
      </c>
      <c r="AK449" s="7">
        <f>DEGREES(IMARGUMENT(AB449))</f>
        <v>0</v>
      </c>
      <c r="AL449" s="7">
        <f>DEGREES(IMARGUMENT(AC449))</f>
        <v>0</v>
      </c>
      <c r="AM449" s="7">
        <f>DEGREES(IMARGUMENT(AD449))</f>
        <v>0</v>
      </c>
    </row>
    <row r="450" spans="1:39">
      <c r="A450" s="6">
        <f>10^(LOG10(F_START)+(ROW()-ROW($A$2))*(LOG10(F_STOP)-LOG10(F_START))/(N_POINTS-1))</f>
        <v>0</v>
      </c>
      <c r="B450" s="6">
        <f>2*PI()*A450</f>
        <v>0</v>
      </c>
      <c r="C450">
        <f>COMPLEX(2*LINE_PS_DCR,2*B450*LINE_PS_L)</f>
        <v>0</v>
      </c>
      <c r="D450">
        <f>IMSUM(COMPLEX(0,B450*(LINE_PS_CLINE+LINE_PS_CCHA/2)),IMDIV("1",IMPRODUCT("2",COMPLEX(C_THROUGH_ESR,B450*C_THROUGH_ESL-1/(B450*C_THROUGH_C)))))</f>
        <v>0</v>
      </c>
      <c r="E450">
        <f>COMPLEX(2*LINE_INPUT_DCR,2*B450*LINE_INPUT_L)</f>
        <v>0</v>
      </c>
      <c r="F450">
        <f>COMPLEX(0,B450*(LINE_INPUT_CLINE+LINE_INPUT_CCHA/2))</f>
        <v>0</v>
      </c>
      <c r="G450">
        <f>IMPRODUCT("2",IMDIV("1",IMSUM(IMDIV("1",COMPLEX(LDM1_DCR,B450*LDM1_L)),COMPLEX(0,B450*LDM1_CPA))))</f>
        <v>0</v>
      </c>
      <c r="H450">
        <f>IMSUM(IMDIV("1",COMPLEX(CX1_ESR,B450*CX1_ESL-1/(B450*CX1_C))),IMDIV("1",IMSUM(COMPLEX(DUMP1_R,0),COMPLEX(DUMP1_ESR,B450*DUMP1_ESL-1/(B450*DUMP1_C)))))</f>
        <v>0</v>
      </c>
      <c r="I450">
        <f>IMPRODUCT("2",IMDIV("1",IMSUM(IMDIV("1",COMPLEX(LDM2_DCR,B450*LDM2_L)),COMPLEX(0,B450*LDM2_CPA))))</f>
        <v>0</v>
      </c>
      <c r="J450">
        <f>IMSUM(IMDIV("1",COMPLEX(CX2_ESR,B450*CX2_ESL-1/(B450*CX2_C))),IMDIV("1",IMSUM(COMPLEX(DUMP2_R,0),COMPLEX(DUMP2_ESR,B450*DUMP2_ESL-1/(B450*DUMP2_C)))))</f>
        <v>0</v>
      </c>
      <c r="K450">
        <f>IMPRODUCT("2",IMDIV("1",IMSUM(IMDIV("1",COMPLEX(CMC_DCR,B450*CMC_L*(1-CMC_K))),COMPLEX(0,B450*CMC_CPA))))</f>
        <v>0</v>
      </c>
      <c r="L450">
        <f>IMSUM(COMPLEX(0,B450*CMC_CLINE),IMDIV("1",IMPRODUCT("2",COMPLEX(CY_ESR,B450*CY_ESL-1/(B450*CY_C)))),COMPLEX(1/DUMMY_R,0))</f>
        <v>0</v>
      </c>
      <c r="M450">
        <f>IMSUM(D450,IMDIV("1",C450))</f>
        <v>0</v>
      </c>
      <c r="N450">
        <f>IMDIV("1",IMSUM(E450,IMDIV("1",M450)))</f>
        <v>0</v>
      </c>
      <c r="O450">
        <f>IMSUM(F450,N450)</f>
        <v>0</v>
      </c>
      <c r="P450">
        <f>IMDIV("1",IMSUM(G450,IMDIV("1",O450)))</f>
        <v>0</v>
      </c>
      <c r="Q450">
        <f>IMSUM(H450,P450)</f>
        <v>0</v>
      </c>
      <c r="R450">
        <f>IMDIV("1",IMSUM(I450,IMDIV("1",Q450)))</f>
        <v>0</v>
      </c>
      <c r="S450">
        <f>IMSUM(J450,R450)</f>
        <v>0</v>
      </c>
      <c r="T450">
        <f>IMDIV("1",IMSUM(K450,IMDIV("1",S450)))</f>
        <v>0</v>
      </c>
      <c r="U450">
        <f>IMSUM(L450,T450)</f>
        <v>0</v>
      </c>
      <c r="V450">
        <f>IMDIV(COMPLEX(I_DM_SOURCE,0),U450)</f>
        <v>0</v>
      </c>
      <c r="W450">
        <f>IMPRODUCT(V450,T450)</f>
        <v>0</v>
      </c>
      <c r="X450">
        <f>IMDIV(W450,S450)</f>
        <v>0</v>
      </c>
      <c r="Y450">
        <f>IMPRODUCT(X450,R450)</f>
        <v>0</v>
      </c>
      <c r="Z450">
        <f>IMDIV(Y450,Q450)</f>
        <v>0</v>
      </c>
      <c r="AA450">
        <f>IMPRODUCT(Z450,P450)</f>
        <v>0</v>
      </c>
      <c r="AB450">
        <f>AA450</f>
        <v>0</v>
      </c>
      <c r="AC450">
        <f>IMPRODUCT("-1",AB450)</f>
        <v>0</v>
      </c>
      <c r="AD450">
        <f>IMDIV(IMSUB(AB450,AC450),"2")</f>
        <v>0</v>
      </c>
      <c r="AE450" s="6">
        <f>IMABS(AB450)</f>
        <v>0</v>
      </c>
      <c r="AF450" s="6">
        <f>IMABS(AC450)</f>
        <v>0</v>
      </c>
      <c r="AG450" s="6">
        <f>IMABS(AD450)</f>
        <v>0</v>
      </c>
      <c r="AH450" s="7">
        <f>20*LOG10(MAX(AE450,1E-300)*1E6)</f>
        <v>0</v>
      </c>
      <c r="AI450" s="7">
        <f>20*LOG10(MAX(AF450,1E-300)*1E6)</f>
        <v>0</v>
      </c>
      <c r="AJ450" s="7">
        <f>20*LOG10(MAX(AG450,1E-300)*1E6)</f>
        <v>0</v>
      </c>
      <c r="AK450" s="7">
        <f>DEGREES(IMARGUMENT(AB450))</f>
        <v>0</v>
      </c>
      <c r="AL450" s="7">
        <f>DEGREES(IMARGUMENT(AC450))</f>
        <v>0</v>
      </c>
      <c r="AM450" s="7">
        <f>DEGREES(IMARGUMENT(AD450))</f>
        <v>0</v>
      </c>
    </row>
    <row r="451" spans="1:39">
      <c r="A451" s="6">
        <f>10^(LOG10(F_START)+(ROW()-ROW($A$2))*(LOG10(F_STOP)-LOG10(F_START))/(N_POINTS-1))</f>
        <v>0</v>
      </c>
      <c r="B451" s="6">
        <f>2*PI()*A451</f>
        <v>0</v>
      </c>
      <c r="C451">
        <f>COMPLEX(2*LINE_PS_DCR,2*B451*LINE_PS_L)</f>
        <v>0</v>
      </c>
      <c r="D451">
        <f>IMSUM(COMPLEX(0,B451*(LINE_PS_CLINE+LINE_PS_CCHA/2)),IMDIV("1",IMPRODUCT("2",COMPLEX(C_THROUGH_ESR,B451*C_THROUGH_ESL-1/(B451*C_THROUGH_C)))))</f>
        <v>0</v>
      </c>
      <c r="E451">
        <f>COMPLEX(2*LINE_INPUT_DCR,2*B451*LINE_INPUT_L)</f>
        <v>0</v>
      </c>
      <c r="F451">
        <f>COMPLEX(0,B451*(LINE_INPUT_CLINE+LINE_INPUT_CCHA/2))</f>
        <v>0</v>
      </c>
      <c r="G451">
        <f>IMPRODUCT("2",IMDIV("1",IMSUM(IMDIV("1",COMPLEX(LDM1_DCR,B451*LDM1_L)),COMPLEX(0,B451*LDM1_CPA))))</f>
        <v>0</v>
      </c>
      <c r="H451">
        <f>IMSUM(IMDIV("1",COMPLEX(CX1_ESR,B451*CX1_ESL-1/(B451*CX1_C))),IMDIV("1",IMSUM(COMPLEX(DUMP1_R,0),COMPLEX(DUMP1_ESR,B451*DUMP1_ESL-1/(B451*DUMP1_C)))))</f>
        <v>0</v>
      </c>
      <c r="I451">
        <f>IMPRODUCT("2",IMDIV("1",IMSUM(IMDIV("1",COMPLEX(LDM2_DCR,B451*LDM2_L)),COMPLEX(0,B451*LDM2_CPA))))</f>
        <v>0</v>
      </c>
      <c r="J451">
        <f>IMSUM(IMDIV("1",COMPLEX(CX2_ESR,B451*CX2_ESL-1/(B451*CX2_C))),IMDIV("1",IMSUM(COMPLEX(DUMP2_R,0),COMPLEX(DUMP2_ESR,B451*DUMP2_ESL-1/(B451*DUMP2_C)))))</f>
        <v>0</v>
      </c>
      <c r="K451">
        <f>IMPRODUCT("2",IMDIV("1",IMSUM(IMDIV("1",COMPLEX(CMC_DCR,B451*CMC_L*(1-CMC_K))),COMPLEX(0,B451*CMC_CPA))))</f>
        <v>0</v>
      </c>
      <c r="L451">
        <f>IMSUM(COMPLEX(0,B451*CMC_CLINE),IMDIV("1",IMPRODUCT("2",COMPLEX(CY_ESR,B451*CY_ESL-1/(B451*CY_C)))),COMPLEX(1/DUMMY_R,0))</f>
        <v>0</v>
      </c>
      <c r="M451">
        <f>IMSUM(D451,IMDIV("1",C451))</f>
        <v>0</v>
      </c>
      <c r="N451">
        <f>IMDIV("1",IMSUM(E451,IMDIV("1",M451)))</f>
        <v>0</v>
      </c>
      <c r="O451">
        <f>IMSUM(F451,N451)</f>
        <v>0</v>
      </c>
      <c r="P451">
        <f>IMDIV("1",IMSUM(G451,IMDIV("1",O451)))</f>
        <v>0</v>
      </c>
      <c r="Q451">
        <f>IMSUM(H451,P451)</f>
        <v>0</v>
      </c>
      <c r="R451">
        <f>IMDIV("1",IMSUM(I451,IMDIV("1",Q451)))</f>
        <v>0</v>
      </c>
      <c r="S451">
        <f>IMSUM(J451,R451)</f>
        <v>0</v>
      </c>
      <c r="T451">
        <f>IMDIV("1",IMSUM(K451,IMDIV("1",S451)))</f>
        <v>0</v>
      </c>
      <c r="U451">
        <f>IMSUM(L451,T451)</f>
        <v>0</v>
      </c>
      <c r="V451">
        <f>IMDIV(COMPLEX(I_DM_SOURCE,0),U451)</f>
        <v>0</v>
      </c>
      <c r="W451">
        <f>IMPRODUCT(V451,T451)</f>
        <v>0</v>
      </c>
      <c r="X451">
        <f>IMDIV(W451,S451)</f>
        <v>0</v>
      </c>
      <c r="Y451">
        <f>IMPRODUCT(X451,R451)</f>
        <v>0</v>
      </c>
      <c r="Z451">
        <f>IMDIV(Y451,Q451)</f>
        <v>0</v>
      </c>
      <c r="AA451">
        <f>IMPRODUCT(Z451,P451)</f>
        <v>0</v>
      </c>
      <c r="AB451">
        <f>AA451</f>
        <v>0</v>
      </c>
      <c r="AC451">
        <f>IMPRODUCT("-1",AB451)</f>
        <v>0</v>
      </c>
      <c r="AD451">
        <f>IMDIV(IMSUB(AB451,AC451),"2")</f>
        <v>0</v>
      </c>
      <c r="AE451" s="6">
        <f>IMABS(AB451)</f>
        <v>0</v>
      </c>
      <c r="AF451" s="6">
        <f>IMABS(AC451)</f>
        <v>0</v>
      </c>
      <c r="AG451" s="6">
        <f>IMABS(AD451)</f>
        <v>0</v>
      </c>
      <c r="AH451" s="7">
        <f>20*LOG10(MAX(AE451,1E-300)*1E6)</f>
        <v>0</v>
      </c>
      <c r="AI451" s="7">
        <f>20*LOG10(MAX(AF451,1E-300)*1E6)</f>
        <v>0</v>
      </c>
      <c r="AJ451" s="7">
        <f>20*LOG10(MAX(AG451,1E-300)*1E6)</f>
        <v>0</v>
      </c>
      <c r="AK451" s="7">
        <f>DEGREES(IMARGUMENT(AB451))</f>
        <v>0</v>
      </c>
      <c r="AL451" s="7">
        <f>DEGREES(IMARGUMENT(AC451))</f>
        <v>0</v>
      </c>
      <c r="AM451" s="7">
        <f>DEGREES(IMARGUMENT(AD451))</f>
        <v>0</v>
      </c>
    </row>
    <row r="452" spans="1:39">
      <c r="A452" s="6">
        <f>10^(LOG10(F_START)+(ROW()-ROW($A$2))*(LOG10(F_STOP)-LOG10(F_START))/(N_POINTS-1))</f>
        <v>0</v>
      </c>
      <c r="B452" s="6">
        <f>2*PI()*A452</f>
        <v>0</v>
      </c>
      <c r="C452">
        <f>COMPLEX(2*LINE_PS_DCR,2*B452*LINE_PS_L)</f>
        <v>0</v>
      </c>
      <c r="D452">
        <f>IMSUM(COMPLEX(0,B452*(LINE_PS_CLINE+LINE_PS_CCHA/2)),IMDIV("1",IMPRODUCT("2",COMPLEX(C_THROUGH_ESR,B452*C_THROUGH_ESL-1/(B452*C_THROUGH_C)))))</f>
        <v>0</v>
      </c>
      <c r="E452">
        <f>COMPLEX(2*LINE_INPUT_DCR,2*B452*LINE_INPUT_L)</f>
        <v>0</v>
      </c>
      <c r="F452">
        <f>COMPLEX(0,B452*(LINE_INPUT_CLINE+LINE_INPUT_CCHA/2))</f>
        <v>0</v>
      </c>
      <c r="G452">
        <f>IMPRODUCT("2",IMDIV("1",IMSUM(IMDIV("1",COMPLEX(LDM1_DCR,B452*LDM1_L)),COMPLEX(0,B452*LDM1_CPA))))</f>
        <v>0</v>
      </c>
      <c r="H452">
        <f>IMSUM(IMDIV("1",COMPLEX(CX1_ESR,B452*CX1_ESL-1/(B452*CX1_C))),IMDIV("1",IMSUM(COMPLEX(DUMP1_R,0),COMPLEX(DUMP1_ESR,B452*DUMP1_ESL-1/(B452*DUMP1_C)))))</f>
        <v>0</v>
      </c>
      <c r="I452">
        <f>IMPRODUCT("2",IMDIV("1",IMSUM(IMDIV("1",COMPLEX(LDM2_DCR,B452*LDM2_L)),COMPLEX(0,B452*LDM2_CPA))))</f>
        <v>0</v>
      </c>
      <c r="J452">
        <f>IMSUM(IMDIV("1",COMPLEX(CX2_ESR,B452*CX2_ESL-1/(B452*CX2_C))),IMDIV("1",IMSUM(COMPLEX(DUMP2_R,0),COMPLEX(DUMP2_ESR,B452*DUMP2_ESL-1/(B452*DUMP2_C)))))</f>
        <v>0</v>
      </c>
      <c r="K452">
        <f>IMPRODUCT("2",IMDIV("1",IMSUM(IMDIV("1",COMPLEX(CMC_DCR,B452*CMC_L*(1-CMC_K))),COMPLEX(0,B452*CMC_CPA))))</f>
        <v>0</v>
      </c>
      <c r="L452">
        <f>IMSUM(COMPLEX(0,B452*CMC_CLINE),IMDIV("1",IMPRODUCT("2",COMPLEX(CY_ESR,B452*CY_ESL-1/(B452*CY_C)))),COMPLEX(1/DUMMY_R,0))</f>
        <v>0</v>
      </c>
      <c r="M452">
        <f>IMSUM(D452,IMDIV("1",C452))</f>
        <v>0</v>
      </c>
      <c r="N452">
        <f>IMDIV("1",IMSUM(E452,IMDIV("1",M452)))</f>
        <v>0</v>
      </c>
      <c r="O452">
        <f>IMSUM(F452,N452)</f>
        <v>0</v>
      </c>
      <c r="P452">
        <f>IMDIV("1",IMSUM(G452,IMDIV("1",O452)))</f>
        <v>0</v>
      </c>
      <c r="Q452">
        <f>IMSUM(H452,P452)</f>
        <v>0</v>
      </c>
      <c r="R452">
        <f>IMDIV("1",IMSUM(I452,IMDIV("1",Q452)))</f>
        <v>0</v>
      </c>
      <c r="S452">
        <f>IMSUM(J452,R452)</f>
        <v>0</v>
      </c>
      <c r="T452">
        <f>IMDIV("1",IMSUM(K452,IMDIV("1",S452)))</f>
        <v>0</v>
      </c>
      <c r="U452">
        <f>IMSUM(L452,T452)</f>
        <v>0</v>
      </c>
      <c r="V452">
        <f>IMDIV(COMPLEX(I_DM_SOURCE,0),U452)</f>
        <v>0</v>
      </c>
      <c r="W452">
        <f>IMPRODUCT(V452,T452)</f>
        <v>0</v>
      </c>
      <c r="X452">
        <f>IMDIV(W452,S452)</f>
        <v>0</v>
      </c>
      <c r="Y452">
        <f>IMPRODUCT(X452,R452)</f>
        <v>0</v>
      </c>
      <c r="Z452">
        <f>IMDIV(Y452,Q452)</f>
        <v>0</v>
      </c>
      <c r="AA452">
        <f>IMPRODUCT(Z452,P452)</f>
        <v>0</v>
      </c>
      <c r="AB452">
        <f>AA452</f>
        <v>0</v>
      </c>
      <c r="AC452">
        <f>IMPRODUCT("-1",AB452)</f>
        <v>0</v>
      </c>
      <c r="AD452">
        <f>IMDIV(IMSUB(AB452,AC452),"2")</f>
        <v>0</v>
      </c>
      <c r="AE452" s="6">
        <f>IMABS(AB452)</f>
        <v>0</v>
      </c>
      <c r="AF452" s="6">
        <f>IMABS(AC452)</f>
        <v>0</v>
      </c>
      <c r="AG452" s="6">
        <f>IMABS(AD452)</f>
        <v>0</v>
      </c>
      <c r="AH452" s="7">
        <f>20*LOG10(MAX(AE452,1E-300)*1E6)</f>
        <v>0</v>
      </c>
      <c r="AI452" s="7">
        <f>20*LOG10(MAX(AF452,1E-300)*1E6)</f>
        <v>0</v>
      </c>
      <c r="AJ452" s="7">
        <f>20*LOG10(MAX(AG452,1E-300)*1E6)</f>
        <v>0</v>
      </c>
      <c r="AK452" s="7">
        <f>DEGREES(IMARGUMENT(AB452))</f>
        <v>0</v>
      </c>
      <c r="AL452" s="7">
        <f>DEGREES(IMARGUMENT(AC452))</f>
        <v>0</v>
      </c>
      <c r="AM452" s="7">
        <f>DEGREES(IMARGUMENT(AD452))</f>
        <v>0</v>
      </c>
    </row>
    <row r="453" spans="1:39">
      <c r="A453" s="6">
        <f>10^(LOG10(F_START)+(ROW()-ROW($A$2))*(LOG10(F_STOP)-LOG10(F_START))/(N_POINTS-1))</f>
        <v>0</v>
      </c>
      <c r="B453" s="6">
        <f>2*PI()*A453</f>
        <v>0</v>
      </c>
      <c r="C453">
        <f>COMPLEX(2*LINE_PS_DCR,2*B453*LINE_PS_L)</f>
        <v>0</v>
      </c>
      <c r="D453">
        <f>IMSUM(COMPLEX(0,B453*(LINE_PS_CLINE+LINE_PS_CCHA/2)),IMDIV("1",IMPRODUCT("2",COMPLEX(C_THROUGH_ESR,B453*C_THROUGH_ESL-1/(B453*C_THROUGH_C)))))</f>
        <v>0</v>
      </c>
      <c r="E453">
        <f>COMPLEX(2*LINE_INPUT_DCR,2*B453*LINE_INPUT_L)</f>
        <v>0</v>
      </c>
      <c r="F453">
        <f>COMPLEX(0,B453*(LINE_INPUT_CLINE+LINE_INPUT_CCHA/2))</f>
        <v>0</v>
      </c>
      <c r="G453">
        <f>IMPRODUCT("2",IMDIV("1",IMSUM(IMDIV("1",COMPLEX(LDM1_DCR,B453*LDM1_L)),COMPLEX(0,B453*LDM1_CPA))))</f>
        <v>0</v>
      </c>
      <c r="H453">
        <f>IMSUM(IMDIV("1",COMPLEX(CX1_ESR,B453*CX1_ESL-1/(B453*CX1_C))),IMDIV("1",IMSUM(COMPLEX(DUMP1_R,0),COMPLEX(DUMP1_ESR,B453*DUMP1_ESL-1/(B453*DUMP1_C)))))</f>
        <v>0</v>
      </c>
      <c r="I453">
        <f>IMPRODUCT("2",IMDIV("1",IMSUM(IMDIV("1",COMPLEX(LDM2_DCR,B453*LDM2_L)),COMPLEX(0,B453*LDM2_CPA))))</f>
        <v>0</v>
      </c>
      <c r="J453">
        <f>IMSUM(IMDIV("1",COMPLEX(CX2_ESR,B453*CX2_ESL-1/(B453*CX2_C))),IMDIV("1",IMSUM(COMPLEX(DUMP2_R,0),COMPLEX(DUMP2_ESR,B453*DUMP2_ESL-1/(B453*DUMP2_C)))))</f>
        <v>0</v>
      </c>
      <c r="K453">
        <f>IMPRODUCT("2",IMDIV("1",IMSUM(IMDIV("1",COMPLEX(CMC_DCR,B453*CMC_L*(1-CMC_K))),COMPLEX(0,B453*CMC_CPA))))</f>
        <v>0</v>
      </c>
      <c r="L453">
        <f>IMSUM(COMPLEX(0,B453*CMC_CLINE),IMDIV("1",IMPRODUCT("2",COMPLEX(CY_ESR,B453*CY_ESL-1/(B453*CY_C)))),COMPLEX(1/DUMMY_R,0))</f>
        <v>0</v>
      </c>
      <c r="M453">
        <f>IMSUM(D453,IMDIV("1",C453))</f>
        <v>0</v>
      </c>
      <c r="N453">
        <f>IMDIV("1",IMSUM(E453,IMDIV("1",M453)))</f>
        <v>0</v>
      </c>
      <c r="O453">
        <f>IMSUM(F453,N453)</f>
        <v>0</v>
      </c>
      <c r="P453">
        <f>IMDIV("1",IMSUM(G453,IMDIV("1",O453)))</f>
        <v>0</v>
      </c>
      <c r="Q453">
        <f>IMSUM(H453,P453)</f>
        <v>0</v>
      </c>
      <c r="R453">
        <f>IMDIV("1",IMSUM(I453,IMDIV("1",Q453)))</f>
        <v>0</v>
      </c>
      <c r="S453">
        <f>IMSUM(J453,R453)</f>
        <v>0</v>
      </c>
      <c r="T453">
        <f>IMDIV("1",IMSUM(K453,IMDIV("1",S453)))</f>
        <v>0</v>
      </c>
      <c r="U453">
        <f>IMSUM(L453,T453)</f>
        <v>0</v>
      </c>
      <c r="V453">
        <f>IMDIV(COMPLEX(I_DM_SOURCE,0),U453)</f>
        <v>0</v>
      </c>
      <c r="W453">
        <f>IMPRODUCT(V453,T453)</f>
        <v>0</v>
      </c>
      <c r="X453">
        <f>IMDIV(W453,S453)</f>
        <v>0</v>
      </c>
      <c r="Y453">
        <f>IMPRODUCT(X453,R453)</f>
        <v>0</v>
      </c>
      <c r="Z453">
        <f>IMDIV(Y453,Q453)</f>
        <v>0</v>
      </c>
      <c r="AA453">
        <f>IMPRODUCT(Z453,P453)</f>
        <v>0</v>
      </c>
      <c r="AB453">
        <f>AA453</f>
        <v>0</v>
      </c>
      <c r="AC453">
        <f>IMPRODUCT("-1",AB453)</f>
        <v>0</v>
      </c>
      <c r="AD453">
        <f>IMDIV(IMSUB(AB453,AC453),"2")</f>
        <v>0</v>
      </c>
      <c r="AE453" s="6">
        <f>IMABS(AB453)</f>
        <v>0</v>
      </c>
      <c r="AF453" s="6">
        <f>IMABS(AC453)</f>
        <v>0</v>
      </c>
      <c r="AG453" s="6">
        <f>IMABS(AD453)</f>
        <v>0</v>
      </c>
      <c r="AH453" s="7">
        <f>20*LOG10(MAX(AE453,1E-300)*1E6)</f>
        <v>0</v>
      </c>
      <c r="AI453" s="7">
        <f>20*LOG10(MAX(AF453,1E-300)*1E6)</f>
        <v>0</v>
      </c>
      <c r="AJ453" s="7">
        <f>20*LOG10(MAX(AG453,1E-300)*1E6)</f>
        <v>0</v>
      </c>
      <c r="AK453" s="7">
        <f>DEGREES(IMARGUMENT(AB453))</f>
        <v>0</v>
      </c>
      <c r="AL453" s="7">
        <f>DEGREES(IMARGUMENT(AC453))</f>
        <v>0</v>
      </c>
      <c r="AM453" s="7">
        <f>DEGREES(IMARGUMENT(AD453))</f>
        <v>0</v>
      </c>
    </row>
    <row r="454" spans="1:39">
      <c r="A454" s="6">
        <f>10^(LOG10(F_START)+(ROW()-ROW($A$2))*(LOG10(F_STOP)-LOG10(F_START))/(N_POINTS-1))</f>
        <v>0</v>
      </c>
      <c r="B454" s="6">
        <f>2*PI()*A454</f>
        <v>0</v>
      </c>
      <c r="C454">
        <f>COMPLEX(2*LINE_PS_DCR,2*B454*LINE_PS_L)</f>
        <v>0</v>
      </c>
      <c r="D454">
        <f>IMSUM(COMPLEX(0,B454*(LINE_PS_CLINE+LINE_PS_CCHA/2)),IMDIV("1",IMPRODUCT("2",COMPLEX(C_THROUGH_ESR,B454*C_THROUGH_ESL-1/(B454*C_THROUGH_C)))))</f>
        <v>0</v>
      </c>
      <c r="E454">
        <f>COMPLEX(2*LINE_INPUT_DCR,2*B454*LINE_INPUT_L)</f>
        <v>0</v>
      </c>
      <c r="F454">
        <f>COMPLEX(0,B454*(LINE_INPUT_CLINE+LINE_INPUT_CCHA/2))</f>
        <v>0</v>
      </c>
      <c r="G454">
        <f>IMPRODUCT("2",IMDIV("1",IMSUM(IMDIV("1",COMPLEX(LDM1_DCR,B454*LDM1_L)),COMPLEX(0,B454*LDM1_CPA))))</f>
        <v>0</v>
      </c>
      <c r="H454">
        <f>IMSUM(IMDIV("1",COMPLEX(CX1_ESR,B454*CX1_ESL-1/(B454*CX1_C))),IMDIV("1",IMSUM(COMPLEX(DUMP1_R,0),COMPLEX(DUMP1_ESR,B454*DUMP1_ESL-1/(B454*DUMP1_C)))))</f>
        <v>0</v>
      </c>
      <c r="I454">
        <f>IMPRODUCT("2",IMDIV("1",IMSUM(IMDIV("1",COMPLEX(LDM2_DCR,B454*LDM2_L)),COMPLEX(0,B454*LDM2_CPA))))</f>
        <v>0</v>
      </c>
      <c r="J454">
        <f>IMSUM(IMDIV("1",COMPLEX(CX2_ESR,B454*CX2_ESL-1/(B454*CX2_C))),IMDIV("1",IMSUM(COMPLEX(DUMP2_R,0),COMPLEX(DUMP2_ESR,B454*DUMP2_ESL-1/(B454*DUMP2_C)))))</f>
        <v>0</v>
      </c>
      <c r="K454">
        <f>IMPRODUCT("2",IMDIV("1",IMSUM(IMDIV("1",COMPLEX(CMC_DCR,B454*CMC_L*(1-CMC_K))),COMPLEX(0,B454*CMC_CPA))))</f>
        <v>0</v>
      </c>
      <c r="L454">
        <f>IMSUM(COMPLEX(0,B454*CMC_CLINE),IMDIV("1",IMPRODUCT("2",COMPLEX(CY_ESR,B454*CY_ESL-1/(B454*CY_C)))),COMPLEX(1/DUMMY_R,0))</f>
        <v>0</v>
      </c>
      <c r="M454">
        <f>IMSUM(D454,IMDIV("1",C454))</f>
        <v>0</v>
      </c>
      <c r="N454">
        <f>IMDIV("1",IMSUM(E454,IMDIV("1",M454)))</f>
        <v>0</v>
      </c>
      <c r="O454">
        <f>IMSUM(F454,N454)</f>
        <v>0</v>
      </c>
      <c r="P454">
        <f>IMDIV("1",IMSUM(G454,IMDIV("1",O454)))</f>
        <v>0</v>
      </c>
      <c r="Q454">
        <f>IMSUM(H454,P454)</f>
        <v>0</v>
      </c>
      <c r="R454">
        <f>IMDIV("1",IMSUM(I454,IMDIV("1",Q454)))</f>
        <v>0</v>
      </c>
      <c r="S454">
        <f>IMSUM(J454,R454)</f>
        <v>0</v>
      </c>
      <c r="T454">
        <f>IMDIV("1",IMSUM(K454,IMDIV("1",S454)))</f>
        <v>0</v>
      </c>
      <c r="U454">
        <f>IMSUM(L454,T454)</f>
        <v>0</v>
      </c>
      <c r="V454">
        <f>IMDIV(COMPLEX(I_DM_SOURCE,0),U454)</f>
        <v>0</v>
      </c>
      <c r="W454">
        <f>IMPRODUCT(V454,T454)</f>
        <v>0</v>
      </c>
      <c r="X454">
        <f>IMDIV(W454,S454)</f>
        <v>0</v>
      </c>
      <c r="Y454">
        <f>IMPRODUCT(X454,R454)</f>
        <v>0</v>
      </c>
      <c r="Z454">
        <f>IMDIV(Y454,Q454)</f>
        <v>0</v>
      </c>
      <c r="AA454">
        <f>IMPRODUCT(Z454,P454)</f>
        <v>0</v>
      </c>
      <c r="AB454">
        <f>AA454</f>
        <v>0</v>
      </c>
      <c r="AC454">
        <f>IMPRODUCT("-1",AB454)</f>
        <v>0</v>
      </c>
      <c r="AD454">
        <f>IMDIV(IMSUB(AB454,AC454),"2")</f>
        <v>0</v>
      </c>
      <c r="AE454" s="6">
        <f>IMABS(AB454)</f>
        <v>0</v>
      </c>
      <c r="AF454" s="6">
        <f>IMABS(AC454)</f>
        <v>0</v>
      </c>
      <c r="AG454" s="6">
        <f>IMABS(AD454)</f>
        <v>0</v>
      </c>
      <c r="AH454" s="7">
        <f>20*LOG10(MAX(AE454,1E-300)*1E6)</f>
        <v>0</v>
      </c>
      <c r="AI454" s="7">
        <f>20*LOG10(MAX(AF454,1E-300)*1E6)</f>
        <v>0</v>
      </c>
      <c r="AJ454" s="7">
        <f>20*LOG10(MAX(AG454,1E-300)*1E6)</f>
        <v>0</v>
      </c>
      <c r="AK454" s="7">
        <f>DEGREES(IMARGUMENT(AB454))</f>
        <v>0</v>
      </c>
      <c r="AL454" s="7">
        <f>DEGREES(IMARGUMENT(AC454))</f>
        <v>0</v>
      </c>
      <c r="AM454" s="7">
        <f>DEGREES(IMARGUMENT(AD454))</f>
        <v>0</v>
      </c>
    </row>
    <row r="455" spans="1:39">
      <c r="A455" s="6">
        <f>10^(LOG10(F_START)+(ROW()-ROW($A$2))*(LOG10(F_STOP)-LOG10(F_START))/(N_POINTS-1))</f>
        <v>0</v>
      </c>
      <c r="B455" s="6">
        <f>2*PI()*A455</f>
        <v>0</v>
      </c>
      <c r="C455">
        <f>COMPLEX(2*LINE_PS_DCR,2*B455*LINE_PS_L)</f>
        <v>0</v>
      </c>
      <c r="D455">
        <f>IMSUM(COMPLEX(0,B455*(LINE_PS_CLINE+LINE_PS_CCHA/2)),IMDIV("1",IMPRODUCT("2",COMPLEX(C_THROUGH_ESR,B455*C_THROUGH_ESL-1/(B455*C_THROUGH_C)))))</f>
        <v>0</v>
      </c>
      <c r="E455">
        <f>COMPLEX(2*LINE_INPUT_DCR,2*B455*LINE_INPUT_L)</f>
        <v>0</v>
      </c>
      <c r="F455">
        <f>COMPLEX(0,B455*(LINE_INPUT_CLINE+LINE_INPUT_CCHA/2))</f>
        <v>0</v>
      </c>
      <c r="G455">
        <f>IMPRODUCT("2",IMDIV("1",IMSUM(IMDIV("1",COMPLEX(LDM1_DCR,B455*LDM1_L)),COMPLEX(0,B455*LDM1_CPA))))</f>
        <v>0</v>
      </c>
      <c r="H455">
        <f>IMSUM(IMDIV("1",COMPLEX(CX1_ESR,B455*CX1_ESL-1/(B455*CX1_C))),IMDIV("1",IMSUM(COMPLEX(DUMP1_R,0),COMPLEX(DUMP1_ESR,B455*DUMP1_ESL-1/(B455*DUMP1_C)))))</f>
        <v>0</v>
      </c>
      <c r="I455">
        <f>IMPRODUCT("2",IMDIV("1",IMSUM(IMDIV("1",COMPLEX(LDM2_DCR,B455*LDM2_L)),COMPLEX(0,B455*LDM2_CPA))))</f>
        <v>0</v>
      </c>
      <c r="J455">
        <f>IMSUM(IMDIV("1",COMPLEX(CX2_ESR,B455*CX2_ESL-1/(B455*CX2_C))),IMDIV("1",IMSUM(COMPLEX(DUMP2_R,0),COMPLEX(DUMP2_ESR,B455*DUMP2_ESL-1/(B455*DUMP2_C)))))</f>
        <v>0</v>
      </c>
      <c r="K455">
        <f>IMPRODUCT("2",IMDIV("1",IMSUM(IMDIV("1",COMPLEX(CMC_DCR,B455*CMC_L*(1-CMC_K))),COMPLEX(0,B455*CMC_CPA))))</f>
        <v>0</v>
      </c>
      <c r="L455">
        <f>IMSUM(COMPLEX(0,B455*CMC_CLINE),IMDIV("1",IMPRODUCT("2",COMPLEX(CY_ESR,B455*CY_ESL-1/(B455*CY_C)))),COMPLEX(1/DUMMY_R,0))</f>
        <v>0</v>
      </c>
      <c r="M455">
        <f>IMSUM(D455,IMDIV("1",C455))</f>
        <v>0</v>
      </c>
      <c r="N455">
        <f>IMDIV("1",IMSUM(E455,IMDIV("1",M455)))</f>
        <v>0</v>
      </c>
      <c r="O455">
        <f>IMSUM(F455,N455)</f>
        <v>0</v>
      </c>
      <c r="P455">
        <f>IMDIV("1",IMSUM(G455,IMDIV("1",O455)))</f>
        <v>0</v>
      </c>
      <c r="Q455">
        <f>IMSUM(H455,P455)</f>
        <v>0</v>
      </c>
      <c r="R455">
        <f>IMDIV("1",IMSUM(I455,IMDIV("1",Q455)))</f>
        <v>0</v>
      </c>
      <c r="S455">
        <f>IMSUM(J455,R455)</f>
        <v>0</v>
      </c>
      <c r="T455">
        <f>IMDIV("1",IMSUM(K455,IMDIV("1",S455)))</f>
        <v>0</v>
      </c>
      <c r="U455">
        <f>IMSUM(L455,T455)</f>
        <v>0</v>
      </c>
      <c r="V455">
        <f>IMDIV(COMPLEX(I_DM_SOURCE,0),U455)</f>
        <v>0</v>
      </c>
      <c r="W455">
        <f>IMPRODUCT(V455,T455)</f>
        <v>0</v>
      </c>
      <c r="X455">
        <f>IMDIV(W455,S455)</f>
        <v>0</v>
      </c>
      <c r="Y455">
        <f>IMPRODUCT(X455,R455)</f>
        <v>0</v>
      </c>
      <c r="Z455">
        <f>IMDIV(Y455,Q455)</f>
        <v>0</v>
      </c>
      <c r="AA455">
        <f>IMPRODUCT(Z455,P455)</f>
        <v>0</v>
      </c>
      <c r="AB455">
        <f>AA455</f>
        <v>0</v>
      </c>
      <c r="AC455">
        <f>IMPRODUCT("-1",AB455)</f>
        <v>0</v>
      </c>
      <c r="AD455">
        <f>IMDIV(IMSUB(AB455,AC455),"2")</f>
        <v>0</v>
      </c>
      <c r="AE455" s="6">
        <f>IMABS(AB455)</f>
        <v>0</v>
      </c>
      <c r="AF455" s="6">
        <f>IMABS(AC455)</f>
        <v>0</v>
      </c>
      <c r="AG455" s="6">
        <f>IMABS(AD455)</f>
        <v>0</v>
      </c>
      <c r="AH455" s="7">
        <f>20*LOG10(MAX(AE455,1E-300)*1E6)</f>
        <v>0</v>
      </c>
      <c r="AI455" s="7">
        <f>20*LOG10(MAX(AF455,1E-300)*1E6)</f>
        <v>0</v>
      </c>
      <c r="AJ455" s="7">
        <f>20*LOG10(MAX(AG455,1E-300)*1E6)</f>
        <v>0</v>
      </c>
      <c r="AK455" s="7">
        <f>DEGREES(IMARGUMENT(AB455))</f>
        <v>0</v>
      </c>
      <c r="AL455" s="7">
        <f>DEGREES(IMARGUMENT(AC455))</f>
        <v>0</v>
      </c>
      <c r="AM455" s="7">
        <f>DEGREES(IMARGUMENT(AD455))</f>
        <v>0</v>
      </c>
    </row>
    <row r="456" spans="1:39">
      <c r="A456" s="6">
        <f>10^(LOG10(F_START)+(ROW()-ROW($A$2))*(LOG10(F_STOP)-LOG10(F_START))/(N_POINTS-1))</f>
        <v>0</v>
      </c>
      <c r="B456" s="6">
        <f>2*PI()*A456</f>
        <v>0</v>
      </c>
      <c r="C456">
        <f>COMPLEX(2*LINE_PS_DCR,2*B456*LINE_PS_L)</f>
        <v>0</v>
      </c>
      <c r="D456">
        <f>IMSUM(COMPLEX(0,B456*(LINE_PS_CLINE+LINE_PS_CCHA/2)),IMDIV("1",IMPRODUCT("2",COMPLEX(C_THROUGH_ESR,B456*C_THROUGH_ESL-1/(B456*C_THROUGH_C)))))</f>
        <v>0</v>
      </c>
      <c r="E456">
        <f>COMPLEX(2*LINE_INPUT_DCR,2*B456*LINE_INPUT_L)</f>
        <v>0</v>
      </c>
      <c r="F456">
        <f>COMPLEX(0,B456*(LINE_INPUT_CLINE+LINE_INPUT_CCHA/2))</f>
        <v>0</v>
      </c>
      <c r="G456">
        <f>IMPRODUCT("2",IMDIV("1",IMSUM(IMDIV("1",COMPLEX(LDM1_DCR,B456*LDM1_L)),COMPLEX(0,B456*LDM1_CPA))))</f>
        <v>0</v>
      </c>
      <c r="H456">
        <f>IMSUM(IMDIV("1",COMPLEX(CX1_ESR,B456*CX1_ESL-1/(B456*CX1_C))),IMDIV("1",IMSUM(COMPLEX(DUMP1_R,0),COMPLEX(DUMP1_ESR,B456*DUMP1_ESL-1/(B456*DUMP1_C)))))</f>
        <v>0</v>
      </c>
      <c r="I456">
        <f>IMPRODUCT("2",IMDIV("1",IMSUM(IMDIV("1",COMPLEX(LDM2_DCR,B456*LDM2_L)),COMPLEX(0,B456*LDM2_CPA))))</f>
        <v>0</v>
      </c>
      <c r="J456">
        <f>IMSUM(IMDIV("1",COMPLEX(CX2_ESR,B456*CX2_ESL-1/(B456*CX2_C))),IMDIV("1",IMSUM(COMPLEX(DUMP2_R,0),COMPLEX(DUMP2_ESR,B456*DUMP2_ESL-1/(B456*DUMP2_C)))))</f>
        <v>0</v>
      </c>
      <c r="K456">
        <f>IMPRODUCT("2",IMDIV("1",IMSUM(IMDIV("1",COMPLEX(CMC_DCR,B456*CMC_L*(1-CMC_K))),COMPLEX(0,B456*CMC_CPA))))</f>
        <v>0</v>
      </c>
      <c r="L456">
        <f>IMSUM(COMPLEX(0,B456*CMC_CLINE),IMDIV("1",IMPRODUCT("2",COMPLEX(CY_ESR,B456*CY_ESL-1/(B456*CY_C)))),COMPLEX(1/DUMMY_R,0))</f>
        <v>0</v>
      </c>
      <c r="M456">
        <f>IMSUM(D456,IMDIV("1",C456))</f>
        <v>0</v>
      </c>
      <c r="N456">
        <f>IMDIV("1",IMSUM(E456,IMDIV("1",M456)))</f>
        <v>0</v>
      </c>
      <c r="O456">
        <f>IMSUM(F456,N456)</f>
        <v>0</v>
      </c>
      <c r="P456">
        <f>IMDIV("1",IMSUM(G456,IMDIV("1",O456)))</f>
        <v>0</v>
      </c>
      <c r="Q456">
        <f>IMSUM(H456,P456)</f>
        <v>0</v>
      </c>
      <c r="R456">
        <f>IMDIV("1",IMSUM(I456,IMDIV("1",Q456)))</f>
        <v>0</v>
      </c>
      <c r="S456">
        <f>IMSUM(J456,R456)</f>
        <v>0</v>
      </c>
      <c r="T456">
        <f>IMDIV("1",IMSUM(K456,IMDIV("1",S456)))</f>
        <v>0</v>
      </c>
      <c r="U456">
        <f>IMSUM(L456,T456)</f>
        <v>0</v>
      </c>
      <c r="V456">
        <f>IMDIV(COMPLEX(I_DM_SOURCE,0),U456)</f>
        <v>0</v>
      </c>
      <c r="W456">
        <f>IMPRODUCT(V456,T456)</f>
        <v>0</v>
      </c>
      <c r="X456">
        <f>IMDIV(W456,S456)</f>
        <v>0</v>
      </c>
      <c r="Y456">
        <f>IMPRODUCT(X456,R456)</f>
        <v>0</v>
      </c>
      <c r="Z456">
        <f>IMDIV(Y456,Q456)</f>
        <v>0</v>
      </c>
      <c r="AA456">
        <f>IMPRODUCT(Z456,P456)</f>
        <v>0</v>
      </c>
      <c r="AB456">
        <f>AA456</f>
        <v>0</v>
      </c>
      <c r="AC456">
        <f>IMPRODUCT("-1",AB456)</f>
        <v>0</v>
      </c>
      <c r="AD456">
        <f>IMDIV(IMSUB(AB456,AC456),"2")</f>
        <v>0</v>
      </c>
      <c r="AE456" s="6">
        <f>IMABS(AB456)</f>
        <v>0</v>
      </c>
      <c r="AF456" s="6">
        <f>IMABS(AC456)</f>
        <v>0</v>
      </c>
      <c r="AG456" s="6">
        <f>IMABS(AD456)</f>
        <v>0</v>
      </c>
      <c r="AH456" s="7">
        <f>20*LOG10(MAX(AE456,1E-300)*1E6)</f>
        <v>0</v>
      </c>
      <c r="AI456" s="7">
        <f>20*LOG10(MAX(AF456,1E-300)*1E6)</f>
        <v>0</v>
      </c>
      <c r="AJ456" s="7">
        <f>20*LOG10(MAX(AG456,1E-300)*1E6)</f>
        <v>0</v>
      </c>
      <c r="AK456" s="7">
        <f>DEGREES(IMARGUMENT(AB456))</f>
        <v>0</v>
      </c>
      <c r="AL456" s="7">
        <f>DEGREES(IMARGUMENT(AC456))</f>
        <v>0</v>
      </c>
      <c r="AM456" s="7">
        <f>DEGREES(IMARGUMENT(AD456))</f>
        <v>0</v>
      </c>
    </row>
    <row r="457" spans="1:39">
      <c r="A457" s="6">
        <f>10^(LOG10(F_START)+(ROW()-ROW($A$2))*(LOG10(F_STOP)-LOG10(F_START))/(N_POINTS-1))</f>
        <v>0</v>
      </c>
      <c r="B457" s="6">
        <f>2*PI()*A457</f>
        <v>0</v>
      </c>
      <c r="C457">
        <f>COMPLEX(2*LINE_PS_DCR,2*B457*LINE_PS_L)</f>
        <v>0</v>
      </c>
      <c r="D457">
        <f>IMSUM(COMPLEX(0,B457*(LINE_PS_CLINE+LINE_PS_CCHA/2)),IMDIV("1",IMPRODUCT("2",COMPLEX(C_THROUGH_ESR,B457*C_THROUGH_ESL-1/(B457*C_THROUGH_C)))))</f>
        <v>0</v>
      </c>
      <c r="E457">
        <f>COMPLEX(2*LINE_INPUT_DCR,2*B457*LINE_INPUT_L)</f>
        <v>0</v>
      </c>
      <c r="F457">
        <f>COMPLEX(0,B457*(LINE_INPUT_CLINE+LINE_INPUT_CCHA/2))</f>
        <v>0</v>
      </c>
      <c r="G457">
        <f>IMPRODUCT("2",IMDIV("1",IMSUM(IMDIV("1",COMPLEX(LDM1_DCR,B457*LDM1_L)),COMPLEX(0,B457*LDM1_CPA))))</f>
        <v>0</v>
      </c>
      <c r="H457">
        <f>IMSUM(IMDIV("1",COMPLEX(CX1_ESR,B457*CX1_ESL-1/(B457*CX1_C))),IMDIV("1",IMSUM(COMPLEX(DUMP1_R,0),COMPLEX(DUMP1_ESR,B457*DUMP1_ESL-1/(B457*DUMP1_C)))))</f>
        <v>0</v>
      </c>
      <c r="I457">
        <f>IMPRODUCT("2",IMDIV("1",IMSUM(IMDIV("1",COMPLEX(LDM2_DCR,B457*LDM2_L)),COMPLEX(0,B457*LDM2_CPA))))</f>
        <v>0</v>
      </c>
      <c r="J457">
        <f>IMSUM(IMDIV("1",COMPLEX(CX2_ESR,B457*CX2_ESL-1/(B457*CX2_C))),IMDIV("1",IMSUM(COMPLEX(DUMP2_R,0),COMPLEX(DUMP2_ESR,B457*DUMP2_ESL-1/(B457*DUMP2_C)))))</f>
        <v>0</v>
      </c>
      <c r="K457">
        <f>IMPRODUCT("2",IMDIV("1",IMSUM(IMDIV("1",COMPLEX(CMC_DCR,B457*CMC_L*(1-CMC_K))),COMPLEX(0,B457*CMC_CPA))))</f>
        <v>0</v>
      </c>
      <c r="L457">
        <f>IMSUM(COMPLEX(0,B457*CMC_CLINE),IMDIV("1",IMPRODUCT("2",COMPLEX(CY_ESR,B457*CY_ESL-1/(B457*CY_C)))),COMPLEX(1/DUMMY_R,0))</f>
        <v>0</v>
      </c>
      <c r="M457">
        <f>IMSUM(D457,IMDIV("1",C457))</f>
        <v>0</v>
      </c>
      <c r="N457">
        <f>IMDIV("1",IMSUM(E457,IMDIV("1",M457)))</f>
        <v>0</v>
      </c>
      <c r="O457">
        <f>IMSUM(F457,N457)</f>
        <v>0</v>
      </c>
      <c r="P457">
        <f>IMDIV("1",IMSUM(G457,IMDIV("1",O457)))</f>
        <v>0</v>
      </c>
      <c r="Q457">
        <f>IMSUM(H457,P457)</f>
        <v>0</v>
      </c>
      <c r="R457">
        <f>IMDIV("1",IMSUM(I457,IMDIV("1",Q457)))</f>
        <v>0</v>
      </c>
      <c r="S457">
        <f>IMSUM(J457,R457)</f>
        <v>0</v>
      </c>
      <c r="T457">
        <f>IMDIV("1",IMSUM(K457,IMDIV("1",S457)))</f>
        <v>0</v>
      </c>
      <c r="U457">
        <f>IMSUM(L457,T457)</f>
        <v>0</v>
      </c>
      <c r="V457">
        <f>IMDIV(COMPLEX(I_DM_SOURCE,0),U457)</f>
        <v>0</v>
      </c>
      <c r="W457">
        <f>IMPRODUCT(V457,T457)</f>
        <v>0</v>
      </c>
      <c r="X457">
        <f>IMDIV(W457,S457)</f>
        <v>0</v>
      </c>
      <c r="Y457">
        <f>IMPRODUCT(X457,R457)</f>
        <v>0</v>
      </c>
      <c r="Z457">
        <f>IMDIV(Y457,Q457)</f>
        <v>0</v>
      </c>
      <c r="AA457">
        <f>IMPRODUCT(Z457,P457)</f>
        <v>0</v>
      </c>
      <c r="AB457">
        <f>AA457</f>
        <v>0</v>
      </c>
      <c r="AC457">
        <f>IMPRODUCT("-1",AB457)</f>
        <v>0</v>
      </c>
      <c r="AD457">
        <f>IMDIV(IMSUB(AB457,AC457),"2")</f>
        <v>0</v>
      </c>
      <c r="AE457" s="6">
        <f>IMABS(AB457)</f>
        <v>0</v>
      </c>
      <c r="AF457" s="6">
        <f>IMABS(AC457)</f>
        <v>0</v>
      </c>
      <c r="AG457" s="6">
        <f>IMABS(AD457)</f>
        <v>0</v>
      </c>
      <c r="AH457" s="7">
        <f>20*LOG10(MAX(AE457,1E-300)*1E6)</f>
        <v>0</v>
      </c>
      <c r="AI457" s="7">
        <f>20*LOG10(MAX(AF457,1E-300)*1E6)</f>
        <v>0</v>
      </c>
      <c r="AJ457" s="7">
        <f>20*LOG10(MAX(AG457,1E-300)*1E6)</f>
        <v>0</v>
      </c>
      <c r="AK457" s="7">
        <f>DEGREES(IMARGUMENT(AB457))</f>
        <v>0</v>
      </c>
      <c r="AL457" s="7">
        <f>DEGREES(IMARGUMENT(AC457))</f>
        <v>0</v>
      </c>
      <c r="AM457" s="7">
        <f>DEGREES(IMARGUMENT(AD457))</f>
        <v>0</v>
      </c>
    </row>
    <row r="458" spans="1:39">
      <c r="A458" s="6">
        <f>10^(LOG10(F_START)+(ROW()-ROW($A$2))*(LOG10(F_STOP)-LOG10(F_START))/(N_POINTS-1))</f>
        <v>0</v>
      </c>
      <c r="B458" s="6">
        <f>2*PI()*A458</f>
        <v>0</v>
      </c>
      <c r="C458">
        <f>COMPLEX(2*LINE_PS_DCR,2*B458*LINE_PS_L)</f>
        <v>0</v>
      </c>
      <c r="D458">
        <f>IMSUM(COMPLEX(0,B458*(LINE_PS_CLINE+LINE_PS_CCHA/2)),IMDIV("1",IMPRODUCT("2",COMPLEX(C_THROUGH_ESR,B458*C_THROUGH_ESL-1/(B458*C_THROUGH_C)))))</f>
        <v>0</v>
      </c>
      <c r="E458">
        <f>COMPLEX(2*LINE_INPUT_DCR,2*B458*LINE_INPUT_L)</f>
        <v>0</v>
      </c>
      <c r="F458">
        <f>COMPLEX(0,B458*(LINE_INPUT_CLINE+LINE_INPUT_CCHA/2))</f>
        <v>0</v>
      </c>
      <c r="G458">
        <f>IMPRODUCT("2",IMDIV("1",IMSUM(IMDIV("1",COMPLEX(LDM1_DCR,B458*LDM1_L)),COMPLEX(0,B458*LDM1_CPA))))</f>
        <v>0</v>
      </c>
      <c r="H458">
        <f>IMSUM(IMDIV("1",COMPLEX(CX1_ESR,B458*CX1_ESL-1/(B458*CX1_C))),IMDIV("1",IMSUM(COMPLEX(DUMP1_R,0),COMPLEX(DUMP1_ESR,B458*DUMP1_ESL-1/(B458*DUMP1_C)))))</f>
        <v>0</v>
      </c>
      <c r="I458">
        <f>IMPRODUCT("2",IMDIV("1",IMSUM(IMDIV("1",COMPLEX(LDM2_DCR,B458*LDM2_L)),COMPLEX(0,B458*LDM2_CPA))))</f>
        <v>0</v>
      </c>
      <c r="J458">
        <f>IMSUM(IMDIV("1",COMPLEX(CX2_ESR,B458*CX2_ESL-1/(B458*CX2_C))),IMDIV("1",IMSUM(COMPLEX(DUMP2_R,0),COMPLEX(DUMP2_ESR,B458*DUMP2_ESL-1/(B458*DUMP2_C)))))</f>
        <v>0</v>
      </c>
      <c r="K458">
        <f>IMPRODUCT("2",IMDIV("1",IMSUM(IMDIV("1",COMPLEX(CMC_DCR,B458*CMC_L*(1-CMC_K))),COMPLEX(0,B458*CMC_CPA))))</f>
        <v>0</v>
      </c>
      <c r="L458">
        <f>IMSUM(COMPLEX(0,B458*CMC_CLINE),IMDIV("1",IMPRODUCT("2",COMPLEX(CY_ESR,B458*CY_ESL-1/(B458*CY_C)))),COMPLEX(1/DUMMY_R,0))</f>
        <v>0</v>
      </c>
      <c r="M458">
        <f>IMSUM(D458,IMDIV("1",C458))</f>
        <v>0</v>
      </c>
      <c r="N458">
        <f>IMDIV("1",IMSUM(E458,IMDIV("1",M458)))</f>
        <v>0</v>
      </c>
      <c r="O458">
        <f>IMSUM(F458,N458)</f>
        <v>0</v>
      </c>
      <c r="P458">
        <f>IMDIV("1",IMSUM(G458,IMDIV("1",O458)))</f>
        <v>0</v>
      </c>
      <c r="Q458">
        <f>IMSUM(H458,P458)</f>
        <v>0</v>
      </c>
      <c r="R458">
        <f>IMDIV("1",IMSUM(I458,IMDIV("1",Q458)))</f>
        <v>0</v>
      </c>
      <c r="S458">
        <f>IMSUM(J458,R458)</f>
        <v>0</v>
      </c>
      <c r="T458">
        <f>IMDIV("1",IMSUM(K458,IMDIV("1",S458)))</f>
        <v>0</v>
      </c>
      <c r="U458">
        <f>IMSUM(L458,T458)</f>
        <v>0</v>
      </c>
      <c r="V458">
        <f>IMDIV(COMPLEX(I_DM_SOURCE,0),U458)</f>
        <v>0</v>
      </c>
      <c r="W458">
        <f>IMPRODUCT(V458,T458)</f>
        <v>0</v>
      </c>
      <c r="X458">
        <f>IMDIV(W458,S458)</f>
        <v>0</v>
      </c>
      <c r="Y458">
        <f>IMPRODUCT(X458,R458)</f>
        <v>0</v>
      </c>
      <c r="Z458">
        <f>IMDIV(Y458,Q458)</f>
        <v>0</v>
      </c>
      <c r="AA458">
        <f>IMPRODUCT(Z458,P458)</f>
        <v>0</v>
      </c>
      <c r="AB458">
        <f>AA458</f>
        <v>0</v>
      </c>
      <c r="AC458">
        <f>IMPRODUCT("-1",AB458)</f>
        <v>0</v>
      </c>
      <c r="AD458">
        <f>IMDIV(IMSUB(AB458,AC458),"2")</f>
        <v>0</v>
      </c>
      <c r="AE458" s="6">
        <f>IMABS(AB458)</f>
        <v>0</v>
      </c>
      <c r="AF458" s="6">
        <f>IMABS(AC458)</f>
        <v>0</v>
      </c>
      <c r="AG458" s="6">
        <f>IMABS(AD458)</f>
        <v>0</v>
      </c>
      <c r="AH458" s="7">
        <f>20*LOG10(MAX(AE458,1E-300)*1E6)</f>
        <v>0</v>
      </c>
      <c r="AI458" s="7">
        <f>20*LOG10(MAX(AF458,1E-300)*1E6)</f>
        <v>0</v>
      </c>
      <c r="AJ458" s="7">
        <f>20*LOG10(MAX(AG458,1E-300)*1E6)</f>
        <v>0</v>
      </c>
      <c r="AK458" s="7">
        <f>DEGREES(IMARGUMENT(AB458))</f>
        <v>0</v>
      </c>
      <c r="AL458" s="7">
        <f>DEGREES(IMARGUMENT(AC458))</f>
        <v>0</v>
      </c>
      <c r="AM458" s="7">
        <f>DEGREES(IMARGUMENT(AD458))</f>
        <v>0</v>
      </c>
    </row>
    <row r="459" spans="1:39">
      <c r="A459" s="6">
        <f>10^(LOG10(F_START)+(ROW()-ROW($A$2))*(LOG10(F_STOP)-LOG10(F_START))/(N_POINTS-1))</f>
        <v>0</v>
      </c>
      <c r="B459" s="6">
        <f>2*PI()*A459</f>
        <v>0</v>
      </c>
      <c r="C459">
        <f>COMPLEX(2*LINE_PS_DCR,2*B459*LINE_PS_L)</f>
        <v>0</v>
      </c>
      <c r="D459">
        <f>IMSUM(COMPLEX(0,B459*(LINE_PS_CLINE+LINE_PS_CCHA/2)),IMDIV("1",IMPRODUCT("2",COMPLEX(C_THROUGH_ESR,B459*C_THROUGH_ESL-1/(B459*C_THROUGH_C)))))</f>
        <v>0</v>
      </c>
      <c r="E459">
        <f>COMPLEX(2*LINE_INPUT_DCR,2*B459*LINE_INPUT_L)</f>
        <v>0</v>
      </c>
      <c r="F459">
        <f>COMPLEX(0,B459*(LINE_INPUT_CLINE+LINE_INPUT_CCHA/2))</f>
        <v>0</v>
      </c>
      <c r="G459">
        <f>IMPRODUCT("2",IMDIV("1",IMSUM(IMDIV("1",COMPLEX(LDM1_DCR,B459*LDM1_L)),COMPLEX(0,B459*LDM1_CPA))))</f>
        <v>0</v>
      </c>
      <c r="H459">
        <f>IMSUM(IMDIV("1",COMPLEX(CX1_ESR,B459*CX1_ESL-1/(B459*CX1_C))),IMDIV("1",IMSUM(COMPLEX(DUMP1_R,0),COMPLEX(DUMP1_ESR,B459*DUMP1_ESL-1/(B459*DUMP1_C)))))</f>
        <v>0</v>
      </c>
      <c r="I459">
        <f>IMPRODUCT("2",IMDIV("1",IMSUM(IMDIV("1",COMPLEX(LDM2_DCR,B459*LDM2_L)),COMPLEX(0,B459*LDM2_CPA))))</f>
        <v>0</v>
      </c>
      <c r="J459">
        <f>IMSUM(IMDIV("1",COMPLEX(CX2_ESR,B459*CX2_ESL-1/(B459*CX2_C))),IMDIV("1",IMSUM(COMPLEX(DUMP2_R,0),COMPLEX(DUMP2_ESR,B459*DUMP2_ESL-1/(B459*DUMP2_C)))))</f>
        <v>0</v>
      </c>
      <c r="K459">
        <f>IMPRODUCT("2",IMDIV("1",IMSUM(IMDIV("1",COMPLEX(CMC_DCR,B459*CMC_L*(1-CMC_K))),COMPLEX(0,B459*CMC_CPA))))</f>
        <v>0</v>
      </c>
      <c r="L459">
        <f>IMSUM(COMPLEX(0,B459*CMC_CLINE),IMDIV("1",IMPRODUCT("2",COMPLEX(CY_ESR,B459*CY_ESL-1/(B459*CY_C)))),COMPLEX(1/DUMMY_R,0))</f>
        <v>0</v>
      </c>
      <c r="M459">
        <f>IMSUM(D459,IMDIV("1",C459))</f>
        <v>0</v>
      </c>
      <c r="N459">
        <f>IMDIV("1",IMSUM(E459,IMDIV("1",M459)))</f>
        <v>0</v>
      </c>
      <c r="O459">
        <f>IMSUM(F459,N459)</f>
        <v>0</v>
      </c>
      <c r="P459">
        <f>IMDIV("1",IMSUM(G459,IMDIV("1",O459)))</f>
        <v>0</v>
      </c>
      <c r="Q459">
        <f>IMSUM(H459,P459)</f>
        <v>0</v>
      </c>
      <c r="R459">
        <f>IMDIV("1",IMSUM(I459,IMDIV("1",Q459)))</f>
        <v>0</v>
      </c>
      <c r="S459">
        <f>IMSUM(J459,R459)</f>
        <v>0</v>
      </c>
      <c r="T459">
        <f>IMDIV("1",IMSUM(K459,IMDIV("1",S459)))</f>
        <v>0</v>
      </c>
      <c r="U459">
        <f>IMSUM(L459,T459)</f>
        <v>0</v>
      </c>
      <c r="V459">
        <f>IMDIV(COMPLEX(I_DM_SOURCE,0),U459)</f>
        <v>0</v>
      </c>
      <c r="W459">
        <f>IMPRODUCT(V459,T459)</f>
        <v>0</v>
      </c>
      <c r="X459">
        <f>IMDIV(W459,S459)</f>
        <v>0</v>
      </c>
      <c r="Y459">
        <f>IMPRODUCT(X459,R459)</f>
        <v>0</v>
      </c>
      <c r="Z459">
        <f>IMDIV(Y459,Q459)</f>
        <v>0</v>
      </c>
      <c r="AA459">
        <f>IMPRODUCT(Z459,P459)</f>
        <v>0</v>
      </c>
      <c r="AB459">
        <f>AA459</f>
        <v>0</v>
      </c>
      <c r="AC459">
        <f>IMPRODUCT("-1",AB459)</f>
        <v>0</v>
      </c>
      <c r="AD459">
        <f>IMDIV(IMSUB(AB459,AC459),"2")</f>
        <v>0</v>
      </c>
      <c r="AE459" s="6">
        <f>IMABS(AB459)</f>
        <v>0</v>
      </c>
      <c r="AF459" s="6">
        <f>IMABS(AC459)</f>
        <v>0</v>
      </c>
      <c r="AG459" s="6">
        <f>IMABS(AD459)</f>
        <v>0</v>
      </c>
      <c r="AH459" s="7">
        <f>20*LOG10(MAX(AE459,1E-300)*1E6)</f>
        <v>0</v>
      </c>
      <c r="AI459" s="7">
        <f>20*LOG10(MAX(AF459,1E-300)*1E6)</f>
        <v>0</v>
      </c>
      <c r="AJ459" s="7">
        <f>20*LOG10(MAX(AG459,1E-300)*1E6)</f>
        <v>0</v>
      </c>
      <c r="AK459" s="7">
        <f>DEGREES(IMARGUMENT(AB459))</f>
        <v>0</v>
      </c>
      <c r="AL459" s="7">
        <f>DEGREES(IMARGUMENT(AC459))</f>
        <v>0</v>
      </c>
      <c r="AM459" s="7">
        <f>DEGREES(IMARGUMENT(AD459))</f>
        <v>0</v>
      </c>
    </row>
    <row r="460" spans="1:39">
      <c r="A460" s="6">
        <f>10^(LOG10(F_START)+(ROW()-ROW($A$2))*(LOG10(F_STOP)-LOG10(F_START))/(N_POINTS-1))</f>
        <v>0</v>
      </c>
      <c r="B460" s="6">
        <f>2*PI()*A460</f>
        <v>0</v>
      </c>
      <c r="C460">
        <f>COMPLEX(2*LINE_PS_DCR,2*B460*LINE_PS_L)</f>
        <v>0</v>
      </c>
      <c r="D460">
        <f>IMSUM(COMPLEX(0,B460*(LINE_PS_CLINE+LINE_PS_CCHA/2)),IMDIV("1",IMPRODUCT("2",COMPLEX(C_THROUGH_ESR,B460*C_THROUGH_ESL-1/(B460*C_THROUGH_C)))))</f>
        <v>0</v>
      </c>
      <c r="E460">
        <f>COMPLEX(2*LINE_INPUT_DCR,2*B460*LINE_INPUT_L)</f>
        <v>0</v>
      </c>
      <c r="F460">
        <f>COMPLEX(0,B460*(LINE_INPUT_CLINE+LINE_INPUT_CCHA/2))</f>
        <v>0</v>
      </c>
      <c r="G460">
        <f>IMPRODUCT("2",IMDIV("1",IMSUM(IMDIV("1",COMPLEX(LDM1_DCR,B460*LDM1_L)),COMPLEX(0,B460*LDM1_CPA))))</f>
        <v>0</v>
      </c>
      <c r="H460">
        <f>IMSUM(IMDIV("1",COMPLEX(CX1_ESR,B460*CX1_ESL-1/(B460*CX1_C))),IMDIV("1",IMSUM(COMPLEX(DUMP1_R,0),COMPLEX(DUMP1_ESR,B460*DUMP1_ESL-1/(B460*DUMP1_C)))))</f>
        <v>0</v>
      </c>
      <c r="I460">
        <f>IMPRODUCT("2",IMDIV("1",IMSUM(IMDIV("1",COMPLEX(LDM2_DCR,B460*LDM2_L)),COMPLEX(0,B460*LDM2_CPA))))</f>
        <v>0</v>
      </c>
      <c r="J460">
        <f>IMSUM(IMDIV("1",COMPLEX(CX2_ESR,B460*CX2_ESL-1/(B460*CX2_C))),IMDIV("1",IMSUM(COMPLEX(DUMP2_R,0),COMPLEX(DUMP2_ESR,B460*DUMP2_ESL-1/(B460*DUMP2_C)))))</f>
        <v>0</v>
      </c>
      <c r="K460">
        <f>IMPRODUCT("2",IMDIV("1",IMSUM(IMDIV("1",COMPLEX(CMC_DCR,B460*CMC_L*(1-CMC_K))),COMPLEX(0,B460*CMC_CPA))))</f>
        <v>0</v>
      </c>
      <c r="L460">
        <f>IMSUM(COMPLEX(0,B460*CMC_CLINE),IMDIV("1",IMPRODUCT("2",COMPLEX(CY_ESR,B460*CY_ESL-1/(B460*CY_C)))),COMPLEX(1/DUMMY_R,0))</f>
        <v>0</v>
      </c>
      <c r="M460">
        <f>IMSUM(D460,IMDIV("1",C460))</f>
        <v>0</v>
      </c>
      <c r="N460">
        <f>IMDIV("1",IMSUM(E460,IMDIV("1",M460)))</f>
        <v>0</v>
      </c>
      <c r="O460">
        <f>IMSUM(F460,N460)</f>
        <v>0</v>
      </c>
      <c r="P460">
        <f>IMDIV("1",IMSUM(G460,IMDIV("1",O460)))</f>
        <v>0</v>
      </c>
      <c r="Q460">
        <f>IMSUM(H460,P460)</f>
        <v>0</v>
      </c>
      <c r="R460">
        <f>IMDIV("1",IMSUM(I460,IMDIV("1",Q460)))</f>
        <v>0</v>
      </c>
      <c r="S460">
        <f>IMSUM(J460,R460)</f>
        <v>0</v>
      </c>
      <c r="T460">
        <f>IMDIV("1",IMSUM(K460,IMDIV("1",S460)))</f>
        <v>0</v>
      </c>
      <c r="U460">
        <f>IMSUM(L460,T460)</f>
        <v>0</v>
      </c>
      <c r="V460">
        <f>IMDIV(COMPLEX(I_DM_SOURCE,0),U460)</f>
        <v>0</v>
      </c>
      <c r="W460">
        <f>IMPRODUCT(V460,T460)</f>
        <v>0</v>
      </c>
      <c r="X460">
        <f>IMDIV(W460,S460)</f>
        <v>0</v>
      </c>
      <c r="Y460">
        <f>IMPRODUCT(X460,R460)</f>
        <v>0</v>
      </c>
      <c r="Z460">
        <f>IMDIV(Y460,Q460)</f>
        <v>0</v>
      </c>
      <c r="AA460">
        <f>IMPRODUCT(Z460,P460)</f>
        <v>0</v>
      </c>
      <c r="AB460">
        <f>AA460</f>
        <v>0</v>
      </c>
      <c r="AC460">
        <f>IMPRODUCT("-1",AB460)</f>
        <v>0</v>
      </c>
      <c r="AD460">
        <f>IMDIV(IMSUB(AB460,AC460),"2")</f>
        <v>0</v>
      </c>
      <c r="AE460" s="6">
        <f>IMABS(AB460)</f>
        <v>0</v>
      </c>
      <c r="AF460" s="6">
        <f>IMABS(AC460)</f>
        <v>0</v>
      </c>
      <c r="AG460" s="6">
        <f>IMABS(AD460)</f>
        <v>0</v>
      </c>
      <c r="AH460" s="7">
        <f>20*LOG10(MAX(AE460,1E-300)*1E6)</f>
        <v>0</v>
      </c>
      <c r="AI460" s="7">
        <f>20*LOG10(MAX(AF460,1E-300)*1E6)</f>
        <v>0</v>
      </c>
      <c r="AJ460" s="7">
        <f>20*LOG10(MAX(AG460,1E-300)*1E6)</f>
        <v>0</v>
      </c>
      <c r="AK460" s="7">
        <f>DEGREES(IMARGUMENT(AB460))</f>
        <v>0</v>
      </c>
      <c r="AL460" s="7">
        <f>DEGREES(IMARGUMENT(AC460))</f>
        <v>0</v>
      </c>
      <c r="AM460" s="7">
        <f>DEGREES(IMARGUMENT(AD460))</f>
        <v>0</v>
      </c>
    </row>
    <row r="461" spans="1:39">
      <c r="A461" s="6">
        <f>10^(LOG10(F_START)+(ROW()-ROW($A$2))*(LOG10(F_STOP)-LOG10(F_START))/(N_POINTS-1))</f>
        <v>0</v>
      </c>
      <c r="B461" s="6">
        <f>2*PI()*A461</f>
        <v>0</v>
      </c>
      <c r="C461">
        <f>COMPLEX(2*LINE_PS_DCR,2*B461*LINE_PS_L)</f>
        <v>0</v>
      </c>
      <c r="D461">
        <f>IMSUM(COMPLEX(0,B461*(LINE_PS_CLINE+LINE_PS_CCHA/2)),IMDIV("1",IMPRODUCT("2",COMPLEX(C_THROUGH_ESR,B461*C_THROUGH_ESL-1/(B461*C_THROUGH_C)))))</f>
        <v>0</v>
      </c>
      <c r="E461">
        <f>COMPLEX(2*LINE_INPUT_DCR,2*B461*LINE_INPUT_L)</f>
        <v>0</v>
      </c>
      <c r="F461">
        <f>COMPLEX(0,B461*(LINE_INPUT_CLINE+LINE_INPUT_CCHA/2))</f>
        <v>0</v>
      </c>
      <c r="G461">
        <f>IMPRODUCT("2",IMDIV("1",IMSUM(IMDIV("1",COMPLEX(LDM1_DCR,B461*LDM1_L)),COMPLEX(0,B461*LDM1_CPA))))</f>
        <v>0</v>
      </c>
      <c r="H461">
        <f>IMSUM(IMDIV("1",COMPLEX(CX1_ESR,B461*CX1_ESL-1/(B461*CX1_C))),IMDIV("1",IMSUM(COMPLEX(DUMP1_R,0),COMPLEX(DUMP1_ESR,B461*DUMP1_ESL-1/(B461*DUMP1_C)))))</f>
        <v>0</v>
      </c>
      <c r="I461">
        <f>IMPRODUCT("2",IMDIV("1",IMSUM(IMDIV("1",COMPLEX(LDM2_DCR,B461*LDM2_L)),COMPLEX(0,B461*LDM2_CPA))))</f>
        <v>0</v>
      </c>
      <c r="J461">
        <f>IMSUM(IMDIV("1",COMPLEX(CX2_ESR,B461*CX2_ESL-1/(B461*CX2_C))),IMDIV("1",IMSUM(COMPLEX(DUMP2_R,0),COMPLEX(DUMP2_ESR,B461*DUMP2_ESL-1/(B461*DUMP2_C)))))</f>
        <v>0</v>
      </c>
      <c r="K461">
        <f>IMPRODUCT("2",IMDIV("1",IMSUM(IMDIV("1",COMPLEX(CMC_DCR,B461*CMC_L*(1-CMC_K))),COMPLEX(0,B461*CMC_CPA))))</f>
        <v>0</v>
      </c>
      <c r="L461">
        <f>IMSUM(COMPLEX(0,B461*CMC_CLINE),IMDIV("1",IMPRODUCT("2",COMPLEX(CY_ESR,B461*CY_ESL-1/(B461*CY_C)))),COMPLEX(1/DUMMY_R,0))</f>
        <v>0</v>
      </c>
      <c r="M461">
        <f>IMSUM(D461,IMDIV("1",C461))</f>
        <v>0</v>
      </c>
      <c r="N461">
        <f>IMDIV("1",IMSUM(E461,IMDIV("1",M461)))</f>
        <v>0</v>
      </c>
      <c r="O461">
        <f>IMSUM(F461,N461)</f>
        <v>0</v>
      </c>
      <c r="P461">
        <f>IMDIV("1",IMSUM(G461,IMDIV("1",O461)))</f>
        <v>0</v>
      </c>
      <c r="Q461">
        <f>IMSUM(H461,P461)</f>
        <v>0</v>
      </c>
      <c r="R461">
        <f>IMDIV("1",IMSUM(I461,IMDIV("1",Q461)))</f>
        <v>0</v>
      </c>
      <c r="S461">
        <f>IMSUM(J461,R461)</f>
        <v>0</v>
      </c>
      <c r="T461">
        <f>IMDIV("1",IMSUM(K461,IMDIV("1",S461)))</f>
        <v>0</v>
      </c>
      <c r="U461">
        <f>IMSUM(L461,T461)</f>
        <v>0</v>
      </c>
      <c r="V461">
        <f>IMDIV(COMPLEX(I_DM_SOURCE,0),U461)</f>
        <v>0</v>
      </c>
      <c r="W461">
        <f>IMPRODUCT(V461,T461)</f>
        <v>0</v>
      </c>
      <c r="X461">
        <f>IMDIV(W461,S461)</f>
        <v>0</v>
      </c>
      <c r="Y461">
        <f>IMPRODUCT(X461,R461)</f>
        <v>0</v>
      </c>
      <c r="Z461">
        <f>IMDIV(Y461,Q461)</f>
        <v>0</v>
      </c>
      <c r="AA461">
        <f>IMPRODUCT(Z461,P461)</f>
        <v>0</v>
      </c>
      <c r="AB461">
        <f>AA461</f>
        <v>0</v>
      </c>
      <c r="AC461">
        <f>IMPRODUCT("-1",AB461)</f>
        <v>0</v>
      </c>
      <c r="AD461">
        <f>IMDIV(IMSUB(AB461,AC461),"2")</f>
        <v>0</v>
      </c>
      <c r="AE461" s="6">
        <f>IMABS(AB461)</f>
        <v>0</v>
      </c>
      <c r="AF461" s="6">
        <f>IMABS(AC461)</f>
        <v>0</v>
      </c>
      <c r="AG461" s="6">
        <f>IMABS(AD461)</f>
        <v>0</v>
      </c>
      <c r="AH461" s="7">
        <f>20*LOG10(MAX(AE461,1E-300)*1E6)</f>
        <v>0</v>
      </c>
      <c r="AI461" s="7">
        <f>20*LOG10(MAX(AF461,1E-300)*1E6)</f>
        <v>0</v>
      </c>
      <c r="AJ461" s="7">
        <f>20*LOG10(MAX(AG461,1E-300)*1E6)</f>
        <v>0</v>
      </c>
      <c r="AK461" s="7">
        <f>DEGREES(IMARGUMENT(AB461))</f>
        <v>0</v>
      </c>
      <c r="AL461" s="7">
        <f>DEGREES(IMARGUMENT(AC461))</f>
        <v>0</v>
      </c>
      <c r="AM461" s="7">
        <f>DEGREES(IMARGUMENT(AD461))</f>
        <v>0</v>
      </c>
    </row>
    <row r="462" spans="1:39">
      <c r="A462" s="6">
        <f>10^(LOG10(F_START)+(ROW()-ROW($A$2))*(LOG10(F_STOP)-LOG10(F_START))/(N_POINTS-1))</f>
        <v>0</v>
      </c>
      <c r="B462" s="6">
        <f>2*PI()*A462</f>
        <v>0</v>
      </c>
      <c r="C462">
        <f>COMPLEX(2*LINE_PS_DCR,2*B462*LINE_PS_L)</f>
        <v>0</v>
      </c>
      <c r="D462">
        <f>IMSUM(COMPLEX(0,B462*(LINE_PS_CLINE+LINE_PS_CCHA/2)),IMDIV("1",IMPRODUCT("2",COMPLEX(C_THROUGH_ESR,B462*C_THROUGH_ESL-1/(B462*C_THROUGH_C)))))</f>
        <v>0</v>
      </c>
      <c r="E462">
        <f>COMPLEX(2*LINE_INPUT_DCR,2*B462*LINE_INPUT_L)</f>
        <v>0</v>
      </c>
      <c r="F462">
        <f>COMPLEX(0,B462*(LINE_INPUT_CLINE+LINE_INPUT_CCHA/2))</f>
        <v>0</v>
      </c>
      <c r="G462">
        <f>IMPRODUCT("2",IMDIV("1",IMSUM(IMDIV("1",COMPLEX(LDM1_DCR,B462*LDM1_L)),COMPLEX(0,B462*LDM1_CPA))))</f>
        <v>0</v>
      </c>
      <c r="H462">
        <f>IMSUM(IMDIV("1",COMPLEX(CX1_ESR,B462*CX1_ESL-1/(B462*CX1_C))),IMDIV("1",IMSUM(COMPLEX(DUMP1_R,0),COMPLEX(DUMP1_ESR,B462*DUMP1_ESL-1/(B462*DUMP1_C)))))</f>
        <v>0</v>
      </c>
      <c r="I462">
        <f>IMPRODUCT("2",IMDIV("1",IMSUM(IMDIV("1",COMPLEX(LDM2_DCR,B462*LDM2_L)),COMPLEX(0,B462*LDM2_CPA))))</f>
        <v>0</v>
      </c>
      <c r="J462">
        <f>IMSUM(IMDIV("1",COMPLEX(CX2_ESR,B462*CX2_ESL-1/(B462*CX2_C))),IMDIV("1",IMSUM(COMPLEX(DUMP2_R,0),COMPLEX(DUMP2_ESR,B462*DUMP2_ESL-1/(B462*DUMP2_C)))))</f>
        <v>0</v>
      </c>
      <c r="K462">
        <f>IMPRODUCT("2",IMDIV("1",IMSUM(IMDIV("1",COMPLEX(CMC_DCR,B462*CMC_L*(1-CMC_K))),COMPLEX(0,B462*CMC_CPA))))</f>
        <v>0</v>
      </c>
      <c r="L462">
        <f>IMSUM(COMPLEX(0,B462*CMC_CLINE),IMDIV("1",IMPRODUCT("2",COMPLEX(CY_ESR,B462*CY_ESL-1/(B462*CY_C)))),COMPLEX(1/DUMMY_R,0))</f>
        <v>0</v>
      </c>
      <c r="M462">
        <f>IMSUM(D462,IMDIV("1",C462))</f>
        <v>0</v>
      </c>
      <c r="N462">
        <f>IMDIV("1",IMSUM(E462,IMDIV("1",M462)))</f>
        <v>0</v>
      </c>
      <c r="O462">
        <f>IMSUM(F462,N462)</f>
        <v>0</v>
      </c>
      <c r="P462">
        <f>IMDIV("1",IMSUM(G462,IMDIV("1",O462)))</f>
        <v>0</v>
      </c>
      <c r="Q462">
        <f>IMSUM(H462,P462)</f>
        <v>0</v>
      </c>
      <c r="R462">
        <f>IMDIV("1",IMSUM(I462,IMDIV("1",Q462)))</f>
        <v>0</v>
      </c>
      <c r="S462">
        <f>IMSUM(J462,R462)</f>
        <v>0</v>
      </c>
      <c r="T462">
        <f>IMDIV("1",IMSUM(K462,IMDIV("1",S462)))</f>
        <v>0</v>
      </c>
      <c r="U462">
        <f>IMSUM(L462,T462)</f>
        <v>0</v>
      </c>
      <c r="V462">
        <f>IMDIV(COMPLEX(I_DM_SOURCE,0),U462)</f>
        <v>0</v>
      </c>
      <c r="W462">
        <f>IMPRODUCT(V462,T462)</f>
        <v>0</v>
      </c>
      <c r="X462">
        <f>IMDIV(W462,S462)</f>
        <v>0</v>
      </c>
      <c r="Y462">
        <f>IMPRODUCT(X462,R462)</f>
        <v>0</v>
      </c>
      <c r="Z462">
        <f>IMDIV(Y462,Q462)</f>
        <v>0</v>
      </c>
      <c r="AA462">
        <f>IMPRODUCT(Z462,P462)</f>
        <v>0</v>
      </c>
      <c r="AB462">
        <f>AA462</f>
        <v>0</v>
      </c>
      <c r="AC462">
        <f>IMPRODUCT("-1",AB462)</f>
        <v>0</v>
      </c>
      <c r="AD462">
        <f>IMDIV(IMSUB(AB462,AC462),"2")</f>
        <v>0</v>
      </c>
      <c r="AE462" s="6">
        <f>IMABS(AB462)</f>
        <v>0</v>
      </c>
      <c r="AF462" s="6">
        <f>IMABS(AC462)</f>
        <v>0</v>
      </c>
      <c r="AG462" s="6">
        <f>IMABS(AD462)</f>
        <v>0</v>
      </c>
      <c r="AH462" s="7">
        <f>20*LOG10(MAX(AE462,1E-300)*1E6)</f>
        <v>0</v>
      </c>
      <c r="AI462" s="7">
        <f>20*LOG10(MAX(AF462,1E-300)*1E6)</f>
        <v>0</v>
      </c>
      <c r="AJ462" s="7">
        <f>20*LOG10(MAX(AG462,1E-300)*1E6)</f>
        <v>0</v>
      </c>
      <c r="AK462" s="7">
        <f>DEGREES(IMARGUMENT(AB462))</f>
        <v>0</v>
      </c>
      <c r="AL462" s="7">
        <f>DEGREES(IMARGUMENT(AC462))</f>
        <v>0</v>
      </c>
      <c r="AM462" s="7">
        <f>DEGREES(IMARGUMENT(AD462))</f>
        <v>0</v>
      </c>
    </row>
    <row r="463" spans="1:39">
      <c r="A463" s="6">
        <f>10^(LOG10(F_START)+(ROW()-ROW($A$2))*(LOG10(F_STOP)-LOG10(F_START))/(N_POINTS-1))</f>
        <v>0</v>
      </c>
      <c r="B463" s="6">
        <f>2*PI()*A463</f>
        <v>0</v>
      </c>
      <c r="C463">
        <f>COMPLEX(2*LINE_PS_DCR,2*B463*LINE_PS_L)</f>
        <v>0</v>
      </c>
      <c r="D463">
        <f>IMSUM(COMPLEX(0,B463*(LINE_PS_CLINE+LINE_PS_CCHA/2)),IMDIV("1",IMPRODUCT("2",COMPLEX(C_THROUGH_ESR,B463*C_THROUGH_ESL-1/(B463*C_THROUGH_C)))))</f>
        <v>0</v>
      </c>
      <c r="E463">
        <f>COMPLEX(2*LINE_INPUT_DCR,2*B463*LINE_INPUT_L)</f>
        <v>0</v>
      </c>
      <c r="F463">
        <f>COMPLEX(0,B463*(LINE_INPUT_CLINE+LINE_INPUT_CCHA/2))</f>
        <v>0</v>
      </c>
      <c r="G463">
        <f>IMPRODUCT("2",IMDIV("1",IMSUM(IMDIV("1",COMPLEX(LDM1_DCR,B463*LDM1_L)),COMPLEX(0,B463*LDM1_CPA))))</f>
        <v>0</v>
      </c>
      <c r="H463">
        <f>IMSUM(IMDIV("1",COMPLEX(CX1_ESR,B463*CX1_ESL-1/(B463*CX1_C))),IMDIV("1",IMSUM(COMPLEX(DUMP1_R,0),COMPLEX(DUMP1_ESR,B463*DUMP1_ESL-1/(B463*DUMP1_C)))))</f>
        <v>0</v>
      </c>
      <c r="I463">
        <f>IMPRODUCT("2",IMDIV("1",IMSUM(IMDIV("1",COMPLEX(LDM2_DCR,B463*LDM2_L)),COMPLEX(0,B463*LDM2_CPA))))</f>
        <v>0</v>
      </c>
      <c r="J463">
        <f>IMSUM(IMDIV("1",COMPLEX(CX2_ESR,B463*CX2_ESL-1/(B463*CX2_C))),IMDIV("1",IMSUM(COMPLEX(DUMP2_R,0),COMPLEX(DUMP2_ESR,B463*DUMP2_ESL-1/(B463*DUMP2_C)))))</f>
        <v>0</v>
      </c>
      <c r="K463">
        <f>IMPRODUCT("2",IMDIV("1",IMSUM(IMDIV("1",COMPLEX(CMC_DCR,B463*CMC_L*(1-CMC_K))),COMPLEX(0,B463*CMC_CPA))))</f>
        <v>0</v>
      </c>
      <c r="L463">
        <f>IMSUM(COMPLEX(0,B463*CMC_CLINE),IMDIV("1",IMPRODUCT("2",COMPLEX(CY_ESR,B463*CY_ESL-1/(B463*CY_C)))),COMPLEX(1/DUMMY_R,0))</f>
        <v>0</v>
      </c>
      <c r="M463">
        <f>IMSUM(D463,IMDIV("1",C463))</f>
        <v>0</v>
      </c>
      <c r="N463">
        <f>IMDIV("1",IMSUM(E463,IMDIV("1",M463)))</f>
        <v>0</v>
      </c>
      <c r="O463">
        <f>IMSUM(F463,N463)</f>
        <v>0</v>
      </c>
      <c r="P463">
        <f>IMDIV("1",IMSUM(G463,IMDIV("1",O463)))</f>
        <v>0</v>
      </c>
      <c r="Q463">
        <f>IMSUM(H463,P463)</f>
        <v>0</v>
      </c>
      <c r="R463">
        <f>IMDIV("1",IMSUM(I463,IMDIV("1",Q463)))</f>
        <v>0</v>
      </c>
      <c r="S463">
        <f>IMSUM(J463,R463)</f>
        <v>0</v>
      </c>
      <c r="T463">
        <f>IMDIV("1",IMSUM(K463,IMDIV("1",S463)))</f>
        <v>0</v>
      </c>
      <c r="U463">
        <f>IMSUM(L463,T463)</f>
        <v>0</v>
      </c>
      <c r="V463">
        <f>IMDIV(COMPLEX(I_DM_SOURCE,0),U463)</f>
        <v>0</v>
      </c>
      <c r="W463">
        <f>IMPRODUCT(V463,T463)</f>
        <v>0</v>
      </c>
      <c r="X463">
        <f>IMDIV(W463,S463)</f>
        <v>0</v>
      </c>
      <c r="Y463">
        <f>IMPRODUCT(X463,R463)</f>
        <v>0</v>
      </c>
      <c r="Z463">
        <f>IMDIV(Y463,Q463)</f>
        <v>0</v>
      </c>
      <c r="AA463">
        <f>IMPRODUCT(Z463,P463)</f>
        <v>0</v>
      </c>
      <c r="AB463">
        <f>AA463</f>
        <v>0</v>
      </c>
      <c r="AC463">
        <f>IMPRODUCT("-1",AB463)</f>
        <v>0</v>
      </c>
      <c r="AD463">
        <f>IMDIV(IMSUB(AB463,AC463),"2")</f>
        <v>0</v>
      </c>
      <c r="AE463" s="6">
        <f>IMABS(AB463)</f>
        <v>0</v>
      </c>
      <c r="AF463" s="6">
        <f>IMABS(AC463)</f>
        <v>0</v>
      </c>
      <c r="AG463" s="6">
        <f>IMABS(AD463)</f>
        <v>0</v>
      </c>
      <c r="AH463" s="7">
        <f>20*LOG10(MAX(AE463,1E-300)*1E6)</f>
        <v>0</v>
      </c>
      <c r="AI463" s="7">
        <f>20*LOG10(MAX(AF463,1E-300)*1E6)</f>
        <v>0</v>
      </c>
      <c r="AJ463" s="7">
        <f>20*LOG10(MAX(AG463,1E-300)*1E6)</f>
        <v>0</v>
      </c>
      <c r="AK463" s="7">
        <f>DEGREES(IMARGUMENT(AB463))</f>
        <v>0</v>
      </c>
      <c r="AL463" s="7">
        <f>DEGREES(IMARGUMENT(AC463))</f>
        <v>0</v>
      </c>
      <c r="AM463" s="7">
        <f>DEGREES(IMARGUMENT(AD463))</f>
        <v>0</v>
      </c>
    </row>
    <row r="464" spans="1:39">
      <c r="A464" s="6">
        <f>10^(LOG10(F_START)+(ROW()-ROW($A$2))*(LOG10(F_STOP)-LOG10(F_START))/(N_POINTS-1))</f>
        <v>0</v>
      </c>
      <c r="B464" s="6">
        <f>2*PI()*A464</f>
        <v>0</v>
      </c>
      <c r="C464">
        <f>COMPLEX(2*LINE_PS_DCR,2*B464*LINE_PS_L)</f>
        <v>0</v>
      </c>
      <c r="D464">
        <f>IMSUM(COMPLEX(0,B464*(LINE_PS_CLINE+LINE_PS_CCHA/2)),IMDIV("1",IMPRODUCT("2",COMPLEX(C_THROUGH_ESR,B464*C_THROUGH_ESL-1/(B464*C_THROUGH_C)))))</f>
        <v>0</v>
      </c>
      <c r="E464">
        <f>COMPLEX(2*LINE_INPUT_DCR,2*B464*LINE_INPUT_L)</f>
        <v>0</v>
      </c>
      <c r="F464">
        <f>COMPLEX(0,B464*(LINE_INPUT_CLINE+LINE_INPUT_CCHA/2))</f>
        <v>0</v>
      </c>
      <c r="G464">
        <f>IMPRODUCT("2",IMDIV("1",IMSUM(IMDIV("1",COMPLEX(LDM1_DCR,B464*LDM1_L)),COMPLEX(0,B464*LDM1_CPA))))</f>
        <v>0</v>
      </c>
      <c r="H464">
        <f>IMSUM(IMDIV("1",COMPLEX(CX1_ESR,B464*CX1_ESL-1/(B464*CX1_C))),IMDIV("1",IMSUM(COMPLEX(DUMP1_R,0),COMPLEX(DUMP1_ESR,B464*DUMP1_ESL-1/(B464*DUMP1_C)))))</f>
        <v>0</v>
      </c>
      <c r="I464">
        <f>IMPRODUCT("2",IMDIV("1",IMSUM(IMDIV("1",COMPLEX(LDM2_DCR,B464*LDM2_L)),COMPLEX(0,B464*LDM2_CPA))))</f>
        <v>0</v>
      </c>
      <c r="J464">
        <f>IMSUM(IMDIV("1",COMPLEX(CX2_ESR,B464*CX2_ESL-1/(B464*CX2_C))),IMDIV("1",IMSUM(COMPLEX(DUMP2_R,0),COMPLEX(DUMP2_ESR,B464*DUMP2_ESL-1/(B464*DUMP2_C)))))</f>
        <v>0</v>
      </c>
      <c r="K464">
        <f>IMPRODUCT("2",IMDIV("1",IMSUM(IMDIV("1",COMPLEX(CMC_DCR,B464*CMC_L*(1-CMC_K))),COMPLEX(0,B464*CMC_CPA))))</f>
        <v>0</v>
      </c>
      <c r="L464">
        <f>IMSUM(COMPLEX(0,B464*CMC_CLINE),IMDIV("1",IMPRODUCT("2",COMPLEX(CY_ESR,B464*CY_ESL-1/(B464*CY_C)))),COMPLEX(1/DUMMY_R,0))</f>
        <v>0</v>
      </c>
      <c r="M464">
        <f>IMSUM(D464,IMDIV("1",C464))</f>
        <v>0</v>
      </c>
      <c r="N464">
        <f>IMDIV("1",IMSUM(E464,IMDIV("1",M464)))</f>
        <v>0</v>
      </c>
      <c r="O464">
        <f>IMSUM(F464,N464)</f>
        <v>0</v>
      </c>
      <c r="P464">
        <f>IMDIV("1",IMSUM(G464,IMDIV("1",O464)))</f>
        <v>0</v>
      </c>
      <c r="Q464">
        <f>IMSUM(H464,P464)</f>
        <v>0</v>
      </c>
      <c r="R464">
        <f>IMDIV("1",IMSUM(I464,IMDIV("1",Q464)))</f>
        <v>0</v>
      </c>
      <c r="S464">
        <f>IMSUM(J464,R464)</f>
        <v>0</v>
      </c>
      <c r="T464">
        <f>IMDIV("1",IMSUM(K464,IMDIV("1",S464)))</f>
        <v>0</v>
      </c>
      <c r="U464">
        <f>IMSUM(L464,T464)</f>
        <v>0</v>
      </c>
      <c r="V464">
        <f>IMDIV(COMPLEX(I_DM_SOURCE,0),U464)</f>
        <v>0</v>
      </c>
      <c r="W464">
        <f>IMPRODUCT(V464,T464)</f>
        <v>0</v>
      </c>
      <c r="X464">
        <f>IMDIV(W464,S464)</f>
        <v>0</v>
      </c>
      <c r="Y464">
        <f>IMPRODUCT(X464,R464)</f>
        <v>0</v>
      </c>
      <c r="Z464">
        <f>IMDIV(Y464,Q464)</f>
        <v>0</v>
      </c>
      <c r="AA464">
        <f>IMPRODUCT(Z464,P464)</f>
        <v>0</v>
      </c>
      <c r="AB464">
        <f>AA464</f>
        <v>0</v>
      </c>
      <c r="AC464">
        <f>IMPRODUCT("-1",AB464)</f>
        <v>0</v>
      </c>
      <c r="AD464">
        <f>IMDIV(IMSUB(AB464,AC464),"2")</f>
        <v>0</v>
      </c>
      <c r="AE464" s="6">
        <f>IMABS(AB464)</f>
        <v>0</v>
      </c>
      <c r="AF464" s="6">
        <f>IMABS(AC464)</f>
        <v>0</v>
      </c>
      <c r="AG464" s="6">
        <f>IMABS(AD464)</f>
        <v>0</v>
      </c>
      <c r="AH464" s="7">
        <f>20*LOG10(MAX(AE464,1E-300)*1E6)</f>
        <v>0</v>
      </c>
      <c r="AI464" s="7">
        <f>20*LOG10(MAX(AF464,1E-300)*1E6)</f>
        <v>0</v>
      </c>
      <c r="AJ464" s="7">
        <f>20*LOG10(MAX(AG464,1E-300)*1E6)</f>
        <v>0</v>
      </c>
      <c r="AK464" s="7">
        <f>DEGREES(IMARGUMENT(AB464))</f>
        <v>0</v>
      </c>
      <c r="AL464" s="7">
        <f>DEGREES(IMARGUMENT(AC464))</f>
        <v>0</v>
      </c>
      <c r="AM464" s="7">
        <f>DEGREES(IMARGUMENT(AD464))</f>
        <v>0</v>
      </c>
    </row>
    <row r="465" spans="1:39">
      <c r="A465" s="6">
        <f>10^(LOG10(F_START)+(ROW()-ROW($A$2))*(LOG10(F_STOP)-LOG10(F_START))/(N_POINTS-1))</f>
        <v>0</v>
      </c>
      <c r="B465" s="6">
        <f>2*PI()*A465</f>
        <v>0</v>
      </c>
      <c r="C465">
        <f>COMPLEX(2*LINE_PS_DCR,2*B465*LINE_PS_L)</f>
        <v>0</v>
      </c>
      <c r="D465">
        <f>IMSUM(COMPLEX(0,B465*(LINE_PS_CLINE+LINE_PS_CCHA/2)),IMDIV("1",IMPRODUCT("2",COMPLEX(C_THROUGH_ESR,B465*C_THROUGH_ESL-1/(B465*C_THROUGH_C)))))</f>
        <v>0</v>
      </c>
      <c r="E465">
        <f>COMPLEX(2*LINE_INPUT_DCR,2*B465*LINE_INPUT_L)</f>
        <v>0</v>
      </c>
      <c r="F465">
        <f>COMPLEX(0,B465*(LINE_INPUT_CLINE+LINE_INPUT_CCHA/2))</f>
        <v>0</v>
      </c>
      <c r="G465">
        <f>IMPRODUCT("2",IMDIV("1",IMSUM(IMDIV("1",COMPLEX(LDM1_DCR,B465*LDM1_L)),COMPLEX(0,B465*LDM1_CPA))))</f>
        <v>0</v>
      </c>
      <c r="H465">
        <f>IMSUM(IMDIV("1",COMPLEX(CX1_ESR,B465*CX1_ESL-1/(B465*CX1_C))),IMDIV("1",IMSUM(COMPLEX(DUMP1_R,0),COMPLEX(DUMP1_ESR,B465*DUMP1_ESL-1/(B465*DUMP1_C)))))</f>
        <v>0</v>
      </c>
      <c r="I465">
        <f>IMPRODUCT("2",IMDIV("1",IMSUM(IMDIV("1",COMPLEX(LDM2_DCR,B465*LDM2_L)),COMPLEX(0,B465*LDM2_CPA))))</f>
        <v>0</v>
      </c>
      <c r="J465">
        <f>IMSUM(IMDIV("1",COMPLEX(CX2_ESR,B465*CX2_ESL-1/(B465*CX2_C))),IMDIV("1",IMSUM(COMPLEX(DUMP2_R,0),COMPLEX(DUMP2_ESR,B465*DUMP2_ESL-1/(B465*DUMP2_C)))))</f>
        <v>0</v>
      </c>
      <c r="K465">
        <f>IMPRODUCT("2",IMDIV("1",IMSUM(IMDIV("1",COMPLEX(CMC_DCR,B465*CMC_L*(1-CMC_K))),COMPLEX(0,B465*CMC_CPA))))</f>
        <v>0</v>
      </c>
      <c r="L465">
        <f>IMSUM(COMPLEX(0,B465*CMC_CLINE),IMDIV("1",IMPRODUCT("2",COMPLEX(CY_ESR,B465*CY_ESL-1/(B465*CY_C)))),COMPLEX(1/DUMMY_R,0))</f>
        <v>0</v>
      </c>
      <c r="M465">
        <f>IMSUM(D465,IMDIV("1",C465))</f>
        <v>0</v>
      </c>
      <c r="N465">
        <f>IMDIV("1",IMSUM(E465,IMDIV("1",M465)))</f>
        <v>0</v>
      </c>
      <c r="O465">
        <f>IMSUM(F465,N465)</f>
        <v>0</v>
      </c>
      <c r="P465">
        <f>IMDIV("1",IMSUM(G465,IMDIV("1",O465)))</f>
        <v>0</v>
      </c>
      <c r="Q465">
        <f>IMSUM(H465,P465)</f>
        <v>0</v>
      </c>
      <c r="R465">
        <f>IMDIV("1",IMSUM(I465,IMDIV("1",Q465)))</f>
        <v>0</v>
      </c>
      <c r="S465">
        <f>IMSUM(J465,R465)</f>
        <v>0</v>
      </c>
      <c r="T465">
        <f>IMDIV("1",IMSUM(K465,IMDIV("1",S465)))</f>
        <v>0</v>
      </c>
      <c r="U465">
        <f>IMSUM(L465,T465)</f>
        <v>0</v>
      </c>
      <c r="V465">
        <f>IMDIV(COMPLEX(I_DM_SOURCE,0),U465)</f>
        <v>0</v>
      </c>
      <c r="W465">
        <f>IMPRODUCT(V465,T465)</f>
        <v>0</v>
      </c>
      <c r="X465">
        <f>IMDIV(W465,S465)</f>
        <v>0</v>
      </c>
      <c r="Y465">
        <f>IMPRODUCT(X465,R465)</f>
        <v>0</v>
      </c>
      <c r="Z465">
        <f>IMDIV(Y465,Q465)</f>
        <v>0</v>
      </c>
      <c r="AA465">
        <f>IMPRODUCT(Z465,P465)</f>
        <v>0</v>
      </c>
      <c r="AB465">
        <f>AA465</f>
        <v>0</v>
      </c>
      <c r="AC465">
        <f>IMPRODUCT("-1",AB465)</f>
        <v>0</v>
      </c>
      <c r="AD465">
        <f>IMDIV(IMSUB(AB465,AC465),"2")</f>
        <v>0</v>
      </c>
      <c r="AE465" s="6">
        <f>IMABS(AB465)</f>
        <v>0</v>
      </c>
      <c r="AF465" s="6">
        <f>IMABS(AC465)</f>
        <v>0</v>
      </c>
      <c r="AG465" s="6">
        <f>IMABS(AD465)</f>
        <v>0</v>
      </c>
      <c r="AH465" s="7">
        <f>20*LOG10(MAX(AE465,1E-300)*1E6)</f>
        <v>0</v>
      </c>
      <c r="AI465" s="7">
        <f>20*LOG10(MAX(AF465,1E-300)*1E6)</f>
        <v>0</v>
      </c>
      <c r="AJ465" s="7">
        <f>20*LOG10(MAX(AG465,1E-300)*1E6)</f>
        <v>0</v>
      </c>
      <c r="AK465" s="7">
        <f>DEGREES(IMARGUMENT(AB465))</f>
        <v>0</v>
      </c>
      <c r="AL465" s="7">
        <f>DEGREES(IMARGUMENT(AC465))</f>
        <v>0</v>
      </c>
      <c r="AM465" s="7">
        <f>DEGREES(IMARGUMENT(AD465))</f>
        <v>0</v>
      </c>
    </row>
    <row r="466" spans="1:39">
      <c r="A466" s="6">
        <f>10^(LOG10(F_START)+(ROW()-ROW($A$2))*(LOG10(F_STOP)-LOG10(F_START))/(N_POINTS-1))</f>
        <v>0</v>
      </c>
      <c r="B466" s="6">
        <f>2*PI()*A466</f>
        <v>0</v>
      </c>
      <c r="C466">
        <f>COMPLEX(2*LINE_PS_DCR,2*B466*LINE_PS_L)</f>
        <v>0</v>
      </c>
      <c r="D466">
        <f>IMSUM(COMPLEX(0,B466*(LINE_PS_CLINE+LINE_PS_CCHA/2)),IMDIV("1",IMPRODUCT("2",COMPLEX(C_THROUGH_ESR,B466*C_THROUGH_ESL-1/(B466*C_THROUGH_C)))))</f>
        <v>0</v>
      </c>
      <c r="E466">
        <f>COMPLEX(2*LINE_INPUT_DCR,2*B466*LINE_INPUT_L)</f>
        <v>0</v>
      </c>
      <c r="F466">
        <f>COMPLEX(0,B466*(LINE_INPUT_CLINE+LINE_INPUT_CCHA/2))</f>
        <v>0</v>
      </c>
      <c r="G466">
        <f>IMPRODUCT("2",IMDIV("1",IMSUM(IMDIV("1",COMPLEX(LDM1_DCR,B466*LDM1_L)),COMPLEX(0,B466*LDM1_CPA))))</f>
        <v>0</v>
      </c>
      <c r="H466">
        <f>IMSUM(IMDIV("1",COMPLEX(CX1_ESR,B466*CX1_ESL-1/(B466*CX1_C))),IMDIV("1",IMSUM(COMPLEX(DUMP1_R,0),COMPLEX(DUMP1_ESR,B466*DUMP1_ESL-1/(B466*DUMP1_C)))))</f>
        <v>0</v>
      </c>
      <c r="I466">
        <f>IMPRODUCT("2",IMDIV("1",IMSUM(IMDIV("1",COMPLEX(LDM2_DCR,B466*LDM2_L)),COMPLEX(0,B466*LDM2_CPA))))</f>
        <v>0</v>
      </c>
      <c r="J466">
        <f>IMSUM(IMDIV("1",COMPLEX(CX2_ESR,B466*CX2_ESL-1/(B466*CX2_C))),IMDIV("1",IMSUM(COMPLEX(DUMP2_R,0),COMPLEX(DUMP2_ESR,B466*DUMP2_ESL-1/(B466*DUMP2_C)))))</f>
        <v>0</v>
      </c>
      <c r="K466">
        <f>IMPRODUCT("2",IMDIV("1",IMSUM(IMDIV("1",COMPLEX(CMC_DCR,B466*CMC_L*(1-CMC_K))),COMPLEX(0,B466*CMC_CPA))))</f>
        <v>0</v>
      </c>
      <c r="L466">
        <f>IMSUM(COMPLEX(0,B466*CMC_CLINE),IMDIV("1",IMPRODUCT("2",COMPLEX(CY_ESR,B466*CY_ESL-1/(B466*CY_C)))),COMPLEX(1/DUMMY_R,0))</f>
        <v>0</v>
      </c>
      <c r="M466">
        <f>IMSUM(D466,IMDIV("1",C466))</f>
        <v>0</v>
      </c>
      <c r="N466">
        <f>IMDIV("1",IMSUM(E466,IMDIV("1",M466)))</f>
        <v>0</v>
      </c>
      <c r="O466">
        <f>IMSUM(F466,N466)</f>
        <v>0</v>
      </c>
      <c r="P466">
        <f>IMDIV("1",IMSUM(G466,IMDIV("1",O466)))</f>
        <v>0</v>
      </c>
      <c r="Q466">
        <f>IMSUM(H466,P466)</f>
        <v>0</v>
      </c>
      <c r="R466">
        <f>IMDIV("1",IMSUM(I466,IMDIV("1",Q466)))</f>
        <v>0</v>
      </c>
      <c r="S466">
        <f>IMSUM(J466,R466)</f>
        <v>0</v>
      </c>
      <c r="T466">
        <f>IMDIV("1",IMSUM(K466,IMDIV("1",S466)))</f>
        <v>0</v>
      </c>
      <c r="U466">
        <f>IMSUM(L466,T466)</f>
        <v>0</v>
      </c>
      <c r="V466">
        <f>IMDIV(COMPLEX(I_DM_SOURCE,0),U466)</f>
        <v>0</v>
      </c>
      <c r="W466">
        <f>IMPRODUCT(V466,T466)</f>
        <v>0</v>
      </c>
      <c r="X466">
        <f>IMDIV(W466,S466)</f>
        <v>0</v>
      </c>
      <c r="Y466">
        <f>IMPRODUCT(X466,R466)</f>
        <v>0</v>
      </c>
      <c r="Z466">
        <f>IMDIV(Y466,Q466)</f>
        <v>0</v>
      </c>
      <c r="AA466">
        <f>IMPRODUCT(Z466,P466)</f>
        <v>0</v>
      </c>
      <c r="AB466">
        <f>AA466</f>
        <v>0</v>
      </c>
      <c r="AC466">
        <f>IMPRODUCT("-1",AB466)</f>
        <v>0</v>
      </c>
      <c r="AD466">
        <f>IMDIV(IMSUB(AB466,AC466),"2")</f>
        <v>0</v>
      </c>
      <c r="AE466" s="6">
        <f>IMABS(AB466)</f>
        <v>0</v>
      </c>
      <c r="AF466" s="6">
        <f>IMABS(AC466)</f>
        <v>0</v>
      </c>
      <c r="AG466" s="6">
        <f>IMABS(AD466)</f>
        <v>0</v>
      </c>
      <c r="AH466" s="7">
        <f>20*LOG10(MAX(AE466,1E-300)*1E6)</f>
        <v>0</v>
      </c>
      <c r="AI466" s="7">
        <f>20*LOG10(MAX(AF466,1E-300)*1E6)</f>
        <v>0</v>
      </c>
      <c r="AJ466" s="7">
        <f>20*LOG10(MAX(AG466,1E-300)*1E6)</f>
        <v>0</v>
      </c>
      <c r="AK466" s="7">
        <f>DEGREES(IMARGUMENT(AB466))</f>
        <v>0</v>
      </c>
      <c r="AL466" s="7">
        <f>DEGREES(IMARGUMENT(AC466))</f>
        <v>0</v>
      </c>
      <c r="AM466" s="7">
        <f>DEGREES(IMARGUMENT(AD466))</f>
        <v>0</v>
      </c>
    </row>
    <row r="467" spans="1:39">
      <c r="A467" s="6">
        <f>10^(LOG10(F_START)+(ROW()-ROW($A$2))*(LOG10(F_STOP)-LOG10(F_START))/(N_POINTS-1))</f>
        <v>0</v>
      </c>
      <c r="B467" s="6">
        <f>2*PI()*A467</f>
        <v>0</v>
      </c>
      <c r="C467">
        <f>COMPLEX(2*LINE_PS_DCR,2*B467*LINE_PS_L)</f>
        <v>0</v>
      </c>
      <c r="D467">
        <f>IMSUM(COMPLEX(0,B467*(LINE_PS_CLINE+LINE_PS_CCHA/2)),IMDIV("1",IMPRODUCT("2",COMPLEX(C_THROUGH_ESR,B467*C_THROUGH_ESL-1/(B467*C_THROUGH_C)))))</f>
        <v>0</v>
      </c>
      <c r="E467">
        <f>COMPLEX(2*LINE_INPUT_DCR,2*B467*LINE_INPUT_L)</f>
        <v>0</v>
      </c>
      <c r="F467">
        <f>COMPLEX(0,B467*(LINE_INPUT_CLINE+LINE_INPUT_CCHA/2))</f>
        <v>0</v>
      </c>
      <c r="G467">
        <f>IMPRODUCT("2",IMDIV("1",IMSUM(IMDIV("1",COMPLEX(LDM1_DCR,B467*LDM1_L)),COMPLEX(0,B467*LDM1_CPA))))</f>
        <v>0</v>
      </c>
      <c r="H467">
        <f>IMSUM(IMDIV("1",COMPLEX(CX1_ESR,B467*CX1_ESL-1/(B467*CX1_C))),IMDIV("1",IMSUM(COMPLEX(DUMP1_R,0),COMPLEX(DUMP1_ESR,B467*DUMP1_ESL-1/(B467*DUMP1_C)))))</f>
        <v>0</v>
      </c>
      <c r="I467">
        <f>IMPRODUCT("2",IMDIV("1",IMSUM(IMDIV("1",COMPLEX(LDM2_DCR,B467*LDM2_L)),COMPLEX(0,B467*LDM2_CPA))))</f>
        <v>0</v>
      </c>
      <c r="J467">
        <f>IMSUM(IMDIV("1",COMPLEX(CX2_ESR,B467*CX2_ESL-1/(B467*CX2_C))),IMDIV("1",IMSUM(COMPLEX(DUMP2_R,0),COMPLEX(DUMP2_ESR,B467*DUMP2_ESL-1/(B467*DUMP2_C)))))</f>
        <v>0</v>
      </c>
      <c r="K467">
        <f>IMPRODUCT("2",IMDIV("1",IMSUM(IMDIV("1",COMPLEX(CMC_DCR,B467*CMC_L*(1-CMC_K))),COMPLEX(0,B467*CMC_CPA))))</f>
        <v>0</v>
      </c>
      <c r="L467">
        <f>IMSUM(COMPLEX(0,B467*CMC_CLINE),IMDIV("1",IMPRODUCT("2",COMPLEX(CY_ESR,B467*CY_ESL-1/(B467*CY_C)))),COMPLEX(1/DUMMY_R,0))</f>
        <v>0</v>
      </c>
      <c r="M467">
        <f>IMSUM(D467,IMDIV("1",C467))</f>
        <v>0</v>
      </c>
      <c r="N467">
        <f>IMDIV("1",IMSUM(E467,IMDIV("1",M467)))</f>
        <v>0</v>
      </c>
      <c r="O467">
        <f>IMSUM(F467,N467)</f>
        <v>0</v>
      </c>
      <c r="P467">
        <f>IMDIV("1",IMSUM(G467,IMDIV("1",O467)))</f>
        <v>0</v>
      </c>
      <c r="Q467">
        <f>IMSUM(H467,P467)</f>
        <v>0</v>
      </c>
      <c r="R467">
        <f>IMDIV("1",IMSUM(I467,IMDIV("1",Q467)))</f>
        <v>0</v>
      </c>
      <c r="S467">
        <f>IMSUM(J467,R467)</f>
        <v>0</v>
      </c>
      <c r="T467">
        <f>IMDIV("1",IMSUM(K467,IMDIV("1",S467)))</f>
        <v>0</v>
      </c>
      <c r="U467">
        <f>IMSUM(L467,T467)</f>
        <v>0</v>
      </c>
      <c r="V467">
        <f>IMDIV(COMPLEX(I_DM_SOURCE,0),U467)</f>
        <v>0</v>
      </c>
      <c r="W467">
        <f>IMPRODUCT(V467,T467)</f>
        <v>0</v>
      </c>
      <c r="X467">
        <f>IMDIV(W467,S467)</f>
        <v>0</v>
      </c>
      <c r="Y467">
        <f>IMPRODUCT(X467,R467)</f>
        <v>0</v>
      </c>
      <c r="Z467">
        <f>IMDIV(Y467,Q467)</f>
        <v>0</v>
      </c>
      <c r="AA467">
        <f>IMPRODUCT(Z467,P467)</f>
        <v>0</v>
      </c>
      <c r="AB467">
        <f>AA467</f>
        <v>0</v>
      </c>
      <c r="AC467">
        <f>IMPRODUCT("-1",AB467)</f>
        <v>0</v>
      </c>
      <c r="AD467">
        <f>IMDIV(IMSUB(AB467,AC467),"2")</f>
        <v>0</v>
      </c>
      <c r="AE467" s="6">
        <f>IMABS(AB467)</f>
        <v>0</v>
      </c>
      <c r="AF467" s="6">
        <f>IMABS(AC467)</f>
        <v>0</v>
      </c>
      <c r="AG467" s="6">
        <f>IMABS(AD467)</f>
        <v>0</v>
      </c>
      <c r="AH467" s="7">
        <f>20*LOG10(MAX(AE467,1E-300)*1E6)</f>
        <v>0</v>
      </c>
      <c r="AI467" s="7">
        <f>20*LOG10(MAX(AF467,1E-300)*1E6)</f>
        <v>0</v>
      </c>
      <c r="AJ467" s="7">
        <f>20*LOG10(MAX(AG467,1E-300)*1E6)</f>
        <v>0</v>
      </c>
      <c r="AK467" s="7">
        <f>DEGREES(IMARGUMENT(AB467))</f>
        <v>0</v>
      </c>
      <c r="AL467" s="7">
        <f>DEGREES(IMARGUMENT(AC467))</f>
        <v>0</v>
      </c>
      <c r="AM467" s="7">
        <f>DEGREES(IMARGUMENT(AD467))</f>
        <v>0</v>
      </c>
    </row>
    <row r="468" spans="1:39">
      <c r="A468" s="6">
        <f>10^(LOG10(F_START)+(ROW()-ROW($A$2))*(LOG10(F_STOP)-LOG10(F_START))/(N_POINTS-1))</f>
        <v>0</v>
      </c>
      <c r="B468" s="6">
        <f>2*PI()*A468</f>
        <v>0</v>
      </c>
      <c r="C468">
        <f>COMPLEX(2*LINE_PS_DCR,2*B468*LINE_PS_L)</f>
        <v>0</v>
      </c>
      <c r="D468">
        <f>IMSUM(COMPLEX(0,B468*(LINE_PS_CLINE+LINE_PS_CCHA/2)),IMDIV("1",IMPRODUCT("2",COMPLEX(C_THROUGH_ESR,B468*C_THROUGH_ESL-1/(B468*C_THROUGH_C)))))</f>
        <v>0</v>
      </c>
      <c r="E468">
        <f>COMPLEX(2*LINE_INPUT_DCR,2*B468*LINE_INPUT_L)</f>
        <v>0</v>
      </c>
      <c r="F468">
        <f>COMPLEX(0,B468*(LINE_INPUT_CLINE+LINE_INPUT_CCHA/2))</f>
        <v>0</v>
      </c>
      <c r="G468">
        <f>IMPRODUCT("2",IMDIV("1",IMSUM(IMDIV("1",COMPLEX(LDM1_DCR,B468*LDM1_L)),COMPLEX(0,B468*LDM1_CPA))))</f>
        <v>0</v>
      </c>
      <c r="H468">
        <f>IMSUM(IMDIV("1",COMPLEX(CX1_ESR,B468*CX1_ESL-1/(B468*CX1_C))),IMDIV("1",IMSUM(COMPLEX(DUMP1_R,0),COMPLEX(DUMP1_ESR,B468*DUMP1_ESL-1/(B468*DUMP1_C)))))</f>
        <v>0</v>
      </c>
      <c r="I468">
        <f>IMPRODUCT("2",IMDIV("1",IMSUM(IMDIV("1",COMPLEX(LDM2_DCR,B468*LDM2_L)),COMPLEX(0,B468*LDM2_CPA))))</f>
        <v>0</v>
      </c>
      <c r="J468">
        <f>IMSUM(IMDIV("1",COMPLEX(CX2_ESR,B468*CX2_ESL-1/(B468*CX2_C))),IMDIV("1",IMSUM(COMPLEX(DUMP2_R,0),COMPLEX(DUMP2_ESR,B468*DUMP2_ESL-1/(B468*DUMP2_C)))))</f>
        <v>0</v>
      </c>
      <c r="K468">
        <f>IMPRODUCT("2",IMDIV("1",IMSUM(IMDIV("1",COMPLEX(CMC_DCR,B468*CMC_L*(1-CMC_K))),COMPLEX(0,B468*CMC_CPA))))</f>
        <v>0</v>
      </c>
      <c r="L468">
        <f>IMSUM(COMPLEX(0,B468*CMC_CLINE),IMDIV("1",IMPRODUCT("2",COMPLEX(CY_ESR,B468*CY_ESL-1/(B468*CY_C)))),COMPLEX(1/DUMMY_R,0))</f>
        <v>0</v>
      </c>
      <c r="M468">
        <f>IMSUM(D468,IMDIV("1",C468))</f>
        <v>0</v>
      </c>
      <c r="N468">
        <f>IMDIV("1",IMSUM(E468,IMDIV("1",M468)))</f>
        <v>0</v>
      </c>
      <c r="O468">
        <f>IMSUM(F468,N468)</f>
        <v>0</v>
      </c>
      <c r="P468">
        <f>IMDIV("1",IMSUM(G468,IMDIV("1",O468)))</f>
        <v>0</v>
      </c>
      <c r="Q468">
        <f>IMSUM(H468,P468)</f>
        <v>0</v>
      </c>
      <c r="R468">
        <f>IMDIV("1",IMSUM(I468,IMDIV("1",Q468)))</f>
        <v>0</v>
      </c>
      <c r="S468">
        <f>IMSUM(J468,R468)</f>
        <v>0</v>
      </c>
      <c r="T468">
        <f>IMDIV("1",IMSUM(K468,IMDIV("1",S468)))</f>
        <v>0</v>
      </c>
      <c r="U468">
        <f>IMSUM(L468,T468)</f>
        <v>0</v>
      </c>
      <c r="V468">
        <f>IMDIV(COMPLEX(I_DM_SOURCE,0),U468)</f>
        <v>0</v>
      </c>
      <c r="W468">
        <f>IMPRODUCT(V468,T468)</f>
        <v>0</v>
      </c>
      <c r="X468">
        <f>IMDIV(W468,S468)</f>
        <v>0</v>
      </c>
      <c r="Y468">
        <f>IMPRODUCT(X468,R468)</f>
        <v>0</v>
      </c>
      <c r="Z468">
        <f>IMDIV(Y468,Q468)</f>
        <v>0</v>
      </c>
      <c r="AA468">
        <f>IMPRODUCT(Z468,P468)</f>
        <v>0</v>
      </c>
      <c r="AB468">
        <f>AA468</f>
        <v>0</v>
      </c>
      <c r="AC468">
        <f>IMPRODUCT("-1",AB468)</f>
        <v>0</v>
      </c>
      <c r="AD468">
        <f>IMDIV(IMSUB(AB468,AC468),"2")</f>
        <v>0</v>
      </c>
      <c r="AE468" s="6">
        <f>IMABS(AB468)</f>
        <v>0</v>
      </c>
      <c r="AF468" s="6">
        <f>IMABS(AC468)</f>
        <v>0</v>
      </c>
      <c r="AG468" s="6">
        <f>IMABS(AD468)</f>
        <v>0</v>
      </c>
      <c r="AH468" s="7">
        <f>20*LOG10(MAX(AE468,1E-300)*1E6)</f>
        <v>0</v>
      </c>
      <c r="AI468" s="7">
        <f>20*LOG10(MAX(AF468,1E-300)*1E6)</f>
        <v>0</v>
      </c>
      <c r="AJ468" s="7">
        <f>20*LOG10(MAX(AG468,1E-300)*1E6)</f>
        <v>0</v>
      </c>
      <c r="AK468" s="7">
        <f>DEGREES(IMARGUMENT(AB468))</f>
        <v>0</v>
      </c>
      <c r="AL468" s="7">
        <f>DEGREES(IMARGUMENT(AC468))</f>
        <v>0</v>
      </c>
      <c r="AM468" s="7">
        <f>DEGREES(IMARGUMENT(AD468))</f>
        <v>0</v>
      </c>
    </row>
    <row r="469" spans="1:39">
      <c r="A469" s="6">
        <f>10^(LOG10(F_START)+(ROW()-ROW($A$2))*(LOG10(F_STOP)-LOG10(F_START))/(N_POINTS-1))</f>
        <v>0</v>
      </c>
      <c r="B469" s="6">
        <f>2*PI()*A469</f>
        <v>0</v>
      </c>
      <c r="C469">
        <f>COMPLEX(2*LINE_PS_DCR,2*B469*LINE_PS_L)</f>
        <v>0</v>
      </c>
      <c r="D469">
        <f>IMSUM(COMPLEX(0,B469*(LINE_PS_CLINE+LINE_PS_CCHA/2)),IMDIV("1",IMPRODUCT("2",COMPLEX(C_THROUGH_ESR,B469*C_THROUGH_ESL-1/(B469*C_THROUGH_C)))))</f>
        <v>0</v>
      </c>
      <c r="E469">
        <f>COMPLEX(2*LINE_INPUT_DCR,2*B469*LINE_INPUT_L)</f>
        <v>0</v>
      </c>
      <c r="F469">
        <f>COMPLEX(0,B469*(LINE_INPUT_CLINE+LINE_INPUT_CCHA/2))</f>
        <v>0</v>
      </c>
      <c r="G469">
        <f>IMPRODUCT("2",IMDIV("1",IMSUM(IMDIV("1",COMPLEX(LDM1_DCR,B469*LDM1_L)),COMPLEX(0,B469*LDM1_CPA))))</f>
        <v>0</v>
      </c>
      <c r="H469">
        <f>IMSUM(IMDIV("1",COMPLEX(CX1_ESR,B469*CX1_ESL-1/(B469*CX1_C))),IMDIV("1",IMSUM(COMPLEX(DUMP1_R,0),COMPLEX(DUMP1_ESR,B469*DUMP1_ESL-1/(B469*DUMP1_C)))))</f>
        <v>0</v>
      </c>
      <c r="I469">
        <f>IMPRODUCT("2",IMDIV("1",IMSUM(IMDIV("1",COMPLEX(LDM2_DCR,B469*LDM2_L)),COMPLEX(0,B469*LDM2_CPA))))</f>
        <v>0</v>
      </c>
      <c r="J469">
        <f>IMSUM(IMDIV("1",COMPLEX(CX2_ESR,B469*CX2_ESL-1/(B469*CX2_C))),IMDIV("1",IMSUM(COMPLEX(DUMP2_R,0),COMPLEX(DUMP2_ESR,B469*DUMP2_ESL-1/(B469*DUMP2_C)))))</f>
        <v>0</v>
      </c>
      <c r="K469">
        <f>IMPRODUCT("2",IMDIV("1",IMSUM(IMDIV("1",COMPLEX(CMC_DCR,B469*CMC_L*(1-CMC_K))),COMPLEX(0,B469*CMC_CPA))))</f>
        <v>0</v>
      </c>
      <c r="L469">
        <f>IMSUM(COMPLEX(0,B469*CMC_CLINE),IMDIV("1",IMPRODUCT("2",COMPLEX(CY_ESR,B469*CY_ESL-1/(B469*CY_C)))),COMPLEX(1/DUMMY_R,0))</f>
        <v>0</v>
      </c>
      <c r="M469">
        <f>IMSUM(D469,IMDIV("1",C469))</f>
        <v>0</v>
      </c>
      <c r="N469">
        <f>IMDIV("1",IMSUM(E469,IMDIV("1",M469)))</f>
        <v>0</v>
      </c>
      <c r="O469">
        <f>IMSUM(F469,N469)</f>
        <v>0</v>
      </c>
      <c r="P469">
        <f>IMDIV("1",IMSUM(G469,IMDIV("1",O469)))</f>
        <v>0</v>
      </c>
      <c r="Q469">
        <f>IMSUM(H469,P469)</f>
        <v>0</v>
      </c>
      <c r="R469">
        <f>IMDIV("1",IMSUM(I469,IMDIV("1",Q469)))</f>
        <v>0</v>
      </c>
      <c r="S469">
        <f>IMSUM(J469,R469)</f>
        <v>0</v>
      </c>
      <c r="T469">
        <f>IMDIV("1",IMSUM(K469,IMDIV("1",S469)))</f>
        <v>0</v>
      </c>
      <c r="U469">
        <f>IMSUM(L469,T469)</f>
        <v>0</v>
      </c>
      <c r="V469">
        <f>IMDIV(COMPLEX(I_DM_SOURCE,0),U469)</f>
        <v>0</v>
      </c>
      <c r="W469">
        <f>IMPRODUCT(V469,T469)</f>
        <v>0</v>
      </c>
      <c r="X469">
        <f>IMDIV(W469,S469)</f>
        <v>0</v>
      </c>
      <c r="Y469">
        <f>IMPRODUCT(X469,R469)</f>
        <v>0</v>
      </c>
      <c r="Z469">
        <f>IMDIV(Y469,Q469)</f>
        <v>0</v>
      </c>
      <c r="AA469">
        <f>IMPRODUCT(Z469,P469)</f>
        <v>0</v>
      </c>
      <c r="AB469">
        <f>AA469</f>
        <v>0</v>
      </c>
      <c r="AC469">
        <f>IMPRODUCT("-1",AB469)</f>
        <v>0</v>
      </c>
      <c r="AD469">
        <f>IMDIV(IMSUB(AB469,AC469),"2")</f>
        <v>0</v>
      </c>
      <c r="AE469" s="6">
        <f>IMABS(AB469)</f>
        <v>0</v>
      </c>
      <c r="AF469" s="6">
        <f>IMABS(AC469)</f>
        <v>0</v>
      </c>
      <c r="AG469" s="6">
        <f>IMABS(AD469)</f>
        <v>0</v>
      </c>
      <c r="AH469" s="7">
        <f>20*LOG10(MAX(AE469,1E-300)*1E6)</f>
        <v>0</v>
      </c>
      <c r="AI469" s="7">
        <f>20*LOG10(MAX(AF469,1E-300)*1E6)</f>
        <v>0</v>
      </c>
      <c r="AJ469" s="7">
        <f>20*LOG10(MAX(AG469,1E-300)*1E6)</f>
        <v>0</v>
      </c>
      <c r="AK469" s="7">
        <f>DEGREES(IMARGUMENT(AB469))</f>
        <v>0</v>
      </c>
      <c r="AL469" s="7">
        <f>DEGREES(IMARGUMENT(AC469))</f>
        <v>0</v>
      </c>
      <c r="AM469" s="7">
        <f>DEGREES(IMARGUMENT(AD469))</f>
        <v>0</v>
      </c>
    </row>
    <row r="470" spans="1:39">
      <c r="A470" s="6">
        <f>10^(LOG10(F_START)+(ROW()-ROW($A$2))*(LOG10(F_STOP)-LOG10(F_START))/(N_POINTS-1))</f>
        <v>0</v>
      </c>
      <c r="B470" s="6">
        <f>2*PI()*A470</f>
        <v>0</v>
      </c>
      <c r="C470">
        <f>COMPLEX(2*LINE_PS_DCR,2*B470*LINE_PS_L)</f>
        <v>0</v>
      </c>
      <c r="D470">
        <f>IMSUM(COMPLEX(0,B470*(LINE_PS_CLINE+LINE_PS_CCHA/2)),IMDIV("1",IMPRODUCT("2",COMPLEX(C_THROUGH_ESR,B470*C_THROUGH_ESL-1/(B470*C_THROUGH_C)))))</f>
        <v>0</v>
      </c>
      <c r="E470">
        <f>COMPLEX(2*LINE_INPUT_DCR,2*B470*LINE_INPUT_L)</f>
        <v>0</v>
      </c>
      <c r="F470">
        <f>COMPLEX(0,B470*(LINE_INPUT_CLINE+LINE_INPUT_CCHA/2))</f>
        <v>0</v>
      </c>
      <c r="G470">
        <f>IMPRODUCT("2",IMDIV("1",IMSUM(IMDIV("1",COMPLEX(LDM1_DCR,B470*LDM1_L)),COMPLEX(0,B470*LDM1_CPA))))</f>
        <v>0</v>
      </c>
      <c r="H470">
        <f>IMSUM(IMDIV("1",COMPLEX(CX1_ESR,B470*CX1_ESL-1/(B470*CX1_C))),IMDIV("1",IMSUM(COMPLEX(DUMP1_R,0),COMPLEX(DUMP1_ESR,B470*DUMP1_ESL-1/(B470*DUMP1_C)))))</f>
        <v>0</v>
      </c>
      <c r="I470">
        <f>IMPRODUCT("2",IMDIV("1",IMSUM(IMDIV("1",COMPLEX(LDM2_DCR,B470*LDM2_L)),COMPLEX(0,B470*LDM2_CPA))))</f>
        <v>0</v>
      </c>
      <c r="J470">
        <f>IMSUM(IMDIV("1",COMPLEX(CX2_ESR,B470*CX2_ESL-1/(B470*CX2_C))),IMDIV("1",IMSUM(COMPLEX(DUMP2_R,0),COMPLEX(DUMP2_ESR,B470*DUMP2_ESL-1/(B470*DUMP2_C)))))</f>
        <v>0</v>
      </c>
      <c r="K470">
        <f>IMPRODUCT("2",IMDIV("1",IMSUM(IMDIV("1",COMPLEX(CMC_DCR,B470*CMC_L*(1-CMC_K))),COMPLEX(0,B470*CMC_CPA))))</f>
        <v>0</v>
      </c>
      <c r="L470">
        <f>IMSUM(COMPLEX(0,B470*CMC_CLINE),IMDIV("1",IMPRODUCT("2",COMPLEX(CY_ESR,B470*CY_ESL-1/(B470*CY_C)))),COMPLEX(1/DUMMY_R,0))</f>
        <v>0</v>
      </c>
      <c r="M470">
        <f>IMSUM(D470,IMDIV("1",C470))</f>
        <v>0</v>
      </c>
      <c r="N470">
        <f>IMDIV("1",IMSUM(E470,IMDIV("1",M470)))</f>
        <v>0</v>
      </c>
      <c r="O470">
        <f>IMSUM(F470,N470)</f>
        <v>0</v>
      </c>
      <c r="P470">
        <f>IMDIV("1",IMSUM(G470,IMDIV("1",O470)))</f>
        <v>0</v>
      </c>
      <c r="Q470">
        <f>IMSUM(H470,P470)</f>
        <v>0</v>
      </c>
      <c r="R470">
        <f>IMDIV("1",IMSUM(I470,IMDIV("1",Q470)))</f>
        <v>0</v>
      </c>
      <c r="S470">
        <f>IMSUM(J470,R470)</f>
        <v>0</v>
      </c>
      <c r="T470">
        <f>IMDIV("1",IMSUM(K470,IMDIV("1",S470)))</f>
        <v>0</v>
      </c>
      <c r="U470">
        <f>IMSUM(L470,T470)</f>
        <v>0</v>
      </c>
      <c r="V470">
        <f>IMDIV(COMPLEX(I_DM_SOURCE,0),U470)</f>
        <v>0</v>
      </c>
      <c r="W470">
        <f>IMPRODUCT(V470,T470)</f>
        <v>0</v>
      </c>
      <c r="X470">
        <f>IMDIV(W470,S470)</f>
        <v>0</v>
      </c>
      <c r="Y470">
        <f>IMPRODUCT(X470,R470)</f>
        <v>0</v>
      </c>
      <c r="Z470">
        <f>IMDIV(Y470,Q470)</f>
        <v>0</v>
      </c>
      <c r="AA470">
        <f>IMPRODUCT(Z470,P470)</f>
        <v>0</v>
      </c>
      <c r="AB470">
        <f>AA470</f>
        <v>0</v>
      </c>
      <c r="AC470">
        <f>IMPRODUCT("-1",AB470)</f>
        <v>0</v>
      </c>
      <c r="AD470">
        <f>IMDIV(IMSUB(AB470,AC470),"2")</f>
        <v>0</v>
      </c>
      <c r="AE470" s="6">
        <f>IMABS(AB470)</f>
        <v>0</v>
      </c>
      <c r="AF470" s="6">
        <f>IMABS(AC470)</f>
        <v>0</v>
      </c>
      <c r="AG470" s="6">
        <f>IMABS(AD470)</f>
        <v>0</v>
      </c>
      <c r="AH470" s="7">
        <f>20*LOG10(MAX(AE470,1E-300)*1E6)</f>
        <v>0</v>
      </c>
      <c r="AI470" s="7">
        <f>20*LOG10(MAX(AF470,1E-300)*1E6)</f>
        <v>0</v>
      </c>
      <c r="AJ470" s="7">
        <f>20*LOG10(MAX(AG470,1E-300)*1E6)</f>
        <v>0</v>
      </c>
      <c r="AK470" s="7">
        <f>DEGREES(IMARGUMENT(AB470))</f>
        <v>0</v>
      </c>
      <c r="AL470" s="7">
        <f>DEGREES(IMARGUMENT(AC470))</f>
        <v>0</v>
      </c>
      <c r="AM470" s="7">
        <f>DEGREES(IMARGUMENT(AD470))</f>
        <v>0</v>
      </c>
    </row>
    <row r="471" spans="1:39">
      <c r="A471" s="6">
        <f>10^(LOG10(F_START)+(ROW()-ROW($A$2))*(LOG10(F_STOP)-LOG10(F_START))/(N_POINTS-1))</f>
        <v>0</v>
      </c>
      <c r="B471" s="6">
        <f>2*PI()*A471</f>
        <v>0</v>
      </c>
      <c r="C471">
        <f>COMPLEX(2*LINE_PS_DCR,2*B471*LINE_PS_L)</f>
        <v>0</v>
      </c>
      <c r="D471">
        <f>IMSUM(COMPLEX(0,B471*(LINE_PS_CLINE+LINE_PS_CCHA/2)),IMDIV("1",IMPRODUCT("2",COMPLEX(C_THROUGH_ESR,B471*C_THROUGH_ESL-1/(B471*C_THROUGH_C)))))</f>
        <v>0</v>
      </c>
      <c r="E471">
        <f>COMPLEX(2*LINE_INPUT_DCR,2*B471*LINE_INPUT_L)</f>
        <v>0</v>
      </c>
      <c r="F471">
        <f>COMPLEX(0,B471*(LINE_INPUT_CLINE+LINE_INPUT_CCHA/2))</f>
        <v>0</v>
      </c>
      <c r="G471">
        <f>IMPRODUCT("2",IMDIV("1",IMSUM(IMDIV("1",COMPLEX(LDM1_DCR,B471*LDM1_L)),COMPLEX(0,B471*LDM1_CPA))))</f>
        <v>0</v>
      </c>
      <c r="H471">
        <f>IMSUM(IMDIV("1",COMPLEX(CX1_ESR,B471*CX1_ESL-1/(B471*CX1_C))),IMDIV("1",IMSUM(COMPLEX(DUMP1_R,0),COMPLEX(DUMP1_ESR,B471*DUMP1_ESL-1/(B471*DUMP1_C)))))</f>
        <v>0</v>
      </c>
      <c r="I471">
        <f>IMPRODUCT("2",IMDIV("1",IMSUM(IMDIV("1",COMPLEX(LDM2_DCR,B471*LDM2_L)),COMPLEX(0,B471*LDM2_CPA))))</f>
        <v>0</v>
      </c>
      <c r="J471">
        <f>IMSUM(IMDIV("1",COMPLEX(CX2_ESR,B471*CX2_ESL-1/(B471*CX2_C))),IMDIV("1",IMSUM(COMPLEX(DUMP2_R,0),COMPLEX(DUMP2_ESR,B471*DUMP2_ESL-1/(B471*DUMP2_C)))))</f>
        <v>0</v>
      </c>
      <c r="K471">
        <f>IMPRODUCT("2",IMDIV("1",IMSUM(IMDIV("1",COMPLEX(CMC_DCR,B471*CMC_L*(1-CMC_K))),COMPLEX(0,B471*CMC_CPA))))</f>
        <v>0</v>
      </c>
      <c r="L471">
        <f>IMSUM(COMPLEX(0,B471*CMC_CLINE),IMDIV("1",IMPRODUCT("2",COMPLEX(CY_ESR,B471*CY_ESL-1/(B471*CY_C)))),COMPLEX(1/DUMMY_R,0))</f>
        <v>0</v>
      </c>
      <c r="M471">
        <f>IMSUM(D471,IMDIV("1",C471))</f>
        <v>0</v>
      </c>
      <c r="N471">
        <f>IMDIV("1",IMSUM(E471,IMDIV("1",M471)))</f>
        <v>0</v>
      </c>
      <c r="O471">
        <f>IMSUM(F471,N471)</f>
        <v>0</v>
      </c>
      <c r="P471">
        <f>IMDIV("1",IMSUM(G471,IMDIV("1",O471)))</f>
        <v>0</v>
      </c>
      <c r="Q471">
        <f>IMSUM(H471,P471)</f>
        <v>0</v>
      </c>
      <c r="R471">
        <f>IMDIV("1",IMSUM(I471,IMDIV("1",Q471)))</f>
        <v>0</v>
      </c>
      <c r="S471">
        <f>IMSUM(J471,R471)</f>
        <v>0</v>
      </c>
      <c r="T471">
        <f>IMDIV("1",IMSUM(K471,IMDIV("1",S471)))</f>
        <v>0</v>
      </c>
      <c r="U471">
        <f>IMSUM(L471,T471)</f>
        <v>0</v>
      </c>
      <c r="V471">
        <f>IMDIV(COMPLEX(I_DM_SOURCE,0),U471)</f>
        <v>0</v>
      </c>
      <c r="W471">
        <f>IMPRODUCT(V471,T471)</f>
        <v>0</v>
      </c>
      <c r="X471">
        <f>IMDIV(W471,S471)</f>
        <v>0</v>
      </c>
      <c r="Y471">
        <f>IMPRODUCT(X471,R471)</f>
        <v>0</v>
      </c>
      <c r="Z471">
        <f>IMDIV(Y471,Q471)</f>
        <v>0</v>
      </c>
      <c r="AA471">
        <f>IMPRODUCT(Z471,P471)</f>
        <v>0</v>
      </c>
      <c r="AB471">
        <f>AA471</f>
        <v>0</v>
      </c>
      <c r="AC471">
        <f>IMPRODUCT("-1",AB471)</f>
        <v>0</v>
      </c>
      <c r="AD471">
        <f>IMDIV(IMSUB(AB471,AC471),"2")</f>
        <v>0</v>
      </c>
      <c r="AE471" s="6">
        <f>IMABS(AB471)</f>
        <v>0</v>
      </c>
      <c r="AF471" s="6">
        <f>IMABS(AC471)</f>
        <v>0</v>
      </c>
      <c r="AG471" s="6">
        <f>IMABS(AD471)</f>
        <v>0</v>
      </c>
      <c r="AH471" s="7">
        <f>20*LOG10(MAX(AE471,1E-300)*1E6)</f>
        <v>0</v>
      </c>
      <c r="AI471" s="7">
        <f>20*LOG10(MAX(AF471,1E-300)*1E6)</f>
        <v>0</v>
      </c>
      <c r="AJ471" s="7">
        <f>20*LOG10(MAX(AG471,1E-300)*1E6)</f>
        <v>0</v>
      </c>
      <c r="AK471" s="7">
        <f>DEGREES(IMARGUMENT(AB471))</f>
        <v>0</v>
      </c>
      <c r="AL471" s="7">
        <f>DEGREES(IMARGUMENT(AC471))</f>
        <v>0</v>
      </c>
      <c r="AM471" s="7">
        <f>DEGREES(IMARGUMENT(AD471))</f>
        <v>0</v>
      </c>
    </row>
    <row r="472" spans="1:39">
      <c r="A472" s="6">
        <f>10^(LOG10(F_START)+(ROW()-ROW($A$2))*(LOG10(F_STOP)-LOG10(F_START))/(N_POINTS-1))</f>
        <v>0</v>
      </c>
      <c r="B472" s="6">
        <f>2*PI()*A472</f>
        <v>0</v>
      </c>
      <c r="C472">
        <f>COMPLEX(2*LINE_PS_DCR,2*B472*LINE_PS_L)</f>
        <v>0</v>
      </c>
      <c r="D472">
        <f>IMSUM(COMPLEX(0,B472*(LINE_PS_CLINE+LINE_PS_CCHA/2)),IMDIV("1",IMPRODUCT("2",COMPLEX(C_THROUGH_ESR,B472*C_THROUGH_ESL-1/(B472*C_THROUGH_C)))))</f>
        <v>0</v>
      </c>
      <c r="E472">
        <f>COMPLEX(2*LINE_INPUT_DCR,2*B472*LINE_INPUT_L)</f>
        <v>0</v>
      </c>
      <c r="F472">
        <f>COMPLEX(0,B472*(LINE_INPUT_CLINE+LINE_INPUT_CCHA/2))</f>
        <v>0</v>
      </c>
      <c r="G472">
        <f>IMPRODUCT("2",IMDIV("1",IMSUM(IMDIV("1",COMPLEX(LDM1_DCR,B472*LDM1_L)),COMPLEX(0,B472*LDM1_CPA))))</f>
        <v>0</v>
      </c>
      <c r="H472">
        <f>IMSUM(IMDIV("1",COMPLEX(CX1_ESR,B472*CX1_ESL-1/(B472*CX1_C))),IMDIV("1",IMSUM(COMPLEX(DUMP1_R,0),COMPLEX(DUMP1_ESR,B472*DUMP1_ESL-1/(B472*DUMP1_C)))))</f>
        <v>0</v>
      </c>
      <c r="I472">
        <f>IMPRODUCT("2",IMDIV("1",IMSUM(IMDIV("1",COMPLEX(LDM2_DCR,B472*LDM2_L)),COMPLEX(0,B472*LDM2_CPA))))</f>
        <v>0</v>
      </c>
      <c r="J472">
        <f>IMSUM(IMDIV("1",COMPLEX(CX2_ESR,B472*CX2_ESL-1/(B472*CX2_C))),IMDIV("1",IMSUM(COMPLEX(DUMP2_R,0),COMPLEX(DUMP2_ESR,B472*DUMP2_ESL-1/(B472*DUMP2_C)))))</f>
        <v>0</v>
      </c>
      <c r="K472">
        <f>IMPRODUCT("2",IMDIV("1",IMSUM(IMDIV("1",COMPLEX(CMC_DCR,B472*CMC_L*(1-CMC_K))),COMPLEX(0,B472*CMC_CPA))))</f>
        <v>0</v>
      </c>
      <c r="L472">
        <f>IMSUM(COMPLEX(0,B472*CMC_CLINE),IMDIV("1",IMPRODUCT("2",COMPLEX(CY_ESR,B472*CY_ESL-1/(B472*CY_C)))),COMPLEX(1/DUMMY_R,0))</f>
        <v>0</v>
      </c>
      <c r="M472">
        <f>IMSUM(D472,IMDIV("1",C472))</f>
        <v>0</v>
      </c>
      <c r="N472">
        <f>IMDIV("1",IMSUM(E472,IMDIV("1",M472)))</f>
        <v>0</v>
      </c>
      <c r="O472">
        <f>IMSUM(F472,N472)</f>
        <v>0</v>
      </c>
      <c r="P472">
        <f>IMDIV("1",IMSUM(G472,IMDIV("1",O472)))</f>
        <v>0</v>
      </c>
      <c r="Q472">
        <f>IMSUM(H472,P472)</f>
        <v>0</v>
      </c>
      <c r="R472">
        <f>IMDIV("1",IMSUM(I472,IMDIV("1",Q472)))</f>
        <v>0</v>
      </c>
      <c r="S472">
        <f>IMSUM(J472,R472)</f>
        <v>0</v>
      </c>
      <c r="T472">
        <f>IMDIV("1",IMSUM(K472,IMDIV("1",S472)))</f>
        <v>0</v>
      </c>
      <c r="U472">
        <f>IMSUM(L472,T472)</f>
        <v>0</v>
      </c>
      <c r="V472">
        <f>IMDIV(COMPLEX(I_DM_SOURCE,0),U472)</f>
        <v>0</v>
      </c>
      <c r="W472">
        <f>IMPRODUCT(V472,T472)</f>
        <v>0</v>
      </c>
      <c r="X472">
        <f>IMDIV(W472,S472)</f>
        <v>0</v>
      </c>
      <c r="Y472">
        <f>IMPRODUCT(X472,R472)</f>
        <v>0</v>
      </c>
      <c r="Z472">
        <f>IMDIV(Y472,Q472)</f>
        <v>0</v>
      </c>
      <c r="AA472">
        <f>IMPRODUCT(Z472,P472)</f>
        <v>0</v>
      </c>
      <c r="AB472">
        <f>AA472</f>
        <v>0</v>
      </c>
      <c r="AC472">
        <f>IMPRODUCT("-1",AB472)</f>
        <v>0</v>
      </c>
      <c r="AD472">
        <f>IMDIV(IMSUB(AB472,AC472),"2")</f>
        <v>0</v>
      </c>
      <c r="AE472" s="6">
        <f>IMABS(AB472)</f>
        <v>0</v>
      </c>
      <c r="AF472" s="6">
        <f>IMABS(AC472)</f>
        <v>0</v>
      </c>
      <c r="AG472" s="6">
        <f>IMABS(AD472)</f>
        <v>0</v>
      </c>
      <c r="AH472" s="7">
        <f>20*LOG10(MAX(AE472,1E-300)*1E6)</f>
        <v>0</v>
      </c>
      <c r="AI472" s="7">
        <f>20*LOG10(MAX(AF472,1E-300)*1E6)</f>
        <v>0</v>
      </c>
      <c r="AJ472" s="7">
        <f>20*LOG10(MAX(AG472,1E-300)*1E6)</f>
        <v>0</v>
      </c>
      <c r="AK472" s="7">
        <f>DEGREES(IMARGUMENT(AB472))</f>
        <v>0</v>
      </c>
      <c r="AL472" s="7">
        <f>DEGREES(IMARGUMENT(AC472))</f>
        <v>0</v>
      </c>
      <c r="AM472" s="7">
        <f>DEGREES(IMARGUMENT(AD472))</f>
        <v>0</v>
      </c>
    </row>
    <row r="473" spans="1:39">
      <c r="A473" s="6">
        <f>10^(LOG10(F_START)+(ROW()-ROW($A$2))*(LOG10(F_STOP)-LOG10(F_START))/(N_POINTS-1))</f>
        <v>0</v>
      </c>
      <c r="B473" s="6">
        <f>2*PI()*A473</f>
        <v>0</v>
      </c>
      <c r="C473">
        <f>COMPLEX(2*LINE_PS_DCR,2*B473*LINE_PS_L)</f>
        <v>0</v>
      </c>
      <c r="D473">
        <f>IMSUM(COMPLEX(0,B473*(LINE_PS_CLINE+LINE_PS_CCHA/2)),IMDIV("1",IMPRODUCT("2",COMPLEX(C_THROUGH_ESR,B473*C_THROUGH_ESL-1/(B473*C_THROUGH_C)))))</f>
        <v>0</v>
      </c>
      <c r="E473">
        <f>COMPLEX(2*LINE_INPUT_DCR,2*B473*LINE_INPUT_L)</f>
        <v>0</v>
      </c>
      <c r="F473">
        <f>COMPLEX(0,B473*(LINE_INPUT_CLINE+LINE_INPUT_CCHA/2))</f>
        <v>0</v>
      </c>
      <c r="G473">
        <f>IMPRODUCT("2",IMDIV("1",IMSUM(IMDIV("1",COMPLEX(LDM1_DCR,B473*LDM1_L)),COMPLEX(0,B473*LDM1_CPA))))</f>
        <v>0</v>
      </c>
      <c r="H473">
        <f>IMSUM(IMDIV("1",COMPLEX(CX1_ESR,B473*CX1_ESL-1/(B473*CX1_C))),IMDIV("1",IMSUM(COMPLEX(DUMP1_R,0),COMPLEX(DUMP1_ESR,B473*DUMP1_ESL-1/(B473*DUMP1_C)))))</f>
        <v>0</v>
      </c>
      <c r="I473">
        <f>IMPRODUCT("2",IMDIV("1",IMSUM(IMDIV("1",COMPLEX(LDM2_DCR,B473*LDM2_L)),COMPLEX(0,B473*LDM2_CPA))))</f>
        <v>0</v>
      </c>
      <c r="J473">
        <f>IMSUM(IMDIV("1",COMPLEX(CX2_ESR,B473*CX2_ESL-1/(B473*CX2_C))),IMDIV("1",IMSUM(COMPLEX(DUMP2_R,0),COMPLEX(DUMP2_ESR,B473*DUMP2_ESL-1/(B473*DUMP2_C)))))</f>
        <v>0</v>
      </c>
      <c r="K473">
        <f>IMPRODUCT("2",IMDIV("1",IMSUM(IMDIV("1",COMPLEX(CMC_DCR,B473*CMC_L*(1-CMC_K))),COMPLEX(0,B473*CMC_CPA))))</f>
        <v>0</v>
      </c>
      <c r="L473">
        <f>IMSUM(COMPLEX(0,B473*CMC_CLINE),IMDIV("1",IMPRODUCT("2",COMPLEX(CY_ESR,B473*CY_ESL-1/(B473*CY_C)))),COMPLEX(1/DUMMY_R,0))</f>
        <v>0</v>
      </c>
      <c r="M473">
        <f>IMSUM(D473,IMDIV("1",C473))</f>
        <v>0</v>
      </c>
      <c r="N473">
        <f>IMDIV("1",IMSUM(E473,IMDIV("1",M473)))</f>
        <v>0</v>
      </c>
      <c r="O473">
        <f>IMSUM(F473,N473)</f>
        <v>0</v>
      </c>
      <c r="P473">
        <f>IMDIV("1",IMSUM(G473,IMDIV("1",O473)))</f>
        <v>0</v>
      </c>
      <c r="Q473">
        <f>IMSUM(H473,P473)</f>
        <v>0</v>
      </c>
      <c r="R473">
        <f>IMDIV("1",IMSUM(I473,IMDIV("1",Q473)))</f>
        <v>0</v>
      </c>
      <c r="S473">
        <f>IMSUM(J473,R473)</f>
        <v>0</v>
      </c>
      <c r="T473">
        <f>IMDIV("1",IMSUM(K473,IMDIV("1",S473)))</f>
        <v>0</v>
      </c>
      <c r="U473">
        <f>IMSUM(L473,T473)</f>
        <v>0</v>
      </c>
      <c r="V473">
        <f>IMDIV(COMPLEX(I_DM_SOURCE,0),U473)</f>
        <v>0</v>
      </c>
      <c r="W473">
        <f>IMPRODUCT(V473,T473)</f>
        <v>0</v>
      </c>
      <c r="X473">
        <f>IMDIV(W473,S473)</f>
        <v>0</v>
      </c>
      <c r="Y473">
        <f>IMPRODUCT(X473,R473)</f>
        <v>0</v>
      </c>
      <c r="Z473">
        <f>IMDIV(Y473,Q473)</f>
        <v>0</v>
      </c>
      <c r="AA473">
        <f>IMPRODUCT(Z473,P473)</f>
        <v>0</v>
      </c>
      <c r="AB473">
        <f>AA473</f>
        <v>0</v>
      </c>
      <c r="AC473">
        <f>IMPRODUCT("-1",AB473)</f>
        <v>0</v>
      </c>
      <c r="AD473">
        <f>IMDIV(IMSUB(AB473,AC473),"2")</f>
        <v>0</v>
      </c>
      <c r="AE473" s="6">
        <f>IMABS(AB473)</f>
        <v>0</v>
      </c>
      <c r="AF473" s="6">
        <f>IMABS(AC473)</f>
        <v>0</v>
      </c>
      <c r="AG473" s="6">
        <f>IMABS(AD473)</f>
        <v>0</v>
      </c>
      <c r="AH473" s="7">
        <f>20*LOG10(MAX(AE473,1E-300)*1E6)</f>
        <v>0</v>
      </c>
      <c r="AI473" s="7">
        <f>20*LOG10(MAX(AF473,1E-300)*1E6)</f>
        <v>0</v>
      </c>
      <c r="AJ473" s="7">
        <f>20*LOG10(MAX(AG473,1E-300)*1E6)</f>
        <v>0</v>
      </c>
      <c r="AK473" s="7">
        <f>DEGREES(IMARGUMENT(AB473))</f>
        <v>0</v>
      </c>
      <c r="AL473" s="7">
        <f>DEGREES(IMARGUMENT(AC473))</f>
        <v>0</v>
      </c>
      <c r="AM473" s="7">
        <f>DEGREES(IMARGUMENT(AD473))</f>
        <v>0</v>
      </c>
    </row>
    <row r="474" spans="1:39">
      <c r="A474" s="6">
        <f>10^(LOG10(F_START)+(ROW()-ROW($A$2))*(LOG10(F_STOP)-LOG10(F_START))/(N_POINTS-1))</f>
        <v>0</v>
      </c>
      <c r="B474" s="6">
        <f>2*PI()*A474</f>
        <v>0</v>
      </c>
      <c r="C474">
        <f>COMPLEX(2*LINE_PS_DCR,2*B474*LINE_PS_L)</f>
        <v>0</v>
      </c>
      <c r="D474">
        <f>IMSUM(COMPLEX(0,B474*(LINE_PS_CLINE+LINE_PS_CCHA/2)),IMDIV("1",IMPRODUCT("2",COMPLEX(C_THROUGH_ESR,B474*C_THROUGH_ESL-1/(B474*C_THROUGH_C)))))</f>
        <v>0</v>
      </c>
      <c r="E474">
        <f>COMPLEX(2*LINE_INPUT_DCR,2*B474*LINE_INPUT_L)</f>
        <v>0</v>
      </c>
      <c r="F474">
        <f>COMPLEX(0,B474*(LINE_INPUT_CLINE+LINE_INPUT_CCHA/2))</f>
        <v>0</v>
      </c>
      <c r="G474">
        <f>IMPRODUCT("2",IMDIV("1",IMSUM(IMDIV("1",COMPLEX(LDM1_DCR,B474*LDM1_L)),COMPLEX(0,B474*LDM1_CPA))))</f>
        <v>0</v>
      </c>
      <c r="H474">
        <f>IMSUM(IMDIV("1",COMPLEX(CX1_ESR,B474*CX1_ESL-1/(B474*CX1_C))),IMDIV("1",IMSUM(COMPLEX(DUMP1_R,0),COMPLEX(DUMP1_ESR,B474*DUMP1_ESL-1/(B474*DUMP1_C)))))</f>
        <v>0</v>
      </c>
      <c r="I474">
        <f>IMPRODUCT("2",IMDIV("1",IMSUM(IMDIV("1",COMPLEX(LDM2_DCR,B474*LDM2_L)),COMPLEX(0,B474*LDM2_CPA))))</f>
        <v>0</v>
      </c>
      <c r="J474">
        <f>IMSUM(IMDIV("1",COMPLEX(CX2_ESR,B474*CX2_ESL-1/(B474*CX2_C))),IMDIV("1",IMSUM(COMPLEX(DUMP2_R,0),COMPLEX(DUMP2_ESR,B474*DUMP2_ESL-1/(B474*DUMP2_C)))))</f>
        <v>0</v>
      </c>
      <c r="K474">
        <f>IMPRODUCT("2",IMDIV("1",IMSUM(IMDIV("1",COMPLEX(CMC_DCR,B474*CMC_L*(1-CMC_K))),COMPLEX(0,B474*CMC_CPA))))</f>
        <v>0</v>
      </c>
      <c r="L474">
        <f>IMSUM(COMPLEX(0,B474*CMC_CLINE),IMDIV("1",IMPRODUCT("2",COMPLEX(CY_ESR,B474*CY_ESL-1/(B474*CY_C)))),COMPLEX(1/DUMMY_R,0))</f>
        <v>0</v>
      </c>
      <c r="M474">
        <f>IMSUM(D474,IMDIV("1",C474))</f>
        <v>0</v>
      </c>
      <c r="N474">
        <f>IMDIV("1",IMSUM(E474,IMDIV("1",M474)))</f>
        <v>0</v>
      </c>
      <c r="O474">
        <f>IMSUM(F474,N474)</f>
        <v>0</v>
      </c>
      <c r="P474">
        <f>IMDIV("1",IMSUM(G474,IMDIV("1",O474)))</f>
        <v>0</v>
      </c>
      <c r="Q474">
        <f>IMSUM(H474,P474)</f>
        <v>0</v>
      </c>
      <c r="R474">
        <f>IMDIV("1",IMSUM(I474,IMDIV("1",Q474)))</f>
        <v>0</v>
      </c>
      <c r="S474">
        <f>IMSUM(J474,R474)</f>
        <v>0</v>
      </c>
      <c r="T474">
        <f>IMDIV("1",IMSUM(K474,IMDIV("1",S474)))</f>
        <v>0</v>
      </c>
      <c r="U474">
        <f>IMSUM(L474,T474)</f>
        <v>0</v>
      </c>
      <c r="V474">
        <f>IMDIV(COMPLEX(I_DM_SOURCE,0),U474)</f>
        <v>0</v>
      </c>
      <c r="W474">
        <f>IMPRODUCT(V474,T474)</f>
        <v>0</v>
      </c>
      <c r="X474">
        <f>IMDIV(W474,S474)</f>
        <v>0</v>
      </c>
      <c r="Y474">
        <f>IMPRODUCT(X474,R474)</f>
        <v>0</v>
      </c>
      <c r="Z474">
        <f>IMDIV(Y474,Q474)</f>
        <v>0</v>
      </c>
      <c r="AA474">
        <f>IMPRODUCT(Z474,P474)</f>
        <v>0</v>
      </c>
      <c r="AB474">
        <f>AA474</f>
        <v>0</v>
      </c>
      <c r="AC474">
        <f>IMPRODUCT("-1",AB474)</f>
        <v>0</v>
      </c>
      <c r="AD474">
        <f>IMDIV(IMSUB(AB474,AC474),"2")</f>
        <v>0</v>
      </c>
      <c r="AE474" s="6">
        <f>IMABS(AB474)</f>
        <v>0</v>
      </c>
      <c r="AF474" s="6">
        <f>IMABS(AC474)</f>
        <v>0</v>
      </c>
      <c r="AG474" s="6">
        <f>IMABS(AD474)</f>
        <v>0</v>
      </c>
      <c r="AH474" s="7">
        <f>20*LOG10(MAX(AE474,1E-300)*1E6)</f>
        <v>0</v>
      </c>
      <c r="AI474" s="7">
        <f>20*LOG10(MAX(AF474,1E-300)*1E6)</f>
        <v>0</v>
      </c>
      <c r="AJ474" s="7">
        <f>20*LOG10(MAX(AG474,1E-300)*1E6)</f>
        <v>0</v>
      </c>
      <c r="AK474" s="7">
        <f>DEGREES(IMARGUMENT(AB474))</f>
        <v>0</v>
      </c>
      <c r="AL474" s="7">
        <f>DEGREES(IMARGUMENT(AC474))</f>
        <v>0</v>
      </c>
      <c r="AM474" s="7">
        <f>DEGREES(IMARGUMENT(AD474))</f>
        <v>0</v>
      </c>
    </row>
    <row r="475" spans="1:39">
      <c r="A475" s="6">
        <f>10^(LOG10(F_START)+(ROW()-ROW($A$2))*(LOG10(F_STOP)-LOG10(F_START))/(N_POINTS-1))</f>
        <v>0</v>
      </c>
      <c r="B475" s="6">
        <f>2*PI()*A475</f>
        <v>0</v>
      </c>
      <c r="C475">
        <f>COMPLEX(2*LINE_PS_DCR,2*B475*LINE_PS_L)</f>
        <v>0</v>
      </c>
      <c r="D475">
        <f>IMSUM(COMPLEX(0,B475*(LINE_PS_CLINE+LINE_PS_CCHA/2)),IMDIV("1",IMPRODUCT("2",COMPLEX(C_THROUGH_ESR,B475*C_THROUGH_ESL-1/(B475*C_THROUGH_C)))))</f>
        <v>0</v>
      </c>
      <c r="E475">
        <f>COMPLEX(2*LINE_INPUT_DCR,2*B475*LINE_INPUT_L)</f>
        <v>0</v>
      </c>
      <c r="F475">
        <f>COMPLEX(0,B475*(LINE_INPUT_CLINE+LINE_INPUT_CCHA/2))</f>
        <v>0</v>
      </c>
      <c r="G475">
        <f>IMPRODUCT("2",IMDIV("1",IMSUM(IMDIV("1",COMPLEX(LDM1_DCR,B475*LDM1_L)),COMPLEX(0,B475*LDM1_CPA))))</f>
        <v>0</v>
      </c>
      <c r="H475">
        <f>IMSUM(IMDIV("1",COMPLEX(CX1_ESR,B475*CX1_ESL-1/(B475*CX1_C))),IMDIV("1",IMSUM(COMPLEX(DUMP1_R,0),COMPLEX(DUMP1_ESR,B475*DUMP1_ESL-1/(B475*DUMP1_C)))))</f>
        <v>0</v>
      </c>
      <c r="I475">
        <f>IMPRODUCT("2",IMDIV("1",IMSUM(IMDIV("1",COMPLEX(LDM2_DCR,B475*LDM2_L)),COMPLEX(0,B475*LDM2_CPA))))</f>
        <v>0</v>
      </c>
      <c r="J475">
        <f>IMSUM(IMDIV("1",COMPLEX(CX2_ESR,B475*CX2_ESL-1/(B475*CX2_C))),IMDIV("1",IMSUM(COMPLEX(DUMP2_R,0),COMPLEX(DUMP2_ESR,B475*DUMP2_ESL-1/(B475*DUMP2_C)))))</f>
        <v>0</v>
      </c>
      <c r="K475">
        <f>IMPRODUCT("2",IMDIV("1",IMSUM(IMDIV("1",COMPLEX(CMC_DCR,B475*CMC_L*(1-CMC_K))),COMPLEX(0,B475*CMC_CPA))))</f>
        <v>0</v>
      </c>
      <c r="L475">
        <f>IMSUM(COMPLEX(0,B475*CMC_CLINE),IMDIV("1",IMPRODUCT("2",COMPLEX(CY_ESR,B475*CY_ESL-1/(B475*CY_C)))),COMPLEX(1/DUMMY_R,0))</f>
        <v>0</v>
      </c>
      <c r="M475">
        <f>IMSUM(D475,IMDIV("1",C475))</f>
        <v>0</v>
      </c>
      <c r="N475">
        <f>IMDIV("1",IMSUM(E475,IMDIV("1",M475)))</f>
        <v>0</v>
      </c>
      <c r="O475">
        <f>IMSUM(F475,N475)</f>
        <v>0</v>
      </c>
      <c r="P475">
        <f>IMDIV("1",IMSUM(G475,IMDIV("1",O475)))</f>
        <v>0</v>
      </c>
      <c r="Q475">
        <f>IMSUM(H475,P475)</f>
        <v>0</v>
      </c>
      <c r="R475">
        <f>IMDIV("1",IMSUM(I475,IMDIV("1",Q475)))</f>
        <v>0</v>
      </c>
      <c r="S475">
        <f>IMSUM(J475,R475)</f>
        <v>0</v>
      </c>
      <c r="T475">
        <f>IMDIV("1",IMSUM(K475,IMDIV("1",S475)))</f>
        <v>0</v>
      </c>
      <c r="U475">
        <f>IMSUM(L475,T475)</f>
        <v>0</v>
      </c>
      <c r="V475">
        <f>IMDIV(COMPLEX(I_DM_SOURCE,0),U475)</f>
        <v>0</v>
      </c>
      <c r="W475">
        <f>IMPRODUCT(V475,T475)</f>
        <v>0</v>
      </c>
      <c r="X475">
        <f>IMDIV(W475,S475)</f>
        <v>0</v>
      </c>
      <c r="Y475">
        <f>IMPRODUCT(X475,R475)</f>
        <v>0</v>
      </c>
      <c r="Z475">
        <f>IMDIV(Y475,Q475)</f>
        <v>0</v>
      </c>
      <c r="AA475">
        <f>IMPRODUCT(Z475,P475)</f>
        <v>0</v>
      </c>
      <c r="AB475">
        <f>AA475</f>
        <v>0</v>
      </c>
      <c r="AC475">
        <f>IMPRODUCT("-1",AB475)</f>
        <v>0</v>
      </c>
      <c r="AD475">
        <f>IMDIV(IMSUB(AB475,AC475),"2")</f>
        <v>0</v>
      </c>
      <c r="AE475" s="6">
        <f>IMABS(AB475)</f>
        <v>0</v>
      </c>
      <c r="AF475" s="6">
        <f>IMABS(AC475)</f>
        <v>0</v>
      </c>
      <c r="AG475" s="6">
        <f>IMABS(AD475)</f>
        <v>0</v>
      </c>
      <c r="AH475" s="7">
        <f>20*LOG10(MAX(AE475,1E-300)*1E6)</f>
        <v>0</v>
      </c>
      <c r="AI475" s="7">
        <f>20*LOG10(MAX(AF475,1E-300)*1E6)</f>
        <v>0</v>
      </c>
      <c r="AJ475" s="7">
        <f>20*LOG10(MAX(AG475,1E-300)*1E6)</f>
        <v>0</v>
      </c>
      <c r="AK475" s="7">
        <f>DEGREES(IMARGUMENT(AB475))</f>
        <v>0</v>
      </c>
      <c r="AL475" s="7">
        <f>DEGREES(IMARGUMENT(AC475))</f>
        <v>0</v>
      </c>
      <c r="AM475" s="7">
        <f>DEGREES(IMARGUMENT(AD475))</f>
        <v>0</v>
      </c>
    </row>
    <row r="476" spans="1:39">
      <c r="A476" s="6">
        <f>10^(LOG10(F_START)+(ROW()-ROW($A$2))*(LOG10(F_STOP)-LOG10(F_START))/(N_POINTS-1))</f>
        <v>0</v>
      </c>
      <c r="B476" s="6">
        <f>2*PI()*A476</f>
        <v>0</v>
      </c>
      <c r="C476">
        <f>COMPLEX(2*LINE_PS_DCR,2*B476*LINE_PS_L)</f>
        <v>0</v>
      </c>
      <c r="D476">
        <f>IMSUM(COMPLEX(0,B476*(LINE_PS_CLINE+LINE_PS_CCHA/2)),IMDIV("1",IMPRODUCT("2",COMPLEX(C_THROUGH_ESR,B476*C_THROUGH_ESL-1/(B476*C_THROUGH_C)))))</f>
        <v>0</v>
      </c>
      <c r="E476">
        <f>COMPLEX(2*LINE_INPUT_DCR,2*B476*LINE_INPUT_L)</f>
        <v>0</v>
      </c>
      <c r="F476">
        <f>COMPLEX(0,B476*(LINE_INPUT_CLINE+LINE_INPUT_CCHA/2))</f>
        <v>0</v>
      </c>
      <c r="G476">
        <f>IMPRODUCT("2",IMDIV("1",IMSUM(IMDIV("1",COMPLEX(LDM1_DCR,B476*LDM1_L)),COMPLEX(0,B476*LDM1_CPA))))</f>
        <v>0</v>
      </c>
      <c r="H476">
        <f>IMSUM(IMDIV("1",COMPLEX(CX1_ESR,B476*CX1_ESL-1/(B476*CX1_C))),IMDIV("1",IMSUM(COMPLEX(DUMP1_R,0),COMPLEX(DUMP1_ESR,B476*DUMP1_ESL-1/(B476*DUMP1_C)))))</f>
        <v>0</v>
      </c>
      <c r="I476">
        <f>IMPRODUCT("2",IMDIV("1",IMSUM(IMDIV("1",COMPLEX(LDM2_DCR,B476*LDM2_L)),COMPLEX(0,B476*LDM2_CPA))))</f>
        <v>0</v>
      </c>
      <c r="J476">
        <f>IMSUM(IMDIV("1",COMPLEX(CX2_ESR,B476*CX2_ESL-1/(B476*CX2_C))),IMDIV("1",IMSUM(COMPLEX(DUMP2_R,0),COMPLEX(DUMP2_ESR,B476*DUMP2_ESL-1/(B476*DUMP2_C)))))</f>
        <v>0</v>
      </c>
      <c r="K476">
        <f>IMPRODUCT("2",IMDIV("1",IMSUM(IMDIV("1",COMPLEX(CMC_DCR,B476*CMC_L*(1-CMC_K))),COMPLEX(0,B476*CMC_CPA))))</f>
        <v>0</v>
      </c>
      <c r="L476">
        <f>IMSUM(COMPLEX(0,B476*CMC_CLINE),IMDIV("1",IMPRODUCT("2",COMPLEX(CY_ESR,B476*CY_ESL-1/(B476*CY_C)))),COMPLEX(1/DUMMY_R,0))</f>
        <v>0</v>
      </c>
      <c r="M476">
        <f>IMSUM(D476,IMDIV("1",C476))</f>
        <v>0</v>
      </c>
      <c r="N476">
        <f>IMDIV("1",IMSUM(E476,IMDIV("1",M476)))</f>
        <v>0</v>
      </c>
      <c r="O476">
        <f>IMSUM(F476,N476)</f>
        <v>0</v>
      </c>
      <c r="P476">
        <f>IMDIV("1",IMSUM(G476,IMDIV("1",O476)))</f>
        <v>0</v>
      </c>
      <c r="Q476">
        <f>IMSUM(H476,P476)</f>
        <v>0</v>
      </c>
      <c r="R476">
        <f>IMDIV("1",IMSUM(I476,IMDIV("1",Q476)))</f>
        <v>0</v>
      </c>
      <c r="S476">
        <f>IMSUM(J476,R476)</f>
        <v>0</v>
      </c>
      <c r="T476">
        <f>IMDIV("1",IMSUM(K476,IMDIV("1",S476)))</f>
        <v>0</v>
      </c>
      <c r="U476">
        <f>IMSUM(L476,T476)</f>
        <v>0</v>
      </c>
      <c r="V476">
        <f>IMDIV(COMPLEX(I_DM_SOURCE,0),U476)</f>
        <v>0</v>
      </c>
      <c r="W476">
        <f>IMPRODUCT(V476,T476)</f>
        <v>0</v>
      </c>
      <c r="X476">
        <f>IMDIV(W476,S476)</f>
        <v>0</v>
      </c>
      <c r="Y476">
        <f>IMPRODUCT(X476,R476)</f>
        <v>0</v>
      </c>
      <c r="Z476">
        <f>IMDIV(Y476,Q476)</f>
        <v>0</v>
      </c>
      <c r="AA476">
        <f>IMPRODUCT(Z476,P476)</f>
        <v>0</v>
      </c>
      <c r="AB476">
        <f>AA476</f>
        <v>0</v>
      </c>
      <c r="AC476">
        <f>IMPRODUCT("-1",AB476)</f>
        <v>0</v>
      </c>
      <c r="AD476">
        <f>IMDIV(IMSUB(AB476,AC476),"2")</f>
        <v>0</v>
      </c>
      <c r="AE476" s="6">
        <f>IMABS(AB476)</f>
        <v>0</v>
      </c>
      <c r="AF476" s="6">
        <f>IMABS(AC476)</f>
        <v>0</v>
      </c>
      <c r="AG476" s="6">
        <f>IMABS(AD476)</f>
        <v>0</v>
      </c>
      <c r="AH476" s="7">
        <f>20*LOG10(MAX(AE476,1E-300)*1E6)</f>
        <v>0</v>
      </c>
      <c r="AI476" s="7">
        <f>20*LOG10(MAX(AF476,1E-300)*1E6)</f>
        <v>0</v>
      </c>
      <c r="AJ476" s="7">
        <f>20*LOG10(MAX(AG476,1E-300)*1E6)</f>
        <v>0</v>
      </c>
      <c r="AK476" s="7">
        <f>DEGREES(IMARGUMENT(AB476))</f>
        <v>0</v>
      </c>
      <c r="AL476" s="7">
        <f>DEGREES(IMARGUMENT(AC476))</f>
        <v>0</v>
      </c>
      <c r="AM476" s="7">
        <f>DEGREES(IMARGUMENT(AD476))</f>
        <v>0</v>
      </c>
    </row>
    <row r="477" spans="1:39">
      <c r="A477" s="6">
        <f>10^(LOG10(F_START)+(ROW()-ROW($A$2))*(LOG10(F_STOP)-LOG10(F_START))/(N_POINTS-1))</f>
        <v>0</v>
      </c>
      <c r="B477" s="6">
        <f>2*PI()*A477</f>
        <v>0</v>
      </c>
      <c r="C477">
        <f>COMPLEX(2*LINE_PS_DCR,2*B477*LINE_PS_L)</f>
        <v>0</v>
      </c>
      <c r="D477">
        <f>IMSUM(COMPLEX(0,B477*(LINE_PS_CLINE+LINE_PS_CCHA/2)),IMDIV("1",IMPRODUCT("2",COMPLEX(C_THROUGH_ESR,B477*C_THROUGH_ESL-1/(B477*C_THROUGH_C)))))</f>
        <v>0</v>
      </c>
      <c r="E477">
        <f>COMPLEX(2*LINE_INPUT_DCR,2*B477*LINE_INPUT_L)</f>
        <v>0</v>
      </c>
      <c r="F477">
        <f>COMPLEX(0,B477*(LINE_INPUT_CLINE+LINE_INPUT_CCHA/2))</f>
        <v>0</v>
      </c>
      <c r="G477">
        <f>IMPRODUCT("2",IMDIV("1",IMSUM(IMDIV("1",COMPLEX(LDM1_DCR,B477*LDM1_L)),COMPLEX(0,B477*LDM1_CPA))))</f>
        <v>0</v>
      </c>
      <c r="H477">
        <f>IMSUM(IMDIV("1",COMPLEX(CX1_ESR,B477*CX1_ESL-1/(B477*CX1_C))),IMDIV("1",IMSUM(COMPLEX(DUMP1_R,0),COMPLEX(DUMP1_ESR,B477*DUMP1_ESL-1/(B477*DUMP1_C)))))</f>
        <v>0</v>
      </c>
      <c r="I477">
        <f>IMPRODUCT("2",IMDIV("1",IMSUM(IMDIV("1",COMPLEX(LDM2_DCR,B477*LDM2_L)),COMPLEX(0,B477*LDM2_CPA))))</f>
        <v>0</v>
      </c>
      <c r="J477">
        <f>IMSUM(IMDIV("1",COMPLEX(CX2_ESR,B477*CX2_ESL-1/(B477*CX2_C))),IMDIV("1",IMSUM(COMPLEX(DUMP2_R,0),COMPLEX(DUMP2_ESR,B477*DUMP2_ESL-1/(B477*DUMP2_C)))))</f>
        <v>0</v>
      </c>
      <c r="K477">
        <f>IMPRODUCT("2",IMDIV("1",IMSUM(IMDIV("1",COMPLEX(CMC_DCR,B477*CMC_L*(1-CMC_K))),COMPLEX(0,B477*CMC_CPA))))</f>
        <v>0</v>
      </c>
      <c r="L477">
        <f>IMSUM(COMPLEX(0,B477*CMC_CLINE),IMDIV("1",IMPRODUCT("2",COMPLEX(CY_ESR,B477*CY_ESL-1/(B477*CY_C)))),COMPLEX(1/DUMMY_R,0))</f>
        <v>0</v>
      </c>
      <c r="M477">
        <f>IMSUM(D477,IMDIV("1",C477))</f>
        <v>0</v>
      </c>
      <c r="N477">
        <f>IMDIV("1",IMSUM(E477,IMDIV("1",M477)))</f>
        <v>0</v>
      </c>
      <c r="O477">
        <f>IMSUM(F477,N477)</f>
        <v>0</v>
      </c>
      <c r="P477">
        <f>IMDIV("1",IMSUM(G477,IMDIV("1",O477)))</f>
        <v>0</v>
      </c>
      <c r="Q477">
        <f>IMSUM(H477,P477)</f>
        <v>0</v>
      </c>
      <c r="R477">
        <f>IMDIV("1",IMSUM(I477,IMDIV("1",Q477)))</f>
        <v>0</v>
      </c>
      <c r="S477">
        <f>IMSUM(J477,R477)</f>
        <v>0</v>
      </c>
      <c r="T477">
        <f>IMDIV("1",IMSUM(K477,IMDIV("1",S477)))</f>
        <v>0</v>
      </c>
      <c r="U477">
        <f>IMSUM(L477,T477)</f>
        <v>0</v>
      </c>
      <c r="V477">
        <f>IMDIV(COMPLEX(I_DM_SOURCE,0),U477)</f>
        <v>0</v>
      </c>
      <c r="W477">
        <f>IMPRODUCT(V477,T477)</f>
        <v>0</v>
      </c>
      <c r="X477">
        <f>IMDIV(W477,S477)</f>
        <v>0</v>
      </c>
      <c r="Y477">
        <f>IMPRODUCT(X477,R477)</f>
        <v>0</v>
      </c>
      <c r="Z477">
        <f>IMDIV(Y477,Q477)</f>
        <v>0</v>
      </c>
      <c r="AA477">
        <f>IMPRODUCT(Z477,P477)</f>
        <v>0</v>
      </c>
      <c r="AB477">
        <f>AA477</f>
        <v>0</v>
      </c>
      <c r="AC477">
        <f>IMPRODUCT("-1",AB477)</f>
        <v>0</v>
      </c>
      <c r="AD477">
        <f>IMDIV(IMSUB(AB477,AC477),"2")</f>
        <v>0</v>
      </c>
      <c r="AE477" s="6">
        <f>IMABS(AB477)</f>
        <v>0</v>
      </c>
      <c r="AF477" s="6">
        <f>IMABS(AC477)</f>
        <v>0</v>
      </c>
      <c r="AG477" s="6">
        <f>IMABS(AD477)</f>
        <v>0</v>
      </c>
      <c r="AH477" s="7">
        <f>20*LOG10(MAX(AE477,1E-300)*1E6)</f>
        <v>0</v>
      </c>
      <c r="AI477" s="7">
        <f>20*LOG10(MAX(AF477,1E-300)*1E6)</f>
        <v>0</v>
      </c>
      <c r="AJ477" s="7">
        <f>20*LOG10(MAX(AG477,1E-300)*1E6)</f>
        <v>0</v>
      </c>
      <c r="AK477" s="7">
        <f>DEGREES(IMARGUMENT(AB477))</f>
        <v>0</v>
      </c>
      <c r="AL477" s="7">
        <f>DEGREES(IMARGUMENT(AC477))</f>
        <v>0</v>
      </c>
      <c r="AM477" s="7">
        <f>DEGREES(IMARGUMENT(AD477))</f>
        <v>0</v>
      </c>
    </row>
    <row r="478" spans="1:39">
      <c r="A478" s="6">
        <f>10^(LOG10(F_START)+(ROW()-ROW($A$2))*(LOG10(F_STOP)-LOG10(F_START))/(N_POINTS-1))</f>
        <v>0</v>
      </c>
      <c r="B478" s="6">
        <f>2*PI()*A478</f>
        <v>0</v>
      </c>
      <c r="C478">
        <f>COMPLEX(2*LINE_PS_DCR,2*B478*LINE_PS_L)</f>
        <v>0</v>
      </c>
      <c r="D478">
        <f>IMSUM(COMPLEX(0,B478*(LINE_PS_CLINE+LINE_PS_CCHA/2)),IMDIV("1",IMPRODUCT("2",COMPLEX(C_THROUGH_ESR,B478*C_THROUGH_ESL-1/(B478*C_THROUGH_C)))))</f>
        <v>0</v>
      </c>
      <c r="E478">
        <f>COMPLEX(2*LINE_INPUT_DCR,2*B478*LINE_INPUT_L)</f>
        <v>0</v>
      </c>
      <c r="F478">
        <f>COMPLEX(0,B478*(LINE_INPUT_CLINE+LINE_INPUT_CCHA/2))</f>
        <v>0</v>
      </c>
      <c r="G478">
        <f>IMPRODUCT("2",IMDIV("1",IMSUM(IMDIV("1",COMPLEX(LDM1_DCR,B478*LDM1_L)),COMPLEX(0,B478*LDM1_CPA))))</f>
        <v>0</v>
      </c>
      <c r="H478">
        <f>IMSUM(IMDIV("1",COMPLEX(CX1_ESR,B478*CX1_ESL-1/(B478*CX1_C))),IMDIV("1",IMSUM(COMPLEX(DUMP1_R,0),COMPLEX(DUMP1_ESR,B478*DUMP1_ESL-1/(B478*DUMP1_C)))))</f>
        <v>0</v>
      </c>
      <c r="I478">
        <f>IMPRODUCT("2",IMDIV("1",IMSUM(IMDIV("1",COMPLEX(LDM2_DCR,B478*LDM2_L)),COMPLEX(0,B478*LDM2_CPA))))</f>
        <v>0</v>
      </c>
      <c r="J478">
        <f>IMSUM(IMDIV("1",COMPLEX(CX2_ESR,B478*CX2_ESL-1/(B478*CX2_C))),IMDIV("1",IMSUM(COMPLEX(DUMP2_R,0),COMPLEX(DUMP2_ESR,B478*DUMP2_ESL-1/(B478*DUMP2_C)))))</f>
        <v>0</v>
      </c>
      <c r="K478">
        <f>IMPRODUCT("2",IMDIV("1",IMSUM(IMDIV("1",COMPLEX(CMC_DCR,B478*CMC_L*(1-CMC_K))),COMPLEX(0,B478*CMC_CPA))))</f>
        <v>0</v>
      </c>
      <c r="L478">
        <f>IMSUM(COMPLEX(0,B478*CMC_CLINE),IMDIV("1",IMPRODUCT("2",COMPLEX(CY_ESR,B478*CY_ESL-1/(B478*CY_C)))),COMPLEX(1/DUMMY_R,0))</f>
        <v>0</v>
      </c>
      <c r="M478">
        <f>IMSUM(D478,IMDIV("1",C478))</f>
        <v>0</v>
      </c>
      <c r="N478">
        <f>IMDIV("1",IMSUM(E478,IMDIV("1",M478)))</f>
        <v>0</v>
      </c>
      <c r="O478">
        <f>IMSUM(F478,N478)</f>
        <v>0</v>
      </c>
      <c r="P478">
        <f>IMDIV("1",IMSUM(G478,IMDIV("1",O478)))</f>
        <v>0</v>
      </c>
      <c r="Q478">
        <f>IMSUM(H478,P478)</f>
        <v>0</v>
      </c>
      <c r="R478">
        <f>IMDIV("1",IMSUM(I478,IMDIV("1",Q478)))</f>
        <v>0</v>
      </c>
      <c r="S478">
        <f>IMSUM(J478,R478)</f>
        <v>0</v>
      </c>
      <c r="T478">
        <f>IMDIV("1",IMSUM(K478,IMDIV("1",S478)))</f>
        <v>0</v>
      </c>
      <c r="U478">
        <f>IMSUM(L478,T478)</f>
        <v>0</v>
      </c>
      <c r="V478">
        <f>IMDIV(COMPLEX(I_DM_SOURCE,0),U478)</f>
        <v>0</v>
      </c>
      <c r="W478">
        <f>IMPRODUCT(V478,T478)</f>
        <v>0</v>
      </c>
      <c r="X478">
        <f>IMDIV(W478,S478)</f>
        <v>0</v>
      </c>
      <c r="Y478">
        <f>IMPRODUCT(X478,R478)</f>
        <v>0</v>
      </c>
      <c r="Z478">
        <f>IMDIV(Y478,Q478)</f>
        <v>0</v>
      </c>
      <c r="AA478">
        <f>IMPRODUCT(Z478,P478)</f>
        <v>0</v>
      </c>
      <c r="AB478">
        <f>AA478</f>
        <v>0</v>
      </c>
      <c r="AC478">
        <f>IMPRODUCT("-1",AB478)</f>
        <v>0</v>
      </c>
      <c r="AD478">
        <f>IMDIV(IMSUB(AB478,AC478),"2")</f>
        <v>0</v>
      </c>
      <c r="AE478" s="6">
        <f>IMABS(AB478)</f>
        <v>0</v>
      </c>
      <c r="AF478" s="6">
        <f>IMABS(AC478)</f>
        <v>0</v>
      </c>
      <c r="AG478" s="6">
        <f>IMABS(AD478)</f>
        <v>0</v>
      </c>
      <c r="AH478" s="7">
        <f>20*LOG10(MAX(AE478,1E-300)*1E6)</f>
        <v>0</v>
      </c>
      <c r="AI478" s="7">
        <f>20*LOG10(MAX(AF478,1E-300)*1E6)</f>
        <v>0</v>
      </c>
      <c r="AJ478" s="7">
        <f>20*LOG10(MAX(AG478,1E-300)*1E6)</f>
        <v>0</v>
      </c>
      <c r="AK478" s="7">
        <f>DEGREES(IMARGUMENT(AB478))</f>
        <v>0</v>
      </c>
      <c r="AL478" s="7">
        <f>DEGREES(IMARGUMENT(AC478))</f>
        <v>0</v>
      </c>
      <c r="AM478" s="7">
        <f>DEGREES(IMARGUMENT(AD478))</f>
        <v>0</v>
      </c>
    </row>
    <row r="479" spans="1:39">
      <c r="A479" s="6">
        <f>10^(LOG10(F_START)+(ROW()-ROW($A$2))*(LOG10(F_STOP)-LOG10(F_START))/(N_POINTS-1))</f>
        <v>0</v>
      </c>
      <c r="B479" s="6">
        <f>2*PI()*A479</f>
        <v>0</v>
      </c>
      <c r="C479">
        <f>COMPLEX(2*LINE_PS_DCR,2*B479*LINE_PS_L)</f>
        <v>0</v>
      </c>
      <c r="D479">
        <f>IMSUM(COMPLEX(0,B479*(LINE_PS_CLINE+LINE_PS_CCHA/2)),IMDIV("1",IMPRODUCT("2",COMPLEX(C_THROUGH_ESR,B479*C_THROUGH_ESL-1/(B479*C_THROUGH_C)))))</f>
        <v>0</v>
      </c>
      <c r="E479">
        <f>COMPLEX(2*LINE_INPUT_DCR,2*B479*LINE_INPUT_L)</f>
        <v>0</v>
      </c>
      <c r="F479">
        <f>COMPLEX(0,B479*(LINE_INPUT_CLINE+LINE_INPUT_CCHA/2))</f>
        <v>0</v>
      </c>
      <c r="G479">
        <f>IMPRODUCT("2",IMDIV("1",IMSUM(IMDIV("1",COMPLEX(LDM1_DCR,B479*LDM1_L)),COMPLEX(0,B479*LDM1_CPA))))</f>
        <v>0</v>
      </c>
      <c r="H479">
        <f>IMSUM(IMDIV("1",COMPLEX(CX1_ESR,B479*CX1_ESL-1/(B479*CX1_C))),IMDIV("1",IMSUM(COMPLEX(DUMP1_R,0),COMPLEX(DUMP1_ESR,B479*DUMP1_ESL-1/(B479*DUMP1_C)))))</f>
        <v>0</v>
      </c>
      <c r="I479">
        <f>IMPRODUCT("2",IMDIV("1",IMSUM(IMDIV("1",COMPLEX(LDM2_DCR,B479*LDM2_L)),COMPLEX(0,B479*LDM2_CPA))))</f>
        <v>0</v>
      </c>
      <c r="J479">
        <f>IMSUM(IMDIV("1",COMPLEX(CX2_ESR,B479*CX2_ESL-1/(B479*CX2_C))),IMDIV("1",IMSUM(COMPLEX(DUMP2_R,0),COMPLEX(DUMP2_ESR,B479*DUMP2_ESL-1/(B479*DUMP2_C)))))</f>
        <v>0</v>
      </c>
      <c r="K479">
        <f>IMPRODUCT("2",IMDIV("1",IMSUM(IMDIV("1",COMPLEX(CMC_DCR,B479*CMC_L*(1-CMC_K))),COMPLEX(0,B479*CMC_CPA))))</f>
        <v>0</v>
      </c>
      <c r="L479">
        <f>IMSUM(COMPLEX(0,B479*CMC_CLINE),IMDIV("1",IMPRODUCT("2",COMPLEX(CY_ESR,B479*CY_ESL-1/(B479*CY_C)))),COMPLEX(1/DUMMY_R,0))</f>
        <v>0</v>
      </c>
      <c r="M479">
        <f>IMSUM(D479,IMDIV("1",C479))</f>
        <v>0</v>
      </c>
      <c r="N479">
        <f>IMDIV("1",IMSUM(E479,IMDIV("1",M479)))</f>
        <v>0</v>
      </c>
      <c r="O479">
        <f>IMSUM(F479,N479)</f>
        <v>0</v>
      </c>
      <c r="P479">
        <f>IMDIV("1",IMSUM(G479,IMDIV("1",O479)))</f>
        <v>0</v>
      </c>
      <c r="Q479">
        <f>IMSUM(H479,P479)</f>
        <v>0</v>
      </c>
      <c r="R479">
        <f>IMDIV("1",IMSUM(I479,IMDIV("1",Q479)))</f>
        <v>0</v>
      </c>
      <c r="S479">
        <f>IMSUM(J479,R479)</f>
        <v>0</v>
      </c>
      <c r="T479">
        <f>IMDIV("1",IMSUM(K479,IMDIV("1",S479)))</f>
        <v>0</v>
      </c>
      <c r="U479">
        <f>IMSUM(L479,T479)</f>
        <v>0</v>
      </c>
      <c r="V479">
        <f>IMDIV(COMPLEX(I_DM_SOURCE,0),U479)</f>
        <v>0</v>
      </c>
      <c r="W479">
        <f>IMPRODUCT(V479,T479)</f>
        <v>0</v>
      </c>
      <c r="X479">
        <f>IMDIV(W479,S479)</f>
        <v>0</v>
      </c>
      <c r="Y479">
        <f>IMPRODUCT(X479,R479)</f>
        <v>0</v>
      </c>
      <c r="Z479">
        <f>IMDIV(Y479,Q479)</f>
        <v>0</v>
      </c>
      <c r="AA479">
        <f>IMPRODUCT(Z479,P479)</f>
        <v>0</v>
      </c>
      <c r="AB479">
        <f>AA479</f>
        <v>0</v>
      </c>
      <c r="AC479">
        <f>IMPRODUCT("-1",AB479)</f>
        <v>0</v>
      </c>
      <c r="AD479">
        <f>IMDIV(IMSUB(AB479,AC479),"2")</f>
        <v>0</v>
      </c>
      <c r="AE479" s="6">
        <f>IMABS(AB479)</f>
        <v>0</v>
      </c>
      <c r="AF479" s="6">
        <f>IMABS(AC479)</f>
        <v>0</v>
      </c>
      <c r="AG479" s="6">
        <f>IMABS(AD479)</f>
        <v>0</v>
      </c>
      <c r="AH479" s="7">
        <f>20*LOG10(MAX(AE479,1E-300)*1E6)</f>
        <v>0</v>
      </c>
      <c r="AI479" s="7">
        <f>20*LOG10(MAX(AF479,1E-300)*1E6)</f>
        <v>0</v>
      </c>
      <c r="AJ479" s="7">
        <f>20*LOG10(MAX(AG479,1E-300)*1E6)</f>
        <v>0</v>
      </c>
      <c r="AK479" s="7">
        <f>DEGREES(IMARGUMENT(AB479))</f>
        <v>0</v>
      </c>
      <c r="AL479" s="7">
        <f>DEGREES(IMARGUMENT(AC479))</f>
        <v>0</v>
      </c>
      <c r="AM479" s="7">
        <f>DEGREES(IMARGUMENT(AD479))</f>
        <v>0</v>
      </c>
    </row>
    <row r="480" spans="1:39">
      <c r="A480" s="6">
        <f>10^(LOG10(F_START)+(ROW()-ROW($A$2))*(LOG10(F_STOP)-LOG10(F_START))/(N_POINTS-1))</f>
        <v>0</v>
      </c>
      <c r="B480" s="6">
        <f>2*PI()*A480</f>
        <v>0</v>
      </c>
      <c r="C480">
        <f>COMPLEX(2*LINE_PS_DCR,2*B480*LINE_PS_L)</f>
        <v>0</v>
      </c>
      <c r="D480">
        <f>IMSUM(COMPLEX(0,B480*(LINE_PS_CLINE+LINE_PS_CCHA/2)),IMDIV("1",IMPRODUCT("2",COMPLEX(C_THROUGH_ESR,B480*C_THROUGH_ESL-1/(B480*C_THROUGH_C)))))</f>
        <v>0</v>
      </c>
      <c r="E480">
        <f>COMPLEX(2*LINE_INPUT_DCR,2*B480*LINE_INPUT_L)</f>
        <v>0</v>
      </c>
      <c r="F480">
        <f>COMPLEX(0,B480*(LINE_INPUT_CLINE+LINE_INPUT_CCHA/2))</f>
        <v>0</v>
      </c>
      <c r="G480">
        <f>IMPRODUCT("2",IMDIV("1",IMSUM(IMDIV("1",COMPLEX(LDM1_DCR,B480*LDM1_L)),COMPLEX(0,B480*LDM1_CPA))))</f>
        <v>0</v>
      </c>
      <c r="H480">
        <f>IMSUM(IMDIV("1",COMPLEX(CX1_ESR,B480*CX1_ESL-1/(B480*CX1_C))),IMDIV("1",IMSUM(COMPLEX(DUMP1_R,0),COMPLEX(DUMP1_ESR,B480*DUMP1_ESL-1/(B480*DUMP1_C)))))</f>
        <v>0</v>
      </c>
      <c r="I480">
        <f>IMPRODUCT("2",IMDIV("1",IMSUM(IMDIV("1",COMPLEX(LDM2_DCR,B480*LDM2_L)),COMPLEX(0,B480*LDM2_CPA))))</f>
        <v>0</v>
      </c>
      <c r="J480">
        <f>IMSUM(IMDIV("1",COMPLEX(CX2_ESR,B480*CX2_ESL-1/(B480*CX2_C))),IMDIV("1",IMSUM(COMPLEX(DUMP2_R,0),COMPLEX(DUMP2_ESR,B480*DUMP2_ESL-1/(B480*DUMP2_C)))))</f>
        <v>0</v>
      </c>
      <c r="K480">
        <f>IMPRODUCT("2",IMDIV("1",IMSUM(IMDIV("1",COMPLEX(CMC_DCR,B480*CMC_L*(1-CMC_K))),COMPLEX(0,B480*CMC_CPA))))</f>
        <v>0</v>
      </c>
      <c r="L480">
        <f>IMSUM(COMPLEX(0,B480*CMC_CLINE),IMDIV("1",IMPRODUCT("2",COMPLEX(CY_ESR,B480*CY_ESL-1/(B480*CY_C)))),COMPLEX(1/DUMMY_R,0))</f>
        <v>0</v>
      </c>
      <c r="M480">
        <f>IMSUM(D480,IMDIV("1",C480))</f>
        <v>0</v>
      </c>
      <c r="N480">
        <f>IMDIV("1",IMSUM(E480,IMDIV("1",M480)))</f>
        <v>0</v>
      </c>
      <c r="O480">
        <f>IMSUM(F480,N480)</f>
        <v>0</v>
      </c>
      <c r="P480">
        <f>IMDIV("1",IMSUM(G480,IMDIV("1",O480)))</f>
        <v>0</v>
      </c>
      <c r="Q480">
        <f>IMSUM(H480,P480)</f>
        <v>0</v>
      </c>
      <c r="R480">
        <f>IMDIV("1",IMSUM(I480,IMDIV("1",Q480)))</f>
        <v>0</v>
      </c>
      <c r="S480">
        <f>IMSUM(J480,R480)</f>
        <v>0</v>
      </c>
      <c r="T480">
        <f>IMDIV("1",IMSUM(K480,IMDIV("1",S480)))</f>
        <v>0</v>
      </c>
      <c r="U480">
        <f>IMSUM(L480,T480)</f>
        <v>0</v>
      </c>
      <c r="V480">
        <f>IMDIV(COMPLEX(I_DM_SOURCE,0),U480)</f>
        <v>0</v>
      </c>
      <c r="W480">
        <f>IMPRODUCT(V480,T480)</f>
        <v>0</v>
      </c>
      <c r="X480">
        <f>IMDIV(W480,S480)</f>
        <v>0</v>
      </c>
      <c r="Y480">
        <f>IMPRODUCT(X480,R480)</f>
        <v>0</v>
      </c>
      <c r="Z480">
        <f>IMDIV(Y480,Q480)</f>
        <v>0</v>
      </c>
      <c r="AA480">
        <f>IMPRODUCT(Z480,P480)</f>
        <v>0</v>
      </c>
      <c r="AB480">
        <f>AA480</f>
        <v>0</v>
      </c>
      <c r="AC480">
        <f>IMPRODUCT("-1",AB480)</f>
        <v>0</v>
      </c>
      <c r="AD480">
        <f>IMDIV(IMSUB(AB480,AC480),"2")</f>
        <v>0</v>
      </c>
      <c r="AE480" s="6">
        <f>IMABS(AB480)</f>
        <v>0</v>
      </c>
      <c r="AF480" s="6">
        <f>IMABS(AC480)</f>
        <v>0</v>
      </c>
      <c r="AG480" s="6">
        <f>IMABS(AD480)</f>
        <v>0</v>
      </c>
      <c r="AH480" s="7">
        <f>20*LOG10(MAX(AE480,1E-300)*1E6)</f>
        <v>0</v>
      </c>
      <c r="AI480" s="7">
        <f>20*LOG10(MAX(AF480,1E-300)*1E6)</f>
        <v>0</v>
      </c>
      <c r="AJ480" s="7">
        <f>20*LOG10(MAX(AG480,1E-300)*1E6)</f>
        <v>0</v>
      </c>
      <c r="AK480" s="7">
        <f>DEGREES(IMARGUMENT(AB480))</f>
        <v>0</v>
      </c>
      <c r="AL480" s="7">
        <f>DEGREES(IMARGUMENT(AC480))</f>
        <v>0</v>
      </c>
      <c r="AM480" s="7">
        <f>DEGREES(IMARGUMENT(AD480))</f>
        <v>0</v>
      </c>
    </row>
    <row r="481" spans="1:39">
      <c r="A481" s="6">
        <f>10^(LOG10(F_START)+(ROW()-ROW($A$2))*(LOG10(F_STOP)-LOG10(F_START))/(N_POINTS-1))</f>
        <v>0</v>
      </c>
      <c r="B481" s="6">
        <f>2*PI()*A481</f>
        <v>0</v>
      </c>
      <c r="C481">
        <f>COMPLEX(2*LINE_PS_DCR,2*B481*LINE_PS_L)</f>
        <v>0</v>
      </c>
      <c r="D481">
        <f>IMSUM(COMPLEX(0,B481*(LINE_PS_CLINE+LINE_PS_CCHA/2)),IMDIV("1",IMPRODUCT("2",COMPLEX(C_THROUGH_ESR,B481*C_THROUGH_ESL-1/(B481*C_THROUGH_C)))))</f>
        <v>0</v>
      </c>
      <c r="E481">
        <f>COMPLEX(2*LINE_INPUT_DCR,2*B481*LINE_INPUT_L)</f>
        <v>0</v>
      </c>
      <c r="F481">
        <f>COMPLEX(0,B481*(LINE_INPUT_CLINE+LINE_INPUT_CCHA/2))</f>
        <v>0</v>
      </c>
      <c r="G481">
        <f>IMPRODUCT("2",IMDIV("1",IMSUM(IMDIV("1",COMPLEX(LDM1_DCR,B481*LDM1_L)),COMPLEX(0,B481*LDM1_CPA))))</f>
        <v>0</v>
      </c>
      <c r="H481">
        <f>IMSUM(IMDIV("1",COMPLEX(CX1_ESR,B481*CX1_ESL-1/(B481*CX1_C))),IMDIV("1",IMSUM(COMPLEX(DUMP1_R,0),COMPLEX(DUMP1_ESR,B481*DUMP1_ESL-1/(B481*DUMP1_C)))))</f>
        <v>0</v>
      </c>
      <c r="I481">
        <f>IMPRODUCT("2",IMDIV("1",IMSUM(IMDIV("1",COMPLEX(LDM2_DCR,B481*LDM2_L)),COMPLEX(0,B481*LDM2_CPA))))</f>
        <v>0</v>
      </c>
      <c r="J481">
        <f>IMSUM(IMDIV("1",COMPLEX(CX2_ESR,B481*CX2_ESL-1/(B481*CX2_C))),IMDIV("1",IMSUM(COMPLEX(DUMP2_R,0),COMPLEX(DUMP2_ESR,B481*DUMP2_ESL-1/(B481*DUMP2_C)))))</f>
        <v>0</v>
      </c>
      <c r="K481">
        <f>IMPRODUCT("2",IMDIV("1",IMSUM(IMDIV("1",COMPLEX(CMC_DCR,B481*CMC_L*(1-CMC_K))),COMPLEX(0,B481*CMC_CPA))))</f>
        <v>0</v>
      </c>
      <c r="L481">
        <f>IMSUM(COMPLEX(0,B481*CMC_CLINE),IMDIV("1",IMPRODUCT("2",COMPLEX(CY_ESR,B481*CY_ESL-1/(B481*CY_C)))),COMPLEX(1/DUMMY_R,0))</f>
        <v>0</v>
      </c>
      <c r="M481">
        <f>IMSUM(D481,IMDIV("1",C481))</f>
        <v>0</v>
      </c>
      <c r="N481">
        <f>IMDIV("1",IMSUM(E481,IMDIV("1",M481)))</f>
        <v>0</v>
      </c>
      <c r="O481">
        <f>IMSUM(F481,N481)</f>
        <v>0</v>
      </c>
      <c r="P481">
        <f>IMDIV("1",IMSUM(G481,IMDIV("1",O481)))</f>
        <v>0</v>
      </c>
      <c r="Q481">
        <f>IMSUM(H481,P481)</f>
        <v>0</v>
      </c>
      <c r="R481">
        <f>IMDIV("1",IMSUM(I481,IMDIV("1",Q481)))</f>
        <v>0</v>
      </c>
      <c r="S481">
        <f>IMSUM(J481,R481)</f>
        <v>0</v>
      </c>
      <c r="T481">
        <f>IMDIV("1",IMSUM(K481,IMDIV("1",S481)))</f>
        <v>0</v>
      </c>
      <c r="U481">
        <f>IMSUM(L481,T481)</f>
        <v>0</v>
      </c>
      <c r="V481">
        <f>IMDIV(COMPLEX(I_DM_SOURCE,0),U481)</f>
        <v>0</v>
      </c>
      <c r="W481">
        <f>IMPRODUCT(V481,T481)</f>
        <v>0</v>
      </c>
      <c r="X481">
        <f>IMDIV(W481,S481)</f>
        <v>0</v>
      </c>
      <c r="Y481">
        <f>IMPRODUCT(X481,R481)</f>
        <v>0</v>
      </c>
      <c r="Z481">
        <f>IMDIV(Y481,Q481)</f>
        <v>0</v>
      </c>
      <c r="AA481">
        <f>IMPRODUCT(Z481,P481)</f>
        <v>0</v>
      </c>
      <c r="AB481">
        <f>AA481</f>
        <v>0</v>
      </c>
      <c r="AC481">
        <f>IMPRODUCT("-1",AB481)</f>
        <v>0</v>
      </c>
      <c r="AD481">
        <f>IMDIV(IMSUB(AB481,AC481),"2")</f>
        <v>0</v>
      </c>
      <c r="AE481" s="6">
        <f>IMABS(AB481)</f>
        <v>0</v>
      </c>
      <c r="AF481" s="6">
        <f>IMABS(AC481)</f>
        <v>0</v>
      </c>
      <c r="AG481" s="6">
        <f>IMABS(AD481)</f>
        <v>0</v>
      </c>
      <c r="AH481" s="7">
        <f>20*LOG10(MAX(AE481,1E-300)*1E6)</f>
        <v>0</v>
      </c>
      <c r="AI481" s="7">
        <f>20*LOG10(MAX(AF481,1E-300)*1E6)</f>
        <v>0</v>
      </c>
      <c r="AJ481" s="7">
        <f>20*LOG10(MAX(AG481,1E-300)*1E6)</f>
        <v>0</v>
      </c>
      <c r="AK481" s="7">
        <f>DEGREES(IMARGUMENT(AB481))</f>
        <v>0</v>
      </c>
      <c r="AL481" s="7">
        <f>DEGREES(IMARGUMENT(AC481))</f>
        <v>0</v>
      </c>
      <c r="AM481" s="7">
        <f>DEGREES(IMARGUMENT(AD481))</f>
        <v>0</v>
      </c>
    </row>
    <row r="482" spans="1:39">
      <c r="A482" s="6">
        <f>10^(LOG10(F_START)+(ROW()-ROW($A$2))*(LOG10(F_STOP)-LOG10(F_START))/(N_POINTS-1))</f>
        <v>0</v>
      </c>
      <c r="B482" s="6">
        <f>2*PI()*A482</f>
        <v>0</v>
      </c>
      <c r="C482">
        <f>COMPLEX(2*LINE_PS_DCR,2*B482*LINE_PS_L)</f>
        <v>0</v>
      </c>
      <c r="D482">
        <f>IMSUM(COMPLEX(0,B482*(LINE_PS_CLINE+LINE_PS_CCHA/2)),IMDIV("1",IMPRODUCT("2",COMPLEX(C_THROUGH_ESR,B482*C_THROUGH_ESL-1/(B482*C_THROUGH_C)))))</f>
        <v>0</v>
      </c>
      <c r="E482">
        <f>COMPLEX(2*LINE_INPUT_DCR,2*B482*LINE_INPUT_L)</f>
        <v>0</v>
      </c>
      <c r="F482">
        <f>COMPLEX(0,B482*(LINE_INPUT_CLINE+LINE_INPUT_CCHA/2))</f>
        <v>0</v>
      </c>
      <c r="G482">
        <f>IMPRODUCT("2",IMDIV("1",IMSUM(IMDIV("1",COMPLEX(LDM1_DCR,B482*LDM1_L)),COMPLEX(0,B482*LDM1_CPA))))</f>
        <v>0</v>
      </c>
      <c r="H482">
        <f>IMSUM(IMDIV("1",COMPLEX(CX1_ESR,B482*CX1_ESL-1/(B482*CX1_C))),IMDIV("1",IMSUM(COMPLEX(DUMP1_R,0),COMPLEX(DUMP1_ESR,B482*DUMP1_ESL-1/(B482*DUMP1_C)))))</f>
        <v>0</v>
      </c>
      <c r="I482">
        <f>IMPRODUCT("2",IMDIV("1",IMSUM(IMDIV("1",COMPLEX(LDM2_DCR,B482*LDM2_L)),COMPLEX(0,B482*LDM2_CPA))))</f>
        <v>0</v>
      </c>
      <c r="J482">
        <f>IMSUM(IMDIV("1",COMPLEX(CX2_ESR,B482*CX2_ESL-1/(B482*CX2_C))),IMDIV("1",IMSUM(COMPLEX(DUMP2_R,0),COMPLEX(DUMP2_ESR,B482*DUMP2_ESL-1/(B482*DUMP2_C)))))</f>
        <v>0</v>
      </c>
      <c r="K482">
        <f>IMPRODUCT("2",IMDIV("1",IMSUM(IMDIV("1",COMPLEX(CMC_DCR,B482*CMC_L*(1-CMC_K))),COMPLEX(0,B482*CMC_CPA))))</f>
        <v>0</v>
      </c>
      <c r="L482">
        <f>IMSUM(COMPLEX(0,B482*CMC_CLINE),IMDIV("1",IMPRODUCT("2",COMPLEX(CY_ESR,B482*CY_ESL-1/(B482*CY_C)))),COMPLEX(1/DUMMY_R,0))</f>
        <v>0</v>
      </c>
      <c r="M482">
        <f>IMSUM(D482,IMDIV("1",C482))</f>
        <v>0</v>
      </c>
      <c r="N482">
        <f>IMDIV("1",IMSUM(E482,IMDIV("1",M482)))</f>
        <v>0</v>
      </c>
      <c r="O482">
        <f>IMSUM(F482,N482)</f>
        <v>0</v>
      </c>
      <c r="P482">
        <f>IMDIV("1",IMSUM(G482,IMDIV("1",O482)))</f>
        <v>0</v>
      </c>
      <c r="Q482">
        <f>IMSUM(H482,P482)</f>
        <v>0</v>
      </c>
      <c r="R482">
        <f>IMDIV("1",IMSUM(I482,IMDIV("1",Q482)))</f>
        <v>0</v>
      </c>
      <c r="S482">
        <f>IMSUM(J482,R482)</f>
        <v>0</v>
      </c>
      <c r="T482">
        <f>IMDIV("1",IMSUM(K482,IMDIV("1",S482)))</f>
        <v>0</v>
      </c>
      <c r="U482">
        <f>IMSUM(L482,T482)</f>
        <v>0</v>
      </c>
      <c r="V482">
        <f>IMDIV(COMPLEX(I_DM_SOURCE,0),U482)</f>
        <v>0</v>
      </c>
      <c r="W482">
        <f>IMPRODUCT(V482,T482)</f>
        <v>0</v>
      </c>
      <c r="X482">
        <f>IMDIV(W482,S482)</f>
        <v>0</v>
      </c>
      <c r="Y482">
        <f>IMPRODUCT(X482,R482)</f>
        <v>0</v>
      </c>
      <c r="Z482">
        <f>IMDIV(Y482,Q482)</f>
        <v>0</v>
      </c>
      <c r="AA482">
        <f>IMPRODUCT(Z482,P482)</f>
        <v>0</v>
      </c>
      <c r="AB482">
        <f>AA482</f>
        <v>0</v>
      </c>
      <c r="AC482">
        <f>IMPRODUCT("-1",AB482)</f>
        <v>0</v>
      </c>
      <c r="AD482">
        <f>IMDIV(IMSUB(AB482,AC482),"2")</f>
        <v>0</v>
      </c>
      <c r="AE482" s="6">
        <f>IMABS(AB482)</f>
        <v>0</v>
      </c>
      <c r="AF482" s="6">
        <f>IMABS(AC482)</f>
        <v>0</v>
      </c>
      <c r="AG482" s="6">
        <f>IMABS(AD482)</f>
        <v>0</v>
      </c>
      <c r="AH482" s="7">
        <f>20*LOG10(MAX(AE482,1E-300)*1E6)</f>
        <v>0</v>
      </c>
      <c r="AI482" s="7">
        <f>20*LOG10(MAX(AF482,1E-300)*1E6)</f>
        <v>0</v>
      </c>
      <c r="AJ482" s="7">
        <f>20*LOG10(MAX(AG482,1E-300)*1E6)</f>
        <v>0</v>
      </c>
      <c r="AK482" s="7">
        <f>DEGREES(IMARGUMENT(AB482))</f>
        <v>0</v>
      </c>
      <c r="AL482" s="7">
        <f>DEGREES(IMARGUMENT(AC482))</f>
        <v>0</v>
      </c>
      <c r="AM482" s="7">
        <f>DEGREES(IMARGUMENT(AD482))</f>
        <v>0</v>
      </c>
    </row>
    <row r="483" spans="1:39">
      <c r="A483" s="6">
        <f>10^(LOG10(F_START)+(ROW()-ROW($A$2))*(LOG10(F_STOP)-LOG10(F_START))/(N_POINTS-1))</f>
        <v>0</v>
      </c>
      <c r="B483" s="6">
        <f>2*PI()*A483</f>
        <v>0</v>
      </c>
      <c r="C483">
        <f>COMPLEX(2*LINE_PS_DCR,2*B483*LINE_PS_L)</f>
        <v>0</v>
      </c>
      <c r="D483">
        <f>IMSUM(COMPLEX(0,B483*(LINE_PS_CLINE+LINE_PS_CCHA/2)),IMDIV("1",IMPRODUCT("2",COMPLEX(C_THROUGH_ESR,B483*C_THROUGH_ESL-1/(B483*C_THROUGH_C)))))</f>
        <v>0</v>
      </c>
      <c r="E483">
        <f>COMPLEX(2*LINE_INPUT_DCR,2*B483*LINE_INPUT_L)</f>
        <v>0</v>
      </c>
      <c r="F483">
        <f>COMPLEX(0,B483*(LINE_INPUT_CLINE+LINE_INPUT_CCHA/2))</f>
        <v>0</v>
      </c>
      <c r="G483">
        <f>IMPRODUCT("2",IMDIV("1",IMSUM(IMDIV("1",COMPLEX(LDM1_DCR,B483*LDM1_L)),COMPLEX(0,B483*LDM1_CPA))))</f>
        <v>0</v>
      </c>
      <c r="H483">
        <f>IMSUM(IMDIV("1",COMPLEX(CX1_ESR,B483*CX1_ESL-1/(B483*CX1_C))),IMDIV("1",IMSUM(COMPLEX(DUMP1_R,0),COMPLEX(DUMP1_ESR,B483*DUMP1_ESL-1/(B483*DUMP1_C)))))</f>
        <v>0</v>
      </c>
      <c r="I483">
        <f>IMPRODUCT("2",IMDIV("1",IMSUM(IMDIV("1",COMPLEX(LDM2_DCR,B483*LDM2_L)),COMPLEX(0,B483*LDM2_CPA))))</f>
        <v>0</v>
      </c>
      <c r="J483">
        <f>IMSUM(IMDIV("1",COMPLEX(CX2_ESR,B483*CX2_ESL-1/(B483*CX2_C))),IMDIV("1",IMSUM(COMPLEX(DUMP2_R,0),COMPLEX(DUMP2_ESR,B483*DUMP2_ESL-1/(B483*DUMP2_C)))))</f>
        <v>0</v>
      </c>
      <c r="K483">
        <f>IMPRODUCT("2",IMDIV("1",IMSUM(IMDIV("1",COMPLEX(CMC_DCR,B483*CMC_L*(1-CMC_K))),COMPLEX(0,B483*CMC_CPA))))</f>
        <v>0</v>
      </c>
      <c r="L483">
        <f>IMSUM(COMPLEX(0,B483*CMC_CLINE),IMDIV("1",IMPRODUCT("2",COMPLEX(CY_ESR,B483*CY_ESL-1/(B483*CY_C)))),COMPLEX(1/DUMMY_R,0))</f>
        <v>0</v>
      </c>
      <c r="M483">
        <f>IMSUM(D483,IMDIV("1",C483))</f>
        <v>0</v>
      </c>
      <c r="N483">
        <f>IMDIV("1",IMSUM(E483,IMDIV("1",M483)))</f>
        <v>0</v>
      </c>
      <c r="O483">
        <f>IMSUM(F483,N483)</f>
        <v>0</v>
      </c>
      <c r="P483">
        <f>IMDIV("1",IMSUM(G483,IMDIV("1",O483)))</f>
        <v>0</v>
      </c>
      <c r="Q483">
        <f>IMSUM(H483,P483)</f>
        <v>0</v>
      </c>
      <c r="R483">
        <f>IMDIV("1",IMSUM(I483,IMDIV("1",Q483)))</f>
        <v>0</v>
      </c>
      <c r="S483">
        <f>IMSUM(J483,R483)</f>
        <v>0</v>
      </c>
      <c r="T483">
        <f>IMDIV("1",IMSUM(K483,IMDIV("1",S483)))</f>
        <v>0</v>
      </c>
      <c r="U483">
        <f>IMSUM(L483,T483)</f>
        <v>0</v>
      </c>
      <c r="V483">
        <f>IMDIV(COMPLEX(I_DM_SOURCE,0),U483)</f>
        <v>0</v>
      </c>
      <c r="W483">
        <f>IMPRODUCT(V483,T483)</f>
        <v>0</v>
      </c>
      <c r="X483">
        <f>IMDIV(W483,S483)</f>
        <v>0</v>
      </c>
      <c r="Y483">
        <f>IMPRODUCT(X483,R483)</f>
        <v>0</v>
      </c>
      <c r="Z483">
        <f>IMDIV(Y483,Q483)</f>
        <v>0</v>
      </c>
      <c r="AA483">
        <f>IMPRODUCT(Z483,P483)</f>
        <v>0</v>
      </c>
      <c r="AB483">
        <f>AA483</f>
        <v>0</v>
      </c>
      <c r="AC483">
        <f>IMPRODUCT("-1",AB483)</f>
        <v>0</v>
      </c>
      <c r="AD483">
        <f>IMDIV(IMSUB(AB483,AC483),"2")</f>
        <v>0</v>
      </c>
      <c r="AE483" s="6">
        <f>IMABS(AB483)</f>
        <v>0</v>
      </c>
      <c r="AF483" s="6">
        <f>IMABS(AC483)</f>
        <v>0</v>
      </c>
      <c r="AG483" s="6">
        <f>IMABS(AD483)</f>
        <v>0</v>
      </c>
      <c r="AH483" s="7">
        <f>20*LOG10(MAX(AE483,1E-300)*1E6)</f>
        <v>0</v>
      </c>
      <c r="AI483" s="7">
        <f>20*LOG10(MAX(AF483,1E-300)*1E6)</f>
        <v>0</v>
      </c>
      <c r="AJ483" s="7">
        <f>20*LOG10(MAX(AG483,1E-300)*1E6)</f>
        <v>0</v>
      </c>
      <c r="AK483" s="7">
        <f>DEGREES(IMARGUMENT(AB483))</f>
        <v>0</v>
      </c>
      <c r="AL483" s="7">
        <f>DEGREES(IMARGUMENT(AC483))</f>
        <v>0</v>
      </c>
      <c r="AM483" s="7">
        <f>DEGREES(IMARGUMENT(AD483))</f>
        <v>0</v>
      </c>
    </row>
    <row r="484" spans="1:39">
      <c r="A484" s="6">
        <f>10^(LOG10(F_START)+(ROW()-ROW($A$2))*(LOG10(F_STOP)-LOG10(F_START))/(N_POINTS-1))</f>
        <v>0</v>
      </c>
      <c r="B484" s="6">
        <f>2*PI()*A484</f>
        <v>0</v>
      </c>
      <c r="C484">
        <f>COMPLEX(2*LINE_PS_DCR,2*B484*LINE_PS_L)</f>
        <v>0</v>
      </c>
      <c r="D484">
        <f>IMSUM(COMPLEX(0,B484*(LINE_PS_CLINE+LINE_PS_CCHA/2)),IMDIV("1",IMPRODUCT("2",COMPLEX(C_THROUGH_ESR,B484*C_THROUGH_ESL-1/(B484*C_THROUGH_C)))))</f>
        <v>0</v>
      </c>
      <c r="E484">
        <f>COMPLEX(2*LINE_INPUT_DCR,2*B484*LINE_INPUT_L)</f>
        <v>0</v>
      </c>
      <c r="F484">
        <f>COMPLEX(0,B484*(LINE_INPUT_CLINE+LINE_INPUT_CCHA/2))</f>
        <v>0</v>
      </c>
      <c r="G484">
        <f>IMPRODUCT("2",IMDIV("1",IMSUM(IMDIV("1",COMPLEX(LDM1_DCR,B484*LDM1_L)),COMPLEX(0,B484*LDM1_CPA))))</f>
        <v>0</v>
      </c>
      <c r="H484">
        <f>IMSUM(IMDIV("1",COMPLEX(CX1_ESR,B484*CX1_ESL-1/(B484*CX1_C))),IMDIV("1",IMSUM(COMPLEX(DUMP1_R,0),COMPLEX(DUMP1_ESR,B484*DUMP1_ESL-1/(B484*DUMP1_C)))))</f>
        <v>0</v>
      </c>
      <c r="I484">
        <f>IMPRODUCT("2",IMDIV("1",IMSUM(IMDIV("1",COMPLEX(LDM2_DCR,B484*LDM2_L)),COMPLEX(0,B484*LDM2_CPA))))</f>
        <v>0</v>
      </c>
      <c r="J484">
        <f>IMSUM(IMDIV("1",COMPLEX(CX2_ESR,B484*CX2_ESL-1/(B484*CX2_C))),IMDIV("1",IMSUM(COMPLEX(DUMP2_R,0),COMPLEX(DUMP2_ESR,B484*DUMP2_ESL-1/(B484*DUMP2_C)))))</f>
        <v>0</v>
      </c>
      <c r="K484">
        <f>IMPRODUCT("2",IMDIV("1",IMSUM(IMDIV("1",COMPLEX(CMC_DCR,B484*CMC_L*(1-CMC_K))),COMPLEX(0,B484*CMC_CPA))))</f>
        <v>0</v>
      </c>
      <c r="L484">
        <f>IMSUM(COMPLEX(0,B484*CMC_CLINE),IMDIV("1",IMPRODUCT("2",COMPLEX(CY_ESR,B484*CY_ESL-1/(B484*CY_C)))),COMPLEX(1/DUMMY_R,0))</f>
        <v>0</v>
      </c>
      <c r="M484">
        <f>IMSUM(D484,IMDIV("1",C484))</f>
        <v>0</v>
      </c>
      <c r="N484">
        <f>IMDIV("1",IMSUM(E484,IMDIV("1",M484)))</f>
        <v>0</v>
      </c>
      <c r="O484">
        <f>IMSUM(F484,N484)</f>
        <v>0</v>
      </c>
      <c r="P484">
        <f>IMDIV("1",IMSUM(G484,IMDIV("1",O484)))</f>
        <v>0</v>
      </c>
      <c r="Q484">
        <f>IMSUM(H484,P484)</f>
        <v>0</v>
      </c>
      <c r="R484">
        <f>IMDIV("1",IMSUM(I484,IMDIV("1",Q484)))</f>
        <v>0</v>
      </c>
      <c r="S484">
        <f>IMSUM(J484,R484)</f>
        <v>0</v>
      </c>
      <c r="T484">
        <f>IMDIV("1",IMSUM(K484,IMDIV("1",S484)))</f>
        <v>0</v>
      </c>
      <c r="U484">
        <f>IMSUM(L484,T484)</f>
        <v>0</v>
      </c>
      <c r="V484">
        <f>IMDIV(COMPLEX(I_DM_SOURCE,0),U484)</f>
        <v>0</v>
      </c>
      <c r="W484">
        <f>IMPRODUCT(V484,T484)</f>
        <v>0</v>
      </c>
      <c r="X484">
        <f>IMDIV(W484,S484)</f>
        <v>0</v>
      </c>
      <c r="Y484">
        <f>IMPRODUCT(X484,R484)</f>
        <v>0</v>
      </c>
      <c r="Z484">
        <f>IMDIV(Y484,Q484)</f>
        <v>0</v>
      </c>
      <c r="AA484">
        <f>IMPRODUCT(Z484,P484)</f>
        <v>0</v>
      </c>
      <c r="AB484">
        <f>AA484</f>
        <v>0</v>
      </c>
      <c r="AC484">
        <f>IMPRODUCT("-1",AB484)</f>
        <v>0</v>
      </c>
      <c r="AD484">
        <f>IMDIV(IMSUB(AB484,AC484),"2")</f>
        <v>0</v>
      </c>
      <c r="AE484" s="6">
        <f>IMABS(AB484)</f>
        <v>0</v>
      </c>
      <c r="AF484" s="6">
        <f>IMABS(AC484)</f>
        <v>0</v>
      </c>
      <c r="AG484" s="6">
        <f>IMABS(AD484)</f>
        <v>0</v>
      </c>
      <c r="AH484" s="7">
        <f>20*LOG10(MAX(AE484,1E-300)*1E6)</f>
        <v>0</v>
      </c>
      <c r="AI484" s="7">
        <f>20*LOG10(MAX(AF484,1E-300)*1E6)</f>
        <v>0</v>
      </c>
      <c r="AJ484" s="7">
        <f>20*LOG10(MAX(AG484,1E-300)*1E6)</f>
        <v>0</v>
      </c>
      <c r="AK484" s="7">
        <f>DEGREES(IMARGUMENT(AB484))</f>
        <v>0</v>
      </c>
      <c r="AL484" s="7">
        <f>DEGREES(IMARGUMENT(AC484))</f>
        <v>0</v>
      </c>
      <c r="AM484" s="7">
        <f>DEGREES(IMARGUMENT(AD484))</f>
        <v>0</v>
      </c>
    </row>
    <row r="485" spans="1:39">
      <c r="A485" s="6">
        <f>10^(LOG10(F_START)+(ROW()-ROW($A$2))*(LOG10(F_STOP)-LOG10(F_START))/(N_POINTS-1))</f>
        <v>0</v>
      </c>
      <c r="B485" s="6">
        <f>2*PI()*A485</f>
        <v>0</v>
      </c>
      <c r="C485">
        <f>COMPLEX(2*LINE_PS_DCR,2*B485*LINE_PS_L)</f>
        <v>0</v>
      </c>
      <c r="D485">
        <f>IMSUM(COMPLEX(0,B485*(LINE_PS_CLINE+LINE_PS_CCHA/2)),IMDIV("1",IMPRODUCT("2",COMPLEX(C_THROUGH_ESR,B485*C_THROUGH_ESL-1/(B485*C_THROUGH_C)))))</f>
        <v>0</v>
      </c>
      <c r="E485">
        <f>COMPLEX(2*LINE_INPUT_DCR,2*B485*LINE_INPUT_L)</f>
        <v>0</v>
      </c>
      <c r="F485">
        <f>COMPLEX(0,B485*(LINE_INPUT_CLINE+LINE_INPUT_CCHA/2))</f>
        <v>0</v>
      </c>
      <c r="G485">
        <f>IMPRODUCT("2",IMDIV("1",IMSUM(IMDIV("1",COMPLEX(LDM1_DCR,B485*LDM1_L)),COMPLEX(0,B485*LDM1_CPA))))</f>
        <v>0</v>
      </c>
      <c r="H485">
        <f>IMSUM(IMDIV("1",COMPLEX(CX1_ESR,B485*CX1_ESL-1/(B485*CX1_C))),IMDIV("1",IMSUM(COMPLEX(DUMP1_R,0),COMPLEX(DUMP1_ESR,B485*DUMP1_ESL-1/(B485*DUMP1_C)))))</f>
        <v>0</v>
      </c>
      <c r="I485">
        <f>IMPRODUCT("2",IMDIV("1",IMSUM(IMDIV("1",COMPLEX(LDM2_DCR,B485*LDM2_L)),COMPLEX(0,B485*LDM2_CPA))))</f>
        <v>0</v>
      </c>
      <c r="J485">
        <f>IMSUM(IMDIV("1",COMPLEX(CX2_ESR,B485*CX2_ESL-1/(B485*CX2_C))),IMDIV("1",IMSUM(COMPLEX(DUMP2_R,0),COMPLEX(DUMP2_ESR,B485*DUMP2_ESL-1/(B485*DUMP2_C)))))</f>
        <v>0</v>
      </c>
      <c r="K485">
        <f>IMPRODUCT("2",IMDIV("1",IMSUM(IMDIV("1",COMPLEX(CMC_DCR,B485*CMC_L*(1-CMC_K))),COMPLEX(0,B485*CMC_CPA))))</f>
        <v>0</v>
      </c>
      <c r="L485">
        <f>IMSUM(COMPLEX(0,B485*CMC_CLINE),IMDIV("1",IMPRODUCT("2",COMPLEX(CY_ESR,B485*CY_ESL-1/(B485*CY_C)))),COMPLEX(1/DUMMY_R,0))</f>
        <v>0</v>
      </c>
      <c r="M485">
        <f>IMSUM(D485,IMDIV("1",C485))</f>
        <v>0</v>
      </c>
      <c r="N485">
        <f>IMDIV("1",IMSUM(E485,IMDIV("1",M485)))</f>
        <v>0</v>
      </c>
      <c r="O485">
        <f>IMSUM(F485,N485)</f>
        <v>0</v>
      </c>
      <c r="P485">
        <f>IMDIV("1",IMSUM(G485,IMDIV("1",O485)))</f>
        <v>0</v>
      </c>
      <c r="Q485">
        <f>IMSUM(H485,P485)</f>
        <v>0</v>
      </c>
      <c r="R485">
        <f>IMDIV("1",IMSUM(I485,IMDIV("1",Q485)))</f>
        <v>0</v>
      </c>
      <c r="S485">
        <f>IMSUM(J485,R485)</f>
        <v>0</v>
      </c>
      <c r="T485">
        <f>IMDIV("1",IMSUM(K485,IMDIV("1",S485)))</f>
        <v>0</v>
      </c>
      <c r="U485">
        <f>IMSUM(L485,T485)</f>
        <v>0</v>
      </c>
      <c r="V485">
        <f>IMDIV(COMPLEX(I_DM_SOURCE,0),U485)</f>
        <v>0</v>
      </c>
      <c r="W485">
        <f>IMPRODUCT(V485,T485)</f>
        <v>0</v>
      </c>
      <c r="X485">
        <f>IMDIV(W485,S485)</f>
        <v>0</v>
      </c>
      <c r="Y485">
        <f>IMPRODUCT(X485,R485)</f>
        <v>0</v>
      </c>
      <c r="Z485">
        <f>IMDIV(Y485,Q485)</f>
        <v>0</v>
      </c>
      <c r="AA485">
        <f>IMPRODUCT(Z485,P485)</f>
        <v>0</v>
      </c>
      <c r="AB485">
        <f>AA485</f>
        <v>0</v>
      </c>
      <c r="AC485">
        <f>IMPRODUCT("-1",AB485)</f>
        <v>0</v>
      </c>
      <c r="AD485">
        <f>IMDIV(IMSUB(AB485,AC485),"2")</f>
        <v>0</v>
      </c>
      <c r="AE485" s="6">
        <f>IMABS(AB485)</f>
        <v>0</v>
      </c>
      <c r="AF485" s="6">
        <f>IMABS(AC485)</f>
        <v>0</v>
      </c>
      <c r="AG485" s="6">
        <f>IMABS(AD485)</f>
        <v>0</v>
      </c>
      <c r="AH485" s="7">
        <f>20*LOG10(MAX(AE485,1E-300)*1E6)</f>
        <v>0</v>
      </c>
      <c r="AI485" s="7">
        <f>20*LOG10(MAX(AF485,1E-300)*1E6)</f>
        <v>0</v>
      </c>
      <c r="AJ485" s="7">
        <f>20*LOG10(MAX(AG485,1E-300)*1E6)</f>
        <v>0</v>
      </c>
      <c r="AK485" s="7">
        <f>DEGREES(IMARGUMENT(AB485))</f>
        <v>0</v>
      </c>
      <c r="AL485" s="7">
        <f>DEGREES(IMARGUMENT(AC485))</f>
        <v>0</v>
      </c>
      <c r="AM485" s="7">
        <f>DEGREES(IMARGUMENT(AD485))</f>
        <v>0</v>
      </c>
    </row>
    <row r="486" spans="1:39">
      <c r="A486" s="6">
        <f>10^(LOG10(F_START)+(ROW()-ROW($A$2))*(LOG10(F_STOP)-LOG10(F_START))/(N_POINTS-1))</f>
        <v>0</v>
      </c>
      <c r="B486" s="6">
        <f>2*PI()*A486</f>
        <v>0</v>
      </c>
      <c r="C486">
        <f>COMPLEX(2*LINE_PS_DCR,2*B486*LINE_PS_L)</f>
        <v>0</v>
      </c>
      <c r="D486">
        <f>IMSUM(COMPLEX(0,B486*(LINE_PS_CLINE+LINE_PS_CCHA/2)),IMDIV("1",IMPRODUCT("2",COMPLEX(C_THROUGH_ESR,B486*C_THROUGH_ESL-1/(B486*C_THROUGH_C)))))</f>
        <v>0</v>
      </c>
      <c r="E486">
        <f>COMPLEX(2*LINE_INPUT_DCR,2*B486*LINE_INPUT_L)</f>
        <v>0</v>
      </c>
      <c r="F486">
        <f>COMPLEX(0,B486*(LINE_INPUT_CLINE+LINE_INPUT_CCHA/2))</f>
        <v>0</v>
      </c>
      <c r="G486">
        <f>IMPRODUCT("2",IMDIV("1",IMSUM(IMDIV("1",COMPLEX(LDM1_DCR,B486*LDM1_L)),COMPLEX(0,B486*LDM1_CPA))))</f>
        <v>0</v>
      </c>
      <c r="H486">
        <f>IMSUM(IMDIV("1",COMPLEX(CX1_ESR,B486*CX1_ESL-1/(B486*CX1_C))),IMDIV("1",IMSUM(COMPLEX(DUMP1_R,0),COMPLEX(DUMP1_ESR,B486*DUMP1_ESL-1/(B486*DUMP1_C)))))</f>
        <v>0</v>
      </c>
      <c r="I486">
        <f>IMPRODUCT("2",IMDIV("1",IMSUM(IMDIV("1",COMPLEX(LDM2_DCR,B486*LDM2_L)),COMPLEX(0,B486*LDM2_CPA))))</f>
        <v>0</v>
      </c>
      <c r="J486">
        <f>IMSUM(IMDIV("1",COMPLEX(CX2_ESR,B486*CX2_ESL-1/(B486*CX2_C))),IMDIV("1",IMSUM(COMPLEX(DUMP2_R,0),COMPLEX(DUMP2_ESR,B486*DUMP2_ESL-1/(B486*DUMP2_C)))))</f>
        <v>0</v>
      </c>
      <c r="K486">
        <f>IMPRODUCT("2",IMDIV("1",IMSUM(IMDIV("1",COMPLEX(CMC_DCR,B486*CMC_L*(1-CMC_K))),COMPLEX(0,B486*CMC_CPA))))</f>
        <v>0</v>
      </c>
      <c r="L486">
        <f>IMSUM(COMPLEX(0,B486*CMC_CLINE),IMDIV("1",IMPRODUCT("2",COMPLEX(CY_ESR,B486*CY_ESL-1/(B486*CY_C)))),COMPLEX(1/DUMMY_R,0))</f>
        <v>0</v>
      </c>
      <c r="M486">
        <f>IMSUM(D486,IMDIV("1",C486))</f>
        <v>0</v>
      </c>
      <c r="N486">
        <f>IMDIV("1",IMSUM(E486,IMDIV("1",M486)))</f>
        <v>0</v>
      </c>
      <c r="O486">
        <f>IMSUM(F486,N486)</f>
        <v>0</v>
      </c>
      <c r="P486">
        <f>IMDIV("1",IMSUM(G486,IMDIV("1",O486)))</f>
        <v>0</v>
      </c>
      <c r="Q486">
        <f>IMSUM(H486,P486)</f>
        <v>0</v>
      </c>
      <c r="R486">
        <f>IMDIV("1",IMSUM(I486,IMDIV("1",Q486)))</f>
        <v>0</v>
      </c>
      <c r="S486">
        <f>IMSUM(J486,R486)</f>
        <v>0</v>
      </c>
      <c r="T486">
        <f>IMDIV("1",IMSUM(K486,IMDIV("1",S486)))</f>
        <v>0</v>
      </c>
      <c r="U486">
        <f>IMSUM(L486,T486)</f>
        <v>0</v>
      </c>
      <c r="V486">
        <f>IMDIV(COMPLEX(I_DM_SOURCE,0),U486)</f>
        <v>0</v>
      </c>
      <c r="W486">
        <f>IMPRODUCT(V486,T486)</f>
        <v>0</v>
      </c>
      <c r="X486">
        <f>IMDIV(W486,S486)</f>
        <v>0</v>
      </c>
      <c r="Y486">
        <f>IMPRODUCT(X486,R486)</f>
        <v>0</v>
      </c>
      <c r="Z486">
        <f>IMDIV(Y486,Q486)</f>
        <v>0</v>
      </c>
      <c r="AA486">
        <f>IMPRODUCT(Z486,P486)</f>
        <v>0</v>
      </c>
      <c r="AB486">
        <f>AA486</f>
        <v>0</v>
      </c>
      <c r="AC486">
        <f>IMPRODUCT("-1",AB486)</f>
        <v>0</v>
      </c>
      <c r="AD486">
        <f>IMDIV(IMSUB(AB486,AC486),"2")</f>
        <v>0</v>
      </c>
      <c r="AE486" s="6">
        <f>IMABS(AB486)</f>
        <v>0</v>
      </c>
      <c r="AF486" s="6">
        <f>IMABS(AC486)</f>
        <v>0</v>
      </c>
      <c r="AG486" s="6">
        <f>IMABS(AD486)</f>
        <v>0</v>
      </c>
      <c r="AH486" s="7">
        <f>20*LOG10(MAX(AE486,1E-300)*1E6)</f>
        <v>0</v>
      </c>
      <c r="AI486" s="7">
        <f>20*LOG10(MAX(AF486,1E-300)*1E6)</f>
        <v>0</v>
      </c>
      <c r="AJ486" s="7">
        <f>20*LOG10(MAX(AG486,1E-300)*1E6)</f>
        <v>0</v>
      </c>
      <c r="AK486" s="7">
        <f>DEGREES(IMARGUMENT(AB486))</f>
        <v>0</v>
      </c>
      <c r="AL486" s="7">
        <f>DEGREES(IMARGUMENT(AC486))</f>
        <v>0</v>
      </c>
      <c r="AM486" s="7">
        <f>DEGREES(IMARGUMENT(AD486))</f>
        <v>0</v>
      </c>
    </row>
    <row r="487" spans="1:39">
      <c r="A487" s="6">
        <f>10^(LOG10(F_START)+(ROW()-ROW($A$2))*(LOG10(F_STOP)-LOG10(F_START))/(N_POINTS-1))</f>
        <v>0</v>
      </c>
      <c r="B487" s="6">
        <f>2*PI()*A487</f>
        <v>0</v>
      </c>
      <c r="C487">
        <f>COMPLEX(2*LINE_PS_DCR,2*B487*LINE_PS_L)</f>
        <v>0</v>
      </c>
      <c r="D487">
        <f>IMSUM(COMPLEX(0,B487*(LINE_PS_CLINE+LINE_PS_CCHA/2)),IMDIV("1",IMPRODUCT("2",COMPLEX(C_THROUGH_ESR,B487*C_THROUGH_ESL-1/(B487*C_THROUGH_C)))))</f>
        <v>0</v>
      </c>
      <c r="E487">
        <f>COMPLEX(2*LINE_INPUT_DCR,2*B487*LINE_INPUT_L)</f>
        <v>0</v>
      </c>
      <c r="F487">
        <f>COMPLEX(0,B487*(LINE_INPUT_CLINE+LINE_INPUT_CCHA/2))</f>
        <v>0</v>
      </c>
      <c r="G487">
        <f>IMPRODUCT("2",IMDIV("1",IMSUM(IMDIV("1",COMPLEX(LDM1_DCR,B487*LDM1_L)),COMPLEX(0,B487*LDM1_CPA))))</f>
        <v>0</v>
      </c>
      <c r="H487">
        <f>IMSUM(IMDIV("1",COMPLEX(CX1_ESR,B487*CX1_ESL-1/(B487*CX1_C))),IMDIV("1",IMSUM(COMPLEX(DUMP1_R,0),COMPLEX(DUMP1_ESR,B487*DUMP1_ESL-1/(B487*DUMP1_C)))))</f>
        <v>0</v>
      </c>
      <c r="I487">
        <f>IMPRODUCT("2",IMDIV("1",IMSUM(IMDIV("1",COMPLEX(LDM2_DCR,B487*LDM2_L)),COMPLEX(0,B487*LDM2_CPA))))</f>
        <v>0</v>
      </c>
      <c r="J487">
        <f>IMSUM(IMDIV("1",COMPLEX(CX2_ESR,B487*CX2_ESL-1/(B487*CX2_C))),IMDIV("1",IMSUM(COMPLEX(DUMP2_R,0),COMPLEX(DUMP2_ESR,B487*DUMP2_ESL-1/(B487*DUMP2_C)))))</f>
        <v>0</v>
      </c>
      <c r="K487">
        <f>IMPRODUCT("2",IMDIV("1",IMSUM(IMDIV("1",COMPLEX(CMC_DCR,B487*CMC_L*(1-CMC_K))),COMPLEX(0,B487*CMC_CPA))))</f>
        <v>0</v>
      </c>
      <c r="L487">
        <f>IMSUM(COMPLEX(0,B487*CMC_CLINE),IMDIV("1",IMPRODUCT("2",COMPLEX(CY_ESR,B487*CY_ESL-1/(B487*CY_C)))),COMPLEX(1/DUMMY_R,0))</f>
        <v>0</v>
      </c>
      <c r="M487">
        <f>IMSUM(D487,IMDIV("1",C487))</f>
        <v>0</v>
      </c>
      <c r="N487">
        <f>IMDIV("1",IMSUM(E487,IMDIV("1",M487)))</f>
        <v>0</v>
      </c>
      <c r="O487">
        <f>IMSUM(F487,N487)</f>
        <v>0</v>
      </c>
      <c r="P487">
        <f>IMDIV("1",IMSUM(G487,IMDIV("1",O487)))</f>
        <v>0</v>
      </c>
      <c r="Q487">
        <f>IMSUM(H487,P487)</f>
        <v>0</v>
      </c>
      <c r="R487">
        <f>IMDIV("1",IMSUM(I487,IMDIV("1",Q487)))</f>
        <v>0</v>
      </c>
      <c r="S487">
        <f>IMSUM(J487,R487)</f>
        <v>0</v>
      </c>
      <c r="T487">
        <f>IMDIV("1",IMSUM(K487,IMDIV("1",S487)))</f>
        <v>0</v>
      </c>
      <c r="U487">
        <f>IMSUM(L487,T487)</f>
        <v>0</v>
      </c>
      <c r="V487">
        <f>IMDIV(COMPLEX(I_DM_SOURCE,0),U487)</f>
        <v>0</v>
      </c>
      <c r="W487">
        <f>IMPRODUCT(V487,T487)</f>
        <v>0</v>
      </c>
      <c r="X487">
        <f>IMDIV(W487,S487)</f>
        <v>0</v>
      </c>
      <c r="Y487">
        <f>IMPRODUCT(X487,R487)</f>
        <v>0</v>
      </c>
      <c r="Z487">
        <f>IMDIV(Y487,Q487)</f>
        <v>0</v>
      </c>
      <c r="AA487">
        <f>IMPRODUCT(Z487,P487)</f>
        <v>0</v>
      </c>
      <c r="AB487">
        <f>AA487</f>
        <v>0</v>
      </c>
      <c r="AC487">
        <f>IMPRODUCT("-1",AB487)</f>
        <v>0</v>
      </c>
      <c r="AD487">
        <f>IMDIV(IMSUB(AB487,AC487),"2")</f>
        <v>0</v>
      </c>
      <c r="AE487" s="6">
        <f>IMABS(AB487)</f>
        <v>0</v>
      </c>
      <c r="AF487" s="6">
        <f>IMABS(AC487)</f>
        <v>0</v>
      </c>
      <c r="AG487" s="6">
        <f>IMABS(AD487)</f>
        <v>0</v>
      </c>
      <c r="AH487" s="7">
        <f>20*LOG10(MAX(AE487,1E-300)*1E6)</f>
        <v>0</v>
      </c>
      <c r="AI487" s="7">
        <f>20*LOG10(MAX(AF487,1E-300)*1E6)</f>
        <v>0</v>
      </c>
      <c r="AJ487" s="7">
        <f>20*LOG10(MAX(AG487,1E-300)*1E6)</f>
        <v>0</v>
      </c>
      <c r="AK487" s="7">
        <f>DEGREES(IMARGUMENT(AB487))</f>
        <v>0</v>
      </c>
      <c r="AL487" s="7">
        <f>DEGREES(IMARGUMENT(AC487))</f>
        <v>0</v>
      </c>
      <c r="AM487" s="7">
        <f>DEGREES(IMARGUMENT(AD487))</f>
        <v>0</v>
      </c>
    </row>
    <row r="488" spans="1:39">
      <c r="A488" s="6">
        <f>10^(LOG10(F_START)+(ROW()-ROW($A$2))*(LOG10(F_STOP)-LOG10(F_START))/(N_POINTS-1))</f>
        <v>0</v>
      </c>
      <c r="B488" s="6">
        <f>2*PI()*A488</f>
        <v>0</v>
      </c>
      <c r="C488">
        <f>COMPLEX(2*LINE_PS_DCR,2*B488*LINE_PS_L)</f>
        <v>0</v>
      </c>
      <c r="D488">
        <f>IMSUM(COMPLEX(0,B488*(LINE_PS_CLINE+LINE_PS_CCHA/2)),IMDIV("1",IMPRODUCT("2",COMPLEX(C_THROUGH_ESR,B488*C_THROUGH_ESL-1/(B488*C_THROUGH_C)))))</f>
        <v>0</v>
      </c>
      <c r="E488">
        <f>COMPLEX(2*LINE_INPUT_DCR,2*B488*LINE_INPUT_L)</f>
        <v>0</v>
      </c>
      <c r="F488">
        <f>COMPLEX(0,B488*(LINE_INPUT_CLINE+LINE_INPUT_CCHA/2))</f>
        <v>0</v>
      </c>
      <c r="G488">
        <f>IMPRODUCT("2",IMDIV("1",IMSUM(IMDIV("1",COMPLEX(LDM1_DCR,B488*LDM1_L)),COMPLEX(0,B488*LDM1_CPA))))</f>
        <v>0</v>
      </c>
      <c r="H488">
        <f>IMSUM(IMDIV("1",COMPLEX(CX1_ESR,B488*CX1_ESL-1/(B488*CX1_C))),IMDIV("1",IMSUM(COMPLEX(DUMP1_R,0),COMPLEX(DUMP1_ESR,B488*DUMP1_ESL-1/(B488*DUMP1_C)))))</f>
        <v>0</v>
      </c>
      <c r="I488">
        <f>IMPRODUCT("2",IMDIV("1",IMSUM(IMDIV("1",COMPLEX(LDM2_DCR,B488*LDM2_L)),COMPLEX(0,B488*LDM2_CPA))))</f>
        <v>0</v>
      </c>
      <c r="J488">
        <f>IMSUM(IMDIV("1",COMPLEX(CX2_ESR,B488*CX2_ESL-1/(B488*CX2_C))),IMDIV("1",IMSUM(COMPLEX(DUMP2_R,0),COMPLEX(DUMP2_ESR,B488*DUMP2_ESL-1/(B488*DUMP2_C)))))</f>
        <v>0</v>
      </c>
      <c r="K488">
        <f>IMPRODUCT("2",IMDIV("1",IMSUM(IMDIV("1",COMPLEX(CMC_DCR,B488*CMC_L*(1-CMC_K))),COMPLEX(0,B488*CMC_CPA))))</f>
        <v>0</v>
      </c>
      <c r="L488">
        <f>IMSUM(COMPLEX(0,B488*CMC_CLINE),IMDIV("1",IMPRODUCT("2",COMPLEX(CY_ESR,B488*CY_ESL-1/(B488*CY_C)))),COMPLEX(1/DUMMY_R,0))</f>
        <v>0</v>
      </c>
      <c r="M488">
        <f>IMSUM(D488,IMDIV("1",C488))</f>
        <v>0</v>
      </c>
      <c r="N488">
        <f>IMDIV("1",IMSUM(E488,IMDIV("1",M488)))</f>
        <v>0</v>
      </c>
      <c r="O488">
        <f>IMSUM(F488,N488)</f>
        <v>0</v>
      </c>
      <c r="P488">
        <f>IMDIV("1",IMSUM(G488,IMDIV("1",O488)))</f>
        <v>0</v>
      </c>
      <c r="Q488">
        <f>IMSUM(H488,P488)</f>
        <v>0</v>
      </c>
      <c r="R488">
        <f>IMDIV("1",IMSUM(I488,IMDIV("1",Q488)))</f>
        <v>0</v>
      </c>
      <c r="S488">
        <f>IMSUM(J488,R488)</f>
        <v>0</v>
      </c>
      <c r="T488">
        <f>IMDIV("1",IMSUM(K488,IMDIV("1",S488)))</f>
        <v>0</v>
      </c>
      <c r="U488">
        <f>IMSUM(L488,T488)</f>
        <v>0</v>
      </c>
      <c r="V488">
        <f>IMDIV(COMPLEX(I_DM_SOURCE,0),U488)</f>
        <v>0</v>
      </c>
      <c r="W488">
        <f>IMPRODUCT(V488,T488)</f>
        <v>0</v>
      </c>
      <c r="X488">
        <f>IMDIV(W488,S488)</f>
        <v>0</v>
      </c>
      <c r="Y488">
        <f>IMPRODUCT(X488,R488)</f>
        <v>0</v>
      </c>
      <c r="Z488">
        <f>IMDIV(Y488,Q488)</f>
        <v>0</v>
      </c>
      <c r="AA488">
        <f>IMPRODUCT(Z488,P488)</f>
        <v>0</v>
      </c>
      <c r="AB488">
        <f>AA488</f>
        <v>0</v>
      </c>
      <c r="AC488">
        <f>IMPRODUCT("-1",AB488)</f>
        <v>0</v>
      </c>
      <c r="AD488">
        <f>IMDIV(IMSUB(AB488,AC488),"2")</f>
        <v>0</v>
      </c>
      <c r="AE488" s="6">
        <f>IMABS(AB488)</f>
        <v>0</v>
      </c>
      <c r="AF488" s="6">
        <f>IMABS(AC488)</f>
        <v>0</v>
      </c>
      <c r="AG488" s="6">
        <f>IMABS(AD488)</f>
        <v>0</v>
      </c>
      <c r="AH488" s="7">
        <f>20*LOG10(MAX(AE488,1E-300)*1E6)</f>
        <v>0</v>
      </c>
      <c r="AI488" s="7">
        <f>20*LOG10(MAX(AF488,1E-300)*1E6)</f>
        <v>0</v>
      </c>
      <c r="AJ488" s="7">
        <f>20*LOG10(MAX(AG488,1E-300)*1E6)</f>
        <v>0</v>
      </c>
      <c r="AK488" s="7">
        <f>DEGREES(IMARGUMENT(AB488))</f>
        <v>0</v>
      </c>
      <c r="AL488" s="7">
        <f>DEGREES(IMARGUMENT(AC488))</f>
        <v>0</v>
      </c>
      <c r="AM488" s="7">
        <f>DEGREES(IMARGUMENT(AD488))</f>
        <v>0</v>
      </c>
    </row>
    <row r="489" spans="1:39">
      <c r="A489" s="6">
        <f>10^(LOG10(F_START)+(ROW()-ROW($A$2))*(LOG10(F_STOP)-LOG10(F_START))/(N_POINTS-1))</f>
        <v>0</v>
      </c>
      <c r="B489" s="6">
        <f>2*PI()*A489</f>
        <v>0</v>
      </c>
      <c r="C489">
        <f>COMPLEX(2*LINE_PS_DCR,2*B489*LINE_PS_L)</f>
        <v>0</v>
      </c>
      <c r="D489">
        <f>IMSUM(COMPLEX(0,B489*(LINE_PS_CLINE+LINE_PS_CCHA/2)),IMDIV("1",IMPRODUCT("2",COMPLEX(C_THROUGH_ESR,B489*C_THROUGH_ESL-1/(B489*C_THROUGH_C)))))</f>
        <v>0</v>
      </c>
      <c r="E489">
        <f>COMPLEX(2*LINE_INPUT_DCR,2*B489*LINE_INPUT_L)</f>
        <v>0</v>
      </c>
      <c r="F489">
        <f>COMPLEX(0,B489*(LINE_INPUT_CLINE+LINE_INPUT_CCHA/2))</f>
        <v>0</v>
      </c>
      <c r="G489">
        <f>IMPRODUCT("2",IMDIV("1",IMSUM(IMDIV("1",COMPLEX(LDM1_DCR,B489*LDM1_L)),COMPLEX(0,B489*LDM1_CPA))))</f>
        <v>0</v>
      </c>
      <c r="H489">
        <f>IMSUM(IMDIV("1",COMPLEX(CX1_ESR,B489*CX1_ESL-1/(B489*CX1_C))),IMDIV("1",IMSUM(COMPLEX(DUMP1_R,0),COMPLEX(DUMP1_ESR,B489*DUMP1_ESL-1/(B489*DUMP1_C)))))</f>
        <v>0</v>
      </c>
      <c r="I489">
        <f>IMPRODUCT("2",IMDIV("1",IMSUM(IMDIV("1",COMPLEX(LDM2_DCR,B489*LDM2_L)),COMPLEX(0,B489*LDM2_CPA))))</f>
        <v>0</v>
      </c>
      <c r="J489">
        <f>IMSUM(IMDIV("1",COMPLEX(CX2_ESR,B489*CX2_ESL-1/(B489*CX2_C))),IMDIV("1",IMSUM(COMPLEX(DUMP2_R,0),COMPLEX(DUMP2_ESR,B489*DUMP2_ESL-1/(B489*DUMP2_C)))))</f>
        <v>0</v>
      </c>
      <c r="K489">
        <f>IMPRODUCT("2",IMDIV("1",IMSUM(IMDIV("1",COMPLEX(CMC_DCR,B489*CMC_L*(1-CMC_K))),COMPLEX(0,B489*CMC_CPA))))</f>
        <v>0</v>
      </c>
      <c r="L489">
        <f>IMSUM(COMPLEX(0,B489*CMC_CLINE),IMDIV("1",IMPRODUCT("2",COMPLEX(CY_ESR,B489*CY_ESL-1/(B489*CY_C)))),COMPLEX(1/DUMMY_R,0))</f>
        <v>0</v>
      </c>
      <c r="M489">
        <f>IMSUM(D489,IMDIV("1",C489))</f>
        <v>0</v>
      </c>
      <c r="N489">
        <f>IMDIV("1",IMSUM(E489,IMDIV("1",M489)))</f>
        <v>0</v>
      </c>
      <c r="O489">
        <f>IMSUM(F489,N489)</f>
        <v>0</v>
      </c>
      <c r="P489">
        <f>IMDIV("1",IMSUM(G489,IMDIV("1",O489)))</f>
        <v>0</v>
      </c>
      <c r="Q489">
        <f>IMSUM(H489,P489)</f>
        <v>0</v>
      </c>
      <c r="R489">
        <f>IMDIV("1",IMSUM(I489,IMDIV("1",Q489)))</f>
        <v>0</v>
      </c>
      <c r="S489">
        <f>IMSUM(J489,R489)</f>
        <v>0</v>
      </c>
      <c r="T489">
        <f>IMDIV("1",IMSUM(K489,IMDIV("1",S489)))</f>
        <v>0</v>
      </c>
      <c r="U489">
        <f>IMSUM(L489,T489)</f>
        <v>0</v>
      </c>
      <c r="V489">
        <f>IMDIV(COMPLEX(I_DM_SOURCE,0),U489)</f>
        <v>0</v>
      </c>
      <c r="W489">
        <f>IMPRODUCT(V489,T489)</f>
        <v>0</v>
      </c>
      <c r="X489">
        <f>IMDIV(W489,S489)</f>
        <v>0</v>
      </c>
      <c r="Y489">
        <f>IMPRODUCT(X489,R489)</f>
        <v>0</v>
      </c>
      <c r="Z489">
        <f>IMDIV(Y489,Q489)</f>
        <v>0</v>
      </c>
      <c r="AA489">
        <f>IMPRODUCT(Z489,P489)</f>
        <v>0</v>
      </c>
      <c r="AB489">
        <f>AA489</f>
        <v>0</v>
      </c>
      <c r="AC489">
        <f>IMPRODUCT("-1",AB489)</f>
        <v>0</v>
      </c>
      <c r="AD489">
        <f>IMDIV(IMSUB(AB489,AC489),"2")</f>
        <v>0</v>
      </c>
      <c r="AE489" s="6">
        <f>IMABS(AB489)</f>
        <v>0</v>
      </c>
      <c r="AF489" s="6">
        <f>IMABS(AC489)</f>
        <v>0</v>
      </c>
      <c r="AG489" s="6">
        <f>IMABS(AD489)</f>
        <v>0</v>
      </c>
      <c r="AH489" s="7">
        <f>20*LOG10(MAX(AE489,1E-300)*1E6)</f>
        <v>0</v>
      </c>
      <c r="AI489" s="7">
        <f>20*LOG10(MAX(AF489,1E-300)*1E6)</f>
        <v>0</v>
      </c>
      <c r="AJ489" s="7">
        <f>20*LOG10(MAX(AG489,1E-300)*1E6)</f>
        <v>0</v>
      </c>
      <c r="AK489" s="7">
        <f>DEGREES(IMARGUMENT(AB489))</f>
        <v>0</v>
      </c>
      <c r="AL489" s="7">
        <f>DEGREES(IMARGUMENT(AC489))</f>
        <v>0</v>
      </c>
      <c r="AM489" s="7">
        <f>DEGREES(IMARGUMENT(AD489))</f>
        <v>0</v>
      </c>
    </row>
    <row r="490" spans="1:39">
      <c r="A490" s="6">
        <f>10^(LOG10(F_START)+(ROW()-ROW($A$2))*(LOG10(F_STOP)-LOG10(F_START))/(N_POINTS-1))</f>
        <v>0</v>
      </c>
      <c r="B490" s="6">
        <f>2*PI()*A490</f>
        <v>0</v>
      </c>
      <c r="C490">
        <f>COMPLEX(2*LINE_PS_DCR,2*B490*LINE_PS_L)</f>
        <v>0</v>
      </c>
      <c r="D490">
        <f>IMSUM(COMPLEX(0,B490*(LINE_PS_CLINE+LINE_PS_CCHA/2)),IMDIV("1",IMPRODUCT("2",COMPLEX(C_THROUGH_ESR,B490*C_THROUGH_ESL-1/(B490*C_THROUGH_C)))))</f>
        <v>0</v>
      </c>
      <c r="E490">
        <f>COMPLEX(2*LINE_INPUT_DCR,2*B490*LINE_INPUT_L)</f>
        <v>0</v>
      </c>
      <c r="F490">
        <f>COMPLEX(0,B490*(LINE_INPUT_CLINE+LINE_INPUT_CCHA/2))</f>
        <v>0</v>
      </c>
      <c r="G490">
        <f>IMPRODUCT("2",IMDIV("1",IMSUM(IMDIV("1",COMPLEX(LDM1_DCR,B490*LDM1_L)),COMPLEX(0,B490*LDM1_CPA))))</f>
        <v>0</v>
      </c>
      <c r="H490">
        <f>IMSUM(IMDIV("1",COMPLEX(CX1_ESR,B490*CX1_ESL-1/(B490*CX1_C))),IMDIV("1",IMSUM(COMPLEX(DUMP1_R,0),COMPLEX(DUMP1_ESR,B490*DUMP1_ESL-1/(B490*DUMP1_C)))))</f>
        <v>0</v>
      </c>
      <c r="I490">
        <f>IMPRODUCT("2",IMDIV("1",IMSUM(IMDIV("1",COMPLEX(LDM2_DCR,B490*LDM2_L)),COMPLEX(0,B490*LDM2_CPA))))</f>
        <v>0</v>
      </c>
      <c r="J490">
        <f>IMSUM(IMDIV("1",COMPLEX(CX2_ESR,B490*CX2_ESL-1/(B490*CX2_C))),IMDIV("1",IMSUM(COMPLEX(DUMP2_R,0),COMPLEX(DUMP2_ESR,B490*DUMP2_ESL-1/(B490*DUMP2_C)))))</f>
        <v>0</v>
      </c>
      <c r="K490">
        <f>IMPRODUCT("2",IMDIV("1",IMSUM(IMDIV("1",COMPLEX(CMC_DCR,B490*CMC_L*(1-CMC_K))),COMPLEX(0,B490*CMC_CPA))))</f>
        <v>0</v>
      </c>
      <c r="L490">
        <f>IMSUM(COMPLEX(0,B490*CMC_CLINE),IMDIV("1",IMPRODUCT("2",COMPLEX(CY_ESR,B490*CY_ESL-1/(B490*CY_C)))),COMPLEX(1/DUMMY_R,0))</f>
        <v>0</v>
      </c>
      <c r="M490">
        <f>IMSUM(D490,IMDIV("1",C490))</f>
        <v>0</v>
      </c>
      <c r="N490">
        <f>IMDIV("1",IMSUM(E490,IMDIV("1",M490)))</f>
        <v>0</v>
      </c>
      <c r="O490">
        <f>IMSUM(F490,N490)</f>
        <v>0</v>
      </c>
      <c r="P490">
        <f>IMDIV("1",IMSUM(G490,IMDIV("1",O490)))</f>
        <v>0</v>
      </c>
      <c r="Q490">
        <f>IMSUM(H490,P490)</f>
        <v>0</v>
      </c>
      <c r="R490">
        <f>IMDIV("1",IMSUM(I490,IMDIV("1",Q490)))</f>
        <v>0</v>
      </c>
      <c r="S490">
        <f>IMSUM(J490,R490)</f>
        <v>0</v>
      </c>
      <c r="T490">
        <f>IMDIV("1",IMSUM(K490,IMDIV("1",S490)))</f>
        <v>0</v>
      </c>
      <c r="U490">
        <f>IMSUM(L490,T490)</f>
        <v>0</v>
      </c>
      <c r="V490">
        <f>IMDIV(COMPLEX(I_DM_SOURCE,0),U490)</f>
        <v>0</v>
      </c>
      <c r="W490">
        <f>IMPRODUCT(V490,T490)</f>
        <v>0</v>
      </c>
      <c r="X490">
        <f>IMDIV(W490,S490)</f>
        <v>0</v>
      </c>
      <c r="Y490">
        <f>IMPRODUCT(X490,R490)</f>
        <v>0</v>
      </c>
      <c r="Z490">
        <f>IMDIV(Y490,Q490)</f>
        <v>0</v>
      </c>
      <c r="AA490">
        <f>IMPRODUCT(Z490,P490)</f>
        <v>0</v>
      </c>
      <c r="AB490">
        <f>AA490</f>
        <v>0</v>
      </c>
      <c r="AC490">
        <f>IMPRODUCT("-1",AB490)</f>
        <v>0</v>
      </c>
      <c r="AD490">
        <f>IMDIV(IMSUB(AB490,AC490),"2")</f>
        <v>0</v>
      </c>
      <c r="AE490" s="6">
        <f>IMABS(AB490)</f>
        <v>0</v>
      </c>
      <c r="AF490" s="6">
        <f>IMABS(AC490)</f>
        <v>0</v>
      </c>
      <c r="AG490" s="6">
        <f>IMABS(AD490)</f>
        <v>0</v>
      </c>
      <c r="AH490" s="7">
        <f>20*LOG10(MAX(AE490,1E-300)*1E6)</f>
        <v>0</v>
      </c>
      <c r="AI490" s="7">
        <f>20*LOG10(MAX(AF490,1E-300)*1E6)</f>
        <v>0</v>
      </c>
      <c r="AJ490" s="7">
        <f>20*LOG10(MAX(AG490,1E-300)*1E6)</f>
        <v>0</v>
      </c>
      <c r="AK490" s="7">
        <f>DEGREES(IMARGUMENT(AB490))</f>
        <v>0</v>
      </c>
      <c r="AL490" s="7">
        <f>DEGREES(IMARGUMENT(AC490))</f>
        <v>0</v>
      </c>
      <c r="AM490" s="7">
        <f>DEGREES(IMARGUMENT(AD490))</f>
        <v>0</v>
      </c>
    </row>
    <row r="491" spans="1:39">
      <c r="A491" s="6">
        <f>10^(LOG10(F_START)+(ROW()-ROW($A$2))*(LOG10(F_STOP)-LOG10(F_START))/(N_POINTS-1))</f>
        <v>0</v>
      </c>
      <c r="B491" s="6">
        <f>2*PI()*A491</f>
        <v>0</v>
      </c>
      <c r="C491">
        <f>COMPLEX(2*LINE_PS_DCR,2*B491*LINE_PS_L)</f>
        <v>0</v>
      </c>
      <c r="D491">
        <f>IMSUM(COMPLEX(0,B491*(LINE_PS_CLINE+LINE_PS_CCHA/2)),IMDIV("1",IMPRODUCT("2",COMPLEX(C_THROUGH_ESR,B491*C_THROUGH_ESL-1/(B491*C_THROUGH_C)))))</f>
        <v>0</v>
      </c>
      <c r="E491">
        <f>COMPLEX(2*LINE_INPUT_DCR,2*B491*LINE_INPUT_L)</f>
        <v>0</v>
      </c>
      <c r="F491">
        <f>COMPLEX(0,B491*(LINE_INPUT_CLINE+LINE_INPUT_CCHA/2))</f>
        <v>0</v>
      </c>
      <c r="G491">
        <f>IMPRODUCT("2",IMDIV("1",IMSUM(IMDIV("1",COMPLEX(LDM1_DCR,B491*LDM1_L)),COMPLEX(0,B491*LDM1_CPA))))</f>
        <v>0</v>
      </c>
      <c r="H491">
        <f>IMSUM(IMDIV("1",COMPLEX(CX1_ESR,B491*CX1_ESL-1/(B491*CX1_C))),IMDIV("1",IMSUM(COMPLEX(DUMP1_R,0),COMPLEX(DUMP1_ESR,B491*DUMP1_ESL-1/(B491*DUMP1_C)))))</f>
        <v>0</v>
      </c>
      <c r="I491">
        <f>IMPRODUCT("2",IMDIV("1",IMSUM(IMDIV("1",COMPLEX(LDM2_DCR,B491*LDM2_L)),COMPLEX(0,B491*LDM2_CPA))))</f>
        <v>0</v>
      </c>
      <c r="J491">
        <f>IMSUM(IMDIV("1",COMPLEX(CX2_ESR,B491*CX2_ESL-1/(B491*CX2_C))),IMDIV("1",IMSUM(COMPLEX(DUMP2_R,0),COMPLEX(DUMP2_ESR,B491*DUMP2_ESL-1/(B491*DUMP2_C)))))</f>
        <v>0</v>
      </c>
      <c r="K491">
        <f>IMPRODUCT("2",IMDIV("1",IMSUM(IMDIV("1",COMPLEX(CMC_DCR,B491*CMC_L*(1-CMC_K))),COMPLEX(0,B491*CMC_CPA))))</f>
        <v>0</v>
      </c>
      <c r="L491">
        <f>IMSUM(COMPLEX(0,B491*CMC_CLINE),IMDIV("1",IMPRODUCT("2",COMPLEX(CY_ESR,B491*CY_ESL-1/(B491*CY_C)))),COMPLEX(1/DUMMY_R,0))</f>
        <v>0</v>
      </c>
      <c r="M491">
        <f>IMSUM(D491,IMDIV("1",C491))</f>
        <v>0</v>
      </c>
      <c r="N491">
        <f>IMDIV("1",IMSUM(E491,IMDIV("1",M491)))</f>
        <v>0</v>
      </c>
      <c r="O491">
        <f>IMSUM(F491,N491)</f>
        <v>0</v>
      </c>
      <c r="P491">
        <f>IMDIV("1",IMSUM(G491,IMDIV("1",O491)))</f>
        <v>0</v>
      </c>
      <c r="Q491">
        <f>IMSUM(H491,P491)</f>
        <v>0</v>
      </c>
      <c r="R491">
        <f>IMDIV("1",IMSUM(I491,IMDIV("1",Q491)))</f>
        <v>0</v>
      </c>
      <c r="S491">
        <f>IMSUM(J491,R491)</f>
        <v>0</v>
      </c>
      <c r="T491">
        <f>IMDIV("1",IMSUM(K491,IMDIV("1",S491)))</f>
        <v>0</v>
      </c>
      <c r="U491">
        <f>IMSUM(L491,T491)</f>
        <v>0</v>
      </c>
      <c r="V491">
        <f>IMDIV(COMPLEX(I_DM_SOURCE,0),U491)</f>
        <v>0</v>
      </c>
      <c r="W491">
        <f>IMPRODUCT(V491,T491)</f>
        <v>0</v>
      </c>
      <c r="X491">
        <f>IMDIV(W491,S491)</f>
        <v>0</v>
      </c>
      <c r="Y491">
        <f>IMPRODUCT(X491,R491)</f>
        <v>0</v>
      </c>
      <c r="Z491">
        <f>IMDIV(Y491,Q491)</f>
        <v>0</v>
      </c>
      <c r="AA491">
        <f>IMPRODUCT(Z491,P491)</f>
        <v>0</v>
      </c>
      <c r="AB491">
        <f>AA491</f>
        <v>0</v>
      </c>
      <c r="AC491">
        <f>IMPRODUCT("-1",AB491)</f>
        <v>0</v>
      </c>
      <c r="AD491">
        <f>IMDIV(IMSUB(AB491,AC491),"2")</f>
        <v>0</v>
      </c>
      <c r="AE491" s="6">
        <f>IMABS(AB491)</f>
        <v>0</v>
      </c>
      <c r="AF491" s="6">
        <f>IMABS(AC491)</f>
        <v>0</v>
      </c>
      <c r="AG491" s="6">
        <f>IMABS(AD491)</f>
        <v>0</v>
      </c>
      <c r="AH491" s="7">
        <f>20*LOG10(MAX(AE491,1E-300)*1E6)</f>
        <v>0</v>
      </c>
      <c r="AI491" s="7">
        <f>20*LOG10(MAX(AF491,1E-300)*1E6)</f>
        <v>0</v>
      </c>
      <c r="AJ491" s="7">
        <f>20*LOG10(MAX(AG491,1E-300)*1E6)</f>
        <v>0</v>
      </c>
      <c r="AK491" s="7">
        <f>DEGREES(IMARGUMENT(AB491))</f>
        <v>0</v>
      </c>
      <c r="AL491" s="7">
        <f>DEGREES(IMARGUMENT(AC491))</f>
        <v>0</v>
      </c>
      <c r="AM491" s="7">
        <f>DEGREES(IMARGUMENT(AD491))</f>
        <v>0</v>
      </c>
    </row>
    <row r="492" spans="1:39">
      <c r="A492" s="6">
        <f>10^(LOG10(F_START)+(ROW()-ROW($A$2))*(LOG10(F_STOP)-LOG10(F_START))/(N_POINTS-1))</f>
        <v>0</v>
      </c>
      <c r="B492" s="6">
        <f>2*PI()*A492</f>
        <v>0</v>
      </c>
      <c r="C492">
        <f>COMPLEX(2*LINE_PS_DCR,2*B492*LINE_PS_L)</f>
        <v>0</v>
      </c>
      <c r="D492">
        <f>IMSUM(COMPLEX(0,B492*(LINE_PS_CLINE+LINE_PS_CCHA/2)),IMDIV("1",IMPRODUCT("2",COMPLEX(C_THROUGH_ESR,B492*C_THROUGH_ESL-1/(B492*C_THROUGH_C)))))</f>
        <v>0</v>
      </c>
      <c r="E492">
        <f>COMPLEX(2*LINE_INPUT_DCR,2*B492*LINE_INPUT_L)</f>
        <v>0</v>
      </c>
      <c r="F492">
        <f>COMPLEX(0,B492*(LINE_INPUT_CLINE+LINE_INPUT_CCHA/2))</f>
        <v>0</v>
      </c>
      <c r="G492">
        <f>IMPRODUCT("2",IMDIV("1",IMSUM(IMDIV("1",COMPLEX(LDM1_DCR,B492*LDM1_L)),COMPLEX(0,B492*LDM1_CPA))))</f>
        <v>0</v>
      </c>
      <c r="H492">
        <f>IMSUM(IMDIV("1",COMPLEX(CX1_ESR,B492*CX1_ESL-1/(B492*CX1_C))),IMDIV("1",IMSUM(COMPLEX(DUMP1_R,0),COMPLEX(DUMP1_ESR,B492*DUMP1_ESL-1/(B492*DUMP1_C)))))</f>
        <v>0</v>
      </c>
      <c r="I492">
        <f>IMPRODUCT("2",IMDIV("1",IMSUM(IMDIV("1",COMPLEX(LDM2_DCR,B492*LDM2_L)),COMPLEX(0,B492*LDM2_CPA))))</f>
        <v>0</v>
      </c>
      <c r="J492">
        <f>IMSUM(IMDIV("1",COMPLEX(CX2_ESR,B492*CX2_ESL-1/(B492*CX2_C))),IMDIV("1",IMSUM(COMPLEX(DUMP2_R,0),COMPLEX(DUMP2_ESR,B492*DUMP2_ESL-1/(B492*DUMP2_C)))))</f>
        <v>0</v>
      </c>
      <c r="K492">
        <f>IMPRODUCT("2",IMDIV("1",IMSUM(IMDIV("1",COMPLEX(CMC_DCR,B492*CMC_L*(1-CMC_K))),COMPLEX(0,B492*CMC_CPA))))</f>
        <v>0</v>
      </c>
      <c r="L492">
        <f>IMSUM(COMPLEX(0,B492*CMC_CLINE),IMDIV("1",IMPRODUCT("2",COMPLEX(CY_ESR,B492*CY_ESL-1/(B492*CY_C)))),COMPLEX(1/DUMMY_R,0))</f>
        <v>0</v>
      </c>
      <c r="M492">
        <f>IMSUM(D492,IMDIV("1",C492))</f>
        <v>0</v>
      </c>
      <c r="N492">
        <f>IMDIV("1",IMSUM(E492,IMDIV("1",M492)))</f>
        <v>0</v>
      </c>
      <c r="O492">
        <f>IMSUM(F492,N492)</f>
        <v>0</v>
      </c>
      <c r="P492">
        <f>IMDIV("1",IMSUM(G492,IMDIV("1",O492)))</f>
        <v>0</v>
      </c>
      <c r="Q492">
        <f>IMSUM(H492,P492)</f>
        <v>0</v>
      </c>
      <c r="R492">
        <f>IMDIV("1",IMSUM(I492,IMDIV("1",Q492)))</f>
        <v>0</v>
      </c>
      <c r="S492">
        <f>IMSUM(J492,R492)</f>
        <v>0</v>
      </c>
      <c r="T492">
        <f>IMDIV("1",IMSUM(K492,IMDIV("1",S492)))</f>
        <v>0</v>
      </c>
      <c r="U492">
        <f>IMSUM(L492,T492)</f>
        <v>0</v>
      </c>
      <c r="V492">
        <f>IMDIV(COMPLEX(I_DM_SOURCE,0),U492)</f>
        <v>0</v>
      </c>
      <c r="W492">
        <f>IMPRODUCT(V492,T492)</f>
        <v>0</v>
      </c>
      <c r="X492">
        <f>IMDIV(W492,S492)</f>
        <v>0</v>
      </c>
      <c r="Y492">
        <f>IMPRODUCT(X492,R492)</f>
        <v>0</v>
      </c>
      <c r="Z492">
        <f>IMDIV(Y492,Q492)</f>
        <v>0</v>
      </c>
      <c r="AA492">
        <f>IMPRODUCT(Z492,P492)</f>
        <v>0</v>
      </c>
      <c r="AB492">
        <f>AA492</f>
        <v>0</v>
      </c>
      <c r="AC492">
        <f>IMPRODUCT("-1",AB492)</f>
        <v>0</v>
      </c>
      <c r="AD492">
        <f>IMDIV(IMSUB(AB492,AC492),"2")</f>
        <v>0</v>
      </c>
      <c r="AE492" s="6">
        <f>IMABS(AB492)</f>
        <v>0</v>
      </c>
      <c r="AF492" s="6">
        <f>IMABS(AC492)</f>
        <v>0</v>
      </c>
      <c r="AG492" s="6">
        <f>IMABS(AD492)</f>
        <v>0</v>
      </c>
      <c r="AH492" s="7">
        <f>20*LOG10(MAX(AE492,1E-300)*1E6)</f>
        <v>0</v>
      </c>
      <c r="AI492" s="7">
        <f>20*LOG10(MAX(AF492,1E-300)*1E6)</f>
        <v>0</v>
      </c>
      <c r="AJ492" s="7">
        <f>20*LOG10(MAX(AG492,1E-300)*1E6)</f>
        <v>0</v>
      </c>
      <c r="AK492" s="7">
        <f>DEGREES(IMARGUMENT(AB492))</f>
        <v>0</v>
      </c>
      <c r="AL492" s="7">
        <f>DEGREES(IMARGUMENT(AC492))</f>
        <v>0</v>
      </c>
      <c r="AM492" s="7">
        <f>DEGREES(IMARGUMENT(AD492))</f>
        <v>0</v>
      </c>
    </row>
    <row r="493" spans="1:39">
      <c r="A493" s="6">
        <f>10^(LOG10(F_START)+(ROW()-ROW($A$2))*(LOG10(F_STOP)-LOG10(F_START))/(N_POINTS-1))</f>
        <v>0</v>
      </c>
      <c r="B493" s="6">
        <f>2*PI()*A493</f>
        <v>0</v>
      </c>
      <c r="C493">
        <f>COMPLEX(2*LINE_PS_DCR,2*B493*LINE_PS_L)</f>
        <v>0</v>
      </c>
      <c r="D493">
        <f>IMSUM(COMPLEX(0,B493*(LINE_PS_CLINE+LINE_PS_CCHA/2)),IMDIV("1",IMPRODUCT("2",COMPLEX(C_THROUGH_ESR,B493*C_THROUGH_ESL-1/(B493*C_THROUGH_C)))))</f>
        <v>0</v>
      </c>
      <c r="E493">
        <f>COMPLEX(2*LINE_INPUT_DCR,2*B493*LINE_INPUT_L)</f>
        <v>0</v>
      </c>
      <c r="F493">
        <f>COMPLEX(0,B493*(LINE_INPUT_CLINE+LINE_INPUT_CCHA/2))</f>
        <v>0</v>
      </c>
      <c r="G493">
        <f>IMPRODUCT("2",IMDIV("1",IMSUM(IMDIV("1",COMPLEX(LDM1_DCR,B493*LDM1_L)),COMPLEX(0,B493*LDM1_CPA))))</f>
        <v>0</v>
      </c>
      <c r="H493">
        <f>IMSUM(IMDIV("1",COMPLEX(CX1_ESR,B493*CX1_ESL-1/(B493*CX1_C))),IMDIV("1",IMSUM(COMPLEX(DUMP1_R,0),COMPLEX(DUMP1_ESR,B493*DUMP1_ESL-1/(B493*DUMP1_C)))))</f>
        <v>0</v>
      </c>
      <c r="I493">
        <f>IMPRODUCT("2",IMDIV("1",IMSUM(IMDIV("1",COMPLEX(LDM2_DCR,B493*LDM2_L)),COMPLEX(0,B493*LDM2_CPA))))</f>
        <v>0</v>
      </c>
      <c r="J493">
        <f>IMSUM(IMDIV("1",COMPLEX(CX2_ESR,B493*CX2_ESL-1/(B493*CX2_C))),IMDIV("1",IMSUM(COMPLEX(DUMP2_R,0),COMPLEX(DUMP2_ESR,B493*DUMP2_ESL-1/(B493*DUMP2_C)))))</f>
        <v>0</v>
      </c>
      <c r="K493">
        <f>IMPRODUCT("2",IMDIV("1",IMSUM(IMDIV("1",COMPLEX(CMC_DCR,B493*CMC_L*(1-CMC_K))),COMPLEX(0,B493*CMC_CPA))))</f>
        <v>0</v>
      </c>
      <c r="L493">
        <f>IMSUM(COMPLEX(0,B493*CMC_CLINE),IMDIV("1",IMPRODUCT("2",COMPLEX(CY_ESR,B493*CY_ESL-1/(B493*CY_C)))),COMPLEX(1/DUMMY_R,0))</f>
        <v>0</v>
      </c>
      <c r="M493">
        <f>IMSUM(D493,IMDIV("1",C493))</f>
        <v>0</v>
      </c>
      <c r="N493">
        <f>IMDIV("1",IMSUM(E493,IMDIV("1",M493)))</f>
        <v>0</v>
      </c>
      <c r="O493">
        <f>IMSUM(F493,N493)</f>
        <v>0</v>
      </c>
      <c r="P493">
        <f>IMDIV("1",IMSUM(G493,IMDIV("1",O493)))</f>
        <v>0</v>
      </c>
      <c r="Q493">
        <f>IMSUM(H493,P493)</f>
        <v>0</v>
      </c>
      <c r="R493">
        <f>IMDIV("1",IMSUM(I493,IMDIV("1",Q493)))</f>
        <v>0</v>
      </c>
      <c r="S493">
        <f>IMSUM(J493,R493)</f>
        <v>0</v>
      </c>
      <c r="T493">
        <f>IMDIV("1",IMSUM(K493,IMDIV("1",S493)))</f>
        <v>0</v>
      </c>
      <c r="U493">
        <f>IMSUM(L493,T493)</f>
        <v>0</v>
      </c>
      <c r="V493">
        <f>IMDIV(COMPLEX(I_DM_SOURCE,0),U493)</f>
        <v>0</v>
      </c>
      <c r="W493">
        <f>IMPRODUCT(V493,T493)</f>
        <v>0</v>
      </c>
      <c r="X493">
        <f>IMDIV(W493,S493)</f>
        <v>0</v>
      </c>
      <c r="Y493">
        <f>IMPRODUCT(X493,R493)</f>
        <v>0</v>
      </c>
      <c r="Z493">
        <f>IMDIV(Y493,Q493)</f>
        <v>0</v>
      </c>
      <c r="AA493">
        <f>IMPRODUCT(Z493,P493)</f>
        <v>0</v>
      </c>
      <c r="AB493">
        <f>AA493</f>
        <v>0</v>
      </c>
      <c r="AC493">
        <f>IMPRODUCT("-1",AB493)</f>
        <v>0</v>
      </c>
      <c r="AD493">
        <f>IMDIV(IMSUB(AB493,AC493),"2")</f>
        <v>0</v>
      </c>
      <c r="AE493" s="6">
        <f>IMABS(AB493)</f>
        <v>0</v>
      </c>
      <c r="AF493" s="6">
        <f>IMABS(AC493)</f>
        <v>0</v>
      </c>
      <c r="AG493" s="6">
        <f>IMABS(AD493)</f>
        <v>0</v>
      </c>
      <c r="AH493" s="7">
        <f>20*LOG10(MAX(AE493,1E-300)*1E6)</f>
        <v>0</v>
      </c>
      <c r="AI493" s="7">
        <f>20*LOG10(MAX(AF493,1E-300)*1E6)</f>
        <v>0</v>
      </c>
      <c r="AJ493" s="7">
        <f>20*LOG10(MAX(AG493,1E-300)*1E6)</f>
        <v>0</v>
      </c>
      <c r="AK493" s="7">
        <f>DEGREES(IMARGUMENT(AB493))</f>
        <v>0</v>
      </c>
      <c r="AL493" s="7">
        <f>DEGREES(IMARGUMENT(AC493))</f>
        <v>0</v>
      </c>
      <c r="AM493" s="7">
        <f>DEGREES(IMARGUMENT(AD493))</f>
        <v>0</v>
      </c>
    </row>
    <row r="494" spans="1:39">
      <c r="A494" s="6">
        <f>10^(LOG10(F_START)+(ROW()-ROW($A$2))*(LOG10(F_STOP)-LOG10(F_START))/(N_POINTS-1))</f>
        <v>0</v>
      </c>
      <c r="B494" s="6">
        <f>2*PI()*A494</f>
        <v>0</v>
      </c>
      <c r="C494">
        <f>COMPLEX(2*LINE_PS_DCR,2*B494*LINE_PS_L)</f>
        <v>0</v>
      </c>
      <c r="D494">
        <f>IMSUM(COMPLEX(0,B494*(LINE_PS_CLINE+LINE_PS_CCHA/2)),IMDIV("1",IMPRODUCT("2",COMPLEX(C_THROUGH_ESR,B494*C_THROUGH_ESL-1/(B494*C_THROUGH_C)))))</f>
        <v>0</v>
      </c>
      <c r="E494">
        <f>COMPLEX(2*LINE_INPUT_DCR,2*B494*LINE_INPUT_L)</f>
        <v>0</v>
      </c>
      <c r="F494">
        <f>COMPLEX(0,B494*(LINE_INPUT_CLINE+LINE_INPUT_CCHA/2))</f>
        <v>0</v>
      </c>
      <c r="G494">
        <f>IMPRODUCT("2",IMDIV("1",IMSUM(IMDIV("1",COMPLEX(LDM1_DCR,B494*LDM1_L)),COMPLEX(0,B494*LDM1_CPA))))</f>
        <v>0</v>
      </c>
      <c r="H494">
        <f>IMSUM(IMDIV("1",COMPLEX(CX1_ESR,B494*CX1_ESL-1/(B494*CX1_C))),IMDIV("1",IMSUM(COMPLEX(DUMP1_R,0),COMPLEX(DUMP1_ESR,B494*DUMP1_ESL-1/(B494*DUMP1_C)))))</f>
        <v>0</v>
      </c>
      <c r="I494">
        <f>IMPRODUCT("2",IMDIV("1",IMSUM(IMDIV("1",COMPLEX(LDM2_DCR,B494*LDM2_L)),COMPLEX(0,B494*LDM2_CPA))))</f>
        <v>0</v>
      </c>
      <c r="J494">
        <f>IMSUM(IMDIV("1",COMPLEX(CX2_ESR,B494*CX2_ESL-1/(B494*CX2_C))),IMDIV("1",IMSUM(COMPLEX(DUMP2_R,0),COMPLEX(DUMP2_ESR,B494*DUMP2_ESL-1/(B494*DUMP2_C)))))</f>
        <v>0</v>
      </c>
      <c r="K494">
        <f>IMPRODUCT("2",IMDIV("1",IMSUM(IMDIV("1",COMPLEX(CMC_DCR,B494*CMC_L*(1-CMC_K))),COMPLEX(0,B494*CMC_CPA))))</f>
        <v>0</v>
      </c>
      <c r="L494">
        <f>IMSUM(COMPLEX(0,B494*CMC_CLINE),IMDIV("1",IMPRODUCT("2",COMPLEX(CY_ESR,B494*CY_ESL-1/(B494*CY_C)))),COMPLEX(1/DUMMY_R,0))</f>
        <v>0</v>
      </c>
      <c r="M494">
        <f>IMSUM(D494,IMDIV("1",C494))</f>
        <v>0</v>
      </c>
      <c r="N494">
        <f>IMDIV("1",IMSUM(E494,IMDIV("1",M494)))</f>
        <v>0</v>
      </c>
      <c r="O494">
        <f>IMSUM(F494,N494)</f>
        <v>0</v>
      </c>
      <c r="P494">
        <f>IMDIV("1",IMSUM(G494,IMDIV("1",O494)))</f>
        <v>0</v>
      </c>
      <c r="Q494">
        <f>IMSUM(H494,P494)</f>
        <v>0</v>
      </c>
      <c r="R494">
        <f>IMDIV("1",IMSUM(I494,IMDIV("1",Q494)))</f>
        <v>0</v>
      </c>
      <c r="S494">
        <f>IMSUM(J494,R494)</f>
        <v>0</v>
      </c>
      <c r="T494">
        <f>IMDIV("1",IMSUM(K494,IMDIV("1",S494)))</f>
        <v>0</v>
      </c>
      <c r="U494">
        <f>IMSUM(L494,T494)</f>
        <v>0</v>
      </c>
      <c r="V494">
        <f>IMDIV(COMPLEX(I_DM_SOURCE,0),U494)</f>
        <v>0</v>
      </c>
      <c r="W494">
        <f>IMPRODUCT(V494,T494)</f>
        <v>0</v>
      </c>
      <c r="X494">
        <f>IMDIV(W494,S494)</f>
        <v>0</v>
      </c>
      <c r="Y494">
        <f>IMPRODUCT(X494,R494)</f>
        <v>0</v>
      </c>
      <c r="Z494">
        <f>IMDIV(Y494,Q494)</f>
        <v>0</v>
      </c>
      <c r="AA494">
        <f>IMPRODUCT(Z494,P494)</f>
        <v>0</v>
      </c>
      <c r="AB494">
        <f>AA494</f>
        <v>0</v>
      </c>
      <c r="AC494">
        <f>IMPRODUCT("-1",AB494)</f>
        <v>0</v>
      </c>
      <c r="AD494">
        <f>IMDIV(IMSUB(AB494,AC494),"2")</f>
        <v>0</v>
      </c>
      <c r="AE494" s="6">
        <f>IMABS(AB494)</f>
        <v>0</v>
      </c>
      <c r="AF494" s="6">
        <f>IMABS(AC494)</f>
        <v>0</v>
      </c>
      <c r="AG494" s="6">
        <f>IMABS(AD494)</f>
        <v>0</v>
      </c>
      <c r="AH494" s="7">
        <f>20*LOG10(MAX(AE494,1E-300)*1E6)</f>
        <v>0</v>
      </c>
      <c r="AI494" s="7">
        <f>20*LOG10(MAX(AF494,1E-300)*1E6)</f>
        <v>0</v>
      </c>
      <c r="AJ494" s="7">
        <f>20*LOG10(MAX(AG494,1E-300)*1E6)</f>
        <v>0</v>
      </c>
      <c r="AK494" s="7">
        <f>DEGREES(IMARGUMENT(AB494))</f>
        <v>0</v>
      </c>
      <c r="AL494" s="7">
        <f>DEGREES(IMARGUMENT(AC494))</f>
        <v>0</v>
      </c>
      <c r="AM494" s="7">
        <f>DEGREES(IMARGUMENT(AD494))</f>
        <v>0</v>
      </c>
    </row>
    <row r="495" spans="1:39">
      <c r="A495" s="6">
        <f>10^(LOG10(F_START)+(ROW()-ROW($A$2))*(LOG10(F_STOP)-LOG10(F_START))/(N_POINTS-1))</f>
        <v>0</v>
      </c>
      <c r="B495" s="6">
        <f>2*PI()*A495</f>
        <v>0</v>
      </c>
      <c r="C495">
        <f>COMPLEX(2*LINE_PS_DCR,2*B495*LINE_PS_L)</f>
        <v>0</v>
      </c>
      <c r="D495">
        <f>IMSUM(COMPLEX(0,B495*(LINE_PS_CLINE+LINE_PS_CCHA/2)),IMDIV("1",IMPRODUCT("2",COMPLEX(C_THROUGH_ESR,B495*C_THROUGH_ESL-1/(B495*C_THROUGH_C)))))</f>
        <v>0</v>
      </c>
      <c r="E495">
        <f>COMPLEX(2*LINE_INPUT_DCR,2*B495*LINE_INPUT_L)</f>
        <v>0</v>
      </c>
      <c r="F495">
        <f>COMPLEX(0,B495*(LINE_INPUT_CLINE+LINE_INPUT_CCHA/2))</f>
        <v>0</v>
      </c>
      <c r="G495">
        <f>IMPRODUCT("2",IMDIV("1",IMSUM(IMDIV("1",COMPLEX(LDM1_DCR,B495*LDM1_L)),COMPLEX(0,B495*LDM1_CPA))))</f>
        <v>0</v>
      </c>
      <c r="H495">
        <f>IMSUM(IMDIV("1",COMPLEX(CX1_ESR,B495*CX1_ESL-1/(B495*CX1_C))),IMDIV("1",IMSUM(COMPLEX(DUMP1_R,0),COMPLEX(DUMP1_ESR,B495*DUMP1_ESL-1/(B495*DUMP1_C)))))</f>
        <v>0</v>
      </c>
      <c r="I495">
        <f>IMPRODUCT("2",IMDIV("1",IMSUM(IMDIV("1",COMPLEX(LDM2_DCR,B495*LDM2_L)),COMPLEX(0,B495*LDM2_CPA))))</f>
        <v>0</v>
      </c>
      <c r="J495">
        <f>IMSUM(IMDIV("1",COMPLEX(CX2_ESR,B495*CX2_ESL-1/(B495*CX2_C))),IMDIV("1",IMSUM(COMPLEX(DUMP2_R,0),COMPLEX(DUMP2_ESR,B495*DUMP2_ESL-1/(B495*DUMP2_C)))))</f>
        <v>0</v>
      </c>
      <c r="K495">
        <f>IMPRODUCT("2",IMDIV("1",IMSUM(IMDIV("1",COMPLEX(CMC_DCR,B495*CMC_L*(1-CMC_K))),COMPLEX(0,B495*CMC_CPA))))</f>
        <v>0</v>
      </c>
      <c r="L495">
        <f>IMSUM(COMPLEX(0,B495*CMC_CLINE),IMDIV("1",IMPRODUCT("2",COMPLEX(CY_ESR,B495*CY_ESL-1/(B495*CY_C)))),COMPLEX(1/DUMMY_R,0))</f>
        <v>0</v>
      </c>
      <c r="M495">
        <f>IMSUM(D495,IMDIV("1",C495))</f>
        <v>0</v>
      </c>
      <c r="N495">
        <f>IMDIV("1",IMSUM(E495,IMDIV("1",M495)))</f>
        <v>0</v>
      </c>
      <c r="O495">
        <f>IMSUM(F495,N495)</f>
        <v>0</v>
      </c>
      <c r="P495">
        <f>IMDIV("1",IMSUM(G495,IMDIV("1",O495)))</f>
        <v>0</v>
      </c>
      <c r="Q495">
        <f>IMSUM(H495,P495)</f>
        <v>0</v>
      </c>
      <c r="R495">
        <f>IMDIV("1",IMSUM(I495,IMDIV("1",Q495)))</f>
        <v>0</v>
      </c>
      <c r="S495">
        <f>IMSUM(J495,R495)</f>
        <v>0</v>
      </c>
      <c r="T495">
        <f>IMDIV("1",IMSUM(K495,IMDIV("1",S495)))</f>
        <v>0</v>
      </c>
      <c r="U495">
        <f>IMSUM(L495,T495)</f>
        <v>0</v>
      </c>
      <c r="V495">
        <f>IMDIV(COMPLEX(I_DM_SOURCE,0),U495)</f>
        <v>0</v>
      </c>
      <c r="W495">
        <f>IMPRODUCT(V495,T495)</f>
        <v>0</v>
      </c>
      <c r="X495">
        <f>IMDIV(W495,S495)</f>
        <v>0</v>
      </c>
      <c r="Y495">
        <f>IMPRODUCT(X495,R495)</f>
        <v>0</v>
      </c>
      <c r="Z495">
        <f>IMDIV(Y495,Q495)</f>
        <v>0</v>
      </c>
      <c r="AA495">
        <f>IMPRODUCT(Z495,P495)</f>
        <v>0</v>
      </c>
      <c r="AB495">
        <f>AA495</f>
        <v>0</v>
      </c>
      <c r="AC495">
        <f>IMPRODUCT("-1",AB495)</f>
        <v>0</v>
      </c>
      <c r="AD495">
        <f>IMDIV(IMSUB(AB495,AC495),"2")</f>
        <v>0</v>
      </c>
      <c r="AE495" s="6">
        <f>IMABS(AB495)</f>
        <v>0</v>
      </c>
      <c r="AF495" s="6">
        <f>IMABS(AC495)</f>
        <v>0</v>
      </c>
      <c r="AG495" s="6">
        <f>IMABS(AD495)</f>
        <v>0</v>
      </c>
      <c r="AH495" s="7">
        <f>20*LOG10(MAX(AE495,1E-300)*1E6)</f>
        <v>0</v>
      </c>
      <c r="AI495" s="7">
        <f>20*LOG10(MAX(AF495,1E-300)*1E6)</f>
        <v>0</v>
      </c>
      <c r="AJ495" s="7">
        <f>20*LOG10(MAX(AG495,1E-300)*1E6)</f>
        <v>0</v>
      </c>
      <c r="AK495" s="7">
        <f>DEGREES(IMARGUMENT(AB495))</f>
        <v>0</v>
      </c>
      <c r="AL495" s="7">
        <f>DEGREES(IMARGUMENT(AC495))</f>
        <v>0</v>
      </c>
      <c r="AM495" s="7">
        <f>DEGREES(IMARGUMENT(AD495))</f>
        <v>0</v>
      </c>
    </row>
    <row r="496" spans="1:39">
      <c r="A496" s="6">
        <f>10^(LOG10(F_START)+(ROW()-ROW($A$2))*(LOG10(F_STOP)-LOG10(F_START))/(N_POINTS-1))</f>
        <v>0</v>
      </c>
      <c r="B496" s="6">
        <f>2*PI()*A496</f>
        <v>0</v>
      </c>
      <c r="C496">
        <f>COMPLEX(2*LINE_PS_DCR,2*B496*LINE_PS_L)</f>
        <v>0</v>
      </c>
      <c r="D496">
        <f>IMSUM(COMPLEX(0,B496*(LINE_PS_CLINE+LINE_PS_CCHA/2)),IMDIV("1",IMPRODUCT("2",COMPLEX(C_THROUGH_ESR,B496*C_THROUGH_ESL-1/(B496*C_THROUGH_C)))))</f>
        <v>0</v>
      </c>
      <c r="E496">
        <f>COMPLEX(2*LINE_INPUT_DCR,2*B496*LINE_INPUT_L)</f>
        <v>0</v>
      </c>
      <c r="F496">
        <f>COMPLEX(0,B496*(LINE_INPUT_CLINE+LINE_INPUT_CCHA/2))</f>
        <v>0</v>
      </c>
      <c r="G496">
        <f>IMPRODUCT("2",IMDIV("1",IMSUM(IMDIV("1",COMPLEX(LDM1_DCR,B496*LDM1_L)),COMPLEX(0,B496*LDM1_CPA))))</f>
        <v>0</v>
      </c>
      <c r="H496">
        <f>IMSUM(IMDIV("1",COMPLEX(CX1_ESR,B496*CX1_ESL-1/(B496*CX1_C))),IMDIV("1",IMSUM(COMPLEX(DUMP1_R,0),COMPLEX(DUMP1_ESR,B496*DUMP1_ESL-1/(B496*DUMP1_C)))))</f>
        <v>0</v>
      </c>
      <c r="I496">
        <f>IMPRODUCT("2",IMDIV("1",IMSUM(IMDIV("1",COMPLEX(LDM2_DCR,B496*LDM2_L)),COMPLEX(0,B496*LDM2_CPA))))</f>
        <v>0</v>
      </c>
      <c r="J496">
        <f>IMSUM(IMDIV("1",COMPLEX(CX2_ESR,B496*CX2_ESL-1/(B496*CX2_C))),IMDIV("1",IMSUM(COMPLEX(DUMP2_R,0),COMPLEX(DUMP2_ESR,B496*DUMP2_ESL-1/(B496*DUMP2_C)))))</f>
        <v>0</v>
      </c>
      <c r="K496">
        <f>IMPRODUCT("2",IMDIV("1",IMSUM(IMDIV("1",COMPLEX(CMC_DCR,B496*CMC_L*(1-CMC_K))),COMPLEX(0,B496*CMC_CPA))))</f>
        <v>0</v>
      </c>
      <c r="L496">
        <f>IMSUM(COMPLEX(0,B496*CMC_CLINE),IMDIV("1",IMPRODUCT("2",COMPLEX(CY_ESR,B496*CY_ESL-1/(B496*CY_C)))),COMPLEX(1/DUMMY_R,0))</f>
        <v>0</v>
      </c>
      <c r="M496">
        <f>IMSUM(D496,IMDIV("1",C496))</f>
        <v>0</v>
      </c>
      <c r="N496">
        <f>IMDIV("1",IMSUM(E496,IMDIV("1",M496)))</f>
        <v>0</v>
      </c>
      <c r="O496">
        <f>IMSUM(F496,N496)</f>
        <v>0</v>
      </c>
      <c r="P496">
        <f>IMDIV("1",IMSUM(G496,IMDIV("1",O496)))</f>
        <v>0</v>
      </c>
      <c r="Q496">
        <f>IMSUM(H496,P496)</f>
        <v>0</v>
      </c>
      <c r="R496">
        <f>IMDIV("1",IMSUM(I496,IMDIV("1",Q496)))</f>
        <v>0</v>
      </c>
      <c r="S496">
        <f>IMSUM(J496,R496)</f>
        <v>0</v>
      </c>
      <c r="T496">
        <f>IMDIV("1",IMSUM(K496,IMDIV("1",S496)))</f>
        <v>0</v>
      </c>
      <c r="U496">
        <f>IMSUM(L496,T496)</f>
        <v>0</v>
      </c>
      <c r="V496">
        <f>IMDIV(COMPLEX(I_DM_SOURCE,0),U496)</f>
        <v>0</v>
      </c>
      <c r="W496">
        <f>IMPRODUCT(V496,T496)</f>
        <v>0</v>
      </c>
      <c r="X496">
        <f>IMDIV(W496,S496)</f>
        <v>0</v>
      </c>
      <c r="Y496">
        <f>IMPRODUCT(X496,R496)</f>
        <v>0</v>
      </c>
      <c r="Z496">
        <f>IMDIV(Y496,Q496)</f>
        <v>0</v>
      </c>
      <c r="AA496">
        <f>IMPRODUCT(Z496,P496)</f>
        <v>0</v>
      </c>
      <c r="AB496">
        <f>AA496</f>
        <v>0</v>
      </c>
      <c r="AC496">
        <f>IMPRODUCT("-1",AB496)</f>
        <v>0</v>
      </c>
      <c r="AD496">
        <f>IMDIV(IMSUB(AB496,AC496),"2")</f>
        <v>0</v>
      </c>
      <c r="AE496" s="6">
        <f>IMABS(AB496)</f>
        <v>0</v>
      </c>
      <c r="AF496" s="6">
        <f>IMABS(AC496)</f>
        <v>0</v>
      </c>
      <c r="AG496" s="6">
        <f>IMABS(AD496)</f>
        <v>0</v>
      </c>
      <c r="AH496" s="7">
        <f>20*LOG10(MAX(AE496,1E-300)*1E6)</f>
        <v>0</v>
      </c>
      <c r="AI496" s="7">
        <f>20*LOG10(MAX(AF496,1E-300)*1E6)</f>
        <v>0</v>
      </c>
      <c r="AJ496" s="7">
        <f>20*LOG10(MAX(AG496,1E-300)*1E6)</f>
        <v>0</v>
      </c>
      <c r="AK496" s="7">
        <f>DEGREES(IMARGUMENT(AB496))</f>
        <v>0</v>
      </c>
      <c r="AL496" s="7">
        <f>DEGREES(IMARGUMENT(AC496))</f>
        <v>0</v>
      </c>
      <c r="AM496" s="7">
        <f>DEGREES(IMARGUMENT(AD496))</f>
        <v>0</v>
      </c>
    </row>
    <row r="497" spans="1:39">
      <c r="A497" s="6">
        <f>10^(LOG10(F_START)+(ROW()-ROW($A$2))*(LOG10(F_STOP)-LOG10(F_START))/(N_POINTS-1))</f>
        <v>0</v>
      </c>
      <c r="B497" s="6">
        <f>2*PI()*A497</f>
        <v>0</v>
      </c>
      <c r="C497">
        <f>COMPLEX(2*LINE_PS_DCR,2*B497*LINE_PS_L)</f>
        <v>0</v>
      </c>
      <c r="D497">
        <f>IMSUM(COMPLEX(0,B497*(LINE_PS_CLINE+LINE_PS_CCHA/2)),IMDIV("1",IMPRODUCT("2",COMPLEX(C_THROUGH_ESR,B497*C_THROUGH_ESL-1/(B497*C_THROUGH_C)))))</f>
        <v>0</v>
      </c>
      <c r="E497">
        <f>COMPLEX(2*LINE_INPUT_DCR,2*B497*LINE_INPUT_L)</f>
        <v>0</v>
      </c>
      <c r="F497">
        <f>COMPLEX(0,B497*(LINE_INPUT_CLINE+LINE_INPUT_CCHA/2))</f>
        <v>0</v>
      </c>
      <c r="G497">
        <f>IMPRODUCT("2",IMDIV("1",IMSUM(IMDIV("1",COMPLEX(LDM1_DCR,B497*LDM1_L)),COMPLEX(0,B497*LDM1_CPA))))</f>
        <v>0</v>
      </c>
      <c r="H497">
        <f>IMSUM(IMDIV("1",COMPLEX(CX1_ESR,B497*CX1_ESL-1/(B497*CX1_C))),IMDIV("1",IMSUM(COMPLEX(DUMP1_R,0),COMPLEX(DUMP1_ESR,B497*DUMP1_ESL-1/(B497*DUMP1_C)))))</f>
        <v>0</v>
      </c>
      <c r="I497">
        <f>IMPRODUCT("2",IMDIV("1",IMSUM(IMDIV("1",COMPLEX(LDM2_DCR,B497*LDM2_L)),COMPLEX(0,B497*LDM2_CPA))))</f>
        <v>0</v>
      </c>
      <c r="J497">
        <f>IMSUM(IMDIV("1",COMPLEX(CX2_ESR,B497*CX2_ESL-1/(B497*CX2_C))),IMDIV("1",IMSUM(COMPLEX(DUMP2_R,0),COMPLEX(DUMP2_ESR,B497*DUMP2_ESL-1/(B497*DUMP2_C)))))</f>
        <v>0</v>
      </c>
      <c r="K497">
        <f>IMPRODUCT("2",IMDIV("1",IMSUM(IMDIV("1",COMPLEX(CMC_DCR,B497*CMC_L*(1-CMC_K))),COMPLEX(0,B497*CMC_CPA))))</f>
        <v>0</v>
      </c>
      <c r="L497">
        <f>IMSUM(COMPLEX(0,B497*CMC_CLINE),IMDIV("1",IMPRODUCT("2",COMPLEX(CY_ESR,B497*CY_ESL-1/(B497*CY_C)))),COMPLEX(1/DUMMY_R,0))</f>
        <v>0</v>
      </c>
      <c r="M497">
        <f>IMSUM(D497,IMDIV("1",C497))</f>
        <v>0</v>
      </c>
      <c r="N497">
        <f>IMDIV("1",IMSUM(E497,IMDIV("1",M497)))</f>
        <v>0</v>
      </c>
      <c r="O497">
        <f>IMSUM(F497,N497)</f>
        <v>0</v>
      </c>
      <c r="P497">
        <f>IMDIV("1",IMSUM(G497,IMDIV("1",O497)))</f>
        <v>0</v>
      </c>
      <c r="Q497">
        <f>IMSUM(H497,P497)</f>
        <v>0</v>
      </c>
      <c r="R497">
        <f>IMDIV("1",IMSUM(I497,IMDIV("1",Q497)))</f>
        <v>0</v>
      </c>
      <c r="S497">
        <f>IMSUM(J497,R497)</f>
        <v>0</v>
      </c>
      <c r="T497">
        <f>IMDIV("1",IMSUM(K497,IMDIV("1",S497)))</f>
        <v>0</v>
      </c>
      <c r="U497">
        <f>IMSUM(L497,T497)</f>
        <v>0</v>
      </c>
      <c r="V497">
        <f>IMDIV(COMPLEX(I_DM_SOURCE,0),U497)</f>
        <v>0</v>
      </c>
      <c r="W497">
        <f>IMPRODUCT(V497,T497)</f>
        <v>0</v>
      </c>
      <c r="X497">
        <f>IMDIV(W497,S497)</f>
        <v>0</v>
      </c>
      <c r="Y497">
        <f>IMPRODUCT(X497,R497)</f>
        <v>0</v>
      </c>
      <c r="Z497">
        <f>IMDIV(Y497,Q497)</f>
        <v>0</v>
      </c>
      <c r="AA497">
        <f>IMPRODUCT(Z497,P497)</f>
        <v>0</v>
      </c>
      <c r="AB497">
        <f>AA497</f>
        <v>0</v>
      </c>
      <c r="AC497">
        <f>IMPRODUCT("-1",AB497)</f>
        <v>0</v>
      </c>
      <c r="AD497">
        <f>IMDIV(IMSUB(AB497,AC497),"2")</f>
        <v>0</v>
      </c>
      <c r="AE497" s="6">
        <f>IMABS(AB497)</f>
        <v>0</v>
      </c>
      <c r="AF497" s="6">
        <f>IMABS(AC497)</f>
        <v>0</v>
      </c>
      <c r="AG497" s="6">
        <f>IMABS(AD497)</f>
        <v>0</v>
      </c>
      <c r="AH497" s="7">
        <f>20*LOG10(MAX(AE497,1E-300)*1E6)</f>
        <v>0</v>
      </c>
      <c r="AI497" s="7">
        <f>20*LOG10(MAX(AF497,1E-300)*1E6)</f>
        <v>0</v>
      </c>
      <c r="AJ497" s="7">
        <f>20*LOG10(MAX(AG497,1E-300)*1E6)</f>
        <v>0</v>
      </c>
      <c r="AK497" s="7">
        <f>DEGREES(IMARGUMENT(AB497))</f>
        <v>0</v>
      </c>
      <c r="AL497" s="7">
        <f>DEGREES(IMARGUMENT(AC497))</f>
        <v>0</v>
      </c>
      <c r="AM497" s="7">
        <f>DEGREES(IMARGUMENT(AD497))</f>
        <v>0</v>
      </c>
    </row>
    <row r="498" spans="1:39">
      <c r="A498" s="6">
        <f>10^(LOG10(F_START)+(ROW()-ROW($A$2))*(LOG10(F_STOP)-LOG10(F_START))/(N_POINTS-1))</f>
        <v>0</v>
      </c>
      <c r="B498" s="6">
        <f>2*PI()*A498</f>
        <v>0</v>
      </c>
      <c r="C498">
        <f>COMPLEX(2*LINE_PS_DCR,2*B498*LINE_PS_L)</f>
        <v>0</v>
      </c>
      <c r="D498">
        <f>IMSUM(COMPLEX(0,B498*(LINE_PS_CLINE+LINE_PS_CCHA/2)),IMDIV("1",IMPRODUCT("2",COMPLEX(C_THROUGH_ESR,B498*C_THROUGH_ESL-1/(B498*C_THROUGH_C)))))</f>
        <v>0</v>
      </c>
      <c r="E498">
        <f>COMPLEX(2*LINE_INPUT_DCR,2*B498*LINE_INPUT_L)</f>
        <v>0</v>
      </c>
      <c r="F498">
        <f>COMPLEX(0,B498*(LINE_INPUT_CLINE+LINE_INPUT_CCHA/2))</f>
        <v>0</v>
      </c>
      <c r="G498">
        <f>IMPRODUCT("2",IMDIV("1",IMSUM(IMDIV("1",COMPLEX(LDM1_DCR,B498*LDM1_L)),COMPLEX(0,B498*LDM1_CPA))))</f>
        <v>0</v>
      </c>
      <c r="H498">
        <f>IMSUM(IMDIV("1",COMPLEX(CX1_ESR,B498*CX1_ESL-1/(B498*CX1_C))),IMDIV("1",IMSUM(COMPLEX(DUMP1_R,0),COMPLEX(DUMP1_ESR,B498*DUMP1_ESL-1/(B498*DUMP1_C)))))</f>
        <v>0</v>
      </c>
      <c r="I498">
        <f>IMPRODUCT("2",IMDIV("1",IMSUM(IMDIV("1",COMPLEX(LDM2_DCR,B498*LDM2_L)),COMPLEX(0,B498*LDM2_CPA))))</f>
        <v>0</v>
      </c>
      <c r="J498">
        <f>IMSUM(IMDIV("1",COMPLEX(CX2_ESR,B498*CX2_ESL-1/(B498*CX2_C))),IMDIV("1",IMSUM(COMPLEX(DUMP2_R,0),COMPLEX(DUMP2_ESR,B498*DUMP2_ESL-1/(B498*DUMP2_C)))))</f>
        <v>0</v>
      </c>
      <c r="K498">
        <f>IMPRODUCT("2",IMDIV("1",IMSUM(IMDIV("1",COMPLEX(CMC_DCR,B498*CMC_L*(1-CMC_K))),COMPLEX(0,B498*CMC_CPA))))</f>
        <v>0</v>
      </c>
      <c r="L498">
        <f>IMSUM(COMPLEX(0,B498*CMC_CLINE),IMDIV("1",IMPRODUCT("2",COMPLEX(CY_ESR,B498*CY_ESL-1/(B498*CY_C)))),COMPLEX(1/DUMMY_R,0))</f>
        <v>0</v>
      </c>
      <c r="M498">
        <f>IMSUM(D498,IMDIV("1",C498))</f>
        <v>0</v>
      </c>
      <c r="N498">
        <f>IMDIV("1",IMSUM(E498,IMDIV("1",M498)))</f>
        <v>0</v>
      </c>
      <c r="O498">
        <f>IMSUM(F498,N498)</f>
        <v>0</v>
      </c>
      <c r="P498">
        <f>IMDIV("1",IMSUM(G498,IMDIV("1",O498)))</f>
        <v>0</v>
      </c>
      <c r="Q498">
        <f>IMSUM(H498,P498)</f>
        <v>0</v>
      </c>
      <c r="R498">
        <f>IMDIV("1",IMSUM(I498,IMDIV("1",Q498)))</f>
        <v>0</v>
      </c>
      <c r="S498">
        <f>IMSUM(J498,R498)</f>
        <v>0</v>
      </c>
      <c r="T498">
        <f>IMDIV("1",IMSUM(K498,IMDIV("1",S498)))</f>
        <v>0</v>
      </c>
      <c r="U498">
        <f>IMSUM(L498,T498)</f>
        <v>0</v>
      </c>
      <c r="V498">
        <f>IMDIV(COMPLEX(I_DM_SOURCE,0),U498)</f>
        <v>0</v>
      </c>
      <c r="W498">
        <f>IMPRODUCT(V498,T498)</f>
        <v>0</v>
      </c>
      <c r="X498">
        <f>IMDIV(W498,S498)</f>
        <v>0</v>
      </c>
      <c r="Y498">
        <f>IMPRODUCT(X498,R498)</f>
        <v>0</v>
      </c>
      <c r="Z498">
        <f>IMDIV(Y498,Q498)</f>
        <v>0</v>
      </c>
      <c r="AA498">
        <f>IMPRODUCT(Z498,P498)</f>
        <v>0</v>
      </c>
      <c r="AB498">
        <f>AA498</f>
        <v>0</v>
      </c>
      <c r="AC498">
        <f>IMPRODUCT("-1",AB498)</f>
        <v>0</v>
      </c>
      <c r="AD498">
        <f>IMDIV(IMSUB(AB498,AC498),"2")</f>
        <v>0</v>
      </c>
      <c r="AE498" s="6">
        <f>IMABS(AB498)</f>
        <v>0</v>
      </c>
      <c r="AF498" s="6">
        <f>IMABS(AC498)</f>
        <v>0</v>
      </c>
      <c r="AG498" s="6">
        <f>IMABS(AD498)</f>
        <v>0</v>
      </c>
      <c r="AH498" s="7">
        <f>20*LOG10(MAX(AE498,1E-300)*1E6)</f>
        <v>0</v>
      </c>
      <c r="AI498" s="7">
        <f>20*LOG10(MAX(AF498,1E-300)*1E6)</f>
        <v>0</v>
      </c>
      <c r="AJ498" s="7">
        <f>20*LOG10(MAX(AG498,1E-300)*1E6)</f>
        <v>0</v>
      </c>
      <c r="AK498" s="7">
        <f>DEGREES(IMARGUMENT(AB498))</f>
        <v>0</v>
      </c>
      <c r="AL498" s="7">
        <f>DEGREES(IMARGUMENT(AC498))</f>
        <v>0</v>
      </c>
      <c r="AM498" s="7">
        <f>DEGREES(IMARGUMENT(AD498))</f>
        <v>0</v>
      </c>
    </row>
    <row r="499" spans="1:39">
      <c r="A499" s="6">
        <f>10^(LOG10(F_START)+(ROW()-ROW($A$2))*(LOG10(F_STOP)-LOG10(F_START))/(N_POINTS-1))</f>
        <v>0</v>
      </c>
      <c r="B499" s="6">
        <f>2*PI()*A499</f>
        <v>0</v>
      </c>
      <c r="C499">
        <f>COMPLEX(2*LINE_PS_DCR,2*B499*LINE_PS_L)</f>
        <v>0</v>
      </c>
      <c r="D499">
        <f>IMSUM(COMPLEX(0,B499*(LINE_PS_CLINE+LINE_PS_CCHA/2)),IMDIV("1",IMPRODUCT("2",COMPLEX(C_THROUGH_ESR,B499*C_THROUGH_ESL-1/(B499*C_THROUGH_C)))))</f>
        <v>0</v>
      </c>
      <c r="E499">
        <f>COMPLEX(2*LINE_INPUT_DCR,2*B499*LINE_INPUT_L)</f>
        <v>0</v>
      </c>
      <c r="F499">
        <f>COMPLEX(0,B499*(LINE_INPUT_CLINE+LINE_INPUT_CCHA/2))</f>
        <v>0</v>
      </c>
      <c r="G499">
        <f>IMPRODUCT("2",IMDIV("1",IMSUM(IMDIV("1",COMPLEX(LDM1_DCR,B499*LDM1_L)),COMPLEX(0,B499*LDM1_CPA))))</f>
        <v>0</v>
      </c>
      <c r="H499">
        <f>IMSUM(IMDIV("1",COMPLEX(CX1_ESR,B499*CX1_ESL-1/(B499*CX1_C))),IMDIV("1",IMSUM(COMPLEX(DUMP1_R,0),COMPLEX(DUMP1_ESR,B499*DUMP1_ESL-1/(B499*DUMP1_C)))))</f>
        <v>0</v>
      </c>
      <c r="I499">
        <f>IMPRODUCT("2",IMDIV("1",IMSUM(IMDIV("1",COMPLEX(LDM2_DCR,B499*LDM2_L)),COMPLEX(0,B499*LDM2_CPA))))</f>
        <v>0</v>
      </c>
      <c r="J499">
        <f>IMSUM(IMDIV("1",COMPLEX(CX2_ESR,B499*CX2_ESL-1/(B499*CX2_C))),IMDIV("1",IMSUM(COMPLEX(DUMP2_R,0),COMPLEX(DUMP2_ESR,B499*DUMP2_ESL-1/(B499*DUMP2_C)))))</f>
        <v>0</v>
      </c>
      <c r="K499">
        <f>IMPRODUCT("2",IMDIV("1",IMSUM(IMDIV("1",COMPLEX(CMC_DCR,B499*CMC_L*(1-CMC_K))),COMPLEX(0,B499*CMC_CPA))))</f>
        <v>0</v>
      </c>
      <c r="L499">
        <f>IMSUM(COMPLEX(0,B499*CMC_CLINE),IMDIV("1",IMPRODUCT("2",COMPLEX(CY_ESR,B499*CY_ESL-1/(B499*CY_C)))),COMPLEX(1/DUMMY_R,0))</f>
        <v>0</v>
      </c>
      <c r="M499">
        <f>IMSUM(D499,IMDIV("1",C499))</f>
        <v>0</v>
      </c>
      <c r="N499">
        <f>IMDIV("1",IMSUM(E499,IMDIV("1",M499)))</f>
        <v>0</v>
      </c>
      <c r="O499">
        <f>IMSUM(F499,N499)</f>
        <v>0</v>
      </c>
      <c r="P499">
        <f>IMDIV("1",IMSUM(G499,IMDIV("1",O499)))</f>
        <v>0</v>
      </c>
      <c r="Q499">
        <f>IMSUM(H499,P499)</f>
        <v>0</v>
      </c>
      <c r="R499">
        <f>IMDIV("1",IMSUM(I499,IMDIV("1",Q499)))</f>
        <v>0</v>
      </c>
      <c r="S499">
        <f>IMSUM(J499,R499)</f>
        <v>0</v>
      </c>
      <c r="T499">
        <f>IMDIV("1",IMSUM(K499,IMDIV("1",S499)))</f>
        <v>0</v>
      </c>
      <c r="U499">
        <f>IMSUM(L499,T499)</f>
        <v>0</v>
      </c>
      <c r="V499">
        <f>IMDIV(COMPLEX(I_DM_SOURCE,0),U499)</f>
        <v>0</v>
      </c>
      <c r="W499">
        <f>IMPRODUCT(V499,T499)</f>
        <v>0</v>
      </c>
      <c r="X499">
        <f>IMDIV(W499,S499)</f>
        <v>0</v>
      </c>
      <c r="Y499">
        <f>IMPRODUCT(X499,R499)</f>
        <v>0</v>
      </c>
      <c r="Z499">
        <f>IMDIV(Y499,Q499)</f>
        <v>0</v>
      </c>
      <c r="AA499">
        <f>IMPRODUCT(Z499,P499)</f>
        <v>0</v>
      </c>
      <c r="AB499">
        <f>AA499</f>
        <v>0</v>
      </c>
      <c r="AC499">
        <f>IMPRODUCT("-1",AB499)</f>
        <v>0</v>
      </c>
      <c r="AD499">
        <f>IMDIV(IMSUB(AB499,AC499),"2")</f>
        <v>0</v>
      </c>
      <c r="AE499" s="6">
        <f>IMABS(AB499)</f>
        <v>0</v>
      </c>
      <c r="AF499" s="6">
        <f>IMABS(AC499)</f>
        <v>0</v>
      </c>
      <c r="AG499" s="6">
        <f>IMABS(AD499)</f>
        <v>0</v>
      </c>
      <c r="AH499" s="7">
        <f>20*LOG10(MAX(AE499,1E-300)*1E6)</f>
        <v>0</v>
      </c>
      <c r="AI499" s="7">
        <f>20*LOG10(MAX(AF499,1E-300)*1E6)</f>
        <v>0</v>
      </c>
      <c r="AJ499" s="7">
        <f>20*LOG10(MAX(AG499,1E-300)*1E6)</f>
        <v>0</v>
      </c>
      <c r="AK499" s="7">
        <f>DEGREES(IMARGUMENT(AB499))</f>
        <v>0</v>
      </c>
      <c r="AL499" s="7">
        <f>DEGREES(IMARGUMENT(AC499))</f>
        <v>0</v>
      </c>
      <c r="AM499" s="7">
        <f>DEGREES(IMARGUMENT(AD499))</f>
        <v>0</v>
      </c>
    </row>
    <row r="500" spans="1:39">
      <c r="A500" s="6">
        <f>10^(LOG10(F_START)+(ROW()-ROW($A$2))*(LOG10(F_STOP)-LOG10(F_START))/(N_POINTS-1))</f>
        <v>0</v>
      </c>
      <c r="B500" s="6">
        <f>2*PI()*A500</f>
        <v>0</v>
      </c>
      <c r="C500">
        <f>COMPLEX(2*LINE_PS_DCR,2*B500*LINE_PS_L)</f>
        <v>0</v>
      </c>
      <c r="D500">
        <f>IMSUM(COMPLEX(0,B500*(LINE_PS_CLINE+LINE_PS_CCHA/2)),IMDIV("1",IMPRODUCT("2",COMPLEX(C_THROUGH_ESR,B500*C_THROUGH_ESL-1/(B500*C_THROUGH_C)))))</f>
        <v>0</v>
      </c>
      <c r="E500">
        <f>COMPLEX(2*LINE_INPUT_DCR,2*B500*LINE_INPUT_L)</f>
        <v>0</v>
      </c>
      <c r="F500">
        <f>COMPLEX(0,B500*(LINE_INPUT_CLINE+LINE_INPUT_CCHA/2))</f>
        <v>0</v>
      </c>
      <c r="G500">
        <f>IMPRODUCT("2",IMDIV("1",IMSUM(IMDIV("1",COMPLEX(LDM1_DCR,B500*LDM1_L)),COMPLEX(0,B500*LDM1_CPA))))</f>
        <v>0</v>
      </c>
      <c r="H500">
        <f>IMSUM(IMDIV("1",COMPLEX(CX1_ESR,B500*CX1_ESL-1/(B500*CX1_C))),IMDIV("1",IMSUM(COMPLEX(DUMP1_R,0),COMPLEX(DUMP1_ESR,B500*DUMP1_ESL-1/(B500*DUMP1_C)))))</f>
        <v>0</v>
      </c>
      <c r="I500">
        <f>IMPRODUCT("2",IMDIV("1",IMSUM(IMDIV("1",COMPLEX(LDM2_DCR,B500*LDM2_L)),COMPLEX(0,B500*LDM2_CPA))))</f>
        <v>0</v>
      </c>
      <c r="J500">
        <f>IMSUM(IMDIV("1",COMPLEX(CX2_ESR,B500*CX2_ESL-1/(B500*CX2_C))),IMDIV("1",IMSUM(COMPLEX(DUMP2_R,0),COMPLEX(DUMP2_ESR,B500*DUMP2_ESL-1/(B500*DUMP2_C)))))</f>
        <v>0</v>
      </c>
      <c r="K500">
        <f>IMPRODUCT("2",IMDIV("1",IMSUM(IMDIV("1",COMPLEX(CMC_DCR,B500*CMC_L*(1-CMC_K))),COMPLEX(0,B500*CMC_CPA))))</f>
        <v>0</v>
      </c>
      <c r="L500">
        <f>IMSUM(COMPLEX(0,B500*CMC_CLINE),IMDIV("1",IMPRODUCT("2",COMPLEX(CY_ESR,B500*CY_ESL-1/(B500*CY_C)))),COMPLEX(1/DUMMY_R,0))</f>
        <v>0</v>
      </c>
      <c r="M500">
        <f>IMSUM(D500,IMDIV("1",C500))</f>
        <v>0</v>
      </c>
      <c r="N500">
        <f>IMDIV("1",IMSUM(E500,IMDIV("1",M500)))</f>
        <v>0</v>
      </c>
      <c r="O500">
        <f>IMSUM(F500,N500)</f>
        <v>0</v>
      </c>
      <c r="P500">
        <f>IMDIV("1",IMSUM(G500,IMDIV("1",O500)))</f>
        <v>0</v>
      </c>
      <c r="Q500">
        <f>IMSUM(H500,P500)</f>
        <v>0</v>
      </c>
      <c r="R500">
        <f>IMDIV("1",IMSUM(I500,IMDIV("1",Q500)))</f>
        <v>0</v>
      </c>
      <c r="S500">
        <f>IMSUM(J500,R500)</f>
        <v>0</v>
      </c>
      <c r="T500">
        <f>IMDIV("1",IMSUM(K500,IMDIV("1",S500)))</f>
        <v>0</v>
      </c>
      <c r="U500">
        <f>IMSUM(L500,T500)</f>
        <v>0</v>
      </c>
      <c r="V500">
        <f>IMDIV(COMPLEX(I_DM_SOURCE,0),U500)</f>
        <v>0</v>
      </c>
      <c r="W500">
        <f>IMPRODUCT(V500,T500)</f>
        <v>0</v>
      </c>
      <c r="X500">
        <f>IMDIV(W500,S500)</f>
        <v>0</v>
      </c>
      <c r="Y500">
        <f>IMPRODUCT(X500,R500)</f>
        <v>0</v>
      </c>
      <c r="Z500">
        <f>IMDIV(Y500,Q500)</f>
        <v>0</v>
      </c>
      <c r="AA500">
        <f>IMPRODUCT(Z500,P500)</f>
        <v>0</v>
      </c>
      <c r="AB500">
        <f>AA500</f>
        <v>0</v>
      </c>
      <c r="AC500">
        <f>IMPRODUCT("-1",AB500)</f>
        <v>0</v>
      </c>
      <c r="AD500">
        <f>IMDIV(IMSUB(AB500,AC500),"2")</f>
        <v>0</v>
      </c>
      <c r="AE500" s="6">
        <f>IMABS(AB500)</f>
        <v>0</v>
      </c>
      <c r="AF500" s="6">
        <f>IMABS(AC500)</f>
        <v>0</v>
      </c>
      <c r="AG500" s="6">
        <f>IMABS(AD500)</f>
        <v>0</v>
      </c>
      <c r="AH500" s="7">
        <f>20*LOG10(MAX(AE500,1E-300)*1E6)</f>
        <v>0</v>
      </c>
      <c r="AI500" s="7">
        <f>20*LOG10(MAX(AF500,1E-300)*1E6)</f>
        <v>0</v>
      </c>
      <c r="AJ500" s="7">
        <f>20*LOG10(MAX(AG500,1E-300)*1E6)</f>
        <v>0</v>
      </c>
      <c r="AK500" s="7">
        <f>DEGREES(IMARGUMENT(AB500))</f>
        <v>0</v>
      </c>
      <c r="AL500" s="7">
        <f>DEGREES(IMARGUMENT(AC500))</f>
        <v>0</v>
      </c>
      <c r="AM500" s="7">
        <f>DEGREES(IMARGUMENT(AD500))</f>
        <v>0</v>
      </c>
    </row>
    <row r="501" spans="1:39">
      <c r="A501" s="6">
        <f>10^(LOG10(F_START)+(ROW()-ROW($A$2))*(LOG10(F_STOP)-LOG10(F_START))/(N_POINTS-1))</f>
        <v>0</v>
      </c>
      <c r="B501" s="6">
        <f>2*PI()*A501</f>
        <v>0</v>
      </c>
      <c r="C501">
        <f>COMPLEX(2*LINE_PS_DCR,2*B501*LINE_PS_L)</f>
        <v>0</v>
      </c>
      <c r="D501">
        <f>IMSUM(COMPLEX(0,B501*(LINE_PS_CLINE+LINE_PS_CCHA/2)),IMDIV("1",IMPRODUCT("2",COMPLEX(C_THROUGH_ESR,B501*C_THROUGH_ESL-1/(B501*C_THROUGH_C)))))</f>
        <v>0</v>
      </c>
      <c r="E501">
        <f>COMPLEX(2*LINE_INPUT_DCR,2*B501*LINE_INPUT_L)</f>
        <v>0</v>
      </c>
      <c r="F501">
        <f>COMPLEX(0,B501*(LINE_INPUT_CLINE+LINE_INPUT_CCHA/2))</f>
        <v>0</v>
      </c>
      <c r="G501">
        <f>IMPRODUCT("2",IMDIV("1",IMSUM(IMDIV("1",COMPLEX(LDM1_DCR,B501*LDM1_L)),COMPLEX(0,B501*LDM1_CPA))))</f>
        <v>0</v>
      </c>
      <c r="H501">
        <f>IMSUM(IMDIV("1",COMPLEX(CX1_ESR,B501*CX1_ESL-1/(B501*CX1_C))),IMDIV("1",IMSUM(COMPLEX(DUMP1_R,0),COMPLEX(DUMP1_ESR,B501*DUMP1_ESL-1/(B501*DUMP1_C)))))</f>
        <v>0</v>
      </c>
      <c r="I501">
        <f>IMPRODUCT("2",IMDIV("1",IMSUM(IMDIV("1",COMPLEX(LDM2_DCR,B501*LDM2_L)),COMPLEX(0,B501*LDM2_CPA))))</f>
        <v>0</v>
      </c>
      <c r="J501">
        <f>IMSUM(IMDIV("1",COMPLEX(CX2_ESR,B501*CX2_ESL-1/(B501*CX2_C))),IMDIV("1",IMSUM(COMPLEX(DUMP2_R,0),COMPLEX(DUMP2_ESR,B501*DUMP2_ESL-1/(B501*DUMP2_C)))))</f>
        <v>0</v>
      </c>
      <c r="K501">
        <f>IMPRODUCT("2",IMDIV("1",IMSUM(IMDIV("1",COMPLEX(CMC_DCR,B501*CMC_L*(1-CMC_K))),COMPLEX(0,B501*CMC_CPA))))</f>
        <v>0</v>
      </c>
      <c r="L501">
        <f>IMSUM(COMPLEX(0,B501*CMC_CLINE),IMDIV("1",IMPRODUCT("2",COMPLEX(CY_ESR,B501*CY_ESL-1/(B501*CY_C)))),COMPLEX(1/DUMMY_R,0))</f>
        <v>0</v>
      </c>
      <c r="M501">
        <f>IMSUM(D501,IMDIV("1",C501))</f>
        <v>0</v>
      </c>
      <c r="N501">
        <f>IMDIV("1",IMSUM(E501,IMDIV("1",M501)))</f>
        <v>0</v>
      </c>
      <c r="O501">
        <f>IMSUM(F501,N501)</f>
        <v>0</v>
      </c>
      <c r="P501">
        <f>IMDIV("1",IMSUM(G501,IMDIV("1",O501)))</f>
        <v>0</v>
      </c>
      <c r="Q501">
        <f>IMSUM(H501,P501)</f>
        <v>0</v>
      </c>
      <c r="R501">
        <f>IMDIV("1",IMSUM(I501,IMDIV("1",Q501)))</f>
        <v>0</v>
      </c>
      <c r="S501">
        <f>IMSUM(J501,R501)</f>
        <v>0</v>
      </c>
      <c r="T501">
        <f>IMDIV("1",IMSUM(K501,IMDIV("1",S501)))</f>
        <v>0</v>
      </c>
      <c r="U501">
        <f>IMSUM(L501,T501)</f>
        <v>0</v>
      </c>
      <c r="V501">
        <f>IMDIV(COMPLEX(I_DM_SOURCE,0),U501)</f>
        <v>0</v>
      </c>
      <c r="W501">
        <f>IMPRODUCT(V501,T501)</f>
        <v>0</v>
      </c>
      <c r="X501">
        <f>IMDIV(W501,S501)</f>
        <v>0</v>
      </c>
      <c r="Y501">
        <f>IMPRODUCT(X501,R501)</f>
        <v>0</v>
      </c>
      <c r="Z501">
        <f>IMDIV(Y501,Q501)</f>
        <v>0</v>
      </c>
      <c r="AA501">
        <f>IMPRODUCT(Z501,P501)</f>
        <v>0</v>
      </c>
      <c r="AB501">
        <f>AA501</f>
        <v>0</v>
      </c>
      <c r="AC501">
        <f>IMPRODUCT("-1",AB501)</f>
        <v>0</v>
      </c>
      <c r="AD501">
        <f>IMDIV(IMSUB(AB501,AC501),"2")</f>
        <v>0</v>
      </c>
      <c r="AE501" s="6">
        <f>IMABS(AB501)</f>
        <v>0</v>
      </c>
      <c r="AF501" s="6">
        <f>IMABS(AC501)</f>
        <v>0</v>
      </c>
      <c r="AG501" s="6">
        <f>IMABS(AD501)</f>
        <v>0</v>
      </c>
      <c r="AH501" s="7">
        <f>20*LOG10(MAX(AE501,1E-300)*1E6)</f>
        <v>0</v>
      </c>
      <c r="AI501" s="7">
        <f>20*LOG10(MAX(AF501,1E-300)*1E6)</f>
        <v>0</v>
      </c>
      <c r="AJ501" s="7">
        <f>20*LOG10(MAX(AG501,1E-300)*1E6)</f>
        <v>0</v>
      </c>
      <c r="AK501" s="7">
        <f>DEGREES(IMARGUMENT(AB501))</f>
        <v>0</v>
      </c>
      <c r="AL501" s="7">
        <f>DEGREES(IMARGUMENT(AC501))</f>
        <v>0</v>
      </c>
      <c r="AM501" s="7">
        <f>DEGREES(IMARGUMENT(AD501))</f>
        <v>0</v>
      </c>
    </row>
    <row r="502" spans="1:39">
      <c r="A502" s="6">
        <f>10^(LOG10(F_START)+(ROW()-ROW($A$2))*(LOG10(F_STOP)-LOG10(F_START))/(N_POINTS-1))</f>
        <v>0</v>
      </c>
      <c r="B502" s="6">
        <f>2*PI()*A502</f>
        <v>0</v>
      </c>
      <c r="C502">
        <f>COMPLEX(2*LINE_PS_DCR,2*B502*LINE_PS_L)</f>
        <v>0</v>
      </c>
      <c r="D502">
        <f>IMSUM(COMPLEX(0,B502*(LINE_PS_CLINE+LINE_PS_CCHA/2)),IMDIV("1",IMPRODUCT("2",COMPLEX(C_THROUGH_ESR,B502*C_THROUGH_ESL-1/(B502*C_THROUGH_C)))))</f>
        <v>0</v>
      </c>
      <c r="E502">
        <f>COMPLEX(2*LINE_INPUT_DCR,2*B502*LINE_INPUT_L)</f>
        <v>0</v>
      </c>
      <c r="F502">
        <f>COMPLEX(0,B502*(LINE_INPUT_CLINE+LINE_INPUT_CCHA/2))</f>
        <v>0</v>
      </c>
      <c r="G502">
        <f>IMPRODUCT("2",IMDIV("1",IMSUM(IMDIV("1",COMPLEX(LDM1_DCR,B502*LDM1_L)),COMPLEX(0,B502*LDM1_CPA))))</f>
        <v>0</v>
      </c>
      <c r="H502">
        <f>IMSUM(IMDIV("1",COMPLEX(CX1_ESR,B502*CX1_ESL-1/(B502*CX1_C))),IMDIV("1",IMSUM(COMPLEX(DUMP1_R,0),COMPLEX(DUMP1_ESR,B502*DUMP1_ESL-1/(B502*DUMP1_C)))))</f>
        <v>0</v>
      </c>
      <c r="I502">
        <f>IMPRODUCT("2",IMDIV("1",IMSUM(IMDIV("1",COMPLEX(LDM2_DCR,B502*LDM2_L)),COMPLEX(0,B502*LDM2_CPA))))</f>
        <v>0</v>
      </c>
      <c r="J502">
        <f>IMSUM(IMDIV("1",COMPLEX(CX2_ESR,B502*CX2_ESL-1/(B502*CX2_C))),IMDIV("1",IMSUM(COMPLEX(DUMP2_R,0),COMPLEX(DUMP2_ESR,B502*DUMP2_ESL-1/(B502*DUMP2_C)))))</f>
        <v>0</v>
      </c>
      <c r="K502">
        <f>IMPRODUCT("2",IMDIV("1",IMSUM(IMDIV("1",COMPLEX(CMC_DCR,B502*CMC_L*(1-CMC_K))),COMPLEX(0,B502*CMC_CPA))))</f>
        <v>0</v>
      </c>
      <c r="L502">
        <f>IMSUM(COMPLEX(0,B502*CMC_CLINE),IMDIV("1",IMPRODUCT("2",COMPLEX(CY_ESR,B502*CY_ESL-1/(B502*CY_C)))),COMPLEX(1/DUMMY_R,0))</f>
        <v>0</v>
      </c>
      <c r="M502">
        <f>IMSUM(D502,IMDIV("1",C502))</f>
        <v>0</v>
      </c>
      <c r="N502">
        <f>IMDIV("1",IMSUM(E502,IMDIV("1",M502)))</f>
        <v>0</v>
      </c>
      <c r="O502">
        <f>IMSUM(F502,N502)</f>
        <v>0</v>
      </c>
      <c r="P502">
        <f>IMDIV("1",IMSUM(G502,IMDIV("1",O502)))</f>
        <v>0</v>
      </c>
      <c r="Q502">
        <f>IMSUM(H502,P502)</f>
        <v>0</v>
      </c>
      <c r="R502">
        <f>IMDIV("1",IMSUM(I502,IMDIV("1",Q502)))</f>
        <v>0</v>
      </c>
      <c r="S502">
        <f>IMSUM(J502,R502)</f>
        <v>0</v>
      </c>
      <c r="T502">
        <f>IMDIV("1",IMSUM(K502,IMDIV("1",S502)))</f>
        <v>0</v>
      </c>
      <c r="U502">
        <f>IMSUM(L502,T502)</f>
        <v>0</v>
      </c>
      <c r="V502">
        <f>IMDIV(COMPLEX(I_DM_SOURCE,0),U502)</f>
        <v>0</v>
      </c>
      <c r="W502">
        <f>IMPRODUCT(V502,T502)</f>
        <v>0</v>
      </c>
      <c r="X502">
        <f>IMDIV(W502,S502)</f>
        <v>0</v>
      </c>
      <c r="Y502">
        <f>IMPRODUCT(X502,R502)</f>
        <v>0</v>
      </c>
      <c r="Z502">
        <f>IMDIV(Y502,Q502)</f>
        <v>0</v>
      </c>
      <c r="AA502">
        <f>IMPRODUCT(Z502,P502)</f>
        <v>0</v>
      </c>
      <c r="AB502">
        <f>AA502</f>
        <v>0</v>
      </c>
      <c r="AC502">
        <f>IMPRODUCT("-1",AB502)</f>
        <v>0</v>
      </c>
      <c r="AD502">
        <f>IMDIV(IMSUB(AB502,AC502),"2")</f>
        <v>0</v>
      </c>
      <c r="AE502" s="6">
        <f>IMABS(AB502)</f>
        <v>0</v>
      </c>
      <c r="AF502" s="6">
        <f>IMABS(AC502)</f>
        <v>0</v>
      </c>
      <c r="AG502" s="6">
        <f>IMABS(AD502)</f>
        <v>0</v>
      </c>
      <c r="AH502" s="7">
        <f>20*LOG10(MAX(AE502,1E-300)*1E6)</f>
        <v>0</v>
      </c>
      <c r="AI502" s="7">
        <f>20*LOG10(MAX(AF502,1E-300)*1E6)</f>
        <v>0</v>
      </c>
      <c r="AJ502" s="7">
        <f>20*LOG10(MAX(AG502,1E-300)*1E6)</f>
        <v>0</v>
      </c>
      <c r="AK502" s="7">
        <f>DEGREES(IMARGUMENT(AB502))</f>
        <v>0</v>
      </c>
      <c r="AL502" s="7">
        <f>DEGREES(IMARGUMENT(AC502))</f>
        <v>0</v>
      </c>
      <c r="AM502" s="7">
        <f>DEGREES(IMARGUMENT(AD502))</f>
        <v>0</v>
      </c>
    </row>
    <row r="503" spans="1:39">
      <c r="A503" s="6">
        <f>10^(LOG10(F_START)+(ROW()-ROW($A$2))*(LOG10(F_STOP)-LOG10(F_START))/(N_POINTS-1))</f>
        <v>0</v>
      </c>
      <c r="B503" s="6">
        <f>2*PI()*A503</f>
        <v>0</v>
      </c>
      <c r="C503">
        <f>COMPLEX(2*LINE_PS_DCR,2*B503*LINE_PS_L)</f>
        <v>0</v>
      </c>
      <c r="D503">
        <f>IMSUM(COMPLEX(0,B503*(LINE_PS_CLINE+LINE_PS_CCHA/2)),IMDIV("1",IMPRODUCT("2",COMPLEX(C_THROUGH_ESR,B503*C_THROUGH_ESL-1/(B503*C_THROUGH_C)))))</f>
        <v>0</v>
      </c>
      <c r="E503">
        <f>COMPLEX(2*LINE_INPUT_DCR,2*B503*LINE_INPUT_L)</f>
        <v>0</v>
      </c>
      <c r="F503">
        <f>COMPLEX(0,B503*(LINE_INPUT_CLINE+LINE_INPUT_CCHA/2))</f>
        <v>0</v>
      </c>
      <c r="G503">
        <f>IMPRODUCT("2",IMDIV("1",IMSUM(IMDIV("1",COMPLEX(LDM1_DCR,B503*LDM1_L)),COMPLEX(0,B503*LDM1_CPA))))</f>
        <v>0</v>
      </c>
      <c r="H503">
        <f>IMSUM(IMDIV("1",COMPLEX(CX1_ESR,B503*CX1_ESL-1/(B503*CX1_C))),IMDIV("1",IMSUM(COMPLEX(DUMP1_R,0),COMPLEX(DUMP1_ESR,B503*DUMP1_ESL-1/(B503*DUMP1_C)))))</f>
        <v>0</v>
      </c>
      <c r="I503">
        <f>IMPRODUCT("2",IMDIV("1",IMSUM(IMDIV("1",COMPLEX(LDM2_DCR,B503*LDM2_L)),COMPLEX(0,B503*LDM2_CPA))))</f>
        <v>0</v>
      </c>
      <c r="J503">
        <f>IMSUM(IMDIV("1",COMPLEX(CX2_ESR,B503*CX2_ESL-1/(B503*CX2_C))),IMDIV("1",IMSUM(COMPLEX(DUMP2_R,0),COMPLEX(DUMP2_ESR,B503*DUMP2_ESL-1/(B503*DUMP2_C)))))</f>
        <v>0</v>
      </c>
      <c r="K503">
        <f>IMPRODUCT("2",IMDIV("1",IMSUM(IMDIV("1",COMPLEX(CMC_DCR,B503*CMC_L*(1-CMC_K))),COMPLEX(0,B503*CMC_CPA))))</f>
        <v>0</v>
      </c>
      <c r="L503">
        <f>IMSUM(COMPLEX(0,B503*CMC_CLINE),IMDIV("1",IMPRODUCT("2",COMPLEX(CY_ESR,B503*CY_ESL-1/(B503*CY_C)))),COMPLEX(1/DUMMY_R,0))</f>
        <v>0</v>
      </c>
      <c r="M503">
        <f>IMSUM(D503,IMDIV("1",C503))</f>
        <v>0</v>
      </c>
      <c r="N503">
        <f>IMDIV("1",IMSUM(E503,IMDIV("1",M503)))</f>
        <v>0</v>
      </c>
      <c r="O503">
        <f>IMSUM(F503,N503)</f>
        <v>0</v>
      </c>
      <c r="P503">
        <f>IMDIV("1",IMSUM(G503,IMDIV("1",O503)))</f>
        <v>0</v>
      </c>
      <c r="Q503">
        <f>IMSUM(H503,P503)</f>
        <v>0</v>
      </c>
      <c r="R503">
        <f>IMDIV("1",IMSUM(I503,IMDIV("1",Q503)))</f>
        <v>0</v>
      </c>
      <c r="S503">
        <f>IMSUM(J503,R503)</f>
        <v>0</v>
      </c>
      <c r="T503">
        <f>IMDIV("1",IMSUM(K503,IMDIV("1",S503)))</f>
        <v>0</v>
      </c>
      <c r="U503">
        <f>IMSUM(L503,T503)</f>
        <v>0</v>
      </c>
      <c r="V503">
        <f>IMDIV(COMPLEX(I_DM_SOURCE,0),U503)</f>
        <v>0</v>
      </c>
      <c r="W503">
        <f>IMPRODUCT(V503,T503)</f>
        <v>0</v>
      </c>
      <c r="X503">
        <f>IMDIV(W503,S503)</f>
        <v>0</v>
      </c>
      <c r="Y503">
        <f>IMPRODUCT(X503,R503)</f>
        <v>0</v>
      </c>
      <c r="Z503">
        <f>IMDIV(Y503,Q503)</f>
        <v>0</v>
      </c>
      <c r="AA503">
        <f>IMPRODUCT(Z503,P503)</f>
        <v>0</v>
      </c>
      <c r="AB503">
        <f>AA503</f>
        <v>0</v>
      </c>
      <c r="AC503">
        <f>IMPRODUCT("-1",AB503)</f>
        <v>0</v>
      </c>
      <c r="AD503">
        <f>IMDIV(IMSUB(AB503,AC503),"2")</f>
        <v>0</v>
      </c>
      <c r="AE503" s="6">
        <f>IMABS(AB503)</f>
        <v>0</v>
      </c>
      <c r="AF503" s="6">
        <f>IMABS(AC503)</f>
        <v>0</v>
      </c>
      <c r="AG503" s="6">
        <f>IMABS(AD503)</f>
        <v>0</v>
      </c>
      <c r="AH503" s="7">
        <f>20*LOG10(MAX(AE503,1E-300)*1E6)</f>
        <v>0</v>
      </c>
      <c r="AI503" s="7">
        <f>20*LOG10(MAX(AF503,1E-300)*1E6)</f>
        <v>0</v>
      </c>
      <c r="AJ503" s="7">
        <f>20*LOG10(MAX(AG503,1E-300)*1E6)</f>
        <v>0</v>
      </c>
      <c r="AK503" s="7">
        <f>DEGREES(IMARGUMENT(AB503))</f>
        <v>0</v>
      </c>
      <c r="AL503" s="7">
        <f>DEGREES(IMARGUMENT(AC503))</f>
        <v>0</v>
      </c>
      <c r="AM503" s="7">
        <f>DEGREES(IMARGUMENT(AD503))</f>
        <v>0</v>
      </c>
    </row>
    <row r="504" spans="1:39">
      <c r="A504" s="6">
        <f>10^(LOG10(F_START)+(ROW()-ROW($A$2))*(LOG10(F_STOP)-LOG10(F_START))/(N_POINTS-1))</f>
        <v>0</v>
      </c>
      <c r="B504" s="6">
        <f>2*PI()*A504</f>
        <v>0</v>
      </c>
      <c r="C504">
        <f>COMPLEX(2*LINE_PS_DCR,2*B504*LINE_PS_L)</f>
        <v>0</v>
      </c>
      <c r="D504">
        <f>IMSUM(COMPLEX(0,B504*(LINE_PS_CLINE+LINE_PS_CCHA/2)),IMDIV("1",IMPRODUCT("2",COMPLEX(C_THROUGH_ESR,B504*C_THROUGH_ESL-1/(B504*C_THROUGH_C)))))</f>
        <v>0</v>
      </c>
      <c r="E504">
        <f>COMPLEX(2*LINE_INPUT_DCR,2*B504*LINE_INPUT_L)</f>
        <v>0</v>
      </c>
      <c r="F504">
        <f>COMPLEX(0,B504*(LINE_INPUT_CLINE+LINE_INPUT_CCHA/2))</f>
        <v>0</v>
      </c>
      <c r="G504">
        <f>IMPRODUCT("2",IMDIV("1",IMSUM(IMDIV("1",COMPLEX(LDM1_DCR,B504*LDM1_L)),COMPLEX(0,B504*LDM1_CPA))))</f>
        <v>0</v>
      </c>
      <c r="H504">
        <f>IMSUM(IMDIV("1",COMPLEX(CX1_ESR,B504*CX1_ESL-1/(B504*CX1_C))),IMDIV("1",IMSUM(COMPLEX(DUMP1_R,0),COMPLEX(DUMP1_ESR,B504*DUMP1_ESL-1/(B504*DUMP1_C)))))</f>
        <v>0</v>
      </c>
      <c r="I504">
        <f>IMPRODUCT("2",IMDIV("1",IMSUM(IMDIV("1",COMPLEX(LDM2_DCR,B504*LDM2_L)),COMPLEX(0,B504*LDM2_CPA))))</f>
        <v>0</v>
      </c>
      <c r="J504">
        <f>IMSUM(IMDIV("1",COMPLEX(CX2_ESR,B504*CX2_ESL-1/(B504*CX2_C))),IMDIV("1",IMSUM(COMPLEX(DUMP2_R,0),COMPLEX(DUMP2_ESR,B504*DUMP2_ESL-1/(B504*DUMP2_C)))))</f>
        <v>0</v>
      </c>
      <c r="K504">
        <f>IMPRODUCT("2",IMDIV("1",IMSUM(IMDIV("1",COMPLEX(CMC_DCR,B504*CMC_L*(1-CMC_K))),COMPLEX(0,B504*CMC_CPA))))</f>
        <v>0</v>
      </c>
      <c r="L504">
        <f>IMSUM(COMPLEX(0,B504*CMC_CLINE),IMDIV("1",IMPRODUCT("2",COMPLEX(CY_ESR,B504*CY_ESL-1/(B504*CY_C)))),COMPLEX(1/DUMMY_R,0))</f>
        <v>0</v>
      </c>
      <c r="M504">
        <f>IMSUM(D504,IMDIV("1",C504))</f>
        <v>0</v>
      </c>
      <c r="N504">
        <f>IMDIV("1",IMSUM(E504,IMDIV("1",M504)))</f>
        <v>0</v>
      </c>
      <c r="O504">
        <f>IMSUM(F504,N504)</f>
        <v>0</v>
      </c>
      <c r="P504">
        <f>IMDIV("1",IMSUM(G504,IMDIV("1",O504)))</f>
        <v>0</v>
      </c>
      <c r="Q504">
        <f>IMSUM(H504,P504)</f>
        <v>0</v>
      </c>
      <c r="R504">
        <f>IMDIV("1",IMSUM(I504,IMDIV("1",Q504)))</f>
        <v>0</v>
      </c>
      <c r="S504">
        <f>IMSUM(J504,R504)</f>
        <v>0</v>
      </c>
      <c r="T504">
        <f>IMDIV("1",IMSUM(K504,IMDIV("1",S504)))</f>
        <v>0</v>
      </c>
      <c r="U504">
        <f>IMSUM(L504,T504)</f>
        <v>0</v>
      </c>
      <c r="V504">
        <f>IMDIV(COMPLEX(I_DM_SOURCE,0),U504)</f>
        <v>0</v>
      </c>
      <c r="W504">
        <f>IMPRODUCT(V504,T504)</f>
        <v>0</v>
      </c>
      <c r="X504">
        <f>IMDIV(W504,S504)</f>
        <v>0</v>
      </c>
      <c r="Y504">
        <f>IMPRODUCT(X504,R504)</f>
        <v>0</v>
      </c>
      <c r="Z504">
        <f>IMDIV(Y504,Q504)</f>
        <v>0</v>
      </c>
      <c r="AA504">
        <f>IMPRODUCT(Z504,P504)</f>
        <v>0</v>
      </c>
      <c r="AB504">
        <f>AA504</f>
        <v>0</v>
      </c>
      <c r="AC504">
        <f>IMPRODUCT("-1",AB504)</f>
        <v>0</v>
      </c>
      <c r="AD504">
        <f>IMDIV(IMSUB(AB504,AC504),"2")</f>
        <v>0</v>
      </c>
      <c r="AE504" s="6">
        <f>IMABS(AB504)</f>
        <v>0</v>
      </c>
      <c r="AF504" s="6">
        <f>IMABS(AC504)</f>
        <v>0</v>
      </c>
      <c r="AG504" s="6">
        <f>IMABS(AD504)</f>
        <v>0</v>
      </c>
      <c r="AH504" s="7">
        <f>20*LOG10(MAX(AE504,1E-300)*1E6)</f>
        <v>0</v>
      </c>
      <c r="AI504" s="7">
        <f>20*LOG10(MAX(AF504,1E-300)*1E6)</f>
        <v>0</v>
      </c>
      <c r="AJ504" s="7">
        <f>20*LOG10(MAX(AG504,1E-300)*1E6)</f>
        <v>0</v>
      </c>
      <c r="AK504" s="7">
        <f>DEGREES(IMARGUMENT(AB504))</f>
        <v>0</v>
      </c>
      <c r="AL504" s="7">
        <f>DEGREES(IMARGUMENT(AC504))</f>
        <v>0</v>
      </c>
      <c r="AM504" s="7">
        <f>DEGREES(IMARGUMENT(AD504))</f>
        <v>0</v>
      </c>
    </row>
    <row r="505" spans="1:39">
      <c r="A505" s="6">
        <f>10^(LOG10(F_START)+(ROW()-ROW($A$2))*(LOG10(F_STOP)-LOG10(F_START))/(N_POINTS-1))</f>
        <v>0</v>
      </c>
      <c r="B505" s="6">
        <f>2*PI()*A505</f>
        <v>0</v>
      </c>
      <c r="C505">
        <f>COMPLEX(2*LINE_PS_DCR,2*B505*LINE_PS_L)</f>
        <v>0</v>
      </c>
      <c r="D505">
        <f>IMSUM(COMPLEX(0,B505*(LINE_PS_CLINE+LINE_PS_CCHA/2)),IMDIV("1",IMPRODUCT("2",COMPLEX(C_THROUGH_ESR,B505*C_THROUGH_ESL-1/(B505*C_THROUGH_C)))))</f>
        <v>0</v>
      </c>
      <c r="E505">
        <f>COMPLEX(2*LINE_INPUT_DCR,2*B505*LINE_INPUT_L)</f>
        <v>0</v>
      </c>
      <c r="F505">
        <f>COMPLEX(0,B505*(LINE_INPUT_CLINE+LINE_INPUT_CCHA/2))</f>
        <v>0</v>
      </c>
      <c r="G505">
        <f>IMPRODUCT("2",IMDIV("1",IMSUM(IMDIV("1",COMPLEX(LDM1_DCR,B505*LDM1_L)),COMPLEX(0,B505*LDM1_CPA))))</f>
        <v>0</v>
      </c>
      <c r="H505">
        <f>IMSUM(IMDIV("1",COMPLEX(CX1_ESR,B505*CX1_ESL-1/(B505*CX1_C))),IMDIV("1",IMSUM(COMPLEX(DUMP1_R,0),COMPLEX(DUMP1_ESR,B505*DUMP1_ESL-1/(B505*DUMP1_C)))))</f>
        <v>0</v>
      </c>
      <c r="I505">
        <f>IMPRODUCT("2",IMDIV("1",IMSUM(IMDIV("1",COMPLEX(LDM2_DCR,B505*LDM2_L)),COMPLEX(0,B505*LDM2_CPA))))</f>
        <v>0</v>
      </c>
      <c r="J505">
        <f>IMSUM(IMDIV("1",COMPLEX(CX2_ESR,B505*CX2_ESL-1/(B505*CX2_C))),IMDIV("1",IMSUM(COMPLEX(DUMP2_R,0),COMPLEX(DUMP2_ESR,B505*DUMP2_ESL-1/(B505*DUMP2_C)))))</f>
        <v>0</v>
      </c>
      <c r="K505">
        <f>IMPRODUCT("2",IMDIV("1",IMSUM(IMDIV("1",COMPLEX(CMC_DCR,B505*CMC_L*(1-CMC_K))),COMPLEX(0,B505*CMC_CPA))))</f>
        <v>0</v>
      </c>
      <c r="L505">
        <f>IMSUM(COMPLEX(0,B505*CMC_CLINE),IMDIV("1",IMPRODUCT("2",COMPLEX(CY_ESR,B505*CY_ESL-1/(B505*CY_C)))),COMPLEX(1/DUMMY_R,0))</f>
        <v>0</v>
      </c>
      <c r="M505">
        <f>IMSUM(D505,IMDIV("1",C505))</f>
        <v>0</v>
      </c>
      <c r="N505">
        <f>IMDIV("1",IMSUM(E505,IMDIV("1",M505)))</f>
        <v>0</v>
      </c>
      <c r="O505">
        <f>IMSUM(F505,N505)</f>
        <v>0</v>
      </c>
      <c r="P505">
        <f>IMDIV("1",IMSUM(G505,IMDIV("1",O505)))</f>
        <v>0</v>
      </c>
      <c r="Q505">
        <f>IMSUM(H505,P505)</f>
        <v>0</v>
      </c>
      <c r="R505">
        <f>IMDIV("1",IMSUM(I505,IMDIV("1",Q505)))</f>
        <v>0</v>
      </c>
      <c r="S505">
        <f>IMSUM(J505,R505)</f>
        <v>0</v>
      </c>
      <c r="T505">
        <f>IMDIV("1",IMSUM(K505,IMDIV("1",S505)))</f>
        <v>0</v>
      </c>
      <c r="U505">
        <f>IMSUM(L505,T505)</f>
        <v>0</v>
      </c>
      <c r="V505">
        <f>IMDIV(COMPLEX(I_DM_SOURCE,0),U505)</f>
        <v>0</v>
      </c>
      <c r="W505">
        <f>IMPRODUCT(V505,T505)</f>
        <v>0</v>
      </c>
      <c r="X505">
        <f>IMDIV(W505,S505)</f>
        <v>0</v>
      </c>
      <c r="Y505">
        <f>IMPRODUCT(X505,R505)</f>
        <v>0</v>
      </c>
      <c r="Z505">
        <f>IMDIV(Y505,Q505)</f>
        <v>0</v>
      </c>
      <c r="AA505">
        <f>IMPRODUCT(Z505,P505)</f>
        <v>0</v>
      </c>
      <c r="AB505">
        <f>AA505</f>
        <v>0</v>
      </c>
      <c r="AC505">
        <f>IMPRODUCT("-1",AB505)</f>
        <v>0</v>
      </c>
      <c r="AD505">
        <f>IMDIV(IMSUB(AB505,AC505),"2")</f>
        <v>0</v>
      </c>
      <c r="AE505" s="6">
        <f>IMABS(AB505)</f>
        <v>0</v>
      </c>
      <c r="AF505" s="6">
        <f>IMABS(AC505)</f>
        <v>0</v>
      </c>
      <c r="AG505" s="6">
        <f>IMABS(AD505)</f>
        <v>0</v>
      </c>
      <c r="AH505" s="7">
        <f>20*LOG10(MAX(AE505,1E-300)*1E6)</f>
        <v>0</v>
      </c>
      <c r="AI505" s="7">
        <f>20*LOG10(MAX(AF505,1E-300)*1E6)</f>
        <v>0</v>
      </c>
      <c r="AJ505" s="7">
        <f>20*LOG10(MAX(AG505,1E-300)*1E6)</f>
        <v>0</v>
      </c>
      <c r="AK505" s="7">
        <f>DEGREES(IMARGUMENT(AB505))</f>
        <v>0</v>
      </c>
      <c r="AL505" s="7">
        <f>DEGREES(IMARGUMENT(AC505))</f>
        <v>0</v>
      </c>
      <c r="AM505" s="7">
        <f>DEGREES(IMARGUMENT(AD505))</f>
        <v>0</v>
      </c>
    </row>
    <row r="506" spans="1:39">
      <c r="A506" s="6">
        <f>10^(LOG10(F_START)+(ROW()-ROW($A$2))*(LOG10(F_STOP)-LOG10(F_START))/(N_POINTS-1))</f>
        <v>0</v>
      </c>
      <c r="B506" s="6">
        <f>2*PI()*A506</f>
        <v>0</v>
      </c>
      <c r="C506">
        <f>COMPLEX(2*LINE_PS_DCR,2*B506*LINE_PS_L)</f>
        <v>0</v>
      </c>
      <c r="D506">
        <f>IMSUM(COMPLEX(0,B506*(LINE_PS_CLINE+LINE_PS_CCHA/2)),IMDIV("1",IMPRODUCT("2",COMPLEX(C_THROUGH_ESR,B506*C_THROUGH_ESL-1/(B506*C_THROUGH_C)))))</f>
        <v>0</v>
      </c>
      <c r="E506">
        <f>COMPLEX(2*LINE_INPUT_DCR,2*B506*LINE_INPUT_L)</f>
        <v>0</v>
      </c>
      <c r="F506">
        <f>COMPLEX(0,B506*(LINE_INPUT_CLINE+LINE_INPUT_CCHA/2))</f>
        <v>0</v>
      </c>
      <c r="G506">
        <f>IMPRODUCT("2",IMDIV("1",IMSUM(IMDIV("1",COMPLEX(LDM1_DCR,B506*LDM1_L)),COMPLEX(0,B506*LDM1_CPA))))</f>
        <v>0</v>
      </c>
      <c r="H506">
        <f>IMSUM(IMDIV("1",COMPLEX(CX1_ESR,B506*CX1_ESL-1/(B506*CX1_C))),IMDIV("1",IMSUM(COMPLEX(DUMP1_R,0),COMPLEX(DUMP1_ESR,B506*DUMP1_ESL-1/(B506*DUMP1_C)))))</f>
        <v>0</v>
      </c>
      <c r="I506">
        <f>IMPRODUCT("2",IMDIV("1",IMSUM(IMDIV("1",COMPLEX(LDM2_DCR,B506*LDM2_L)),COMPLEX(0,B506*LDM2_CPA))))</f>
        <v>0</v>
      </c>
      <c r="J506">
        <f>IMSUM(IMDIV("1",COMPLEX(CX2_ESR,B506*CX2_ESL-1/(B506*CX2_C))),IMDIV("1",IMSUM(COMPLEX(DUMP2_R,0),COMPLEX(DUMP2_ESR,B506*DUMP2_ESL-1/(B506*DUMP2_C)))))</f>
        <v>0</v>
      </c>
      <c r="K506">
        <f>IMPRODUCT("2",IMDIV("1",IMSUM(IMDIV("1",COMPLEX(CMC_DCR,B506*CMC_L*(1-CMC_K))),COMPLEX(0,B506*CMC_CPA))))</f>
        <v>0</v>
      </c>
      <c r="L506">
        <f>IMSUM(COMPLEX(0,B506*CMC_CLINE),IMDIV("1",IMPRODUCT("2",COMPLEX(CY_ESR,B506*CY_ESL-1/(B506*CY_C)))),COMPLEX(1/DUMMY_R,0))</f>
        <v>0</v>
      </c>
      <c r="M506">
        <f>IMSUM(D506,IMDIV("1",C506))</f>
        <v>0</v>
      </c>
      <c r="N506">
        <f>IMDIV("1",IMSUM(E506,IMDIV("1",M506)))</f>
        <v>0</v>
      </c>
      <c r="O506">
        <f>IMSUM(F506,N506)</f>
        <v>0</v>
      </c>
      <c r="P506">
        <f>IMDIV("1",IMSUM(G506,IMDIV("1",O506)))</f>
        <v>0</v>
      </c>
      <c r="Q506">
        <f>IMSUM(H506,P506)</f>
        <v>0</v>
      </c>
      <c r="R506">
        <f>IMDIV("1",IMSUM(I506,IMDIV("1",Q506)))</f>
        <v>0</v>
      </c>
      <c r="S506">
        <f>IMSUM(J506,R506)</f>
        <v>0</v>
      </c>
      <c r="T506">
        <f>IMDIV("1",IMSUM(K506,IMDIV("1",S506)))</f>
        <v>0</v>
      </c>
      <c r="U506">
        <f>IMSUM(L506,T506)</f>
        <v>0</v>
      </c>
      <c r="V506">
        <f>IMDIV(COMPLEX(I_DM_SOURCE,0),U506)</f>
        <v>0</v>
      </c>
      <c r="W506">
        <f>IMPRODUCT(V506,T506)</f>
        <v>0</v>
      </c>
      <c r="X506">
        <f>IMDIV(W506,S506)</f>
        <v>0</v>
      </c>
      <c r="Y506">
        <f>IMPRODUCT(X506,R506)</f>
        <v>0</v>
      </c>
      <c r="Z506">
        <f>IMDIV(Y506,Q506)</f>
        <v>0</v>
      </c>
      <c r="AA506">
        <f>IMPRODUCT(Z506,P506)</f>
        <v>0</v>
      </c>
      <c r="AB506">
        <f>AA506</f>
        <v>0</v>
      </c>
      <c r="AC506">
        <f>IMPRODUCT("-1",AB506)</f>
        <v>0</v>
      </c>
      <c r="AD506">
        <f>IMDIV(IMSUB(AB506,AC506),"2")</f>
        <v>0</v>
      </c>
      <c r="AE506" s="6">
        <f>IMABS(AB506)</f>
        <v>0</v>
      </c>
      <c r="AF506" s="6">
        <f>IMABS(AC506)</f>
        <v>0</v>
      </c>
      <c r="AG506" s="6">
        <f>IMABS(AD506)</f>
        <v>0</v>
      </c>
      <c r="AH506" s="7">
        <f>20*LOG10(MAX(AE506,1E-300)*1E6)</f>
        <v>0</v>
      </c>
      <c r="AI506" s="7">
        <f>20*LOG10(MAX(AF506,1E-300)*1E6)</f>
        <v>0</v>
      </c>
      <c r="AJ506" s="7">
        <f>20*LOG10(MAX(AG506,1E-300)*1E6)</f>
        <v>0</v>
      </c>
      <c r="AK506" s="7">
        <f>DEGREES(IMARGUMENT(AB506))</f>
        <v>0</v>
      </c>
      <c r="AL506" s="7">
        <f>DEGREES(IMARGUMENT(AC506))</f>
        <v>0</v>
      </c>
      <c r="AM506" s="7">
        <f>DEGREES(IMARGUMENT(AD506))</f>
        <v>0</v>
      </c>
    </row>
    <row r="507" spans="1:39">
      <c r="A507" s="6">
        <f>10^(LOG10(F_START)+(ROW()-ROW($A$2))*(LOG10(F_STOP)-LOG10(F_START))/(N_POINTS-1))</f>
        <v>0</v>
      </c>
      <c r="B507" s="6">
        <f>2*PI()*A507</f>
        <v>0</v>
      </c>
      <c r="C507">
        <f>COMPLEX(2*LINE_PS_DCR,2*B507*LINE_PS_L)</f>
        <v>0</v>
      </c>
      <c r="D507">
        <f>IMSUM(COMPLEX(0,B507*(LINE_PS_CLINE+LINE_PS_CCHA/2)),IMDIV("1",IMPRODUCT("2",COMPLEX(C_THROUGH_ESR,B507*C_THROUGH_ESL-1/(B507*C_THROUGH_C)))))</f>
        <v>0</v>
      </c>
      <c r="E507">
        <f>COMPLEX(2*LINE_INPUT_DCR,2*B507*LINE_INPUT_L)</f>
        <v>0</v>
      </c>
      <c r="F507">
        <f>COMPLEX(0,B507*(LINE_INPUT_CLINE+LINE_INPUT_CCHA/2))</f>
        <v>0</v>
      </c>
      <c r="G507">
        <f>IMPRODUCT("2",IMDIV("1",IMSUM(IMDIV("1",COMPLEX(LDM1_DCR,B507*LDM1_L)),COMPLEX(0,B507*LDM1_CPA))))</f>
        <v>0</v>
      </c>
      <c r="H507">
        <f>IMSUM(IMDIV("1",COMPLEX(CX1_ESR,B507*CX1_ESL-1/(B507*CX1_C))),IMDIV("1",IMSUM(COMPLEX(DUMP1_R,0),COMPLEX(DUMP1_ESR,B507*DUMP1_ESL-1/(B507*DUMP1_C)))))</f>
        <v>0</v>
      </c>
      <c r="I507">
        <f>IMPRODUCT("2",IMDIV("1",IMSUM(IMDIV("1",COMPLEX(LDM2_DCR,B507*LDM2_L)),COMPLEX(0,B507*LDM2_CPA))))</f>
        <v>0</v>
      </c>
      <c r="J507">
        <f>IMSUM(IMDIV("1",COMPLEX(CX2_ESR,B507*CX2_ESL-1/(B507*CX2_C))),IMDIV("1",IMSUM(COMPLEX(DUMP2_R,0),COMPLEX(DUMP2_ESR,B507*DUMP2_ESL-1/(B507*DUMP2_C)))))</f>
        <v>0</v>
      </c>
      <c r="K507">
        <f>IMPRODUCT("2",IMDIV("1",IMSUM(IMDIV("1",COMPLEX(CMC_DCR,B507*CMC_L*(1-CMC_K))),COMPLEX(0,B507*CMC_CPA))))</f>
        <v>0</v>
      </c>
      <c r="L507">
        <f>IMSUM(COMPLEX(0,B507*CMC_CLINE),IMDIV("1",IMPRODUCT("2",COMPLEX(CY_ESR,B507*CY_ESL-1/(B507*CY_C)))),COMPLEX(1/DUMMY_R,0))</f>
        <v>0</v>
      </c>
      <c r="M507">
        <f>IMSUM(D507,IMDIV("1",C507))</f>
        <v>0</v>
      </c>
      <c r="N507">
        <f>IMDIV("1",IMSUM(E507,IMDIV("1",M507)))</f>
        <v>0</v>
      </c>
      <c r="O507">
        <f>IMSUM(F507,N507)</f>
        <v>0</v>
      </c>
      <c r="P507">
        <f>IMDIV("1",IMSUM(G507,IMDIV("1",O507)))</f>
        <v>0</v>
      </c>
      <c r="Q507">
        <f>IMSUM(H507,P507)</f>
        <v>0</v>
      </c>
      <c r="R507">
        <f>IMDIV("1",IMSUM(I507,IMDIV("1",Q507)))</f>
        <v>0</v>
      </c>
      <c r="S507">
        <f>IMSUM(J507,R507)</f>
        <v>0</v>
      </c>
      <c r="T507">
        <f>IMDIV("1",IMSUM(K507,IMDIV("1",S507)))</f>
        <v>0</v>
      </c>
      <c r="U507">
        <f>IMSUM(L507,T507)</f>
        <v>0</v>
      </c>
      <c r="V507">
        <f>IMDIV(COMPLEX(I_DM_SOURCE,0),U507)</f>
        <v>0</v>
      </c>
      <c r="W507">
        <f>IMPRODUCT(V507,T507)</f>
        <v>0</v>
      </c>
      <c r="X507">
        <f>IMDIV(W507,S507)</f>
        <v>0</v>
      </c>
      <c r="Y507">
        <f>IMPRODUCT(X507,R507)</f>
        <v>0</v>
      </c>
      <c r="Z507">
        <f>IMDIV(Y507,Q507)</f>
        <v>0</v>
      </c>
      <c r="AA507">
        <f>IMPRODUCT(Z507,P507)</f>
        <v>0</v>
      </c>
      <c r="AB507">
        <f>AA507</f>
        <v>0</v>
      </c>
      <c r="AC507">
        <f>IMPRODUCT("-1",AB507)</f>
        <v>0</v>
      </c>
      <c r="AD507">
        <f>IMDIV(IMSUB(AB507,AC507),"2")</f>
        <v>0</v>
      </c>
      <c r="AE507" s="6">
        <f>IMABS(AB507)</f>
        <v>0</v>
      </c>
      <c r="AF507" s="6">
        <f>IMABS(AC507)</f>
        <v>0</v>
      </c>
      <c r="AG507" s="6">
        <f>IMABS(AD507)</f>
        <v>0</v>
      </c>
      <c r="AH507" s="7">
        <f>20*LOG10(MAX(AE507,1E-300)*1E6)</f>
        <v>0</v>
      </c>
      <c r="AI507" s="7">
        <f>20*LOG10(MAX(AF507,1E-300)*1E6)</f>
        <v>0</v>
      </c>
      <c r="AJ507" s="7">
        <f>20*LOG10(MAX(AG507,1E-300)*1E6)</f>
        <v>0</v>
      </c>
      <c r="AK507" s="7">
        <f>DEGREES(IMARGUMENT(AB507))</f>
        <v>0</v>
      </c>
      <c r="AL507" s="7">
        <f>DEGREES(IMARGUMENT(AC507))</f>
        <v>0</v>
      </c>
      <c r="AM507" s="7">
        <f>DEGREES(IMARGUMENT(AD507))</f>
        <v>0</v>
      </c>
    </row>
    <row r="508" spans="1:39">
      <c r="A508" s="6">
        <f>10^(LOG10(F_START)+(ROW()-ROW($A$2))*(LOG10(F_STOP)-LOG10(F_START))/(N_POINTS-1))</f>
        <v>0</v>
      </c>
      <c r="B508" s="6">
        <f>2*PI()*A508</f>
        <v>0</v>
      </c>
      <c r="C508">
        <f>COMPLEX(2*LINE_PS_DCR,2*B508*LINE_PS_L)</f>
        <v>0</v>
      </c>
      <c r="D508">
        <f>IMSUM(COMPLEX(0,B508*(LINE_PS_CLINE+LINE_PS_CCHA/2)),IMDIV("1",IMPRODUCT("2",COMPLEX(C_THROUGH_ESR,B508*C_THROUGH_ESL-1/(B508*C_THROUGH_C)))))</f>
        <v>0</v>
      </c>
      <c r="E508">
        <f>COMPLEX(2*LINE_INPUT_DCR,2*B508*LINE_INPUT_L)</f>
        <v>0</v>
      </c>
      <c r="F508">
        <f>COMPLEX(0,B508*(LINE_INPUT_CLINE+LINE_INPUT_CCHA/2))</f>
        <v>0</v>
      </c>
      <c r="G508">
        <f>IMPRODUCT("2",IMDIV("1",IMSUM(IMDIV("1",COMPLEX(LDM1_DCR,B508*LDM1_L)),COMPLEX(0,B508*LDM1_CPA))))</f>
        <v>0</v>
      </c>
      <c r="H508">
        <f>IMSUM(IMDIV("1",COMPLEX(CX1_ESR,B508*CX1_ESL-1/(B508*CX1_C))),IMDIV("1",IMSUM(COMPLEX(DUMP1_R,0),COMPLEX(DUMP1_ESR,B508*DUMP1_ESL-1/(B508*DUMP1_C)))))</f>
        <v>0</v>
      </c>
      <c r="I508">
        <f>IMPRODUCT("2",IMDIV("1",IMSUM(IMDIV("1",COMPLEX(LDM2_DCR,B508*LDM2_L)),COMPLEX(0,B508*LDM2_CPA))))</f>
        <v>0</v>
      </c>
      <c r="J508">
        <f>IMSUM(IMDIV("1",COMPLEX(CX2_ESR,B508*CX2_ESL-1/(B508*CX2_C))),IMDIV("1",IMSUM(COMPLEX(DUMP2_R,0),COMPLEX(DUMP2_ESR,B508*DUMP2_ESL-1/(B508*DUMP2_C)))))</f>
        <v>0</v>
      </c>
      <c r="K508">
        <f>IMPRODUCT("2",IMDIV("1",IMSUM(IMDIV("1",COMPLEX(CMC_DCR,B508*CMC_L*(1-CMC_K))),COMPLEX(0,B508*CMC_CPA))))</f>
        <v>0</v>
      </c>
      <c r="L508">
        <f>IMSUM(COMPLEX(0,B508*CMC_CLINE),IMDIV("1",IMPRODUCT("2",COMPLEX(CY_ESR,B508*CY_ESL-1/(B508*CY_C)))),COMPLEX(1/DUMMY_R,0))</f>
        <v>0</v>
      </c>
      <c r="M508">
        <f>IMSUM(D508,IMDIV("1",C508))</f>
        <v>0</v>
      </c>
      <c r="N508">
        <f>IMDIV("1",IMSUM(E508,IMDIV("1",M508)))</f>
        <v>0</v>
      </c>
      <c r="O508">
        <f>IMSUM(F508,N508)</f>
        <v>0</v>
      </c>
      <c r="P508">
        <f>IMDIV("1",IMSUM(G508,IMDIV("1",O508)))</f>
        <v>0</v>
      </c>
      <c r="Q508">
        <f>IMSUM(H508,P508)</f>
        <v>0</v>
      </c>
      <c r="R508">
        <f>IMDIV("1",IMSUM(I508,IMDIV("1",Q508)))</f>
        <v>0</v>
      </c>
      <c r="S508">
        <f>IMSUM(J508,R508)</f>
        <v>0</v>
      </c>
      <c r="T508">
        <f>IMDIV("1",IMSUM(K508,IMDIV("1",S508)))</f>
        <v>0</v>
      </c>
      <c r="U508">
        <f>IMSUM(L508,T508)</f>
        <v>0</v>
      </c>
      <c r="V508">
        <f>IMDIV(COMPLEX(I_DM_SOURCE,0),U508)</f>
        <v>0</v>
      </c>
      <c r="W508">
        <f>IMPRODUCT(V508,T508)</f>
        <v>0</v>
      </c>
      <c r="X508">
        <f>IMDIV(W508,S508)</f>
        <v>0</v>
      </c>
      <c r="Y508">
        <f>IMPRODUCT(X508,R508)</f>
        <v>0</v>
      </c>
      <c r="Z508">
        <f>IMDIV(Y508,Q508)</f>
        <v>0</v>
      </c>
      <c r="AA508">
        <f>IMPRODUCT(Z508,P508)</f>
        <v>0</v>
      </c>
      <c r="AB508">
        <f>AA508</f>
        <v>0</v>
      </c>
      <c r="AC508">
        <f>IMPRODUCT("-1",AB508)</f>
        <v>0</v>
      </c>
      <c r="AD508">
        <f>IMDIV(IMSUB(AB508,AC508),"2")</f>
        <v>0</v>
      </c>
      <c r="AE508" s="6">
        <f>IMABS(AB508)</f>
        <v>0</v>
      </c>
      <c r="AF508" s="6">
        <f>IMABS(AC508)</f>
        <v>0</v>
      </c>
      <c r="AG508" s="6">
        <f>IMABS(AD508)</f>
        <v>0</v>
      </c>
      <c r="AH508" s="7">
        <f>20*LOG10(MAX(AE508,1E-300)*1E6)</f>
        <v>0</v>
      </c>
      <c r="AI508" s="7">
        <f>20*LOG10(MAX(AF508,1E-300)*1E6)</f>
        <v>0</v>
      </c>
      <c r="AJ508" s="7">
        <f>20*LOG10(MAX(AG508,1E-300)*1E6)</f>
        <v>0</v>
      </c>
      <c r="AK508" s="7">
        <f>DEGREES(IMARGUMENT(AB508))</f>
        <v>0</v>
      </c>
      <c r="AL508" s="7">
        <f>DEGREES(IMARGUMENT(AC508))</f>
        <v>0</v>
      </c>
      <c r="AM508" s="7">
        <f>DEGREES(IMARGUMENT(AD508))</f>
        <v>0</v>
      </c>
    </row>
    <row r="509" spans="1:39">
      <c r="A509" s="6">
        <f>10^(LOG10(F_START)+(ROW()-ROW($A$2))*(LOG10(F_STOP)-LOG10(F_START))/(N_POINTS-1))</f>
        <v>0</v>
      </c>
      <c r="B509" s="6">
        <f>2*PI()*A509</f>
        <v>0</v>
      </c>
      <c r="C509">
        <f>COMPLEX(2*LINE_PS_DCR,2*B509*LINE_PS_L)</f>
        <v>0</v>
      </c>
      <c r="D509">
        <f>IMSUM(COMPLEX(0,B509*(LINE_PS_CLINE+LINE_PS_CCHA/2)),IMDIV("1",IMPRODUCT("2",COMPLEX(C_THROUGH_ESR,B509*C_THROUGH_ESL-1/(B509*C_THROUGH_C)))))</f>
        <v>0</v>
      </c>
      <c r="E509">
        <f>COMPLEX(2*LINE_INPUT_DCR,2*B509*LINE_INPUT_L)</f>
        <v>0</v>
      </c>
      <c r="F509">
        <f>COMPLEX(0,B509*(LINE_INPUT_CLINE+LINE_INPUT_CCHA/2))</f>
        <v>0</v>
      </c>
      <c r="G509">
        <f>IMPRODUCT("2",IMDIV("1",IMSUM(IMDIV("1",COMPLEX(LDM1_DCR,B509*LDM1_L)),COMPLEX(0,B509*LDM1_CPA))))</f>
        <v>0</v>
      </c>
      <c r="H509">
        <f>IMSUM(IMDIV("1",COMPLEX(CX1_ESR,B509*CX1_ESL-1/(B509*CX1_C))),IMDIV("1",IMSUM(COMPLEX(DUMP1_R,0),COMPLEX(DUMP1_ESR,B509*DUMP1_ESL-1/(B509*DUMP1_C)))))</f>
        <v>0</v>
      </c>
      <c r="I509">
        <f>IMPRODUCT("2",IMDIV("1",IMSUM(IMDIV("1",COMPLEX(LDM2_DCR,B509*LDM2_L)),COMPLEX(0,B509*LDM2_CPA))))</f>
        <v>0</v>
      </c>
      <c r="J509">
        <f>IMSUM(IMDIV("1",COMPLEX(CX2_ESR,B509*CX2_ESL-1/(B509*CX2_C))),IMDIV("1",IMSUM(COMPLEX(DUMP2_R,0),COMPLEX(DUMP2_ESR,B509*DUMP2_ESL-1/(B509*DUMP2_C)))))</f>
        <v>0</v>
      </c>
      <c r="K509">
        <f>IMPRODUCT("2",IMDIV("1",IMSUM(IMDIV("1",COMPLEX(CMC_DCR,B509*CMC_L*(1-CMC_K))),COMPLEX(0,B509*CMC_CPA))))</f>
        <v>0</v>
      </c>
      <c r="L509">
        <f>IMSUM(COMPLEX(0,B509*CMC_CLINE),IMDIV("1",IMPRODUCT("2",COMPLEX(CY_ESR,B509*CY_ESL-1/(B509*CY_C)))),COMPLEX(1/DUMMY_R,0))</f>
        <v>0</v>
      </c>
      <c r="M509">
        <f>IMSUM(D509,IMDIV("1",C509))</f>
        <v>0</v>
      </c>
      <c r="N509">
        <f>IMDIV("1",IMSUM(E509,IMDIV("1",M509)))</f>
        <v>0</v>
      </c>
      <c r="O509">
        <f>IMSUM(F509,N509)</f>
        <v>0</v>
      </c>
      <c r="P509">
        <f>IMDIV("1",IMSUM(G509,IMDIV("1",O509)))</f>
        <v>0</v>
      </c>
      <c r="Q509">
        <f>IMSUM(H509,P509)</f>
        <v>0</v>
      </c>
      <c r="R509">
        <f>IMDIV("1",IMSUM(I509,IMDIV("1",Q509)))</f>
        <v>0</v>
      </c>
      <c r="S509">
        <f>IMSUM(J509,R509)</f>
        <v>0</v>
      </c>
      <c r="T509">
        <f>IMDIV("1",IMSUM(K509,IMDIV("1",S509)))</f>
        <v>0</v>
      </c>
      <c r="U509">
        <f>IMSUM(L509,T509)</f>
        <v>0</v>
      </c>
      <c r="V509">
        <f>IMDIV(COMPLEX(I_DM_SOURCE,0),U509)</f>
        <v>0</v>
      </c>
      <c r="W509">
        <f>IMPRODUCT(V509,T509)</f>
        <v>0</v>
      </c>
      <c r="X509">
        <f>IMDIV(W509,S509)</f>
        <v>0</v>
      </c>
      <c r="Y509">
        <f>IMPRODUCT(X509,R509)</f>
        <v>0</v>
      </c>
      <c r="Z509">
        <f>IMDIV(Y509,Q509)</f>
        <v>0</v>
      </c>
      <c r="AA509">
        <f>IMPRODUCT(Z509,P509)</f>
        <v>0</v>
      </c>
      <c r="AB509">
        <f>AA509</f>
        <v>0</v>
      </c>
      <c r="AC509">
        <f>IMPRODUCT("-1",AB509)</f>
        <v>0</v>
      </c>
      <c r="AD509">
        <f>IMDIV(IMSUB(AB509,AC509),"2")</f>
        <v>0</v>
      </c>
      <c r="AE509" s="6">
        <f>IMABS(AB509)</f>
        <v>0</v>
      </c>
      <c r="AF509" s="6">
        <f>IMABS(AC509)</f>
        <v>0</v>
      </c>
      <c r="AG509" s="6">
        <f>IMABS(AD509)</f>
        <v>0</v>
      </c>
      <c r="AH509" s="7">
        <f>20*LOG10(MAX(AE509,1E-300)*1E6)</f>
        <v>0</v>
      </c>
      <c r="AI509" s="7">
        <f>20*LOG10(MAX(AF509,1E-300)*1E6)</f>
        <v>0</v>
      </c>
      <c r="AJ509" s="7">
        <f>20*LOG10(MAX(AG509,1E-300)*1E6)</f>
        <v>0</v>
      </c>
      <c r="AK509" s="7">
        <f>DEGREES(IMARGUMENT(AB509))</f>
        <v>0</v>
      </c>
      <c r="AL509" s="7">
        <f>DEGREES(IMARGUMENT(AC509))</f>
        <v>0</v>
      </c>
      <c r="AM509" s="7">
        <f>DEGREES(IMARGUMENT(AD509))</f>
        <v>0</v>
      </c>
    </row>
    <row r="510" spans="1:39">
      <c r="A510" s="6">
        <f>10^(LOG10(F_START)+(ROW()-ROW($A$2))*(LOG10(F_STOP)-LOG10(F_START))/(N_POINTS-1))</f>
        <v>0</v>
      </c>
      <c r="B510" s="6">
        <f>2*PI()*A510</f>
        <v>0</v>
      </c>
      <c r="C510">
        <f>COMPLEX(2*LINE_PS_DCR,2*B510*LINE_PS_L)</f>
        <v>0</v>
      </c>
      <c r="D510">
        <f>IMSUM(COMPLEX(0,B510*(LINE_PS_CLINE+LINE_PS_CCHA/2)),IMDIV("1",IMPRODUCT("2",COMPLEX(C_THROUGH_ESR,B510*C_THROUGH_ESL-1/(B510*C_THROUGH_C)))))</f>
        <v>0</v>
      </c>
      <c r="E510">
        <f>COMPLEX(2*LINE_INPUT_DCR,2*B510*LINE_INPUT_L)</f>
        <v>0</v>
      </c>
      <c r="F510">
        <f>COMPLEX(0,B510*(LINE_INPUT_CLINE+LINE_INPUT_CCHA/2))</f>
        <v>0</v>
      </c>
      <c r="G510">
        <f>IMPRODUCT("2",IMDIV("1",IMSUM(IMDIV("1",COMPLEX(LDM1_DCR,B510*LDM1_L)),COMPLEX(0,B510*LDM1_CPA))))</f>
        <v>0</v>
      </c>
      <c r="H510">
        <f>IMSUM(IMDIV("1",COMPLEX(CX1_ESR,B510*CX1_ESL-1/(B510*CX1_C))),IMDIV("1",IMSUM(COMPLEX(DUMP1_R,0),COMPLEX(DUMP1_ESR,B510*DUMP1_ESL-1/(B510*DUMP1_C)))))</f>
        <v>0</v>
      </c>
      <c r="I510">
        <f>IMPRODUCT("2",IMDIV("1",IMSUM(IMDIV("1",COMPLEX(LDM2_DCR,B510*LDM2_L)),COMPLEX(0,B510*LDM2_CPA))))</f>
        <v>0</v>
      </c>
      <c r="J510">
        <f>IMSUM(IMDIV("1",COMPLEX(CX2_ESR,B510*CX2_ESL-1/(B510*CX2_C))),IMDIV("1",IMSUM(COMPLEX(DUMP2_R,0),COMPLEX(DUMP2_ESR,B510*DUMP2_ESL-1/(B510*DUMP2_C)))))</f>
        <v>0</v>
      </c>
      <c r="K510">
        <f>IMPRODUCT("2",IMDIV("1",IMSUM(IMDIV("1",COMPLEX(CMC_DCR,B510*CMC_L*(1-CMC_K))),COMPLEX(0,B510*CMC_CPA))))</f>
        <v>0</v>
      </c>
      <c r="L510">
        <f>IMSUM(COMPLEX(0,B510*CMC_CLINE),IMDIV("1",IMPRODUCT("2",COMPLEX(CY_ESR,B510*CY_ESL-1/(B510*CY_C)))),COMPLEX(1/DUMMY_R,0))</f>
        <v>0</v>
      </c>
      <c r="M510">
        <f>IMSUM(D510,IMDIV("1",C510))</f>
        <v>0</v>
      </c>
      <c r="N510">
        <f>IMDIV("1",IMSUM(E510,IMDIV("1",M510)))</f>
        <v>0</v>
      </c>
      <c r="O510">
        <f>IMSUM(F510,N510)</f>
        <v>0</v>
      </c>
      <c r="P510">
        <f>IMDIV("1",IMSUM(G510,IMDIV("1",O510)))</f>
        <v>0</v>
      </c>
      <c r="Q510">
        <f>IMSUM(H510,P510)</f>
        <v>0</v>
      </c>
      <c r="R510">
        <f>IMDIV("1",IMSUM(I510,IMDIV("1",Q510)))</f>
        <v>0</v>
      </c>
      <c r="S510">
        <f>IMSUM(J510,R510)</f>
        <v>0</v>
      </c>
      <c r="T510">
        <f>IMDIV("1",IMSUM(K510,IMDIV("1",S510)))</f>
        <v>0</v>
      </c>
      <c r="U510">
        <f>IMSUM(L510,T510)</f>
        <v>0</v>
      </c>
      <c r="V510">
        <f>IMDIV(COMPLEX(I_DM_SOURCE,0),U510)</f>
        <v>0</v>
      </c>
      <c r="W510">
        <f>IMPRODUCT(V510,T510)</f>
        <v>0</v>
      </c>
      <c r="X510">
        <f>IMDIV(W510,S510)</f>
        <v>0</v>
      </c>
      <c r="Y510">
        <f>IMPRODUCT(X510,R510)</f>
        <v>0</v>
      </c>
      <c r="Z510">
        <f>IMDIV(Y510,Q510)</f>
        <v>0</v>
      </c>
      <c r="AA510">
        <f>IMPRODUCT(Z510,P510)</f>
        <v>0</v>
      </c>
      <c r="AB510">
        <f>AA510</f>
        <v>0</v>
      </c>
      <c r="AC510">
        <f>IMPRODUCT("-1",AB510)</f>
        <v>0</v>
      </c>
      <c r="AD510">
        <f>IMDIV(IMSUB(AB510,AC510),"2")</f>
        <v>0</v>
      </c>
      <c r="AE510" s="6">
        <f>IMABS(AB510)</f>
        <v>0</v>
      </c>
      <c r="AF510" s="6">
        <f>IMABS(AC510)</f>
        <v>0</v>
      </c>
      <c r="AG510" s="6">
        <f>IMABS(AD510)</f>
        <v>0</v>
      </c>
      <c r="AH510" s="7">
        <f>20*LOG10(MAX(AE510,1E-300)*1E6)</f>
        <v>0</v>
      </c>
      <c r="AI510" s="7">
        <f>20*LOG10(MAX(AF510,1E-300)*1E6)</f>
        <v>0</v>
      </c>
      <c r="AJ510" s="7">
        <f>20*LOG10(MAX(AG510,1E-300)*1E6)</f>
        <v>0</v>
      </c>
      <c r="AK510" s="7">
        <f>DEGREES(IMARGUMENT(AB510))</f>
        <v>0</v>
      </c>
      <c r="AL510" s="7">
        <f>DEGREES(IMARGUMENT(AC510))</f>
        <v>0</v>
      </c>
      <c r="AM510" s="7">
        <f>DEGREES(IMARGUMENT(AD510))</f>
        <v>0</v>
      </c>
    </row>
    <row r="511" spans="1:39">
      <c r="A511" s="6">
        <f>10^(LOG10(F_START)+(ROW()-ROW($A$2))*(LOG10(F_STOP)-LOG10(F_START))/(N_POINTS-1))</f>
        <v>0</v>
      </c>
      <c r="B511" s="6">
        <f>2*PI()*A511</f>
        <v>0</v>
      </c>
      <c r="C511">
        <f>COMPLEX(2*LINE_PS_DCR,2*B511*LINE_PS_L)</f>
        <v>0</v>
      </c>
      <c r="D511">
        <f>IMSUM(COMPLEX(0,B511*(LINE_PS_CLINE+LINE_PS_CCHA/2)),IMDIV("1",IMPRODUCT("2",COMPLEX(C_THROUGH_ESR,B511*C_THROUGH_ESL-1/(B511*C_THROUGH_C)))))</f>
        <v>0</v>
      </c>
      <c r="E511">
        <f>COMPLEX(2*LINE_INPUT_DCR,2*B511*LINE_INPUT_L)</f>
        <v>0</v>
      </c>
      <c r="F511">
        <f>COMPLEX(0,B511*(LINE_INPUT_CLINE+LINE_INPUT_CCHA/2))</f>
        <v>0</v>
      </c>
      <c r="G511">
        <f>IMPRODUCT("2",IMDIV("1",IMSUM(IMDIV("1",COMPLEX(LDM1_DCR,B511*LDM1_L)),COMPLEX(0,B511*LDM1_CPA))))</f>
        <v>0</v>
      </c>
      <c r="H511">
        <f>IMSUM(IMDIV("1",COMPLEX(CX1_ESR,B511*CX1_ESL-1/(B511*CX1_C))),IMDIV("1",IMSUM(COMPLEX(DUMP1_R,0),COMPLEX(DUMP1_ESR,B511*DUMP1_ESL-1/(B511*DUMP1_C)))))</f>
        <v>0</v>
      </c>
      <c r="I511">
        <f>IMPRODUCT("2",IMDIV("1",IMSUM(IMDIV("1",COMPLEX(LDM2_DCR,B511*LDM2_L)),COMPLEX(0,B511*LDM2_CPA))))</f>
        <v>0</v>
      </c>
      <c r="J511">
        <f>IMSUM(IMDIV("1",COMPLEX(CX2_ESR,B511*CX2_ESL-1/(B511*CX2_C))),IMDIV("1",IMSUM(COMPLEX(DUMP2_R,0),COMPLEX(DUMP2_ESR,B511*DUMP2_ESL-1/(B511*DUMP2_C)))))</f>
        <v>0</v>
      </c>
      <c r="K511">
        <f>IMPRODUCT("2",IMDIV("1",IMSUM(IMDIV("1",COMPLEX(CMC_DCR,B511*CMC_L*(1-CMC_K))),COMPLEX(0,B511*CMC_CPA))))</f>
        <v>0</v>
      </c>
      <c r="L511">
        <f>IMSUM(COMPLEX(0,B511*CMC_CLINE),IMDIV("1",IMPRODUCT("2",COMPLEX(CY_ESR,B511*CY_ESL-1/(B511*CY_C)))),COMPLEX(1/DUMMY_R,0))</f>
        <v>0</v>
      </c>
      <c r="M511">
        <f>IMSUM(D511,IMDIV("1",C511))</f>
        <v>0</v>
      </c>
      <c r="N511">
        <f>IMDIV("1",IMSUM(E511,IMDIV("1",M511)))</f>
        <v>0</v>
      </c>
      <c r="O511">
        <f>IMSUM(F511,N511)</f>
        <v>0</v>
      </c>
      <c r="P511">
        <f>IMDIV("1",IMSUM(G511,IMDIV("1",O511)))</f>
        <v>0</v>
      </c>
      <c r="Q511">
        <f>IMSUM(H511,P511)</f>
        <v>0</v>
      </c>
      <c r="R511">
        <f>IMDIV("1",IMSUM(I511,IMDIV("1",Q511)))</f>
        <v>0</v>
      </c>
      <c r="S511">
        <f>IMSUM(J511,R511)</f>
        <v>0</v>
      </c>
      <c r="T511">
        <f>IMDIV("1",IMSUM(K511,IMDIV("1",S511)))</f>
        <v>0</v>
      </c>
      <c r="U511">
        <f>IMSUM(L511,T511)</f>
        <v>0</v>
      </c>
      <c r="V511">
        <f>IMDIV(COMPLEX(I_DM_SOURCE,0),U511)</f>
        <v>0</v>
      </c>
      <c r="W511">
        <f>IMPRODUCT(V511,T511)</f>
        <v>0</v>
      </c>
      <c r="X511">
        <f>IMDIV(W511,S511)</f>
        <v>0</v>
      </c>
      <c r="Y511">
        <f>IMPRODUCT(X511,R511)</f>
        <v>0</v>
      </c>
      <c r="Z511">
        <f>IMDIV(Y511,Q511)</f>
        <v>0</v>
      </c>
      <c r="AA511">
        <f>IMPRODUCT(Z511,P511)</f>
        <v>0</v>
      </c>
      <c r="AB511">
        <f>AA511</f>
        <v>0</v>
      </c>
      <c r="AC511">
        <f>IMPRODUCT("-1",AB511)</f>
        <v>0</v>
      </c>
      <c r="AD511">
        <f>IMDIV(IMSUB(AB511,AC511),"2")</f>
        <v>0</v>
      </c>
      <c r="AE511" s="6">
        <f>IMABS(AB511)</f>
        <v>0</v>
      </c>
      <c r="AF511" s="6">
        <f>IMABS(AC511)</f>
        <v>0</v>
      </c>
      <c r="AG511" s="6">
        <f>IMABS(AD511)</f>
        <v>0</v>
      </c>
      <c r="AH511" s="7">
        <f>20*LOG10(MAX(AE511,1E-300)*1E6)</f>
        <v>0</v>
      </c>
      <c r="AI511" s="7">
        <f>20*LOG10(MAX(AF511,1E-300)*1E6)</f>
        <v>0</v>
      </c>
      <c r="AJ511" s="7">
        <f>20*LOG10(MAX(AG511,1E-300)*1E6)</f>
        <v>0</v>
      </c>
      <c r="AK511" s="7">
        <f>DEGREES(IMARGUMENT(AB511))</f>
        <v>0</v>
      </c>
      <c r="AL511" s="7">
        <f>DEGREES(IMARGUMENT(AC511))</f>
        <v>0</v>
      </c>
      <c r="AM511" s="7">
        <f>DEGREES(IMARGUMENT(AD511))</f>
        <v>0</v>
      </c>
    </row>
    <row r="512" spans="1:39">
      <c r="A512" s="6">
        <f>10^(LOG10(F_START)+(ROW()-ROW($A$2))*(LOG10(F_STOP)-LOG10(F_START))/(N_POINTS-1))</f>
        <v>0</v>
      </c>
      <c r="B512" s="6">
        <f>2*PI()*A512</f>
        <v>0</v>
      </c>
      <c r="C512">
        <f>COMPLEX(2*LINE_PS_DCR,2*B512*LINE_PS_L)</f>
        <v>0</v>
      </c>
      <c r="D512">
        <f>IMSUM(COMPLEX(0,B512*(LINE_PS_CLINE+LINE_PS_CCHA/2)),IMDIV("1",IMPRODUCT("2",COMPLEX(C_THROUGH_ESR,B512*C_THROUGH_ESL-1/(B512*C_THROUGH_C)))))</f>
        <v>0</v>
      </c>
      <c r="E512">
        <f>COMPLEX(2*LINE_INPUT_DCR,2*B512*LINE_INPUT_L)</f>
        <v>0</v>
      </c>
      <c r="F512">
        <f>COMPLEX(0,B512*(LINE_INPUT_CLINE+LINE_INPUT_CCHA/2))</f>
        <v>0</v>
      </c>
      <c r="G512">
        <f>IMPRODUCT("2",IMDIV("1",IMSUM(IMDIV("1",COMPLEX(LDM1_DCR,B512*LDM1_L)),COMPLEX(0,B512*LDM1_CPA))))</f>
        <v>0</v>
      </c>
      <c r="H512">
        <f>IMSUM(IMDIV("1",COMPLEX(CX1_ESR,B512*CX1_ESL-1/(B512*CX1_C))),IMDIV("1",IMSUM(COMPLEX(DUMP1_R,0),COMPLEX(DUMP1_ESR,B512*DUMP1_ESL-1/(B512*DUMP1_C)))))</f>
        <v>0</v>
      </c>
      <c r="I512">
        <f>IMPRODUCT("2",IMDIV("1",IMSUM(IMDIV("1",COMPLEX(LDM2_DCR,B512*LDM2_L)),COMPLEX(0,B512*LDM2_CPA))))</f>
        <v>0</v>
      </c>
      <c r="J512">
        <f>IMSUM(IMDIV("1",COMPLEX(CX2_ESR,B512*CX2_ESL-1/(B512*CX2_C))),IMDIV("1",IMSUM(COMPLEX(DUMP2_R,0),COMPLEX(DUMP2_ESR,B512*DUMP2_ESL-1/(B512*DUMP2_C)))))</f>
        <v>0</v>
      </c>
      <c r="K512">
        <f>IMPRODUCT("2",IMDIV("1",IMSUM(IMDIV("1",COMPLEX(CMC_DCR,B512*CMC_L*(1-CMC_K))),COMPLEX(0,B512*CMC_CPA))))</f>
        <v>0</v>
      </c>
      <c r="L512">
        <f>IMSUM(COMPLEX(0,B512*CMC_CLINE),IMDIV("1",IMPRODUCT("2",COMPLEX(CY_ESR,B512*CY_ESL-1/(B512*CY_C)))),COMPLEX(1/DUMMY_R,0))</f>
        <v>0</v>
      </c>
      <c r="M512">
        <f>IMSUM(D512,IMDIV("1",C512))</f>
        <v>0</v>
      </c>
      <c r="N512">
        <f>IMDIV("1",IMSUM(E512,IMDIV("1",M512)))</f>
        <v>0</v>
      </c>
      <c r="O512">
        <f>IMSUM(F512,N512)</f>
        <v>0</v>
      </c>
      <c r="P512">
        <f>IMDIV("1",IMSUM(G512,IMDIV("1",O512)))</f>
        <v>0</v>
      </c>
      <c r="Q512">
        <f>IMSUM(H512,P512)</f>
        <v>0</v>
      </c>
      <c r="R512">
        <f>IMDIV("1",IMSUM(I512,IMDIV("1",Q512)))</f>
        <v>0</v>
      </c>
      <c r="S512">
        <f>IMSUM(J512,R512)</f>
        <v>0</v>
      </c>
      <c r="T512">
        <f>IMDIV("1",IMSUM(K512,IMDIV("1",S512)))</f>
        <v>0</v>
      </c>
      <c r="U512">
        <f>IMSUM(L512,T512)</f>
        <v>0</v>
      </c>
      <c r="V512">
        <f>IMDIV(COMPLEX(I_DM_SOURCE,0),U512)</f>
        <v>0</v>
      </c>
      <c r="W512">
        <f>IMPRODUCT(V512,T512)</f>
        <v>0</v>
      </c>
      <c r="X512">
        <f>IMDIV(W512,S512)</f>
        <v>0</v>
      </c>
      <c r="Y512">
        <f>IMPRODUCT(X512,R512)</f>
        <v>0</v>
      </c>
      <c r="Z512">
        <f>IMDIV(Y512,Q512)</f>
        <v>0</v>
      </c>
      <c r="AA512">
        <f>IMPRODUCT(Z512,P512)</f>
        <v>0</v>
      </c>
      <c r="AB512">
        <f>AA512</f>
        <v>0</v>
      </c>
      <c r="AC512">
        <f>IMPRODUCT("-1",AB512)</f>
        <v>0</v>
      </c>
      <c r="AD512">
        <f>IMDIV(IMSUB(AB512,AC512),"2")</f>
        <v>0</v>
      </c>
      <c r="AE512" s="6">
        <f>IMABS(AB512)</f>
        <v>0</v>
      </c>
      <c r="AF512" s="6">
        <f>IMABS(AC512)</f>
        <v>0</v>
      </c>
      <c r="AG512" s="6">
        <f>IMABS(AD512)</f>
        <v>0</v>
      </c>
      <c r="AH512" s="7">
        <f>20*LOG10(MAX(AE512,1E-300)*1E6)</f>
        <v>0</v>
      </c>
      <c r="AI512" s="7">
        <f>20*LOG10(MAX(AF512,1E-300)*1E6)</f>
        <v>0</v>
      </c>
      <c r="AJ512" s="7">
        <f>20*LOG10(MAX(AG512,1E-300)*1E6)</f>
        <v>0</v>
      </c>
      <c r="AK512" s="7">
        <f>DEGREES(IMARGUMENT(AB512))</f>
        <v>0</v>
      </c>
      <c r="AL512" s="7">
        <f>DEGREES(IMARGUMENT(AC512))</f>
        <v>0</v>
      </c>
      <c r="AM512" s="7">
        <f>DEGREES(IMARGUMENT(AD512))</f>
        <v>0</v>
      </c>
    </row>
    <row r="513" spans="1:39">
      <c r="A513" s="6">
        <f>10^(LOG10(F_START)+(ROW()-ROW($A$2))*(LOG10(F_STOP)-LOG10(F_START))/(N_POINTS-1))</f>
        <v>0</v>
      </c>
      <c r="B513" s="6">
        <f>2*PI()*A513</f>
        <v>0</v>
      </c>
      <c r="C513">
        <f>COMPLEX(2*LINE_PS_DCR,2*B513*LINE_PS_L)</f>
        <v>0</v>
      </c>
      <c r="D513">
        <f>IMSUM(COMPLEX(0,B513*(LINE_PS_CLINE+LINE_PS_CCHA/2)),IMDIV("1",IMPRODUCT("2",COMPLEX(C_THROUGH_ESR,B513*C_THROUGH_ESL-1/(B513*C_THROUGH_C)))))</f>
        <v>0</v>
      </c>
      <c r="E513">
        <f>COMPLEX(2*LINE_INPUT_DCR,2*B513*LINE_INPUT_L)</f>
        <v>0</v>
      </c>
      <c r="F513">
        <f>COMPLEX(0,B513*(LINE_INPUT_CLINE+LINE_INPUT_CCHA/2))</f>
        <v>0</v>
      </c>
      <c r="G513">
        <f>IMPRODUCT("2",IMDIV("1",IMSUM(IMDIV("1",COMPLEX(LDM1_DCR,B513*LDM1_L)),COMPLEX(0,B513*LDM1_CPA))))</f>
        <v>0</v>
      </c>
      <c r="H513">
        <f>IMSUM(IMDIV("1",COMPLEX(CX1_ESR,B513*CX1_ESL-1/(B513*CX1_C))),IMDIV("1",IMSUM(COMPLEX(DUMP1_R,0),COMPLEX(DUMP1_ESR,B513*DUMP1_ESL-1/(B513*DUMP1_C)))))</f>
        <v>0</v>
      </c>
      <c r="I513">
        <f>IMPRODUCT("2",IMDIV("1",IMSUM(IMDIV("1",COMPLEX(LDM2_DCR,B513*LDM2_L)),COMPLEX(0,B513*LDM2_CPA))))</f>
        <v>0</v>
      </c>
      <c r="J513">
        <f>IMSUM(IMDIV("1",COMPLEX(CX2_ESR,B513*CX2_ESL-1/(B513*CX2_C))),IMDIV("1",IMSUM(COMPLEX(DUMP2_R,0),COMPLEX(DUMP2_ESR,B513*DUMP2_ESL-1/(B513*DUMP2_C)))))</f>
        <v>0</v>
      </c>
      <c r="K513">
        <f>IMPRODUCT("2",IMDIV("1",IMSUM(IMDIV("1",COMPLEX(CMC_DCR,B513*CMC_L*(1-CMC_K))),COMPLEX(0,B513*CMC_CPA))))</f>
        <v>0</v>
      </c>
      <c r="L513">
        <f>IMSUM(COMPLEX(0,B513*CMC_CLINE),IMDIV("1",IMPRODUCT("2",COMPLEX(CY_ESR,B513*CY_ESL-1/(B513*CY_C)))),COMPLEX(1/DUMMY_R,0))</f>
        <v>0</v>
      </c>
      <c r="M513">
        <f>IMSUM(D513,IMDIV("1",C513))</f>
        <v>0</v>
      </c>
      <c r="N513">
        <f>IMDIV("1",IMSUM(E513,IMDIV("1",M513)))</f>
        <v>0</v>
      </c>
      <c r="O513">
        <f>IMSUM(F513,N513)</f>
        <v>0</v>
      </c>
      <c r="P513">
        <f>IMDIV("1",IMSUM(G513,IMDIV("1",O513)))</f>
        <v>0</v>
      </c>
      <c r="Q513">
        <f>IMSUM(H513,P513)</f>
        <v>0</v>
      </c>
      <c r="R513">
        <f>IMDIV("1",IMSUM(I513,IMDIV("1",Q513)))</f>
        <v>0</v>
      </c>
      <c r="S513">
        <f>IMSUM(J513,R513)</f>
        <v>0</v>
      </c>
      <c r="T513">
        <f>IMDIV("1",IMSUM(K513,IMDIV("1",S513)))</f>
        <v>0</v>
      </c>
      <c r="U513">
        <f>IMSUM(L513,T513)</f>
        <v>0</v>
      </c>
      <c r="V513">
        <f>IMDIV(COMPLEX(I_DM_SOURCE,0),U513)</f>
        <v>0</v>
      </c>
      <c r="W513">
        <f>IMPRODUCT(V513,T513)</f>
        <v>0</v>
      </c>
      <c r="X513">
        <f>IMDIV(W513,S513)</f>
        <v>0</v>
      </c>
      <c r="Y513">
        <f>IMPRODUCT(X513,R513)</f>
        <v>0</v>
      </c>
      <c r="Z513">
        <f>IMDIV(Y513,Q513)</f>
        <v>0</v>
      </c>
      <c r="AA513">
        <f>IMPRODUCT(Z513,P513)</f>
        <v>0</v>
      </c>
      <c r="AB513">
        <f>AA513</f>
        <v>0</v>
      </c>
      <c r="AC513">
        <f>IMPRODUCT("-1",AB513)</f>
        <v>0</v>
      </c>
      <c r="AD513">
        <f>IMDIV(IMSUB(AB513,AC513),"2")</f>
        <v>0</v>
      </c>
      <c r="AE513" s="6">
        <f>IMABS(AB513)</f>
        <v>0</v>
      </c>
      <c r="AF513" s="6">
        <f>IMABS(AC513)</f>
        <v>0</v>
      </c>
      <c r="AG513" s="6">
        <f>IMABS(AD513)</f>
        <v>0</v>
      </c>
      <c r="AH513" s="7">
        <f>20*LOG10(MAX(AE513,1E-300)*1E6)</f>
        <v>0</v>
      </c>
      <c r="AI513" s="7">
        <f>20*LOG10(MAX(AF513,1E-300)*1E6)</f>
        <v>0</v>
      </c>
      <c r="AJ513" s="7">
        <f>20*LOG10(MAX(AG513,1E-300)*1E6)</f>
        <v>0</v>
      </c>
      <c r="AK513" s="7">
        <f>DEGREES(IMARGUMENT(AB513))</f>
        <v>0</v>
      </c>
      <c r="AL513" s="7">
        <f>DEGREES(IMARGUMENT(AC513))</f>
        <v>0</v>
      </c>
      <c r="AM513" s="7">
        <f>DEGREES(IMARGUMENT(AD513))</f>
        <v>0</v>
      </c>
    </row>
    <row r="514" spans="1:39">
      <c r="A514" s="6">
        <f>10^(LOG10(F_START)+(ROW()-ROW($A$2))*(LOG10(F_STOP)-LOG10(F_START))/(N_POINTS-1))</f>
        <v>0</v>
      </c>
      <c r="B514" s="6">
        <f>2*PI()*A514</f>
        <v>0</v>
      </c>
      <c r="C514">
        <f>COMPLEX(2*LINE_PS_DCR,2*B514*LINE_PS_L)</f>
        <v>0</v>
      </c>
      <c r="D514">
        <f>IMSUM(COMPLEX(0,B514*(LINE_PS_CLINE+LINE_PS_CCHA/2)),IMDIV("1",IMPRODUCT("2",COMPLEX(C_THROUGH_ESR,B514*C_THROUGH_ESL-1/(B514*C_THROUGH_C)))))</f>
        <v>0</v>
      </c>
      <c r="E514">
        <f>COMPLEX(2*LINE_INPUT_DCR,2*B514*LINE_INPUT_L)</f>
        <v>0</v>
      </c>
      <c r="F514">
        <f>COMPLEX(0,B514*(LINE_INPUT_CLINE+LINE_INPUT_CCHA/2))</f>
        <v>0</v>
      </c>
      <c r="G514">
        <f>IMPRODUCT("2",IMDIV("1",IMSUM(IMDIV("1",COMPLEX(LDM1_DCR,B514*LDM1_L)),COMPLEX(0,B514*LDM1_CPA))))</f>
        <v>0</v>
      </c>
      <c r="H514">
        <f>IMSUM(IMDIV("1",COMPLEX(CX1_ESR,B514*CX1_ESL-1/(B514*CX1_C))),IMDIV("1",IMSUM(COMPLEX(DUMP1_R,0),COMPLEX(DUMP1_ESR,B514*DUMP1_ESL-1/(B514*DUMP1_C)))))</f>
        <v>0</v>
      </c>
      <c r="I514">
        <f>IMPRODUCT("2",IMDIV("1",IMSUM(IMDIV("1",COMPLEX(LDM2_DCR,B514*LDM2_L)),COMPLEX(0,B514*LDM2_CPA))))</f>
        <v>0</v>
      </c>
      <c r="J514">
        <f>IMSUM(IMDIV("1",COMPLEX(CX2_ESR,B514*CX2_ESL-1/(B514*CX2_C))),IMDIV("1",IMSUM(COMPLEX(DUMP2_R,0),COMPLEX(DUMP2_ESR,B514*DUMP2_ESL-1/(B514*DUMP2_C)))))</f>
        <v>0</v>
      </c>
      <c r="K514">
        <f>IMPRODUCT("2",IMDIV("1",IMSUM(IMDIV("1",COMPLEX(CMC_DCR,B514*CMC_L*(1-CMC_K))),COMPLEX(0,B514*CMC_CPA))))</f>
        <v>0</v>
      </c>
      <c r="L514">
        <f>IMSUM(COMPLEX(0,B514*CMC_CLINE),IMDIV("1",IMPRODUCT("2",COMPLEX(CY_ESR,B514*CY_ESL-1/(B514*CY_C)))),COMPLEX(1/DUMMY_R,0))</f>
        <v>0</v>
      </c>
      <c r="M514">
        <f>IMSUM(D514,IMDIV("1",C514))</f>
        <v>0</v>
      </c>
      <c r="N514">
        <f>IMDIV("1",IMSUM(E514,IMDIV("1",M514)))</f>
        <v>0</v>
      </c>
      <c r="O514">
        <f>IMSUM(F514,N514)</f>
        <v>0</v>
      </c>
      <c r="P514">
        <f>IMDIV("1",IMSUM(G514,IMDIV("1",O514)))</f>
        <v>0</v>
      </c>
      <c r="Q514">
        <f>IMSUM(H514,P514)</f>
        <v>0</v>
      </c>
      <c r="R514">
        <f>IMDIV("1",IMSUM(I514,IMDIV("1",Q514)))</f>
        <v>0</v>
      </c>
      <c r="S514">
        <f>IMSUM(J514,R514)</f>
        <v>0</v>
      </c>
      <c r="T514">
        <f>IMDIV("1",IMSUM(K514,IMDIV("1",S514)))</f>
        <v>0</v>
      </c>
      <c r="U514">
        <f>IMSUM(L514,T514)</f>
        <v>0</v>
      </c>
      <c r="V514">
        <f>IMDIV(COMPLEX(I_DM_SOURCE,0),U514)</f>
        <v>0</v>
      </c>
      <c r="W514">
        <f>IMPRODUCT(V514,T514)</f>
        <v>0</v>
      </c>
      <c r="X514">
        <f>IMDIV(W514,S514)</f>
        <v>0</v>
      </c>
      <c r="Y514">
        <f>IMPRODUCT(X514,R514)</f>
        <v>0</v>
      </c>
      <c r="Z514">
        <f>IMDIV(Y514,Q514)</f>
        <v>0</v>
      </c>
      <c r="AA514">
        <f>IMPRODUCT(Z514,P514)</f>
        <v>0</v>
      </c>
      <c r="AB514">
        <f>AA514</f>
        <v>0</v>
      </c>
      <c r="AC514">
        <f>IMPRODUCT("-1",AB514)</f>
        <v>0</v>
      </c>
      <c r="AD514">
        <f>IMDIV(IMSUB(AB514,AC514),"2")</f>
        <v>0</v>
      </c>
      <c r="AE514" s="6">
        <f>IMABS(AB514)</f>
        <v>0</v>
      </c>
      <c r="AF514" s="6">
        <f>IMABS(AC514)</f>
        <v>0</v>
      </c>
      <c r="AG514" s="6">
        <f>IMABS(AD514)</f>
        <v>0</v>
      </c>
      <c r="AH514" s="7">
        <f>20*LOG10(MAX(AE514,1E-300)*1E6)</f>
        <v>0</v>
      </c>
      <c r="AI514" s="7">
        <f>20*LOG10(MAX(AF514,1E-300)*1E6)</f>
        <v>0</v>
      </c>
      <c r="AJ514" s="7">
        <f>20*LOG10(MAX(AG514,1E-300)*1E6)</f>
        <v>0</v>
      </c>
      <c r="AK514" s="7">
        <f>DEGREES(IMARGUMENT(AB514))</f>
        <v>0</v>
      </c>
      <c r="AL514" s="7">
        <f>DEGREES(IMARGUMENT(AC514))</f>
        <v>0</v>
      </c>
      <c r="AM514" s="7">
        <f>DEGREES(IMARGUMENT(AD514))</f>
        <v>0</v>
      </c>
    </row>
    <row r="515" spans="1:39">
      <c r="A515" s="6">
        <f>10^(LOG10(F_START)+(ROW()-ROW($A$2))*(LOG10(F_STOP)-LOG10(F_START))/(N_POINTS-1))</f>
        <v>0</v>
      </c>
      <c r="B515" s="6">
        <f>2*PI()*A515</f>
        <v>0</v>
      </c>
      <c r="C515">
        <f>COMPLEX(2*LINE_PS_DCR,2*B515*LINE_PS_L)</f>
        <v>0</v>
      </c>
      <c r="D515">
        <f>IMSUM(COMPLEX(0,B515*(LINE_PS_CLINE+LINE_PS_CCHA/2)),IMDIV("1",IMPRODUCT("2",COMPLEX(C_THROUGH_ESR,B515*C_THROUGH_ESL-1/(B515*C_THROUGH_C)))))</f>
        <v>0</v>
      </c>
      <c r="E515">
        <f>COMPLEX(2*LINE_INPUT_DCR,2*B515*LINE_INPUT_L)</f>
        <v>0</v>
      </c>
      <c r="F515">
        <f>COMPLEX(0,B515*(LINE_INPUT_CLINE+LINE_INPUT_CCHA/2))</f>
        <v>0</v>
      </c>
      <c r="G515">
        <f>IMPRODUCT("2",IMDIV("1",IMSUM(IMDIV("1",COMPLEX(LDM1_DCR,B515*LDM1_L)),COMPLEX(0,B515*LDM1_CPA))))</f>
        <v>0</v>
      </c>
      <c r="H515">
        <f>IMSUM(IMDIV("1",COMPLEX(CX1_ESR,B515*CX1_ESL-1/(B515*CX1_C))),IMDIV("1",IMSUM(COMPLEX(DUMP1_R,0),COMPLEX(DUMP1_ESR,B515*DUMP1_ESL-1/(B515*DUMP1_C)))))</f>
        <v>0</v>
      </c>
      <c r="I515">
        <f>IMPRODUCT("2",IMDIV("1",IMSUM(IMDIV("1",COMPLEX(LDM2_DCR,B515*LDM2_L)),COMPLEX(0,B515*LDM2_CPA))))</f>
        <v>0</v>
      </c>
      <c r="J515">
        <f>IMSUM(IMDIV("1",COMPLEX(CX2_ESR,B515*CX2_ESL-1/(B515*CX2_C))),IMDIV("1",IMSUM(COMPLEX(DUMP2_R,0),COMPLEX(DUMP2_ESR,B515*DUMP2_ESL-1/(B515*DUMP2_C)))))</f>
        <v>0</v>
      </c>
      <c r="K515">
        <f>IMPRODUCT("2",IMDIV("1",IMSUM(IMDIV("1",COMPLEX(CMC_DCR,B515*CMC_L*(1-CMC_K))),COMPLEX(0,B515*CMC_CPA))))</f>
        <v>0</v>
      </c>
      <c r="L515">
        <f>IMSUM(COMPLEX(0,B515*CMC_CLINE),IMDIV("1",IMPRODUCT("2",COMPLEX(CY_ESR,B515*CY_ESL-1/(B515*CY_C)))),COMPLEX(1/DUMMY_R,0))</f>
        <v>0</v>
      </c>
      <c r="M515">
        <f>IMSUM(D515,IMDIV("1",C515))</f>
        <v>0</v>
      </c>
      <c r="N515">
        <f>IMDIV("1",IMSUM(E515,IMDIV("1",M515)))</f>
        <v>0</v>
      </c>
      <c r="O515">
        <f>IMSUM(F515,N515)</f>
        <v>0</v>
      </c>
      <c r="P515">
        <f>IMDIV("1",IMSUM(G515,IMDIV("1",O515)))</f>
        <v>0</v>
      </c>
      <c r="Q515">
        <f>IMSUM(H515,P515)</f>
        <v>0</v>
      </c>
      <c r="R515">
        <f>IMDIV("1",IMSUM(I515,IMDIV("1",Q515)))</f>
        <v>0</v>
      </c>
      <c r="S515">
        <f>IMSUM(J515,R515)</f>
        <v>0</v>
      </c>
      <c r="T515">
        <f>IMDIV("1",IMSUM(K515,IMDIV("1",S515)))</f>
        <v>0</v>
      </c>
      <c r="U515">
        <f>IMSUM(L515,T515)</f>
        <v>0</v>
      </c>
      <c r="V515">
        <f>IMDIV(COMPLEX(I_DM_SOURCE,0),U515)</f>
        <v>0</v>
      </c>
      <c r="W515">
        <f>IMPRODUCT(V515,T515)</f>
        <v>0</v>
      </c>
      <c r="X515">
        <f>IMDIV(W515,S515)</f>
        <v>0</v>
      </c>
      <c r="Y515">
        <f>IMPRODUCT(X515,R515)</f>
        <v>0</v>
      </c>
      <c r="Z515">
        <f>IMDIV(Y515,Q515)</f>
        <v>0</v>
      </c>
      <c r="AA515">
        <f>IMPRODUCT(Z515,P515)</f>
        <v>0</v>
      </c>
      <c r="AB515">
        <f>AA515</f>
        <v>0</v>
      </c>
      <c r="AC515">
        <f>IMPRODUCT("-1",AB515)</f>
        <v>0</v>
      </c>
      <c r="AD515">
        <f>IMDIV(IMSUB(AB515,AC515),"2")</f>
        <v>0</v>
      </c>
      <c r="AE515" s="6">
        <f>IMABS(AB515)</f>
        <v>0</v>
      </c>
      <c r="AF515" s="6">
        <f>IMABS(AC515)</f>
        <v>0</v>
      </c>
      <c r="AG515" s="6">
        <f>IMABS(AD515)</f>
        <v>0</v>
      </c>
      <c r="AH515" s="7">
        <f>20*LOG10(MAX(AE515,1E-300)*1E6)</f>
        <v>0</v>
      </c>
      <c r="AI515" s="7">
        <f>20*LOG10(MAX(AF515,1E-300)*1E6)</f>
        <v>0</v>
      </c>
      <c r="AJ515" s="7">
        <f>20*LOG10(MAX(AG515,1E-300)*1E6)</f>
        <v>0</v>
      </c>
      <c r="AK515" s="7">
        <f>DEGREES(IMARGUMENT(AB515))</f>
        <v>0</v>
      </c>
      <c r="AL515" s="7">
        <f>DEGREES(IMARGUMENT(AC515))</f>
        <v>0</v>
      </c>
      <c r="AM515" s="7">
        <f>DEGREES(IMARGUMENT(AD515))</f>
        <v>0</v>
      </c>
    </row>
    <row r="516" spans="1:39">
      <c r="A516" s="6">
        <f>10^(LOG10(F_START)+(ROW()-ROW($A$2))*(LOG10(F_STOP)-LOG10(F_START))/(N_POINTS-1))</f>
        <v>0</v>
      </c>
      <c r="B516" s="6">
        <f>2*PI()*A516</f>
        <v>0</v>
      </c>
      <c r="C516">
        <f>COMPLEX(2*LINE_PS_DCR,2*B516*LINE_PS_L)</f>
        <v>0</v>
      </c>
      <c r="D516">
        <f>IMSUM(COMPLEX(0,B516*(LINE_PS_CLINE+LINE_PS_CCHA/2)),IMDIV("1",IMPRODUCT("2",COMPLEX(C_THROUGH_ESR,B516*C_THROUGH_ESL-1/(B516*C_THROUGH_C)))))</f>
        <v>0</v>
      </c>
      <c r="E516">
        <f>COMPLEX(2*LINE_INPUT_DCR,2*B516*LINE_INPUT_L)</f>
        <v>0</v>
      </c>
      <c r="F516">
        <f>COMPLEX(0,B516*(LINE_INPUT_CLINE+LINE_INPUT_CCHA/2))</f>
        <v>0</v>
      </c>
      <c r="G516">
        <f>IMPRODUCT("2",IMDIV("1",IMSUM(IMDIV("1",COMPLEX(LDM1_DCR,B516*LDM1_L)),COMPLEX(0,B516*LDM1_CPA))))</f>
        <v>0</v>
      </c>
      <c r="H516">
        <f>IMSUM(IMDIV("1",COMPLEX(CX1_ESR,B516*CX1_ESL-1/(B516*CX1_C))),IMDIV("1",IMSUM(COMPLEX(DUMP1_R,0),COMPLEX(DUMP1_ESR,B516*DUMP1_ESL-1/(B516*DUMP1_C)))))</f>
        <v>0</v>
      </c>
      <c r="I516">
        <f>IMPRODUCT("2",IMDIV("1",IMSUM(IMDIV("1",COMPLEX(LDM2_DCR,B516*LDM2_L)),COMPLEX(0,B516*LDM2_CPA))))</f>
        <v>0</v>
      </c>
      <c r="J516">
        <f>IMSUM(IMDIV("1",COMPLEX(CX2_ESR,B516*CX2_ESL-1/(B516*CX2_C))),IMDIV("1",IMSUM(COMPLEX(DUMP2_R,0),COMPLEX(DUMP2_ESR,B516*DUMP2_ESL-1/(B516*DUMP2_C)))))</f>
        <v>0</v>
      </c>
      <c r="K516">
        <f>IMPRODUCT("2",IMDIV("1",IMSUM(IMDIV("1",COMPLEX(CMC_DCR,B516*CMC_L*(1-CMC_K))),COMPLEX(0,B516*CMC_CPA))))</f>
        <v>0</v>
      </c>
      <c r="L516">
        <f>IMSUM(COMPLEX(0,B516*CMC_CLINE),IMDIV("1",IMPRODUCT("2",COMPLEX(CY_ESR,B516*CY_ESL-1/(B516*CY_C)))),COMPLEX(1/DUMMY_R,0))</f>
        <v>0</v>
      </c>
      <c r="M516">
        <f>IMSUM(D516,IMDIV("1",C516))</f>
        <v>0</v>
      </c>
      <c r="N516">
        <f>IMDIV("1",IMSUM(E516,IMDIV("1",M516)))</f>
        <v>0</v>
      </c>
      <c r="O516">
        <f>IMSUM(F516,N516)</f>
        <v>0</v>
      </c>
      <c r="P516">
        <f>IMDIV("1",IMSUM(G516,IMDIV("1",O516)))</f>
        <v>0</v>
      </c>
      <c r="Q516">
        <f>IMSUM(H516,P516)</f>
        <v>0</v>
      </c>
      <c r="R516">
        <f>IMDIV("1",IMSUM(I516,IMDIV("1",Q516)))</f>
        <v>0</v>
      </c>
      <c r="S516">
        <f>IMSUM(J516,R516)</f>
        <v>0</v>
      </c>
      <c r="T516">
        <f>IMDIV("1",IMSUM(K516,IMDIV("1",S516)))</f>
        <v>0</v>
      </c>
      <c r="U516">
        <f>IMSUM(L516,T516)</f>
        <v>0</v>
      </c>
      <c r="V516">
        <f>IMDIV(COMPLEX(I_DM_SOURCE,0),U516)</f>
        <v>0</v>
      </c>
      <c r="W516">
        <f>IMPRODUCT(V516,T516)</f>
        <v>0</v>
      </c>
      <c r="X516">
        <f>IMDIV(W516,S516)</f>
        <v>0</v>
      </c>
      <c r="Y516">
        <f>IMPRODUCT(X516,R516)</f>
        <v>0</v>
      </c>
      <c r="Z516">
        <f>IMDIV(Y516,Q516)</f>
        <v>0</v>
      </c>
      <c r="AA516">
        <f>IMPRODUCT(Z516,P516)</f>
        <v>0</v>
      </c>
      <c r="AB516">
        <f>AA516</f>
        <v>0</v>
      </c>
      <c r="AC516">
        <f>IMPRODUCT("-1",AB516)</f>
        <v>0</v>
      </c>
      <c r="AD516">
        <f>IMDIV(IMSUB(AB516,AC516),"2")</f>
        <v>0</v>
      </c>
      <c r="AE516" s="6">
        <f>IMABS(AB516)</f>
        <v>0</v>
      </c>
      <c r="AF516" s="6">
        <f>IMABS(AC516)</f>
        <v>0</v>
      </c>
      <c r="AG516" s="6">
        <f>IMABS(AD516)</f>
        <v>0</v>
      </c>
      <c r="AH516" s="7">
        <f>20*LOG10(MAX(AE516,1E-300)*1E6)</f>
        <v>0</v>
      </c>
      <c r="AI516" s="7">
        <f>20*LOG10(MAX(AF516,1E-300)*1E6)</f>
        <v>0</v>
      </c>
      <c r="AJ516" s="7">
        <f>20*LOG10(MAX(AG516,1E-300)*1E6)</f>
        <v>0</v>
      </c>
      <c r="AK516" s="7">
        <f>DEGREES(IMARGUMENT(AB516))</f>
        <v>0</v>
      </c>
      <c r="AL516" s="7">
        <f>DEGREES(IMARGUMENT(AC516))</f>
        <v>0</v>
      </c>
      <c r="AM516" s="7">
        <f>DEGREES(IMARGUMENT(AD516))</f>
        <v>0</v>
      </c>
    </row>
    <row r="517" spans="1:39">
      <c r="A517" s="6">
        <f>10^(LOG10(F_START)+(ROW()-ROW($A$2))*(LOG10(F_STOP)-LOG10(F_START))/(N_POINTS-1))</f>
        <v>0</v>
      </c>
      <c r="B517" s="6">
        <f>2*PI()*A517</f>
        <v>0</v>
      </c>
      <c r="C517">
        <f>COMPLEX(2*LINE_PS_DCR,2*B517*LINE_PS_L)</f>
        <v>0</v>
      </c>
      <c r="D517">
        <f>IMSUM(COMPLEX(0,B517*(LINE_PS_CLINE+LINE_PS_CCHA/2)),IMDIV("1",IMPRODUCT("2",COMPLEX(C_THROUGH_ESR,B517*C_THROUGH_ESL-1/(B517*C_THROUGH_C)))))</f>
        <v>0</v>
      </c>
      <c r="E517">
        <f>COMPLEX(2*LINE_INPUT_DCR,2*B517*LINE_INPUT_L)</f>
        <v>0</v>
      </c>
      <c r="F517">
        <f>COMPLEX(0,B517*(LINE_INPUT_CLINE+LINE_INPUT_CCHA/2))</f>
        <v>0</v>
      </c>
      <c r="G517">
        <f>IMPRODUCT("2",IMDIV("1",IMSUM(IMDIV("1",COMPLEX(LDM1_DCR,B517*LDM1_L)),COMPLEX(0,B517*LDM1_CPA))))</f>
        <v>0</v>
      </c>
      <c r="H517">
        <f>IMSUM(IMDIV("1",COMPLEX(CX1_ESR,B517*CX1_ESL-1/(B517*CX1_C))),IMDIV("1",IMSUM(COMPLEX(DUMP1_R,0),COMPLEX(DUMP1_ESR,B517*DUMP1_ESL-1/(B517*DUMP1_C)))))</f>
        <v>0</v>
      </c>
      <c r="I517">
        <f>IMPRODUCT("2",IMDIV("1",IMSUM(IMDIV("1",COMPLEX(LDM2_DCR,B517*LDM2_L)),COMPLEX(0,B517*LDM2_CPA))))</f>
        <v>0</v>
      </c>
      <c r="J517">
        <f>IMSUM(IMDIV("1",COMPLEX(CX2_ESR,B517*CX2_ESL-1/(B517*CX2_C))),IMDIV("1",IMSUM(COMPLEX(DUMP2_R,0),COMPLEX(DUMP2_ESR,B517*DUMP2_ESL-1/(B517*DUMP2_C)))))</f>
        <v>0</v>
      </c>
      <c r="K517">
        <f>IMPRODUCT("2",IMDIV("1",IMSUM(IMDIV("1",COMPLEX(CMC_DCR,B517*CMC_L*(1-CMC_K))),COMPLEX(0,B517*CMC_CPA))))</f>
        <v>0</v>
      </c>
      <c r="L517">
        <f>IMSUM(COMPLEX(0,B517*CMC_CLINE),IMDIV("1",IMPRODUCT("2",COMPLEX(CY_ESR,B517*CY_ESL-1/(B517*CY_C)))),COMPLEX(1/DUMMY_R,0))</f>
        <v>0</v>
      </c>
      <c r="M517">
        <f>IMSUM(D517,IMDIV("1",C517))</f>
        <v>0</v>
      </c>
      <c r="N517">
        <f>IMDIV("1",IMSUM(E517,IMDIV("1",M517)))</f>
        <v>0</v>
      </c>
      <c r="O517">
        <f>IMSUM(F517,N517)</f>
        <v>0</v>
      </c>
      <c r="P517">
        <f>IMDIV("1",IMSUM(G517,IMDIV("1",O517)))</f>
        <v>0</v>
      </c>
      <c r="Q517">
        <f>IMSUM(H517,P517)</f>
        <v>0</v>
      </c>
      <c r="R517">
        <f>IMDIV("1",IMSUM(I517,IMDIV("1",Q517)))</f>
        <v>0</v>
      </c>
      <c r="S517">
        <f>IMSUM(J517,R517)</f>
        <v>0</v>
      </c>
      <c r="T517">
        <f>IMDIV("1",IMSUM(K517,IMDIV("1",S517)))</f>
        <v>0</v>
      </c>
      <c r="U517">
        <f>IMSUM(L517,T517)</f>
        <v>0</v>
      </c>
      <c r="V517">
        <f>IMDIV(COMPLEX(I_DM_SOURCE,0),U517)</f>
        <v>0</v>
      </c>
      <c r="W517">
        <f>IMPRODUCT(V517,T517)</f>
        <v>0</v>
      </c>
      <c r="X517">
        <f>IMDIV(W517,S517)</f>
        <v>0</v>
      </c>
      <c r="Y517">
        <f>IMPRODUCT(X517,R517)</f>
        <v>0</v>
      </c>
      <c r="Z517">
        <f>IMDIV(Y517,Q517)</f>
        <v>0</v>
      </c>
      <c r="AA517">
        <f>IMPRODUCT(Z517,P517)</f>
        <v>0</v>
      </c>
      <c r="AB517">
        <f>AA517</f>
        <v>0</v>
      </c>
      <c r="AC517">
        <f>IMPRODUCT("-1",AB517)</f>
        <v>0</v>
      </c>
      <c r="AD517">
        <f>IMDIV(IMSUB(AB517,AC517),"2")</f>
        <v>0</v>
      </c>
      <c r="AE517" s="6">
        <f>IMABS(AB517)</f>
        <v>0</v>
      </c>
      <c r="AF517" s="6">
        <f>IMABS(AC517)</f>
        <v>0</v>
      </c>
      <c r="AG517" s="6">
        <f>IMABS(AD517)</f>
        <v>0</v>
      </c>
      <c r="AH517" s="7">
        <f>20*LOG10(MAX(AE517,1E-300)*1E6)</f>
        <v>0</v>
      </c>
      <c r="AI517" s="7">
        <f>20*LOG10(MAX(AF517,1E-300)*1E6)</f>
        <v>0</v>
      </c>
      <c r="AJ517" s="7">
        <f>20*LOG10(MAX(AG517,1E-300)*1E6)</f>
        <v>0</v>
      </c>
      <c r="AK517" s="7">
        <f>DEGREES(IMARGUMENT(AB517))</f>
        <v>0</v>
      </c>
      <c r="AL517" s="7">
        <f>DEGREES(IMARGUMENT(AC517))</f>
        <v>0</v>
      </c>
      <c r="AM517" s="7">
        <f>DEGREES(IMARGUMENT(AD517))</f>
        <v>0</v>
      </c>
    </row>
    <row r="518" spans="1:39">
      <c r="A518" s="6">
        <f>10^(LOG10(F_START)+(ROW()-ROW($A$2))*(LOG10(F_STOP)-LOG10(F_START))/(N_POINTS-1))</f>
        <v>0</v>
      </c>
      <c r="B518" s="6">
        <f>2*PI()*A518</f>
        <v>0</v>
      </c>
      <c r="C518">
        <f>COMPLEX(2*LINE_PS_DCR,2*B518*LINE_PS_L)</f>
        <v>0</v>
      </c>
      <c r="D518">
        <f>IMSUM(COMPLEX(0,B518*(LINE_PS_CLINE+LINE_PS_CCHA/2)),IMDIV("1",IMPRODUCT("2",COMPLEX(C_THROUGH_ESR,B518*C_THROUGH_ESL-1/(B518*C_THROUGH_C)))))</f>
        <v>0</v>
      </c>
      <c r="E518">
        <f>COMPLEX(2*LINE_INPUT_DCR,2*B518*LINE_INPUT_L)</f>
        <v>0</v>
      </c>
      <c r="F518">
        <f>COMPLEX(0,B518*(LINE_INPUT_CLINE+LINE_INPUT_CCHA/2))</f>
        <v>0</v>
      </c>
      <c r="G518">
        <f>IMPRODUCT("2",IMDIV("1",IMSUM(IMDIV("1",COMPLEX(LDM1_DCR,B518*LDM1_L)),COMPLEX(0,B518*LDM1_CPA))))</f>
        <v>0</v>
      </c>
      <c r="H518">
        <f>IMSUM(IMDIV("1",COMPLEX(CX1_ESR,B518*CX1_ESL-1/(B518*CX1_C))),IMDIV("1",IMSUM(COMPLEX(DUMP1_R,0),COMPLEX(DUMP1_ESR,B518*DUMP1_ESL-1/(B518*DUMP1_C)))))</f>
        <v>0</v>
      </c>
      <c r="I518">
        <f>IMPRODUCT("2",IMDIV("1",IMSUM(IMDIV("1",COMPLEX(LDM2_DCR,B518*LDM2_L)),COMPLEX(0,B518*LDM2_CPA))))</f>
        <v>0</v>
      </c>
      <c r="J518">
        <f>IMSUM(IMDIV("1",COMPLEX(CX2_ESR,B518*CX2_ESL-1/(B518*CX2_C))),IMDIV("1",IMSUM(COMPLEX(DUMP2_R,0),COMPLEX(DUMP2_ESR,B518*DUMP2_ESL-1/(B518*DUMP2_C)))))</f>
        <v>0</v>
      </c>
      <c r="K518">
        <f>IMPRODUCT("2",IMDIV("1",IMSUM(IMDIV("1",COMPLEX(CMC_DCR,B518*CMC_L*(1-CMC_K))),COMPLEX(0,B518*CMC_CPA))))</f>
        <v>0</v>
      </c>
      <c r="L518">
        <f>IMSUM(COMPLEX(0,B518*CMC_CLINE),IMDIV("1",IMPRODUCT("2",COMPLEX(CY_ESR,B518*CY_ESL-1/(B518*CY_C)))),COMPLEX(1/DUMMY_R,0))</f>
        <v>0</v>
      </c>
      <c r="M518">
        <f>IMSUM(D518,IMDIV("1",C518))</f>
        <v>0</v>
      </c>
      <c r="N518">
        <f>IMDIV("1",IMSUM(E518,IMDIV("1",M518)))</f>
        <v>0</v>
      </c>
      <c r="O518">
        <f>IMSUM(F518,N518)</f>
        <v>0</v>
      </c>
      <c r="P518">
        <f>IMDIV("1",IMSUM(G518,IMDIV("1",O518)))</f>
        <v>0</v>
      </c>
      <c r="Q518">
        <f>IMSUM(H518,P518)</f>
        <v>0</v>
      </c>
      <c r="R518">
        <f>IMDIV("1",IMSUM(I518,IMDIV("1",Q518)))</f>
        <v>0</v>
      </c>
      <c r="S518">
        <f>IMSUM(J518,R518)</f>
        <v>0</v>
      </c>
      <c r="T518">
        <f>IMDIV("1",IMSUM(K518,IMDIV("1",S518)))</f>
        <v>0</v>
      </c>
      <c r="U518">
        <f>IMSUM(L518,T518)</f>
        <v>0</v>
      </c>
      <c r="V518">
        <f>IMDIV(COMPLEX(I_DM_SOURCE,0),U518)</f>
        <v>0</v>
      </c>
      <c r="W518">
        <f>IMPRODUCT(V518,T518)</f>
        <v>0</v>
      </c>
      <c r="X518">
        <f>IMDIV(W518,S518)</f>
        <v>0</v>
      </c>
      <c r="Y518">
        <f>IMPRODUCT(X518,R518)</f>
        <v>0</v>
      </c>
      <c r="Z518">
        <f>IMDIV(Y518,Q518)</f>
        <v>0</v>
      </c>
      <c r="AA518">
        <f>IMPRODUCT(Z518,P518)</f>
        <v>0</v>
      </c>
      <c r="AB518">
        <f>AA518</f>
        <v>0</v>
      </c>
      <c r="AC518">
        <f>IMPRODUCT("-1",AB518)</f>
        <v>0</v>
      </c>
      <c r="AD518">
        <f>IMDIV(IMSUB(AB518,AC518),"2")</f>
        <v>0</v>
      </c>
      <c r="AE518" s="6">
        <f>IMABS(AB518)</f>
        <v>0</v>
      </c>
      <c r="AF518" s="6">
        <f>IMABS(AC518)</f>
        <v>0</v>
      </c>
      <c r="AG518" s="6">
        <f>IMABS(AD518)</f>
        <v>0</v>
      </c>
      <c r="AH518" s="7">
        <f>20*LOG10(MAX(AE518,1E-300)*1E6)</f>
        <v>0</v>
      </c>
      <c r="AI518" s="7">
        <f>20*LOG10(MAX(AF518,1E-300)*1E6)</f>
        <v>0</v>
      </c>
      <c r="AJ518" s="7">
        <f>20*LOG10(MAX(AG518,1E-300)*1E6)</f>
        <v>0</v>
      </c>
      <c r="AK518" s="7">
        <f>DEGREES(IMARGUMENT(AB518))</f>
        <v>0</v>
      </c>
      <c r="AL518" s="7">
        <f>DEGREES(IMARGUMENT(AC518))</f>
        <v>0</v>
      </c>
      <c r="AM518" s="7">
        <f>DEGREES(IMARGUMENT(AD518))</f>
        <v>0</v>
      </c>
    </row>
    <row r="519" spans="1:39">
      <c r="A519" s="6">
        <f>10^(LOG10(F_START)+(ROW()-ROW($A$2))*(LOG10(F_STOP)-LOG10(F_START))/(N_POINTS-1))</f>
        <v>0</v>
      </c>
      <c r="B519" s="6">
        <f>2*PI()*A519</f>
        <v>0</v>
      </c>
      <c r="C519">
        <f>COMPLEX(2*LINE_PS_DCR,2*B519*LINE_PS_L)</f>
        <v>0</v>
      </c>
      <c r="D519">
        <f>IMSUM(COMPLEX(0,B519*(LINE_PS_CLINE+LINE_PS_CCHA/2)),IMDIV("1",IMPRODUCT("2",COMPLEX(C_THROUGH_ESR,B519*C_THROUGH_ESL-1/(B519*C_THROUGH_C)))))</f>
        <v>0</v>
      </c>
      <c r="E519">
        <f>COMPLEX(2*LINE_INPUT_DCR,2*B519*LINE_INPUT_L)</f>
        <v>0</v>
      </c>
      <c r="F519">
        <f>COMPLEX(0,B519*(LINE_INPUT_CLINE+LINE_INPUT_CCHA/2))</f>
        <v>0</v>
      </c>
      <c r="G519">
        <f>IMPRODUCT("2",IMDIV("1",IMSUM(IMDIV("1",COMPLEX(LDM1_DCR,B519*LDM1_L)),COMPLEX(0,B519*LDM1_CPA))))</f>
        <v>0</v>
      </c>
      <c r="H519">
        <f>IMSUM(IMDIV("1",COMPLEX(CX1_ESR,B519*CX1_ESL-1/(B519*CX1_C))),IMDIV("1",IMSUM(COMPLEX(DUMP1_R,0),COMPLEX(DUMP1_ESR,B519*DUMP1_ESL-1/(B519*DUMP1_C)))))</f>
        <v>0</v>
      </c>
      <c r="I519">
        <f>IMPRODUCT("2",IMDIV("1",IMSUM(IMDIV("1",COMPLEX(LDM2_DCR,B519*LDM2_L)),COMPLEX(0,B519*LDM2_CPA))))</f>
        <v>0</v>
      </c>
      <c r="J519">
        <f>IMSUM(IMDIV("1",COMPLEX(CX2_ESR,B519*CX2_ESL-1/(B519*CX2_C))),IMDIV("1",IMSUM(COMPLEX(DUMP2_R,0),COMPLEX(DUMP2_ESR,B519*DUMP2_ESL-1/(B519*DUMP2_C)))))</f>
        <v>0</v>
      </c>
      <c r="K519">
        <f>IMPRODUCT("2",IMDIV("1",IMSUM(IMDIV("1",COMPLEX(CMC_DCR,B519*CMC_L*(1-CMC_K))),COMPLEX(0,B519*CMC_CPA))))</f>
        <v>0</v>
      </c>
      <c r="L519">
        <f>IMSUM(COMPLEX(0,B519*CMC_CLINE),IMDIV("1",IMPRODUCT("2",COMPLEX(CY_ESR,B519*CY_ESL-1/(B519*CY_C)))),COMPLEX(1/DUMMY_R,0))</f>
        <v>0</v>
      </c>
      <c r="M519">
        <f>IMSUM(D519,IMDIV("1",C519))</f>
        <v>0</v>
      </c>
      <c r="N519">
        <f>IMDIV("1",IMSUM(E519,IMDIV("1",M519)))</f>
        <v>0</v>
      </c>
      <c r="O519">
        <f>IMSUM(F519,N519)</f>
        <v>0</v>
      </c>
      <c r="P519">
        <f>IMDIV("1",IMSUM(G519,IMDIV("1",O519)))</f>
        <v>0</v>
      </c>
      <c r="Q519">
        <f>IMSUM(H519,P519)</f>
        <v>0</v>
      </c>
      <c r="R519">
        <f>IMDIV("1",IMSUM(I519,IMDIV("1",Q519)))</f>
        <v>0</v>
      </c>
      <c r="S519">
        <f>IMSUM(J519,R519)</f>
        <v>0</v>
      </c>
      <c r="T519">
        <f>IMDIV("1",IMSUM(K519,IMDIV("1",S519)))</f>
        <v>0</v>
      </c>
      <c r="U519">
        <f>IMSUM(L519,T519)</f>
        <v>0</v>
      </c>
      <c r="V519">
        <f>IMDIV(COMPLEX(I_DM_SOURCE,0),U519)</f>
        <v>0</v>
      </c>
      <c r="W519">
        <f>IMPRODUCT(V519,T519)</f>
        <v>0</v>
      </c>
      <c r="X519">
        <f>IMDIV(W519,S519)</f>
        <v>0</v>
      </c>
      <c r="Y519">
        <f>IMPRODUCT(X519,R519)</f>
        <v>0</v>
      </c>
      <c r="Z519">
        <f>IMDIV(Y519,Q519)</f>
        <v>0</v>
      </c>
      <c r="AA519">
        <f>IMPRODUCT(Z519,P519)</f>
        <v>0</v>
      </c>
      <c r="AB519">
        <f>AA519</f>
        <v>0</v>
      </c>
      <c r="AC519">
        <f>IMPRODUCT("-1",AB519)</f>
        <v>0</v>
      </c>
      <c r="AD519">
        <f>IMDIV(IMSUB(AB519,AC519),"2")</f>
        <v>0</v>
      </c>
      <c r="AE519" s="6">
        <f>IMABS(AB519)</f>
        <v>0</v>
      </c>
      <c r="AF519" s="6">
        <f>IMABS(AC519)</f>
        <v>0</v>
      </c>
      <c r="AG519" s="6">
        <f>IMABS(AD519)</f>
        <v>0</v>
      </c>
      <c r="AH519" s="7">
        <f>20*LOG10(MAX(AE519,1E-300)*1E6)</f>
        <v>0</v>
      </c>
      <c r="AI519" s="7">
        <f>20*LOG10(MAX(AF519,1E-300)*1E6)</f>
        <v>0</v>
      </c>
      <c r="AJ519" s="7">
        <f>20*LOG10(MAX(AG519,1E-300)*1E6)</f>
        <v>0</v>
      </c>
      <c r="AK519" s="7">
        <f>DEGREES(IMARGUMENT(AB519))</f>
        <v>0</v>
      </c>
      <c r="AL519" s="7">
        <f>DEGREES(IMARGUMENT(AC519))</f>
        <v>0</v>
      </c>
      <c r="AM519" s="7">
        <f>DEGREES(IMARGUMENT(AD519))</f>
        <v>0</v>
      </c>
    </row>
    <row r="520" spans="1:39">
      <c r="A520" s="6">
        <f>10^(LOG10(F_START)+(ROW()-ROW($A$2))*(LOG10(F_STOP)-LOG10(F_START))/(N_POINTS-1))</f>
        <v>0</v>
      </c>
      <c r="B520" s="6">
        <f>2*PI()*A520</f>
        <v>0</v>
      </c>
      <c r="C520">
        <f>COMPLEX(2*LINE_PS_DCR,2*B520*LINE_PS_L)</f>
        <v>0</v>
      </c>
      <c r="D520">
        <f>IMSUM(COMPLEX(0,B520*(LINE_PS_CLINE+LINE_PS_CCHA/2)),IMDIV("1",IMPRODUCT("2",COMPLEX(C_THROUGH_ESR,B520*C_THROUGH_ESL-1/(B520*C_THROUGH_C)))))</f>
        <v>0</v>
      </c>
      <c r="E520">
        <f>COMPLEX(2*LINE_INPUT_DCR,2*B520*LINE_INPUT_L)</f>
        <v>0</v>
      </c>
      <c r="F520">
        <f>COMPLEX(0,B520*(LINE_INPUT_CLINE+LINE_INPUT_CCHA/2))</f>
        <v>0</v>
      </c>
      <c r="G520">
        <f>IMPRODUCT("2",IMDIV("1",IMSUM(IMDIV("1",COMPLEX(LDM1_DCR,B520*LDM1_L)),COMPLEX(0,B520*LDM1_CPA))))</f>
        <v>0</v>
      </c>
      <c r="H520">
        <f>IMSUM(IMDIV("1",COMPLEX(CX1_ESR,B520*CX1_ESL-1/(B520*CX1_C))),IMDIV("1",IMSUM(COMPLEX(DUMP1_R,0),COMPLEX(DUMP1_ESR,B520*DUMP1_ESL-1/(B520*DUMP1_C)))))</f>
        <v>0</v>
      </c>
      <c r="I520">
        <f>IMPRODUCT("2",IMDIV("1",IMSUM(IMDIV("1",COMPLEX(LDM2_DCR,B520*LDM2_L)),COMPLEX(0,B520*LDM2_CPA))))</f>
        <v>0</v>
      </c>
      <c r="J520">
        <f>IMSUM(IMDIV("1",COMPLEX(CX2_ESR,B520*CX2_ESL-1/(B520*CX2_C))),IMDIV("1",IMSUM(COMPLEX(DUMP2_R,0),COMPLEX(DUMP2_ESR,B520*DUMP2_ESL-1/(B520*DUMP2_C)))))</f>
        <v>0</v>
      </c>
      <c r="K520">
        <f>IMPRODUCT("2",IMDIV("1",IMSUM(IMDIV("1",COMPLEX(CMC_DCR,B520*CMC_L*(1-CMC_K))),COMPLEX(0,B520*CMC_CPA))))</f>
        <v>0</v>
      </c>
      <c r="L520">
        <f>IMSUM(COMPLEX(0,B520*CMC_CLINE),IMDIV("1",IMPRODUCT("2",COMPLEX(CY_ESR,B520*CY_ESL-1/(B520*CY_C)))),COMPLEX(1/DUMMY_R,0))</f>
        <v>0</v>
      </c>
      <c r="M520">
        <f>IMSUM(D520,IMDIV("1",C520))</f>
        <v>0</v>
      </c>
      <c r="N520">
        <f>IMDIV("1",IMSUM(E520,IMDIV("1",M520)))</f>
        <v>0</v>
      </c>
      <c r="O520">
        <f>IMSUM(F520,N520)</f>
        <v>0</v>
      </c>
      <c r="P520">
        <f>IMDIV("1",IMSUM(G520,IMDIV("1",O520)))</f>
        <v>0</v>
      </c>
      <c r="Q520">
        <f>IMSUM(H520,P520)</f>
        <v>0</v>
      </c>
      <c r="R520">
        <f>IMDIV("1",IMSUM(I520,IMDIV("1",Q520)))</f>
        <v>0</v>
      </c>
      <c r="S520">
        <f>IMSUM(J520,R520)</f>
        <v>0</v>
      </c>
      <c r="T520">
        <f>IMDIV("1",IMSUM(K520,IMDIV("1",S520)))</f>
        <v>0</v>
      </c>
      <c r="U520">
        <f>IMSUM(L520,T520)</f>
        <v>0</v>
      </c>
      <c r="V520">
        <f>IMDIV(COMPLEX(I_DM_SOURCE,0),U520)</f>
        <v>0</v>
      </c>
      <c r="W520">
        <f>IMPRODUCT(V520,T520)</f>
        <v>0</v>
      </c>
      <c r="X520">
        <f>IMDIV(W520,S520)</f>
        <v>0</v>
      </c>
      <c r="Y520">
        <f>IMPRODUCT(X520,R520)</f>
        <v>0</v>
      </c>
      <c r="Z520">
        <f>IMDIV(Y520,Q520)</f>
        <v>0</v>
      </c>
      <c r="AA520">
        <f>IMPRODUCT(Z520,P520)</f>
        <v>0</v>
      </c>
      <c r="AB520">
        <f>AA520</f>
        <v>0</v>
      </c>
      <c r="AC520">
        <f>IMPRODUCT("-1",AB520)</f>
        <v>0</v>
      </c>
      <c r="AD520">
        <f>IMDIV(IMSUB(AB520,AC520),"2")</f>
        <v>0</v>
      </c>
      <c r="AE520" s="6">
        <f>IMABS(AB520)</f>
        <v>0</v>
      </c>
      <c r="AF520" s="6">
        <f>IMABS(AC520)</f>
        <v>0</v>
      </c>
      <c r="AG520" s="6">
        <f>IMABS(AD520)</f>
        <v>0</v>
      </c>
      <c r="AH520" s="7">
        <f>20*LOG10(MAX(AE520,1E-300)*1E6)</f>
        <v>0</v>
      </c>
      <c r="AI520" s="7">
        <f>20*LOG10(MAX(AF520,1E-300)*1E6)</f>
        <v>0</v>
      </c>
      <c r="AJ520" s="7">
        <f>20*LOG10(MAX(AG520,1E-300)*1E6)</f>
        <v>0</v>
      </c>
      <c r="AK520" s="7">
        <f>DEGREES(IMARGUMENT(AB520))</f>
        <v>0</v>
      </c>
      <c r="AL520" s="7">
        <f>DEGREES(IMARGUMENT(AC520))</f>
        <v>0</v>
      </c>
      <c r="AM520" s="7">
        <f>DEGREES(IMARGUMENT(AD520))</f>
        <v>0</v>
      </c>
    </row>
    <row r="521" spans="1:39">
      <c r="A521" s="6">
        <f>10^(LOG10(F_START)+(ROW()-ROW($A$2))*(LOG10(F_STOP)-LOG10(F_START))/(N_POINTS-1))</f>
        <v>0</v>
      </c>
      <c r="B521" s="6">
        <f>2*PI()*A521</f>
        <v>0</v>
      </c>
      <c r="C521">
        <f>COMPLEX(2*LINE_PS_DCR,2*B521*LINE_PS_L)</f>
        <v>0</v>
      </c>
      <c r="D521">
        <f>IMSUM(COMPLEX(0,B521*(LINE_PS_CLINE+LINE_PS_CCHA/2)),IMDIV("1",IMPRODUCT("2",COMPLEX(C_THROUGH_ESR,B521*C_THROUGH_ESL-1/(B521*C_THROUGH_C)))))</f>
        <v>0</v>
      </c>
      <c r="E521">
        <f>COMPLEX(2*LINE_INPUT_DCR,2*B521*LINE_INPUT_L)</f>
        <v>0</v>
      </c>
      <c r="F521">
        <f>COMPLEX(0,B521*(LINE_INPUT_CLINE+LINE_INPUT_CCHA/2))</f>
        <v>0</v>
      </c>
      <c r="G521">
        <f>IMPRODUCT("2",IMDIV("1",IMSUM(IMDIV("1",COMPLEX(LDM1_DCR,B521*LDM1_L)),COMPLEX(0,B521*LDM1_CPA))))</f>
        <v>0</v>
      </c>
      <c r="H521">
        <f>IMSUM(IMDIV("1",COMPLEX(CX1_ESR,B521*CX1_ESL-1/(B521*CX1_C))),IMDIV("1",IMSUM(COMPLEX(DUMP1_R,0),COMPLEX(DUMP1_ESR,B521*DUMP1_ESL-1/(B521*DUMP1_C)))))</f>
        <v>0</v>
      </c>
      <c r="I521">
        <f>IMPRODUCT("2",IMDIV("1",IMSUM(IMDIV("1",COMPLEX(LDM2_DCR,B521*LDM2_L)),COMPLEX(0,B521*LDM2_CPA))))</f>
        <v>0</v>
      </c>
      <c r="J521">
        <f>IMSUM(IMDIV("1",COMPLEX(CX2_ESR,B521*CX2_ESL-1/(B521*CX2_C))),IMDIV("1",IMSUM(COMPLEX(DUMP2_R,0),COMPLEX(DUMP2_ESR,B521*DUMP2_ESL-1/(B521*DUMP2_C)))))</f>
        <v>0</v>
      </c>
      <c r="K521">
        <f>IMPRODUCT("2",IMDIV("1",IMSUM(IMDIV("1",COMPLEX(CMC_DCR,B521*CMC_L*(1-CMC_K))),COMPLEX(0,B521*CMC_CPA))))</f>
        <v>0</v>
      </c>
      <c r="L521">
        <f>IMSUM(COMPLEX(0,B521*CMC_CLINE),IMDIV("1",IMPRODUCT("2",COMPLEX(CY_ESR,B521*CY_ESL-1/(B521*CY_C)))),COMPLEX(1/DUMMY_R,0))</f>
        <v>0</v>
      </c>
      <c r="M521">
        <f>IMSUM(D521,IMDIV("1",C521))</f>
        <v>0</v>
      </c>
      <c r="N521">
        <f>IMDIV("1",IMSUM(E521,IMDIV("1",M521)))</f>
        <v>0</v>
      </c>
      <c r="O521">
        <f>IMSUM(F521,N521)</f>
        <v>0</v>
      </c>
      <c r="P521">
        <f>IMDIV("1",IMSUM(G521,IMDIV("1",O521)))</f>
        <v>0</v>
      </c>
      <c r="Q521">
        <f>IMSUM(H521,P521)</f>
        <v>0</v>
      </c>
      <c r="R521">
        <f>IMDIV("1",IMSUM(I521,IMDIV("1",Q521)))</f>
        <v>0</v>
      </c>
      <c r="S521">
        <f>IMSUM(J521,R521)</f>
        <v>0</v>
      </c>
      <c r="T521">
        <f>IMDIV("1",IMSUM(K521,IMDIV("1",S521)))</f>
        <v>0</v>
      </c>
      <c r="U521">
        <f>IMSUM(L521,T521)</f>
        <v>0</v>
      </c>
      <c r="V521">
        <f>IMDIV(COMPLEX(I_DM_SOURCE,0),U521)</f>
        <v>0</v>
      </c>
      <c r="W521">
        <f>IMPRODUCT(V521,T521)</f>
        <v>0</v>
      </c>
      <c r="X521">
        <f>IMDIV(W521,S521)</f>
        <v>0</v>
      </c>
      <c r="Y521">
        <f>IMPRODUCT(X521,R521)</f>
        <v>0</v>
      </c>
      <c r="Z521">
        <f>IMDIV(Y521,Q521)</f>
        <v>0</v>
      </c>
      <c r="AA521">
        <f>IMPRODUCT(Z521,P521)</f>
        <v>0</v>
      </c>
      <c r="AB521">
        <f>AA521</f>
        <v>0</v>
      </c>
      <c r="AC521">
        <f>IMPRODUCT("-1",AB521)</f>
        <v>0</v>
      </c>
      <c r="AD521">
        <f>IMDIV(IMSUB(AB521,AC521),"2")</f>
        <v>0</v>
      </c>
      <c r="AE521" s="6">
        <f>IMABS(AB521)</f>
        <v>0</v>
      </c>
      <c r="AF521" s="6">
        <f>IMABS(AC521)</f>
        <v>0</v>
      </c>
      <c r="AG521" s="6">
        <f>IMABS(AD521)</f>
        <v>0</v>
      </c>
      <c r="AH521" s="7">
        <f>20*LOG10(MAX(AE521,1E-300)*1E6)</f>
        <v>0</v>
      </c>
      <c r="AI521" s="7">
        <f>20*LOG10(MAX(AF521,1E-300)*1E6)</f>
        <v>0</v>
      </c>
      <c r="AJ521" s="7">
        <f>20*LOG10(MAX(AG521,1E-300)*1E6)</f>
        <v>0</v>
      </c>
      <c r="AK521" s="7">
        <f>DEGREES(IMARGUMENT(AB521))</f>
        <v>0</v>
      </c>
      <c r="AL521" s="7">
        <f>DEGREES(IMARGUMENT(AC521))</f>
        <v>0</v>
      </c>
      <c r="AM521" s="7">
        <f>DEGREES(IMARGUMENT(AD521))</f>
        <v>0</v>
      </c>
    </row>
    <row r="522" spans="1:39">
      <c r="A522" s="6">
        <f>10^(LOG10(F_START)+(ROW()-ROW($A$2))*(LOG10(F_STOP)-LOG10(F_START))/(N_POINTS-1))</f>
        <v>0</v>
      </c>
      <c r="B522" s="6">
        <f>2*PI()*A522</f>
        <v>0</v>
      </c>
      <c r="C522">
        <f>COMPLEX(2*LINE_PS_DCR,2*B522*LINE_PS_L)</f>
        <v>0</v>
      </c>
      <c r="D522">
        <f>IMSUM(COMPLEX(0,B522*(LINE_PS_CLINE+LINE_PS_CCHA/2)),IMDIV("1",IMPRODUCT("2",COMPLEX(C_THROUGH_ESR,B522*C_THROUGH_ESL-1/(B522*C_THROUGH_C)))))</f>
        <v>0</v>
      </c>
      <c r="E522">
        <f>COMPLEX(2*LINE_INPUT_DCR,2*B522*LINE_INPUT_L)</f>
        <v>0</v>
      </c>
      <c r="F522">
        <f>COMPLEX(0,B522*(LINE_INPUT_CLINE+LINE_INPUT_CCHA/2))</f>
        <v>0</v>
      </c>
      <c r="G522">
        <f>IMPRODUCT("2",IMDIV("1",IMSUM(IMDIV("1",COMPLEX(LDM1_DCR,B522*LDM1_L)),COMPLEX(0,B522*LDM1_CPA))))</f>
        <v>0</v>
      </c>
      <c r="H522">
        <f>IMSUM(IMDIV("1",COMPLEX(CX1_ESR,B522*CX1_ESL-1/(B522*CX1_C))),IMDIV("1",IMSUM(COMPLEX(DUMP1_R,0),COMPLEX(DUMP1_ESR,B522*DUMP1_ESL-1/(B522*DUMP1_C)))))</f>
        <v>0</v>
      </c>
      <c r="I522">
        <f>IMPRODUCT("2",IMDIV("1",IMSUM(IMDIV("1",COMPLEX(LDM2_DCR,B522*LDM2_L)),COMPLEX(0,B522*LDM2_CPA))))</f>
        <v>0</v>
      </c>
      <c r="J522">
        <f>IMSUM(IMDIV("1",COMPLEX(CX2_ESR,B522*CX2_ESL-1/(B522*CX2_C))),IMDIV("1",IMSUM(COMPLEX(DUMP2_R,0),COMPLEX(DUMP2_ESR,B522*DUMP2_ESL-1/(B522*DUMP2_C)))))</f>
        <v>0</v>
      </c>
      <c r="K522">
        <f>IMPRODUCT("2",IMDIV("1",IMSUM(IMDIV("1",COMPLEX(CMC_DCR,B522*CMC_L*(1-CMC_K))),COMPLEX(0,B522*CMC_CPA))))</f>
        <v>0</v>
      </c>
      <c r="L522">
        <f>IMSUM(COMPLEX(0,B522*CMC_CLINE),IMDIV("1",IMPRODUCT("2",COMPLEX(CY_ESR,B522*CY_ESL-1/(B522*CY_C)))),COMPLEX(1/DUMMY_R,0))</f>
        <v>0</v>
      </c>
      <c r="M522">
        <f>IMSUM(D522,IMDIV("1",C522))</f>
        <v>0</v>
      </c>
      <c r="N522">
        <f>IMDIV("1",IMSUM(E522,IMDIV("1",M522)))</f>
        <v>0</v>
      </c>
      <c r="O522">
        <f>IMSUM(F522,N522)</f>
        <v>0</v>
      </c>
      <c r="P522">
        <f>IMDIV("1",IMSUM(G522,IMDIV("1",O522)))</f>
        <v>0</v>
      </c>
      <c r="Q522">
        <f>IMSUM(H522,P522)</f>
        <v>0</v>
      </c>
      <c r="R522">
        <f>IMDIV("1",IMSUM(I522,IMDIV("1",Q522)))</f>
        <v>0</v>
      </c>
      <c r="S522">
        <f>IMSUM(J522,R522)</f>
        <v>0</v>
      </c>
      <c r="T522">
        <f>IMDIV("1",IMSUM(K522,IMDIV("1",S522)))</f>
        <v>0</v>
      </c>
      <c r="U522">
        <f>IMSUM(L522,T522)</f>
        <v>0</v>
      </c>
      <c r="V522">
        <f>IMDIV(COMPLEX(I_DM_SOURCE,0),U522)</f>
        <v>0</v>
      </c>
      <c r="W522">
        <f>IMPRODUCT(V522,T522)</f>
        <v>0</v>
      </c>
      <c r="X522">
        <f>IMDIV(W522,S522)</f>
        <v>0</v>
      </c>
      <c r="Y522">
        <f>IMPRODUCT(X522,R522)</f>
        <v>0</v>
      </c>
      <c r="Z522">
        <f>IMDIV(Y522,Q522)</f>
        <v>0</v>
      </c>
      <c r="AA522">
        <f>IMPRODUCT(Z522,P522)</f>
        <v>0</v>
      </c>
      <c r="AB522">
        <f>AA522</f>
        <v>0</v>
      </c>
      <c r="AC522">
        <f>IMPRODUCT("-1",AB522)</f>
        <v>0</v>
      </c>
      <c r="AD522">
        <f>IMDIV(IMSUB(AB522,AC522),"2")</f>
        <v>0</v>
      </c>
      <c r="AE522" s="6">
        <f>IMABS(AB522)</f>
        <v>0</v>
      </c>
      <c r="AF522" s="6">
        <f>IMABS(AC522)</f>
        <v>0</v>
      </c>
      <c r="AG522" s="6">
        <f>IMABS(AD522)</f>
        <v>0</v>
      </c>
      <c r="AH522" s="7">
        <f>20*LOG10(MAX(AE522,1E-300)*1E6)</f>
        <v>0</v>
      </c>
      <c r="AI522" s="7">
        <f>20*LOG10(MAX(AF522,1E-300)*1E6)</f>
        <v>0</v>
      </c>
      <c r="AJ522" s="7">
        <f>20*LOG10(MAX(AG522,1E-300)*1E6)</f>
        <v>0</v>
      </c>
      <c r="AK522" s="7">
        <f>DEGREES(IMARGUMENT(AB522))</f>
        <v>0</v>
      </c>
      <c r="AL522" s="7">
        <f>DEGREES(IMARGUMENT(AC522))</f>
        <v>0</v>
      </c>
      <c r="AM522" s="7">
        <f>DEGREES(IMARGUMENT(AD522))</f>
        <v>0</v>
      </c>
    </row>
    <row r="523" spans="1:39">
      <c r="A523" s="6">
        <f>10^(LOG10(F_START)+(ROW()-ROW($A$2))*(LOG10(F_STOP)-LOG10(F_START))/(N_POINTS-1))</f>
        <v>0</v>
      </c>
      <c r="B523" s="6">
        <f>2*PI()*A523</f>
        <v>0</v>
      </c>
      <c r="C523">
        <f>COMPLEX(2*LINE_PS_DCR,2*B523*LINE_PS_L)</f>
        <v>0</v>
      </c>
      <c r="D523">
        <f>IMSUM(COMPLEX(0,B523*(LINE_PS_CLINE+LINE_PS_CCHA/2)),IMDIV("1",IMPRODUCT("2",COMPLEX(C_THROUGH_ESR,B523*C_THROUGH_ESL-1/(B523*C_THROUGH_C)))))</f>
        <v>0</v>
      </c>
      <c r="E523">
        <f>COMPLEX(2*LINE_INPUT_DCR,2*B523*LINE_INPUT_L)</f>
        <v>0</v>
      </c>
      <c r="F523">
        <f>COMPLEX(0,B523*(LINE_INPUT_CLINE+LINE_INPUT_CCHA/2))</f>
        <v>0</v>
      </c>
      <c r="G523">
        <f>IMPRODUCT("2",IMDIV("1",IMSUM(IMDIV("1",COMPLEX(LDM1_DCR,B523*LDM1_L)),COMPLEX(0,B523*LDM1_CPA))))</f>
        <v>0</v>
      </c>
      <c r="H523">
        <f>IMSUM(IMDIV("1",COMPLEX(CX1_ESR,B523*CX1_ESL-1/(B523*CX1_C))),IMDIV("1",IMSUM(COMPLEX(DUMP1_R,0),COMPLEX(DUMP1_ESR,B523*DUMP1_ESL-1/(B523*DUMP1_C)))))</f>
        <v>0</v>
      </c>
      <c r="I523">
        <f>IMPRODUCT("2",IMDIV("1",IMSUM(IMDIV("1",COMPLEX(LDM2_DCR,B523*LDM2_L)),COMPLEX(0,B523*LDM2_CPA))))</f>
        <v>0</v>
      </c>
      <c r="J523">
        <f>IMSUM(IMDIV("1",COMPLEX(CX2_ESR,B523*CX2_ESL-1/(B523*CX2_C))),IMDIV("1",IMSUM(COMPLEX(DUMP2_R,0),COMPLEX(DUMP2_ESR,B523*DUMP2_ESL-1/(B523*DUMP2_C)))))</f>
        <v>0</v>
      </c>
      <c r="K523">
        <f>IMPRODUCT("2",IMDIV("1",IMSUM(IMDIV("1",COMPLEX(CMC_DCR,B523*CMC_L*(1-CMC_K))),COMPLEX(0,B523*CMC_CPA))))</f>
        <v>0</v>
      </c>
      <c r="L523">
        <f>IMSUM(COMPLEX(0,B523*CMC_CLINE),IMDIV("1",IMPRODUCT("2",COMPLEX(CY_ESR,B523*CY_ESL-1/(B523*CY_C)))),COMPLEX(1/DUMMY_R,0))</f>
        <v>0</v>
      </c>
      <c r="M523">
        <f>IMSUM(D523,IMDIV("1",C523))</f>
        <v>0</v>
      </c>
      <c r="N523">
        <f>IMDIV("1",IMSUM(E523,IMDIV("1",M523)))</f>
        <v>0</v>
      </c>
      <c r="O523">
        <f>IMSUM(F523,N523)</f>
        <v>0</v>
      </c>
      <c r="P523">
        <f>IMDIV("1",IMSUM(G523,IMDIV("1",O523)))</f>
        <v>0</v>
      </c>
      <c r="Q523">
        <f>IMSUM(H523,P523)</f>
        <v>0</v>
      </c>
      <c r="R523">
        <f>IMDIV("1",IMSUM(I523,IMDIV("1",Q523)))</f>
        <v>0</v>
      </c>
      <c r="S523">
        <f>IMSUM(J523,R523)</f>
        <v>0</v>
      </c>
      <c r="T523">
        <f>IMDIV("1",IMSUM(K523,IMDIV("1",S523)))</f>
        <v>0</v>
      </c>
      <c r="U523">
        <f>IMSUM(L523,T523)</f>
        <v>0</v>
      </c>
      <c r="V523">
        <f>IMDIV(COMPLEX(I_DM_SOURCE,0),U523)</f>
        <v>0</v>
      </c>
      <c r="W523">
        <f>IMPRODUCT(V523,T523)</f>
        <v>0</v>
      </c>
      <c r="X523">
        <f>IMDIV(W523,S523)</f>
        <v>0</v>
      </c>
      <c r="Y523">
        <f>IMPRODUCT(X523,R523)</f>
        <v>0</v>
      </c>
      <c r="Z523">
        <f>IMDIV(Y523,Q523)</f>
        <v>0</v>
      </c>
      <c r="AA523">
        <f>IMPRODUCT(Z523,P523)</f>
        <v>0</v>
      </c>
      <c r="AB523">
        <f>AA523</f>
        <v>0</v>
      </c>
      <c r="AC523">
        <f>IMPRODUCT("-1",AB523)</f>
        <v>0</v>
      </c>
      <c r="AD523">
        <f>IMDIV(IMSUB(AB523,AC523),"2")</f>
        <v>0</v>
      </c>
      <c r="AE523" s="6">
        <f>IMABS(AB523)</f>
        <v>0</v>
      </c>
      <c r="AF523" s="6">
        <f>IMABS(AC523)</f>
        <v>0</v>
      </c>
      <c r="AG523" s="6">
        <f>IMABS(AD523)</f>
        <v>0</v>
      </c>
      <c r="AH523" s="7">
        <f>20*LOG10(MAX(AE523,1E-300)*1E6)</f>
        <v>0</v>
      </c>
      <c r="AI523" s="7">
        <f>20*LOG10(MAX(AF523,1E-300)*1E6)</f>
        <v>0</v>
      </c>
      <c r="AJ523" s="7">
        <f>20*LOG10(MAX(AG523,1E-300)*1E6)</f>
        <v>0</v>
      </c>
      <c r="AK523" s="7">
        <f>DEGREES(IMARGUMENT(AB523))</f>
        <v>0</v>
      </c>
      <c r="AL523" s="7">
        <f>DEGREES(IMARGUMENT(AC523))</f>
        <v>0</v>
      </c>
      <c r="AM523" s="7">
        <f>DEGREES(IMARGUMENT(AD523))</f>
        <v>0</v>
      </c>
    </row>
    <row r="524" spans="1:39">
      <c r="A524" s="6">
        <f>10^(LOG10(F_START)+(ROW()-ROW($A$2))*(LOG10(F_STOP)-LOG10(F_START))/(N_POINTS-1))</f>
        <v>0</v>
      </c>
      <c r="B524" s="6">
        <f>2*PI()*A524</f>
        <v>0</v>
      </c>
      <c r="C524">
        <f>COMPLEX(2*LINE_PS_DCR,2*B524*LINE_PS_L)</f>
        <v>0</v>
      </c>
      <c r="D524">
        <f>IMSUM(COMPLEX(0,B524*(LINE_PS_CLINE+LINE_PS_CCHA/2)),IMDIV("1",IMPRODUCT("2",COMPLEX(C_THROUGH_ESR,B524*C_THROUGH_ESL-1/(B524*C_THROUGH_C)))))</f>
        <v>0</v>
      </c>
      <c r="E524">
        <f>COMPLEX(2*LINE_INPUT_DCR,2*B524*LINE_INPUT_L)</f>
        <v>0</v>
      </c>
      <c r="F524">
        <f>COMPLEX(0,B524*(LINE_INPUT_CLINE+LINE_INPUT_CCHA/2))</f>
        <v>0</v>
      </c>
      <c r="G524">
        <f>IMPRODUCT("2",IMDIV("1",IMSUM(IMDIV("1",COMPLEX(LDM1_DCR,B524*LDM1_L)),COMPLEX(0,B524*LDM1_CPA))))</f>
        <v>0</v>
      </c>
      <c r="H524">
        <f>IMSUM(IMDIV("1",COMPLEX(CX1_ESR,B524*CX1_ESL-1/(B524*CX1_C))),IMDIV("1",IMSUM(COMPLEX(DUMP1_R,0),COMPLEX(DUMP1_ESR,B524*DUMP1_ESL-1/(B524*DUMP1_C)))))</f>
        <v>0</v>
      </c>
      <c r="I524">
        <f>IMPRODUCT("2",IMDIV("1",IMSUM(IMDIV("1",COMPLEX(LDM2_DCR,B524*LDM2_L)),COMPLEX(0,B524*LDM2_CPA))))</f>
        <v>0</v>
      </c>
      <c r="J524">
        <f>IMSUM(IMDIV("1",COMPLEX(CX2_ESR,B524*CX2_ESL-1/(B524*CX2_C))),IMDIV("1",IMSUM(COMPLEX(DUMP2_R,0),COMPLEX(DUMP2_ESR,B524*DUMP2_ESL-1/(B524*DUMP2_C)))))</f>
        <v>0</v>
      </c>
      <c r="K524">
        <f>IMPRODUCT("2",IMDIV("1",IMSUM(IMDIV("1",COMPLEX(CMC_DCR,B524*CMC_L*(1-CMC_K))),COMPLEX(0,B524*CMC_CPA))))</f>
        <v>0</v>
      </c>
      <c r="L524">
        <f>IMSUM(COMPLEX(0,B524*CMC_CLINE),IMDIV("1",IMPRODUCT("2",COMPLEX(CY_ESR,B524*CY_ESL-1/(B524*CY_C)))),COMPLEX(1/DUMMY_R,0))</f>
        <v>0</v>
      </c>
      <c r="M524">
        <f>IMSUM(D524,IMDIV("1",C524))</f>
        <v>0</v>
      </c>
      <c r="N524">
        <f>IMDIV("1",IMSUM(E524,IMDIV("1",M524)))</f>
        <v>0</v>
      </c>
      <c r="O524">
        <f>IMSUM(F524,N524)</f>
        <v>0</v>
      </c>
      <c r="P524">
        <f>IMDIV("1",IMSUM(G524,IMDIV("1",O524)))</f>
        <v>0</v>
      </c>
      <c r="Q524">
        <f>IMSUM(H524,P524)</f>
        <v>0</v>
      </c>
      <c r="R524">
        <f>IMDIV("1",IMSUM(I524,IMDIV("1",Q524)))</f>
        <v>0</v>
      </c>
      <c r="S524">
        <f>IMSUM(J524,R524)</f>
        <v>0</v>
      </c>
      <c r="T524">
        <f>IMDIV("1",IMSUM(K524,IMDIV("1",S524)))</f>
        <v>0</v>
      </c>
      <c r="U524">
        <f>IMSUM(L524,T524)</f>
        <v>0</v>
      </c>
      <c r="V524">
        <f>IMDIV(COMPLEX(I_DM_SOURCE,0),U524)</f>
        <v>0</v>
      </c>
      <c r="W524">
        <f>IMPRODUCT(V524,T524)</f>
        <v>0</v>
      </c>
      <c r="X524">
        <f>IMDIV(W524,S524)</f>
        <v>0</v>
      </c>
      <c r="Y524">
        <f>IMPRODUCT(X524,R524)</f>
        <v>0</v>
      </c>
      <c r="Z524">
        <f>IMDIV(Y524,Q524)</f>
        <v>0</v>
      </c>
      <c r="AA524">
        <f>IMPRODUCT(Z524,P524)</f>
        <v>0</v>
      </c>
      <c r="AB524">
        <f>AA524</f>
        <v>0</v>
      </c>
      <c r="AC524">
        <f>IMPRODUCT("-1",AB524)</f>
        <v>0</v>
      </c>
      <c r="AD524">
        <f>IMDIV(IMSUB(AB524,AC524),"2")</f>
        <v>0</v>
      </c>
      <c r="AE524" s="6">
        <f>IMABS(AB524)</f>
        <v>0</v>
      </c>
      <c r="AF524" s="6">
        <f>IMABS(AC524)</f>
        <v>0</v>
      </c>
      <c r="AG524" s="6">
        <f>IMABS(AD524)</f>
        <v>0</v>
      </c>
      <c r="AH524" s="7">
        <f>20*LOG10(MAX(AE524,1E-300)*1E6)</f>
        <v>0</v>
      </c>
      <c r="AI524" s="7">
        <f>20*LOG10(MAX(AF524,1E-300)*1E6)</f>
        <v>0</v>
      </c>
      <c r="AJ524" s="7">
        <f>20*LOG10(MAX(AG524,1E-300)*1E6)</f>
        <v>0</v>
      </c>
      <c r="AK524" s="7">
        <f>DEGREES(IMARGUMENT(AB524))</f>
        <v>0</v>
      </c>
      <c r="AL524" s="7">
        <f>DEGREES(IMARGUMENT(AC524))</f>
        <v>0</v>
      </c>
      <c r="AM524" s="7">
        <f>DEGREES(IMARGUMENT(AD524))</f>
        <v>0</v>
      </c>
    </row>
    <row r="525" spans="1:39">
      <c r="A525" s="6">
        <f>10^(LOG10(F_START)+(ROW()-ROW($A$2))*(LOG10(F_STOP)-LOG10(F_START))/(N_POINTS-1))</f>
        <v>0</v>
      </c>
      <c r="B525" s="6">
        <f>2*PI()*A525</f>
        <v>0</v>
      </c>
      <c r="C525">
        <f>COMPLEX(2*LINE_PS_DCR,2*B525*LINE_PS_L)</f>
        <v>0</v>
      </c>
      <c r="D525">
        <f>IMSUM(COMPLEX(0,B525*(LINE_PS_CLINE+LINE_PS_CCHA/2)),IMDIV("1",IMPRODUCT("2",COMPLEX(C_THROUGH_ESR,B525*C_THROUGH_ESL-1/(B525*C_THROUGH_C)))))</f>
        <v>0</v>
      </c>
      <c r="E525">
        <f>COMPLEX(2*LINE_INPUT_DCR,2*B525*LINE_INPUT_L)</f>
        <v>0</v>
      </c>
      <c r="F525">
        <f>COMPLEX(0,B525*(LINE_INPUT_CLINE+LINE_INPUT_CCHA/2))</f>
        <v>0</v>
      </c>
      <c r="G525">
        <f>IMPRODUCT("2",IMDIV("1",IMSUM(IMDIV("1",COMPLEX(LDM1_DCR,B525*LDM1_L)),COMPLEX(0,B525*LDM1_CPA))))</f>
        <v>0</v>
      </c>
      <c r="H525">
        <f>IMSUM(IMDIV("1",COMPLEX(CX1_ESR,B525*CX1_ESL-1/(B525*CX1_C))),IMDIV("1",IMSUM(COMPLEX(DUMP1_R,0),COMPLEX(DUMP1_ESR,B525*DUMP1_ESL-1/(B525*DUMP1_C)))))</f>
        <v>0</v>
      </c>
      <c r="I525">
        <f>IMPRODUCT("2",IMDIV("1",IMSUM(IMDIV("1",COMPLEX(LDM2_DCR,B525*LDM2_L)),COMPLEX(0,B525*LDM2_CPA))))</f>
        <v>0</v>
      </c>
      <c r="J525">
        <f>IMSUM(IMDIV("1",COMPLEX(CX2_ESR,B525*CX2_ESL-1/(B525*CX2_C))),IMDIV("1",IMSUM(COMPLEX(DUMP2_R,0),COMPLEX(DUMP2_ESR,B525*DUMP2_ESL-1/(B525*DUMP2_C)))))</f>
        <v>0</v>
      </c>
      <c r="K525">
        <f>IMPRODUCT("2",IMDIV("1",IMSUM(IMDIV("1",COMPLEX(CMC_DCR,B525*CMC_L*(1-CMC_K))),COMPLEX(0,B525*CMC_CPA))))</f>
        <v>0</v>
      </c>
      <c r="L525">
        <f>IMSUM(COMPLEX(0,B525*CMC_CLINE),IMDIV("1",IMPRODUCT("2",COMPLEX(CY_ESR,B525*CY_ESL-1/(B525*CY_C)))),COMPLEX(1/DUMMY_R,0))</f>
        <v>0</v>
      </c>
      <c r="M525">
        <f>IMSUM(D525,IMDIV("1",C525))</f>
        <v>0</v>
      </c>
      <c r="N525">
        <f>IMDIV("1",IMSUM(E525,IMDIV("1",M525)))</f>
        <v>0</v>
      </c>
      <c r="O525">
        <f>IMSUM(F525,N525)</f>
        <v>0</v>
      </c>
      <c r="P525">
        <f>IMDIV("1",IMSUM(G525,IMDIV("1",O525)))</f>
        <v>0</v>
      </c>
      <c r="Q525">
        <f>IMSUM(H525,P525)</f>
        <v>0</v>
      </c>
      <c r="R525">
        <f>IMDIV("1",IMSUM(I525,IMDIV("1",Q525)))</f>
        <v>0</v>
      </c>
      <c r="S525">
        <f>IMSUM(J525,R525)</f>
        <v>0</v>
      </c>
      <c r="T525">
        <f>IMDIV("1",IMSUM(K525,IMDIV("1",S525)))</f>
        <v>0</v>
      </c>
      <c r="U525">
        <f>IMSUM(L525,T525)</f>
        <v>0</v>
      </c>
      <c r="V525">
        <f>IMDIV(COMPLEX(I_DM_SOURCE,0),U525)</f>
        <v>0</v>
      </c>
      <c r="W525">
        <f>IMPRODUCT(V525,T525)</f>
        <v>0</v>
      </c>
      <c r="X525">
        <f>IMDIV(W525,S525)</f>
        <v>0</v>
      </c>
      <c r="Y525">
        <f>IMPRODUCT(X525,R525)</f>
        <v>0</v>
      </c>
      <c r="Z525">
        <f>IMDIV(Y525,Q525)</f>
        <v>0</v>
      </c>
      <c r="AA525">
        <f>IMPRODUCT(Z525,P525)</f>
        <v>0</v>
      </c>
      <c r="AB525">
        <f>AA525</f>
        <v>0</v>
      </c>
      <c r="AC525">
        <f>IMPRODUCT("-1",AB525)</f>
        <v>0</v>
      </c>
      <c r="AD525">
        <f>IMDIV(IMSUB(AB525,AC525),"2")</f>
        <v>0</v>
      </c>
      <c r="AE525" s="6">
        <f>IMABS(AB525)</f>
        <v>0</v>
      </c>
      <c r="AF525" s="6">
        <f>IMABS(AC525)</f>
        <v>0</v>
      </c>
      <c r="AG525" s="6">
        <f>IMABS(AD525)</f>
        <v>0</v>
      </c>
      <c r="AH525" s="7">
        <f>20*LOG10(MAX(AE525,1E-300)*1E6)</f>
        <v>0</v>
      </c>
      <c r="AI525" s="7">
        <f>20*LOG10(MAX(AF525,1E-300)*1E6)</f>
        <v>0</v>
      </c>
      <c r="AJ525" s="7">
        <f>20*LOG10(MAX(AG525,1E-300)*1E6)</f>
        <v>0</v>
      </c>
      <c r="AK525" s="7">
        <f>DEGREES(IMARGUMENT(AB525))</f>
        <v>0</v>
      </c>
      <c r="AL525" s="7">
        <f>DEGREES(IMARGUMENT(AC525))</f>
        <v>0</v>
      </c>
      <c r="AM525" s="7">
        <f>DEGREES(IMARGUMENT(AD525))</f>
        <v>0</v>
      </c>
    </row>
    <row r="526" spans="1:39">
      <c r="A526" s="6">
        <f>10^(LOG10(F_START)+(ROW()-ROW($A$2))*(LOG10(F_STOP)-LOG10(F_START))/(N_POINTS-1))</f>
        <v>0</v>
      </c>
      <c r="B526" s="6">
        <f>2*PI()*A526</f>
        <v>0</v>
      </c>
      <c r="C526">
        <f>COMPLEX(2*LINE_PS_DCR,2*B526*LINE_PS_L)</f>
        <v>0</v>
      </c>
      <c r="D526">
        <f>IMSUM(COMPLEX(0,B526*(LINE_PS_CLINE+LINE_PS_CCHA/2)),IMDIV("1",IMPRODUCT("2",COMPLEX(C_THROUGH_ESR,B526*C_THROUGH_ESL-1/(B526*C_THROUGH_C)))))</f>
        <v>0</v>
      </c>
      <c r="E526">
        <f>COMPLEX(2*LINE_INPUT_DCR,2*B526*LINE_INPUT_L)</f>
        <v>0</v>
      </c>
      <c r="F526">
        <f>COMPLEX(0,B526*(LINE_INPUT_CLINE+LINE_INPUT_CCHA/2))</f>
        <v>0</v>
      </c>
      <c r="G526">
        <f>IMPRODUCT("2",IMDIV("1",IMSUM(IMDIV("1",COMPLEX(LDM1_DCR,B526*LDM1_L)),COMPLEX(0,B526*LDM1_CPA))))</f>
        <v>0</v>
      </c>
      <c r="H526">
        <f>IMSUM(IMDIV("1",COMPLEX(CX1_ESR,B526*CX1_ESL-1/(B526*CX1_C))),IMDIV("1",IMSUM(COMPLEX(DUMP1_R,0),COMPLEX(DUMP1_ESR,B526*DUMP1_ESL-1/(B526*DUMP1_C)))))</f>
        <v>0</v>
      </c>
      <c r="I526">
        <f>IMPRODUCT("2",IMDIV("1",IMSUM(IMDIV("1",COMPLEX(LDM2_DCR,B526*LDM2_L)),COMPLEX(0,B526*LDM2_CPA))))</f>
        <v>0</v>
      </c>
      <c r="J526">
        <f>IMSUM(IMDIV("1",COMPLEX(CX2_ESR,B526*CX2_ESL-1/(B526*CX2_C))),IMDIV("1",IMSUM(COMPLEX(DUMP2_R,0),COMPLEX(DUMP2_ESR,B526*DUMP2_ESL-1/(B526*DUMP2_C)))))</f>
        <v>0</v>
      </c>
      <c r="K526">
        <f>IMPRODUCT("2",IMDIV("1",IMSUM(IMDIV("1",COMPLEX(CMC_DCR,B526*CMC_L*(1-CMC_K))),COMPLEX(0,B526*CMC_CPA))))</f>
        <v>0</v>
      </c>
      <c r="L526">
        <f>IMSUM(COMPLEX(0,B526*CMC_CLINE),IMDIV("1",IMPRODUCT("2",COMPLEX(CY_ESR,B526*CY_ESL-1/(B526*CY_C)))),COMPLEX(1/DUMMY_R,0))</f>
        <v>0</v>
      </c>
      <c r="M526">
        <f>IMSUM(D526,IMDIV("1",C526))</f>
        <v>0</v>
      </c>
      <c r="N526">
        <f>IMDIV("1",IMSUM(E526,IMDIV("1",M526)))</f>
        <v>0</v>
      </c>
      <c r="O526">
        <f>IMSUM(F526,N526)</f>
        <v>0</v>
      </c>
      <c r="P526">
        <f>IMDIV("1",IMSUM(G526,IMDIV("1",O526)))</f>
        <v>0</v>
      </c>
      <c r="Q526">
        <f>IMSUM(H526,P526)</f>
        <v>0</v>
      </c>
      <c r="R526">
        <f>IMDIV("1",IMSUM(I526,IMDIV("1",Q526)))</f>
        <v>0</v>
      </c>
      <c r="S526">
        <f>IMSUM(J526,R526)</f>
        <v>0</v>
      </c>
      <c r="T526">
        <f>IMDIV("1",IMSUM(K526,IMDIV("1",S526)))</f>
        <v>0</v>
      </c>
      <c r="U526">
        <f>IMSUM(L526,T526)</f>
        <v>0</v>
      </c>
      <c r="V526">
        <f>IMDIV(COMPLEX(I_DM_SOURCE,0),U526)</f>
        <v>0</v>
      </c>
      <c r="W526">
        <f>IMPRODUCT(V526,T526)</f>
        <v>0</v>
      </c>
      <c r="X526">
        <f>IMDIV(W526,S526)</f>
        <v>0</v>
      </c>
      <c r="Y526">
        <f>IMPRODUCT(X526,R526)</f>
        <v>0</v>
      </c>
      <c r="Z526">
        <f>IMDIV(Y526,Q526)</f>
        <v>0</v>
      </c>
      <c r="AA526">
        <f>IMPRODUCT(Z526,P526)</f>
        <v>0</v>
      </c>
      <c r="AB526">
        <f>AA526</f>
        <v>0</v>
      </c>
      <c r="AC526">
        <f>IMPRODUCT("-1",AB526)</f>
        <v>0</v>
      </c>
      <c r="AD526">
        <f>IMDIV(IMSUB(AB526,AC526),"2")</f>
        <v>0</v>
      </c>
      <c r="AE526" s="6">
        <f>IMABS(AB526)</f>
        <v>0</v>
      </c>
      <c r="AF526" s="6">
        <f>IMABS(AC526)</f>
        <v>0</v>
      </c>
      <c r="AG526" s="6">
        <f>IMABS(AD526)</f>
        <v>0</v>
      </c>
      <c r="AH526" s="7">
        <f>20*LOG10(MAX(AE526,1E-300)*1E6)</f>
        <v>0</v>
      </c>
      <c r="AI526" s="7">
        <f>20*LOG10(MAX(AF526,1E-300)*1E6)</f>
        <v>0</v>
      </c>
      <c r="AJ526" s="7">
        <f>20*LOG10(MAX(AG526,1E-300)*1E6)</f>
        <v>0</v>
      </c>
      <c r="AK526" s="7">
        <f>DEGREES(IMARGUMENT(AB526))</f>
        <v>0</v>
      </c>
      <c r="AL526" s="7">
        <f>DEGREES(IMARGUMENT(AC526))</f>
        <v>0</v>
      </c>
      <c r="AM526" s="7">
        <f>DEGREES(IMARGUMENT(AD526))</f>
        <v>0</v>
      </c>
    </row>
    <row r="527" spans="1:39">
      <c r="A527" s="6">
        <f>10^(LOG10(F_START)+(ROW()-ROW($A$2))*(LOG10(F_STOP)-LOG10(F_START))/(N_POINTS-1))</f>
        <v>0</v>
      </c>
      <c r="B527" s="6">
        <f>2*PI()*A527</f>
        <v>0</v>
      </c>
      <c r="C527">
        <f>COMPLEX(2*LINE_PS_DCR,2*B527*LINE_PS_L)</f>
        <v>0</v>
      </c>
      <c r="D527">
        <f>IMSUM(COMPLEX(0,B527*(LINE_PS_CLINE+LINE_PS_CCHA/2)),IMDIV("1",IMPRODUCT("2",COMPLEX(C_THROUGH_ESR,B527*C_THROUGH_ESL-1/(B527*C_THROUGH_C)))))</f>
        <v>0</v>
      </c>
      <c r="E527">
        <f>COMPLEX(2*LINE_INPUT_DCR,2*B527*LINE_INPUT_L)</f>
        <v>0</v>
      </c>
      <c r="F527">
        <f>COMPLEX(0,B527*(LINE_INPUT_CLINE+LINE_INPUT_CCHA/2))</f>
        <v>0</v>
      </c>
      <c r="G527">
        <f>IMPRODUCT("2",IMDIV("1",IMSUM(IMDIV("1",COMPLEX(LDM1_DCR,B527*LDM1_L)),COMPLEX(0,B527*LDM1_CPA))))</f>
        <v>0</v>
      </c>
      <c r="H527">
        <f>IMSUM(IMDIV("1",COMPLEX(CX1_ESR,B527*CX1_ESL-1/(B527*CX1_C))),IMDIV("1",IMSUM(COMPLEX(DUMP1_R,0),COMPLEX(DUMP1_ESR,B527*DUMP1_ESL-1/(B527*DUMP1_C)))))</f>
        <v>0</v>
      </c>
      <c r="I527">
        <f>IMPRODUCT("2",IMDIV("1",IMSUM(IMDIV("1",COMPLEX(LDM2_DCR,B527*LDM2_L)),COMPLEX(0,B527*LDM2_CPA))))</f>
        <v>0</v>
      </c>
      <c r="J527">
        <f>IMSUM(IMDIV("1",COMPLEX(CX2_ESR,B527*CX2_ESL-1/(B527*CX2_C))),IMDIV("1",IMSUM(COMPLEX(DUMP2_R,0),COMPLEX(DUMP2_ESR,B527*DUMP2_ESL-1/(B527*DUMP2_C)))))</f>
        <v>0</v>
      </c>
      <c r="K527">
        <f>IMPRODUCT("2",IMDIV("1",IMSUM(IMDIV("1",COMPLEX(CMC_DCR,B527*CMC_L*(1-CMC_K))),COMPLEX(0,B527*CMC_CPA))))</f>
        <v>0</v>
      </c>
      <c r="L527">
        <f>IMSUM(COMPLEX(0,B527*CMC_CLINE),IMDIV("1",IMPRODUCT("2",COMPLEX(CY_ESR,B527*CY_ESL-1/(B527*CY_C)))),COMPLEX(1/DUMMY_R,0))</f>
        <v>0</v>
      </c>
      <c r="M527">
        <f>IMSUM(D527,IMDIV("1",C527))</f>
        <v>0</v>
      </c>
      <c r="N527">
        <f>IMDIV("1",IMSUM(E527,IMDIV("1",M527)))</f>
        <v>0</v>
      </c>
      <c r="O527">
        <f>IMSUM(F527,N527)</f>
        <v>0</v>
      </c>
      <c r="P527">
        <f>IMDIV("1",IMSUM(G527,IMDIV("1",O527)))</f>
        <v>0</v>
      </c>
      <c r="Q527">
        <f>IMSUM(H527,P527)</f>
        <v>0</v>
      </c>
      <c r="R527">
        <f>IMDIV("1",IMSUM(I527,IMDIV("1",Q527)))</f>
        <v>0</v>
      </c>
      <c r="S527">
        <f>IMSUM(J527,R527)</f>
        <v>0</v>
      </c>
      <c r="T527">
        <f>IMDIV("1",IMSUM(K527,IMDIV("1",S527)))</f>
        <v>0</v>
      </c>
      <c r="U527">
        <f>IMSUM(L527,T527)</f>
        <v>0</v>
      </c>
      <c r="V527">
        <f>IMDIV(COMPLEX(I_DM_SOURCE,0),U527)</f>
        <v>0</v>
      </c>
      <c r="W527">
        <f>IMPRODUCT(V527,T527)</f>
        <v>0</v>
      </c>
      <c r="X527">
        <f>IMDIV(W527,S527)</f>
        <v>0</v>
      </c>
      <c r="Y527">
        <f>IMPRODUCT(X527,R527)</f>
        <v>0</v>
      </c>
      <c r="Z527">
        <f>IMDIV(Y527,Q527)</f>
        <v>0</v>
      </c>
      <c r="AA527">
        <f>IMPRODUCT(Z527,P527)</f>
        <v>0</v>
      </c>
      <c r="AB527">
        <f>AA527</f>
        <v>0</v>
      </c>
      <c r="AC527">
        <f>IMPRODUCT("-1",AB527)</f>
        <v>0</v>
      </c>
      <c r="AD527">
        <f>IMDIV(IMSUB(AB527,AC527),"2")</f>
        <v>0</v>
      </c>
      <c r="AE527" s="6">
        <f>IMABS(AB527)</f>
        <v>0</v>
      </c>
      <c r="AF527" s="6">
        <f>IMABS(AC527)</f>
        <v>0</v>
      </c>
      <c r="AG527" s="6">
        <f>IMABS(AD527)</f>
        <v>0</v>
      </c>
      <c r="AH527" s="7">
        <f>20*LOG10(MAX(AE527,1E-300)*1E6)</f>
        <v>0</v>
      </c>
      <c r="AI527" s="7">
        <f>20*LOG10(MAX(AF527,1E-300)*1E6)</f>
        <v>0</v>
      </c>
      <c r="AJ527" s="7">
        <f>20*LOG10(MAX(AG527,1E-300)*1E6)</f>
        <v>0</v>
      </c>
      <c r="AK527" s="7">
        <f>DEGREES(IMARGUMENT(AB527))</f>
        <v>0</v>
      </c>
      <c r="AL527" s="7">
        <f>DEGREES(IMARGUMENT(AC527))</f>
        <v>0</v>
      </c>
      <c r="AM527" s="7">
        <f>DEGREES(IMARGUMENT(AD527))</f>
        <v>0</v>
      </c>
    </row>
    <row r="528" spans="1:39">
      <c r="A528" s="6">
        <f>10^(LOG10(F_START)+(ROW()-ROW($A$2))*(LOG10(F_STOP)-LOG10(F_START))/(N_POINTS-1))</f>
        <v>0</v>
      </c>
      <c r="B528" s="6">
        <f>2*PI()*A528</f>
        <v>0</v>
      </c>
      <c r="C528">
        <f>COMPLEX(2*LINE_PS_DCR,2*B528*LINE_PS_L)</f>
        <v>0</v>
      </c>
      <c r="D528">
        <f>IMSUM(COMPLEX(0,B528*(LINE_PS_CLINE+LINE_PS_CCHA/2)),IMDIV("1",IMPRODUCT("2",COMPLEX(C_THROUGH_ESR,B528*C_THROUGH_ESL-1/(B528*C_THROUGH_C)))))</f>
        <v>0</v>
      </c>
      <c r="E528">
        <f>COMPLEX(2*LINE_INPUT_DCR,2*B528*LINE_INPUT_L)</f>
        <v>0</v>
      </c>
      <c r="F528">
        <f>COMPLEX(0,B528*(LINE_INPUT_CLINE+LINE_INPUT_CCHA/2))</f>
        <v>0</v>
      </c>
      <c r="G528">
        <f>IMPRODUCT("2",IMDIV("1",IMSUM(IMDIV("1",COMPLEX(LDM1_DCR,B528*LDM1_L)),COMPLEX(0,B528*LDM1_CPA))))</f>
        <v>0</v>
      </c>
      <c r="H528">
        <f>IMSUM(IMDIV("1",COMPLEX(CX1_ESR,B528*CX1_ESL-1/(B528*CX1_C))),IMDIV("1",IMSUM(COMPLEX(DUMP1_R,0),COMPLEX(DUMP1_ESR,B528*DUMP1_ESL-1/(B528*DUMP1_C)))))</f>
        <v>0</v>
      </c>
      <c r="I528">
        <f>IMPRODUCT("2",IMDIV("1",IMSUM(IMDIV("1",COMPLEX(LDM2_DCR,B528*LDM2_L)),COMPLEX(0,B528*LDM2_CPA))))</f>
        <v>0</v>
      </c>
      <c r="J528">
        <f>IMSUM(IMDIV("1",COMPLEX(CX2_ESR,B528*CX2_ESL-1/(B528*CX2_C))),IMDIV("1",IMSUM(COMPLEX(DUMP2_R,0),COMPLEX(DUMP2_ESR,B528*DUMP2_ESL-1/(B528*DUMP2_C)))))</f>
        <v>0</v>
      </c>
      <c r="K528">
        <f>IMPRODUCT("2",IMDIV("1",IMSUM(IMDIV("1",COMPLEX(CMC_DCR,B528*CMC_L*(1-CMC_K))),COMPLEX(0,B528*CMC_CPA))))</f>
        <v>0</v>
      </c>
      <c r="L528">
        <f>IMSUM(COMPLEX(0,B528*CMC_CLINE),IMDIV("1",IMPRODUCT("2",COMPLEX(CY_ESR,B528*CY_ESL-1/(B528*CY_C)))),COMPLEX(1/DUMMY_R,0))</f>
        <v>0</v>
      </c>
      <c r="M528">
        <f>IMSUM(D528,IMDIV("1",C528))</f>
        <v>0</v>
      </c>
      <c r="N528">
        <f>IMDIV("1",IMSUM(E528,IMDIV("1",M528)))</f>
        <v>0</v>
      </c>
      <c r="O528">
        <f>IMSUM(F528,N528)</f>
        <v>0</v>
      </c>
      <c r="P528">
        <f>IMDIV("1",IMSUM(G528,IMDIV("1",O528)))</f>
        <v>0</v>
      </c>
      <c r="Q528">
        <f>IMSUM(H528,P528)</f>
        <v>0</v>
      </c>
      <c r="R528">
        <f>IMDIV("1",IMSUM(I528,IMDIV("1",Q528)))</f>
        <v>0</v>
      </c>
      <c r="S528">
        <f>IMSUM(J528,R528)</f>
        <v>0</v>
      </c>
      <c r="T528">
        <f>IMDIV("1",IMSUM(K528,IMDIV("1",S528)))</f>
        <v>0</v>
      </c>
      <c r="U528">
        <f>IMSUM(L528,T528)</f>
        <v>0</v>
      </c>
      <c r="V528">
        <f>IMDIV(COMPLEX(I_DM_SOURCE,0),U528)</f>
        <v>0</v>
      </c>
      <c r="W528">
        <f>IMPRODUCT(V528,T528)</f>
        <v>0</v>
      </c>
      <c r="X528">
        <f>IMDIV(W528,S528)</f>
        <v>0</v>
      </c>
      <c r="Y528">
        <f>IMPRODUCT(X528,R528)</f>
        <v>0</v>
      </c>
      <c r="Z528">
        <f>IMDIV(Y528,Q528)</f>
        <v>0</v>
      </c>
      <c r="AA528">
        <f>IMPRODUCT(Z528,P528)</f>
        <v>0</v>
      </c>
      <c r="AB528">
        <f>AA528</f>
        <v>0</v>
      </c>
      <c r="AC528">
        <f>IMPRODUCT("-1",AB528)</f>
        <v>0</v>
      </c>
      <c r="AD528">
        <f>IMDIV(IMSUB(AB528,AC528),"2")</f>
        <v>0</v>
      </c>
      <c r="AE528" s="6">
        <f>IMABS(AB528)</f>
        <v>0</v>
      </c>
      <c r="AF528" s="6">
        <f>IMABS(AC528)</f>
        <v>0</v>
      </c>
      <c r="AG528" s="6">
        <f>IMABS(AD528)</f>
        <v>0</v>
      </c>
      <c r="AH528" s="7">
        <f>20*LOG10(MAX(AE528,1E-300)*1E6)</f>
        <v>0</v>
      </c>
      <c r="AI528" s="7">
        <f>20*LOG10(MAX(AF528,1E-300)*1E6)</f>
        <v>0</v>
      </c>
      <c r="AJ528" s="7">
        <f>20*LOG10(MAX(AG528,1E-300)*1E6)</f>
        <v>0</v>
      </c>
      <c r="AK528" s="7">
        <f>DEGREES(IMARGUMENT(AB528))</f>
        <v>0</v>
      </c>
      <c r="AL528" s="7">
        <f>DEGREES(IMARGUMENT(AC528))</f>
        <v>0</v>
      </c>
      <c r="AM528" s="7">
        <f>DEGREES(IMARGUMENT(AD528))</f>
        <v>0</v>
      </c>
    </row>
    <row r="529" spans="1:39">
      <c r="A529" s="6">
        <f>10^(LOG10(F_START)+(ROW()-ROW($A$2))*(LOG10(F_STOP)-LOG10(F_START))/(N_POINTS-1))</f>
        <v>0</v>
      </c>
      <c r="B529" s="6">
        <f>2*PI()*A529</f>
        <v>0</v>
      </c>
      <c r="C529">
        <f>COMPLEX(2*LINE_PS_DCR,2*B529*LINE_PS_L)</f>
        <v>0</v>
      </c>
      <c r="D529">
        <f>IMSUM(COMPLEX(0,B529*(LINE_PS_CLINE+LINE_PS_CCHA/2)),IMDIV("1",IMPRODUCT("2",COMPLEX(C_THROUGH_ESR,B529*C_THROUGH_ESL-1/(B529*C_THROUGH_C)))))</f>
        <v>0</v>
      </c>
      <c r="E529">
        <f>COMPLEX(2*LINE_INPUT_DCR,2*B529*LINE_INPUT_L)</f>
        <v>0</v>
      </c>
      <c r="F529">
        <f>COMPLEX(0,B529*(LINE_INPUT_CLINE+LINE_INPUT_CCHA/2))</f>
        <v>0</v>
      </c>
      <c r="G529">
        <f>IMPRODUCT("2",IMDIV("1",IMSUM(IMDIV("1",COMPLEX(LDM1_DCR,B529*LDM1_L)),COMPLEX(0,B529*LDM1_CPA))))</f>
        <v>0</v>
      </c>
      <c r="H529">
        <f>IMSUM(IMDIV("1",COMPLEX(CX1_ESR,B529*CX1_ESL-1/(B529*CX1_C))),IMDIV("1",IMSUM(COMPLEX(DUMP1_R,0),COMPLEX(DUMP1_ESR,B529*DUMP1_ESL-1/(B529*DUMP1_C)))))</f>
        <v>0</v>
      </c>
      <c r="I529">
        <f>IMPRODUCT("2",IMDIV("1",IMSUM(IMDIV("1",COMPLEX(LDM2_DCR,B529*LDM2_L)),COMPLEX(0,B529*LDM2_CPA))))</f>
        <v>0</v>
      </c>
      <c r="J529">
        <f>IMSUM(IMDIV("1",COMPLEX(CX2_ESR,B529*CX2_ESL-1/(B529*CX2_C))),IMDIV("1",IMSUM(COMPLEX(DUMP2_R,0),COMPLEX(DUMP2_ESR,B529*DUMP2_ESL-1/(B529*DUMP2_C)))))</f>
        <v>0</v>
      </c>
      <c r="K529">
        <f>IMPRODUCT("2",IMDIV("1",IMSUM(IMDIV("1",COMPLEX(CMC_DCR,B529*CMC_L*(1-CMC_K))),COMPLEX(0,B529*CMC_CPA))))</f>
        <v>0</v>
      </c>
      <c r="L529">
        <f>IMSUM(COMPLEX(0,B529*CMC_CLINE),IMDIV("1",IMPRODUCT("2",COMPLEX(CY_ESR,B529*CY_ESL-1/(B529*CY_C)))),COMPLEX(1/DUMMY_R,0))</f>
        <v>0</v>
      </c>
      <c r="M529">
        <f>IMSUM(D529,IMDIV("1",C529))</f>
        <v>0</v>
      </c>
      <c r="N529">
        <f>IMDIV("1",IMSUM(E529,IMDIV("1",M529)))</f>
        <v>0</v>
      </c>
      <c r="O529">
        <f>IMSUM(F529,N529)</f>
        <v>0</v>
      </c>
      <c r="P529">
        <f>IMDIV("1",IMSUM(G529,IMDIV("1",O529)))</f>
        <v>0</v>
      </c>
      <c r="Q529">
        <f>IMSUM(H529,P529)</f>
        <v>0</v>
      </c>
      <c r="R529">
        <f>IMDIV("1",IMSUM(I529,IMDIV("1",Q529)))</f>
        <v>0</v>
      </c>
      <c r="S529">
        <f>IMSUM(J529,R529)</f>
        <v>0</v>
      </c>
      <c r="T529">
        <f>IMDIV("1",IMSUM(K529,IMDIV("1",S529)))</f>
        <v>0</v>
      </c>
      <c r="U529">
        <f>IMSUM(L529,T529)</f>
        <v>0</v>
      </c>
      <c r="V529">
        <f>IMDIV(COMPLEX(I_DM_SOURCE,0),U529)</f>
        <v>0</v>
      </c>
      <c r="W529">
        <f>IMPRODUCT(V529,T529)</f>
        <v>0</v>
      </c>
      <c r="X529">
        <f>IMDIV(W529,S529)</f>
        <v>0</v>
      </c>
      <c r="Y529">
        <f>IMPRODUCT(X529,R529)</f>
        <v>0</v>
      </c>
      <c r="Z529">
        <f>IMDIV(Y529,Q529)</f>
        <v>0</v>
      </c>
      <c r="AA529">
        <f>IMPRODUCT(Z529,P529)</f>
        <v>0</v>
      </c>
      <c r="AB529">
        <f>AA529</f>
        <v>0</v>
      </c>
      <c r="AC529">
        <f>IMPRODUCT("-1",AB529)</f>
        <v>0</v>
      </c>
      <c r="AD529">
        <f>IMDIV(IMSUB(AB529,AC529),"2")</f>
        <v>0</v>
      </c>
      <c r="AE529" s="6">
        <f>IMABS(AB529)</f>
        <v>0</v>
      </c>
      <c r="AF529" s="6">
        <f>IMABS(AC529)</f>
        <v>0</v>
      </c>
      <c r="AG529" s="6">
        <f>IMABS(AD529)</f>
        <v>0</v>
      </c>
      <c r="AH529" s="7">
        <f>20*LOG10(MAX(AE529,1E-300)*1E6)</f>
        <v>0</v>
      </c>
      <c r="AI529" s="7">
        <f>20*LOG10(MAX(AF529,1E-300)*1E6)</f>
        <v>0</v>
      </c>
      <c r="AJ529" s="7">
        <f>20*LOG10(MAX(AG529,1E-300)*1E6)</f>
        <v>0</v>
      </c>
      <c r="AK529" s="7">
        <f>DEGREES(IMARGUMENT(AB529))</f>
        <v>0</v>
      </c>
      <c r="AL529" s="7">
        <f>DEGREES(IMARGUMENT(AC529))</f>
        <v>0</v>
      </c>
      <c r="AM529" s="7">
        <f>DEGREES(IMARGUMENT(AD529))</f>
        <v>0</v>
      </c>
    </row>
    <row r="530" spans="1:39">
      <c r="A530" s="6">
        <f>10^(LOG10(F_START)+(ROW()-ROW($A$2))*(LOG10(F_STOP)-LOG10(F_START))/(N_POINTS-1))</f>
        <v>0</v>
      </c>
      <c r="B530" s="6">
        <f>2*PI()*A530</f>
        <v>0</v>
      </c>
      <c r="C530">
        <f>COMPLEX(2*LINE_PS_DCR,2*B530*LINE_PS_L)</f>
        <v>0</v>
      </c>
      <c r="D530">
        <f>IMSUM(COMPLEX(0,B530*(LINE_PS_CLINE+LINE_PS_CCHA/2)),IMDIV("1",IMPRODUCT("2",COMPLEX(C_THROUGH_ESR,B530*C_THROUGH_ESL-1/(B530*C_THROUGH_C)))))</f>
        <v>0</v>
      </c>
      <c r="E530">
        <f>COMPLEX(2*LINE_INPUT_DCR,2*B530*LINE_INPUT_L)</f>
        <v>0</v>
      </c>
      <c r="F530">
        <f>COMPLEX(0,B530*(LINE_INPUT_CLINE+LINE_INPUT_CCHA/2))</f>
        <v>0</v>
      </c>
      <c r="G530">
        <f>IMPRODUCT("2",IMDIV("1",IMSUM(IMDIV("1",COMPLEX(LDM1_DCR,B530*LDM1_L)),COMPLEX(0,B530*LDM1_CPA))))</f>
        <v>0</v>
      </c>
      <c r="H530">
        <f>IMSUM(IMDIV("1",COMPLEX(CX1_ESR,B530*CX1_ESL-1/(B530*CX1_C))),IMDIV("1",IMSUM(COMPLEX(DUMP1_R,0),COMPLEX(DUMP1_ESR,B530*DUMP1_ESL-1/(B530*DUMP1_C)))))</f>
        <v>0</v>
      </c>
      <c r="I530">
        <f>IMPRODUCT("2",IMDIV("1",IMSUM(IMDIV("1",COMPLEX(LDM2_DCR,B530*LDM2_L)),COMPLEX(0,B530*LDM2_CPA))))</f>
        <v>0</v>
      </c>
      <c r="J530">
        <f>IMSUM(IMDIV("1",COMPLEX(CX2_ESR,B530*CX2_ESL-1/(B530*CX2_C))),IMDIV("1",IMSUM(COMPLEX(DUMP2_R,0),COMPLEX(DUMP2_ESR,B530*DUMP2_ESL-1/(B530*DUMP2_C)))))</f>
        <v>0</v>
      </c>
      <c r="K530">
        <f>IMPRODUCT("2",IMDIV("1",IMSUM(IMDIV("1",COMPLEX(CMC_DCR,B530*CMC_L*(1-CMC_K))),COMPLEX(0,B530*CMC_CPA))))</f>
        <v>0</v>
      </c>
      <c r="L530">
        <f>IMSUM(COMPLEX(0,B530*CMC_CLINE),IMDIV("1",IMPRODUCT("2",COMPLEX(CY_ESR,B530*CY_ESL-1/(B530*CY_C)))),COMPLEX(1/DUMMY_R,0))</f>
        <v>0</v>
      </c>
      <c r="M530">
        <f>IMSUM(D530,IMDIV("1",C530))</f>
        <v>0</v>
      </c>
      <c r="N530">
        <f>IMDIV("1",IMSUM(E530,IMDIV("1",M530)))</f>
        <v>0</v>
      </c>
      <c r="O530">
        <f>IMSUM(F530,N530)</f>
        <v>0</v>
      </c>
      <c r="P530">
        <f>IMDIV("1",IMSUM(G530,IMDIV("1",O530)))</f>
        <v>0</v>
      </c>
      <c r="Q530">
        <f>IMSUM(H530,P530)</f>
        <v>0</v>
      </c>
      <c r="R530">
        <f>IMDIV("1",IMSUM(I530,IMDIV("1",Q530)))</f>
        <v>0</v>
      </c>
      <c r="S530">
        <f>IMSUM(J530,R530)</f>
        <v>0</v>
      </c>
      <c r="T530">
        <f>IMDIV("1",IMSUM(K530,IMDIV("1",S530)))</f>
        <v>0</v>
      </c>
      <c r="U530">
        <f>IMSUM(L530,T530)</f>
        <v>0</v>
      </c>
      <c r="V530">
        <f>IMDIV(COMPLEX(I_DM_SOURCE,0),U530)</f>
        <v>0</v>
      </c>
      <c r="W530">
        <f>IMPRODUCT(V530,T530)</f>
        <v>0</v>
      </c>
      <c r="X530">
        <f>IMDIV(W530,S530)</f>
        <v>0</v>
      </c>
      <c r="Y530">
        <f>IMPRODUCT(X530,R530)</f>
        <v>0</v>
      </c>
      <c r="Z530">
        <f>IMDIV(Y530,Q530)</f>
        <v>0</v>
      </c>
      <c r="AA530">
        <f>IMPRODUCT(Z530,P530)</f>
        <v>0</v>
      </c>
      <c r="AB530">
        <f>AA530</f>
        <v>0</v>
      </c>
      <c r="AC530">
        <f>IMPRODUCT("-1",AB530)</f>
        <v>0</v>
      </c>
      <c r="AD530">
        <f>IMDIV(IMSUB(AB530,AC530),"2")</f>
        <v>0</v>
      </c>
      <c r="AE530" s="6">
        <f>IMABS(AB530)</f>
        <v>0</v>
      </c>
      <c r="AF530" s="6">
        <f>IMABS(AC530)</f>
        <v>0</v>
      </c>
      <c r="AG530" s="6">
        <f>IMABS(AD530)</f>
        <v>0</v>
      </c>
      <c r="AH530" s="7">
        <f>20*LOG10(MAX(AE530,1E-300)*1E6)</f>
        <v>0</v>
      </c>
      <c r="AI530" s="7">
        <f>20*LOG10(MAX(AF530,1E-300)*1E6)</f>
        <v>0</v>
      </c>
      <c r="AJ530" s="7">
        <f>20*LOG10(MAX(AG530,1E-300)*1E6)</f>
        <v>0</v>
      </c>
      <c r="AK530" s="7">
        <f>DEGREES(IMARGUMENT(AB530))</f>
        <v>0</v>
      </c>
      <c r="AL530" s="7">
        <f>DEGREES(IMARGUMENT(AC530))</f>
        <v>0</v>
      </c>
      <c r="AM530" s="7">
        <f>DEGREES(IMARGUMENT(AD530))</f>
        <v>0</v>
      </c>
    </row>
    <row r="531" spans="1:39">
      <c r="A531" s="6">
        <f>10^(LOG10(F_START)+(ROW()-ROW($A$2))*(LOG10(F_STOP)-LOG10(F_START))/(N_POINTS-1))</f>
        <v>0</v>
      </c>
      <c r="B531" s="6">
        <f>2*PI()*A531</f>
        <v>0</v>
      </c>
      <c r="C531">
        <f>COMPLEX(2*LINE_PS_DCR,2*B531*LINE_PS_L)</f>
        <v>0</v>
      </c>
      <c r="D531">
        <f>IMSUM(COMPLEX(0,B531*(LINE_PS_CLINE+LINE_PS_CCHA/2)),IMDIV("1",IMPRODUCT("2",COMPLEX(C_THROUGH_ESR,B531*C_THROUGH_ESL-1/(B531*C_THROUGH_C)))))</f>
        <v>0</v>
      </c>
      <c r="E531">
        <f>COMPLEX(2*LINE_INPUT_DCR,2*B531*LINE_INPUT_L)</f>
        <v>0</v>
      </c>
      <c r="F531">
        <f>COMPLEX(0,B531*(LINE_INPUT_CLINE+LINE_INPUT_CCHA/2))</f>
        <v>0</v>
      </c>
      <c r="G531">
        <f>IMPRODUCT("2",IMDIV("1",IMSUM(IMDIV("1",COMPLEX(LDM1_DCR,B531*LDM1_L)),COMPLEX(0,B531*LDM1_CPA))))</f>
        <v>0</v>
      </c>
      <c r="H531">
        <f>IMSUM(IMDIV("1",COMPLEX(CX1_ESR,B531*CX1_ESL-1/(B531*CX1_C))),IMDIV("1",IMSUM(COMPLEX(DUMP1_R,0),COMPLEX(DUMP1_ESR,B531*DUMP1_ESL-1/(B531*DUMP1_C)))))</f>
        <v>0</v>
      </c>
      <c r="I531">
        <f>IMPRODUCT("2",IMDIV("1",IMSUM(IMDIV("1",COMPLEX(LDM2_DCR,B531*LDM2_L)),COMPLEX(0,B531*LDM2_CPA))))</f>
        <v>0</v>
      </c>
      <c r="J531">
        <f>IMSUM(IMDIV("1",COMPLEX(CX2_ESR,B531*CX2_ESL-1/(B531*CX2_C))),IMDIV("1",IMSUM(COMPLEX(DUMP2_R,0),COMPLEX(DUMP2_ESR,B531*DUMP2_ESL-1/(B531*DUMP2_C)))))</f>
        <v>0</v>
      </c>
      <c r="K531">
        <f>IMPRODUCT("2",IMDIV("1",IMSUM(IMDIV("1",COMPLEX(CMC_DCR,B531*CMC_L*(1-CMC_K))),COMPLEX(0,B531*CMC_CPA))))</f>
        <v>0</v>
      </c>
      <c r="L531">
        <f>IMSUM(COMPLEX(0,B531*CMC_CLINE),IMDIV("1",IMPRODUCT("2",COMPLEX(CY_ESR,B531*CY_ESL-1/(B531*CY_C)))),COMPLEX(1/DUMMY_R,0))</f>
        <v>0</v>
      </c>
      <c r="M531">
        <f>IMSUM(D531,IMDIV("1",C531))</f>
        <v>0</v>
      </c>
      <c r="N531">
        <f>IMDIV("1",IMSUM(E531,IMDIV("1",M531)))</f>
        <v>0</v>
      </c>
      <c r="O531">
        <f>IMSUM(F531,N531)</f>
        <v>0</v>
      </c>
      <c r="P531">
        <f>IMDIV("1",IMSUM(G531,IMDIV("1",O531)))</f>
        <v>0</v>
      </c>
      <c r="Q531">
        <f>IMSUM(H531,P531)</f>
        <v>0</v>
      </c>
      <c r="R531">
        <f>IMDIV("1",IMSUM(I531,IMDIV("1",Q531)))</f>
        <v>0</v>
      </c>
      <c r="S531">
        <f>IMSUM(J531,R531)</f>
        <v>0</v>
      </c>
      <c r="T531">
        <f>IMDIV("1",IMSUM(K531,IMDIV("1",S531)))</f>
        <v>0</v>
      </c>
      <c r="U531">
        <f>IMSUM(L531,T531)</f>
        <v>0</v>
      </c>
      <c r="V531">
        <f>IMDIV(COMPLEX(I_DM_SOURCE,0),U531)</f>
        <v>0</v>
      </c>
      <c r="W531">
        <f>IMPRODUCT(V531,T531)</f>
        <v>0</v>
      </c>
      <c r="X531">
        <f>IMDIV(W531,S531)</f>
        <v>0</v>
      </c>
      <c r="Y531">
        <f>IMPRODUCT(X531,R531)</f>
        <v>0</v>
      </c>
      <c r="Z531">
        <f>IMDIV(Y531,Q531)</f>
        <v>0</v>
      </c>
      <c r="AA531">
        <f>IMPRODUCT(Z531,P531)</f>
        <v>0</v>
      </c>
      <c r="AB531">
        <f>AA531</f>
        <v>0</v>
      </c>
      <c r="AC531">
        <f>IMPRODUCT("-1",AB531)</f>
        <v>0</v>
      </c>
      <c r="AD531">
        <f>IMDIV(IMSUB(AB531,AC531),"2")</f>
        <v>0</v>
      </c>
      <c r="AE531" s="6">
        <f>IMABS(AB531)</f>
        <v>0</v>
      </c>
      <c r="AF531" s="6">
        <f>IMABS(AC531)</f>
        <v>0</v>
      </c>
      <c r="AG531" s="6">
        <f>IMABS(AD531)</f>
        <v>0</v>
      </c>
      <c r="AH531" s="7">
        <f>20*LOG10(MAX(AE531,1E-300)*1E6)</f>
        <v>0</v>
      </c>
      <c r="AI531" s="7">
        <f>20*LOG10(MAX(AF531,1E-300)*1E6)</f>
        <v>0</v>
      </c>
      <c r="AJ531" s="7">
        <f>20*LOG10(MAX(AG531,1E-300)*1E6)</f>
        <v>0</v>
      </c>
      <c r="AK531" s="7">
        <f>DEGREES(IMARGUMENT(AB531))</f>
        <v>0</v>
      </c>
      <c r="AL531" s="7">
        <f>DEGREES(IMARGUMENT(AC531))</f>
        <v>0</v>
      </c>
      <c r="AM531" s="7">
        <f>DEGREES(IMARGUMENT(AD531))</f>
        <v>0</v>
      </c>
    </row>
    <row r="532" spans="1:39">
      <c r="A532" s="6">
        <f>10^(LOG10(F_START)+(ROW()-ROW($A$2))*(LOG10(F_STOP)-LOG10(F_START))/(N_POINTS-1))</f>
        <v>0</v>
      </c>
      <c r="B532" s="6">
        <f>2*PI()*A532</f>
        <v>0</v>
      </c>
      <c r="C532">
        <f>COMPLEX(2*LINE_PS_DCR,2*B532*LINE_PS_L)</f>
        <v>0</v>
      </c>
      <c r="D532">
        <f>IMSUM(COMPLEX(0,B532*(LINE_PS_CLINE+LINE_PS_CCHA/2)),IMDIV("1",IMPRODUCT("2",COMPLEX(C_THROUGH_ESR,B532*C_THROUGH_ESL-1/(B532*C_THROUGH_C)))))</f>
        <v>0</v>
      </c>
      <c r="E532">
        <f>COMPLEX(2*LINE_INPUT_DCR,2*B532*LINE_INPUT_L)</f>
        <v>0</v>
      </c>
      <c r="F532">
        <f>COMPLEX(0,B532*(LINE_INPUT_CLINE+LINE_INPUT_CCHA/2))</f>
        <v>0</v>
      </c>
      <c r="G532">
        <f>IMPRODUCT("2",IMDIV("1",IMSUM(IMDIV("1",COMPLEX(LDM1_DCR,B532*LDM1_L)),COMPLEX(0,B532*LDM1_CPA))))</f>
        <v>0</v>
      </c>
      <c r="H532">
        <f>IMSUM(IMDIV("1",COMPLEX(CX1_ESR,B532*CX1_ESL-1/(B532*CX1_C))),IMDIV("1",IMSUM(COMPLEX(DUMP1_R,0),COMPLEX(DUMP1_ESR,B532*DUMP1_ESL-1/(B532*DUMP1_C)))))</f>
        <v>0</v>
      </c>
      <c r="I532">
        <f>IMPRODUCT("2",IMDIV("1",IMSUM(IMDIV("1",COMPLEX(LDM2_DCR,B532*LDM2_L)),COMPLEX(0,B532*LDM2_CPA))))</f>
        <v>0</v>
      </c>
      <c r="J532">
        <f>IMSUM(IMDIV("1",COMPLEX(CX2_ESR,B532*CX2_ESL-1/(B532*CX2_C))),IMDIV("1",IMSUM(COMPLEX(DUMP2_R,0),COMPLEX(DUMP2_ESR,B532*DUMP2_ESL-1/(B532*DUMP2_C)))))</f>
        <v>0</v>
      </c>
      <c r="K532">
        <f>IMPRODUCT("2",IMDIV("1",IMSUM(IMDIV("1",COMPLEX(CMC_DCR,B532*CMC_L*(1-CMC_K))),COMPLEX(0,B532*CMC_CPA))))</f>
        <v>0</v>
      </c>
      <c r="L532">
        <f>IMSUM(COMPLEX(0,B532*CMC_CLINE),IMDIV("1",IMPRODUCT("2",COMPLEX(CY_ESR,B532*CY_ESL-1/(B532*CY_C)))),COMPLEX(1/DUMMY_R,0))</f>
        <v>0</v>
      </c>
      <c r="M532">
        <f>IMSUM(D532,IMDIV("1",C532))</f>
        <v>0</v>
      </c>
      <c r="N532">
        <f>IMDIV("1",IMSUM(E532,IMDIV("1",M532)))</f>
        <v>0</v>
      </c>
      <c r="O532">
        <f>IMSUM(F532,N532)</f>
        <v>0</v>
      </c>
      <c r="P532">
        <f>IMDIV("1",IMSUM(G532,IMDIV("1",O532)))</f>
        <v>0</v>
      </c>
      <c r="Q532">
        <f>IMSUM(H532,P532)</f>
        <v>0</v>
      </c>
      <c r="R532">
        <f>IMDIV("1",IMSUM(I532,IMDIV("1",Q532)))</f>
        <v>0</v>
      </c>
      <c r="S532">
        <f>IMSUM(J532,R532)</f>
        <v>0</v>
      </c>
      <c r="T532">
        <f>IMDIV("1",IMSUM(K532,IMDIV("1",S532)))</f>
        <v>0</v>
      </c>
      <c r="U532">
        <f>IMSUM(L532,T532)</f>
        <v>0</v>
      </c>
      <c r="V532">
        <f>IMDIV(COMPLEX(I_DM_SOURCE,0),U532)</f>
        <v>0</v>
      </c>
      <c r="W532">
        <f>IMPRODUCT(V532,T532)</f>
        <v>0</v>
      </c>
      <c r="X532">
        <f>IMDIV(W532,S532)</f>
        <v>0</v>
      </c>
      <c r="Y532">
        <f>IMPRODUCT(X532,R532)</f>
        <v>0</v>
      </c>
      <c r="Z532">
        <f>IMDIV(Y532,Q532)</f>
        <v>0</v>
      </c>
      <c r="AA532">
        <f>IMPRODUCT(Z532,P532)</f>
        <v>0</v>
      </c>
      <c r="AB532">
        <f>AA532</f>
        <v>0</v>
      </c>
      <c r="AC532">
        <f>IMPRODUCT("-1",AB532)</f>
        <v>0</v>
      </c>
      <c r="AD532">
        <f>IMDIV(IMSUB(AB532,AC532),"2")</f>
        <v>0</v>
      </c>
      <c r="AE532" s="6">
        <f>IMABS(AB532)</f>
        <v>0</v>
      </c>
      <c r="AF532" s="6">
        <f>IMABS(AC532)</f>
        <v>0</v>
      </c>
      <c r="AG532" s="6">
        <f>IMABS(AD532)</f>
        <v>0</v>
      </c>
      <c r="AH532" s="7">
        <f>20*LOG10(MAX(AE532,1E-300)*1E6)</f>
        <v>0</v>
      </c>
      <c r="AI532" s="7">
        <f>20*LOG10(MAX(AF532,1E-300)*1E6)</f>
        <v>0</v>
      </c>
      <c r="AJ532" s="7">
        <f>20*LOG10(MAX(AG532,1E-300)*1E6)</f>
        <v>0</v>
      </c>
      <c r="AK532" s="7">
        <f>DEGREES(IMARGUMENT(AB532))</f>
        <v>0</v>
      </c>
      <c r="AL532" s="7">
        <f>DEGREES(IMARGUMENT(AC532))</f>
        <v>0</v>
      </c>
      <c r="AM532" s="7">
        <f>DEGREES(IMARGUMENT(AD532))</f>
        <v>0</v>
      </c>
    </row>
    <row r="533" spans="1:39">
      <c r="A533" s="6">
        <f>10^(LOG10(F_START)+(ROW()-ROW($A$2))*(LOG10(F_STOP)-LOG10(F_START))/(N_POINTS-1))</f>
        <v>0</v>
      </c>
      <c r="B533" s="6">
        <f>2*PI()*A533</f>
        <v>0</v>
      </c>
      <c r="C533">
        <f>COMPLEX(2*LINE_PS_DCR,2*B533*LINE_PS_L)</f>
        <v>0</v>
      </c>
      <c r="D533">
        <f>IMSUM(COMPLEX(0,B533*(LINE_PS_CLINE+LINE_PS_CCHA/2)),IMDIV("1",IMPRODUCT("2",COMPLEX(C_THROUGH_ESR,B533*C_THROUGH_ESL-1/(B533*C_THROUGH_C)))))</f>
        <v>0</v>
      </c>
      <c r="E533">
        <f>COMPLEX(2*LINE_INPUT_DCR,2*B533*LINE_INPUT_L)</f>
        <v>0</v>
      </c>
      <c r="F533">
        <f>COMPLEX(0,B533*(LINE_INPUT_CLINE+LINE_INPUT_CCHA/2))</f>
        <v>0</v>
      </c>
      <c r="G533">
        <f>IMPRODUCT("2",IMDIV("1",IMSUM(IMDIV("1",COMPLEX(LDM1_DCR,B533*LDM1_L)),COMPLEX(0,B533*LDM1_CPA))))</f>
        <v>0</v>
      </c>
      <c r="H533">
        <f>IMSUM(IMDIV("1",COMPLEX(CX1_ESR,B533*CX1_ESL-1/(B533*CX1_C))),IMDIV("1",IMSUM(COMPLEX(DUMP1_R,0),COMPLEX(DUMP1_ESR,B533*DUMP1_ESL-1/(B533*DUMP1_C)))))</f>
        <v>0</v>
      </c>
      <c r="I533">
        <f>IMPRODUCT("2",IMDIV("1",IMSUM(IMDIV("1",COMPLEX(LDM2_DCR,B533*LDM2_L)),COMPLEX(0,B533*LDM2_CPA))))</f>
        <v>0</v>
      </c>
      <c r="J533">
        <f>IMSUM(IMDIV("1",COMPLEX(CX2_ESR,B533*CX2_ESL-1/(B533*CX2_C))),IMDIV("1",IMSUM(COMPLEX(DUMP2_R,0),COMPLEX(DUMP2_ESR,B533*DUMP2_ESL-1/(B533*DUMP2_C)))))</f>
        <v>0</v>
      </c>
      <c r="K533">
        <f>IMPRODUCT("2",IMDIV("1",IMSUM(IMDIV("1",COMPLEX(CMC_DCR,B533*CMC_L*(1-CMC_K))),COMPLEX(0,B533*CMC_CPA))))</f>
        <v>0</v>
      </c>
      <c r="L533">
        <f>IMSUM(COMPLEX(0,B533*CMC_CLINE),IMDIV("1",IMPRODUCT("2",COMPLEX(CY_ESR,B533*CY_ESL-1/(B533*CY_C)))),COMPLEX(1/DUMMY_R,0))</f>
        <v>0</v>
      </c>
      <c r="M533">
        <f>IMSUM(D533,IMDIV("1",C533))</f>
        <v>0</v>
      </c>
      <c r="N533">
        <f>IMDIV("1",IMSUM(E533,IMDIV("1",M533)))</f>
        <v>0</v>
      </c>
      <c r="O533">
        <f>IMSUM(F533,N533)</f>
        <v>0</v>
      </c>
      <c r="P533">
        <f>IMDIV("1",IMSUM(G533,IMDIV("1",O533)))</f>
        <v>0</v>
      </c>
      <c r="Q533">
        <f>IMSUM(H533,P533)</f>
        <v>0</v>
      </c>
      <c r="R533">
        <f>IMDIV("1",IMSUM(I533,IMDIV("1",Q533)))</f>
        <v>0</v>
      </c>
      <c r="S533">
        <f>IMSUM(J533,R533)</f>
        <v>0</v>
      </c>
      <c r="T533">
        <f>IMDIV("1",IMSUM(K533,IMDIV("1",S533)))</f>
        <v>0</v>
      </c>
      <c r="U533">
        <f>IMSUM(L533,T533)</f>
        <v>0</v>
      </c>
      <c r="V533">
        <f>IMDIV(COMPLEX(I_DM_SOURCE,0),U533)</f>
        <v>0</v>
      </c>
      <c r="W533">
        <f>IMPRODUCT(V533,T533)</f>
        <v>0</v>
      </c>
      <c r="X533">
        <f>IMDIV(W533,S533)</f>
        <v>0</v>
      </c>
      <c r="Y533">
        <f>IMPRODUCT(X533,R533)</f>
        <v>0</v>
      </c>
      <c r="Z533">
        <f>IMDIV(Y533,Q533)</f>
        <v>0</v>
      </c>
      <c r="AA533">
        <f>IMPRODUCT(Z533,P533)</f>
        <v>0</v>
      </c>
      <c r="AB533">
        <f>AA533</f>
        <v>0</v>
      </c>
      <c r="AC533">
        <f>IMPRODUCT("-1",AB533)</f>
        <v>0</v>
      </c>
      <c r="AD533">
        <f>IMDIV(IMSUB(AB533,AC533),"2")</f>
        <v>0</v>
      </c>
      <c r="AE533" s="6">
        <f>IMABS(AB533)</f>
        <v>0</v>
      </c>
      <c r="AF533" s="6">
        <f>IMABS(AC533)</f>
        <v>0</v>
      </c>
      <c r="AG533" s="6">
        <f>IMABS(AD533)</f>
        <v>0</v>
      </c>
      <c r="AH533" s="7">
        <f>20*LOG10(MAX(AE533,1E-300)*1E6)</f>
        <v>0</v>
      </c>
      <c r="AI533" s="7">
        <f>20*LOG10(MAX(AF533,1E-300)*1E6)</f>
        <v>0</v>
      </c>
      <c r="AJ533" s="7">
        <f>20*LOG10(MAX(AG533,1E-300)*1E6)</f>
        <v>0</v>
      </c>
      <c r="AK533" s="7">
        <f>DEGREES(IMARGUMENT(AB533))</f>
        <v>0</v>
      </c>
      <c r="AL533" s="7">
        <f>DEGREES(IMARGUMENT(AC533))</f>
        <v>0</v>
      </c>
      <c r="AM533" s="7">
        <f>DEGREES(IMARGUMENT(AD533))</f>
        <v>0</v>
      </c>
    </row>
    <row r="534" spans="1:39">
      <c r="A534" s="6">
        <f>10^(LOG10(F_START)+(ROW()-ROW($A$2))*(LOG10(F_STOP)-LOG10(F_START))/(N_POINTS-1))</f>
        <v>0</v>
      </c>
      <c r="B534" s="6">
        <f>2*PI()*A534</f>
        <v>0</v>
      </c>
      <c r="C534">
        <f>COMPLEX(2*LINE_PS_DCR,2*B534*LINE_PS_L)</f>
        <v>0</v>
      </c>
      <c r="D534">
        <f>IMSUM(COMPLEX(0,B534*(LINE_PS_CLINE+LINE_PS_CCHA/2)),IMDIV("1",IMPRODUCT("2",COMPLEX(C_THROUGH_ESR,B534*C_THROUGH_ESL-1/(B534*C_THROUGH_C)))))</f>
        <v>0</v>
      </c>
      <c r="E534">
        <f>COMPLEX(2*LINE_INPUT_DCR,2*B534*LINE_INPUT_L)</f>
        <v>0</v>
      </c>
      <c r="F534">
        <f>COMPLEX(0,B534*(LINE_INPUT_CLINE+LINE_INPUT_CCHA/2))</f>
        <v>0</v>
      </c>
      <c r="G534">
        <f>IMPRODUCT("2",IMDIV("1",IMSUM(IMDIV("1",COMPLEX(LDM1_DCR,B534*LDM1_L)),COMPLEX(0,B534*LDM1_CPA))))</f>
        <v>0</v>
      </c>
      <c r="H534">
        <f>IMSUM(IMDIV("1",COMPLEX(CX1_ESR,B534*CX1_ESL-1/(B534*CX1_C))),IMDIV("1",IMSUM(COMPLEX(DUMP1_R,0),COMPLEX(DUMP1_ESR,B534*DUMP1_ESL-1/(B534*DUMP1_C)))))</f>
        <v>0</v>
      </c>
      <c r="I534">
        <f>IMPRODUCT("2",IMDIV("1",IMSUM(IMDIV("1",COMPLEX(LDM2_DCR,B534*LDM2_L)),COMPLEX(0,B534*LDM2_CPA))))</f>
        <v>0</v>
      </c>
      <c r="J534">
        <f>IMSUM(IMDIV("1",COMPLEX(CX2_ESR,B534*CX2_ESL-1/(B534*CX2_C))),IMDIV("1",IMSUM(COMPLEX(DUMP2_R,0),COMPLEX(DUMP2_ESR,B534*DUMP2_ESL-1/(B534*DUMP2_C)))))</f>
        <v>0</v>
      </c>
      <c r="K534">
        <f>IMPRODUCT("2",IMDIV("1",IMSUM(IMDIV("1",COMPLEX(CMC_DCR,B534*CMC_L*(1-CMC_K))),COMPLEX(0,B534*CMC_CPA))))</f>
        <v>0</v>
      </c>
      <c r="L534">
        <f>IMSUM(COMPLEX(0,B534*CMC_CLINE),IMDIV("1",IMPRODUCT("2",COMPLEX(CY_ESR,B534*CY_ESL-1/(B534*CY_C)))),COMPLEX(1/DUMMY_R,0))</f>
        <v>0</v>
      </c>
      <c r="M534">
        <f>IMSUM(D534,IMDIV("1",C534))</f>
        <v>0</v>
      </c>
      <c r="N534">
        <f>IMDIV("1",IMSUM(E534,IMDIV("1",M534)))</f>
        <v>0</v>
      </c>
      <c r="O534">
        <f>IMSUM(F534,N534)</f>
        <v>0</v>
      </c>
      <c r="P534">
        <f>IMDIV("1",IMSUM(G534,IMDIV("1",O534)))</f>
        <v>0</v>
      </c>
      <c r="Q534">
        <f>IMSUM(H534,P534)</f>
        <v>0</v>
      </c>
      <c r="R534">
        <f>IMDIV("1",IMSUM(I534,IMDIV("1",Q534)))</f>
        <v>0</v>
      </c>
      <c r="S534">
        <f>IMSUM(J534,R534)</f>
        <v>0</v>
      </c>
      <c r="T534">
        <f>IMDIV("1",IMSUM(K534,IMDIV("1",S534)))</f>
        <v>0</v>
      </c>
      <c r="U534">
        <f>IMSUM(L534,T534)</f>
        <v>0</v>
      </c>
      <c r="V534">
        <f>IMDIV(COMPLEX(I_DM_SOURCE,0),U534)</f>
        <v>0</v>
      </c>
      <c r="W534">
        <f>IMPRODUCT(V534,T534)</f>
        <v>0</v>
      </c>
      <c r="X534">
        <f>IMDIV(W534,S534)</f>
        <v>0</v>
      </c>
      <c r="Y534">
        <f>IMPRODUCT(X534,R534)</f>
        <v>0</v>
      </c>
      <c r="Z534">
        <f>IMDIV(Y534,Q534)</f>
        <v>0</v>
      </c>
      <c r="AA534">
        <f>IMPRODUCT(Z534,P534)</f>
        <v>0</v>
      </c>
      <c r="AB534">
        <f>AA534</f>
        <v>0</v>
      </c>
      <c r="AC534">
        <f>IMPRODUCT("-1",AB534)</f>
        <v>0</v>
      </c>
      <c r="AD534">
        <f>IMDIV(IMSUB(AB534,AC534),"2")</f>
        <v>0</v>
      </c>
      <c r="AE534" s="6">
        <f>IMABS(AB534)</f>
        <v>0</v>
      </c>
      <c r="AF534" s="6">
        <f>IMABS(AC534)</f>
        <v>0</v>
      </c>
      <c r="AG534" s="6">
        <f>IMABS(AD534)</f>
        <v>0</v>
      </c>
      <c r="AH534" s="7">
        <f>20*LOG10(MAX(AE534,1E-300)*1E6)</f>
        <v>0</v>
      </c>
      <c r="AI534" s="7">
        <f>20*LOG10(MAX(AF534,1E-300)*1E6)</f>
        <v>0</v>
      </c>
      <c r="AJ534" s="7">
        <f>20*LOG10(MAX(AG534,1E-300)*1E6)</f>
        <v>0</v>
      </c>
      <c r="AK534" s="7">
        <f>DEGREES(IMARGUMENT(AB534))</f>
        <v>0</v>
      </c>
      <c r="AL534" s="7">
        <f>DEGREES(IMARGUMENT(AC534))</f>
        <v>0</v>
      </c>
      <c r="AM534" s="7">
        <f>DEGREES(IMARGUMENT(AD534))</f>
        <v>0</v>
      </c>
    </row>
    <row r="535" spans="1:39">
      <c r="A535" s="6">
        <f>10^(LOG10(F_START)+(ROW()-ROW($A$2))*(LOG10(F_STOP)-LOG10(F_START))/(N_POINTS-1))</f>
        <v>0</v>
      </c>
      <c r="B535" s="6">
        <f>2*PI()*A535</f>
        <v>0</v>
      </c>
      <c r="C535">
        <f>COMPLEX(2*LINE_PS_DCR,2*B535*LINE_PS_L)</f>
        <v>0</v>
      </c>
      <c r="D535">
        <f>IMSUM(COMPLEX(0,B535*(LINE_PS_CLINE+LINE_PS_CCHA/2)),IMDIV("1",IMPRODUCT("2",COMPLEX(C_THROUGH_ESR,B535*C_THROUGH_ESL-1/(B535*C_THROUGH_C)))))</f>
        <v>0</v>
      </c>
      <c r="E535">
        <f>COMPLEX(2*LINE_INPUT_DCR,2*B535*LINE_INPUT_L)</f>
        <v>0</v>
      </c>
      <c r="F535">
        <f>COMPLEX(0,B535*(LINE_INPUT_CLINE+LINE_INPUT_CCHA/2))</f>
        <v>0</v>
      </c>
      <c r="G535">
        <f>IMPRODUCT("2",IMDIV("1",IMSUM(IMDIV("1",COMPLEX(LDM1_DCR,B535*LDM1_L)),COMPLEX(0,B535*LDM1_CPA))))</f>
        <v>0</v>
      </c>
      <c r="H535">
        <f>IMSUM(IMDIV("1",COMPLEX(CX1_ESR,B535*CX1_ESL-1/(B535*CX1_C))),IMDIV("1",IMSUM(COMPLEX(DUMP1_R,0),COMPLEX(DUMP1_ESR,B535*DUMP1_ESL-1/(B535*DUMP1_C)))))</f>
        <v>0</v>
      </c>
      <c r="I535">
        <f>IMPRODUCT("2",IMDIV("1",IMSUM(IMDIV("1",COMPLEX(LDM2_DCR,B535*LDM2_L)),COMPLEX(0,B535*LDM2_CPA))))</f>
        <v>0</v>
      </c>
      <c r="J535">
        <f>IMSUM(IMDIV("1",COMPLEX(CX2_ESR,B535*CX2_ESL-1/(B535*CX2_C))),IMDIV("1",IMSUM(COMPLEX(DUMP2_R,0),COMPLEX(DUMP2_ESR,B535*DUMP2_ESL-1/(B535*DUMP2_C)))))</f>
        <v>0</v>
      </c>
      <c r="K535">
        <f>IMPRODUCT("2",IMDIV("1",IMSUM(IMDIV("1",COMPLEX(CMC_DCR,B535*CMC_L*(1-CMC_K))),COMPLEX(0,B535*CMC_CPA))))</f>
        <v>0</v>
      </c>
      <c r="L535">
        <f>IMSUM(COMPLEX(0,B535*CMC_CLINE),IMDIV("1",IMPRODUCT("2",COMPLEX(CY_ESR,B535*CY_ESL-1/(B535*CY_C)))),COMPLEX(1/DUMMY_R,0))</f>
        <v>0</v>
      </c>
      <c r="M535">
        <f>IMSUM(D535,IMDIV("1",C535))</f>
        <v>0</v>
      </c>
      <c r="N535">
        <f>IMDIV("1",IMSUM(E535,IMDIV("1",M535)))</f>
        <v>0</v>
      </c>
      <c r="O535">
        <f>IMSUM(F535,N535)</f>
        <v>0</v>
      </c>
      <c r="P535">
        <f>IMDIV("1",IMSUM(G535,IMDIV("1",O535)))</f>
        <v>0</v>
      </c>
      <c r="Q535">
        <f>IMSUM(H535,P535)</f>
        <v>0</v>
      </c>
      <c r="R535">
        <f>IMDIV("1",IMSUM(I535,IMDIV("1",Q535)))</f>
        <v>0</v>
      </c>
      <c r="S535">
        <f>IMSUM(J535,R535)</f>
        <v>0</v>
      </c>
      <c r="T535">
        <f>IMDIV("1",IMSUM(K535,IMDIV("1",S535)))</f>
        <v>0</v>
      </c>
      <c r="U535">
        <f>IMSUM(L535,T535)</f>
        <v>0</v>
      </c>
      <c r="V535">
        <f>IMDIV(COMPLEX(I_DM_SOURCE,0),U535)</f>
        <v>0</v>
      </c>
      <c r="W535">
        <f>IMPRODUCT(V535,T535)</f>
        <v>0</v>
      </c>
      <c r="X535">
        <f>IMDIV(W535,S535)</f>
        <v>0</v>
      </c>
      <c r="Y535">
        <f>IMPRODUCT(X535,R535)</f>
        <v>0</v>
      </c>
      <c r="Z535">
        <f>IMDIV(Y535,Q535)</f>
        <v>0</v>
      </c>
      <c r="AA535">
        <f>IMPRODUCT(Z535,P535)</f>
        <v>0</v>
      </c>
      <c r="AB535">
        <f>AA535</f>
        <v>0</v>
      </c>
      <c r="AC535">
        <f>IMPRODUCT("-1",AB535)</f>
        <v>0</v>
      </c>
      <c r="AD535">
        <f>IMDIV(IMSUB(AB535,AC535),"2")</f>
        <v>0</v>
      </c>
      <c r="AE535" s="6">
        <f>IMABS(AB535)</f>
        <v>0</v>
      </c>
      <c r="AF535" s="6">
        <f>IMABS(AC535)</f>
        <v>0</v>
      </c>
      <c r="AG535" s="6">
        <f>IMABS(AD535)</f>
        <v>0</v>
      </c>
      <c r="AH535" s="7">
        <f>20*LOG10(MAX(AE535,1E-300)*1E6)</f>
        <v>0</v>
      </c>
      <c r="AI535" s="7">
        <f>20*LOG10(MAX(AF535,1E-300)*1E6)</f>
        <v>0</v>
      </c>
      <c r="AJ535" s="7">
        <f>20*LOG10(MAX(AG535,1E-300)*1E6)</f>
        <v>0</v>
      </c>
      <c r="AK535" s="7">
        <f>DEGREES(IMARGUMENT(AB535))</f>
        <v>0</v>
      </c>
      <c r="AL535" s="7">
        <f>DEGREES(IMARGUMENT(AC535))</f>
        <v>0</v>
      </c>
      <c r="AM535" s="7">
        <f>DEGREES(IMARGUMENT(AD535))</f>
        <v>0</v>
      </c>
    </row>
    <row r="536" spans="1:39">
      <c r="A536" s="6">
        <f>10^(LOG10(F_START)+(ROW()-ROW($A$2))*(LOG10(F_STOP)-LOG10(F_START))/(N_POINTS-1))</f>
        <v>0</v>
      </c>
      <c r="B536" s="6">
        <f>2*PI()*A536</f>
        <v>0</v>
      </c>
      <c r="C536">
        <f>COMPLEX(2*LINE_PS_DCR,2*B536*LINE_PS_L)</f>
        <v>0</v>
      </c>
      <c r="D536">
        <f>IMSUM(COMPLEX(0,B536*(LINE_PS_CLINE+LINE_PS_CCHA/2)),IMDIV("1",IMPRODUCT("2",COMPLEX(C_THROUGH_ESR,B536*C_THROUGH_ESL-1/(B536*C_THROUGH_C)))))</f>
        <v>0</v>
      </c>
      <c r="E536">
        <f>COMPLEX(2*LINE_INPUT_DCR,2*B536*LINE_INPUT_L)</f>
        <v>0</v>
      </c>
      <c r="F536">
        <f>COMPLEX(0,B536*(LINE_INPUT_CLINE+LINE_INPUT_CCHA/2))</f>
        <v>0</v>
      </c>
      <c r="G536">
        <f>IMPRODUCT("2",IMDIV("1",IMSUM(IMDIV("1",COMPLEX(LDM1_DCR,B536*LDM1_L)),COMPLEX(0,B536*LDM1_CPA))))</f>
        <v>0</v>
      </c>
      <c r="H536">
        <f>IMSUM(IMDIV("1",COMPLEX(CX1_ESR,B536*CX1_ESL-1/(B536*CX1_C))),IMDIV("1",IMSUM(COMPLEX(DUMP1_R,0),COMPLEX(DUMP1_ESR,B536*DUMP1_ESL-1/(B536*DUMP1_C)))))</f>
        <v>0</v>
      </c>
      <c r="I536">
        <f>IMPRODUCT("2",IMDIV("1",IMSUM(IMDIV("1",COMPLEX(LDM2_DCR,B536*LDM2_L)),COMPLEX(0,B536*LDM2_CPA))))</f>
        <v>0</v>
      </c>
      <c r="J536">
        <f>IMSUM(IMDIV("1",COMPLEX(CX2_ESR,B536*CX2_ESL-1/(B536*CX2_C))),IMDIV("1",IMSUM(COMPLEX(DUMP2_R,0),COMPLEX(DUMP2_ESR,B536*DUMP2_ESL-1/(B536*DUMP2_C)))))</f>
        <v>0</v>
      </c>
      <c r="K536">
        <f>IMPRODUCT("2",IMDIV("1",IMSUM(IMDIV("1",COMPLEX(CMC_DCR,B536*CMC_L*(1-CMC_K))),COMPLEX(0,B536*CMC_CPA))))</f>
        <v>0</v>
      </c>
      <c r="L536">
        <f>IMSUM(COMPLEX(0,B536*CMC_CLINE),IMDIV("1",IMPRODUCT("2",COMPLEX(CY_ESR,B536*CY_ESL-1/(B536*CY_C)))),COMPLEX(1/DUMMY_R,0))</f>
        <v>0</v>
      </c>
      <c r="M536">
        <f>IMSUM(D536,IMDIV("1",C536))</f>
        <v>0</v>
      </c>
      <c r="N536">
        <f>IMDIV("1",IMSUM(E536,IMDIV("1",M536)))</f>
        <v>0</v>
      </c>
      <c r="O536">
        <f>IMSUM(F536,N536)</f>
        <v>0</v>
      </c>
      <c r="P536">
        <f>IMDIV("1",IMSUM(G536,IMDIV("1",O536)))</f>
        <v>0</v>
      </c>
      <c r="Q536">
        <f>IMSUM(H536,P536)</f>
        <v>0</v>
      </c>
      <c r="R536">
        <f>IMDIV("1",IMSUM(I536,IMDIV("1",Q536)))</f>
        <v>0</v>
      </c>
      <c r="S536">
        <f>IMSUM(J536,R536)</f>
        <v>0</v>
      </c>
      <c r="T536">
        <f>IMDIV("1",IMSUM(K536,IMDIV("1",S536)))</f>
        <v>0</v>
      </c>
      <c r="U536">
        <f>IMSUM(L536,T536)</f>
        <v>0</v>
      </c>
      <c r="V536">
        <f>IMDIV(COMPLEX(I_DM_SOURCE,0),U536)</f>
        <v>0</v>
      </c>
      <c r="W536">
        <f>IMPRODUCT(V536,T536)</f>
        <v>0</v>
      </c>
      <c r="X536">
        <f>IMDIV(W536,S536)</f>
        <v>0</v>
      </c>
      <c r="Y536">
        <f>IMPRODUCT(X536,R536)</f>
        <v>0</v>
      </c>
      <c r="Z536">
        <f>IMDIV(Y536,Q536)</f>
        <v>0</v>
      </c>
      <c r="AA536">
        <f>IMPRODUCT(Z536,P536)</f>
        <v>0</v>
      </c>
      <c r="AB536">
        <f>AA536</f>
        <v>0</v>
      </c>
      <c r="AC536">
        <f>IMPRODUCT("-1",AB536)</f>
        <v>0</v>
      </c>
      <c r="AD536">
        <f>IMDIV(IMSUB(AB536,AC536),"2")</f>
        <v>0</v>
      </c>
      <c r="AE536" s="6">
        <f>IMABS(AB536)</f>
        <v>0</v>
      </c>
      <c r="AF536" s="6">
        <f>IMABS(AC536)</f>
        <v>0</v>
      </c>
      <c r="AG536" s="6">
        <f>IMABS(AD536)</f>
        <v>0</v>
      </c>
      <c r="AH536" s="7">
        <f>20*LOG10(MAX(AE536,1E-300)*1E6)</f>
        <v>0</v>
      </c>
      <c r="AI536" s="7">
        <f>20*LOG10(MAX(AF536,1E-300)*1E6)</f>
        <v>0</v>
      </c>
      <c r="AJ536" s="7">
        <f>20*LOG10(MAX(AG536,1E-300)*1E6)</f>
        <v>0</v>
      </c>
      <c r="AK536" s="7">
        <f>DEGREES(IMARGUMENT(AB536))</f>
        <v>0</v>
      </c>
      <c r="AL536" s="7">
        <f>DEGREES(IMARGUMENT(AC536))</f>
        <v>0</v>
      </c>
      <c r="AM536" s="7">
        <f>DEGREES(IMARGUMENT(AD536))</f>
        <v>0</v>
      </c>
    </row>
    <row r="537" spans="1:39">
      <c r="A537" s="6">
        <f>10^(LOG10(F_START)+(ROW()-ROW($A$2))*(LOG10(F_STOP)-LOG10(F_START))/(N_POINTS-1))</f>
        <v>0</v>
      </c>
      <c r="B537" s="6">
        <f>2*PI()*A537</f>
        <v>0</v>
      </c>
      <c r="C537">
        <f>COMPLEX(2*LINE_PS_DCR,2*B537*LINE_PS_L)</f>
        <v>0</v>
      </c>
      <c r="D537">
        <f>IMSUM(COMPLEX(0,B537*(LINE_PS_CLINE+LINE_PS_CCHA/2)),IMDIV("1",IMPRODUCT("2",COMPLEX(C_THROUGH_ESR,B537*C_THROUGH_ESL-1/(B537*C_THROUGH_C)))))</f>
        <v>0</v>
      </c>
      <c r="E537">
        <f>COMPLEX(2*LINE_INPUT_DCR,2*B537*LINE_INPUT_L)</f>
        <v>0</v>
      </c>
      <c r="F537">
        <f>COMPLEX(0,B537*(LINE_INPUT_CLINE+LINE_INPUT_CCHA/2))</f>
        <v>0</v>
      </c>
      <c r="G537">
        <f>IMPRODUCT("2",IMDIV("1",IMSUM(IMDIV("1",COMPLEX(LDM1_DCR,B537*LDM1_L)),COMPLEX(0,B537*LDM1_CPA))))</f>
        <v>0</v>
      </c>
      <c r="H537">
        <f>IMSUM(IMDIV("1",COMPLEX(CX1_ESR,B537*CX1_ESL-1/(B537*CX1_C))),IMDIV("1",IMSUM(COMPLEX(DUMP1_R,0),COMPLEX(DUMP1_ESR,B537*DUMP1_ESL-1/(B537*DUMP1_C)))))</f>
        <v>0</v>
      </c>
      <c r="I537">
        <f>IMPRODUCT("2",IMDIV("1",IMSUM(IMDIV("1",COMPLEX(LDM2_DCR,B537*LDM2_L)),COMPLEX(0,B537*LDM2_CPA))))</f>
        <v>0</v>
      </c>
      <c r="J537">
        <f>IMSUM(IMDIV("1",COMPLEX(CX2_ESR,B537*CX2_ESL-1/(B537*CX2_C))),IMDIV("1",IMSUM(COMPLEX(DUMP2_R,0),COMPLEX(DUMP2_ESR,B537*DUMP2_ESL-1/(B537*DUMP2_C)))))</f>
        <v>0</v>
      </c>
      <c r="K537">
        <f>IMPRODUCT("2",IMDIV("1",IMSUM(IMDIV("1",COMPLEX(CMC_DCR,B537*CMC_L*(1-CMC_K))),COMPLEX(0,B537*CMC_CPA))))</f>
        <v>0</v>
      </c>
      <c r="L537">
        <f>IMSUM(COMPLEX(0,B537*CMC_CLINE),IMDIV("1",IMPRODUCT("2",COMPLEX(CY_ESR,B537*CY_ESL-1/(B537*CY_C)))),COMPLEX(1/DUMMY_R,0))</f>
        <v>0</v>
      </c>
      <c r="M537">
        <f>IMSUM(D537,IMDIV("1",C537))</f>
        <v>0</v>
      </c>
      <c r="N537">
        <f>IMDIV("1",IMSUM(E537,IMDIV("1",M537)))</f>
        <v>0</v>
      </c>
      <c r="O537">
        <f>IMSUM(F537,N537)</f>
        <v>0</v>
      </c>
      <c r="P537">
        <f>IMDIV("1",IMSUM(G537,IMDIV("1",O537)))</f>
        <v>0</v>
      </c>
      <c r="Q537">
        <f>IMSUM(H537,P537)</f>
        <v>0</v>
      </c>
      <c r="R537">
        <f>IMDIV("1",IMSUM(I537,IMDIV("1",Q537)))</f>
        <v>0</v>
      </c>
      <c r="S537">
        <f>IMSUM(J537,R537)</f>
        <v>0</v>
      </c>
      <c r="T537">
        <f>IMDIV("1",IMSUM(K537,IMDIV("1",S537)))</f>
        <v>0</v>
      </c>
      <c r="U537">
        <f>IMSUM(L537,T537)</f>
        <v>0</v>
      </c>
      <c r="V537">
        <f>IMDIV(COMPLEX(I_DM_SOURCE,0),U537)</f>
        <v>0</v>
      </c>
      <c r="W537">
        <f>IMPRODUCT(V537,T537)</f>
        <v>0</v>
      </c>
      <c r="X537">
        <f>IMDIV(W537,S537)</f>
        <v>0</v>
      </c>
      <c r="Y537">
        <f>IMPRODUCT(X537,R537)</f>
        <v>0</v>
      </c>
      <c r="Z537">
        <f>IMDIV(Y537,Q537)</f>
        <v>0</v>
      </c>
      <c r="AA537">
        <f>IMPRODUCT(Z537,P537)</f>
        <v>0</v>
      </c>
      <c r="AB537">
        <f>AA537</f>
        <v>0</v>
      </c>
      <c r="AC537">
        <f>IMPRODUCT("-1",AB537)</f>
        <v>0</v>
      </c>
      <c r="AD537">
        <f>IMDIV(IMSUB(AB537,AC537),"2")</f>
        <v>0</v>
      </c>
      <c r="AE537" s="6">
        <f>IMABS(AB537)</f>
        <v>0</v>
      </c>
      <c r="AF537" s="6">
        <f>IMABS(AC537)</f>
        <v>0</v>
      </c>
      <c r="AG537" s="6">
        <f>IMABS(AD537)</f>
        <v>0</v>
      </c>
      <c r="AH537" s="7">
        <f>20*LOG10(MAX(AE537,1E-300)*1E6)</f>
        <v>0</v>
      </c>
      <c r="AI537" s="7">
        <f>20*LOG10(MAX(AF537,1E-300)*1E6)</f>
        <v>0</v>
      </c>
      <c r="AJ537" s="7">
        <f>20*LOG10(MAX(AG537,1E-300)*1E6)</f>
        <v>0</v>
      </c>
      <c r="AK537" s="7">
        <f>DEGREES(IMARGUMENT(AB537))</f>
        <v>0</v>
      </c>
      <c r="AL537" s="7">
        <f>DEGREES(IMARGUMENT(AC537))</f>
        <v>0</v>
      </c>
      <c r="AM537" s="7">
        <f>DEGREES(IMARGUMENT(AD537))</f>
        <v>0</v>
      </c>
    </row>
    <row r="538" spans="1:39">
      <c r="A538" s="6">
        <f>10^(LOG10(F_START)+(ROW()-ROW($A$2))*(LOG10(F_STOP)-LOG10(F_START))/(N_POINTS-1))</f>
        <v>0</v>
      </c>
      <c r="B538" s="6">
        <f>2*PI()*A538</f>
        <v>0</v>
      </c>
      <c r="C538">
        <f>COMPLEX(2*LINE_PS_DCR,2*B538*LINE_PS_L)</f>
        <v>0</v>
      </c>
      <c r="D538">
        <f>IMSUM(COMPLEX(0,B538*(LINE_PS_CLINE+LINE_PS_CCHA/2)),IMDIV("1",IMPRODUCT("2",COMPLEX(C_THROUGH_ESR,B538*C_THROUGH_ESL-1/(B538*C_THROUGH_C)))))</f>
        <v>0</v>
      </c>
      <c r="E538">
        <f>COMPLEX(2*LINE_INPUT_DCR,2*B538*LINE_INPUT_L)</f>
        <v>0</v>
      </c>
      <c r="F538">
        <f>COMPLEX(0,B538*(LINE_INPUT_CLINE+LINE_INPUT_CCHA/2))</f>
        <v>0</v>
      </c>
      <c r="G538">
        <f>IMPRODUCT("2",IMDIV("1",IMSUM(IMDIV("1",COMPLEX(LDM1_DCR,B538*LDM1_L)),COMPLEX(0,B538*LDM1_CPA))))</f>
        <v>0</v>
      </c>
      <c r="H538">
        <f>IMSUM(IMDIV("1",COMPLEX(CX1_ESR,B538*CX1_ESL-1/(B538*CX1_C))),IMDIV("1",IMSUM(COMPLEX(DUMP1_R,0),COMPLEX(DUMP1_ESR,B538*DUMP1_ESL-1/(B538*DUMP1_C)))))</f>
        <v>0</v>
      </c>
      <c r="I538">
        <f>IMPRODUCT("2",IMDIV("1",IMSUM(IMDIV("1",COMPLEX(LDM2_DCR,B538*LDM2_L)),COMPLEX(0,B538*LDM2_CPA))))</f>
        <v>0</v>
      </c>
      <c r="J538">
        <f>IMSUM(IMDIV("1",COMPLEX(CX2_ESR,B538*CX2_ESL-1/(B538*CX2_C))),IMDIV("1",IMSUM(COMPLEX(DUMP2_R,0),COMPLEX(DUMP2_ESR,B538*DUMP2_ESL-1/(B538*DUMP2_C)))))</f>
        <v>0</v>
      </c>
      <c r="K538">
        <f>IMPRODUCT("2",IMDIV("1",IMSUM(IMDIV("1",COMPLEX(CMC_DCR,B538*CMC_L*(1-CMC_K))),COMPLEX(0,B538*CMC_CPA))))</f>
        <v>0</v>
      </c>
      <c r="L538">
        <f>IMSUM(COMPLEX(0,B538*CMC_CLINE),IMDIV("1",IMPRODUCT("2",COMPLEX(CY_ESR,B538*CY_ESL-1/(B538*CY_C)))),COMPLEX(1/DUMMY_R,0))</f>
        <v>0</v>
      </c>
      <c r="M538">
        <f>IMSUM(D538,IMDIV("1",C538))</f>
        <v>0</v>
      </c>
      <c r="N538">
        <f>IMDIV("1",IMSUM(E538,IMDIV("1",M538)))</f>
        <v>0</v>
      </c>
      <c r="O538">
        <f>IMSUM(F538,N538)</f>
        <v>0</v>
      </c>
      <c r="P538">
        <f>IMDIV("1",IMSUM(G538,IMDIV("1",O538)))</f>
        <v>0</v>
      </c>
      <c r="Q538">
        <f>IMSUM(H538,P538)</f>
        <v>0</v>
      </c>
      <c r="R538">
        <f>IMDIV("1",IMSUM(I538,IMDIV("1",Q538)))</f>
        <v>0</v>
      </c>
      <c r="S538">
        <f>IMSUM(J538,R538)</f>
        <v>0</v>
      </c>
      <c r="T538">
        <f>IMDIV("1",IMSUM(K538,IMDIV("1",S538)))</f>
        <v>0</v>
      </c>
      <c r="U538">
        <f>IMSUM(L538,T538)</f>
        <v>0</v>
      </c>
      <c r="V538">
        <f>IMDIV(COMPLEX(I_DM_SOURCE,0),U538)</f>
        <v>0</v>
      </c>
      <c r="W538">
        <f>IMPRODUCT(V538,T538)</f>
        <v>0</v>
      </c>
      <c r="X538">
        <f>IMDIV(W538,S538)</f>
        <v>0</v>
      </c>
      <c r="Y538">
        <f>IMPRODUCT(X538,R538)</f>
        <v>0</v>
      </c>
      <c r="Z538">
        <f>IMDIV(Y538,Q538)</f>
        <v>0</v>
      </c>
      <c r="AA538">
        <f>IMPRODUCT(Z538,P538)</f>
        <v>0</v>
      </c>
      <c r="AB538">
        <f>AA538</f>
        <v>0</v>
      </c>
      <c r="AC538">
        <f>IMPRODUCT("-1",AB538)</f>
        <v>0</v>
      </c>
      <c r="AD538">
        <f>IMDIV(IMSUB(AB538,AC538),"2")</f>
        <v>0</v>
      </c>
      <c r="AE538" s="6">
        <f>IMABS(AB538)</f>
        <v>0</v>
      </c>
      <c r="AF538" s="6">
        <f>IMABS(AC538)</f>
        <v>0</v>
      </c>
      <c r="AG538" s="6">
        <f>IMABS(AD538)</f>
        <v>0</v>
      </c>
      <c r="AH538" s="7">
        <f>20*LOG10(MAX(AE538,1E-300)*1E6)</f>
        <v>0</v>
      </c>
      <c r="AI538" s="7">
        <f>20*LOG10(MAX(AF538,1E-300)*1E6)</f>
        <v>0</v>
      </c>
      <c r="AJ538" s="7">
        <f>20*LOG10(MAX(AG538,1E-300)*1E6)</f>
        <v>0</v>
      </c>
      <c r="AK538" s="7">
        <f>DEGREES(IMARGUMENT(AB538))</f>
        <v>0</v>
      </c>
      <c r="AL538" s="7">
        <f>DEGREES(IMARGUMENT(AC538))</f>
        <v>0</v>
      </c>
      <c r="AM538" s="7">
        <f>DEGREES(IMARGUMENT(AD538))</f>
        <v>0</v>
      </c>
    </row>
    <row r="539" spans="1:39">
      <c r="A539" s="6">
        <f>10^(LOG10(F_START)+(ROW()-ROW($A$2))*(LOG10(F_STOP)-LOG10(F_START))/(N_POINTS-1))</f>
        <v>0</v>
      </c>
      <c r="B539" s="6">
        <f>2*PI()*A539</f>
        <v>0</v>
      </c>
      <c r="C539">
        <f>COMPLEX(2*LINE_PS_DCR,2*B539*LINE_PS_L)</f>
        <v>0</v>
      </c>
      <c r="D539">
        <f>IMSUM(COMPLEX(0,B539*(LINE_PS_CLINE+LINE_PS_CCHA/2)),IMDIV("1",IMPRODUCT("2",COMPLEX(C_THROUGH_ESR,B539*C_THROUGH_ESL-1/(B539*C_THROUGH_C)))))</f>
        <v>0</v>
      </c>
      <c r="E539">
        <f>COMPLEX(2*LINE_INPUT_DCR,2*B539*LINE_INPUT_L)</f>
        <v>0</v>
      </c>
      <c r="F539">
        <f>COMPLEX(0,B539*(LINE_INPUT_CLINE+LINE_INPUT_CCHA/2))</f>
        <v>0</v>
      </c>
      <c r="G539">
        <f>IMPRODUCT("2",IMDIV("1",IMSUM(IMDIV("1",COMPLEX(LDM1_DCR,B539*LDM1_L)),COMPLEX(0,B539*LDM1_CPA))))</f>
        <v>0</v>
      </c>
      <c r="H539">
        <f>IMSUM(IMDIV("1",COMPLEX(CX1_ESR,B539*CX1_ESL-1/(B539*CX1_C))),IMDIV("1",IMSUM(COMPLEX(DUMP1_R,0),COMPLEX(DUMP1_ESR,B539*DUMP1_ESL-1/(B539*DUMP1_C)))))</f>
        <v>0</v>
      </c>
      <c r="I539">
        <f>IMPRODUCT("2",IMDIV("1",IMSUM(IMDIV("1",COMPLEX(LDM2_DCR,B539*LDM2_L)),COMPLEX(0,B539*LDM2_CPA))))</f>
        <v>0</v>
      </c>
      <c r="J539">
        <f>IMSUM(IMDIV("1",COMPLEX(CX2_ESR,B539*CX2_ESL-1/(B539*CX2_C))),IMDIV("1",IMSUM(COMPLEX(DUMP2_R,0),COMPLEX(DUMP2_ESR,B539*DUMP2_ESL-1/(B539*DUMP2_C)))))</f>
        <v>0</v>
      </c>
      <c r="K539">
        <f>IMPRODUCT("2",IMDIV("1",IMSUM(IMDIV("1",COMPLEX(CMC_DCR,B539*CMC_L*(1-CMC_K))),COMPLEX(0,B539*CMC_CPA))))</f>
        <v>0</v>
      </c>
      <c r="L539">
        <f>IMSUM(COMPLEX(0,B539*CMC_CLINE),IMDIV("1",IMPRODUCT("2",COMPLEX(CY_ESR,B539*CY_ESL-1/(B539*CY_C)))),COMPLEX(1/DUMMY_R,0))</f>
        <v>0</v>
      </c>
      <c r="M539">
        <f>IMSUM(D539,IMDIV("1",C539))</f>
        <v>0</v>
      </c>
      <c r="N539">
        <f>IMDIV("1",IMSUM(E539,IMDIV("1",M539)))</f>
        <v>0</v>
      </c>
      <c r="O539">
        <f>IMSUM(F539,N539)</f>
        <v>0</v>
      </c>
      <c r="P539">
        <f>IMDIV("1",IMSUM(G539,IMDIV("1",O539)))</f>
        <v>0</v>
      </c>
      <c r="Q539">
        <f>IMSUM(H539,P539)</f>
        <v>0</v>
      </c>
      <c r="R539">
        <f>IMDIV("1",IMSUM(I539,IMDIV("1",Q539)))</f>
        <v>0</v>
      </c>
      <c r="S539">
        <f>IMSUM(J539,R539)</f>
        <v>0</v>
      </c>
      <c r="T539">
        <f>IMDIV("1",IMSUM(K539,IMDIV("1",S539)))</f>
        <v>0</v>
      </c>
      <c r="U539">
        <f>IMSUM(L539,T539)</f>
        <v>0</v>
      </c>
      <c r="V539">
        <f>IMDIV(COMPLEX(I_DM_SOURCE,0),U539)</f>
        <v>0</v>
      </c>
      <c r="W539">
        <f>IMPRODUCT(V539,T539)</f>
        <v>0</v>
      </c>
      <c r="X539">
        <f>IMDIV(W539,S539)</f>
        <v>0</v>
      </c>
      <c r="Y539">
        <f>IMPRODUCT(X539,R539)</f>
        <v>0</v>
      </c>
      <c r="Z539">
        <f>IMDIV(Y539,Q539)</f>
        <v>0</v>
      </c>
      <c r="AA539">
        <f>IMPRODUCT(Z539,P539)</f>
        <v>0</v>
      </c>
      <c r="AB539">
        <f>AA539</f>
        <v>0</v>
      </c>
      <c r="AC539">
        <f>IMPRODUCT("-1",AB539)</f>
        <v>0</v>
      </c>
      <c r="AD539">
        <f>IMDIV(IMSUB(AB539,AC539),"2")</f>
        <v>0</v>
      </c>
      <c r="AE539" s="6">
        <f>IMABS(AB539)</f>
        <v>0</v>
      </c>
      <c r="AF539" s="6">
        <f>IMABS(AC539)</f>
        <v>0</v>
      </c>
      <c r="AG539" s="6">
        <f>IMABS(AD539)</f>
        <v>0</v>
      </c>
      <c r="AH539" s="7">
        <f>20*LOG10(MAX(AE539,1E-300)*1E6)</f>
        <v>0</v>
      </c>
      <c r="AI539" s="7">
        <f>20*LOG10(MAX(AF539,1E-300)*1E6)</f>
        <v>0</v>
      </c>
      <c r="AJ539" s="7">
        <f>20*LOG10(MAX(AG539,1E-300)*1E6)</f>
        <v>0</v>
      </c>
      <c r="AK539" s="7">
        <f>DEGREES(IMARGUMENT(AB539))</f>
        <v>0</v>
      </c>
      <c r="AL539" s="7">
        <f>DEGREES(IMARGUMENT(AC539))</f>
        <v>0</v>
      </c>
      <c r="AM539" s="7">
        <f>DEGREES(IMARGUMENT(AD539))</f>
        <v>0</v>
      </c>
    </row>
    <row r="540" spans="1:39">
      <c r="A540" s="6">
        <f>10^(LOG10(F_START)+(ROW()-ROW($A$2))*(LOG10(F_STOP)-LOG10(F_START))/(N_POINTS-1))</f>
        <v>0</v>
      </c>
      <c r="B540" s="6">
        <f>2*PI()*A540</f>
        <v>0</v>
      </c>
      <c r="C540">
        <f>COMPLEX(2*LINE_PS_DCR,2*B540*LINE_PS_L)</f>
        <v>0</v>
      </c>
      <c r="D540">
        <f>IMSUM(COMPLEX(0,B540*(LINE_PS_CLINE+LINE_PS_CCHA/2)),IMDIV("1",IMPRODUCT("2",COMPLEX(C_THROUGH_ESR,B540*C_THROUGH_ESL-1/(B540*C_THROUGH_C)))))</f>
        <v>0</v>
      </c>
      <c r="E540">
        <f>COMPLEX(2*LINE_INPUT_DCR,2*B540*LINE_INPUT_L)</f>
        <v>0</v>
      </c>
      <c r="F540">
        <f>COMPLEX(0,B540*(LINE_INPUT_CLINE+LINE_INPUT_CCHA/2))</f>
        <v>0</v>
      </c>
      <c r="G540">
        <f>IMPRODUCT("2",IMDIV("1",IMSUM(IMDIV("1",COMPLEX(LDM1_DCR,B540*LDM1_L)),COMPLEX(0,B540*LDM1_CPA))))</f>
        <v>0</v>
      </c>
      <c r="H540">
        <f>IMSUM(IMDIV("1",COMPLEX(CX1_ESR,B540*CX1_ESL-1/(B540*CX1_C))),IMDIV("1",IMSUM(COMPLEX(DUMP1_R,0),COMPLEX(DUMP1_ESR,B540*DUMP1_ESL-1/(B540*DUMP1_C)))))</f>
        <v>0</v>
      </c>
      <c r="I540">
        <f>IMPRODUCT("2",IMDIV("1",IMSUM(IMDIV("1",COMPLEX(LDM2_DCR,B540*LDM2_L)),COMPLEX(0,B540*LDM2_CPA))))</f>
        <v>0</v>
      </c>
      <c r="J540">
        <f>IMSUM(IMDIV("1",COMPLEX(CX2_ESR,B540*CX2_ESL-1/(B540*CX2_C))),IMDIV("1",IMSUM(COMPLEX(DUMP2_R,0),COMPLEX(DUMP2_ESR,B540*DUMP2_ESL-1/(B540*DUMP2_C)))))</f>
        <v>0</v>
      </c>
      <c r="K540">
        <f>IMPRODUCT("2",IMDIV("1",IMSUM(IMDIV("1",COMPLEX(CMC_DCR,B540*CMC_L*(1-CMC_K))),COMPLEX(0,B540*CMC_CPA))))</f>
        <v>0</v>
      </c>
      <c r="L540">
        <f>IMSUM(COMPLEX(0,B540*CMC_CLINE),IMDIV("1",IMPRODUCT("2",COMPLEX(CY_ESR,B540*CY_ESL-1/(B540*CY_C)))),COMPLEX(1/DUMMY_R,0))</f>
        <v>0</v>
      </c>
      <c r="M540">
        <f>IMSUM(D540,IMDIV("1",C540))</f>
        <v>0</v>
      </c>
      <c r="N540">
        <f>IMDIV("1",IMSUM(E540,IMDIV("1",M540)))</f>
        <v>0</v>
      </c>
      <c r="O540">
        <f>IMSUM(F540,N540)</f>
        <v>0</v>
      </c>
      <c r="P540">
        <f>IMDIV("1",IMSUM(G540,IMDIV("1",O540)))</f>
        <v>0</v>
      </c>
      <c r="Q540">
        <f>IMSUM(H540,P540)</f>
        <v>0</v>
      </c>
      <c r="R540">
        <f>IMDIV("1",IMSUM(I540,IMDIV("1",Q540)))</f>
        <v>0</v>
      </c>
      <c r="S540">
        <f>IMSUM(J540,R540)</f>
        <v>0</v>
      </c>
      <c r="T540">
        <f>IMDIV("1",IMSUM(K540,IMDIV("1",S540)))</f>
        <v>0</v>
      </c>
      <c r="U540">
        <f>IMSUM(L540,T540)</f>
        <v>0</v>
      </c>
      <c r="V540">
        <f>IMDIV(COMPLEX(I_DM_SOURCE,0),U540)</f>
        <v>0</v>
      </c>
      <c r="W540">
        <f>IMPRODUCT(V540,T540)</f>
        <v>0</v>
      </c>
      <c r="X540">
        <f>IMDIV(W540,S540)</f>
        <v>0</v>
      </c>
      <c r="Y540">
        <f>IMPRODUCT(X540,R540)</f>
        <v>0</v>
      </c>
      <c r="Z540">
        <f>IMDIV(Y540,Q540)</f>
        <v>0</v>
      </c>
      <c r="AA540">
        <f>IMPRODUCT(Z540,P540)</f>
        <v>0</v>
      </c>
      <c r="AB540">
        <f>AA540</f>
        <v>0</v>
      </c>
      <c r="AC540">
        <f>IMPRODUCT("-1",AB540)</f>
        <v>0</v>
      </c>
      <c r="AD540">
        <f>IMDIV(IMSUB(AB540,AC540),"2")</f>
        <v>0</v>
      </c>
      <c r="AE540" s="6">
        <f>IMABS(AB540)</f>
        <v>0</v>
      </c>
      <c r="AF540" s="6">
        <f>IMABS(AC540)</f>
        <v>0</v>
      </c>
      <c r="AG540" s="6">
        <f>IMABS(AD540)</f>
        <v>0</v>
      </c>
      <c r="AH540" s="7">
        <f>20*LOG10(MAX(AE540,1E-300)*1E6)</f>
        <v>0</v>
      </c>
      <c r="AI540" s="7">
        <f>20*LOG10(MAX(AF540,1E-300)*1E6)</f>
        <v>0</v>
      </c>
      <c r="AJ540" s="7">
        <f>20*LOG10(MAX(AG540,1E-300)*1E6)</f>
        <v>0</v>
      </c>
      <c r="AK540" s="7">
        <f>DEGREES(IMARGUMENT(AB540))</f>
        <v>0</v>
      </c>
      <c r="AL540" s="7">
        <f>DEGREES(IMARGUMENT(AC540))</f>
        <v>0</v>
      </c>
      <c r="AM540" s="7">
        <f>DEGREES(IMARGUMENT(AD540))</f>
        <v>0</v>
      </c>
    </row>
    <row r="541" spans="1:39">
      <c r="A541" s="6">
        <f>10^(LOG10(F_START)+(ROW()-ROW($A$2))*(LOG10(F_STOP)-LOG10(F_START))/(N_POINTS-1))</f>
        <v>0</v>
      </c>
      <c r="B541" s="6">
        <f>2*PI()*A541</f>
        <v>0</v>
      </c>
      <c r="C541">
        <f>COMPLEX(2*LINE_PS_DCR,2*B541*LINE_PS_L)</f>
        <v>0</v>
      </c>
      <c r="D541">
        <f>IMSUM(COMPLEX(0,B541*(LINE_PS_CLINE+LINE_PS_CCHA/2)),IMDIV("1",IMPRODUCT("2",COMPLEX(C_THROUGH_ESR,B541*C_THROUGH_ESL-1/(B541*C_THROUGH_C)))))</f>
        <v>0</v>
      </c>
      <c r="E541">
        <f>COMPLEX(2*LINE_INPUT_DCR,2*B541*LINE_INPUT_L)</f>
        <v>0</v>
      </c>
      <c r="F541">
        <f>COMPLEX(0,B541*(LINE_INPUT_CLINE+LINE_INPUT_CCHA/2))</f>
        <v>0</v>
      </c>
      <c r="G541">
        <f>IMPRODUCT("2",IMDIV("1",IMSUM(IMDIV("1",COMPLEX(LDM1_DCR,B541*LDM1_L)),COMPLEX(0,B541*LDM1_CPA))))</f>
        <v>0</v>
      </c>
      <c r="H541">
        <f>IMSUM(IMDIV("1",COMPLEX(CX1_ESR,B541*CX1_ESL-1/(B541*CX1_C))),IMDIV("1",IMSUM(COMPLEX(DUMP1_R,0),COMPLEX(DUMP1_ESR,B541*DUMP1_ESL-1/(B541*DUMP1_C)))))</f>
        <v>0</v>
      </c>
      <c r="I541">
        <f>IMPRODUCT("2",IMDIV("1",IMSUM(IMDIV("1",COMPLEX(LDM2_DCR,B541*LDM2_L)),COMPLEX(0,B541*LDM2_CPA))))</f>
        <v>0</v>
      </c>
      <c r="J541">
        <f>IMSUM(IMDIV("1",COMPLEX(CX2_ESR,B541*CX2_ESL-1/(B541*CX2_C))),IMDIV("1",IMSUM(COMPLEX(DUMP2_R,0),COMPLEX(DUMP2_ESR,B541*DUMP2_ESL-1/(B541*DUMP2_C)))))</f>
        <v>0</v>
      </c>
      <c r="K541">
        <f>IMPRODUCT("2",IMDIV("1",IMSUM(IMDIV("1",COMPLEX(CMC_DCR,B541*CMC_L*(1-CMC_K))),COMPLEX(0,B541*CMC_CPA))))</f>
        <v>0</v>
      </c>
      <c r="L541">
        <f>IMSUM(COMPLEX(0,B541*CMC_CLINE),IMDIV("1",IMPRODUCT("2",COMPLEX(CY_ESR,B541*CY_ESL-1/(B541*CY_C)))),COMPLEX(1/DUMMY_R,0))</f>
        <v>0</v>
      </c>
      <c r="M541">
        <f>IMSUM(D541,IMDIV("1",C541))</f>
        <v>0</v>
      </c>
      <c r="N541">
        <f>IMDIV("1",IMSUM(E541,IMDIV("1",M541)))</f>
        <v>0</v>
      </c>
      <c r="O541">
        <f>IMSUM(F541,N541)</f>
        <v>0</v>
      </c>
      <c r="P541">
        <f>IMDIV("1",IMSUM(G541,IMDIV("1",O541)))</f>
        <v>0</v>
      </c>
      <c r="Q541">
        <f>IMSUM(H541,P541)</f>
        <v>0</v>
      </c>
      <c r="R541">
        <f>IMDIV("1",IMSUM(I541,IMDIV("1",Q541)))</f>
        <v>0</v>
      </c>
      <c r="S541">
        <f>IMSUM(J541,R541)</f>
        <v>0</v>
      </c>
      <c r="T541">
        <f>IMDIV("1",IMSUM(K541,IMDIV("1",S541)))</f>
        <v>0</v>
      </c>
      <c r="U541">
        <f>IMSUM(L541,T541)</f>
        <v>0</v>
      </c>
      <c r="V541">
        <f>IMDIV(COMPLEX(I_DM_SOURCE,0),U541)</f>
        <v>0</v>
      </c>
      <c r="W541">
        <f>IMPRODUCT(V541,T541)</f>
        <v>0</v>
      </c>
      <c r="X541">
        <f>IMDIV(W541,S541)</f>
        <v>0</v>
      </c>
      <c r="Y541">
        <f>IMPRODUCT(X541,R541)</f>
        <v>0</v>
      </c>
      <c r="Z541">
        <f>IMDIV(Y541,Q541)</f>
        <v>0</v>
      </c>
      <c r="AA541">
        <f>IMPRODUCT(Z541,P541)</f>
        <v>0</v>
      </c>
      <c r="AB541">
        <f>AA541</f>
        <v>0</v>
      </c>
      <c r="AC541">
        <f>IMPRODUCT("-1",AB541)</f>
        <v>0</v>
      </c>
      <c r="AD541">
        <f>IMDIV(IMSUB(AB541,AC541),"2")</f>
        <v>0</v>
      </c>
      <c r="AE541" s="6">
        <f>IMABS(AB541)</f>
        <v>0</v>
      </c>
      <c r="AF541" s="6">
        <f>IMABS(AC541)</f>
        <v>0</v>
      </c>
      <c r="AG541" s="6">
        <f>IMABS(AD541)</f>
        <v>0</v>
      </c>
      <c r="AH541" s="7">
        <f>20*LOG10(MAX(AE541,1E-300)*1E6)</f>
        <v>0</v>
      </c>
      <c r="AI541" s="7">
        <f>20*LOG10(MAX(AF541,1E-300)*1E6)</f>
        <v>0</v>
      </c>
      <c r="AJ541" s="7">
        <f>20*LOG10(MAX(AG541,1E-300)*1E6)</f>
        <v>0</v>
      </c>
      <c r="AK541" s="7">
        <f>DEGREES(IMARGUMENT(AB541))</f>
        <v>0</v>
      </c>
      <c r="AL541" s="7">
        <f>DEGREES(IMARGUMENT(AC541))</f>
        <v>0</v>
      </c>
      <c r="AM541" s="7">
        <f>DEGREES(IMARGUMENT(AD541))</f>
        <v>0</v>
      </c>
    </row>
    <row r="542" spans="1:39">
      <c r="A542" s="6">
        <f>10^(LOG10(F_START)+(ROW()-ROW($A$2))*(LOG10(F_STOP)-LOG10(F_START))/(N_POINTS-1))</f>
        <v>0</v>
      </c>
      <c r="B542" s="6">
        <f>2*PI()*A542</f>
        <v>0</v>
      </c>
      <c r="C542">
        <f>COMPLEX(2*LINE_PS_DCR,2*B542*LINE_PS_L)</f>
        <v>0</v>
      </c>
      <c r="D542">
        <f>IMSUM(COMPLEX(0,B542*(LINE_PS_CLINE+LINE_PS_CCHA/2)),IMDIV("1",IMPRODUCT("2",COMPLEX(C_THROUGH_ESR,B542*C_THROUGH_ESL-1/(B542*C_THROUGH_C)))))</f>
        <v>0</v>
      </c>
      <c r="E542">
        <f>COMPLEX(2*LINE_INPUT_DCR,2*B542*LINE_INPUT_L)</f>
        <v>0</v>
      </c>
      <c r="F542">
        <f>COMPLEX(0,B542*(LINE_INPUT_CLINE+LINE_INPUT_CCHA/2))</f>
        <v>0</v>
      </c>
      <c r="G542">
        <f>IMPRODUCT("2",IMDIV("1",IMSUM(IMDIV("1",COMPLEX(LDM1_DCR,B542*LDM1_L)),COMPLEX(0,B542*LDM1_CPA))))</f>
        <v>0</v>
      </c>
      <c r="H542">
        <f>IMSUM(IMDIV("1",COMPLEX(CX1_ESR,B542*CX1_ESL-1/(B542*CX1_C))),IMDIV("1",IMSUM(COMPLEX(DUMP1_R,0),COMPLEX(DUMP1_ESR,B542*DUMP1_ESL-1/(B542*DUMP1_C)))))</f>
        <v>0</v>
      </c>
      <c r="I542">
        <f>IMPRODUCT("2",IMDIV("1",IMSUM(IMDIV("1",COMPLEX(LDM2_DCR,B542*LDM2_L)),COMPLEX(0,B542*LDM2_CPA))))</f>
        <v>0</v>
      </c>
      <c r="J542">
        <f>IMSUM(IMDIV("1",COMPLEX(CX2_ESR,B542*CX2_ESL-1/(B542*CX2_C))),IMDIV("1",IMSUM(COMPLEX(DUMP2_R,0),COMPLEX(DUMP2_ESR,B542*DUMP2_ESL-1/(B542*DUMP2_C)))))</f>
        <v>0</v>
      </c>
      <c r="K542">
        <f>IMPRODUCT("2",IMDIV("1",IMSUM(IMDIV("1",COMPLEX(CMC_DCR,B542*CMC_L*(1-CMC_K))),COMPLEX(0,B542*CMC_CPA))))</f>
        <v>0</v>
      </c>
      <c r="L542">
        <f>IMSUM(COMPLEX(0,B542*CMC_CLINE),IMDIV("1",IMPRODUCT("2",COMPLEX(CY_ESR,B542*CY_ESL-1/(B542*CY_C)))),COMPLEX(1/DUMMY_R,0))</f>
        <v>0</v>
      </c>
      <c r="M542">
        <f>IMSUM(D542,IMDIV("1",C542))</f>
        <v>0</v>
      </c>
      <c r="N542">
        <f>IMDIV("1",IMSUM(E542,IMDIV("1",M542)))</f>
        <v>0</v>
      </c>
      <c r="O542">
        <f>IMSUM(F542,N542)</f>
        <v>0</v>
      </c>
      <c r="P542">
        <f>IMDIV("1",IMSUM(G542,IMDIV("1",O542)))</f>
        <v>0</v>
      </c>
      <c r="Q542">
        <f>IMSUM(H542,P542)</f>
        <v>0</v>
      </c>
      <c r="R542">
        <f>IMDIV("1",IMSUM(I542,IMDIV("1",Q542)))</f>
        <v>0</v>
      </c>
      <c r="S542">
        <f>IMSUM(J542,R542)</f>
        <v>0</v>
      </c>
      <c r="T542">
        <f>IMDIV("1",IMSUM(K542,IMDIV("1",S542)))</f>
        <v>0</v>
      </c>
      <c r="U542">
        <f>IMSUM(L542,T542)</f>
        <v>0</v>
      </c>
      <c r="V542">
        <f>IMDIV(COMPLEX(I_DM_SOURCE,0),U542)</f>
        <v>0</v>
      </c>
      <c r="W542">
        <f>IMPRODUCT(V542,T542)</f>
        <v>0</v>
      </c>
      <c r="X542">
        <f>IMDIV(W542,S542)</f>
        <v>0</v>
      </c>
      <c r="Y542">
        <f>IMPRODUCT(X542,R542)</f>
        <v>0</v>
      </c>
      <c r="Z542">
        <f>IMDIV(Y542,Q542)</f>
        <v>0</v>
      </c>
      <c r="AA542">
        <f>IMPRODUCT(Z542,P542)</f>
        <v>0</v>
      </c>
      <c r="AB542">
        <f>AA542</f>
        <v>0</v>
      </c>
      <c r="AC542">
        <f>IMPRODUCT("-1",AB542)</f>
        <v>0</v>
      </c>
      <c r="AD542">
        <f>IMDIV(IMSUB(AB542,AC542),"2")</f>
        <v>0</v>
      </c>
      <c r="AE542" s="6">
        <f>IMABS(AB542)</f>
        <v>0</v>
      </c>
      <c r="AF542" s="6">
        <f>IMABS(AC542)</f>
        <v>0</v>
      </c>
      <c r="AG542" s="6">
        <f>IMABS(AD542)</f>
        <v>0</v>
      </c>
      <c r="AH542" s="7">
        <f>20*LOG10(MAX(AE542,1E-300)*1E6)</f>
        <v>0</v>
      </c>
      <c r="AI542" s="7">
        <f>20*LOG10(MAX(AF542,1E-300)*1E6)</f>
        <v>0</v>
      </c>
      <c r="AJ542" s="7">
        <f>20*LOG10(MAX(AG542,1E-300)*1E6)</f>
        <v>0</v>
      </c>
      <c r="AK542" s="7">
        <f>DEGREES(IMARGUMENT(AB542))</f>
        <v>0</v>
      </c>
      <c r="AL542" s="7">
        <f>DEGREES(IMARGUMENT(AC542))</f>
        <v>0</v>
      </c>
      <c r="AM542" s="7">
        <f>DEGREES(IMARGUMENT(AD542))</f>
        <v>0</v>
      </c>
    </row>
    <row r="543" spans="1:39">
      <c r="A543" s="6">
        <f>10^(LOG10(F_START)+(ROW()-ROW($A$2))*(LOG10(F_STOP)-LOG10(F_START))/(N_POINTS-1))</f>
        <v>0</v>
      </c>
      <c r="B543" s="6">
        <f>2*PI()*A543</f>
        <v>0</v>
      </c>
      <c r="C543">
        <f>COMPLEX(2*LINE_PS_DCR,2*B543*LINE_PS_L)</f>
        <v>0</v>
      </c>
      <c r="D543">
        <f>IMSUM(COMPLEX(0,B543*(LINE_PS_CLINE+LINE_PS_CCHA/2)),IMDIV("1",IMPRODUCT("2",COMPLEX(C_THROUGH_ESR,B543*C_THROUGH_ESL-1/(B543*C_THROUGH_C)))))</f>
        <v>0</v>
      </c>
      <c r="E543">
        <f>COMPLEX(2*LINE_INPUT_DCR,2*B543*LINE_INPUT_L)</f>
        <v>0</v>
      </c>
      <c r="F543">
        <f>COMPLEX(0,B543*(LINE_INPUT_CLINE+LINE_INPUT_CCHA/2))</f>
        <v>0</v>
      </c>
      <c r="G543">
        <f>IMPRODUCT("2",IMDIV("1",IMSUM(IMDIV("1",COMPLEX(LDM1_DCR,B543*LDM1_L)),COMPLEX(0,B543*LDM1_CPA))))</f>
        <v>0</v>
      </c>
      <c r="H543">
        <f>IMSUM(IMDIV("1",COMPLEX(CX1_ESR,B543*CX1_ESL-1/(B543*CX1_C))),IMDIV("1",IMSUM(COMPLEX(DUMP1_R,0),COMPLEX(DUMP1_ESR,B543*DUMP1_ESL-1/(B543*DUMP1_C)))))</f>
        <v>0</v>
      </c>
      <c r="I543">
        <f>IMPRODUCT("2",IMDIV("1",IMSUM(IMDIV("1",COMPLEX(LDM2_DCR,B543*LDM2_L)),COMPLEX(0,B543*LDM2_CPA))))</f>
        <v>0</v>
      </c>
      <c r="J543">
        <f>IMSUM(IMDIV("1",COMPLEX(CX2_ESR,B543*CX2_ESL-1/(B543*CX2_C))),IMDIV("1",IMSUM(COMPLEX(DUMP2_R,0),COMPLEX(DUMP2_ESR,B543*DUMP2_ESL-1/(B543*DUMP2_C)))))</f>
        <v>0</v>
      </c>
      <c r="K543">
        <f>IMPRODUCT("2",IMDIV("1",IMSUM(IMDIV("1",COMPLEX(CMC_DCR,B543*CMC_L*(1-CMC_K))),COMPLEX(0,B543*CMC_CPA))))</f>
        <v>0</v>
      </c>
      <c r="L543">
        <f>IMSUM(COMPLEX(0,B543*CMC_CLINE),IMDIV("1",IMPRODUCT("2",COMPLEX(CY_ESR,B543*CY_ESL-1/(B543*CY_C)))),COMPLEX(1/DUMMY_R,0))</f>
        <v>0</v>
      </c>
      <c r="M543">
        <f>IMSUM(D543,IMDIV("1",C543))</f>
        <v>0</v>
      </c>
      <c r="N543">
        <f>IMDIV("1",IMSUM(E543,IMDIV("1",M543)))</f>
        <v>0</v>
      </c>
      <c r="O543">
        <f>IMSUM(F543,N543)</f>
        <v>0</v>
      </c>
      <c r="P543">
        <f>IMDIV("1",IMSUM(G543,IMDIV("1",O543)))</f>
        <v>0</v>
      </c>
      <c r="Q543">
        <f>IMSUM(H543,P543)</f>
        <v>0</v>
      </c>
      <c r="R543">
        <f>IMDIV("1",IMSUM(I543,IMDIV("1",Q543)))</f>
        <v>0</v>
      </c>
      <c r="S543">
        <f>IMSUM(J543,R543)</f>
        <v>0</v>
      </c>
      <c r="T543">
        <f>IMDIV("1",IMSUM(K543,IMDIV("1",S543)))</f>
        <v>0</v>
      </c>
      <c r="U543">
        <f>IMSUM(L543,T543)</f>
        <v>0</v>
      </c>
      <c r="V543">
        <f>IMDIV(COMPLEX(I_DM_SOURCE,0),U543)</f>
        <v>0</v>
      </c>
      <c r="W543">
        <f>IMPRODUCT(V543,T543)</f>
        <v>0</v>
      </c>
      <c r="X543">
        <f>IMDIV(W543,S543)</f>
        <v>0</v>
      </c>
      <c r="Y543">
        <f>IMPRODUCT(X543,R543)</f>
        <v>0</v>
      </c>
      <c r="Z543">
        <f>IMDIV(Y543,Q543)</f>
        <v>0</v>
      </c>
      <c r="AA543">
        <f>IMPRODUCT(Z543,P543)</f>
        <v>0</v>
      </c>
      <c r="AB543">
        <f>AA543</f>
        <v>0</v>
      </c>
      <c r="AC543">
        <f>IMPRODUCT("-1",AB543)</f>
        <v>0</v>
      </c>
      <c r="AD543">
        <f>IMDIV(IMSUB(AB543,AC543),"2")</f>
        <v>0</v>
      </c>
      <c r="AE543" s="6">
        <f>IMABS(AB543)</f>
        <v>0</v>
      </c>
      <c r="AF543" s="6">
        <f>IMABS(AC543)</f>
        <v>0</v>
      </c>
      <c r="AG543" s="6">
        <f>IMABS(AD543)</f>
        <v>0</v>
      </c>
      <c r="AH543" s="7">
        <f>20*LOG10(MAX(AE543,1E-300)*1E6)</f>
        <v>0</v>
      </c>
      <c r="AI543" s="7">
        <f>20*LOG10(MAX(AF543,1E-300)*1E6)</f>
        <v>0</v>
      </c>
      <c r="AJ543" s="7">
        <f>20*LOG10(MAX(AG543,1E-300)*1E6)</f>
        <v>0</v>
      </c>
      <c r="AK543" s="7">
        <f>DEGREES(IMARGUMENT(AB543))</f>
        <v>0</v>
      </c>
      <c r="AL543" s="7">
        <f>DEGREES(IMARGUMENT(AC543))</f>
        <v>0</v>
      </c>
      <c r="AM543" s="7">
        <f>DEGREES(IMARGUMENT(AD543))</f>
        <v>0</v>
      </c>
    </row>
    <row r="544" spans="1:39">
      <c r="A544" s="6">
        <f>10^(LOG10(F_START)+(ROW()-ROW($A$2))*(LOG10(F_STOP)-LOG10(F_START))/(N_POINTS-1))</f>
        <v>0</v>
      </c>
      <c r="B544" s="6">
        <f>2*PI()*A544</f>
        <v>0</v>
      </c>
      <c r="C544">
        <f>COMPLEX(2*LINE_PS_DCR,2*B544*LINE_PS_L)</f>
        <v>0</v>
      </c>
      <c r="D544">
        <f>IMSUM(COMPLEX(0,B544*(LINE_PS_CLINE+LINE_PS_CCHA/2)),IMDIV("1",IMPRODUCT("2",COMPLEX(C_THROUGH_ESR,B544*C_THROUGH_ESL-1/(B544*C_THROUGH_C)))))</f>
        <v>0</v>
      </c>
      <c r="E544">
        <f>COMPLEX(2*LINE_INPUT_DCR,2*B544*LINE_INPUT_L)</f>
        <v>0</v>
      </c>
      <c r="F544">
        <f>COMPLEX(0,B544*(LINE_INPUT_CLINE+LINE_INPUT_CCHA/2))</f>
        <v>0</v>
      </c>
      <c r="G544">
        <f>IMPRODUCT("2",IMDIV("1",IMSUM(IMDIV("1",COMPLEX(LDM1_DCR,B544*LDM1_L)),COMPLEX(0,B544*LDM1_CPA))))</f>
        <v>0</v>
      </c>
      <c r="H544">
        <f>IMSUM(IMDIV("1",COMPLEX(CX1_ESR,B544*CX1_ESL-1/(B544*CX1_C))),IMDIV("1",IMSUM(COMPLEX(DUMP1_R,0),COMPLEX(DUMP1_ESR,B544*DUMP1_ESL-1/(B544*DUMP1_C)))))</f>
        <v>0</v>
      </c>
      <c r="I544">
        <f>IMPRODUCT("2",IMDIV("1",IMSUM(IMDIV("1",COMPLEX(LDM2_DCR,B544*LDM2_L)),COMPLEX(0,B544*LDM2_CPA))))</f>
        <v>0</v>
      </c>
      <c r="J544">
        <f>IMSUM(IMDIV("1",COMPLEX(CX2_ESR,B544*CX2_ESL-1/(B544*CX2_C))),IMDIV("1",IMSUM(COMPLEX(DUMP2_R,0),COMPLEX(DUMP2_ESR,B544*DUMP2_ESL-1/(B544*DUMP2_C)))))</f>
        <v>0</v>
      </c>
      <c r="K544">
        <f>IMPRODUCT("2",IMDIV("1",IMSUM(IMDIV("1",COMPLEX(CMC_DCR,B544*CMC_L*(1-CMC_K))),COMPLEX(0,B544*CMC_CPA))))</f>
        <v>0</v>
      </c>
      <c r="L544">
        <f>IMSUM(COMPLEX(0,B544*CMC_CLINE),IMDIV("1",IMPRODUCT("2",COMPLEX(CY_ESR,B544*CY_ESL-1/(B544*CY_C)))),COMPLEX(1/DUMMY_R,0))</f>
        <v>0</v>
      </c>
      <c r="M544">
        <f>IMSUM(D544,IMDIV("1",C544))</f>
        <v>0</v>
      </c>
      <c r="N544">
        <f>IMDIV("1",IMSUM(E544,IMDIV("1",M544)))</f>
        <v>0</v>
      </c>
      <c r="O544">
        <f>IMSUM(F544,N544)</f>
        <v>0</v>
      </c>
      <c r="P544">
        <f>IMDIV("1",IMSUM(G544,IMDIV("1",O544)))</f>
        <v>0</v>
      </c>
      <c r="Q544">
        <f>IMSUM(H544,P544)</f>
        <v>0</v>
      </c>
      <c r="R544">
        <f>IMDIV("1",IMSUM(I544,IMDIV("1",Q544)))</f>
        <v>0</v>
      </c>
      <c r="S544">
        <f>IMSUM(J544,R544)</f>
        <v>0</v>
      </c>
      <c r="T544">
        <f>IMDIV("1",IMSUM(K544,IMDIV("1",S544)))</f>
        <v>0</v>
      </c>
      <c r="U544">
        <f>IMSUM(L544,T544)</f>
        <v>0</v>
      </c>
      <c r="V544">
        <f>IMDIV(COMPLEX(I_DM_SOURCE,0),U544)</f>
        <v>0</v>
      </c>
      <c r="W544">
        <f>IMPRODUCT(V544,T544)</f>
        <v>0</v>
      </c>
      <c r="X544">
        <f>IMDIV(W544,S544)</f>
        <v>0</v>
      </c>
      <c r="Y544">
        <f>IMPRODUCT(X544,R544)</f>
        <v>0</v>
      </c>
      <c r="Z544">
        <f>IMDIV(Y544,Q544)</f>
        <v>0</v>
      </c>
      <c r="AA544">
        <f>IMPRODUCT(Z544,P544)</f>
        <v>0</v>
      </c>
      <c r="AB544">
        <f>AA544</f>
        <v>0</v>
      </c>
      <c r="AC544">
        <f>IMPRODUCT("-1",AB544)</f>
        <v>0</v>
      </c>
      <c r="AD544">
        <f>IMDIV(IMSUB(AB544,AC544),"2")</f>
        <v>0</v>
      </c>
      <c r="AE544" s="6">
        <f>IMABS(AB544)</f>
        <v>0</v>
      </c>
      <c r="AF544" s="6">
        <f>IMABS(AC544)</f>
        <v>0</v>
      </c>
      <c r="AG544" s="6">
        <f>IMABS(AD544)</f>
        <v>0</v>
      </c>
      <c r="AH544" s="7">
        <f>20*LOG10(MAX(AE544,1E-300)*1E6)</f>
        <v>0</v>
      </c>
      <c r="AI544" s="7">
        <f>20*LOG10(MAX(AF544,1E-300)*1E6)</f>
        <v>0</v>
      </c>
      <c r="AJ544" s="7">
        <f>20*LOG10(MAX(AG544,1E-300)*1E6)</f>
        <v>0</v>
      </c>
      <c r="AK544" s="7">
        <f>DEGREES(IMARGUMENT(AB544))</f>
        <v>0</v>
      </c>
      <c r="AL544" s="7">
        <f>DEGREES(IMARGUMENT(AC544))</f>
        <v>0</v>
      </c>
      <c r="AM544" s="7">
        <f>DEGREES(IMARGUMENT(AD544))</f>
        <v>0</v>
      </c>
    </row>
    <row r="545" spans="1:39">
      <c r="A545" s="6">
        <f>10^(LOG10(F_START)+(ROW()-ROW($A$2))*(LOG10(F_STOP)-LOG10(F_START))/(N_POINTS-1))</f>
        <v>0</v>
      </c>
      <c r="B545" s="6">
        <f>2*PI()*A545</f>
        <v>0</v>
      </c>
      <c r="C545">
        <f>COMPLEX(2*LINE_PS_DCR,2*B545*LINE_PS_L)</f>
        <v>0</v>
      </c>
      <c r="D545">
        <f>IMSUM(COMPLEX(0,B545*(LINE_PS_CLINE+LINE_PS_CCHA/2)),IMDIV("1",IMPRODUCT("2",COMPLEX(C_THROUGH_ESR,B545*C_THROUGH_ESL-1/(B545*C_THROUGH_C)))))</f>
        <v>0</v>
      </c>
      <c r="E545">
        <f>COMPLEX(2*LINE_INPUT_DCR,2*B545*LINE_INPUT_L)</f>
        <v>0</v>
      </c>
      <c r="F545">
        <f>COMPLEX(0,B545*(LINE_INPUT_CLINE+LINE_INPUT_CCHA/2))</f>
        <v>0</v>
      </c>
      <c r="G545">
        <f>IMPRODUCT("2",IMDIV("1",IMSUM(IMDIV("1",COMPLEX(LDM1_DCR,B545*LDM1_L)),COMPLEX(0,B545*LDM1_CPA))))</f>
        <v>0</v>
      </c>
      <c r="H545">
        <f>IMSUM(IMDIV("1",COMPLEX(CX1_ESR,B545*CX1_ESL-1/(B545*CX1_C))),IMDIV("1",IMSUM(COMPLEX(DUMP1_R,0),COMPLEX(DUMP1_ESR,B545*DUMP1_ESL-1/(B545*DUMP1_C)))))</f>
        <v>0</v>
      </c>
      <c r="I545">
        <f>IMPRODUCT("2",IMDIV("1",IMSUM(IMDIV("1",COMPLEX(LDM2_DCR,B545*LDM2_L)),COMPLEX(0,B545*LDM2_CPA))))</f>
        <v>0</v>
      </c>
      <c r="J545">
        <f>IMSUM(IMDIV("1",COMPLEX(CX2_ESR,B545*CX2_ESL-1/(B545*CX2_C))),IMDIV("1",IMSUM(COMPLEX(DUMP2_R,0),COMPLEX(DUMP2_ESR,B545*DUMP2_ESL-1/(B545*DUMP2_C)))))</f>
        <v>0</v>
      </c>
      <c r="K545">
        <f>IMPRODUCT("2",IMDIV("1",IMSUM(IMDIV("1",COMPLEX(CMC_DCR,B545*CMC_L*(1-CMC_K))),COMPLEX(0,B545*CMC_CPA))))</f>
        <v>0</v>
      </c>
      <c r="L545">
        <f>IMSUM(COMPLEX(0,B545*CMC_CLINE),IMDIV("1",IMPRODUCT("2",COMPLEX(CY_ESR,B545*CY_ESL-1/(B545*CY_C)))),COMPLEX(1/DUMMY_R,0))</f>
        <v>0</v>
      </c>
      <c r="M545">
        <f>IMSUM(D545,IMDIV("1",C545))</f>
        <v>0</v>
      </c>
      <c r="N545">
        <f>IMDIV("1",IMSUM(E545,IMDIV("1",M545)))</f>
        <v>0</v>
      </c>
      <c r="O545">
        <f>IMSUM(F545,N545)</f>
        <v>0</v>
      </c>
      <c r="P545">
        <f>IMDIV("1",IMSUM(G545,IMDIV("1",O545)))</f>
        <v>0</v>
      </c>
      <c r="Q545">
        <f>IMSUM(H545,P545)</f>
        <v>0</v>
      </c>
      <c r="R545">
        <f>IMDIV("1",IMSUM(I545,IMDIV("1",Q545)))</f>
        <v>0</v>
      </c>
      <c r="S545">
        <f>IMSUM(J545,R545)</f>
        <v>0</v>
      </c>
      <c r="T545">
        <f>IMDIV("1",IMSUM(K545,IMDIV("1",S545)))</f>
        <v>0</v>
      </c>
      <c r="U545">
        <f>IMSUM(L545,T545)</f>
        <v>0</v>
      </c>
      <c r="V545">
        <f>IMDIV(COMPLEX(I_DM_SOURCE,0),U545)</f>
        <v>0</v>
      </c>
      <c r="W545">
        <f>IMPRODUCT(V545,T545)</f>
        <v>0</v>
      </c>
      <c r="X545">
        <f>IMDIV(W545,S545)</f>
        <v>0</v>
      </c>
      <c r="Y545">
        <f>IMPRODUCT(X545,R545)</f>
        <v>0</v>
      </c>
      <c r="Z545">
        <f>IMDIV(Y545,Q545)</f>
        <v>0</v>
      </c>
      <c r="AA545">
        <f>IMPRODUCT(Z545,P545)</f>
        <v>0</v>
      </c>
      <c r="AB545">
        <f>AA545</f>
        <v>0</v>
      </c>
      <c r="AC545">
        <f>IMPRODUCT("-1",AB545)</f>
        <v>0</v>
      </c>
      <c r="AD545">
        <f>IMDIV(IMSUB(AB545,AC545),"2")</f>
        <v>0</v>
      </c>
      <c r="AE545" s="6">
        <f>IMABS(AB545)</f>
        <v>0</v>
      </c>
      <c r="AF545" s="6">
        <f>IMABS(AC545)</f>
        <v>0</v>
      </c>
      <c r="AG545" s="6">
        <f>IMABS(AD545)</f>
        <v>0</v>
      </c>
      <c r="AH545" s="7">
        <f>20*LOG10(MAX(AE545,1E-300)*1E6)</f>
        <v>0</v>
      </c>
      <c r="AI545" s="7">
        <f>20*LOG10(MAX(AF545,1E-300)*1E6)</f>
        <v>0</v>
      </c>
      <c r="AJ545" s="7">
        <f>20*LOG10(MAX(AG545,1E-300)*1E6)</f>
        <v>0</v>
      </c>
      <c r="AK545" s="7">
        <f>DEGREES(IMARGUMENT(AB545))</f>
        <v>0</v>
      </c>
      <c r="AL545" s="7">
        <f>DEGREES(IMARGUMENT(AC545))</f>
        <v>0</v>
      </c>
      <c r="AM545" s="7">
        <f>DEGREES(IMARGUMENT(AD545))</f>
        <v>0</v>
      </c>
    </row>
    <row r="546" spans="1:39">
      <c r="A546" s="6">
        <f>10^(LOG10(F_START)+(ROW()-ROW($A$2))*(LOG10(F_STOP)-LOG10(F_START))/(N_POINTS-1))</f>
        <v>0</v>
      </c>
      <c r="B546" s="6">
        <f>2*PI()*A546</f>
        <v>0</v>
      </c>
      <c r="C546">
        <f>COMPLEX(2*LINE_PS_DCR,2*B546*LINE_PS_L)</f>
        <v>0</v>
      </c>
      <c r="D546">
        <f>IMSUM(COMPLEX(0,B546*(LINE_PS_CLINE+LINE_PS_CCHA/2)),IMDIV("1",IMPRODUCT("2",COMPLEX(C_THROUGH_ESR,B546*C_THROUGH_ESL-1/(B546*C_THROUGH_C)))))</f>
        <v>0</v>
      </c>
      <c r="E546">
        <f>COMPLEX(2*LINE_INPUT_DCR,2*B546*LINE_INPUT_L)</f>
        <v>0</v>
      </c>
      <c r="F546">
        <f>COMPLEX(0,B546*(LINE_INPUT_CLINE+LINE_INPUT_CCHA/2))</f>
        <v>0</v>
      </c>
      <c r="G546">
        <f>IMPRODUCT("2",IMDIV("1",IMSUM(IMDIV("1",COMPLEX(LDM1_DCR,B546*LDM1_L)),COMPLEX(0,B546*LDM1_CPA))))</f>
        <v>0</v>
      </c>
      <c r="H546">
        <f>IMSUM(IMDIV("1",COMPLEX(CX1_ESR,B546*CX1_ESL-1/(B546*CX1_C))),IMDIV("1",IMSUM(COMPLEX(DUMP1_R,0),COMPLEX(DUMP1_ESR,B546*DUMP1_ESL-1/(B546*DUMP1_C)))))</f>
        <v>0</v>
      </c>
      <c r="I546">
        <f>IMPRODUCT("2",IMDIV("1",IMSUM(IMDIV("1",COMPLEX(LDM2_DCR,B546*LDM2_L)),COMPLEX(0,B546*LDM2_CPA))))</f>
        <v>0</v>
      </c>
      <c r="J546">
        <f>IMSUM(IMDIV("1",COMPLEX(CX2_ESR,B546*CX2_ESL-1/(B546*CX2_C))),IMDIV("1",IMSUM(COMPLEX(DUMP2_R,0),COMPLEX(DUMP2_ESR,B546*DUMP2_ESL-1/(B546*DUMP2_C)))))</f>
        <v>0</v>
      </c>
      <c r="K546">
        <f>IMPRODUCT("2",IMDIV("1",IMSUM(IMDIV("1",COMPLEX(CMC_DCR,B546*CMC_L*(1-CMC_K))),COMPLEX(0,B546*CMC_CPA))))</f>
        <v>0</v>
      </c>
      <c r="L546">
        <f>IMSUM(COMPLEX(0,B546*CMC_CLINE),IMDIV("1",IMPRODUCT("2",COMPLEX(CY_ESR,B546*CY_ESL-1/(B546*CY_C)))),COMPLEX(1/DUMMY_R,0))</f>
        <v>0</v>
      </c>
      <c r="M546">
        <f>IMSUM(D546,IMDIV("1",C546))</f>
        <v>0</v>
      </c>
      <c r="N546">
        <f>IMDIV("1",IMSUM(E546,IMDIV("1",M546)))</f>
        <v>0</v>
      </c>
      <c r="O546">
        <f>IMSUM(F546,N546)</f>
        <v>0</v>
      </c>
      <c r="P546">
        <f>IMDIV("1",IMSUM(G546,IMDIV("1",O546)))</f>
        <v>0</v>
      </c>
      <c r="Q546">
        <f>IMSUM(H546,P546)</f>
        <v>0</v>
      </c>
      <c r="R546">
        <f>IMDIV("1",IMSUM(I546,IMDIV("1",Q546)))</f>
        <v>0</v>
      </c>
      <c r="S546">
        <f>IMSUM(J546,R546)</f>
        <v>0</v>
      </c>
      <c r="T546">
        <f>IMDIV("1",IMSUM(K546,IMDIV("1",S546)))</f>
        <v>0</v>
      </c>
      <c r="U546">
        <f>IMSUM(L546,T546)</f>
        <v>0</v>
      </c>
      <c r="V546">
        <f>IMDIV(COMPLEX(I_DM_SOURCE,0),U546)</f>
        <v>0</v>
      </c>
      <c r="W546">
        <f>IMPRODUCT(V546,T546)</f>
        <v>0</v>
      </c>
      <c r="X546">
        <f>IMDIV(W546,S546)</f>
        <v>0</v>
      </c>
      <c r="Y546">
        <f>IMPRODUCT(X546,R546)</f>
        <v>0</v>
      </c>
      <c r="Z546">
        <f>IMDIV(Y546,Q546)</f>
        <v>0</v>
      </c>
      <c r="AA546">
        <f>IMPRODUCT(Z546,P546)</f>
        <v>0</v>
      </c>
      <c r="AB546">
        <f>AA546</f>
        <v>0</v>
      </c>
      <c r="AC546">
        <f>IMPRODUCT("-1",AB546)</f>
        <v>0</v>
      </c>
      <c r="AD546">
        <f>IMDIV(IMSUB(AB546,AC546),"2")</f>
        <v>0</v>
      </c>
      <c r="AE546" s="6">
        <f>IMABS(AB546)</f>
        <v>0</v>
      </c>
      <c r="AF546" s="6">
        <f>IMABS(AC546)</f>
        <v>0</v>
      </c>
      <c r="AG546" s="6">
        <f>IMABS(AD546)</f>
        <v>0</v>
      </c>
      <c r="AH546" s="7">
        <f>20*LOG10(MAX(AE546,1E-300)*1E6)</f>
        <v>0</v>
      </c>
      <c r="AI546" s="7">
        <f>20*LOG10(MAX(AF546,1E-300)*1E6)</f>
        <v>0</v>
      </c>
      <c r="AJ546" s="7">
        <f>20*LOG10(MAX(AG546,1E-300)*1E6)</f>
        <v>0</v>
      </c>
      <c r="AK546" s="7">
        <f>DEGREES(IMARGUMENT(AB546))</f>
        <v>0</v>
      </c>
      <c r="AL546" s="7">
        <f>DEGREES(IMARGUMENT(AC546))</f>
        <v>0</v>
      </c>
      <c r="AM546" s="7">
        <f>DEGREES(IMARGUMENT(AD546))</f>
        <v>0</v>
      </c>
    </row>
    <row r="547" spans="1:39">
      <c r="A547" s="6">
        <f>10^(LOG10(F_START)+(ROW()-ROW($A$2))*(LOG10(F_STOP)-LOG10(F_START))/(N_POINTS-1))</f>
        <v>0</v>
      </c>
      <c r="B547" s="6">
        <f>2*PI()*A547</f>
        <v>0</v>
      </c>
      <c r="C547">
        <f>COMPLEX(2*LINE_PS_DCR,2*B547*LINE_PS_L)</f>
        <v>0</v>
      </c>
      <c r="D547">
        <f>IMSUM(COMPLEX(0,B547*(LINE_PS_CLINE+LINE_PS_CCHA/2)),IMDIV("1",IMPRODUCT("2",COMPLEX(C_THROUGH_ESR,B547*C_THROUGH_ESL-1/(B547*C_THROUGH_C)))))</f>
        <v>0</v>
      </c>
      <c r="E547">
        <f>COMPLEX(2*LINE_INPUT_DCR,2*B547*LINE_INPUT_L)</f>
        <v>0</v>
      </c>
      <c r="F547">
        <f>COMPLEX(0,B547*(LINE_INPUT_CLINE+LINE_INPUT_CCHA/2))</f>
        <v>0</v>
      </c>
      <c r="G547">
        <f>IMPRODUCT("2",IMDIV("1",IMSUM(IMDIV("1",COMPLEX(LDM1_DCR,B547*LDM1_L)),COMPLEX(0,B547*LDM1_CPA))))</f>
        <v>0</v>
      </c>
      <c r="H547">
        <f>IMSUM(IMDIV("1",COMPLEX(CX1_ESR,B547*CX1_ESL-1/(B547*CX1_C))),IMDIV("1",IMSUM(COMPLEX(DUMP1_R,0),COMPLEX(DUMP1_ESR,B547*DUMP1_ESL-1/(B547*DUMP1_C)))))</f>
        <v>0</v>
      </c>
      <c r="I547">
        <f>IMPRODUCT("2",IMDIV("1",IMSUM(IMDIV("1",COMPLEX(LDM2_DCR,B547*LDM2_L)),COMPLEX(0,B547*LDM2_CPA))))</f>
        <v>0</v>
      </c>
      <c r="J547">
        <f>IMSUM(IMDIV("1",COMPLEX(CX2_ESR,B547*CX2_ESL-1/(B547*CX2_C))),IMDIV("1",IMSUM(COMPLEX(DUMP2_R,0),COMPLEX(DUMP2_ESR,B547*DUMP2_ESL-1/(B547*DUMP2_C)))))</f>
        <v>0</v>
      </c>
      <c r="K547">
        <f>IMPRODUCT("2",IMDIV("1",IMSUM(IMDIV("1",COMPLEX(CMC_DCR,B547*CMC_L*(1-CMC_K))),COMPLEX(0,B547*CMC_CPA))))</f>
        <v>0</v>
      </c>
      <c r="L547">
        <f>IMSUM(COMPLEX(0,B547*CMC_CLINE),IMDIV("1",IMPRODUCT("2",COMPLEX(CY_ESR,B547*CY_ESL-1/(B547*CY_C)))),COMPLEX(1/DUMMY_R,0))</f>
        <v>0</v>
      </c>
      <c r="M547">
        <f>IMSUM(D547,IMDIV("1",C547))</f>
        <v>0</v>
      </c>
      <c r="N547">
        <f>IMDIV("1",IMSUM(E547,IMDIV("1",M547)))</f>
        <v>0</v>
      </c>
      <c r="O547">
        <f>IMSUM(F547,N547)</f>
        <v>0</v>
      </c>
      <c r="P547">
        <f>IMDIV("1",IMSUM(G547,IMDIV("1",O547)))</f>
        <v>0</v>
      </c>
      <c r="Q547">
        <f>IMSUM(H547,P547)</f>
        <v>0</v>
      </c>
      <c r="R547">
        <f>IMDIV("1",IMSUM(I547,IMDIV("1",Q547)))</f>
        <v>0</v>
      </c>
      <c r="S547">
        <f>IMSUM(J547,R547)</f>
        <v>0</v>
      </c>
      <c r="T547">
        <f>IMDIV("1",IMSUM(K547,IMDIV("1",S547)))</f>
        <v>0</v>
      </c>
      <c r="U547">
        <f>IMSUM(L547,T547)</f>
        <v>0</v>
      </c>
      <c r="V547">
        <f>IMDIV(COMPLEX(I_DM_SOURCE,0),U547)</f>
        <v>0</v>
      </c>
      <c r="W547">
        <f>IMPRODUCT(V547,T547)</f>
        <v>0</v>
      </c>
      <c r="X547">
        <f>IMDIV(W547,S547)</f>
        <v>0</v>
      </c>
      <c r="Y547">
        <f>IMPRODUCT(X547,R547)</f>
        <v>0</v>
      </c>
      <c r="Z547">
        <f>IMDIV(Y547,Q547)</f>
        <v>0</v>
      </c>
      <c r="AA547">
        <f>IMPRODUCT(Z547,P547)</f>
        <v>0</v>
      </c>
      <c r="AB547">
        <f>AA547</f>
        <v>0</v>
      </c>
      <c r="AC547">
        <f>IMPRODUCT("-1",AB547)</f>
        <v>0</v>
      </c>
      <c r="AD547">
        <f>IMDIV(IMSUB(AB547,AC547),"2")</f>
        <v>0</v>
      </c>
      <c r="AE547" s="6">
        <f>IMABS(AB547)</f>
        <v>0</v>
      </c>
      <c r="AF547" s="6">
        <f>IMABS(AC547)</f>
        <v>0</v>
      </c>
      <c r="AG547" s="6">
        <f>IMABS(AD547)</f>
        <v>0</v>
      </c>
      <c r="AH547" s="7">
        <f>20*LOG10(MAX(AE547,1E-300)*1E6)</f>
        <v>0</v>
      </c>
      <c r="AI547" s="7">
        <f>20*LOG10(MAX(AF547,1E-300)*1E6)</f>
        <v>0</v>
      </c>
      <c r="AJ547" s="7">
        <f>20*LOG10(MAX(AG547,1E-300)*1E6)</f>
        <v>0</v>
      </c>
      <c r="AK547" s="7">
        <f>DEGREES(IMARGUMENT(AB547))</f>
        <v>0</v>
      </c>
      <c r="AL547" s="7">
        <f>DEGREES(IMARGUMENT(AC547))</f>
        <v>0</v>
      </c>
      <c r="AM547" s="7">
        <f>DEGREES(IMARGUMENT(AD547))</f>
        <v>0</v>
      </c>
    </row>
    <row r="548" spans="1:39">
      <c r="A548" s="6">
        <f>10^(LOG10(F_START)+(ROW()-ROW($A$2))*(LOG10(F_STOP)-LOG10(F_START))/(N_POINTS-1))</f>
        <v>0</v>
      </c>
      <c r="B548" s="6">
        <f>2*PI()*A548</f>
        <v>0</v>
      </c>
      <c r="C548">
        <f>COMPLEX(2*LINE_PS_DCR,2*B548*LINE_PS_L)</f>
        <v>0</v>
      </c>
      <c r="D548">
        <f>IMSUM(COMPLEX(0,B548*(LINE_PS_CLINE+LINE_PS_CCHA/2)),IMDIV("1",IMPRODUCT("2",COMPLEX(C_THROUGH_ESR,B548*C_THROUGH_ESL-1/(B548*C_THROUGH_C)))))</f>
        <v>0</v>
      </c>
      <c r="E548">
        <f>COMPLEX(2*LINE_INPUT_DCR,2*B548*LINE_INPUT_L)</f>
        <v>0</v>
      </c>
      <c r="F548">
        <f>COMPLEX(0,B548*(LINE_INPUT_CLINE+LINE_INPUT_CCHA/2))</f>
        <v>0</v>
      </c>
      <c r="G548">
        <f>IMPRODUCT("2",IMDIV("1",IMSUM(IMDIV("1",COMPLEX(LDM1_DCR,B548*LDM1_L)),COMPLEX(0,B548*LDM1_CPA))))</f>
        <v>0</v>
      </c>
      <c r="H548">
        <f>IMSUM(IMDIV("1",COMPLEX(CX1_ESR,B548*CX1_ESL-1/(B548*CX1_C))),IMDIV("1",IMSUM(COMPLEX(DUMP1_R,0),COMPLEX(DUMP1_ESR,B548*DUMP1_ESL-1/(B548*DUMP1_C)))))</f>
        <v>0</v>
      </c>
      <c r="I548">
        <f>IMPRODUCT("2",IMDIV("1",IMSUM(IMDIV("1",COMPLEX(LDM2_DCR,B548*LDM2_L)),COMPLEX(0,B548*LDM2_CPA))))</f>
        <v>0</v>
      </c>
      <c r="J548">
        <f>IMSUM(IMDIV("1",COMPLEX(CX2_ESR,B548*CX2_ESL-1/(B548*CX2_C))),IMDIV("1",IMSUM(COMPLEX(DUMP2_R,0),COMPLEX(DUMP2_ESR,B548*DUMP2_ESL-1/(B548*DUMP2_C)))))</f>
        <v>0</v>
      </c>
      <c r="K548">
        <f>IMPRODUCT("2",IMDIV("1",IMSUM(IMDIV("1",COMPLEX(CMC_DCR,B548*CMC_L*(1-CMC_K))),COMPLEX(0,B548*CMC_CPA))))</f>
        <v>0</v>
      </c>
      <c r="L548">
        <f>IMSUM(COMPLEX(0,B548*CMC_CLINE),IMDIV("1",IMPRODUCT("2",COMPLEX(CY_ESR,B548*CY_ESL-1/(B548*CY_C)))),COMPLEX(1/DUMMY_R,0))</f>
        <v>0</v>
      </c>
      <c r="M548">
        <f>IMSUM(D548,IMDIV("1",C548))</f>
        <v>0</v>
      </c>
      <c r="N548">
        <f>IMDIV("1",IMSUM(E548,IMDIV("1",M548)))</f>
        <v>0</v>
      </c>
      <c r="O548">
        <f>IMSUM(F548,N548)</f>
        <v>0</v>
      </c>
      <c r="P548">
        <f>IMDIV("1",IMSUM(G548,IMDIV("1",O548)))</f>
        <v>0</v>
      </c>
      <c r="Q548">
        <f>IMSUM(H548,P548)</f>
        <v>0</v>
      </c>
      <c r="R548">
        <f>IMDIV("1",IMSUM(I548,IMDIV("1",Q548)))</f>
        <v>0</v>
      </c>
      <c r="S548">
        <f>IMSUM(J548,R548)</f>
        <v>0</v>
      </c>
      <c r="T548">
        <f>IMDIV("1",IMSUM(K548,IMDIV("1",S548)))</f>
        <v>0</v>
      </c>
      <c r="U548">
        <f>IMSUM(L548,T548)</f>
        <v>0</v>
      </c>
      <c r="V548">
        <f>IMDIV(COMPLEX(I_DM_SOURCE,0),U548)</f>
        <v>0</v>
      </c>
      <c r="W548">
        <f>IMPRODUCT(V548,T548)</f>
        <v>0</v>
      </c>
      <c r="X548">
        <f>IMDIV(W548,S548)</f>
        <v>0</v>
      </c>
      <c r="Y548">
        <f>IMPRODUCT(X548,R548)</f>
        <v>0</v>
      </c>
      <c r="Z548">
        <f>IMDIV(Y548,Q548)</f>
        <v>0</v>
      </c>
      <c r="AA548">
        <f>IMPRODUCT(Z548,P548)</f>
        <v>0</v>
      </c>
      <c r="AB548">
        <f>AA548</f>
        <v>0</v>
      </c>
      <c r="AC548">
        <f>IMPRODUCT("-1",AB548)</f>
        <v>0</v>
      </c>
      <c r="AD548">
        <f>IMDIV(IMSUB(AB548,AC548),"2")</f>
        <v>0</v>
      </c>
      <c r="AE548" s="6">
        <f>IMABS(AB548)</f>
        <v>0</v>
      </c>
      <c r="AF548" s="6">
        <f>IMABS(AC548)</f>
        <v>0</v>
      </c>
      <c r="AG548" s="6">
        <f>IMABS(AD548)</f>
        <v>0</v>
      </c>
      <c r="AH548" s="7">
        <f>20*LOG10(MAX(AE548,1E-300)*1E6)</f>
        <v>0</v>
      </c>
      <c r="AI548" s="7">
        <f>20*LOG10(MAX(AF548,1E-300)*1E6)</f>
        <v>0</v>
      </c>
      <c r="AJ548" s="7">
        <f>20*LOG10(MAX(AG548,1E-300)*1E6)</f>
        <v>0</v>
      </c>
      <c r="AK548" s="7">
        <f>DEGREES(IMARGUMENT(AB548))</f>
        <v>0</v>
      </c>
      <c r="AL548" s="7">
        <f>DEGREES(IMARGUMENT(AC548))</f>
        <v>0</v>
      </c>
      <c r="AM548" s="7">
        <f>DEGREES(IMARGUMENT(AD548))</f>
        <v>0</v>
      </c>
    </row>
    <row r="549" spans="1:39">
      <c r="A549" s="6">
        <f>10^(LOG10(F_START)+(ROW()-ROW($A$2))*(LOG10(F_STOP)-LOG10(F_START))/(N_POINTS-1))</f>
        <v>0</v>
      </c>
      <c r="B549" s="6">
        <f>2*PI()*A549</f>
        <v>0</v>
      </c>
      <c r="C549">
        <f>COMPLEX(2*LINE_PS_DCR,2*B549*LINE_PS_L)</f>
        <v>0</v>
      </c>
      <c r="D549">
        <f>IMSUM(COMPLEX(0,B549*(LINE_PS_CLINE+LINE_PS_CCHA/2)),IMDIV("1",IMPRODUCT("2",COMPLEX(C_THROUGH_ESR,B549*C_THROUGH_ESL-1/(B549*C_THROUGH_C)))))</f>
        <v>0</v>
      </c>
      <c r="E549">
        <f>COMPLEX(2*LINE_INPUT_DCR,2*B549*LINE_INPUT_L)</f>
        <v>0</v>
      </c>
      <c r="F549">
        <f>COMPLEX(0,B549*(LINE_INPUT_CLINE+LINE_INPUT_CCHA/2))</f>
        <v>0</v>
      </c>
      <c r="G549">
        <f>IMPRODUCT("2",IMDIV("1",IMSUM(IMDIV("1",COMPLEX(LDM1_DCR,B549*LDM1_L)),COMPLEX(0,B549*LDM1_CPA))))</f>
        <v>0</v>
      </c>
      <c r="H549">
        <f>IMSUM(IMDIV("1",COMPLEX(CX1_ESR,B549*CX1_ESL-1/(B549*CX1_C))),IMDIV("1",IMSUM(COMPLEX(DUMP1_R,0),COMPLEX(DUMP1_ESR,B549*DUMP1_ESL-1/(B549*DUMP1_C)))))</f>
        <v>0</v>
      </c>
      <c r="I549">
        <f>IMPRODUCT("2",IMDIV("1",IMSUM(IMDIV("1",COMPLEX(LDM2_DCR,B549*LDM2_L)),COMPLEX(0,B549*LDM2_CPA))))</f>
        <v>0</v>
      </c>
      <c r="J549">
        <f>IMSUM(IMDIV("1",COMPLEX(CX2_ESR,B549*CX2_ESL-1/(B549*CX2_C))),IMDIV("1",IMSUM(COMPLEX(DUMP2_R,0),COMPLEX(DUMP2_ESR,B549*DUMP2_ESL-1/(B549*DUMP2_C)))))</f>
        <v>0</v>
      </c>
      <c r="K549">
        <f>IMPRODUCT("2",IMDIV("1",IMSUM(IMDIV("1",COMPLEX(CMC_DCR,B549*CMC_L*(1-CMC_K))),COMPLEX(0,B549*CMC_CPA))))</f>
        <v>0</v>
      </c>
      <c r="L549">
        <f>IMSUM(COMPLEX(0,B549*CMC_CLINE),IMDIV("1",IMPRODUCT("2",COMPLEX(CY_ESR,B549*CY_ESL-1/(B549*CY_C)))),COMPLEX(1/DUMMY_R,0))</f>
        <v>0</v>
      </c>
      <c r="M549">
        <f>IMSUM(D549,IMDIV("1",C549))</f>
        <v>0</v>
      </c>
      <c r="N549">
        <f>IMDIV("1",IMSUM(E549,IMDIV("1",M549)))</f>
        <v>0</v>
      </c>
      <c r="O549">
        <f>IMSUM(F549,N549)</f>
        <v>0</v>
      </c>
      <c r="P549">
        <f>IMDIV("1",IMSUM(G549,IMDIV("1",O549)))</f>
        <v>0</v>
      </c>
      <c r="Q549">
        <f>IMSUM(H549,P549)</f>
        <v>0</v>
      </c>
      <c r="R549">
        <f>IMDIV("1",IMSUM(I549,IMDIV("1",Q549)))</f>
        <v>0</v>
      </c>
      <c r="S549">
        <f>IMSUM(J549,R549)</f>
        <v>0</v>
      </c>
      <c r="T549">
        <f>IMDIV("1",IMSUM(K549,IMDIV("1",S549)))</f>
        <v>0</v>
      </c>
      <c r="U549">
        <f>IMSUM(L549,T549)</f>
        <v>0</v>
      </c>
      <c r="V549">
        <f>IMDIV(COMPLEX(I_DM_SOURCE,0),U549)</f>
        <v>0</v>
      </c>
      <c r="W549">
        <f>IMPRODUCT(V549,T549)</f>
        <v>0</v>
      </c>
      <c r="X549">
        <f>IMDIV(W549,S549)</f>
        <v>0</v>
      </c>
      <c r="Y549">
        <f>IMPRODUCT(X549,R549)</f>
        <v>0</v>
      </c>
      <c r="Z549">
        <f>IMDIV(Y549,Q549)</f>
        <v>0</v>
      </c>
      <c r="AA549">
        <f>IMPRODUCT(Z549,P549)</f>
        <v>0</v>
      </c>
      <c r="AB549">
        <f>AA549</f>
        <v>0</v>
      </c>
      <c r="AC549">
        <f>IMPRODUCT("-1",AB549)</f>
        <v>0</v>
      </c>
      <c r="AD549">
        <f>IMDIV(IMSUB(AB549,AC549),"2")</f>
        <v>0</v>
      </c>
      <c r="AE549" s="6">
        <f>IMABS(AB549)</f>
        <v>0</v>
      </c>
      <c r="AF549" s="6">
        <f>IMABS(AC549)</f>
        <v>0</v>
      </c>
      <c r="AG549" s="6">
        <f>IMABS(AD549)</f>
        <v>0</v>
      </c>
      <c r="AH549" s="7">
        <f>20*LOG10(MAX(AE549,1E-300)*1E6)</f>
        <v>0</v>
      </c>
      <c r="AI549" s="7">
        <f>20*LOG10(MAX(AF549,1E-300)*1E6)</f>
        <v>0</v>
      </c>
      <c r="AJ549" s="7">
        <f>20*LOG10(MAX(AG549,1E-300)*1E6)</f>
        <v>0</v>
      </c>
      <c r="AK549" s="7">
        <f>DEGREES(IMARGUMENT(AB549))</f>
        <v>0</v>
      </c>
      <c r="AL549" s="7">
        <f>DEGREES(IMARGUMENT(AC549))</f>
        <v>0</v>
      </c>
      <c r="AM549" s="7">
        <f>DEGREES(IMARGUMENT(AD549))</f>
        <v>0</v>
      </c>
    </row>
    <row r="550" spans="1:39">
      <c r="A550" s="6">
        <f>10^(LOG10(F_START)+(ROW()-ROW($A$2))*(LOG10(F_STOP)-LOG10(F_START))/(N_POINTS-1))</f>
        <v>0</v>
      </c>
      <c r="B550" s="6">
        <f>2*PI()*A550</f>
        <v>0</v>
      </c>
      <c r="C550">
        <f>COMPLEX(2*LINE_PS_DCR,2*B550*LINE_PS_L)</f>
        <v>0</v>
      </c>
      <c r="D550">
        <f>IMSUM(COMPLEX(0,B550*(LINE_PS_CLINE+LINE_PS_CCHA/2)),IMDIV("1",IMPRODUCT("2",COMPLEX(C_THROUGH_ESR,B550*C_THROUGH_ESL-1/(B550*C_THROUGH_C)))))</f>
        <v>0</v>
      </c>
      <c r="E550">
        <f>COMPLEX(2*LINE_INPUT_DCR,2*B550*LINE_INPUT_L)</f>
        <v>0</v>
      </c>
      <c r="F550">
        <f>COMPLEX(0,B550*(LINE_INPUT_CLINE+LINE_INPUT_CCHA/2))</f>
        <v>0</v>
      </c>
      <c r="G550">
        <f>IMPRODUCT("2",IMDIV("1",IMSUM(IMDIV("1",COMPLEX(LDM1_DCR,B550*LDM1_L)),COMPLEX(0,B550*LDM1_CPA))))</f>
        <v>0</v>
      </c>
      <c r="H550">
        <f>IMSUM(IMDIV("1",COMPLEX(CX1_ESR,B550*CX1_ESL-1/(B550*CX1_C))),IMDIV("1",IMSUM(COMPLEX(DUMP1_R,0),COMPLEX(DUMP1_ESR,B550*DUMP1_ESL-1/(B550*DUMP1_C)))))</f>
        <v>0</v>
      </c>
      <c r="I550">
        <f>IMPRODUCT("2",IMDIV("1",IMSUM(IMDIV("1",COMPLEX(LDM2_DCR,B550*LDM2_L)),COMPLEX(0,B550*LDM2_CPA))))</f>
        <v>0</v>
      </c>
      <c r="J550">
        <f>IMSUM(IMDIV("1",COMPLEX(CX2_ESR,B550*CX2_ESL-1/(B550*CX2_C))),IMDIV("1",IMSUM(COMPLEX(DUMP2_R,0),COMPLEX(DUMP2_ESR,B550*DUMP2_ESL-1/(B550*DUMP2_C)))))</f>
        <v>0</v>
      </c>
      <c r="K550">
        <f>IMPRODUCT("2",IMDIV("1",IMSUM(IMDIV("1",COMPLEX(CMC_DCR,B550*CMC_L*(1-CMC_K))),COMPLEX(0,B550*CMC_CPA))))</f>
        <v>0</v>
      </c>
      <c r="L550">
        <f>IMSUM(COMPLEX(0,B550*CMC_CLINE),IMDIV("1",IMPRODUCT("2",COMPLEX(CY_ESR,B550*CY_ESL-1/(B550*CY_C)))),COMPLEX(1/DUMMY_R,0))</f>
        <v>0</v>
      </c>
      <c r="M550">
        <f>IMSUM(D550,IMDIV("1",C550))</f>
        <v>0</v>
      </c>
      <c r="N550">
        <f>IMDIV("1",IMSUM(E550,IMDIV("1",M550)))</f>
        <v>0</v>
      </c>
      <c r="O550">
        <f>IMSUM(F550,N550)</f>
        <v>0</v>
      </c>
      <c r="P550">
        <f>IMDIV("1",IMSUM(G550,IMDIV("1",O550)))</f>
        <v>0</v>
      </c>
      <c r="Q550">
        <f>IMSUM(H550,P550)</f>
        <v>0</v>
      </c>
      <c r="R550">
        <f>IMDIV("1",IMSUM(I550,IMDIV("1",Q550)))</f>
        <v>0</v>
      </c>
      <c r="S550">
        <f>IMSUM(J550,R550)</f>
        <v>0</v>
      </c>
      <c r="T550">
        <f>IMDIV("1",IMSUM(K550,IMDIV("1",S550)))</f>
        <v>0</v>
      </c>
      <c r="U550">
        <f>IMSUM(L550,T550)</f>
        <v>0</v>
      </c>
      <c r="V550">
        <f>IMDIV(COMPLEX(I_DM_SOURCE,0),U550)</f>
        <v>0</v>
      </c>
      <c r="W550">
        <f>IMPRODUCT(V550,T550)</f>
        <v>0</v>
      </c>
      <c r="X550">
        <f>IMDIV(W550,S550)</f>
        <v>0</v>
      </c>
      <c r="Y550">
        <f>IMPRODUCT(X550,R550)</f>
        <v>0</v>
      </c>
      <c r="Z550">
        <f>IMDIV(Y550,Q550)</f>
        <v>0</v>
      </c>
      <c r="AA550">
        <f>IMPRODUCT(Z550,P550)</f>
        <v>0</v>
      </c>
      <c r="AB550">
        <f>AA550</f>
        <v>0</v>
      </c>
      <c r="AC550">
        <f>IMPRODUCT("-1",AB550)</f>
        <v>0</v>
      </c>
      <c r="AD550">
        <f>IMDIV(IMSUB(AB550,AC550),"2")</f>
        <v>0</v>
      </c>
      <c r="AE550" s="6">
        <f>IMABS(AB550)</f>
        <v>0</v>
      </c>
      <c r="AF550" s="6">
        <f>IMABS(AC550)</f>
        <v>0</v>
      </c>
      <c r="AG550" s="6">
        <f>IMABS(AD550)</f>
        <v>0</v>
      </c>
      <c r="AH550" s="7">
        <f>20*LOG10(MAX(AE550,1E-300)*1E6)</f>
        <v>0</v>
      </c>
      <c r="AI550" s="7">
        <f>20*LOG10(MAX(AF550,1E-300)*1E6)</f>
        <v>0</v>
      </c>
      <c r="AJ550" s="7">
        <f>20*LOG10(MAX(AG550,1E-300)*1E6)</f>
        <v>0</v>
      </c>
      <c r="AK550" s="7">
        <f>DEGREES(IMARGUMENT(AB550))</f>
        <v>0</v>
      </c>
      <c r="AL550" s="7">
        <f>DEGREES(IMARGUMENT(AC550))</f>
        <v>0</v>
      </c>
      <c r="AM550" s="7">
        <f>DEGREES(IMARGUMENT(AD550))</f>
        <v>0</v>
      </c>
    </row>
    <row r="551" spans="1:39">
      <c r="A551" s="6">
        <f>10^(LOG10(F_START)+(ROW()-ROW($A$2))*(LOG10(F_STOP)-LOG10(F_START))/(N_POINTS-1))</f>
        <v>0</v>
      </c>
      <c r="B551" s="6">
        <f>2*PI()*A551</f>
        <v>0</v>
      </c>
      <c r="C551">
        <f>COMPLEX(2*LINE_PS_DCR,2*B551*LINE_PS_L)</f>
        <v>0</v>
      </c>
      <c r="D551">
        <f>IMSUM(COMPLEX(0,B551*(LINE_PS_CLINE+LINE_PS_CCHA/2)),IMDIV("1",IMPRODUCT("2",COMPLEX(C_THROUGH_ESR,B551*C_THROUGH_ESL-1/(B551*C_THROUGH_C)))))</f>
        <v>0</v>
      </c>
      <c r="E551">
        <f>COMPLEX(2*LINE_INPUT_DCR,2*B551*LINE_INPUT_L)</f>
        <v>0</v>
      </c>
      <c r="F551">
        <f>COMPLEX(0,B551*(LINE_INPUT_CLINE+LINE_INPUT_CCHA/2))</f>
        <v>0</v>
      </c>
      <c r="G551">
        <f>IMPRODUCT("2",IMDIV("1",IMSUM(IMDIV("1",COMPLEX(LDM1_DCR,B551*LDM1_L)),COMPLEX(0,B551*LDM1_CPA))))</f>
        <v>0</v>
      </c>
      <c r="H551">
        <f>IMSUM(IMDIV("1",COMPLEX(CX1_ESR,B551*CX1_ESL-1/(B551*CX1_C))),IMDIV("1",IMSUM(COMPLEX(DUMP1_R,0),COMPLEX(DUMP1_ESR,B551*DUMP1_ESL-1/(B551*DUMP1_C)))))</f>
        <v>0</v>
      </c>
      <c r="I551">
        <f>IMPRODUCT("2",IMDIV("1",IMSUM(IMDIV("1",COMPLEX(LDM2_DCR,B551*LDM2_L)),COMPLEX(0,B551*LDM2_CPA))))</f>
        <v>0</v>
      </c>
      <c r="J551">
        <f>IMSUM(IMDIV("1",COMPLEX(CX2_ESR,B551*CX2_ESL-1/(B551*CX2_C))),IMDIV("1",IMSUM(COMPLEX(DUMP2_R,0),COMPLEX(DUMP2_ESR,B551*DUMP2_ESL-1/(B551*DUMP2_C)))))</f>
        <v>0</v>
      </c>
      <c r="K551">
        <f>IMPRODUCT("2",IMDIV("1",IMSUM(IMDIV("1",COMPLEX(CMC_DCR,B551*CMC_L*(1-CMC_K))),COMPLEX(0,B551*CMC_CPA))))</f>
        <v>0</v>
      </c>
      <c r="L551">
        <f>IMSUM(COMPLEX(0,B551*CMC_CLINE),IMDIV("1",IMPRODUCT("2",COMPLEX(CY_ESR,B551*CY_ESL-1/(B551*CY_C)))),COMPLEX(1/DUMMY_R,0))</f>
        <v>0</v>
      </c>
      <c r="M551">
        <f>IMSUM(D551,IMDIV("1",C551))</f>
        <v>0</v>
      </c>
      <c r="N551">
        <f>IMDIV("1",IMSUM(E551,IMDIV("1",M551)))</f>
        <v>0</v>
      </c>
      <c r="O551">
        <f>IMSUM(F551,N551)</f>
        <v>0</v>
      </c>
      <c r="P551">
        <f>IMDIV("1",IMSUM(G551,IMDIV("1",O551)))</f>
        <v>0</v>
      </c>
      <c r="Q551">
        <f>IMSUM(H551,P551)</f>
        <v>0</v>
      </c>
      <c r="R551">
        <f>IMDIV("1",IMSUM(I551,IMDIV("1",Q551)))</f>
        <v>0</v>
      </c>
      <c r="S551">
        <f>IMSUM(J551,R551)</f>
        <v>0</v>
      </c>
      <c r="T551">
        <f>IMDIV("1",IMSUM(K551,IMDIV("1",S551)))</f>
        <v>0</v>
      </c>
      <c r="U551">
        <f>IMSUM(L551,T551)</f>
        <v>0</v>
      </c>
      <c r="V551">
        <f>IMDIV(COMPLEX(I_DM_SOURCE,0),U551)</f>
        <v>0</v>
      </c>
      <c r="W551">
        <f>IMPRODUCT(V551,T551)</f>
        <v>0</v>
      </c>
      <c r="X551">
        <f>IMDIV(W551,S551)</f>
        <v>0</v>
      </c>
      <c r="Y551">
        <f>IMPRODUCT(X551,R551)</f>
        <v>0</v>
      </c>
      <c r="Z551">
        <f>IMDIV(Y551,Q551)</f>
        <v>0</v>
      </c>
      <c r="AA551">
        <f>IMPRODUCT(Z551,P551)</f>
        <v>0</v>
      </c>
      <c r="AB551">
        <f>AA551</f>
        <v>0</v>
      </c>
      <c r="AC551">
        <f>IMPRODUCT("-1",AB551)</f>
        <v>0</v>
      </c>
      <c r="AD551">
        <f>IMDIV(IMSUB(AB551,AC551),"2")</f>
        <v>0</v>
      </c>
      <c r="AE551" s="6">
        <f>IMABS(AB551)</f>
        <v>0</v>
      </c>
      <c r="AF551" s="6">
        <f>IMABS(AC551)</f>
        <v>0</v>
      </c>
      <c r="AG551" s="6">
        <f>IMABS(AD551)</f>
        <v>0</v>
      </c>
      <c r="AH551" s="7">
        <f>20*LOG10(MAX(AE551,1E-300)*1E6)</f>
        <v>0</v>
      </c>
      <c r="AI551" s="7">
        <f>20*LOG10(MAX(AF551,1E-300)*1E6)</f>
        <v>0</v>
      </c>
      <c r="AJ551" s="7">
        <f>20*LOG10(MAX(AG551,1E-300)*1E6)</f>
        <v>0</v>
      </c>
      <c r="AK551" s="7">
        <f>DEGREES(IMARGUMENT(AB551))</f>
        <v>0</v>
      </c>
      <c r="AL551" s="7">
        <f>DEGREES(IMARGUMENT(AC551))</f>
        <v>0</v>
      </c>
      <c r="AM551" s="7">
        <f>DEGREES(IMARGUMENT(AD551))</f>
        <v>0</v>
      </c>
    </row>
    <row r="552" spans="1:39">
      <c r="A552" s="6">
        <f>10^(LOG10(F_START)+(ROW()-ROW($A$2))*(LOG10(F_STOP)-LOG10(F_START))/(N_POINTS-1))</f>
        <v>0</v>
      </c>
      <c r="B552" s="6">
        <f>2*PI()*A552</f>
        <v>0</v>
      </c>
      <c r="C552">
        <f>COMPLEX(2*LINE_PS_DCR,2*B552*LINE_PS_L)</f>
        <v>0</v>
      </c>
      <c r="D552">
        <f>IMSUM(COMPLEX(0,B552*(LINE_PS_CLINE+LINE_PS_CCHA/2)),IMDIV("1",IMPRODUCT("2",COMPLEX(C_THROUGH_ESR,B552*C_THROUGH_ESL-1/(B552*C_THROUGH_C)))))</f>
        <v>0</v>
      </c>
      <c r="E552">
        <f>COMPLEX(2*LINE_INPUT_DCR,2*B552*LINE_INPUT_L)</f>
        <v>0</v>
      </c>
      <c r="F552">
        <f>COMPLEX(0,B552*(LINE_INPUT_CLINE+LINE_INPUT_CCHA/2))</f>
        <v>0</v>
      </c>
      <c r="G552">
        <f>IMPRODUCT("2",IMDIV("1",IMSUM(IMDIV("1",COMPLEX(LDM1_DCR,B552*LDM1_L)),COMPLEX(0,B552*LDM1_CPA))))</f>
        <v>0</v>
      </c>
      <c r="H552">
        <f>IMSUM(IMDIV("1",COMPLEX(CX1_ESR,B552*CX1_ESL-1/(B552*CX1_C))),IMDIV("1",IMSUM(COMPLEX(DUMP1_R,0),COMPLEX(DUMP1_ESR,B552*DUMP1_ESL-1/(B552*DUMP1_C)))))</f>
        <v>0</v>
      </c>
      <c r="I552">
        <f>IMPRODUCT("2",IMDIV("1",IMSUM(IMDIV("1",COMPLEX(LDM2_DCR,B552*LDM2_L)),COMPLEX(0,B552*LDM2_CPA))))</f>
        <v>0</v>
      </c>
      <c r="J552">
        <f>IMSUM(IMDIV("1",COMPLEX(CX2_ESR,B552*CX2_ESL-1/(B552*CX2_C))),IMDIV("1",IMSUM(COMPLEX(DUMP2_R,0),COMPLEX(DUMP2_ESR,B552*DUMP2_ESL-1/(B552*DUMP2_C)))))</f>
        <v>0</v>
      </c>
      <c r="K552">
        <f>IMPRODUCT("2",IMDIV("1",IMSUM(IMDIV("1",COMPLEX(CMC_DCR,B552*CMC_L*(1-CMC_K))),COMPLEX(0,B552*CMC_CPA))))</f>
        <v>0</v>
      </c>
      <c r="L552">
        <f>IMSUM(COMPLEX(0,B552*CMC_CLINE),IMDIV("1",IMPRODUCT("2",COMPLEX(CY_ESR,B552*CY_ESL-1/(B552*CY_C)))),COMPLEX(1/DUMMY_R,0))</f>
        <v>0</v>
      </c>
      <c r="M552">
        <f>IMSUM(D552,IMDIV("1",C552))</f>
        <v>0</v>
      </c>
      <c r="N552">
        <f>IMDIV("1",IMSUM(E552,IMDIV("1",M552)))</f>
        <v>0</v>
      </c>
      <c r="O552">
        <f>IMSUM(F552,N552)</f>
        <v>0</v>
      </c>
      <c r="P552">
        <f>IMDIV("1",IMSUM(G552,IMDIV("1",O552)))</f>
        <v>0</v>
      </c>
      <c r="Q552">
        <f>IMSUM(H552,P552)</f>
        <v>0</v>
      </c>
      <c r="R552">
        <f>IMDIV("1",IMSUM(I552,IMDIV("1",Q552)))</f>
        <v>0</v>
      </c>
      <c r="S552">
        <f>IMSUM(J552,R552)</f>
        <v>0</v>
      </c>
      <c r="T552">
        <f>IMDIV("1",IMSUM(K552,IMDIV("1",S552)))</f>
        <v>0</v>
      </c>
      <c r="U552">
        <f>IMSUM(L552,T552)</f>
        <v>0</v>
      </c>
      <c r="V552">
        <f>IMDIV(COMPLEX(I_DM_SOURCE,0),U552)</f>
        <v>0</v>
      </c>
      <c r="W552">
        <f>IMPRODUCT(V552,T552)</f>
        <v>0</v>
      </c>
      <c r="X552">
        <f>IMDIV(W552,S552)</f>
        <v>0</v>
      </c>
      <c r="Y552">
        <f>IMPRODUCT(X552,R552)</f>
        <v>0</v>
      </c>
      <c r="Z552">
        <f>IMDIV(Y552,Q552)</f>
        <v>0</v>
      </c>
      <c r="AA552">
        <f>IMPRODUCT(Z552,P552)</f>
        <v>0</v>
      </c>
      <c r="AB552">
        <f>AA552</f>
        <v>0</v>
      </c>
      <c r="AC552">
        <f>IMPRODUCT("-1",AB552)</f>
        <v>0</v>
      </c>
      <c r="AD552">
        <f>IMDIV(IMSUB(AB552,AC552),"2")</f>
        <v>0</v>
      </c>
      <c r="AE552" s="6">
        <f>IMABS(AB552)</f>
        <v>0</v>
      </c>
      <c r="AF552" s="6">
        <f>IMABS(AC552)</f>
        <v>0</v>
      </c>
      <c r="AG552" s="6">
        <f>IMABS(AD552)</f>
        <v>0</v>
      </c>
      <c r="AH552" s="7">
        <f>20*LOG10(MAX(AE552,1E-300)*1E6)</f>
        <v>0</v>
      </c>
      <c r="AI552" s="7">
        <f>20*LOG10(MAX(AF552,1E-300)*1E6)</f>
        <v>0</v>
      </c>
      <c r="AJ552" s="7">
        <f>20*LOG10(MAX(AG552,1E-300)*1E6)</f>
        <v>0</v>
      </c>
      <c r="AK552" s="7">
        <f>DEGREES(IMARGUMENT(AB552))</f>
        <v>0</v>
      </c>
      <c r="AL552" s="7">
        <f>DEGREES(IMARGUMENT(AC552))</f>
        <v>0</v>
      </c>
      <c r="AM552" s="7">
        <f>DEGREES(IMARGUMENT(AD552))</f>
        <v>0</v>
      </c>
    </row>
    <row r="553" spans="1:39">
      <c r="A553" s="6">
        <f>10^(LOG10(F_START)+(ROW()-ROW($A$2))*(LOG10(F_STOP)-LOG10(F_START))/(N_POINTS-1))</f>
        <v>0</v>
      </c>
      <c r="B553" s="6">
        <f>2*PI()*A553</f>
        <v>0</v>
      </c>
      <c r="C553">
        <f>COMPLEX(2*LINE_PS_DCR,2*B553*LINE_PS_L)</f>
        <v>0</v>
      </c>
      <c r="D553">
        <f>IMSUM(COMPLEX(0,B553*(LINE_PS_CLINE+LINE_PS_CCHA/2)),IMDIV("1",IMPRODUCT("2",COMPLEX(C_THROUGH_ESR,B553*C_THROUGH_ESL-1/(B553*C_THROUGH_C)))))</f>
        <v>0</v>
      </c>
      <c r="E553">
        <f>COMPLEX(2*LINE_INPUT_DCR,2*B553*LINE_INPUT_L)</f>
        <v>0</v>
      </c>
      <c r="F553">
        <f>COMPLEX(0,B553*(LINE_INPUT_CLINE+LINE_INPUT_CCHA/2))</f>
        <v>0</v>
      </c>
      <c r="G553">
        <f>IMPRODUCT("2",IMDIV("1",IMSUM(IMDIV("1",COMPLEX(LDM1_DCR,B553*LDM1_L)),COMPLEX(0,B553*LDM1_CPA))))</f>
        <v>0</v>
      </c>
      <c r="H553">
        <f>IMSUM(IMDIV("1",COMPLEX(CX1_ESR,B553*CX1_ESL-1/(B553*CX1_C))),IMDIV("1",IMSUM(COMPLEX(DUMP1_R,0),COMPLEX(DUMP1_ESR,B553*DUMP1_ESL-1/(B553*DUMP1_C)))))</f>
        <v>0</v>
      </c>
      <c r="I553">
        <f>IMPRODUCT("2",IMDIV("1",IMSUM(IMDIV("1",COMPLEX(LDM2_DCR,B553*LDM2_L)),COMPLEX(0,B553*LDM2_CPA))))</f>
        <v>0</v>
      </c>
      <c r="J553">
        <f>IMSUM(IMDIV("1",COMPLEX(CX2_ESR,B553*CX2_ESL-1/(B553*CX2_C))),IMDIV("1",IMSUM(COMPLEX(DUMP2_R,0),COMPLEX(DUMP2_ESR,B553*DUMP2_ESL-1/(B553*DUMP2_C)))))</f>
        <v>0</v>
      </c>
      <c r="K553">
        <f>IMPRODUCT("2",IMDIV("1",IMSUM(IMDIV("1",COMPLEX(CMC_DCR,B553*CMC_L*(1-CMC_K))),COMPLEX(0,B553*CMC_CPA))))</f>
        <v>0</v>
      </c>
      <c r="L553">
        <f>IMSUM(COMPLEX(0,B553*CMC_CLINE),IMDIV("1",IMPRODUCT("2",COMPLEX(CY_ESR,B553*CY_ESL-1/(B553*CY_C)))),COMPLEX(1/DUMMY_R,0))</f>
        <v>0</v>
      </c>
      <c r="M553">
        <f>IMSUM(D553,IMDIV("1",C553))</f>
        <v>0</v>
      </c>
      <c r="N553">
        <f>IMDIV("1",IMSUM(E553,IMDIV("1",M553)))</f>
        <v>0</v>
      </c>
      <c r="O553">
        <f>IMSUM(F553,N553)</f>
        <v>0</v>
      </c>
      <c r="P553">
        <f>IMDIV("1",IMSUM(G553,IMDIV("1",O553)))</f>
        <v>0</v>
      </c>
      <c r="Q553">
        <f>IMSUM(H553,P553)</f>
        <v>0</v>
      </c>
      <c r="R553">
        <f>IMDIV("1",IMSUM(I553,IMDIV("1",Q553)))</f>
        <v>0</v>
      </c>
      <c r="S553">
        <f>IMSUM(J553,R553)</f>
        <v>0</v>
      </c>
      <c r="T553">
        <f>IMDIV("1",IMSUM(K553,IMDIV("1",S553)))</f>
        <v>0</v>
      </c>
      <c r="U553">
        <f>IMSUM(L553,T553)</f>
        <v>0</v>
      </c>
      <c r="V553">
        <f>IMDIV(COMPLEX(I_DM_SOURCE,0),U553)</f>
        <v>0</v>
      </c>
      <c r="W553">
        <f>IMPRODUCT(V553,T553)</f>
        <v>0</v>
      </c>
      <c r="X553">
        <f>IMDIV(W553,S553)</f>
        <v>0</v>
      </c>
      <c r="Y553">
        <f>IMPRODUCT(X553,R553)</f>
        <v>0</v>
      </c>
      <c r="Z553">
        <f>IMDIV(Y553,Q553)</f>
        <v>0</v>
      </c>
      <c r="AA553">
        <f>IMPRODUCT(Z553,P553)</f>
        <v>0</v>
      </c>
      <c r="AB553">
        <f>AA553</f>
        <v>0</v>
      </c>
      <c r="AC553">
        <f>IMPRODUCT("-1",AB553)</f>
        <v>0</v>
      </c>
      <c r="AD553">
        <f>IMDIV(IMSUB(AB553,AC553),"2")</f>
        <v>0</v>
      </c>
      <c r="AE553" s="6">
        <f>IMABS(AB553)</f>
        <v>0</v>
      </c>
      <c r="AF553" s="6">
        <f>IMABS(AC553)</f>
        <v>0</v>
      </c>
      <c r="AG553" s="6">
        <f>IMABS(AD553)</f>
        <v>0</v>
      </c>
      <c r="AH553" s="7">
        <f>20*LOG10(MAX(AE553,1E-300)*1E6)</f>
        <v>0</v>
      </c>
      <c r="AI553" s="7">
        <f>20*LOG10(MAX(AF553,1E-300)*1E6)</f>
        <v>0</v>
      </c>
      <c r="AJ553" s="7">
        <f>20*LOG10(MAX(AG553,1E-300)*1E6)</f>
        <v>0</v>
      </c>
      <c r="AK553" s="7">
        <f>DEGREES(IMARGUMENT(AB553))</f>
        <v>0</v>
      </c>
      <c r="AL553" s="7">
        <f>DEGREES(IMARGUMENT(AC553))</f>
        <v>0</v>
      </c>
      <c r="AM553" s="7">
        <f>DEGREES(IMARGUMENT(AD553))</f>
        <v>0</v>
      </c>
    </row>
    <row r="554" spans="1:39">
      <c r="A554" s="6">
        <f>10^(LOG10(F_START)+(ROW()-ROW($A$2))*(LOG10(F_STOP)-LOG10(F_START))/(N_POINTS-1))</f>
        <v>0</v>
      </c>
      <c r="B554" s="6">
        <f>2*PI()*A554</f>
        <v>0</v>
      </c>
      <c r="C554">
        <f>COMPLEX(2*LINE_PS_DCR,2*B554*LINE_PS_L)</f>
        <v>0</v>
      </c>
      <c r="D554">
        <f>IMSUM(COMPLEX(0,B554*(LINE_PS_CLINE+LINE_PS_CCHA/2)),IMDIV("1",IMPRODUCT("2",COMPLEX(C_THROUGH_ESR,B554*C_THROUGH_ESL-1/(B554*C_THROUGH_C)))))</f>
        <v>0</v>
      </c>
      <c r="E554">
        <f>COMPLEX(2*LINE_INPUT_DCR,2*B554*LINE_INPUT_L)</f>
        <v>0</v>
      </c>
      <c r="F554">
        <f>COMPLEX(0,B554*(LINE_INPUT_CLINE+LINE_INPUT_CCHA/2))</f>
        <v>0</v>
      </c>
      <c r="G554">
        <f>IMPRODUCT("2",IMDIV("1",IMSUM(IMDIV("1",COMPLEX(LDM1_DCR,B554*LDM1_L)),COMPLEX(0,B554*LDM1_CPA))))</f>
        <v>0</v>
      </c>
      <c r="H554">
        <f>IMSUM(IMDIV("1",COMPLEX(CX1_ESR,B554*CX1_ESL-1/(B554*CX1_C))),IMDIV("1",IMSUM(COMPLEX(DUMP1_R,0),COMPLEX(DUMP1_ESR,B554*DUMP1_ESL-1/(B554*DUMP1_C)))))</f>
        <v>0</v>
      </c>
      <c r="I554">
        <f>IMPRODUCT("2",IMDIV("1",IMSUM(IMDIV("1",COMPLEX(LDM2_DCR,B554*LDM2_L)),COMPLEX(0,B554*LDM2_CPA))))</f>
        <v>0</v>
      </c>
      <c r="J554">
        <f>IMSUM(IMDIV("1",COMPLEX(CX2_ESR,B554*CX2_ESL-1/(B554*CX2_C))),IMDIV("1",IMSUM(COMPLEX(DUMP2_R,0),COMPLEX(DUMP2_ESR,B554*DUMP2_ESL-1/(B554*DUMP2_C)))))</f>
        <v>0</v>
      </c>
      <c r="K554">
        <f>IMPRODUCT("2",IMDIV("1",IMSUM(IMDIV("1",COMPLEX(CMC_DCR,B554*CMC_L*(1-CMC_K))),COMPLEX(0,B554*CMC_CPA))))</f>
        <v>0</v>
      </c>
      <c r="L554">
        <f>IMSUM(COMPLEX(0,B554*CMC_CLINE),IMDIV("1",IMPRODUCT("2",COMPLEX(CY_ESR,B554*CY_ESL-1/(B554*CY_C)))),COMPLEX(1/DUMMY_R,0))</f>
        <v>0</v>
      </c>
      <c r="M554">
        <f>IMSUM(D554,IMDIV("1",C554))</f>
        <v>0</v>
      </c>
      <c r="N554">
        <f>IMDIV("1",IMSUM(E554,IMDIV("1",M554)))</f>
        <v>0</v>
      </c>
      <c r="O554">
        <f>IMSUM(F554,N554)</f>
        <v>0</v>
      </c>
      <c r="P554">
        <f>IMDIV("1",IMSUM(G554,IMDIV("1",O554)))</f>
        <v>0</v>
      </c>
      <c r="Q554">
        <f>IMSUM(H554,P554)</f>
        <v>0</v>
      </c>
      <c r="R554">
        <f>IMDIV("1",IMSUM(I554,IMDIV("1",Q554)))</f>
        <v>0</v>
      </c>
      <c r="S554">
        <f>IMSUM(J554,R554)</f>
        <v>0</v>
      </c>
      <c r="T554">
        <f>IMDIV("1",IMSUM(K554,IMDIV("1",S554)))</f>
        <v>0</v>
      </c>
      <c r="U554">
        <f>IMSUM(L554,T554)</f>
        <v>0</v>
      </c>
      <c r="V554">
        <f>IMDIV(COMPLEX(I_DM_SOURCE,0),U554)</f>
        <v>0</v>
      </c>
      <c r="W554">
        <f>IMPRODUCT(V554,T554)</f>
        <v>0</v>
      </c>
      <c r="X554">
        <f>IMDIV(W554,S554)</f>
        <v>0</v>
      </c>
      <c r="Y554">
        <f>IMPRODUCT(X554,R554)</f>
        <v>0</v>
      </c>
      <c r="Z554">
        <f>IMDIV(Y554,Q554)</f>
        <v>0</v>
      </c>
      <c r="AA554">
        <f>IMPRODUCT(Z554,P554)</f>
        <v>0</v>
      </c>
      <c r="AB554">
        <f>AA554</f>
        <v>0</v>
      </c>
      <c r="AC554">
        <f>IMPRODUCT("-1",AB554)</f>
        <v>0</v>
      </c>
      <c r="AD554">
        <f>IMDIV(IMSUB(AB554,AC554),"2")</f>
        <v>0</v>
      </c>
      <c r="AE554" s="6">
        <f>IMABS(AB554)</f>
        <v>0</v>
      </c>
      <c r="AF554" s="6">
        <f>IMABS(AC554)</f>
        <v>0</v>
      </c>
      <c r="AG554" s="6">
        <f>IMABS(AD554)</f>
        <v>0</v>
      </c>
      <c r="AH554" s="7">
        <f>20*LOG10(MAX(AE554,1E-300)*1E6)</f>
        <v>0</v>
      </c>
      <c r="AI554" s="7">
        <f>20*LOG10(MAX(AF554,1E-300)*1E6)</f>
        <v>0</v>
      </c>
      <c r="AJ554" s="7">
        <f>20*LOG10(MAX(AG554,1E-300)*1E6)</f>
        <v>0</v>
      </c>
      <c r="AK554" s="7">
        <f>DEGREES(IMARGUMENT(AB554))</f>
        <v>0</v>
      </c>
      <c r="AL554" s="7">
        <f>DEGREES(IMARGUMENT(AC554))</f>
        <v>0</v>
      </c>
      <c r="AM554" s="7">
        <f>DEGREES(IMARGUMENT(AD554))</f>
        <v>0</v>
      </c>
    </row>
    <row r="555" spans="1:39">
      <c r="A555" s="6">
        <f>10^(LOG10(F_START)+(ROW()-ROW($A$2))*(LOG10(F_STOP)-LOG10(F_START))/(N_POINTS-1))</f>
        <v>0</v>
      </c>
      <c r="B555" s="6">
        <f>2*PI()*A555</f>
        <v>0</v>
      </c>
      <c r="C555">
        <f>COMPLEX(2*LINE_PS_DCR,2*B555*LINE_PS_L)</f>
        <v>0</v>
      </c>
      <c r="D555">
        <f>IMSUM(COMPLEX(0,B555*(LINE_PS_CLINE+LINE_PS_CCHA/2)),IMDIV("1",IMPRODUCT("2",COMPLEX(C_THROUGH_ESR,B555*C_THROUGH_ESL-1/(B555*C_THROUGH_C)))))</f>
        <v>0</v>
      </c>
      <c r="E555">
        <f>COMPLEX(2*LINE_INPUT_DCR,2*B555*LINE_INPUT_L)</f>
        <v>0</v>
      </c>
      <c r="F555">
        <f>COMPLEX(0,B555*(LINE_INPUT_CLINE+LINE_INPUT_CCHA/2))</f>
        <v>0</v>
      </c>
      <c r="G555">
        <f>IMPRODUCT("2",IMDIV("1",IMSUM(IMDIV("1",COMPLEX(LDM1_DCR,B555*LDM1_L)),COMPLEX(0,B555*LDM1_CPA))))</f>
        <v>0</v>
      </c>
      <c r="H555">
        <f>IMSUM(IMDIV("1",COMPLEX(CX1_ESR,B555*CX1_ESL-1/(B555*CX1_C))),IMDIV("1",IMSUM(COMPLEX(DUMP1_R,0),COMPLEX(DUMP1_ESR,B555*DUMP1_ESL-1/(B555*DUMP1_C)))))</f>
        <v>0</v>
      </c>
      <c r="I555">
        <f>IMPRODUCT("2",IMDIV("1",IMSUM(IMDIV("1",COMPLEX(LDM2_DCR,B555*LDM2_L)),COMPLEX(0,B555*LDM2_CPA))))</f>
        <v>0</v>
      </c>
      <c r="J555">
        <f>IMSUM(IMDIV("1",COMPLEX(CX2_ESR,B555*CX2_ESL-1/(B555*CX2_C))),IMDIV("1",IMSUM(COMPLEX(DUMP2_R,0),COMPLEX(DUMP2_ESR,B555*DUMP2_ESL-1/(B555*DUMP2_C)))))</f>
        <v>0</v>
      </c>
      <c r="K555">
        <f>IMPRODUCT("2",IMDIV("1",IMSUM(IMDIV("1",COMPLEX(CMC_DCR,B555*CMC_L*(1-CMC_K))),COMPLEX(0,B555*CMC_CPA))))</f>
        <v>0</v>
      </c>
      <c r="L555">
        <f>IMSUM(COMPLEX(0,B555*CMC_CLINE),IMDIV("1",IMPRODUCT("2",COMPLEX(CY_ESR,B555*CY_ESL-1/(B555*CY_C)))),COMPLEX(1/DUMMY_R,0))</f>
        <v>0</v>
      </c>
      <c r="M555">
        <f>IMSUM(D555,IMDIV("1",C555))</f>
        <v>0</v>
      </c>
      <c r="N555">
        <f>IMDIV("1",IMSUM(E555,IMDIV("1",M555)))</f>
        <v>0</v>
      </c>
      <c r="O555">
        <f>IMSUM(F555,N555)</f>
        <v>0</v>
      </c>
      <c r="P555">
        <f>IMDIV("1",IMSUM(G555,IMDIV("1",O555)))</f>
        <v>0</v>
      </c>
      <c r="Q555">
        <f>IMSUM(H555,P555)</f>
        <v>0</v>
      </c>
      <c r="R555">
        <f>IMDIV("1",IMSUM(I555,IMDIV("1",Q555)))</f>
        <v>0</v>
      </c>
      <c r="S555">
        <f>IMSUM(J555,R555)</f>
        <v>0</v>
      </c>
      <c r="T555">
        <f>IMDIV("1",IMSUM(K555,IMDIV("1",S555)))</f>
        <v>0</v>
      </c>
      <c r="U555">
        <f>IMSUM(L555,T555)</f>
        <v>0</v>
      </c>
      <c r="V555">
        <f>IMDIV(COMPLEX(I_DM_SOURCE,0),U555)</f>
        <v>0</v>
      </c>
      <c r="W555">
        <f>IMPRODUCT(V555,T555)</f>
        <v>0</v>
      </c>
      <c r="X555">
        <f>IMDIV(W555,S555)</f>
        <v>0</v>
      </c>
      <c r="Y555">
        <f>IMPRODUCT(X555,R555)</f>
        <v>0</v>
      </c>
      <c r="Z555">
        <f>IMDIV(Y555,Q555)</f>
        <v>0</v>
      </c>
      <c r="AA555">
        <f>IMPRODUCT(Z555,P555)</f>
        <v>0</v>
      </c>
      <c r="AB555">
        <f>AA555</f>
        <v>0</v>
      </c>
      <c r="AC555">
        <f>IMPRODUCT("-1",AB555)</f>
        <v>0</v>
      </c>
      <c r="AD555">
        <f>IMDIV(IMSUB(AB555,AC555),"2")</f>
        <v>0</v>
      </c>
      <c r="AE555" s="6">
        <f>IMABS(AB555)</f>
        <v>0</v>
      </c>
      <c r="AF555" s="6">
        <f>IMABS(AC555)</f>
        <v>0</v>
      </c>
      <c r="AG555" s="6">
        <f>IMABS(AD555)</f>
        <v>0</v>
      </c>
      <c r="AH555" s="7">
        <f>20*LOG10(MAX(AE555,1E-300)*1E6)</f>
        <v>0</v>
      </c>
      <c r="AI555" s="7">
        <f>20*LOG10(MAX(AF555,1E-300)*1E6)</f>
        <v>0</v>
      </c>
      <c r="AJ555" s="7">
        <f>20*LOG10(MAX(AG555,1E-300)*1E6)</f>
        <v>0</v>
      </c>
      <c r="AK555" s="7">
        <f>DEGREES(IMARGUMENT(AB555))</f>
        <v>0</v>
      </c>
      <c r="AL555" s="7">
        <f>DEGREES(IMARGUMENT(AC555))</f>
        <v>0</v>
      </c>
      <c r="AM555" s="7">
        <f>DEGREES(IMARGUMENT(AD555))</f>
        <v>0</v>
      </c>
    </row>
    <row r="556" spans="1:39">
      <c r="A556" s="6">
        <f>10^(LOG10(F_START)+(ROW()-ROW($A$2))*(LOG10(F_STOP)-LOG10(F_START))/(N_POINTS-1))</f>
        <v>0</v>
      </c>
      <c r="B556" s="6">
        <f>2*PI()*A556</f>
        <v>0</v>
      </c>
      <c r="C556">
        <f>COMPLEX(2*LINE_PS_DCR,2*B556*LINE_PS_L)</f>
        <v>0</v>
      </c>
      <c r="D556">
        <f>IMSUM(COMPLEX(0,B556*(LINE_PS_CLINE+LINE_PS_CCHA/2)),IMDIV("1",IMPRODUCT("2",COMPLEX(C_THROUGH_ESR,B556*C_THROUGH_ESL-1/(B556*C_THROUGH_C)))))</f>
        <v>0</v>
      </c>
      <c r="E556">
        <f>COMPLEX(2*LINE_INPUT_DCR,2*B556*LINE_INPUT_L)</f>
        <v>0</v>
      </c>
      <c r="F556">
        <f>COMPLEX(0,B556*(LINE_INPUT_CLINE+LINE_INPUT_CCHA/2))</f>
        <v>0</v>
      </c>
      <c r="G556">
        <f>IMPRODUCT("2",IMDIV("1",IMSUM(IMDIV("1",COMPLEX(LDM1_DCR,B556*LDM1_L)),COMPLEX(0,B556*LDM1_CPA))))</f>
        <v>0</v>
      </c>
      <c r="H556">
        <f>IMSUM(IMDIV("1",COMPLEX(CX1_ESR,B556*CX1_ESL-1/(B556*CX1_C))),IMDIV("1",IMSUM(COMPLEX(DUMP1_R,0),COMPLEX(DUMP1_ESR,B556*DUMP1_ESL-1/(B556*DUMP1_C)))))</f>
        <v>0</v>
      </c>
      <c r="I556">
        <f>IMPRODUCT("2",IMDIV("1",IMSUM(IMDIV("1",COMPLEX(LDM2_DCR,B556*LDM2_L)),COMPLEX(0,B556*LDM2_CPA))))</f>
        <v>0</v>
      </c>
      <c r="J556">
        <f>IMSUM(IMDIV("1",COMPLEX(CX2_ESR,B556*CX2_ESL-1/(B556*CX2_C))),IMDIV("1",IMSUM(COMPLEX(DUMP2_R,0),COMPLEX(DUMP2_ESR,B556*DUMP2_ESL-1/(B556*DUMP2_C)))))</f>
        <v>0</v>
      </c>
      <c r="K556">
        <f>IMPRODUCT("2",IMDIV("1",IMSUM(IMDIV("1",COMPLEX(CMC_DCR,B556*CMC_L*(1-CMC_K))),COMPLEX(0,B556*CMC_CPA))))</f>
        <v>0</v>
      </c>
      <c r="L556">
        <f>IMSUM(COMPLEX(0,B556*CMC_CLINE),IMDIV("1",IMPRODUCT("2",COMPLEX(CY_ESR,B556*CY_ESL-1/(B556*CY_C)))),COMPLEX(1/DUMMY_R,0))</f>
        <v>0</v>
      </c>
      <c r="M556">
        <f>IMSUM(D556,IMDIV("1",C556))</f>
        <v>0</v>
      </c>
      <c r="N556">
        <f>IMDIV("1",IMSUM(E556,IMDIV("1",M556)))</f>
        <v>0</v>
      </c>
      <c r="O556">
        <f>IMSUM(F556,N556)</f>
        <v>0</v>
      </c>
      <c r="P556">
        <f>IMDIV("1",IMSUM(G556,IMDIV("1",O556)))</f>
        <v>0</v>
      </c>
      <c r="Q556">
        <f>IMSUM(H556,P556)</f>
        <v>0</v>
      </c>
      <c r="R556">
        <f>IMDIV("1",IMSUM(I556,IMDIV("1",Q556)))</f>
        <v>0</v>
      </c>
      <c r="S556">
        <f>IMSUM(J556,R556)</f>
        <v>0</v>
      </c>
      <c r="T556">
        <f>IMDIV("1",IMSUM(K556,IMDIV("1",S556)))</f>
        <v>0</v>
      </c>
      <c r="U556">
        <f>IMSUM(L556,T556)</f>
        <v>0</v>
      </c>
      <c r="V556">
        <f>IMDIV(COMPLEX(I_DM_SOURCE,0),U556)</f>
        <v>0</v>
      </c>
      <c r="W556">
        <f>IMPRODUCT(V556,T556)</f>
        <v>0</v>
      </c>
      <c r="X556">
        <f>IMDIV(W556,S556)</f>
        <v>0</v>
      </c>
      <c r="Y556">
        <f>IMPRODUCT(X556,R556)</f>
        <v>0</v>
      </c>
      <c r="Z556">
        <f>IMDIV(Y556,Q556)</f>
        <v>0</v>
      </c>
      <c r="AA556">
        <f>IMPRODUCT(Z556,P556)</f>
        <v>0</v>
      </c>
      <c r="AB556">
        <f>AA556</f>
        <v>0</v>
      </c>
      <c r="AC556">
        <f>IMPRODUCT("-1",AB556)</f>
        <v>0</v>
      </c>
      <c r="AD556">
        <f>IMDIV(IMSUB(AB556,AC556),"2")</f>
        <v>0</v>
      </c>
      <c r="AE556" s="6">
        <f>IMABS(AB556)</f>
        <v>0</v>
      </c>
      <c r="AF556" s="6">
        <f>IMABS(AC556)</f>
        <v>0</v>
      </c>
      <c r="AG556" s="6">
        <f>IMABS(AD556)</f>
        <v>0</v>
      </c>
      <c r="AH556" s="7">
        <f>20*LOG10(MAX(AE556,1E-300)*1E6)</f>
        <v>0</v>
      </c>
      <c r="AI556" s="7">
        <f>20*LOG10(MAX(AF556,1E-300)*1E6)</f>
        <v>0</v>
      </c>
      <c r="AJ556" s="7">
        <f>20*LOG10(MAX(AG556,1E-300)*1E6)</f>
        <v>0</v>
      </c>
      <c r="AK556" s="7">
        <f>DEGREES(IMARGUMENT(AB556))</f>
        <v>0</v>
      </c>
      <c r="AL556" s="7">
        <f>DEGREES(IMARGUMENT(AC556))</f>
        <v>0</v>
      </c>
      <c r="AM556" s="7">
        <f>DEGREES(IMARGUMENT(AD556))</f>
        <v>0</v>
      </c>
    </row>
    <row r="557" spans="1:39">
      <c r="A557" s="6">
        <f>10^(LOG10(F_START)+(ROW()-ROW($A$2))*(LOG10(F_STOP)-LOG10(F_START))/(N_POINTS-1))</f>
        <v>0</v>
      </c>
      <c r="B557" s="6">
        <f>2*PI()*A557</f>
        <v>0</v>
      </c>
      <c r="C557">
        <f>COMPLEX(2*LINE_PS_DCR,2*B557*LINE_PS_L)</f>
        <v>0</v>
      </c>
      <c r="D557">
        <f>IMSUM(COMPLEX(0,B557*(LINE_PS_CLINE+LINE_PS_CCHA/2)),IMDIV("1",IMPRODUCT("2",COMPLEX(C_THROUGH_ESR,B557*C_THROUGH_ESL-1/(B557*C_THROUGH_C)))))</f>
        <v>0</v>
      </c>
      <c r="E557">
        <f>COMPLEX(2*LINE_INPUT_DCR,2*B557*LINE_INPUT_L)</f>
        <v>0</v>
      </c>
      <c r="F557">
        <f>COMPLEX(0,B557*(LINE_INPUT_CLINE+LINE_INPUT_CCHA/2))</f>
        <v>0</v>
      </c>
      <c r="G557">
        <f>IMPRODUCT("2",IMDIV("1",IMSUM(IMDIV("1",COMPLEX(LDM1_DCR,B557*LDM1_L)),COMPLEX(0,B557*LDM1_CPA))))</f>
        <v>0</v>
      </c>
      <c r="H557">
        <f>IMSUM(IMDIV("1",COMPLEX(CX1_ESR,B557*CX1_ESL-1/(B557*CX1_C))),IMDIV("1",IMSUM(COMPLEX(DUMP1_R,0),COMPLEX(DUMP1_ESR,B557*DUMP1_ESL-1/(B557*DUMP1_C)))))</f>
        <v>0</v>
      </c>
      <c r="I557">
        <f>IMPRODUCT("2",IMDIV("1",IMSUM(IMDIV("1",COMPLEX(LDM2_DCR,B557*LDM2_L)),COMPLEX(0,B557*LDM2_CPA))))</f>
        <v>0</v>
      </c>
      <c r="J557">
        <f>IMSUM(IMDIV("1",COMPLEX(CX2_ESR,B557*CX2_ESL-1/(B557*CX2_C))),IMDIV("1",IMSUM(COMPLEX(DUMP2_R,0),COMPLEX(DUMP2_ESR,B557*DUMP2_ESL-1/(B557*DUMP2_C)))))</f>
        <v>0</v>
      </c>
      <c r="K557">
        <f>IMPRODUCT("2",IMDIV("1",IMSUM(IMDIV("1",COMPLEX(CMC_DCR,B557*CMC_L*(1-CMC_K))),COMPLEX(0,B557*CMC_CPA))))</f>
        <v>0</v>
      </c>
      <c r="L557">
        <f>IMSUM(COMPLEX(0,B557*CMC_CLINE),IMDIV("1",IMPRODUCT("2",COMPLEX(CY_ESR,B557*CY_ESL-1/(B557*CY_C)))),COMPLEX(1/DUMMY_R,0))</f>
        <v>0</v>
      </c>
      <c r="M557">
        <f>IMSUM(D557,IMDIV("1",C557))</f>
        <v>0</v>
      </c>
      <c r="N557">
        <f>IMDIV("1",IMSUM(E557,IMDIV("1",M557)))</f>
        <v>0</v>
      </c>
      <c r="O557">
        <f>IMSUM(F557,N557)</f>
        <v>0</v>
      </c>
      <c r="P557">
        <f>IMDIV("1",IMSUM(G557,IMDIV("1",O557)))</f>
        <v>0</v>
      </c>
      <c r="Q557">
        <f>IMSUM(H557,P557)</f>
        <v>0</v>
      </c>
      <c r="R557">
        <f>IMDIV("1",IMSUM(I557,IMDIV("1",Q557)))</f>
        <v>0</v>
      </c>
      <c r="S557">
        <f>IMSUM(J557,R557)</f>
        <v>0</v>
      </c>
      <c r="T557">
        <f>IMDIV("1",IMSUM(K557,IMDIV("1",S557)))</f>
        <v>0</v>
      </c>
      <c r="U557">
        <f>IMSUM(L557,T557)</f>
        <v>0</v>
      </c>
      <c r="V557">
        <f>IMDIV(COMPLEX(I_DM_SOURCE,0),U557)</f>
        <v>0</v>
      </c>
      <c r="W557">
        <f>IMPRODUCT(V557,T557)</f>
        <v>0</v>
      </c>
      <c r="X557">
        <f>IMDIV(W557,S557)</f>
        <v>0</v>
      </c>
      <c r="Y557">
        <f>IMPRODUCT(X557,R557)</f>
        <v>0</v>
      </c>
      <c r="Z557">
        <f>IMDIV(Y557,Q557)</f>
        <v>0</v>
      </c>
      <c r="AA557">
        <f>IMPRODUCT(Z557,P557)</f>
        <v>0</v>
      </c>
      <c r="AB557">
        <f>AA557</f>
        <v>0</v>
      </c>
      <c r="AC557">
        <f>IMPRODUCT("-1",AB557)</f>
        <v>0</v>
      </c>
      <c r="AD557">
        <f>IMDIV(IMSUB(AB557,AC557),"2")</f>
        <v>0</v>
      </c>
      <c r="AE557" s="6">
        <f>IMABS(AB557)</f>
        <v>0</v>
      </c>
      <c r="AF557" s="6">
        <f>IMABS(AC557)</f>
        <v>0</v>
      </c>
      <c r="AG557" s="6">
        <f>IMABS(AD557)</f>
        <v>0</v>
      </c>
      <c r="AH557" s="7">
        <f>20*LOG10(MAX(AE557,1E-300)*1E6)</f>
        <v>0</v>
      </c>
      <c r="AI557" s="7">
        <f>20*LOG10(MAX(AF557,1E-300)*1E6)</f>
        <v>0</v>
      </c>
      <c r="AJ557" s="7">
        <f>20*LOG10(MAX(AG557,1E-300)*1E6)</f>
        <v>0</v>
      </c>
      <c r="AK557" s="7">
        <f>DEGREES(IMARGUMENT(AB557))</f>
        <v>0</v>
      </c>
      <c r="AL557" s="7">
        <f>DEGREES(IMARGUMENT(AC557))</f>
        <v>0</v>
      </c>
      <c r="AM557" s="7">
        <f>DEGREES(IMARGUMENT(AD557))</f>
        <v>0</v>
      </c>
    </row>
    <row r="558" spans="1:39">
      <c r="A558" s="6">
        <f>10^(LOG10(F_START)+(ROW()-ROW($A$2))*(LOG10(F_STOP)-LOG10(F_START))/(N_POINTS-1))</f>
        <v>0</v>
      </c>
      <c r="B558" s="6">
        <f>2*PI()*A558</f>
        <v>0</v>
      </c>
      <c r="C558">
        <f>COMPLEX(2*LINE_PS_DCR,2*B558*LINE_PS_L)</f>
        <v>0</v>
      </c>
      <c r="D558">
        <f>IMSUM(COMPLEX(0,B558*(LINE_PS_CLINE+LINE_PS_CCHA/2)),IMDIV("1",IMPRODUCT("2",COMPLEX(C_THROUGH_ESR,B558*C_THROUGH_ESL-1/(B558*C_THROUGH_C)))))</f>
        <v>0</v>
      </c>
      <c r="E558">
        <f>COMPLEX(2*LINE_INPUT_DCR,2*B558*LINE_INPUT_L)</f>
        <v>0</v>
      </c>
      <c r="F558">
        <f>COMPLEX(0,B558*(LINE_INPUT_CLINE+LINE_INPUT_CCHA/2))</f>
        <v>0</v>
      </c>
      <c r="G558">
        <f>IMPRODUCT("2",IMDIV("1",IMSUM(IMDIV("1",COMPLEX(LDM1_DCR,B558*LDM1_L)),COMPLEX(0,B558*LDM1_CPA))))</f>
        <v>0</v>
      </c>
      <c r="H558">
        <f>IMSUM(IMDIV("1",COMPLEX(CX1_ESR,B558*CX1_ESL-1/(B558*CX1_C))),IMDIV("1",IMSUM(COMPLEX(DUMP1_R,0),COMPLEX(DUMP1_ESR,B558*DUMP1_ESL-1/(B558*DUMP1_C)))))</f>
        <v>0</v>
      </c>
      <c r="I558">
        <f>IMPRODUCT("2",IMDIV("1",IMSUM(IMDIV("1",COMPLEX(LDM2_DCR,B558*LDM2_L)),COMPLEX(0,B558*LDM2_CPA))))</f>
        <v>0</v>
      </c>
      <c r="J558">
        <f>IMSUM(IMDIV("1",COMPLEX(CX2_ESR,B558*CX2_ESL-1/(B558*CX2_C))),IMDIV("1",IMSUM(COMPLEX(DUMP2_R,0),COMPLEX(DUMP2_ESR,B558*DUMP2_ESL-1/(B558*DUMP2_C)))))</f>
        <v>0</v>
      </c>
      <c r="K558">
        <f>IMPRODUCT("2",IMDIV("1",IMSUM(IMDIV("1",COMPLEX(CMC_DCR,B558*CMC_L*(1-CMC_K))),COMPLEX(0,B558*CMC_CPA))))</f>
        <v>0</v>
      </c>
      <c r="L558">
        <f>IMSUM(COMPLEX(0,B558*CMC_CLINE),IMDIV("1",IMPRODUCT("2",COMPLEX(CY_ESR,B558*CY_ESL-1/(B558*CY_C)))),COMPLEX(1/DUMMY_R,0))</f>
        <v>0</v>
      </c>
      <c r="M558">
        <f>IMSUM(D558,IMDIV("1",C558))</f>
        <v>0</v>
      </c>
      <c r="N558">
        <f>IMDIV("1",IMSUM(E558,IMDIV("1",M558)))</f>
        <v>0</v>
      </c>
      <c r="O558">
        <f>IMSUM(F558,N558)</f>
        <v>0</v>
      </c>
      <c r="P558">
        <f>IMDIV("1",IMSUM(G558,IMDIV("1",O558)))</f>
        <v>0</v>
      </c>
      <c r="Q558">
        <f>IMSUM(H558,P558)</f>
        <v>0</v>
      </c>
      <c r="R558">
        <f>IMDIV("1",IMSUM(I558,IMDIV("1",Q558)))</f>
        <v>0</v>
      </c>
      <c r="S558">
        <f>IMSUM(J558,R558)</f>
        <v>0</v>
      </c>
      <c r="T558">
        <f>IMDIV("1",IMSUM(K558,IMDIV("1",S558)))</f>
        <v>0</v>
      </c>
      <c r="U558">
        <f>IMSUM(L558,T558)</f>
        <v>0</v>
      </c>
      <c r="V558">
        <f>IMDIV(COMPLEX(I_DM_SOURCE,0),U558)</f>
        <v>0</v>
      </c>
      <c r="W558">
        <f>IMPRODUCT(V558,T558)</f>
        <v>0</v>
      </c>
      <c r="X558">
        <f>IMDIV(W558,S558)</f>
        <v>0</v>
      </c>
      <c r="Y558">
        <f>IMPRODUCT(X558,R558)</f>
        <v>0</v>
      </c>
      <c r="Z558">
        <f>IMDIV(Y558,Q558)</f>
        <v>0</v>
      </c>
      <c r="AA558">
        <f>IMPRODUCT(Z558,P558)</f>
        <v>0</v>
      </c>
      <c r="AB558">
        <f>AA558</f>
        <v>0</v>
      </c>
      <c r="AC558">
        <f>IMPRODUCT("-1",AB558)</f>
        <v>0</v>
      </c>
      <c r="AD558">
        <f>IMDIV(IMSUB(AB558,AC558),"2")</f>
        <v>0</v>
      </c>
      <c r="AE558" s="6">
        <f>IMABS(AB558)</f>
        <v>0</v>
      </c>
      <c r="AF558" s="6">
        <f>IMABS(AC558)</f>
        <v>0</v>
      </c>
      <c r="AG558" s="6">
        <f>IMABS(AD558)</f>
        <v>0</v>
      </c>
      <c r="AH558" s="7">
        <f>20*LOG10(MAX(AE558,1E-300)*1E6)</f>
        <v>0</v>
      </c>
      <c r="AI558" s="7">
        <f>20*LOG10(MAX(AF558,1E-300)*1E6)</f>
        <v>0</v>
      </c>
      <c r="AJ558" s="7">
        <f>20*LOG10(MAX(AG558,1E-300)*1E6)</f>
        <v>0</v>
      </c>
      <c r="AK558" s="7">
        <f>DEGREES(IMARGUMENT(AB558))</f>
        <v>0</v>
      </c>
      <c r="AL558" s="7">
        <f>DEGREES(IMARGUMENT(AC558))</f>
        <v>0</v>
      </c>
      <c r="AM558" s="7">
        <f>DEGREES(IMARGUMENT(AD558))</f>
        <v>0</v>
      </c>
    </row>
    <row r="559" spans="1:39">
      <c r="A559" s="6">
        <f>10^(LOG10(F_START)+(ROW()-ROW($A$2))*(LOG10(F_STOP)-LOG10(F_START))/(N_POINTS-1))</f>
        <v>0</v>
      </c>
      <c r="B559" s="6">
        <f>2*PI()*A559</f>
        <v>0</v>
      </c>
      <c r="C559">
        <f>COMPLEX(2*LINE_PS_DCR,2*B559*LINE_PS_L)</f>
        <v>0</v>
      </c>
      <c r="D559">
        <f>IMSUM(COMPLEX(0,B559*(LINE_PS_CLINE+LINE_PS_CCHA/2)),IMDIV("1",IMPRODUCT("2",COMPLEX(C_THROUGH_ESR,B559*C_THROUGH_ESL-1/(B559*C_THROUGH_C)))))</f>
        <v>0</v>
      </c>
      <c r="E559">
        <f>COMPLEX(2*LINE_INPUT_DCR,2*B559*LINE_INPUT_L)</f>
        <v>0</v>
      </c>
      <c r="F559">
        <f>COMPLEX(0,B559*(LINE_INPUT_CLINE+LINE_INPUT_CCHA/2))</f>
        <v>0</v>
      </c>
      <c r="G559">
        <f>IMPRODUCT("2",IMDIV("1",IMSUM(IMDIV("1",COMPLEX(LDM1_DCR,B559*LDM1_L)),COMPLEX(0,B559*LDM1_CPA))))</f>
        <v>0</v>
      </c>
      <c r="H559">
        <f>IMSUM(IMDIV("1",COMPLEX(CX1_ESR,B559*CX1_ESL-1/(B559*CX1_C))),IMDIV("1",IMSUM(COMPLEX(DUMP1_R,0),COMPLEX(DUMP1_ESR,B559*DUMP1_ESL-1/(B559*DUMP1_C)))))</f>
        <v>0</v>
      </c>
      <c r="I559">
        <f>IMPRODUCT("2",IMDIV("1",IMSUM(IMDIV("1",COMPLEX(LDM2_DCR,B559*LDM2_L)),COMPLEX(0,B559*LDM2_CPA))))</f>
        <v>0</v>
      </c>
      <c r="J559">
        <f>IMSUM(IMDIV("1",COMPLEX(CX2_ESR,B559*CX2_ESL-1/(B559*CX2_C))),IMDIV("1",IMSUM(COMPLEX(DUMP2_R,0),COMPLEX(DUMP2_ESR,B559*DUMP2_ESL-1/(B559*DUMP2_C)))))</f>
        <v>0</v>
      </c>
      <c r="K559">
        <f>IMPRODUCT("2",IMDIV("1",IMSUM(IMDIV("1",COMPLEX(CMC_DCR,B559*CMC_L*(1-CMC_K))),COMPLEX(0,B559*CMC_CPA))))</f>
        <v>0</v>
      </c>
      <c r="L559">
        <f>IMSUM(COMPLEX(0,B559*CMC_CLINE),IMDIV("1",IMPRODUCT("2",COMPLEX(CY_ESR,B559*CY_ESL-1/(B559*CY_C)))),COMPLEX(1/DUMMY_R,0))</f>
        <v>0</v>
      </c>
      <c r="M559">
        <f>IMSUM(D559,IMDIV("1",C559))</f>
        <v>0</v>
      </c>
      <c r="N559">
        <f>IMDIV("1",IMSUM(E559,IMDIV("1",M559)))</f>
        <v>0</v>
      </c>
      <c r="O559">
        <f>IMSUM(F559,N559)</f>
        <v>0</v>
      </c>
      <c r="P559">
        <f>IMDIV("1",IMSUM(G559,IMDIV("1",O559)))</f>
        <v>0</v>
      </c>
      <c r="Q559">
        <f>IMSUM(H559,P559)</f>
        <v>0</v>
      </c>
      <c r="R559">
        <f>IMDIV("1",IMSUM(I559,IMDIV("1",Q559)))</f>
        <v>0</v>
      </c>
      <c r="S559">
        <f>IMSUM(J559,R559)</f>
        <v>0</v>
      </c>
      <c r="T559">
        <f>IMDIV("1",IMSUM(K559,IMDIV("1",S559)))</f>
        <v>0</v>
      </c>
      <c r="U559">
        <f>IMSUM(L559,T559)</f>
        <v>0</v>
      </c>
      <c r="V559">
        <f>IMDIV(COMPLEX(I_DM_SOURCE,0),U559)</f>
        <v>0</v>
      </c>
      <c r="W559">
        <f>IMPRODUCT(V559,T559)</f>
        <v>0</v>
      </c>
      <c r="X559">
        <f>IMDIV(W559,S559)</f>
        <v>0</v>
      </c>
      <c r="Y559">
        <f>IMPRODUCT(X559,R559)</f>
        <v>0</v>
      </c>
      <c r="Z559">
        <f>IMDIV(Y559,Q559)</f>
        <v>0</v>
      </c>
      <c r="AA559">
        <f>IMPRODUCT(Z559,P559)</f>
        <v>0</v>
      </c>
      <c r="AB559">
        <f>AA559</f>
        <v>0</v>
      </c>
      <c r="AC559">
        <f>IMPRODUCT("-1",AB559)</f>
        <v>0</v>
      </c>
      <c r="AD559">
        <f>IMDIV(IMSUB(AB559,AC559),"2")</f>
        <v>0</v>
      </c>
      <c r="AE559" s="6">
        <f>IMABS(AB559)</f>
        <v>0</v>
      </c>
      <c r="AF559" s="6">
        <f>IMABS(AC559)</f>
        <v>0</v>
      </c>
      <c r="AG559" s="6">
        <f>IMABS(AD559)</f>
        <v>0</v>
      </c>
      <c r="AH559" s="7">
        <f>20*LOG10(MAX(AE559,1E-300)*1E6)</f>
        <v>0</v>
      </c>
      <c r="AI559" s="7">
        <f>20*LOG10(MAX(AF559,1E-300)*1E6)</f>
        <v>0</v>
      </c>
      <c r="AJ559" s="7">
        <f>20*LOG10(MAX(AG559,1E-300)*1E6)</f>
        <v>0</v>
      </c>
      <c r="AK559" s="7">
        <f>DEGREES(IMARGUMENT(AB559))</f>
        <v>0</v>
      </c>
      <c r="AL559" s="7">
        <f>DEGREES(IMARGUMENT(AC559))</f>
        <v>0</v>
      </c>
      <c r="AM559" s="7">
        <f>DEGREES(IMARGUMENT(AD559))</f>
        <v>0</v>
      </c>
    </row>
    <row r="560" spans="1:39">
      <c r="A560" s="6">
        <f>10^(LOG10(F_START)+(ROW()-ROW($A$2))*(LOG10(F_STOP)-LOG10(F_START))/(N_POINTS-1))</f>
        <v>0</v>
      </c>
      <c r="B560" s="6">
        <f>2*PI()*A560</f>
        <v>0</v>
      </c>
      <c r="C560">
        <f>COMPLEX(2*LINE_PS_DCR,2*B560*LINE_PS_L)</f>
        <v>0</v>
      </c>
      <c r="D560">
        <f>IMSUM(COMPLEX(0,B560*(LINE_PS_CLINE+LINE_PS_CCHA/2)),IMDIV("1",IMPRODUCT("2",COMPLEX(C_THROUGH_ESR,B560*C_THROUGH_ESL-1/(B560*C_THROUGH_C)))))</f>
        <v>0</v>
      </c>
      <c r="E560">
        <f>COMPLEX(2*LINE_INPUT_DCR,2*B560*LINE_INPUT_L)</f>
        <v>0</v>
      </c>
      <c r="F560">
        <f>COMPLEX(0,B560*(LINE_INPUT_CLINE+LINE_INPUT_CCHA/2))</f>
        <v>0</v>
      </c>
      <c r="G560">
        <f>IMPRODUCT("2",IMDIV("1",IMSUM(IMDIV("1",COMPLEX(LDM1_DCR,B560*LDM1_L)),COMPLEX(0,B560*LDM1_CPA))))</f>
        <v>0</v>
      </c>
      <c r="H560">
        <f>IMSUM(IMDIV("1",COMPLEX(CX1_ESR,B560*CX1_ESL-1/(B560*CX1_C))),IMDIV("1",IMSUM(COMPLEX(DUMP1_R,0),COMPLEX(DUMP1_ESR,B560*DUMP1_ESL-1/(B560*DUMP1_C)))))</f>
        <v>0</v>
      </c>
      <c r="I560">
        <f>IMPRODUCT("2",IMDIV("1",IMSUM(IMDIV("1",COMPLEX(LDM2_DCR,B560*LDM2_L)),COMPLEX(0,B560*LDM2_CPA))))</f>
        <v>0</v>
      </c>
      <c r="J560">
        <f>IMSUM(IMDIV("1",COMPLEX(CX2_ESR,B560*CX2_ESL-1/(B560*CX2_C))),IMDIV("1",IMSUM(COMPLEX(DUMP2_R,0),COMPLEX(DUMP2_ESR,B560*DUMP2_ESL-1/(B560*DUMP2_C)))))</f>
        <v>0</v>
      </c>
      <c r="K560">
        <f>IMPRODUCT("2",IMDIV("1",IMSUM(IMDIV("1",COMPLEX(CMC_DCR,B560*CMC_L*(1-CMC_K))),COMPLEX(0,B560*CMC_CPA))))</f>
        <v>0</v>
      </c>
      <c r="L560">
        <f>IMSUM(COMPLEX(0,B560*CMC_CLINE),IMDIV("1",IMPRODUCT("2",COMPLEX(CY_ESR,B560*CY_ESL-1/(B560*CY_C)))),COMPLEX(1/DUMMY_R,0))</f>
        <v>0</v>
      </c>
      <c r="M560">
        <f>IMSUM(D560,IMDIV("1",C560))</f>
        <v>0</v>
      </c>
      <c r="N560">
        <f>IMDIV("1",IMSUM(E560,IMDIV("1",M560)))</f>
        <v>0</v>
      </c>
      <c r="O560">
        <f>IMSUM(F560,N560)</f>
        <v>0</v>
      </c>
      <c r="P560">
        <f>IMDIV("1",IMSUM(G560,IMDIV("1",O560)))</f>
        <v>0</v>
      </c>
      <c r="Q560">
        <f>IMSUM(H560,P560)</f>
        <v>0</v>
      </c>
      <c r="R560">
        <f>IMDIV("1",IMSUM(I560,IMDIV("1",Q560)))</f>
        <v>0</v>
      </c>
      <c r="S560">
        <f>IMSUM(J560,R560)</f>
        <v>0</v>
      </c>
      <c r="T560">
        <f>IMDIV("1",IMSUM(K560,IMDIV("1",S560)))</f>
        <v>0</v>
      </c>
      <c r="U560">
        <f>IMSUM(L560,T560)</f>
        <v>0</v>
      </c>
      <c r="V560">
        <f>IMDIV(COMPLEX(I_DM_SOURCE,0),U560)</f>
        <v>0</v>
      </c>
      <c r="W560">
        <f>IMPRODUCT(V560,T560)</f>
        <v>0</v>
      </c>
      <c r="X560">
        <f>IMDIV(W560,S560)</f>
        <v>0</v>
      </c>
      <c r="Y560">
        <f>IMPRODUCT(X560,R560)</f>
        <v>0</v>
      </c>
      <c r="Z560">
        <f>IMDIV(Y560,Q560)</f>
        <v>0</v>
      </c>
      <c r="AA560">
        <f>IMPRODUCT(Z560,P560)</f>
        <v>0</v>
      </c>
      <c r="AB560">
        <f>AA560</f>
        <v>0</v>
      </c>
      <c r="AC560">
        <f>IMPRODUCT("-1",AB560)</f>
        <v>0</v>
      </c>
      <c r="AD560">
        <f>IMDIV(IMSUB(AB560,AC560),"2")</f>
        <v>0</v>
      </c>
      <c r="AE560" s="6">
        <f>IMABS(AB560)</f>
        <v>0</v>
      </c>
      <c r="AF560" s="6">
        <f>IMABS(AC560)</f>
        <v>0</v>
      </c>
      <c r="AG560" s="6">
        <f>IMABS(AD560)</f>
        <v>0</v>
      </c>
      <c r="AH560" s="7">
        <f>20*LOG10(MAX(AE560,1E-300)*1E6)</f>
        <v>0</v>
      </c>
      <c r="AI560" s="7">
        <f>20*LOG10(MAX(AF560,1E-300)*1E6)</f>
        <v>0</v>
      </c>
      <c r="AJ560" s="7">
        <f>20*LOG10(MAX(AG560,1E-300)*1E6)</f>
        <v>0</v>
      </c>
      <c r="AK560" s="7">
        <f>DEGREES(IMARGUMENT(AB560))</f>
        <v>0</v>
      </c>
      <c r="AL560" s="7">
        <f>DEGREES(IMARGUMENT(AC560))</f>
        <v>0</v>
      </c>
      <c r="AM560" s="7">
        <f>DEGREES(IMARGUMENT(AD560))</f>
        <v>0</v>
      </c>
    </row>
    <row r="561" spans="1:39">
      <c r="A561" s="6">
        <f>10^(LOG10(F_START)+(ROW()-ROW($A$2))*(LOG10(F_STOP)-LOG10(F_START))/(N_POINTS-1))</f>
        <v>0</v>
      </c>
      <c r="B561" s="6">
        <f>2*PI()*A561</f>
        <v>0</v>
      </c>
      <c r="C561">
        <f>COMPLEX(2*LINE_PS_DCR,2*B561*LINE_PS_L)</f>
        <v>0</v>
      </c>
      <c r="D561">
        <f>IMSUM(COMPLEX(0,B561*(LINE_PS_CLINE+LINE_PS_CCHA/2)),IMDIV("1",IMPRODUCT("2",COMPLEX(C_THROUGH_ESR,B561*C_THROUGH_ESL-1/(B561*C_THROUGH_C)))))</f>
        <v>0</v>
      </c>
      <c r="E561">
        <f>COMPLEX(2*LINE_INPUT_DCR,2*B561*LINE_INPUT_L)</f>
        <v>0</v>
      </c>
      <c r="F561">
        <f>COMPLEX(0,B561*(LINE_INPUT_CLINE+LINE_INPUT_CCHA/2))</f>
        <v>0</v>
      </c>
      <c r="G561">
        <f>IMPRODUCT("2",IMDIV("1",IMSUM(IMDIV("1",COMPLEX(LDM1_DCR,B561*LDM1_L)),COMPLEX(0,B561*LDM1_CPA))))</f>
        <v>0</v>
      </c>
      <c r="H561">
        <f>IMSUM(IMDIV("1",COMPLEX(CX1_ESR,B561*CX1_ESL-1/(B561*CX1_C))),IMDIV("1",IMSUM(COMPLEX(DUMP1_R,0),COMPLEX(DUMP1_ESR,B561*DUMP1_ESL-1/(B561*DUMP1_C)))))</f>
        <v>0</v>
      </c>
      <c r="I561">
        <f>IMPRODUCT("2",IMDIV("1",IMSUM(IMDIV("1",COMPLEX(LDM2_DCR,B561*LDM2_L)),COMPLEX(0,B561*LDM2_CPA))))</f>
        <v>0</v>
      </c>
      <c r="J561">
        <f>IMSUM(IMDIV("1",COMPLEX(CX2_ESR,B561*CX2_ESL-1/(B561*CX2_C))),IMDIV("1",IMSUM(COMPLEX(DUMP2_R,0),COMPLEX(DUMP2_ESR,B561*DUMP2_ESL-1/(B561*DUMP2_C)))))</f>
        <v>0</v>
      </c>
      <c r="K561">
        <f>IMPRODUCT("2",IMDIV("1",IMSUM(IMDIV("1",COMPLEX(CMC_DCR,B561*CMC_L*(1-CMC_K))),COMPLEX(0,B561*CMC_CPA))))</f>
        <v>0</v>
      </c>
      <c r="L561">
        <f>IMSUM(COMPLEX(0,B561*CMC_CLINE),IMDIV("1",IMPRODUCT("2",COMPLEX(CY_ESR,B561*CY_ESL-1/(B561*CY_C)))),COMPLEX(1/DUMMY_R,0))</f>
        <v>0</v>
      </c>
      <c r="M561">
        <f>IMSUM(D561,IMDIV("1",C561))</f>
        <v>0</v>
      </c>
      <c r="N561">
        <f>IMDIV("1",IMSUM(E561,IMDIV("1",M561)))</f>
        <v>0</v>
      </c>
      <c r="O561">
        <f>IMSUM(F561,N561)</f>
        <v>0</v>
      </c>
      <c r="P561">
        <f>IMDIV("1",IMSUM(G561,IMDIV("1",O561)))</f>
        <v>0</v>
      </c>
      <c r="Q561">
        <f>IMSUM(H561,P561)</f>
        <v>0</v>
      </c>
      <c r="R561">
        <f>IMDIV("1",IMSUM(I561,IMDIV("1",Q561)))</f>
        <v>0</v>
      </c>
      <c r="S561">
        <f>IMSUM(J561,R561)</f>
        <v>0</v>
      </c>
      <c r="T561">
        <f>IMDIV("1",IMSUM(K561,IMDIV("1",S561)))</f>
        <v>0</v>
      </c>
      <c r="U561">
        <f>IMSUM(L561,T561)</f>
        <v>0</v>
      </c>
      <c r="V561">
        <f>IMDIV(COMPLEX(I_DM_SOURCE,0),U561)</f>
        <v>0</v>
      </c>
      <c r="W561">
        <f>IMPRODUCT(V561,T561)</f>
        <v>0</v>
      </c>
      <c r="X561">
        <f>IMDIV(W561,S561)</f>
        <v>0</v>
      </c>
      <c r="Y561">
        <f>IMPRODUCT(X561,R561)</f>
        <v>0</v>
      </c>
      <c r="Z561">
        <f>IMDIV(Y561,Q561)</f>
        <v>0</v>
      </c>
      <c r="AA561">
        <f>IMPRODUCT(Z561,P561)</f>
        <v>0</v>
      </c>
      <c r="AB561">
        <f>AA561</f>
        <v>0</v>
      </c>
      <c r="AC561">
        <f>IMPRODUCT("-1",AB561)</f>
        <v>0</v>
      </c>
      <c r="AD561">
        <f>IMDIV(IMSUB(AB561,AC561),"2")</f>
        <v>0</v>
      </c>
      <c r="AE561" s="6">
        <f>IMABS(AB561)</f>
        <v>0</v>
      </c>
      <c r="AF561" s="6">
        <f>IMABS(AC561)</f>
        <v>0</v>
      </c>
      <c r="AG561" s="6">
        <f>IMABS(AD561)</f>
        <v>0</v>
      </c>
      <c r="AH561" s="7">
        <f>20*LOG10(MAX(AE561,1E-300)*1E6)</f>
        <v>0</v>
      </c>
      <c r="AI561" s="7">
        <f>20*LOG10(MAX(AF561,1E-300)*1E6)</f>
        <v>0</v>
      </c>
      <c r="AJ561" s="7">
        <f>20*LOG10(MAX(AG561,1E-300)*1E6)</f>
        <v>0</v>
      </c>
      <c r="AK561" s="7">
        <f>DEGREES(IMARGUMENT(AB561))</f>
        <v>0</v>
      </c>
      <c r="AL561" s="7">
        <f>DEGREES(IMARGUMENT(AC561))</f>
        <v>0</v>
      </c>
      <c r="AM561" s="7">
        <f>DEGREES(IMARGUMENT(AD561))</f>
        <v>0</v>
      </c>
    </row>
    <row r="562" spans="1:39">
      <c r="A562" s="6">
        <f>10^(LOG10(F_START)+(ROW()-ROW($A$2))*(LOG10(F_STOP)-LOG10(F_START))/(N_POINTS-1))</f>
        <v>0</v>
      </c>
      <c r="B562" s="6">
        <f>2*PI()*A562</f>
        <v>0</v>
      </c>
      <c r="C562">
        <f>COMPLEX(2*LINE_PS_DCR,2*B562*LINE_PS_L)</f>
        <v>0</v>
      </c>
      <c r="D562">
        <f>IMSUM(COMPLEX(0,B562*(LINE_PS_CLINE+LINE_PS_CCHA/2)),IMDIV("1",IMPRODUCT("2",COMPLEX(C_THROUGH_ESR,B562*C_THROUGH_ESL-1/(B562*C_THROUGH_C)))))</f>
        <v>0</v>
      </c>
      <c r="E562">
        <f>COMPLEX(2*LINE_INPUT_DCR,2*B562*LINE_INPUT_L)</f>
        <v>0</v>
      </c>
      <c r="F562">
        <f>COMPLEX(0,B562*(LINE_INPUT_CLINE+LINE_INPUT_CCHA/2))</f>
        <v>0</v>
      </c>
      <c r="G562">
        <f>IMPRODUCT("2",IMDIV("1",IMSUM(IMDIV("1",COMPLEX(LDM1_DCR,B562*LDM1_L)),COMPLEX(0,B562*LDM1_CPA))))</f>
        <v>0</v>
      </c>
      <c r="H562">
        <f>IMSUM(IMDIV("1",COMPLEX(CX1_ESR,B562*CX1_ESL-1/(B562*CX1_C))),IMDIV("1",IMSUM(COMPLEX(DUMP1_R,0),COMPLEX(DUMP1_ESR,B562*DUMP1_ESL-1/(B562*DUMP1_C)))))</f>
        <v>0</v>
      </c>
      <c r="I562">
        <f>IMPRODUCT("2",IMDIV("1",IMSUM(IMDIV("1",COMPLEX(LDM2_DCR,B562*LDM2_L)),COMPLEX(0,B562*LDM2_CPA))))</f>
        <v>0</v>
      </c>
      <c r="J562">
        <f>IMSUM(IMDIV("1",COMPLEX(CX2_ESR,B562*CX2_ESL-1/(B562*CX2_C))),IMDIV("1",IMSUM(COMPLEX(DUMP2_R,0),COMPLEX(DUMP2_ESR,B562*DUMP2_ESL-1/(B562*DUMP2_C)))))</f>
        <v>0</v>
      </c>
      <c r="K562">
        <f>IMPRODUCT("2",IMDIV("1",IMSUM(IMDIV("1",COMPLEX(CMC_DCR,B562*CMC_L*(1-CMC_K))),COMPLEX(0,B562*CMC_CPA))))</f>
        <v>0</v>
      </c>
      <c r="L562">
        <f>IMSUM(COMPLEX(0,B562*CMC_CLINE),IMDIV("1",IMPRODUCT("2",COMPLEX(CY_ESR,B562*CY_ESL-1/(B562*CY_C)))),COMPLEX(1/DUMMY_R,0))</f>
        <v>0</v>
      </c>
      <c r="M562">
        <f>IMSUM(D562,IMDIV("1",C562))</f>
        <v>0</v>
      </c>
      <c r="N562">
        <f>IMDIV("1",IMSUM(E562,IMDIV("1",M562)))</f>
        <v>0</v>
      </c>
      <c r="O562">
        <f>IMSUM(F562,N562)</f>
        <v>0</v>
      </c>
      <c r="P562">
        <f>IMDIV("1",IMSUM(G562,IMDIV("1",O562)))</f>
        <v>0</v>
      </c>
      <c r="Q562">
        <f>IMSUM(H562,P562)</f>
        <v>0</v>
      </c>
      <c r="R562">
        <f>IMDIV("1",IMSUM(I562,IMDIV("1",Q562)))</f>
        <v>0</v>
      </c>
      <c r="S562">
        <f>IMSUM(J562,R562)</f>
        <v>0</v>
      </c>
      <c r="T562">
        <f>IMDIV("1",IMSUM(K562,IMDIV("1",S562)))</f>
        <v>0</v>
      </c>
      <c r="U562">
        <f>IMSUM(L562,T562)</f>
        <v>0</v>
      </c>
      <c r="V562">
        <f>IMDIV(COMPLEX(I_DM_SOURCE,0),U562)</f>
        <v>0</v>
      </c>
      <c r="W562">
        <f>IMPRODUCT(V562,T562)</f>
        <v>0</v>
      </c>
      <c r="X562">
        <f>IMDIV(W562,S562)</f>
        <v>0</v>
      </c>
      <c r="Y562">
        <f>IMPRODUCT(X562,R562)</f>
        <v>0</v>
      </c>
      <c r="Z562">
        <f>IMDIV(Y562,Q562)</f>
        <v>0</v>
      </c>
      <c r="AA562">
        <f>IMPRODUCT(Z562,P562)</f>
        <v>0</v>
      </c>
      <c r="AB562">
        <f>AA562</f>
        <v>0</v>
      </c>
      <c r="AC562">
        <f>IMPRODUCT("-1",AB562)</f>
        <v>0</v>
      </c>
      <c r="AD562">
        <f>IMDIV(IMSUB(AB562,AC562),"2")</f>
        <v>0</v>
      </c>
      <c r="AE562" s="6">
        <f>IMABS(AB562)</f>
        <v>0</v>
      </c>
      <c r="AF562" s="6">
        <f>IMABS(AC562)</f>
        <v>0</v>
      </c>
      <c r="AG562" s="6">
        <f>IMABS(AD562)</f>
        <v>0</v>
      </c>
      <c r="AH562" s="7">
        <f>20*LOG10(MAX(AE562,1E-300)*1E6)</f>
        <v>0</v>
      </c>
      <c r="AI562" s="7">
        <f>20*LOG10(MAX(AF562,1E-300)*1E6)</f>
        <v>0</v>
      </c>
      <c r="AJ562" s="7">
        <f>20*LOG10(MAX(AG562,1E-300)*1E6)</f>
        <v>0</v>
      </c>
      <c r="AK562" s="7">
        <f>DEGREES(IMARGUMENT(AB562))</f>
        <v>0</v>
      </c>
      <c r="AL562" s="7">
        <f>DEGREES(IMARGUMENT(AC562))</f>
        <v>0</v>
      </c>
      <c r="AM562" s="7">
        <f>DEGREES(IMARGUMENT(AD562))</f>
        <v>0</v>
      </c>
    </row>
    <row r="563" spans="1:39">
      <c r="A563" s="6">
        <f>10^(LOG10(F_START)+(ROW()-ROW($A$2))*(LOG10(F_STOP)-LOG10(F_START))/(N_POINTS-1))</f>
        <v>0</v>
      </c>
      <c r="B563" s="6">
        <f>2*PI()*A563</f>
        <v>0</v>
      </c>
      <c r="C563">
        <f>COMPLEX(2*LINE_PS_DCR,2*B563*LINE_PS_L)</f>
        <v>0</v>
      </c>
      <c r="D563">
        <f>IMSUM(COMPLEX(0,B563*(LINE_PS_CLINE+LINE_PS_CCHA/2)),IMDIV("1",IMPRODUCT("2",COMPLEX(C_THROUGH_ESR,B563*C_THROUGH_ESL-1/(B563*C_THROUGH_C)))))</f>
        <v>0</v>
      </c>
      <c r="E563">
        <f>COMPLEX(2*LINE_INPUT_DCR,2*B563*LINE_INPUT_L)</f>
        <v>0</v>
      </c>
      <c r="F563">
        <f>COMPLEX(0,B563*(LINE_INPUT_CLINE+LINE_INPUT_CCHA/2))</f>
        <v>0</v>
      </c>
      <c r="G563">
        <f>IMPRODUCT("2",IMDIV("1",IMSUM(IMDIV("1",COMPLEX(LDM1_DCR,B563*LDM1_L)),COMPLEX(0,B563*LDM1_CPA))))</f>
        <v>0</v>
      </c>
      <c r="H563">
        <f>IMSUM(IMDIV("1",COMPLEX(CX1_ESR,B563*CX1_ESL-1/(B563*CX1_C))),IMDIV("1",IMSUM(COMPLEX(DUMP1_R,0),COMPLEX(DUMP1_ESR,B563*DUMP1_ESL-1/(B563*DUMP1_C)))))</f>
        <v>0</v>
      </c>
      <c r="I563">
        <f>IMPRODUCT("2",IMDIV("1",IMSUM(IMDIV("1",COMPLEX(LDM2_DCR,B563*LDM2_L)),COMPLEX(0,B563*LDM2_CPA))))</f>
        <v>0</v>
      </c>
      <c r="J563">
        <f>IMSUM(IMDIV("1",COMPLEX(CX2_ESR,B563*CX2_ESL-1/(B563*CX2_C))),IMDIV("1",IMSUM(COMPLEX(DUMP2_R,0),COMPLEX(DUMP2_ESR,B563*DUMP2_ESL-1/(B563*DUMP2_C)))))</f>
        <v>0</v>
      </c>
      <c r="K563">
        <f>IMPRODUCT("2",IMDIV("1",IMSUM(IMDIV("1",COMPLEX(CMC_DCR,B563*CMC_L*(1-CMC_K))),COMPLEX(0,B563*CMC_CPA))))</f>
        <v>0</v>
      </c>
      <c r="L563">
        <f>IMSUM(COMPLEX(0,B563*CMC_CLINE),IMDIV("1",IMPRODUCT("2",COMPLEX(CY_ESR,B563*CY_ESL-1/(B563*CY_C)))),COMPLEX(1/DUMMY_R,0))</f>
        <v>0</v>
      </c>
      <c r="M563">
        <f>IMSUM(D563,IMDIV("1",C563))</f>
        <v>0</v>
      </c>
      <c r="N563">
        <f>IMDIV("1",IMSUM(E563,IMDIV("1",M563)))</f>
        <v>0</v>
      </c>
      <c r="O563">
        <f>IMSUM(F563,N563)</f>
        <v>0</v>
      </c>
      <c r="P563">
        <f>IMDIV("1",IMSUM(G563,IMDIV("1",O563)))</f>
        <v>0</v>
      </c>
      <c r="Q563">
        <f>IMSUM(H563,P563)</f>
        <v>0</v>
      </c>
      <c r="R563">
        <f>IMDIV("1",IMSUM(I563,IMDIV("1",Q563)))</f>
        <v>0</v>
      </c>
      <c r="S563">
        <f>IMSUM(J563,R563)</f>
        <v>0</v>
      </c>
      <c r="T563">
        <f>IMDIV("1",IMSUM(K563,IMDIV("1",S563)))</f>
        <v>0</v>
      </c>
      <c r="U563">
        <f>IMSUM(L563,T563)</f>
        <v>0</v>
      </c>
      <c r="V563">
        <f>IMDIV(COMPLEX(I_DM_SOURCE,0),U563)</f>
        <v>0</v>
      </c>
      <c r="W563">
        <f>IMPRODUCT(V563,T563)</f>
        <v>0</v>
      </c>
      <c r="X563">
        <f>IMDIV(W563,S563)</f>
        <v>0</v>
      </c>
      <c r="Y563">
        <f>IMPRODUCT(X563,R563)</f>
        <v>0</v>
      </c>
      <c r="Z563">
        <f>IMDIV(Y563,Q563)</f>
        <v>0</v>
      </c>
      <c r="AA563">
        <f>IMPRODUCT(Z563,P563)</f>
        <v>0</v>
      </c>
      <c r="AB563">
        <f>AA563</f>
        <v>0</v>
      </c>
      <c r="AC563">
        <f>IMPRODUCT("-1",AB563)</f>
        <v>0</v>
      </c>
      <c r="AD563">
        <f>IMDIV(IMSUB(AB563,AC563),"2")</f>
        <v>0</v>
      </c>
      <c r="AE563" s="6">
        <f>IMABS(AB563)</f>
        <v>0</v>
      </c>
      <c r="AF563" s="6">
        <f>IMABS(AC563)</f>
        <v>0</v>
      </c>
      <c r="AG563" s="6">
        <f>IMABS(AD563)</f>
        <v>0</v>
      </c>
      <c r="AH563" s="7">
        <f>20*LOG10(MAX(AE563,1E-300)*1E6)</f>
        <v>0</v>
      </c>
      <c r="AI563" s="7">
        <f>20*LOG10(MAX(AF563,1E-300)*1E6)</f>
        <v>0</v>
      </c>
      <c r="AJ563" s="7">
        <f>20*LOG10(MAX(AG563,1E-300)*1E6)</f>
        <v>0</v>
      </c>
      <c r="AK563" s="7">
        <f>DEGREES(IMARGUMENT(AB563))</f>
        <v>0</v>
      </c>
      <c r="AL563" s="7">
        <f>DEGREES(IMARGUMENT(AC563))</f>
        <v>0</v>
      </c>
      <c r="AM563" s="7">
        <f>DEGREES(IMARGUMENT(AD563))</f>
        <v>0</v>
      </c>
    </row>
    <row r="564" spans="1:39">
      <c r="A564" s="6">
        <f>10^(LOG10(F_START)+(ROW()-ROW($A$2))*(LOG10(F_STOP)-LOG10(F_START))/(N_POINTS-1))</f>
        <v>0</v>
      </c>
      <c r="B564" s="6">
        <f>2*PI()*A564</f>
        <v>0</v>
      </c>
      <c r="C564">
        <f>COMPLEX(2*LINE_PS_DCR,2*B564*LINE_PS_L)</f>
        <v>0</v>
      </c>
      <c r="D564">
        <f>IMSUM(COMPLEX(0,B564*(LINE_PS_CLINE+LINE_PS_CCHA/2)),IMDIV("1",IMPRODUCT("2",COMPLEX(C_THROUGH_ESR,B564*C_THROUGH_ESL-1/(B564*C_THROUGH_C)))))</f>
        <v>0</v>
      </c>
      <c r="E564">
        <f>COMPLEX(2*LINE_INPUT_DCR,2*B564*LINE_INPUT_L)</f>
        <v>0</v>
      </c>
      <c r="F564">
        <f>COMPLEX(0,B564*(LINE_INPUT_CLINE+LINE_INPUT_CCHA/2))</f>
        <v>0</v>
      </c>
      <c r="G564">
        <f>IMPRODUCT("2",IMDIV("1",IMSUM(IMDIV("1",COMPLEX(LDM1_DCR,B564*LDM1_L)),COMPLEX(0,B564*LDM1_CPA))))</f>
        <v>0</v>
      </c>
      <c r="H564">
        <f>IMSUM(IMDIV("1",COMPLEX(CX1_ESR,B564*CX1_ESL-1/(B564*CX1_C))),IMDIV("1",IMSUM(COMPLEX(DUMP1_R,0),COMPLEX(DUMP1_ESR,B564*DUMP1_ESL-1/(B564*DUMP1_C)))))</f>
        <v>0</v>
      </c>
      <c r="I564">
        <f>IMPRODUCT("2",IMDIV("1",IMSUM(IMDIV("1",COMPLEX(LDM2_DCR,B564*LDM2_L)),COMPLEX(0,B564*LDM2_CPA))))</f>
        <v>0</v>
      </c>
      <c r="J564">
        <f>IMSUM(IMDIV("1",COMPLEX(CX2_ESR,B564*CX2_ESL-1/(B564*CX2_C))),IMDIV("1",IMSUM(COMPLEX(DUMP2_R,0),COMPLEX(DUMP2_ESR,B564*DUMP2_ESL-1/(B564*DUMP2_C)))))</f>
        <v>0</v>
      </c>
      <c r="K564">
        <f>IMPRODUCT("2",IMDIV("1",IMSUM(IMDIV("1",COMPLEX(CMC_DCR,B564*CMC_L*(1-CMC_K))),COMPLEX(0,B564*CMC_CPA))))</f>
        <v>0</v>
      </c>
      <c r="L564">
        <f>IMSUM(COMPLEX(0,B564*CMC_CLINE),IMDIV("1",IMPRODUCT("2",COMPLEX(CY_ESR,B564*CY_ESL-1/(B564*CY_C)))),COMPLEX(1/DUMMY_R,0))</f>
        <v>0</v>
      </c>
      <c r="M564">
        <f>IMSUM(D564,IMDIV("1",C564))</f>
        <v>0</v>
      </c>
      <c r="N564">
        <f>IMDIV("1",IMSUM(E564,IMDIV("1",M564)))</f>
        <v>0</v>
      </c>
      <c r="O564">
        <f>IMSUM(F564,N564)</f>
        <v>0</v>
      </c>
      <c r="P564">
        <f>IMDIV("1",IMSUM(G564,IMDIV("1",O564)))</f>
        <v>0</v>
      </c>
      <c r="Q564">
        <f>IMSUM(H564,P564)</f>
        <v>0</v>
      </c>
      <c r="R564">
        <f>IMDIV("1",IMSUM(I564,IMDIV("1",Q564)))</f>
        <v>0</v>
      </c>
      <c r="S564">
        <f>IMSUM(J564,R564)</f>
        <v>0</v>
      </c>
      <c r="T564">
        <f>IMDIV("1",IMSUM(K564,IMDIV("1",S564)))</f>
        <v>0</v>
      </c>
      <c r="U564">
        <f>IMSUM(L564,T564)</f>
        <v>0</v>
      </c>
      <c r="V564">
        <f>IMDIV(COMPLEX(I_DM_SOURCE,0),U564)</f>
        <v>0</v>
      </c>
      <c r="W564">
        <f>IMPRODUCT(V564,T564)</f>
        <v>0</v>
      </c>
      <c r="X564">
        <f>IMDIV(W564,S564)</f>
        <v>0</v>
      </c>
      <c r="Y564">
        <f>IMPRODUCT(X564,R564)</f>
        <v>0</v>
      </c>
      <c r="Z564">
        <f>IMDIV(Y564,Q564)</f>
        <v>0</v>
      </c>
      <c r="AA564">
        <f>IMPRODUCT(Z564,P564)</f>
        <v>0</v>
      </c>
      <c r="AB564">
        <f>AA564</f>
        <v>0</v>
      </c>
      <c r="AC564">
        <f>IMPRODUCT("-1",AB564)</f>
        <v>0</v>
      </c>
      <c r="AD564">
        <f>IMDIV(IMSUB(AB564,AC564),"2")</f>
        <v>0</v>
      </c>
      <c r="AE564" s="6">
        <f>IMABS(AB564)</f>
        <v>0</v>
      </c>
      <c r="AF564" s="6">
        <f>IMABS(AC564)</f>
        <v>0</v>
      </c>
      <c r="AG564" s="6">
        <f>IMABS(AD564)</f>
        <v>0</v>
      </c>
      <c r="AH564" s="7">
        <f>20*LOG10(MAX(AE564,1E-300)*1E6)</f>
        <v>0</v>
      </c>
      <c r="AI564" s="7">
        <f>20*LOG10(MAX(AF564,1E-300)*1E6)</f>
        <v>0</v>
      </c>
      <c r="AJ564" s="7">
        <f>20*LOG10(MAX(AG564,1E-300)*1E6)</f>
        <v>0</v>
      </c>
      <c r="AK564" s="7">
        <f>DEGREES(IMARGUMENT(AB564))</f>
        <v>0</v>
      </c>
      <c r="AL564" s="7">
        <f>DEGREES(IMARGUMENT(AC564))</f>
        <v>0</v>
      </c>
      <c r="AM564" s="7">
        <f>DEGREES(IMARGUMENT(AD564))</f>
        <v>0</v>
      </c>
    </row>
    <row r="565" spans="1:39">
      <c r="A565" s="6">
        <f>10^(LOG10(F_START)+(ROW()-ROW($A$2))*(LOG10(F_STOP)-LOG10(F_START))/(N_POINTS-1))</f>
        <v>0</v>
      </c>
      <c r="B565" s="6">
        <f>2*PI()*A565</f>
        <v>0</v>
      </c>
      <c r="C565">
        <f>COMPLEX(2*LINE_PS_DCR,2*B565*LINE_PS_L)</f>
        <v>0</v>
      </c>
      <c r="D565">
        <f>IMSUM(COMPLEX(0,B565*(LINE_PS_CLINE+LINE_PS_CCHA/2)),IMDIV("1",IMPRODUCT("2",COMPLEX(C_THROUGH_ESR,B565*C_THROUGH_ESL-1/(B565*C_THROUGH_C)))))</f>
        <v>0</v>
      </c>
      <c r="E565">
        <f>COMPLEX(2*LINE_INPUT_DCR,2*B565*LINE_INPUT_L)</f>
        <v>0</v>
      </c>
      <c r="F565">
        <f>COMPLEX(0,B565*(LINE_INPUT_CLINE+LINE_INPUT_CCHA/2))</f>
        <v>0</v>
      </c>
      <c r="G565">
        <f>IMPRODUCT("2",IMDIV("1",IMSUM(IMDIV("1",COMPLEX(LDM1_DCR,B565*LDM1_L)),COMPLEX(0,B565*LDM1_CPA))))</f>
        <v>0</v>
      </c>
      <c r="H565">
        <f>IMSUM(IMDIV("1",COMPLEX(CX1_ESR,B565*CX1_ESL-1/(B565*CX1_C))),IMDIV("1",IMSUM(COMPLEX(DUMP1_R,0),COMPLEX(DUMP1_ESR,B565*DUMP1_ESL-1/(B565*DUMP1_C)))))</f>
        <v>0</v>
      </c>
      <c r="I565">
        <f>IMPRODUCT("2",IMDIV("1",IMSUM(IMDIV("1",COMPLEX(LDM2_DCR,B565*LDM2_L)),COMPLEX(0,B565*LDM2_CPA))))</f>
        <v>0</v>
      </c>
      <c r="J565">
        <f>IMSUM(IMDIV("1",COMPLEX(CX2_ESR,B565*CX2_ESL-1/(B565*CX2_C))),IMDIV("1",IMSUM(COMPLEX(DUMP2_R,0),COMPLEX(DUMP2_ESR,B565*DUMP2_ESL-1/(B565*DUMP2_C)))))</f>
        <v>0</v>
      </c>
      <c r="K565">
        <f>IMPRODUCT("2",IMDIV("1",IMSUM(IMDIV("1",COMPLEX(CMC_DCR,B565*CMC_L*(1-CMC_K))),COMPLEX(0,B565*CMC_CPA))))</f>
        <v>0</v>
      </c>
      <c r="L565">
        <f>IMSUM(COMPLEX(0,B565*CMC_CLINE),IMDIV("1",IMPRODUCT("2",COMPLEX(CY_ESR,B565*CY_ESL-1/(B565*CY_C)))),COMPLEX(1/DUMMY_R,0))</f>
        <v>0</v>
      </c>
      <c r="M565">
        <f>IMSUM(D565,IMDIV("1",C565))</f>
        <v>0</v>
      </c>
      <c r="N565">
        <f>IMDIV("1",IMSUM(E565,IMDIV("1",M565)))</f>
        <v>0</v>
      </c>
      <c r="O565">
        <f>IMSUM(F565,N565)</f>
        <v>0</v>
      </c>
      <c r="P565">
        <f>IMDIV("1",IMSUM(G565,IMDIV("1",O565)))</f>
        <v>0</v>
      </c>
      <c r="Q565">
        <f>IMSUM(H565,P565)</f>
        <v>0</v>
      </c>
      <c r="R565">
        <f>IMDIV("1",IMSUM(I565,IMDIV("1",Q565)))</f>
        <v>0</v>
      </c>
      <c r="S565">
        <f>IMSUM(J565,R565)</f>
        <v>0</v>
      </c>
      <c r="T565">
        <f>IMDIV("1",IMSUM(K565,IMDIV("1",S565)))</f>
        <v>0</v>
      </c>
      <c r="U565">
        <f>IMSUM(L565,T565)</f>
        <v>0</v>
      </c>
      <c r="V565">
        <f>IMDIV(COMPLEX(I_DM_SOURCE,0),U565)</f>
        <v>0</v>
      </c>
      <c r="W565">
        <f>IMPRODUCT(V565,T565)</f>
        <v>0</v>
      </c>
      <c r="X565">
        <f>IMDIV(W565,S565)</f>
        <v>0</v>
      </c>
      <c r="Y565">
        <f>IMPRODUCT(X565,R565)</f>
        <v>0</v>
      </c>
      <c r="Z565">
        <f>IMDIV(Y565,Q565)</f>
        <v>0</v>
      </c>
      <c r="AA565">
        <f>IMPRODUCT(Z565,P565)</f>
        <v>0</v>
      </c>
      <c r="AB565">
        <f>AA565</f>
        <v>0</v>
      </c>
      <c r="AC565">
        <f>IMPRODUCT("-1",AB565)</f>
        <v>0</v>
      </c>
      <c r="AD565">
        <f>IMDIV(IMSUB(AB565,AC565),"2")</f>
        <v>0</v>
      </c>
      <c r="AE565" s="6">
        <f>IMABS(AB565)</f>
        <v>0</v>
      </c>
      <c r="AF565" s="6">
        <f>IMABS(AC565)</f>
        <v>0</v>
      </c>
      <c r="AG565" s="6">
        <f>IMABS(AD565)</f>
        <v>0</v>
      </c>
      <c r="AH565" s="7">
        <f>20*LOG10(MAX(AE565,1E-300)*1E6)</f>
        <v>0</v>
      </c>
      <c r="AI565" s="7">
        <f>20*LOG10(MAX(AF565,1E-300)*1E6)</f>
        <v>0</v>
      </c>
      <c r="AJ565" s="7">
        <f>20*LOG10(MAX(AG565,1E-300)*1E6)</f>
        <v>0</v>
      </c>
      <c r="AK565" s="7">
        <f>DEGREES(IMARGUMENT(AB565))</f>
        <v>0</v>
      </c>
      <c r="AL565" s="7">
        <f>DEGREES(IMARGUMENT(AC565))</f>
        <v>0</v>
      </c>
      <c r="AM565" s="7">
        <f>DEGREES(IMARGUMENT(AD565))</f>
        <v>0</v>
      </c>
    </row>
    <row r="566" spans="1:39">
      <c r="A566" s="6">
        <f>10^(LOG10(F_START)+(ROW()-ROW($A$2))*(LOG10(F_STOP)-LOG10(F_START))/(N_POINTS-1))</f>
        <v>0</v>
      </c>
      <c r="B566" s="6">
        <f>2*PI()*A566</f>
        <v>0</v>
      </c>
      <c r="C566">
        <f>COMPLEX(2*LINE_PS_DCR,2*B566*LINE_PS_L)</f>
        <v>0</v>
      </c>
      <c r="D566">
        <f>IMSUM(COMPLEX(0,B566*(LINE_PS_CLINE+LINE_PS_CCHA/2)),IMDIV("1",IMPRODUCT("2",COMPLEX(C_THROUGH_ESR,B566*C_THROUGH_ESL-1/(B566*C_THROUGH_C)))))</f>
        <v>0</v>
      </c>
      <c r="E566">
        <f>COMPLEX(2*LINE_INPUT_DCR,2*B566*LINE_INPUT_L)</f>
        <v>0</v>
      </c>
      <c r="F566">
        <f>COMPLEX(0,B566*(LINE_INPUT_CLINE+LINE_INPUT_CCHA/2))</f>
        <v>0</v>
      </c>
      <c r="G566">
        <f>IMPRODUCT("2",IMDIV("1",IMSUM(IMDIV("1",COMPLEX(LDM1_DCR,B566*LDM1_L)),COMPLEX(0,B566*LDM1_CPA))))</f>
        <v>0</v>
      </c>
      <c r="H566">
        <f>IMSUM(IMDIV("1",COMPLEX(CX1_ESR,B566*CX1_ESL-1/(B566*CX1_C))),IMDIV("1",IMSUM(COMPLEX(DUMP1_R,0),COMPLEX(DUMP1_ESR,B566*DUMP1_ESL-1/(B566*DUMP1_C)))))</f>
        <v>0</v>
      </c>
      <c r="I566">
        <f>IMPRODUCT("2",IMDIV("1",IMSUM(IMDIV("1",COMPLEX(LDM2_DCR,B566*LDM2_L)),COMPLEX(0,B566*LDM2_CPA))))</f>
        <v>0</v>
      </c>
      <c r="J566">
        <f>IMSUM(IMDIV("1",COMPLEX(CX2_ESR,B566*CX2_ESL-1/(B566*CX2_C))),IMDIV("1",IMSUM(COMPLEX(DUMP2_R,0),COMPLEX(DUMP2_ESR,B566*DUMP2_ESL-1/(B566*DUMP2_C)))))</f>
        <v>0</v>
      </c>
      <c r="K566">
        <f>IMPRODUCT("2",IMDIV("1",IMSUM(IMDIV("1",COMPLEX(CMC_DCR,B566*CMC_L*(1-CMC_K))),COMPLEX(0,B566*CMC_CPA))))</f>
        <v>0</v>
      </c>
      <c r="L566">
        <f>IMSUM(COMPLEX(0,B566*CMC_CLINE),IMDIV("1",IMPRODUCT("2",COMPLEX(CY_ESR,B566*CY_ESL-1/(B566*CY_C)))),COMPLEX(1/DUMMY_R,0))</f>
        <v>0</v>
      </c>
      <c r="M566">
        <f>IMSUM(D566,IMDIV("1",C566))</f>
        <v>0</v>
      </c>
      <c r="N566">
        <f>IMDIV("1",IMSUM(E566,IMDIV("1",M566)))</f>
        <v>0</v>
      </c>
      <c r="O566">
        <f>IMSUM(F566,N566)</f>
        <v>0</v>
      </c>
      <c r="P566">
        <f>IMDIV("1",IMSUM(G566,IMDIV("1",O566)))</f>
        <v>0</v>
      </c>
      <c r="Q566">
        <f>IMSUM(H566,P566)</f>
        <v>0</v>
      </c>
      <c r="R566">
        <f>IMDIV("1",IMSUM(I566,IMDIV("1",Q566)))</f>
        <v>0</v>
      </c>
      <c r="S566">
        <f>IMSUM(J566,R566)</f>
        <v>0</v>
      </c>
      <c r="T566">
        <f>IMDIV("1",IMSUM(K566,IMDIV("1",S566)))</f>
        <v>0</v>
      </c>
      <c r="U566">
        <f>IMSUM(L566,T566)</f>
        <v>0</v>
      </c>
      <c r="V566">
        <f>IMDIV(COMPLEX(I_DM_SOURCE,0),U566)</f>
        <v>0</v>
      </c>
      <c r="W566">
        <f>IMPRODUCT(V566,T566)</f>
        <v>0</v>
      </c>
      <c r="X566">
        <f>IMDIV(W566,S566)</f>
        <v>0</v>
      </c>
      <c r="Y566">
        <f>IMPRODUCT(X566,R566)</f>
        <v>0</v>
      </c>
      <c r="Z566">
        <f>IMDIV(Y566,Q566)</f>
        <v>0</v>
      </c>
      <c r="AA566">
        <f>IMPRODUCT(Z566,P566)</f>
        <v>0</v>
      </c>
      <c r="AB566">
        <f>AA566</f>
        <v>0</v>
      </c>
      <c r="AC566">
        <f>IMPRODUCT("-1",AB566)</f>
        <v>0</v>
      </c>
      <c r="AD566">
        <f>IMDIV(IMSUB(AB566,AC566),"2")</f>
        <v>0</v>
      </c>
      <c r="AE566" s="6">
        <f>IMABS(AB566)</f>
        <v>0</v>
      </c>
      <c r="AF566" s="6">
        <f>IMABS(AC566)</f>
        <v>0</v>
      </c>
      <c r="AG566" s="6">
        <f>IMABS(AD566)</f>
        <v>0</v>
      </c>
      <c r="AH566" s="7">
        <f>20*LOG10(MAX(AE566,1E-300)*1E6)</f>
        <v>0</v>
      </c>
      <c r="AI566" s="7">
        <f>20*LOG10(MAX(AF566,1E-300)*1E6)</f>
        <v>0</v>
      </c>
      <c r="AJ566" s="7">
        <f>20*LOG10(MAX(AG566,1E-300)*1E6)</f>
        <v>0</v>
      </c>
      <c r="AK566" s="7">
        <f>DEGREES(IMARGUMENT(AB566))</f>
        <v>0</v>
      </c>
      <c r="AL566" s="7">
        <f>DEGREES(IMARGUMENT(AC566))</f>
        <v>0</v>
      </c>
      <c r="AM566" s="7">
        <f>DEGREES(IMARGUMENT(AD566))</f>
        <v>0</v>
      </c>
    </row>
    <row r="567" spans="1:39">
      <c r="A567" s="6">
        <f>10^(LOG10(F_START)+(ROW()-ROW($A$2))*(LOG10(F_STOP)-LOG10(F_START))/(N_POINTS-1))</f>
        <v>0</v>
      </c>
      <c r="B567" s="6">
        <f>2*PI()*A567</f>
        <v>0</v>
      </c>
      <c r="C567">
        <f>COMPLEX(2*LINE_PS_DCR,2*B567*LINE_PS_L)</f>
        <v>0</v>
      </c>
      <c r="D567">
        <f>IMSUM(COMPLEX(0,B567*(LINE_PS_CLINE+LINE_PS_CCHA/2)),IMDIV("1",IMPRODUCT("2",COMPLEX(C_THROUGH_ESR,B567*C_THROUGH_ESL-1/(B567*C_THROUGH_C)))))</f>
        <v>0</v>
      </c>
      <c r="E567">
        <f>COMPLEX(2*LINE_INPUT_DCR,2*B567*LINE_INPUT_L)</f>
        <v>0</v>
      </c>
      <c r="F567">
        <f>COMPLEX(0,B567*(LINE_INPUT_CLINE+LINE_INPUT_CCHA/2))</f>
        <v>0</v>
      </c>
      <c r="G567">
        <f>IMPRODUCT("2",IMDIV("1",IMSUM(IMDIV("1",COMPLEX(LDM1_DCR,B567*LDM1_L)),COMPLEX(0,B567*LDM1_CPA))))</f>
        <v>0</v>
      </c>
      <c r="H567">
        <f>IMSUM(IMDIV("1",COMPLEX(CX1_ESR,B567*CX1_ESL-1/(B567*CX1_C))),IMDIV("1",IMSUM(COMPLEX(DUMP1_R,0),COMPLEX(DUMP1_ESR,B567*DUMP1_ESL-1/(B567*DUMP1_C)))))</f>
        <v>0</v>
      </c>
      <c r="I567">
        <f>IMPRODUCT("2",IMDIV("1",IMSUM(IMDIV("1",COMPLEX(LDM2_DCR,B567*LDM2_L)),COMPLEX(0,B567*LDM2_CPA))))</f>
        <v>0</v>
      </c>
      <c r="J567">
        <f>IMSUM(IMDIV("1",COMPLEX(CX2_ESR,B567*CX2_ESL-1/(B567*CX2_C))),IMDIV("1",IMSUM(COMPLEX(DUMP2_R,0),COMPLEX(DUMP2_ESR,B567*DUMP2_ESL-1/(B567*DUMP2_C)))))</f>
        <v>0</v>
      </c>
      <c r="K567">
        <f>IMPRODUCT("2",IMDIV("1",IMSUM(IMDIV("1",COMPLEX(CMC_DCR,B567*CMC_L*(1-CMC_K))),COMPLEX(0,B567*CMC_CPA))))</f>
        <v>0</v>
      </c>
      <c r="L567">
        <f>IMSUM(COMPLEX(0,B567*CMC_CLINE),IMDIV("1",IMPRODUCT("2",COMPLEX(CY_ESR,B567*CY_ESL-1/(B567*CY_C)))),COMPLEX(1/DUMMY_R,0))</f>
        <v>0</v>
      </c>
      <c r="M567">
        <f>IMSUM(D567,IMDIV("1",C567))</f>
        <v>0</v>
      </c>
      <c r="N567">
        <f>IMDIV("1",IMSUM(E567,IMDIV("1",M567)))</f>
        <v>0</v>
      </c>
      <c r="O567">
        <f>IMSUM(F567,N567)</f>
        <v>0</v>
      </c>
      <c r="P567">
        <f>IMDIV("1",IMSUM(G567,IMDIV("1",O567)))</f>
        <v>0</v>
      </c>
      <c r="Q567">
        <f>IMSUM(H567,P567)</f>
        <v>0</v>
      </c>
      <c r="R567">
        <f>IMDIV("1",IMSUM(I567,IMDIV("1",Q567)))</f>
        <v>0</v>
      </c>
      <c r="S567">
        <f>IMSUM(J567,R567)</f>
        <v>0</v>
      </c>
      <c r="T567">
        <f>IMDIV("1",IMSUM(K567,IMDIV("1",S567)))</f>
        <v>0</v>
      </c>
      <c r="U567">
        <f>IMSUM(L567,T567)</f>
        <v>0</v>
      </c>
      <c r="V567">
        <f>IMDIV(COMPLEX(I_DM_SOURCE,0),U567)</f>
        <v>0</v>
      </c>
      <c r="W567">
        <f>IMPRODUCT(V567,T567)</f>
        <v>0</v>
      </c>
      <c r="X567">
        <f>IMDIV(W567,S567)</f>
        <v>0</v>
      </c>
      <c r="Y567">
        <f>IMPRODUCT(X567,R567)</f>
        <v>0</v>
      </c>
      <c r="Z567">
        <f>IMDIV(Y567,Q567)</f>
        <v>0</v>
      </c>
      <c r="AA567">
        <f>IMPRODUCT(Z567,P567)</f>
        <v>0</v>
      </c>
      <c r="AB567">
        <f>AA567</f>
        <v>0</v>
      </c>
      <c r="AC567">
        <f>IMPRODUCT("-1",AB567)</f>
        <v>0</v>
      </c>
      <c r="AD567">
        <f>IMDIV(IMSUB(AB567,AC567),"2")</f>
        <v>0</v>
      </c>
      <c r="AE567" s="6">
        <f>IMABS(AB567)</f>
        <v>0</v>
      </c>
      <c r="AF567" s="6">
        <f>IMABS(AC567)</f>
        <v>0</v>
      </c>
      <c r="AG567" s="6">
        <f>IMABS(AD567)</f>
        <v>0</v>
      </c>
      <c r="AH567" s="7">
        <f>20*LOG10(MAX(AE567,1E-300)*1E6)</f>
        <v>0</v>
      </c>
      <c r="AI567" s="7">
        <f>20*LOG10(MAX(AF567,1E-300)*1E6)</f>
        <v>0</v>
      </c>
      <c r="AJ567" s="7">
        <f>20*LOG10(MAX(AG567,1E-300)*1E6)</f>
        <v>0</v>
      </c>
      <c r="AK567" s="7">
        <f>DEGREES(IMARGUMENT(AB567))</f>
        <v>0</v>
      </c>
      <c r="AL567" s="7">
        <f>DEGREES(IMARGUMENT(AC567))</f>
        <v>0</v>
      </c>
      <c r="AM567" s="7">
        <f>DEGREES(IMARGUMENT(AD567))</f>
        <v>0</v>
      </c>
    </row>
    <row r="568" spans="1:39">
      <c r="A568" s="6">
        <f>10^(LOG10(F_START)+(ROW()-ROW($A$2))*(LOG10(F_STOP)-LOG10(F_START))/(N_POINTS-1))</f>
        <v>0</v>
      </c>
      <c r="B568" s="6">
        <f>2*PI()*A568</f>
        <v>0</v>
      </c>
      <c r="C568">
        <f>COMPLEX(2*LINE_PS_DCR,2*B568*LINE_PS_L)</f>
        <v>0</v>
      </c>
      <c r="D568">
        <f>IMSUM(COMPLEX(0,B568*(LINE_PS_CLINE+LINE_PS_CCHA/2)),IMDIV("1",IMPRODUCT("2",COMPLEX(C_THROUGH_ESR,B568*C_THROUGH_ESL-1/(B568*C_THROUGH_C)))))</f>
        <v>0</v>
      </c>
      <c r="E568">
        <f>COMPLEX(2*LINE_INPUT_DCR,2*B568*LINE_INPUT_L)</f>
        <v>0</v>
      </c>
      <c r="F568">
        <f>COMPLEX(0,B568*(LINE_INPUT_CLINE+LINE_INPUT_CCHA/2))</f>
        <v>0</v>
      </c>
      <c r="G568">
        <f>IMPRODUCT("2",IMDIV("1",IMSUM(IMDIV("1",COMPLEX(LDM1_DCR,B568*LDM1_L)),COMPLEX(0,B568*LDM1_CPA))))</f>
        <v>0</v>
      </c>
      <c r="H568">
        <f>IMSUM(IMDIV("1",COMPLEX(CX1_ESR,B568*CX1_ESL-1/(B568*CX1_C))),IMDIV("1",IMSUM(COMPLEX(DUMP1_R,0),COMPLEX(DUMP1_ESR,B568*DUMP1_ESL-1/(B568*DUMP1_C)))))</f>
        <v>0</v>
      </c>
      <c r="I568">
        <f>IMPRODUCT("2",IMDIV("1",IMSUM(IMDIV("1",COMPLEX(LDM2_DCR,B568*LDM2_L)),COMPLEX(0,B568*LDM2_CPA))))</f>
        <v>0</v>
      </c>
      <c r="J568">
        <f>IMSUM(IMDIV("1",COMPLEX(CX2_ESR,B568*CX2_ESL-1/(B568*CX2_C))),IMDIV("1",IMSUM(COMPLEX(DUMP2_R,0),COMPLEX(DUMP2_ESR,B568*DUMP2_ESL-1/(B568*DUMP2_C)))))</f>
        <v>0</v>
      </c>
      <c r="K568">
        <f>IMPRODUCT("2",IMDIV("1",IMSUM(IMDIV("1",COMPLEX(CMC_DCR,B568*CMC_L*(1-CMC_K))),COMPLEX(0,B568*CMC_CPA))))</f>
        <v>0</v>
      </c>
      <c r="L568">
        <f>IMSUM(COMPLEX(0,B568*CMC_CLINE),IMDIV("1",IMPRODUCT("2",COMPLEX(CY_ESR,B568*CY_ESL-1/(B568*CY_C)))),COMPLEX(1/DUMMY_R,0))</f>
        <v>0</v>
      </c>
      <c r="M568">
        <f>IMSUM(D568,IMDIV("1",C568))</f>
        <v>0</v>
      </c>
      <c r="N568">
        <f>IMDIV("1",IMSUM(E568,IMDIV("1",M568)))</f>
        <v>0</v>
      </c>
      <c r="O568">
        <f>IMSUM(F568,N568)</f>
        <v>0</v>
      </c>
      <c r="P568">
        <f>IMDIV("1",IMSUM(G568,IMDIV("1",O568)))</f>
        <v>0</v>
      </c>
      <c r="Q568">
        <f>IMSUM(H568,P568)</f>
        <v>0</v>
      </c>
      <c r="R568">
        <f>IMDIV("1",IMSUM(I568,IMDIV("1",Q568)))</f>
        <v>0</v>
      </c>
      <c r="S568">
        <f>IMSUM(J568,R568)</f>
        <v>0</v>
      </c>
      <c r="T568">
        <f>IMDIV("1",IMSUM(K568,IMDIV("1",S568)))</f>
        <v>0</v>
      </c>
      <c r="U568">
        <f>IMSUM(L568,T568)</f>
        <v>0</v>
      </c>
      <c r="V568">
        <f>IMDIV(COMPLEX(I_DM_SOURCE,0),U568)</f>
        <v>0</v>
      </c>
      <c r="W568">
        <f>IMPRODUCT(V568,T568)</f>
        <v>0</v>
      </c>
      <c r="X568">
        <f>IMDIV(W568,S568)</f>
        <v>0</v>
      </c>
      <c r="Y568">
        <f>IMPRODUCT(X568,R568)</f>
        <v>0</v>
      </c>
      <c r="Z568">
        <f>IMDIV(Y568,Q568)</f>
        <v>0</v>
      </c>
      <c r="AA568">
        <f>IMPRODUCT(Z568,P568)</f>
        <v>0</v>
      </c>
      <c r="AB568">
        <f>AA568</f>
        <v>0</v>
      </c>
      <c r="AC568">
        <f>IMPRODUCT("-1",AB568)</f>
        <v>0</v>
      </c>
      <c r="AD568">
        <f>IMDIV(IMSUB(AB568,AC568),"2")</f>
        <v>0</v>
      </c>
      <c r="AE568" s="6">
        <f>IMABS(AB568)</f>
        <v>0</v>
      </c>
      <c r="AF568" s="6">
        <f>IMABS(AC568)</f>
        <v>0</v>
      </c>
      <c r="AG568" s="6">
        <f>IMABS(AD568)</f>
        <v>0</v>
      </c>
      <c r="AH568" s="7">
        <f>20*LOG10(MAX(AE568,1E-300)*1E6)</f>
        <v>0</v>
      </c>
      <c r="AI568" s="7">
        <f>20*LOG10(MAX(AF568,1E-300)*1E6)</f>
        <v>0</v>
      </c>
      <c r="AJ568" s="7">
        <f>20*LOG10(MAX(AG568,1E-300)*1E6)</f>
        <v>0</v>
      </c>
      <c r="AK568" s="7">
        <f>DEGREES(IMARGUMENT(AB568))</f>
        <v>0</v>
      </c>
      <c r="AL568" s="7">
        <f>DEGREES(IMARGUMENT(AC568))</f>
        <v>0</v>
      </c>
      <c r="AM568" s="7">
        <f>DEGREES(IMARGUMENT(AD568))</f>
        <v>0</v>
      </c>
    </row>
    <row r="569" spans="1:39">
      <c r="A569" s="6">
        <f>10^(LOG10(F_START)+(ROW()-ROW($A$2))*(LOG10(F_STOP)-LOG10(F_START))/(N_POINTS-1))</f>
        <v>0</v>
      </c>
      <c r="B569" s="6">
        <f>2*PI()*A569</f>
        <v>0</v>
      </c>
      <c r="C569">
        <f>COMPLEX(2*LINE_PS_DCR,2*B569*LINE_PS_L)</f>
        <v>0</v>
      </c>
      <c r="D569">
        <f>IMSUM(COMPLEX(0,B569*(LINE_PS_CLINE+LINE_PS_CCHA/2)),IMDIV("1",IMPRODUCT("2",COMPLEX(C_THROUGH_ESR,B569*C_THROUGH_ESL-1/(B569*C_THROUGH_C)))))</f>
        <v>0</v>
      </c>
      <c r="E569">
        <f>COMPLEX(2*LINE_INPUT_DCR,2*B569*LINE_INPUT_L)</f>
        <v>0</v>
      </c>
      <c r="F569">
        <f>COMPLEX(0,B569*(LINE_INPUT_CLINE+LINE_INPUT_CCHA/2))</f>
        <v>0</v>
      </c>
      <c r="G569">
        <f>IMPRODUCT("2",IMDIV("1",IMSUM(IMDIV("1",COMPLEX(LDM1_DCR,B569*LDM1_L)),COMPLEX(0,B569*LDM1_CPA))))</f>
        <v>0</v>
      </c>
      <c r="H569">
        <f>IMSUM(IMDIV("1",COMPLEX(CX1_ESR,B569*CX1_ESL-1/(B569*CX1_C))),IMDIV("1",IMSUM(COMPLEX(DUMP1_R,0),COMPLEX(DUMP1_ESR,B569*DUMP1_ESL-1/(B569*DUMP1_C)))))</f>
        <v>0</v>
      </c>
      <c r="I569">
        <f>IMPRODUCT("2",IMDIV("1",IMSUM(IMDIV("1",COMPLEX(LDM2_DCR,B569*LDM2_L)),COMPLEX(0,B569*LDM2_CPA))))</f>
        <v>0</v>
      </c>
      <c r="J569">
        <f>IMSUM(IMDIV("1",COMPLEX(CX2_ESR,B569*CX2_ESL-1/(B569*CX2_C))),IMDIV("1",IMSUM(COMPLEX(DUMP2_R,0),COMPLEX(DUMP2_ESR,B569*DUMP2_ESL-1/(B569*DUMP2_C)))))</f>
        <v>0</v>
      </c>
      <c r="K569">
        <f>IMPRODUCT("2",IMDIV("1",IMSUM(IMDIV("1",COMPLEX(CMC_DCR,B569*CMC_L*(1-CMC_K))),COMPLEX(0,B569*CMC_CPA))))</f>
        <v>0</v>
      </c>
      <c r="L569">
        <f>IMSUM(COMPLEX(0,B569*CMC_CLINE),IMDIV("1",IMPRODUCT("2",COMPLEX(CY_ESR,B569*CY_ESL-1/(B569*CY_C)))),COMPLEX(1/DUMMY_R,0))</f>
        <v>0</v>
      </c>
      <c r="M569">
        <f>IMSUM(D569,IMDIV("1",C569))</f>
        <v>0</v>
      </c>
      <c r="N569">
        <f>IMDIV("1",IMSUM(E569,IMDIV("1",M569)))</f>
        <v>0</v>
      </c>
      <c r="O569">
        <f>IMSUM(F569,N569)</f>
        <v>0</v>
      </c>
      <c r="P569">
        <f>IMDIV("1",IMSUM(G569,IMDIV("1",O569)))</f>
        <v>0</v>
      </c>
      <c r="Q569">
        <f>IMSUM(H569,P569)</f>
        <v>0</v>
      </c>
      <c r="R569">
        <f>IMDIV("1",IMSUM(I569,IMDIV("1",Q569)))</f>
        <v>0</v>
      </c>
      <c r="S569">
        <f>IMSUM(J569,R569)</f>
        <v>0</v>
      </c>
      <c r="T569">
        <f>IMDIV("1",IMSUM(K569,IMDIV("1",S569)))</f>
        <v>0</v>
      </c>
      <c r="U569">
        <f>IMSUM(L569,T569)</f>
        <v>0</v>
      </c>
      <c r="V569">
        <f>IMDIV(COMPLEX(I_DM_SOURCE,0),U569)</f>
        <v>0</v>
      </c>
      <c r="W569">
        <f>IMPRODUCT(V569,T569)</f>
        <v>0</v>
      </c>
      <c r="X569">
        <f>IMDIV(W569,S569)</f>
        <v>0</v>
      </c>
      <c r="Y569">
        <f>IMPRODUCT(X569,R569)</f>
        <v>0</v>
      </c>
      <c r="Z569">
        <f>IMDIV(Y569,Q569)</f>
        <v>0</v>
      </c>
      <c r="AA569">
        <f>IMPRODUCT(Z569,P569)</f>
        <v>0</v>
      </c>
      <c r="AB569">
        <f>AA569</f>
        <v>0</v>
      </c>
      <c r="AC569">
        <f>IMPRODUCT("-1",AB569)</f>
        <v>0</v>
      </c>
      <c r="AD569">
        <f>IMDIV(IMSUB(AB569,AC569),"2")</f>
        <v>0</v>
      </c>
      <c r="AE569" s="6">
        <f>IMABS(AB569)</f>
        <v>0</v>
      </c>
      <c r="AF569" s="6">
        <f>IMABS(AC569)</f>
        <v>0</v>
      </c>
      <c r="AG569" s="6">
        <f>IMABS(AD569)</f>
        <v>0</v>
      </c>
      <c r="AH569" s="7">
        <f>20*LOG10(MAX(AE569,1E-300)*1E6)</f>
        <v>0</v>
      </c>
      <c r="AI569" s="7">
        <f>20*LOG10(MAX(AF569,1E-300)*1E6)</f>
        <v>0</v>
      </c>
      <c r="AJ569" s="7">
        <f>20*LOG10(MAX(AG569,1E-300)*1E6)</f>
        <v>0</v>
      </c>
      <c r="AK569" s="7">
        <f>DEGREES(IMARGUMENT(AB569))</f>
        <v>0</v>
      </c>
      <c r="AL569" s="7">
        <f>DEGREES(IMARGUMENT(AC569))</f>
        <v>0</v>
      </c>
      <c r="AM569" s="7">
        <f>DEGREES(IMARGUMENT(AD569))</f>
        <v>0</v>
      </c>
    </row>
    <row r="570" spans="1:39">
      <c r="A570" s="6">
        <f>10^(LOG10(F_START)+(ROW()-ROW($A$2))*(LOG10(F_STOP)-LOG10(F_START))/(N_POINTS-1))</f>
        <v>0</v>
      </c>
      <c r="B570" s="6">
        <f>2*PI()*A570</f>
        <v>0</v>
      </c>
      <c r="C570">
        <f>COMPLEX(2*LINE_PS_DCR,2*B570*LINE_PS_L)</f>
        <v>0</v>
      </c>
      <c r="D570">
        <f>IMSUM(COMPLEX(0,B570*(LINE_PS_CLINE+LINE_PS_CCHA/2)),IMDIV("1",IMPRODUCT("2",COMPLEX(C_THROUGH_ESR,B570*C_THROUGH_ESL-1/(B570*C_THROUGH_C)))))</f>
        <v>0</v>
      </c>
      <c r="E570">
        <f>COMPLEX(2*LINE_INPUT_DCR,2*B570*LINE_INPUT_L)</f>
        <v>0</v>
      </c>
      <c r="F570">
        <f>COMPLEX(0,B570*(LINE_INPUT_CLINE+LINE_INPUT_CCHA/2))</f>
        <v>0</v>
      </c>
      <c r="G570">
        <f>IMPRODUCT("2",IMDIV("1",IMSUM(IMDIV("1",COMPLEX(LDM1_DCR,B570*LDM1_L)),COMPLEX(0,B570*LDM1_CPA))))</f>
        <v>0</v>
      </c>
      <c r="H570">
        <f>IMSUM(IMDIV("1",COMPLEX(CX1_ESR,B570*CX1_ESL-1/(B570*CX1_C))),IMDIV("1",IMSUM(COMPLEX(DUMP1_R,0),COMPLEX(DUMP1_ESR,B570*DUMP1_ESL-1/(B570*DUMP1_C)))))</f>
        <v>0</v>
      </c>
      <c r="I570">
        <f>IMPRODUCT("2",IMDIV("1",IMSUM(IMDIV("1",COMPLEX(LDM2_DCR,B570*LDM2_L)),COMPLEX(0,B570*LDM2_CPA))))</f>
        <v>0</v>
      </c>
      <c r="J570">
        <f>IMSUM(IMDIV("1",COMPLEX(CX2_ESR,B570*CX2_ESL-1/(B570*CX2_C))),IMDIV("1",IMSUM(COMPLEX(DUMP2_R,0),COMPLEX(DUMP2_ESR,B570*DUMP2_ESL-1/(B570*DUMP2_C)))))</f>
        <v>0</v>
      </c>
      <c r="K570">
        <f>IMPRODUCT("2",IMDIV("1",IMSUM(IMDIV("1",COMPLEX(CMC_DCR,B570*CMC_L*(1-CMC_K))),COMPLEX(0,B570*CMC_CPA))))</f>
        <v>0</v>
      </c>
      <c r="L570">
        <f>IMSUM(COMPLEX(0,B570*CMC_CLINE),IMDIV("1",IMPRODUCT("2",COMPLEX(CY_ESR,B570*CY_ESL-1/(B570*CY_C)))),COMPLEX(1/DUMMY_R,0))</f>
        <v>0</v>
      </c>
      <c r="M570">
        <f>IMSUM(D570,IMDIV("1",C570))</f>
        <v>0</v>
      </c>
      <c r="N570">
        <f>IMDIV("1",IMSUM(E570,IMDIV("1",M570)))</f>
        <v>0</v>
      </c>
      <c r="O570">
        <f>IMSUM(F570,N570)</f>
        <v>0</v>
      </c>
      <c r="P570">
        <f>IMDIV("1",IMSUM(G570,IMDIV("1",O570)))</f>
        <v>0</v>
      </c>
      <c r="Q570">
        <f>IMSUM(H570,P570)</f>
        <v>0</v>
      </c>
      <c r="R570">
        <f>IMDIV("1",IMSUM(I570,IMDIV("1",Q570)))</f>
        <v>0</v>
      </c>
      <c r="S570">
        <f>IMSUM(J570,R570)</f>
        <v>0</v>
      </c>
      <c r="T570">
        <f>IMDIV("1",IMSUM(K570,IMDIV("1",S570)))</f>
        <v>0</v>
      </c>
      <c r="U570">
        <f>IMSUM(L570,T570)</f>
        <v>0</v>
      </c>
      <c r="V570">
        <f>IMDIV(COMPLEX(I_DM_SOURCE,0),U570)</f>
        <v>0</v>
      </c>
      <c r="W570">
        <f>IMPRODUCT(V570,T570)</f>
        <v>0</v>
      </c>
      <c r="X570">
        <f>IMDIV(W570,S570)</f>
        <v>0</v>
      </c>
      <c r="Y570">
        <f>IMPRODUCT(X570,R570)</f>
        <v>0</v>
      </c>
      <c r="Z570">
        <f>IMDIV(Y570,Q570)</f>
        <v>0</v>
      </c>
      <c r="AA570">
        <f>IMPRODUCT(Z570,P570)</f>
        <v>0</v>
      </c>
      <c r="AB570">
        <f>AA570</f>
        <v>0</v>
      </c>
      <c r="AC570">
        <f>IMPRODUCT("-1",AB570)</f>
        <v>0</v>
      </c>
      <c r="AD570">
        <f>IMDIV(IMSUB(AB570,AC570),"2")</f>
        <v>0</v>
      </c>
      <c r="AE570" s="6">
        <f>IMABS(AB570)</f>
        <v>0</v>
      </c>
      <c r="AF570" s="6">
        <f>IMABS(AC570)</f>
        <v>0</v>
      </c>
      <c r="AG570" s="6">
        <f>IMABS(AD570)</f>
        <v>0</v>
      </c>
      <c r="AH570" s="7">
        <f>20*LOG10(MAX(AE570,1E-300)*1E6)</f>
        <v>0</v>
      </c>
      <c r="AI570" s="7">
        <f>20*LOG10(MAX(AF570,1E-300)*1E6)</f>
        <v>0</v>
      </c>
      <c r="AJ570" s="7">
        <f>20*LOG10(MAX(AG570,1E-300)*1E6)</f>
        <v>0</v>
      </c>
      <c r="AK570" s="7">
        <f>DEGREES(IMARGUMENT(AB570))</f>
        <v>0</v>
      </c>
      <c r="AL570" s="7">
        <f>DEGREES(IMARGUMENT(AC570))</f>
        <v>0</v>
      </c>
      <c r="AM570" s="7">
        <f>DEGREES(IMARGUMENT(AD570))</f>
        <v>0</v>
      </c>
    </row>
    <row r="571" spans="1:39">
      <c r="A571" s="6">
        <f>10^(LOG10(F_START)+(ROW()-ROW($A$2))*(LOG10(F_STOP)-LOG10(F_START))/(N_POINTS-1))</f>
        <v>0</v>
      </c>
      <c r="B571" s="6">
        <f>2*PI()*A571</f>
        <v>0</v>
      </c>
      <c r="C571">
        <f>COMPLEX(2*LINE_PS_DCR,2*B571*LINE_PS_L)</f>
        <v>0</v>
      </c>
      <c r="D571">
        <f>IMSUM(COMPLEX(0,B571*(LINE_PS_CLINE+LINE_PS_CCHA/2)),IMDIV("1",IMPRODUCT("2",COMPLEX(C_THROUGH_ESR,B571*C_THROUGH_ESL-1/(B571*C_THROUGH_C)))))</f>
        <v>0</v>
      </c>
      <c r="E571">
        <f>COMPLEX(2*LINE_INPUT_DCR,2*B571*LINE_INPUT_L)</f>
        <v>0</v>
      </c>
      <c r="F571">
        <f>COMPLEX(0,B571*(LINE_INPUT_CLINE+LINE_INPUT_CCHA/2))</f>
        <v>0</v>
      </c>
      <c r="G571">
        <f>IMPRODUCT("2",IMDIV("1",IMSUM(IMDIV("1",COMPLEX(LDM1_DCR,B571*LDM1_L)),COMPLEX(0,B571*LDM1_CPA))))</f>
        <v>0</v>
      </c>
      <c r="H571">
        <f>IMSUM(IMDIV("1",COMPLEX(CX1_ESR,B571*CX1_ESL-1/(B571*CX1_C))),IMDIV("1",IMSUM(COMPLEX(DUMP1_R,0),COMPLEX(DUMP1_ESR,B571*DUMP1_ESL-1/(B571*DUMP1_C)))))</f>
        <v>0</v>
      </c>
      <c r="I571">
        <f>IMPRODUCT("2",IMDIV("1",IMSUM(IMDIV("1",COMPLEX(LDM2_DCR,B571*LDM2_L)),COMPLEX(0,B571*LDM2_CPA))))</f>
        <v>0</v>
      </c>
      <c r="J571">
        <f>IMSUM(IMDIV("1",COMPLEX(CX2_ESR,B571*CX2_ESL-1/(B571*CX2_C))),IMDIV("1",IMSUM(COMPLEX(DUMP2_R,0),COMPLEX(DUMP2_ESR,B571*DUMP2_ESL-1/(B571*DUMP2_C)))))</f>
        <v>0</v>
      </c>
      <c r="K571">
        <f>IMPRODUCT("2",IMDIV("1",IMSUM(IMDIV("1",COMPLEX(CMC_DCR,B571*CMC_L*(1-CMC_K))),COMPLEX(0,B571*CMC_CPA))))</f>
        <v>0</v>
      </c>
      <c r="L571">
        <f>IMSUM(COMPLEX(0,B571*CMC_CLINE),IMDIV("1",IMPRODUCT("2",COMPLEX(CY_ESR,B571*CY_ESL-1/(B571*CY_C)))),COMPLEX(1/DUMMY_R,0))</f>
        <v>0</v>
      </c>
      <c r="M571">
        <f>IMSUM(D571,IMDIV("1",C571))</f>
        <v>0</v>
      </c>
      <c r="N571">
        <f>IMDIV("1",IMSUM(E571,IMDIV("1",M571)))</f>
        <v>0</v>
      </c>
      <c r="O571">
        <f>IMSUM(F571,N571)</f>
        <v>0</v>
      </c>
      <c r="P571">
        <f>IMDIV("1",IMSUM(G571,IMDIV("1",O571)))</f>
        <v>0</v>
      </c>
      <c r="Q571">
        <f>IMSUM(H571,P571)</f>
        <v>0</v>
      </c>
      <c r="R571">
        <f>IMDIV("1",IMSUM(I571,IMDIV("1",Q571)))</f>
        <v>0</v>
      </c>
      <c r="S571">
        <f>IMSUM(J571,R571)</f>
        <v>0</v>
      </c>
      <c r="T571">
        <f>IMDIV("1",IMSUM(K571,IMDIV("1",S571)))</f>
        <v>0</v>
      </c>
      <c r="U571">
        <f>IMSUM(L571,T571)</f>
        <v>0</v>
      </c>
      <c r="V571">
        <f>IMDIV(COMPLEX(I_DM_SOURCE,0),U571)</f>
        <v>0</v>
      </c>
      <c r="W571">
        <f>IMPRODUCT(V571,T571)</f>
        <v>0</v>
      </c>
      <c r="X571">
        <f>IMDIV(W571,S571)</f>
        <v>0</v>
      </c>
      <c r="Y571">
        <f>IMPRODUCT(X571,R571)</f>
        <v>0</v>
      </c>
      <c r="Z571">
        <f>IMDIV(Y571,Q571)</f>
        <v>0</v>
      </c>
      <c r="AA571">
        <f>IMPRODUCT(Z571,P571)</f>
        <v>0</v>
      </c>
      <c r="AB571">
        <f>AA571</f>
        <v>0</v>
      </c>
      <c r="AC571">
        <f>IMPRODUCT("-1",AB571)</f>
        <v>0</v>
      </c>
      <c r="AD571">
        <f>IMDIV(IMSUB(AB571,AC571),"2")</f>
        <v>0</v>
      </c>
      <c r="AE571" s="6">
        <f>IMABS(AB571)</f>
        <v>0</v>
      </c>
      <c r="AF571" s="6">
        <f>IMABS(AC571)</f>
        <v>0</v>
      </c>
      <c r="AG571" s="6">
        <f>IMABS(AD571)</f>
        <v>0</v>
      </c>
      <c r="AH571" s="7">
        <f>20*LOG10(MAX(AE571,1E-300)*1E6)</f>
        <v>0</v>
      </c>
      <c r="AI571" s="7">
        <f>20*LOG10(MAX(AF571,1E-300)*1E6)</f>
        <v>0</v>
      </c>
      <c r="AJ571" s="7">
        <f>20*LOG10(MAX(AG571,1E-300)*1E6)</f>
        <v>0</v>
      </c>
      <c r="AK571" s="7">
        <f>DEGREES(IMARGUMENT(AB571))</f>
        <v>0</v>
      </c>
      <c r="AL571" s="7">
        <f>DEGREES(IMARGUMENT(AC571))</f>
        <v>0</v>
      </c>
      <c r="AM571" s="7">
        <f>DEGREES(IMARGUMENT(AD571))</f>
        <v>0</v>
      </c>
    </row>
    <row r="572" spans="1:39">
      <c r="A572" s="6">
        <f>10^(LOG10(F_START)+(ROW()-ROW($A$2))*(LOG10(F_STOP)-LOG10(F_START))/(N_POINTS-1))</f>
        <v>0</v>
      </c>
      <c r="B572" s="6">
        <f>2*PI()*A572</f>
        <v>0</v>
      </c>
      <c r="C572">
        <f>COMPLEX(2*LINE_PS_DCR,2*B572*LINE_PS_L)</f>
        <v>0</v>
      </c>
      <c r="D572">
        <f>IMSUM(COMPLEX(0,B572*(LINE_PS_CLINE+LINE_PS_CCHA/2)),IMDIV("1",IMPRODUCT("2",COMPLEX(C_THROUGH_ESR,B572*C_THROUGH_ESL-1/(B572*C_THROUGH_C)))))</f>
        <v>0</v>
      </c>
      <c r="E572">
        <f>COMPLEX(2*LINE_INPUT_DCR,2*B572*LINE_INPUT_L)</f>
        <v>0</v>
      </c>
      <c r="F572">
        <f>COMPLEX(0,B572*(LINE_INPUT_CLINE+LINE_INPUT_CCHA/2))</f>
        <v>0</v>
      </c>
      <c r="G572">
        <f>IMPRODUCT("2",IMDIV("1",IMSUM(IMDIV("1",COMPLEX(LDM1_DCR,B572*LDM1_L)),COMPLEX(0,B572*LDM1_CPA))))</f>
        <v>0</v>
      </c>
      <c r="H572">
        <f>IMSUM(IMDIV("1",COMPLEX(CX1_ESR,B572*CX1_ESL-1/(B572*CX1_C))),IMDIV("1",IMSUM(COMPLEX(DUMP1_R,0),COMPLEX(DUMP1_ESR,B572*DUMP1_ESL-1/(B572*DUMP1_C)))))</f>
        <v>0</v>
      </c>
      <c r="I572">
        <f>IMPRODUCT("2",IMDIV("1",IMSUM(IMDIV("1",COMPLEX(LDM2_DCR,B572*LDM2_L)),COMPLEX(0,B572*LDM2_CPA))))</f>
        <v>0</v>
      </c>
      <c r="J572">
        <f>IMSUM(IMDIV("1",COMPLEX(CX2_ESR,B572*CX2_ESL-1/(B572*CX2_C))),IMDIV("1",IMSUM(COMPLEX(DUMP2_R,0),COMPLEX(DUMP2_ESR,B572*DUMP2_ESL-1/(B572*DUMP2_C)))))</f>
        <v>0</v>
      </c>
      <c r="K572">
        <f>IMPRODUCT("2",IMDIV("1",IMSUM(IMDIV("1",COMPLEX(CMC_DCR,B572*CMC_L*(1-CMC_K))),COMPLEX(0,B572*CMC_CPA))))</f>
        <v>0</v>
      </c>
      <c r="L572">
        <f>IMSUM(COMPLEX(0,B572*CMC_CLINE),IMDIV("1",IMPRODUCT("2",COMPLEX(CY_ESR,B572*CY_ESL-1/(B572*CY_C)))),COMPLEX(1/DUMMY_R,0))</f>
        <v>0</v>
      </c>
      <c r="M572">
        <f>IMSUM(D572,IMDIV("1",C572))</f>
        <v>0</v>
      </c>
      <c r="N572">
        <f>IMDIV("1",IMSUM(E572,IMDIV("1",M572)))</f>
        <v>0</v>
      </c>
      <c r="O572">
        <f>IMSUM(F572,N572)</f>
        <v>0</v>
      </c>
      <c r="P572">
        <f>IMDIV("1",IMSUM(G572,IMDIV("1",O572)))</f>
        <v>0</v>
      </c>
      <c r="Q572">
        <f>IMSUM(H572,P572)</f>
        <v>0</v>
      </c>
      <c r="R572">
        <f>IMDIV("1",IMSUM(I572,IMDIV("1",Q572)))</f>
        <v>0</v>
      </c>
      <c r="S572">
        <f>IMSUM(J572,R572)</f>
        <v>0</v>
      </c>
      <c r="T572">
        <f>IMDIV("1",IMSUM(K572,IMDIV("1",S572)))</f>
        <v>0</v>
      </c>
      <c r="U572">
        <f>IMSUM(L572,T572)</f>
        <v>0</v>
      </c>
      <c r="V572">
        <f>IMDIV(COMPLEX(I_DM_SOURCE,0),U572)</f>
        <v>0</v>
      </c>
      <c r="W572">
        <f>IMPRODUCT(V572,T572)</f>
        <v>0</v>
      </c>
      <c r="X572">
        <f>IMDIV(W572,S572)</f>
        <v>0</v>
      </c>
      <c r="Y572">
        <f>IMPRODUCT(X572,R572)</f>
        <v>0</v>
      </c>
      <c r="Z572">
        <f>IMDIV(Y572,Q572)</f>
        <v>0</v>
      </c>
      <c r="AA572">
        <f>IMPRODUCT(Z572,P572)</f>
        <v>0</v>
      </c>
      <c r="AB572">
        <f>AA572</f>
        <v>0</v>
      </c>
      <c r="AC572">
        <f>IMPRODUCT("-1",AB572)</f>
        <v>0</v>
      </c>
      <c r="AD572">
        <f>IMDIV(IMSUB(AB572,AC572),"2")</f>
        <v>0</v>
      </c>
      <c r="AE572" s="6">
        <f>IMABS(AB572)</f>
        <v>0</v>
      </c>
      <c r="AF572" s="6">
        <f>IMABS(AC572)</f>
        <v>0</v>
      </c>
      <c r="AG572" s="6">
        <f>IMABS(AD572)</f>
        <v>0</v>
      </c>
      <c r="AH572" s="7">
        <f>20*LOG10(MAX(AE572,1E-300)*1E6)</f>
        <v>0</v>
      </c>
      <c r="AI572" s="7">
        <f>20*LOG10(MAX(AF572,1E-300)*1E6)</f>
        <v>0</v>
      </c>
      <c r="AJ572" s="7">
        <f>20*LOG10(MAX(AG572,1E-300)*1E6)</f>
        <v>0</v>
      </c>
      <c r="AK572" s="7">
        <f>DEGREES(IMARGUMENT(AB572))</f>
        <v>0</v>
      </c>
      <c r="AL572" s="7">
        <f>DEGREES(IMARGUMENT(AC572))</f>
        <v>0</v>
      </c>
      <c r="AM572" s="7">
        <f>DEGREES(IMARGUMENT(AD572))</f>
        <v>0</v>
      </c>
    </row>
    <row r="573" spans="1:39">
      <c r="A573" s="6">
        <f>10^(LOG10(F_START)+(ROW()-ROW($A$2))*(LOG10(F_STOP)-LOG10(F_START))/(N_POINTS-1))</f>
        <v>0</v>
      </c>
      <c r="B573" s="6">
        <f>2*PI()*A573</f>
        <v>0</v>
      </c>
      <c r="C573">
        <f>COMPLEX(2*LINE_PS_DCR,2*B573*LINE_PS_L)</f>
        <v>0</v>
      </c>
      <c r="D573">
        <f>IMSUM(COMPLEX(0,B573*(LINE_PS_CLINE+LINE_PS_CCHA/2)),IMDIV("1",IMPRODUCT("2",COMPLEX(C_THROUGH_ESR,B573*C_THROUGH_ESL-1/(B573*C_THROUGH_C)))))</f>
        <v>0</v>
      </c>
      <c r="E573">
        <f>COMPLEX(2*LINE_INPUT_DCR,2*B573*LINE_INPUT_L)</f>
        <v>0</v>
      </c>
      <c r="F573">
        <f>COMPLEX(0,B573*(LINE_INPUT_CLINE+LINE_INPUT_CCHA/2))</f>
        <v>0</v>
      </c>
      <c r="G573">
        <f>IMPRODUCT("2",IMDIV("1",IMSUM(IMDIV("1",COMPLEX(LDM1_DCR,B573*LDM1_L)),COMPLEX(0,B573*LDM1_CPA))))</f>
        <v>0</v>
      </c>
      <c r="H573">
        <f>IMSUM(IMDIV("1",COMPLEX(CX1_ESR,B573*CX1_ESL-1/(B573*CX1_C))),IMDIV("1",IMSUM(COMPLEX(DUMP1_R,0),COMPLEX(DUMP1_ESR,B573*DUMP1_ESL-1/(B573*DUMP1_C)))))</f>
        <v>0</v>
      </c>
      <c r="I573">
        <f>IMPRODUCT("2",IMDIV("1",IMSUM(IMDIV("1",COMPLEX(LDM2_DCR,B573*LDM2_L)),COMPLEX(0,B573*LDM2_CPA))))</f>
        <v>0</v>
      </c>
      <c r="J573">
        <f>IMSUM(IMDIV("1",COMPLEX(CX2_ESR,B573*CX2_ESL-1/(B573*CX2_C))),IMDIV("1",IMSUM(COMPLEX(DUMP2_R,0),COMPLEX(DUMP2_ESR,B573*DUMP2_ESL-1/(B573*DUMP2_C)))))</f>
        <v>0</v>
      </c>
      <c r="K573">
        <f>IMPRODUCT("2",IMDIV("1",IMSUM(IMDIV("1",COMPLEX(CMC_DCR,B573*CMC_L*(1-CMC_K))),COMPLEX(0,B573*CMC_CPA))))</f>
        <v>0</v>
      </c>
      <c r="L573">
        <f>IMSUM(COMPLEX(0,B573*CMC_CLINE),IMDIV("1",IMPRODUCT("2",COMPLEX(CY_ESR,B573*CY_ESL-1/(B573*CY_C)))),COMPLEX(1/DUMMY_R,0))</f>
        <v>0</v>
      </c>
      <c r="M573">
        <f>IMSUM(D573,IMDIV("1",C573))</f>
        <v>0</v>
      </c>
      <c r="N573">
        <f>IMDIV("1",IMSUM(E573,IMDIV("1",M573)))</f>
        <v>0</v>
      </c>
      <c r="O573">
        <f>IMSUM(F573,N573)</f>
        <v>0</v>
      </c>
      <c r="P573">
        <f>IMDIV("1",IMSUM(G573,IMDIV("1",O573)))</f>
        <v>0</v>
      </c>
      <c r="Q573">
        <f>IMSUM(H573,P573)</f>
        <v>0</v>
      </c>
      <c r="R573">
        <f>IMDIV("1",IMSUM(I573,IMDIV("1",Q573)))</f>
        <v>0</v>
      </c>
      <c r="S573">
        <f>IMSUM(J573,R573)</f>
        <v>0</v>
      </c>
      <c r="T573">
        <f>IMDIV("1",IMSUM(K573,IMDIV("1",S573)))</f>
        <v>0</v>
      </c>
      <c r="U573">
        <f>IMSUM(L573,T573)</f>
        <v>0</v>
      </c>
      <c r="V573">
        <f>IMDIV(COMPLEX(I_DM_SOURCE,0),U573)</f>
        <v>0</v>
      </c>
      <c r="W573">
        <f>IMPRODUCT(V573,T573)</f>
        <v>0</v>
      </c>
      <c r="X573">
        <f>IMDIV(W573,S573)</f>
        <v>0</v>
      </c>
      <c r="Y573">
        <f>IMPRODUCT(X573,R573)</f>
        <v>0</v>
      </c>
      <c r="Z573">
        <f>IMDIV(Y573,Q573)</f>
        <v>0</v>
      </c>
      <c r="AA573">
        <f>IMPRODUCT(Z573,P573)</f>
        <v>0</v>
      </c>
      <c r="AB573">
        <f>AA573</f>
        <v>0</v>
      </c>
      <c r="AC573">
        <f>IMPRODUCT("-1",AB573)</f>
        <v>0</v>
      </c>
      <c r="AD573">
        <f>IMDIV(IMSUB(AB573,AC573),"2")</f>
        <v>0</v>
      </c>
      <c r="AE573" s="6">
        <f>IMABS(AB573)</f>
        <v>0</v>
      </c>
      <c r="AF573" s="6">
        <f>IMABS(AC573)</f>
        <v>0</v>
      </c>
      <c r="AG573" s="6">
        <f>IMABS(AD573)</f>
        <v>0</v>
      </c>
      <c r="AH573" s="7">
        <f>20*LOG10(MAX(AE573,1E-300)*1E6)</f>
        <v>0</v>
      </c>
      <c r="AI573" s="7">
        <f>20*LOG10(MAX(AF573,1E-300)*1E6)</f>
        <v>0</v>
      </c>
      <c r="AJ573" s="7">
        <f>20*LOG10(MAX(AG573,1E-300)*1E6)</f>
        <v>0</v>
      </c>
      <c r="AK573" s="7">
        <f>DEGREES(IMARGUMENT(AB573))</f>
        <v>0</v>
      </c>
      <c r="AL573" s="7">
        <f>DEGREES(IMARGUMENT(AC573))</f>
        <v>0</v>
      </c>
      <c r="AM573" s="7">
        <f>DEGREES(IMARGUMENT(AD573))</f>
        <v>0</v>
      </c>
    </row>
    <row r="574" spans="1:39">
      <c r="A574" s="6">
        <f>10^(LOG10(F_START)+(ROW()-ROW($A$2))*(LOG10(F_STOP)-LOG10(F_START))/(N_POINTS-1))</f>
        <v>0</v>
      </c>
      <c r="B574" s="6">
        <f>2*PI()*A574</f>
        <v>0</v>
      </c>
      <c r="C574">
        <f>COMPLEX(2*LINE_PS_DCR,2*B574*LINE_PS_L)</f>
        <v>0</v>
      </c>
      <c r="D574">
        <f>IMSUM(COMPLEX(0,B574*(LINE_PS_CLINE+LINE_PS_CCHA/2)),IMDIV("1",IMPRODUCT("2",COMPLEX(C_THROUGH_ESR,B574*C_THROUGH_ESL-1/(B574*C_THROUGH_C)))))</f>
        <v>0</v>
      </c>
      <c r="E574">
        <f>COMPLEX(2*LINE_INPUT_DCR,2*B574*LINE_INPUT_L)</f>
        <v>0</v>
      </c>
      <c r="F574">
        <f>COMPLEX(0,B574*(LINE_INPUT_CLINE+LINE_INPUT_CCHA/2))</f>
        <v>0</v>
      </c>
      <c r="G574">
        <f>IMPRODUCT("2",IMDIV("1",IMSUM(IMDIV("1",COMPLEX(LDM1_DCR,B574*LDM1_L)),COMPLEX(0,B574*LDM1_CPA))))</f>
        <v>0</v>
      </c>
      <c r="H574">
        <f>IMSUM(IMDIV("1",COMPLEX(CX1_ESR,B574*CX1_ESL-1/(B574*CX1_C))),IMDIV("1",IMSUM(COMPLEX(DUMP1_R,0),COMPLEX(DUMP1_ESR,B574*DUMP1_ESL-1/(B574*DUMP1_C)))))</f>
        <v>0</v>
      </c>
      <c r="I574">
        <f>IMPRODUCT("2",IMDIV("1",IMSUM(IMDIV("1",COMPLEX(LDM2_DCR,B574*LDM2_L)),COMPLEX(0,B574*LDM2_CPA))))</f>
        <v>0</v>
      </c>
      <c r="J574">
        <f>IMSUM(IMDIV("1",COMPLEX(CX2_ESR,B574*CX2_ESL-1/(B574*CX2_C))),IMDIV("1",IMSUM(COMPLEX(DUMP2_R,0),COMPLEX(DUMP2_ESR,B574*DUMP2_ESL-1/(B574*DUMP2_C)))))</f>
        <v>0</v>
      </c>
      <c r="K574">
        <f>IMPRODUCT("2",IMDIV("1",IMSUM(IMDIV("1",COMPLEX(CMC_DCR,B574*CMC_L*(1-CMC_K))),COMPLEX(0,B574*CMC_CPA))))</f>
        <v>0</v>
      </c>
      <c r="L574">
        <f>IMSUM(COMPLEX(0,B574*CMC_CLINE),IMDIV("1",IMPRODUCT("2",COMPLEX(CY_ESR,B574*CY_ESL-1/(B574*CY_C)))),COMPLEX(1/DUMMY_R,0))</f>
        <v>0</v>
      </c>
      <c r="M574">
        <f>IMSUM(D574,IMDIV("1",C574))</f>
        <v>0</v>
      </c>
      <c r="N574">
        <f>IMDIV("1",IMSUM(E574,IMDIV("1",M574)))</f>
        <v>0</v>
      </c>
      <c r="O574">
        <f>IMSUM(F574,N574)</f>
        <v>0</v>
      </c>
      <c r="P574">
        <f>IMDIV("1",IMSUM(G574,IMDIV("1",O574)))</f>
        <v>0</v>
      </c>
      <c r="Q574">
        <f>IMSUM(H574,P574)</f>
        <v>0</v>
      </c>
      <c r="R574">
        <f>IMDIV("1",IMSUM(I574,IMDIV("1",Q574)))</f>
        <v>0</v>
      </c>
      <c r="S574">
        <f>IMSUM(J574,R574)</f>
        <v>0</v>
      </c>
      <c r="T574">
        <f>IMDIV("1",IMSUM(K574,IMDIV("1",S574)))</f>
        <v>0</v>
      </c>
      <c r="U574">
        <f>IMSUM(L574,T574)</f>
        <v>0</v>
      </c>
      <c r="V574">
        <f>IMDIV(COMPLEX(I_DM_SOURCE,0),U574)</f>
        <v>0</v>
      </c>
      <c r="W574">
        <f>IMPRODUCT(V574,T574)</f>
        <v>0</v>
      </c>
      <c r="X574">
        <f>IMDIV(W574,S574)</f>
        <v>0</v>
      </c>
      <c r="Y574">
        <f>IMPRODUCT(X574,R574)</f>
        <v>0</v>
      </c>
      <c r="Z574">
        <f>IMDIV(Y574,Q574)</f>
        <v>0</v>
      </c>
      <c r="AA574">
        <f>IMPRODUCT(Z574,P574)</f>
        <v>0</v>
      </c>
      <c r="AB574">
        <f>AA574</f>
        <v>0</v>
      </c>
      <c r="AC574">
        <f>IMPRODUCT("-1",AB574)</f>
        <v>0</v>
      </c>
      <c r="AD574">
        <f>IMDIV(IMSUB(AB574,AC574),"2")</f>
        <v>0</v>
      </c>
      <c r="AE574" s="6">
        <f>IMABS(AB574)</f>
        <v>0</v>
      </c>
      <c r="AF574" s="6">
        <f>IMABS(AC574)</f>
        <v>0</v>
      </c>
      <c r="AG574" s="6">
        <f>IMABS(AD574)</f>
        <v>0</v>
      </c>
      <c r="AH574" s="7">
        <f>20*LOG10(MAX(AE574,1E-300)*1E6)</f>
        <v>0</v>
      </c>
      <c r="AI574" s="7">
        <f>20*LOG10(MAX(AF574,1E-300)*1E6)</f>
        <v>0</v>
      </c>
      <c r="AJ574" s="7">
        <f>20*LOG10(MAX(AG574,1E-300)*1E6)</f>
        <v>0</v>
      </c>
      <c r="AK574" s="7">
        <f>DEGREES(IMARGUMENT(AB574))</f>
        <v>0</v>
      </c>
      <c r="AL574" s="7">
        <f>DEGREES(IMARGUMENT(AC574))</f>
        <v>0</v>
      </c>
      <c r="AM574" s="7">
        <f>DEGREES(IMARGUMENT(AD574))</f>
        <v>0</v>
      </c>
    </row>
    <row r="575" spans="1:39">
      <c r="A575" s="6">
        <f>10^(LOG10(F_START)+(ROW()-ROW($A$2))*(LOG10(F_STOP)-LOG10(F_START))/(N_POINTS-1))</f>
        <v>0</v>
      </c>
      <c r="B575" s="6">
        <f>2*PI()*A575</f>
        <v>0</v>
      </c>
      <c r="C575">
        <f>COMPLEX(2*LINE_PS_DCR,2*B575*LINE_PS_L)</f>
        <v>0</v>
      </c>
      <c r="D575">
        <f>IMSUM(COMPLEX(0,B575*(LINE_PS_CLINE+LINE_PS_CCHA/2)),IMDIV("1",IMPRODUCT("2",COMPLEX(C_THROUGH_ESR,B575*C_THROUGH_ESL-1/(B575*C_THROUGH_C)))))</f>
        <v>0</v>
      </c>
      <c r="E575">
        <f>COMPLEX(2*LINE_INPUT_DCR,2*B575*LINE_INPUT_L)</f>
        <v>0</v>
      </c>
      <c r="F575">
        <f>COMPLEX(0,B575*(LINE_INPUT_CLINE+LINE_INPUT_CCHA/2))</f>
        <v>0</v>
      </c>
      <c r="G575">
        <f>IMPRODUCT("2",IMDIV("1",IMSUM(IMDIV("1",COMPLEX(LDM1_DCR,B575*LDM1_L)),COMPLEX(0,B575*LDM1_CPA))))</f>
        <v>0</v>
      </c>
      <c r="H575">
        <f>IMSUM(IMDIV("1",COMPLEX(CX1_ESR,B575*CX1_ESL-1/(B575*CX1_C))),IMDIV("1",IMSUM(COMPLEX(DUMP1_R,0),COMPLEX(DUMP1_ESR,B575*DUMP1_ESL-1/(B575*DUMP1_C)))))</f>
        <v>0</v>
      </c>
      <c r="I575">
        <f>IMPRODUCT("2",IMDIV("1",IMSUM(IMDIV("1",COMPLEX(LDM2_DCR,B575*LDM2_L)),COMPLEX(0,B575*LDM2_CPA))))</f>
        <v>0</v>
      </c>
      <c r="J575">
        <f>IMSUM(IMDIV("1",COMPLEX(CX2_ESR,B575*CX2_ESL-1/(B575*CX2_C))),IMDIV("1",IMSUM(COMPLEX(DUMP2_R,0),COMPLEX(DUMP2_ESR,B575*DUMP2_ESL-1/(B575*DUMP2_C)))))</f>
        <v>0</v>
      </c>
      <c r="K575">
        <f>IMPRODUCT("2",IMDIV("1",IMSUM(IMDIV("1",COMPLEX(CMC_DCR,B575*CMC_L*(1-CMC_K))),COMPLEX(0,B575*CMC_CPA))))</f>
        <v>0</v>
      </c>
      <c r="L575">
        <f>IMSUM(COMPLEX(0,B575*CMC_CLINE),IMDIV("1",IMPRODUCT("2",COMPLEX(CY_ESR,B575*CY_ESL-1/(B575*CY_C)))),COMPLEX(1/DUMMY_R,0))</f>
        <v>0</v>
      </c>
      <c r="M575">
        <f>IMSUM(D575,IMDIV("1",C575))</f>
        <v>0</v>
      </c>
      <c r="N575">
        <f>IMDIV("1",IMSUM(E575,IMDIV("1",M575)))</f>
        <v>0</v>
      </c>
      <c r="O575">
        <f>IMSUM(F575,N575)</f>
        <v>0</v>
      </c>
      <c r="P575">
        <f>IMDIV("1",IMSUM(G575,IMDIV("1",O575)))</f>
        <v>0</v>
      </c>
      <c r="Q575">
        <f>IMSUM(H575,P575)</f>
        <v>0</v>
      </c>
      <c r="R575">
        <f>IMDIV("1",IMSUM(I575,IMDIV("1",Q575)))</f>
        <v>0</v>
      </c>
      <c r="S575">
        <f>IMSUM(J575,R575)</f>
        <v>0</v>
      </c>
      <c r="T575">
        <f>IMDIV("1",IMSUM(K575,IMDIV("1",S575)))</f>
        <v>0</v>
      </c>
      <c r="U575">
        <f>IMSUM(L575,T575)</f>
        <v>0</v>
      </c>
      <c r="V575">
        <f>IMDIV(COMPLEX(I_DM_SOURCE,0),U575)</f>
        <v>0</v>
      </c>
      <c r="W575">
        <f>IMPRODUCT(V575,T575)</f>
        <v>0</v>
      </c>
      <c r="X575">
        <f>IMDIV(W575,S575)</f>
        <v>0</v>
      </c>
      <c r="Y575">
        <f>IMPRODUCT(X575,R575)</f>
        <v>0</v>
      </c>
      <c r="Z575">
        <f>IMDIV(Y575,Q575)</f>
        <v>0</v>
      </c>
      <c r="AA575">
        <f>IMPRODUCT(Z575,P575)</f>
        <v>0</v>
      </c>
      <c r="AB575">
        <f>AA575</f>
        <v>0</v>
      </c>
      <c r="AC575">
        <f>IMPRODUCT("-1",AB575)</f>
        <v>0</v>
      </c>
      <c r="AD575">
        <f>IMDIV(IMSUB(AB575,AC575),"2")</f>
        <v>0</v>
      </c>
      <c r="AE575" s="6">
        <f>IMABS(AB575)</f>
        <v>0</v>
      </c>
      <c r="AF575" s="6">
        <f>IMABS(AC575)</f>
        <v>0</v>
      </c>
      <c r="AG575" s="6">
        <f>IMABS(AD575)</f>
        <v>0</v>
      </c>
      <c r="AH575" s="7">
        <f>20*LOG10(MAX(AE575,1E-300)*1E6)</f>
        <v>0</v>
      </c>
      <c r="AI575" s="7">
        <f>20*LOG10(MAX(AF575,1E-300)*1E6)</f>
        <v>0</v>
      </c>
      <c r="AJ575" s="7">
        <f>20*LOG10(MAX(AG575,1E-300)*1E6)</f>
        <v>0</v>
      </c>
      <c r="AK575" s="7">
        <f>DEGREES(IMARGUMENT(AB575))</f>
        <v>0</v>
      </c>
      <c r="AL575" s="7">
        <f>DEGREES(IMARGUMENT(AC575))</f>
        <v>0</v>
      </c>
      <c r="AM575" s="7">
        <f>DEGREES(IMARGUMENT(AD575))</f>
        <v>0</v>
      </c>
    </row>
    <row r="576" spans="1:39">
      <c r="A576" s="6">
        <f>10^(LOG10(F_START)+(ROW()-ROW($A$2))*(LOG10(F_STOP)-LOG10(F_START))/(N_POINTS-1))</f>
        <v>0</v>
      </c>
      <c r="B576" s="6">
        <f>2*PI()*A576</f>
        <v>0</v>
      </c>
      <c r="C576">
        <f>COMPLEX(2*LINE_PS_DCR,2*B576*LINE_PS_L)</f>
        <v>0</v>
      </c>
      <c r="D576">
        <f>IMSUM(COMPLEX(0,B576*(LINE_PS_CLINE+LINE_PS_CCHA/2)),IMDIV("1",IMPRODUCT("2",COMPLEX(C_THROUGH_ESR,B576*C_THROUGH_ESL-1/(B576*C_THROUGH_C)))))</f>
        <v>0</v>
      </c>
      <c r="E576">
        <f>COMPLEX(2*LINE_INPUT_DCR,2*B576*LINE_INPUT_L)</f>
        <v>0</v>
      </c>
      <c r="F576">
        <f>COMPLEX(0,B576*(LINE_INPUT_CLINE+LINE_INPUT_CCHA/2))</f>
        <v>0</v>
      </c>
      <c r="G576">
        <f>IMPRODUCT("2",IMDIV("1",IMSUM(IMDIV("1",COMPLEX(LDM1_DCR,B576*LDM1_L)),COMPLEX(0,B576*LDM1_CPA))))</f>
        <v>0</v>
      </c>
      <c r="H576">
        <f>IMSUM(IMDIV("1",COMPLEX(CX1_ESR,B576*CX1_ESL-1/(B576*CX1_C))),IMDIV("1",IMSUM(COMPLEX(DUMP1_R,0),COMPLEX(DUMP1_ESR,B576*DUMP1_ESL-1/(B576*DUMP1_C)))))</f>
        <v>0</v>
      </c>
      <c r="I576">
        <f>IMPRODUCT("2",IMDIV("1",IMSUM(IMDIV("1",COMPLEX(LDM2_DCR,B576*LDM2_L)),COMPLEX(0,B576*LDM2_CPA))))</f>
        <v>0</v>
      </c>
      <c r="J576">
        <f>IMSUM(IMDIV("1",COMPLEX(CX2_ESR,B576*CX2_ESL-1/(B576*CX2_C))),IMDIV("1",IMSUM(COMPLEX(DUMP2_R,0),COMPLEX(DUMP2_ESR,B576*DUMP2_ESL-1/(B576*DUMP2_C)))))</f>
        <v>0</v>
      </c>
      <c r="K576">
        <f>IMPRODUCT("2",IMDIV("1",IMSUM(IMDIV("1",COMPLEX(CMC_DCR,B576*CMC_L*(1-CMC_K))),COMPLEX(0,B576*CMC_CPA))))</f>
        <v>0</v>
      </c>
      <c r="L576">
        <f>IMSUM(COMPLEX(0,B576*CMC_CLINE),IMDIV("1",IMPRODUCT("2",COMPLEX(CY_ESR,B576*CY_ESL-1/(B576*CY_C)))),COMPLEX(1/DUMMY_R,0))</f>
        <v>0</v>
      </c>
      <c r="M576">
        <f>IMSUM(D576,IMDIV("1",C576))</f>
        <v>0</v>
      </c>
      <c r="N576">
        <f>IMDIV("1",IMSUM(E576,IMDIV("1",M576)))</f>
        <v>0</v>
      </c>
      <c r="O576">
        <f>IMSUM(F576,N576)</f>
        <v>0</v>
      </c>
      <c r="P576">
        <f>IMDIV("1",IMSUM(G576,IMDIV("1",O576)))</f>
        <v>0</v>
      </c>
      <c r="Q576">
        <f>IMSUM(H576,P576)</f>
        <v>0</v>
      </c>
      <c r="R576">
        <f>IMDIV("1",IMSUM(I576,IMDIV("1",Q576)))</f>
        <v>0</v>
      </c>
      <c r="S576">
        <f>IMSUM(J576,R576)</f>
        <v>0</v>
      </c>
      <c r="T576">
        <f>IMDIV("1",IMSUM(K576,IMDIV("1",S576)))</f>
        <v>0</v>
      </c>
      <c r="U576">
        <f>IMSUM(L576,T576)</f>
        <v>0</v>
      </c>
      <c r="V576">
        <f>IMDIV(COMPLEX(I_DM_SOURCE,0),U576)</f>
        <v>0</v>
      </c>
      <c r="W576">
        <f>IMPRODUCT(V576,T576)</f>
        <v>0</v>
      </c>
      <c r="X576">
        <f>IMDIV(W576,S576)</f>
        <v>0</v>
      </c>
      <c r="Y576">
        <f>IMPRODUCT(X576,R576)</f>
        <v>0</v>
      </c>
      <c r="Z576">
        <f>IMDIV(Y576,Q576)</f>
        <v>0</v>
      </c>
      <c r="AA576">
        <f>IMPRODUCT(Z576,P576)</f>
        <v>0</v>
      </c>
      <c r="AB576">
        <f>AA576</f>
        <v>0</v>
      </c>
      <c r="AC576">
        <f>IMPRODUCT("-1",AB576)</f>
        <v>0</v>
      </c>
      <c r="AD576">
        <f>IMDIV(IMSUB(AB576,AC576),"2")</f>
        <v>0</v>
      </c>
      <c r="AE576" s="6">
        <f>IMABS(AB576)</f>
        <v>0</v>
      </c>
      <c r="AF576" s="6">
        <f>IMABS(AC576)</f>
        <v>0</v>
      </c>
      <c r="AG576" s="6">
        <f>IMABS(AD576)</f>
        <v>0</v>
      </c>
      <c r="AH576" s="7">
        <f>20*LOG10(MAX(AE576,1E-300)*1E6)</f>
        <v>0</v>
      </c>
      <c r="AI576" s="7">
        <f>20*LOG10(MAX(AF576,1E-300)*1E6)</f>
        <v>0</v>
      </c>
      <c r="AJ576" s="7">
        <f>20*LOG10(MAX(AG576,1E-300)*1E6)</f>
        <v>0</v>
      </c>
      <c r="AK576" s="7">
        <f>DEGREES(IMARGUMENT(AB576))</f>
        <v>0</v>
      </c>
      <c r="AL576" s="7">
        <f>DEGREES(IMARGUMENT(AC576))</f>
        <v>0</v>
      </c>
      <c r="AM576" s="7">
        <f>DEGREES(IMARGUMENT(AD576))</f>
        <v>0</v>
      </c>
    </row>
    <row r="577" spans="1:39">
      <c r="A577" s="6">
        <f>10^(LOG10(F_START)+(ROW()-ROW($A$2))*(LOG10(F_STOP)-LOG10(F_START))/(N_POINTS-1))</f>
        <v>0</v>
      </c>
      <c r="B577" s="6">
        <f>2*PI()*A577</f>
        <v>0</v>
      </c>
      <c r="C577">
        <f>COMPLEX(2*LINE_PS_DCR,2*B577*LINE_PS_L)</f>
        <v>0</v>
      </c>
      <c r="D577">
        <f>IMSUM(COMPLEX(0,B577*(LINE_PS_CLINE+LINE_PS_CCHA/2)),IMDIV("1",IMPRODUCT("2",COMPLEX(C_THROUGH_ESR,B577*C_THROUGH_ESL-1/(B577*C_THROUGH_C)))))</f>
        <v>0</v>
      </c>
      <c r="E577">
        <f>COMPLEX(2*LINE_INPUT_DCR,2*B577*LINE_INPUT_L)</f>
        <v>0</v>
      </c>
      <c r="F577">
        <f>COMPLEX(0,B577*(LINE_INPUT_CLINE+LINE_INPUT_CCHA/2))</f>
        <v>0</v>
      </c>
      <c r="G577">
        <f>IMPRODUCT("2",IMDIV("1",IMSUM(IMDIV("1",COMPLEX(LDM1_DCR,B577*LDM1_L)),COMPLEX(0,B577*LDM1_CPA))))</f>
        <v>0</v>
      </c>
      <c r="H577">
        <f>IMSUM(IMDIV("1",COMPLEX(CX1_ESR,B577*CX1_ESL-1/(B577*CX1_C))),IMDIV("1",IMSUM(COMPLEX(DUMP1_R,0),COMPLEX(DUMP1_ESR,B577*DUMP1_ESL-1/(B577*DUMP1_C)))))</f>
        <v>0</v>
      </c>
      <c r="I577">
        <f>IMPRODUCT("2",IMDIV("1",IMSUM(IMDIV("1",COMPLEX(LDM2_DCR,B577*LDM2_L)),COMPLEX(0,B577*LDM2_CPA))))</f>
        <v>0</v>
      </c>
      <c r="J577">
        <f>IMSUM(IMDIV("1",COMPLEX(CX2_ESR,B577*CX2_ESL-1/(B577*CX2_C))),IMDIV("1",IMSUM(COMPLEX(DUMP2_R,0),COMPLEX(DUMP2_ESR,B577*DUMP2_ESL-1/(B577*DUMP2_C)))))</f>
        <v>0</v>
      </c>
      <c r="K577">
        <f>IMPRODUCT("2",IMDIV("1",IMSUM(IMDIV("1",COMPLEX(CMC_DCR,B577*CMC_L*(1-CMC_K))),COMPLEX(0,B577*CMC_CPA))))</f>
        <v>0</v>
      </c>
      <c r="L577">
        <f>IMSUM(COMPLEX(0,B577*CMC_CLINE),IMDIV("1",IMPRODUCT("2",COMPLEX(CY_ESR,B577*CY_ESL-1/(B577*CY_C)))),COMPLEX(1/DUMMY_R,0))</f>
        <v>0</v>
      </c>
      <c r="M577">
        <f>IMSUM(D577,IMDIV("1",C577))</f>
        <v>0</v>
      </c>
      <c r="N577">
        <f>IMDIV("1",IMSUM(E577,IMDIV("1",M577)))</f>
        <v>0</v>
      </c>
      <c r="O577">
        <f>IMSUM(F577,N577)</f>
        <v>0</v>
      </c>
      <c r="P577">
        <f>IMDIV("1",IMSUM(G577,IMDIV("1",O577)))</f>
        <v>0</v>
      </c>
      <c r="Q577">
        <f>IMSUM(H577,P577)</f>
        <v>0</v>
      </c>
      <c r="R577">
        <f>IMDIV("1",IMSUM(I577,IMDIV("1",Q577)))</f>
        <v>0</v>
      </c>
      <c r="S577">
        <f>IMSUM(J577,R577)</f>
        <v>0</v>
      </c>
      <c r="T577">
        <f>IMDIV("1",IMSUM(K577,IMDIV("1",S577)))</f>
        <v>0</v>
      </c>
      <c r="U577">
        <f>IMSUM(L577,T577)</f>
        <v>0</v>
      </c>
      <c r="V577">
        <f>IMDIV(COMPLEX(I_DM_SOURCE,0),U577)</f>
        <v>0</v>
      </c>
      <c r="W577">
        <f>IMPRODUCT(V577,T577)</f>
        <v>0</v>
      </c>
      <c r="X577">
        <f>IMDIV(W577,S577)</f>
        <v>0</v>
      </c>
      <c r="Y577">
        <f>IMPRODUCT(X577,R577)</f>
        <v>0</v>
      </c>
      <c r="Z577">
        <f>IMDIV(Y577,Q577)</f>
        <v>0</v>
      </c>
      <c r="AA577">
        <f>IMPRODUCT(Z577,P577)</f>
        <v>0</v>
      </c>
      <c r="AB577">
        <f>AA577</f>
        <v>0</v>
      </c>
      <c r="AC577">
        <f>IMPRODUCT("-1",AB577)</f>
        <v>0</v>
      </c>
      <c r="AD577">
        <f>IMDIV(IMSUB(AB577,AC577),"2")</f>
        <v>0</v>
      </c>
      <c r="AE577" s="6">
        <f>IMABS(AB577)</f>
        <v>0</v>
      </c>
      <c r="AF577" s="6">
        <f>IMABS(AC577)</f>
        <v>0</v>
      </c>
      <c r="AG577" s="6">
        <f>IMABS(AD577)</f>
        <v>0</v>
      </c>
      <c r="AH577" s="7">
        <f>20*LOG10(MAX(AE577,1E-300)*1E6)</f>
        <v>0</v>
      </c>
      <c r="AI577" s="7">
        <f>20*LOG10(MAX(AF577,1E-300)*1E6)</f>
        <v>0</v>
      </c>
      <c r="AJ577" s="7">
        <f>20*LOG10(MAX(AG577,1E-300)*1E6)</f>
        <v>0</v>
      </c>
      <c r="AK577" s="7">
        <f>DEGREES(IMARGUMENT(AB577))</f>
        <v>0</v>
      </c>
      <c r="AL577" s="7">
        <f>DEGREES(IMARGUMENT(AC577))</f>
        <v>0</v>
      </c>
      <c r="AM577" s="7">
        <f>DEGREES(IMARGUMENT(AD577))</f>
        <v>0</v>
      </c>
    </row>
    <row r="578" spans="1:39">
      <c r="A578" s="6">
        <f>10^(LOG10(F_START)+(ROW()-ROW($A$2))*(LOG10(F_STOP)-LOG10(F_START))/(N_POINTS-1))</f>
        <v>0</v>
      </c>
      <c r="B578" s="6">
        <f>2*PI()*A578</f>
        <v>0</v>
      </c>
      <c r="C578">
        <f>COMPLEX(2*LINE_PS_DCR,2*B578*LINE_PS_L)</f>
        <v>0</v>
      </c>
      <c r="D578">
        <f>IMSUM(COMPLEX(0,B578*(LINE_PS_CLINE+LINE_PS_CCHA/2)),IMDIV("1",IMPRODUCT("2",COMPLEX(C_THROUGH_ESR,B578*C_THROUGH_ESL-1/(B578*C_THROUGH_C)))))</f>
        <v>0</v>
      </c>
      <c r="E578">
        <f>COMPLEX(2*LINE_INPUT_DCR,2*B578*LINE_INPUT_L)</f>
        <v>0</v>
      </c>
      <c r="F578">
        <f>COMPLEX(0,B578*(LINE_INPUT_CLINE+LINE_INPUT_CCHA/2))</f>
        <v>0</v>
      </c>
      <c r="G578">
        <f>IMPRODUCT("2",IMDIV("1",IMSUM(IMDIV("1",COMPLEX(LDM1_DCR,B578*LDM1_L)),COMPLEX(0,B578*LDM1_CPA))))</f>
        <v>0</v>
      </c>
      <c r="H578">
        <f>IMSUM(IMDIV("1",COMPLEX(CX1_ESR,B578*CX1_ESL-1/(B578*CX1_C))),IMDIV("1",IMSUM(COMPLEX(DUMP1_R,0),COMPLEX(DUMP1_ESR,B578*DUMP1_ESL-1/(B578*DUMP1_C)))))</f>
        <v>0</v>
      </c>
      <c r="I578">
        <f>IMPRODUCT("2",IMDIV("1",IMSUM(IMDIV("1",COMPLEX(LDM2_DCR,B578*LDM2_L)),COMPLEX(0,B578*LDM2_CPA))))</f>
        <v>0</v>
      </c>
      <c r="J578">
        <f>IMSUM(IMDIV("1",COMPLEX(CX2_ESR,B578*CX2_ESL-1/(B578*CX2_C))),IMDIV("1",IMSUM(COMPLEX(DUMP2_R,0),COMPLEX(DUMP2_ESR,B578*DUMP2_ESL-1/(B578*DUMP2_C)))))</f>
        <v>0</v>
      </c>
      <c r="K578">
        <f>IMPRODUCT("2",IMDIV("1",IMSUM(IMDIV("1",COMPLEX(CMC_DCR,B578*CMC_L*(1-CMC_K))),COMPLEX(0,B578*CMC_CPA))))</f>
        <v>0</v>
      </c>
      <c r="L578">
        <f>IMSUM(COMPLEX(0,B578*CMC_CLINE),IMDIV("1",IMPRODUCT("2",COMPLEX(CY_ESR,B578*CY_ESL-1/(B578*CY_C)))),COMPLEX(1/DUMMY_R,0))</f>
        <v>0</v>
      </c>
      <c r="M578">
        <f>IMSUM(D578,IMDIV("1",C578))</f>
        <v>0</v>
      </c>
      <c r="N578">
        <f>IMDIV("1",IMSUM(E578,IMDIV("1",M578)))</f>
        <v>0</v>
      </c>
      <c r="O578">
        <f>IMSUM(F578,N578)</f>
        <v>0</v>
      </c>
      <c r="P578">
        <f>IMDIV("1",IMSUM(G578,IMDIV("1",O578)))</f>
        <v>0</v>
      </c>
      <c r="Q578">
        <f>IMSUM(H578,P578)</f>
        <v>0</v>
      </c>
      <c r="R578">
        <f>IMDIV("1",IMSUM(I578,IMDIV("1",Q578)))</f>
        <v>0</v>
      </c>
      <c r="S578">
        <f>IMSUM(J578,R578)</f>
        <v>0</v>
      </c>
      <c r="T578">
        <f>IMDIV("1",IMSUM(K578,IMDIV("1",S578)))</f>
        <v>0</v>
      </c>
      <c r="U578">
        <f>IMSUM(L578,T578)</f>
        <v>0</v>
      </c>
      <c r="V578">
        <f>IMDIV(COMPLEX(I_DM_SOURCE,0),U578)</f>
        <v>0</v>
      </c>
      <c r="W578">
        <f>IMPRODUCT(V578,T578)</f>
        <v>0</v>
      </c>
      <c r="X578">
        <f>IMDIV(W578,S578)</f>
        <v>0</v>
      </c>
      <c r="Y578">
        <f>IMPRODUCT(X578,R578)</f>
        <v>0</v>
      </c>
      <c r="Z578">
        <f>IMDIV(Y578,Q578)</f>
        <v>0</v>
      </c>
      <c r="AA578">
        <f>IMPRODUCT(Z578,P578)</f>
        <v>0</v>
      </c>
      <c r="AB578">
        <f>AA578</f>
        <v>0</v>
      </c>
      <c r="AC578">
        <f>IMPRODUCT("-1",AB578)</f>
        <v>0</v>
      </c>
      <c r="AD578">
        <f>IMDIV(IMSUB(AB578,AC578),"2")</f>
        <v>0</v>
      </c>
      <c r="AE578" s="6">
        <f>IMABS(AB578)</f>
        <v>0</v>
      </c>
      <c r="AF578" s="6">
        <f>IMABS(AC578)</f>
        <v>0</v>
      </c>
      <c r="AG578" s="6">
        <f>IMABS(AD578)</f>
        <v>0</v>
      </c>
      <c r="AH578" s="7">
        <f>20*LOG10(MAX(AE578,1E-300)*1E6)</f>
        <v>0</v>
      </c>
      <c r="AI578" s="7">
        <f>20*LOG10(MAX(AF578,1E-300)*1E6)</f>
        <v>0</v>
      </c>
      <c r="AJ578" s="7">
        <f>20*LOG10(MAX(AG578,1E-300)*1E6)</f>
        <v>0</v>
      </c>
      <c r="AK578" s="7">
        <f>DEGREES(IMARGUMENT(AB578))</f>
        <v>0</v>
      </c>
      <c r="AL578" s="7">
        <f>DEGREES(IMARGUMENT(AC578))</f>
        <v>0</v>
      </c>
      <c r="AM578" s="7">
        <f>DEGREES(IMARGUMENT(AD578))</f>
        <v>0</v>
      </c>
    </row>
    <row r="579" spans="1:39">
      <c r="A579" s="6">
        <f>10^(LOG10(F_START)+(ROW()-ROW($A$2))*(LOG10(F_STOP)-LOG10(F_START))/(N_POINTS-1))</f>
        <v>0</v>
      </c>
      <c r="B579" s="6">
        <f>2*PI()*A579</f>
        <v>0</v>
      </c>
      <c r="C579">
        <f>COMPLEX(2*LINE_PS_DCR,2*B579*LINE_PS_L)</f>
        <v>0</v>
      </c>
      <c r="D579">
        <f>IMSUM(COMPLEX(0,B579*(LINE_PS_CLINE+LINE_PS_CCHA/2)),IMDIV("1",IMPRODUCT("2",COMPLEX(C_THROUGH_ESR,B579*C_THROUGH_ESL-1/(B579*C_THROUGH_C)))))</f>
        <v>0</v>
      </c>
      <c r="E579">
        <f>COMPLEX(2*LINE_INPUT_DCR,2*B579*LINE_INPUT_L)</f>
        <v>0</v>
      </c>
      <c r="F579">
        <f>COMPLEX(0,B579*(LINE_INPUT_CLINE+LINE_INPUT_CCHA/2))</f>
        <v>0</v>
      </c>
      <c r="G579">
        <f>IMPRODUCT("2",IMDIV("1",IMSUM(IMDIV("1",COMPLEX(LDM1_DCR,B579*LDM1_L)),COMPLEX(0,B579*LDM1_CPA))))</f>
        <v>0</v>
      </c>
      <c r="H579">
        <f>IMSUM(IMDIV("1",COMPLEX(CX1_ESR,B579*CX1_ESL-1/(B579*CX1_C))),IMDIV("1",IMSUM(COMPLEX(DUMP1_R,0),COMPLEX(DUMP1_ESR,B579*DUMP1_ESL-1/(B579*DUMP1_C)))))</f>
        <v>0</v>
      </c>
      <c r="I579">
        <f>IMPRODUCT("2",IMDIV("1",IMSUM(IMDIV("1",COMPLEX(LDM2_DCR,B579*LDM2_L)),COMPLEX(0,B579*LDM2_CPA))))</f>
        <v>0</v>
      </c>
      <c r="J579">
        <f>IMSUM(IMDIV("1",COMPLEX(CX2_ESR,B579*CX2_ESL-1/(B579*CX2_C))),IMDIV("1",IMSUM(COMPLEX(DUMP2_R,0),COMPLEX(DUMP2_ESR,B579*DUMP2_ESL-1/(B579*DUMP2_C)))))</f>
        <v>0</v>
      </c>
      <c r="K579">
        <f>IMPRODUCT("2",IMDIV("1",IMSUM(IMDIV("1",COMPLEX(CMC_DCR,B579*CMC_L*(1-CMC_K))),COMPLEX(0,B579*CMC_CPA))))</f>
        <v>0</v>
      </c>
      <c r="L579">
        <f>IMSUM(COMPLEX(0,B579*CMC_CLINE),IMDIV("1",IMPRODUCT("2",COMPLEX(CY_ESR,B579*CY_ESL-1/(B579*CY_C)))),COMPLEX(1/DUMMY_R,0))</f>
        <v>0</v>
      </c>
      <c r="M579">
        <f>IMSUM(D579,IMDIV("1",C579))</f>
        <v>0</v>
      </c>
      <c r="N579">
        <f>IMDIV("1",IMSUM(E579,IMDIV("1",M579)))</f>
        <v>0</v>
      </c>
      <c r="O579">
        <f>IMSUM(F579,N579)</f>
        <v>0</v>
      </c>
      <c r="P579">
        <f>IMDIV("1",IMSUM(G579,IMDIV("1",O579)))</f>
        <v>0</v>
      </c>
      <c r="Q579">
        <f>IMSUM(H579,P579)</f>
        <v>0</v>
      </c>
      <c r="R579">
        <f>IMDIV("1",IMSUM(I579,IMDIV("1",Q579)))</f>
        <v>0</v>
      </c>
      <c r="S579">
        <f>IMSUM(J579,R579)</f>
        <v>0</v>
      </c>
      <c r="T579">
        <f>IMDIV("1",IMSUM(K579,IMDIV("1",S579)))</f>
        <v>0</v>
      </c>
      <c r="U579">
        <f>IMSUM(L579,T579)</f>
        <v>0</v>
      </c>
      <c r="V579">
        <f>IMDIV(COMPLEX(I_DM_SOURCE,0),U579)</f>
        <v>0</v>
      </c>
      <c r="W579">
        <f>IMPRODUCT(V579,T579)</f>
        <v>0</v>
      </c>
      <c r="X579">
        <f>IMDIV(W579,S579)</f>
        <v>0</v>
      </c>
      <c r="Y579">
        <f>IMPRODUCT(X579,R579)</f>
        <v>0</v>
      </c>
      <c r="Z579">
        <f>IMDIV(Y579,Q579)</f>
        <v>0</v>
      </c>
      <c r="AA579">
        <f>IMPRODUCT(Z579,P579)</f>
        <v>0</v>
      </c>
      <c r="AB579">
        <f>AA579</f>
        <v>0</v>
      </c>
      <c r="AC579">
        <f>IMPRODUCT("-1",AB579)</f>
        <v>0</v>
      </c>
      <c r="AD579">
        <f>IMDIV(IMSUB(AB579,AC579),"2")</f>
        <v>0</v>
      </c>
      <c r="AE579" s="6">
        <f>IMABS(AB579)</f>
        <v>0</v>
      </c>
      <c r="AF579" s="6">
        <f>IMABS(AC579)</f>
        <v>0</v>
      </c>
      <c r="AG579" s="6">
        <f>IMABS(AD579)</f>
        <v>0</v>
      </c>
      <c r="AH579" s="7">
        <f>20*LOG10(MAX(AE579,1E-300)*1E6)</f>
        <v>0</v>
      </c>
      <c r="AI579" s="7">
        <f>20*LOG10(MAX(AF579,1E-300)*1E6)</f>
        <v>0</v>
      </c>
      <c r="AJ579" s="7">
        <f>20*LOG10(MAX(AG579,1E-300)*1E6)</f>
        <v>0</v>
      </c>
      <c r="AK579" s="7">
        <f>DEGREES(IMARGUMENT(AB579))</f>
        <v>0</v>
      </c>
      <c r="AL579" s="7">
        <f>DEGREES(IMARGUMENT(AC579))</f>
        <v>0</v>
      </c>
      <c r="AM579" s="7">
        <f>DEGREES(IMARGUMENT(AD579))</f>
        <v>0</v>
      </c>
    </row>
    <row r="580" spans="1:39">
      <c r="A580" s="6">
        <f>10^(LOG10(F_START)+(ROW()-ROW($A$2))*(LOG10(F_STOP)-LOG10(F_START))/(N_POINTS-1))</f>
        <v>0</v>
      </c>
      <c r="B580" s="6">
        <f>2*PI()*A580</f>
        <v>0</v>
      </c>
      <c r="C580">
        <f>COMPLEX(2*LINE_PS_DCR,2*B580*LINE_PS_L)</f>
        <v>0</v>
      </c>
      <c r="D580">
        <f>IMSUM(COMPLEX(0,B580*(LINE_PS_CLINE+LINE_PS_CCHA/2)),IMDIV("1",IMPRODUCT("2",COMPLEX(C_THROUGH_ESR,B580*C_THROUGH_ESL-1/(B580*C_THROUGH_C)))))</f>
        <v>0</v>
      </c>
      <c r="E580">
        <f>COMPLEX(2*LINE_INPUT_DCR,2*B580*LINE_INPUT_L)</f>
        <v>0</v>
      </c>
      <c r="F580">
        <f>COMPLEX(0,B580*(LINE_INPUT_CLINE+LINE_INPUT_CCHA/2))</f>
        <v>0</v>
      </c>
      <c r="G580">
        <f>IMPRODUCT("2",IMDIV("1",IMSUM(IMDIV("1",COMPLEX(LDM1_DCR,B580*LDM1_L)),COMPLEX(0,B580*LDM1_CPA))))</f>
        <v>0</v>
      </c>
      <c r="H580">
        <f>IMSUM(IMDIV("1",COMPLEX(CX1_ESR,B580*CX1_ESL-1/(B580*CX1_C))),IMDIV("1",IMSUM(COMPLEX(DUMP1_R,0),COMPLEX(DUMP1_ESR,B580*DUMP1_ESL-1/(B580*DUMP1_C)))))</f>
        <v>0</v>
      </c>
      <c r="I580">
        <f>IMPRODUCT("2",IMDIV("1",IMSUM(IMDIV("1",COMPLEX(LDM2_DCR,B580*LDM2_L)),COMPLEX(0,B580*LDM2_CPA))))</f>
        <v>0</v>
      </c>
      <c r="J580">
        <f>IMSUM(IMDIV("1",COMPLEX(CX2_ESR,B580*CX2_ESL-1/(B580*CX2_C))),IMDIV("1",IMSUM(COMPLEX(DUMP2_R,0),COMPLEX(DUMP2_ESR,B580*DUMP2_ESL-1/(B580*DUMP2_C)))))</f>
        <v>0</v>
      </c>
      <c r="K580">
        <f>IMPRODUCT("2",IMDIV("1",IMSUM(IMDIV("1",COMPLEX(CMC_DCR,B580*CMC_L*(1-CMC_K))),COMPLEX(0,B580*CMC_CPA))))</f>
        <v>0</v>
      </c>
      <c r="L580">
        <f>IMSUM(COMPLEX(0,B580*CMC_CLINE),IMDIV("1",IMPRODUCT("2",COMPLEX(CY_ESR,B580*CY_ESL-1/(B580*CY_C)))),COMPLEX(1/DUMMY_R,0))</f>
        <v>0</v>
      </c>
      <c r="M580">
        <f>IMSUM(D580,IMDIV("1",C580))</f>
        <v>0</v>
      </c>
      <c r="N580">
        <f>IMDIV("1",IMSUM(E580,IMDIV("1",M580)))</f>
        <v>0</v>
      </c>
      <c r="O580">
        <f>IMSUM(F580,N580)</f>
        <v>0</v>
      </c>
      <c r="P580">
        <f>IMDIV("1",IMSUM(G580,IMDIV("1",O580)))</f>
        <v>0</v>
      </c>
      <c r="Q580">
        <f>IMSUM(H580,P580)</f>
        <v>0</v>
      </c>
      <c r="R580">
        <f>IMDIV("1",IMSUM(I580,IMDIV("1",Q580)))</f>
        <v>0</v>
      </c>
      <c r="S580">
        <f>IMSUM(J580,R580)</f>
        <v>0</v>
      </c>
      <c r="T580">
        <f>IMDIV("1",IMSUM(K580,IMDIV("1",S580)))</f>
        <v>0</v>
      </c>
      <c r="U580">
        <f>IMSUM(L580,T580)</f>
        <v>0</v>
      </c>
      <c r="V580">
        <f>IMDIV(COMPLEX(I_DM_SOURCE,0),U580)</f>
        <v>0</v>
      </c>
      <c r="W580">
        <f>IMPRODUCT(V580,T580)</f>
        <v>0</v>
      </c>
      <c r="X580">
        <f>IMDIV(W580,S580)</f>
        <v>0</v>
      </c>
      <c r="Y580">
        <f>IMPRODUCT(X580,R580)</f>
        <v>0</v>
      </c>
      <c r="Z580">
        <f>IMDIV(Y580,Q580)</f>
        <v>0</v>
      </c>
      <c r="AA580">
        <f>IMPRODUCT(Z580,P580)</f>
        <v>0</v>
      </c>
      <c r="AB580">
        <f>AA580</f>
        <v>0</v>
      </c>
      <c r="AC580">
        <f>IMPRODUCT("-1",AB580)</f>
        <v>0</v>
      </c>
      <c r="AD580">
        <f>IMDIV(IMSUB(AB580,AC580),"2")</f>
        <v>0</v>
      </c>
      <c r="AE580" s="6">
        <f>IMABS(AB580)</f>
        <v>0</v>
      </c>
      <c r="AF580" s="6">
        <f>IMABS(AC580)</f>
        <v>0</v>
      </c>
      <c r="AG580" s="6">
        <f>IMABS(AD580)</f>
        <v>0</v>
      </c>
      <c r="AH580" s="7">
        <f>20*LOG10(MAX(AE580,1E-300)*1E6)</f>
        <v>0</v>
      </c>
      <c r="AI580" s="7">
        <f>20*LOG10(MAX(AF580,1E-300)*1E6)</f>
        <v>0</v>
      </c>
      <c r="AJ580" s="7">
        <f>20*LOG10(MAX(AG580,1E-300)*1E6)</f>
        <v>0</v>
      </c>
      <c r="AK580" s="7">
        <f>DEGREES(IMARGUMENT(AB580))</f>
        <v>0</v>
      </c>
      <c r="AL580" s="7">
        <f>DEGREES(IMARGUMENT(AC580))</f>
        <v>0</v>
      </c>
      <c r="AM580" s="7">
        <f>DEGREES(IMARGUMENT(AD580))</f>
        <v>0</v>
      </c>
    </row>
    <row r="581" spans="1:39">
      <c r="A581" s="6">
        <f>10^(LOG10(F_START)+(ROW()-ROW($A$2))*(LOG10(F_STOP)-LOG10(F_START))/(N_POINTS-1))</f>
        <v>0</v>
      </c>
      <c r="B581" s="6">
        <f>2*PI()*A581</f>
        <v>0</v>
      </c>
      <c r="C581">
        <f>COMPLEX(2*LINE_PS_DCR,2*B581*LINE_PS_L)</f>
        <v>0</v>
      </c>
      <c r="D581">
        <f>IMSUM(COMPLEX(0,B581*(LINE_PS_CLINE+LINE_PS_CCHA/2)),IMDIV("1",IMPRODUCT("2",COMPLEX(C_THROUGH_ESR,B581*C_THROUGH_ESL-1/(B581*C_THROUGH_C)))))</f>
        <v>0</v>
      </c>
      <c r="E581">
        <f>COMPLEX(2*LINE_INPUT_DCR,2*B581*LINE_INPUT_L)</f>
        <v>0</v>
      </c>
      <c r="F581">
        <f>COMPLEX(0,B581*(LINE_INPUT_CLINE+LINE_INPUT_CCHA/2))</f>
        <v>0</v>
      </c>
      <c r="G581">
        <f>IMPRODUCT("2",IMDIV("1",IMSUM(IMDIV("1",COMPLEX(LDM1_DCR,B581*LDM1_L)),COMPLEX(0,B581*LDM1_CPA))))</f>
        <v>0</v>
      </c>
      <c r="H581">
        <f>IMSUM(IMDIV("1",COMPLEX(CX1_ESR,B581*CX1_ESL-1/(B581*CX1_C))),IMDIV("1",IMSUM(COMPLEX(DUMP1_R,0),COMPLEX(DUMP1_ESR,B581*DUMP1_ESL-1/(B581*DUMP1_C)))))</f>
        <v>0</v>
      </c>
      <c r="I581">
        <f>IMPRODUCT("2",IMDIV("1",IMSUM(IMDIV("1",COMPLEX(LDM2_DCR,B581*LDM2_L)),COMPLEX(0,B581*LDM2_CPA))))</f>
        <v>0</v>
      </c>
      <c r="J581">
        <f>IMSUM(IMDIV("1",COMPLEX(CX2_ESR,B581*CX2_ESL-1/(B581*CX2_C))),IMDIV("1",IMSUM(COMPLEX(DUMP2_R,0),COMPLEX(DUMP2_ESR,B581*DUMP2_ESL-1/(B581*DUMP2_C)))))</f>
        <v>0</v>
      </c>
      <c r="K581">
        <f>IMPRODUCT("2",IMDIV("1",IMSUM(IMDIV("1",COMPLEX(CMC_DCR,B581*CMC_L*(1-CMC_K))),COMPLEX(0,B581*CMC_CPA))))</f>
        <v>0</v>
      </c>
      <c r="L581">
        <f>IMSUM(COMPLEX(0,B581*CMC_CLINE),IMDIV("1",IMPRODUCT("2",COMPLEX(CY_ESR,B581*CY_ESL-1/(B581*CY_C)))),COMPLEX(1/DUMMY_R,0))</f>
        <v>0</v>
      </c>
      <c r="M581">
        <f>IMSUM(D581,IMDIV("1",C581))</f>
        <v>0</v>
      </c>
      <c r="N581">
        <f>IMDIV("1",IMSUM(E581,IMDIV("1",M581)))</f>
        <v>0</v>
      </c>
      <c r="O581">
        <f>IMSUM(F581,N581)</f>
        <v>0</v>
      </c>
      <c r="P581">
        <f>IMDIV("1",IMSUM(G581,IMDIV("1",O581)))</f>
        <v>0</v>
      </c>
      <c r="Q581">
        <f>IMSUM(H581,P581)</f>
        <v>0</v>
      </c>
      <c r="R581">
        <f>IMDIV("1",IMSUM(I581,IMDIV("1",Q581)))</f>
        <v>0</v>
      </c>
      <c r="S581">
        <f>IMSUM(J581,R581)</f>
        <v>0</v>
      </c>
      <c r="T581">
        <f>IMDIV("1",IMSUM(K581,IMDIV("1",S581)))</f>
        <v>0</v>
      </c>
      <c r="U581">
        <f>IMSUM(L581,T581)</f>
        <v>0</v>
      </c>
      <c r="V581">
        <f>IMDIV(COMPLEX(I_DM_SOURCE,0),U581)</f>
        <v>0</v>
      </c>
      <c r="W581">
        <f>IMPRODUCT(V581,T581)</f>
        <v>0</v>
      </c>
      <c r="X581">
        <f>IMDIV(W581,S581)</f>
        <v>0</v>
      </c>
      <c r="Y581">
        <f>IMPRODUCT(X581,R581)</f>
        <v>0</v>
      </c>
      <c r="Z581">
        <f>IMDIV(Y581,Q581)</f>
        <v>0</v>
      </c>
      <c r="AA581">
        <f>IMPRODUCT(Z581,P581)</f>
        <v>0</v>
      </c>
      <c r="AB581">
        <f>AA581</f>
        <v>0</v>
      </c>
      <c r="AC581">
        <f>IMPRODUCT("-1",AB581)</f>
        <v>0</v>
      </c>
      <c r="AD581">
        <f>IMDIV(IMSUB(AB581,AC581),"2")</f>
        <v>0</v>
      </c>
      <c r="AE581" s="6">
        <f>IMABS(AB581)</f>
        <v>0</v>
      </c>
      <c r="AF581" s="6">
        <f>IMABS(AC581)</f>
        <v>0</v>
      </c>
      <c r="AG581" s="6">
        <f>IMABS(AD581)</f>
        <v>0</v>
      </c>
      <c r="AH581" s="7">
        <f>20*LOG10(MAX(AE581,1E-300)*1E6)</f>
        <v>0</v>
      </c>
      <c r="AI581" s="7">
        <f>20*LOG10(MAX(AF581,1E-300)*1E6)</f>
        <v>0</v>
      </c>
      <c r="AJ581" s="7">
        <f>20*LOG10(MAX(AG581,1E-300)*1E6)</f>
        <v>0</v>
      </c>
      <c r="AK581" s="7">
        <f>DEGREES(IMARGUMENT(AB581))</f>
        <v>0</v>
      </c>
      <c r="AL581" s="7">
        <f>DEGREES(IMARGUMENT(AC581))</f>
        <v>0</v>
      </c>
      <c r="AM581" s="7">
        <f>DEGREES(IMARGUMENT(AD581))</f>
        <v>0</v>
      </c>
    </row>
    <row r="582" spans="1:39">
      <c r="A582" s="6">
        <f>10^(LOG10(F_START)+(ROW()-ROW($A$2))*(LOG10(F_STOP)-LOG10(F_START))/(N_POINTS-1))</f>
        <v>0</v>
      </c>
      <c r="B582" s="6">
        <f>2*PI()*A582</f>
        <v>0</v>
      </c>
      <c r="C582">
        <f>COMPLEX(2*LINE_PS_DCR,2*B582*LINE_PS_L)</f>
        <v>0</v>
      </c>
      <c r="D582">
        <f>IMSUM(COMPLEX(0,B582*(LINE_PS_CLINE+LINE_PS_CCHA/2)),IMDIV("1",IMPRODUCT("2",COMPLEX(C_THROUGH_ESR,B582*C_THROUGH_ESL-1/(B582*C_THROUGH_C)))))</f>
        <v>0</v>
      </c>
      <c r="E582">
        <f>COMPLEX(2*LINE_INPUT_DCR,2*B582*LINE_INPUT_L)</f>
        <v>0</v>
      </c>
      <c r="F582">
        <f>COMPLEX(0,B582*(LINE_INPUT_CLINE+LINE_INPUT_CCHA/2))</f>
        <v>0</v>
      </c>
      <c r="G582">
        <f>IMPRODUCT("2",IMDIV("1",IMSUM(IMDIV("1",COMPLEX(LDM1_DCR,B582*LDM1_L)),COMPLEX(0,B582*LDM1_CPA))))</f>
        <v>0</v>
      </c>
      <c r="H582">
        <f>IMSUM(IMDIV("1",COMPLEX(CX1_ESR,B582*CX1_ESL-1/(B582*CX1_C))),IMDIV("1",IMSUM(COMPLEX(DUMP1_R,0),COMPLEX(DUMP1_ESR,B582*DUMP1_ESL-1/(B582*DUMP1_C)))))</f>
        <v>0</v>
      </c>
      <c r="I582">
        <f>IMPRODUCT("2",IMDIV("1",IMSUM(IMDIV("1",COMPLEX(LDM2_DCR,B582*LDM2_L)),COMPLEX(0,B582*LDM2_CPA))))</f>
        <v>0</v>
      </c>
      <c r="J582">
        <f>IMSUM(IMDIV("1",COMPLEX(CX2_ESR,B582*CX2_ESL-1/(B582*CX2_C))),IMDIV("1",IMSUM(COMPLEX(DUMP2_R,0),COMPLEX(DUMP2_ESR,B582*DUMP2_ESL-1/(B582*DUMP2_C)))))</f>
        <v>0</v>
      </c>
      <c r="K582">
        <f>IMPRODUCT("2",IMDIV("1",IMSUM(IMDIV("1",COMPLEX(CMC_DCR,B582*CMC_L*(1-CMC_K))),COMPLEX(0,B582*CMC_CPA))))</f>
        <v>0</v>
      </c>
      <c r="L582">
        <f>IMSUM(COMPLEX(0,B582*CMC_CLINE),IMDIV("1",IMPRODUCT("2",COMPLEX(CY_ESR,B582*CY_ESL-1/(B582*CY_C)))),COMPLEX(1/DUMMY_R,0))</f>
        <v>0</v>
      </c>
      <c r="M582">
        <f>IMSUM(D582,IMDIV("1",C582))</f>
        <v>0</v>
      </c>
      <c r="N582">
        <f>IMDIV("1",IMSUM(E582,IMDIV("1",M582)))</f>
        <v>0</v>
      </c>
      <c r="O582">
        <f>IMSUM(F582,N582)</f>
        <v>0</v>
      </c>
      <c r="P582">
        <f>IMDIV("1",IMSUM(G582,IMDIV("1",O582)))</f>
        <v>0</v>
      </c>
      <c r="Q582">
        <f>IMSUM(H582,P582)</f>
        <v>0</v>
      </c>
      <c r="R582">
        <f>IMDIV("1",IMSUM(I582,IMDIV("1",Q582)))</f>
        <v>0</v>
      </c>
      <c r="S582">
        <f>IMSUM(J582,R582)</f>
        <v>0</v>
      </c>
      <c r="T582">
        <f>IMDIV("1",IMSUM(K582,IMDIV("1",S582)))</f>
        <v>0</v>
      </c>
      <c r="U582">
        <f>IMSUM(L582,T582)</f>
        <v>0</v>
      </c>
      <c r="V582">
        <f>IMDIV(COMPLEX(I_DM_SOURCE,0),U582)</f>
        <v>0</v>
      </c>
      <c r="W582">
        <f>IMPRODUCT(V582,T582)</f>
        <v>0</v>
      </c>
      <c r="X582">
        <f>IMDIV(W582,S582)</f>
        <v>0</v>
      </c>
      <c r="Y582">
        <f>IMPRODUCT(X582,R582)</f>
        <v>0</v>
      </c>
      <c r="Z582">
        <f>IMDIV(Y582,Q582)</f>
        <v>0</v>
      </c>
      <c r="AA582">
        <f>IMPRODUCT(Z582,P582)</f>
        <v>0</v>
      </c>
      <c r="AB582">
        <f>AA582</f>
        <v>0</v>
      </c>
      <c r="AC582">
        <f>IMPRODUCT("-1",AB582)</f>
        <v>0</v>
      </c>
      <c r="AD582">
        <f>IMDIV(IMSUB(AB582,AC582),"2")</f>
        <v>0</v>
      </c>
      <c r="AE582" s="6">
        <f>IMABS(AB582)</f>
        <v>0</v>
      </c>
      <c r="AF582" s="6">
        <f>IMABS(AC582)</f>
        <v>0</v>
      </c>
      <c r="AG582" s="6">
        <f>IMABS(AD582)</f>
        <v>0</v>
      </c>
      <c r="AH582" s="7">
        <f>20*LOG10(MAX(AE582,1E-300)*1E6)</f>
        <v>0</v>
      </c>
      <c r="AI582" s="7">
        <f>20*LOG10(MAX(AF582,1E-300)*1E6)</f>
        <v>0</v>
      </c>
      <c r="AJ582" s="7">
        <f>20*LOG10(MAX(AG582,1E-300)*1E6)</f>
        <v>0</v>
      </c>
      <c r="AK582" s="7">
        <f>DEGREES(IMARGUMENT(AB582))</f>
        <v>0</v>
      </c>
      <c r="AL582" s="7">
        <f>DEGREES(IMARGUMENT(AC582))</f>
        <v>0</v>
      </c>
      <c r="AM582" s="7">
        <f>DEGREES(IMARGUMENT(AD582))</f>
        <v>0</v>
      </c>
    </row>
    <row r="583" spans="1:39">
      <c r="A583" s="6">
        <f>10^(LOG10(F_START)+(ROW()-ROW($A$2))*(LOG10(F_STOP)-LOG10(F_START))/(N_POINTS-1))</f>
        <v>0</v>
      </c>
      <c r="B583" s="6">
        <f>2*PI()*A583</f>
        <v>0</v>
      </c>
      <c r="C583">
        <f>COMPLEX(2*LINE_PS_DCR,2*B583*LINE_PS_L)</f>
        <v>0</v>
      </c>
      <c r="D583">
        <f>IMSUM(COMPLEX(0,B583*(LINE_PS_CLINE+LINE_PS_CCHA/2)),IMDIV("1",IMPRODUCT("2",COMPLEX(C_THROUGH_ESR,B583*C_THROUGH_ESL-1/(B583*C_THROUGH_C)))))</f>
        <v>0</v>
      </c>
      <c r="E583">
        <f>COMPLEX(2*LINE_INPUT_DCR,2*B583*LINE_INPUT_L)</f>
        <v>0</v>
      </c>
      <c r="F583">
        <f>COMPLEX(0,B583*(LINE_INPUT_CLINE+LINE_INPUT_CCHA/2))</f>
        <v>0</v>
      </c>
      <c r="G583">
        <f>IMPRODUCT("2",IMDIV("1",IMSUM(IMDIV("1",COMPLEX(LDM1_DCR,B583*LDM1_L)),COMPLEX(0,B583*LDM1_CPA))))</f>
        <v>0</v>
      </c>
      <c r="H583">
        <f>IMSUM(IMDIV("1",COMPLEX(CX1_ESR,B583*CX1_ESL-1/(B583*CX1_C))),IMDIV("1",IMSUM(COMPLEX(DUMP1_R,0),COMPLEX(DUMP1_ESR,B583*DUMP1_ESL-1/(B583*DUMP1_C)))))</f>
        <v>0</v>
      </c>
      <c r="I583">
        <f>IMPRODUCT("2",IMDIV("1",IMSUM(IMDIV("1",COMPLEX(LDM2_DCR,B583*LDM2_L)),COMPLEX(0,B583*LDM2_CPA))))</f>
        <v>0</v>
      </c>
      <c r="J583">
        <f>IMSUM(IMDIV("1",COMPLEX(CX2_ESR,B583*CX2_ESL-1/(B583*CX2_C))),IMDIV("1",IMSUM(COMPLEX(DUMP2_R,0),COMPLEX(DUMP2_ESR,B583*DUMP2_ESL-1/(B583*DUMP2_C)))))</f>
        <v>0</v>
      </c>
      <c r="K583">
        <f>IMPRODUCT("2",IMDIV("1",IMSUM(IMDIV("1",COMPLEX(CMC_DCR,B583*CMC_L*(1-CMC_K))),COMPLEX(0,B583*CMC_CPA))))</f>
        <v>0</v>
      </c>
      <c r="L583">
        <f>IMSUM(COMPLEX(0,B583*CMC_CLINE),IMDIV("1",IMPRODUCT("2",COMPLEX(CY_ESR,B583*CY_ESL-1/(B583*CY_C)))),COMPLEX(1/DUMMY_R,0))</f>
        <v>0</v>
      </c>
      <c r="M583">
        <f>IMSUM(D583,IMDIV("1",C583))</f>
        <v>0</v>
      </c>
      <c r="N583">
        <f>IMDIV("1",IMSUM(E583,IMDIV("1",M583)))</f>
        <v>0</v>
      </c>
      <c r="O583">
        <f>IMSUM(F583,N583)</f>
        <v>0</v>
      </c>
      <c r="P583">
        <f>IMDIV("1",IMSUM(G583,IMDIV("1",O583)))</f>
        <v>0</v>
      </c>
      <c r="Q583">
        <f>IMSUM(H583,P583)</f>
        <v>0</v>
      </c>
      <c r="R583">
        <f>IMDIV("1",IMSUM(I583,IMDIV("1",Q583)))</f>
        <v>0</v>
      </c>
      <c r="S583">
        <f>IMSUM(J583,R583)</f>
        <v>0</v>
      </c>
      <c r="T583">
        <f>IMDIV("1",IMSUM(K583,IMDIV("1",S583)))</f>
        <v>0</v>
      </c>
      <c r="U583">
        <f>IMSUM(L583,T583)</f>
        <v>0</v>
      </c>
      <c r="V583">
        <f>IMDIV(COMPLEX(I_DM_SOURCE,0),U583)</f>
        <v>0</v>
      </c>
      <c r="W583">
        <f>IMPRODUCT(V583,T583)</f>
        <v>0</v>
      </c>
      <c r="X583">
        <f>IMDIV(W583,S583)</f>
        <v>0</v>
      </c>
      <c r="Y583">
        <f>IMPRODUCT(X583,R583)</f>
        <v>0</v>
      </c>
      <c r="Z583">
        <f>IMDIV(Y583,Q583)</f>
        <v>0</v>
      </c>
      <c r="AA583">
        <f>IMPRODUCT(Z583,P583)</f>
        <v>0</v>
      </c>
      <c r="AB583">
        <f>AA583</f>
        <v>0</v>
      </c>
      <c r="AC583">
        <f>IMPRODUCT("-1",AB583)</f>
        <v>0</v>
      </c>
      <c r="AD583">
        <f>IMDIV(IMSUB(AB583,AC583),"2")</f>
        <v>0</v>
      </c>
      <c r="AE583" s="6">
        <f>IMABS(AB583)</f>
        <v>0</v>
      </c>
      <c r="AF583" s="6">
        <f>IMABS(AC583)</f>
        <v>0</v>
      </c>
      <c r="AG583" s="6">
        <f>IMABS(AD583)</f>
        <v>0</v>
      </c>
      <c r="AH583" s="7">
        <f>20*LOG10(MAX(AE583,1E-300)*1E6)</f>
        <v>0</v>
      </c>
      <c r="AI583" s="7">
        <f>20*LOG10(MAX(AF583,1E-300)*1E6)</f>
        <v>0</v>
      </c>
      <c r="AJ583" s="7">
        <f>20*LOG10(MAX(AG583,1E-300)*1E6)</f>
        <v>0</v>
      </c>
      <c r="AK583" s="7">
        <f>DEGREES(IMARGUMENT(AB583))</f>
        <v>0</v>
      </c>
      <c r="AL583" s="7">
        <f>DEGREES(IMARGUMENT(AC583))</f>
        <v>0</v>
      </c>
      <c r="AM583" s="7">
        <f>DEGREES(IMARGUMENT(AD583))</f>
        <v>0</v>
      </c>
    </row>
    <row r="584" spans="1:39">
      <c r="A584" s="6">
        <f>10^(LOG10(F_START)+(ROW()-ROW($A$2))*(LOG10(F_STOP)-LOG10(F_START))/(N_POINTS-1))</f>
        <v>0</v>
      </c>
      <c r="B584" s="6">
        <f>2*PI()*A584</f>
        <v>0</v>
      </c>
      <c r="C584">
        <f>COMPLEX(2*LINE_PS_DCR,2*B584*LINE_PS_L)</f>
        <v>0</v>
      </c>
      <c r="D584">
        <f>IMSUM(COMPLEX(0,B584*(LINE_PS_CLINE+LINE_PS_CCHA/2)),IMDIV("1",IMPRODUCT("2",COMPLEX(C_THROUGH_ESR,B584*C_THROUGH_ESL-1/(B584*C_THROUGH_C)))))</f>
        <v>0</v>
      </c>
      <c r="E584">
        <f>COMPLEX(2*LINE_INPUT_DCR,2*B584*LINE_INPUT_L)</f>
        <v>0</v>
      </c>
      <c r="F584">
        <f>COMPLEX(0,B584*(LINE_INPUT_CLINE+LINE_INPUT_CCHA/2))</f>
        <v>0</v>
      </c>
      <c r="G584">
        <f>IMPRODUCT("2",IMDIV("1",IMSUM(IMDIV("1",COMPLEX(LDM1_DCR,B584*LDM1_L)),COMPLEX(0,B584*LDM1_CPA))))</f>
        <v>0</v>
      </c>
      <c r="H584">
        <f>IMSUM(IMDIV("1",COMPLEX(CX1_ESR,B584*CX1_ESL-1/(B584*CX1_C))),IMDIV("1",IMSUM(COMPLEX(DUMP1_R,0),COMPLEX(DUMP1_ESR,B584*DUMP1_ESL-1/(B584*DUMP1_C)))))</f>
        <v>0</v>
      </c>
      <c r="I584">
        <f>IMPRODUCT("2",IMDIV("1",IMSUM(IMDIV("1",COMPLEX(LDM2_DCR,B584*LDM2_L)),COMPLEX(0,B584*LDM2_CPA))))</f>
        <v>0</v>
      </c>
      <c r="J584">
        <f>IMSUM(IMDIV("1",COMPLEX(CX2_ESR,B584*CX2_ESL-1/(B584*CX2_C))),IMDIV("1",IMSUM(COMPLEX(DUMP2_R,0),COMPLEX(DUMP2_ESR,B584*DUMP2_ESL-1/(B584*DUMP2_C)))))</f>
        <v>0</v>
      </c>
      <c r="K584">
        <f>IMPRODUCT("2",IMDIV("1",IMSUM(IMDIV("1",COMPLEX(CMC_DCR,B584*CMC_L*(1-CMC_K))),COMPLEX(0,B584*CMC_CPA))))</f>
        <v>0</v>
      </c>
      <c r="L584">
        <f>IMSUM(COMPLEX(0,B584*CMC_CLINE),IMDIV("1",IMPRODUCT("2",COMPLEX(CY_ESR,B584*CY_ESL-1/(B584*CY_C)))),COMPLEX(1/DUMMY_R,0))</f>
        <v>0</v>
      </c>
      <c r="M584">
        <f>IMSUM(D584,IMDIV("1",C584))</f>
        <v>0</v>
      </c>
      <c r="N584">
        <f>IMDIV("1",IMSUM(E584,IMDIV("1",M584)))</f>
        <v>0</v>
      </c>
      <c r="O584">
        <f>IMSUM(F584,N584)</f>
        <v>0</v>
      </c>
      <c r="P584">
        <f>IMDIV("1",IMSUM(G584,IMDIV("1",O584)))</f>
        <v>0</v>
      </c>
      <c r="Q584">
        <f>IMSUM(H584,P584)</f>
        <v>0</v>
      </c>
      <c r="R584">
        <f>IMDIV("1",IMSUM(I584,IMDIV("1",Q584)))</f>
        <v>0</v>
      </c>
      <c r="S584">
        <f>IMSUM(J584,R584)</f>
        <v>0</v>
      </c>
      <c r="T584">
        <f>IMDIV("1",IMSUM(K584,IMDIV("1",S584)))</f>
        <v>0</v>
      </c>
      <c r="U584">
        <f>IMSUM(L584,T584)</f>
        <v>0</v>
      </c>
      <c r="V584">
        <f>IMDIV(COMPLEX(I_DM_SOURCE,0),U584)</f>
        <v>0</v>
      </c>
      <c r="W584">
        <f>IMPRODUCT(V584,T584)</f>
        <v>0</v>
      </c>
      <c r="X584">
        <f>IMDIV(W584,S584)</f>
        <v>0</v>
      </c>
      <c r="Y584">
        <f>IMPRODUCT(X584,R584)</f>
        <v>0</v>
      </c>
      <c r="Z584">
        <f>IMDIV(Y584,Q584)</f>
        <v>0</v>
      </c>
      <c r="AA584">
        <f>IMPRODUCT(Z584,P584)</f>
        <v>0</v>
      </c>
      <c r="AB584">
        <f>AA584</f>
        <v>0</v>
      </c>
      <c r="AC584">
        <f>IMPRODUCT("-1",AB584)</f>
        <v>0</v>
      </c>
      <c r="AD584">
        <f>IMDIV(IMSUB(AB584,AC584),"2")</f>
        <v>0</v>
      </c>
      <c r="AE584" s="6">
        <f>IMABS(AB584)</f>
        <v>0</v>
      </c>
      <c r="AF584" s="6">
        <f>IMABS(AC584)</f>
        <v>0</v>
      </c>
      <c r="AG584" s="6">
        <f>IMABS(AD584)</f>
        <v>0</v>
      </c>
      <c r="AH584" s="7">
        <f>20*LOG10(MAX(AE584,1E-300)*1E6)</f>
        <v>0</v>
      </c>
      <c r="AI584" s="7">
        <f>20*LOG10(MAX(AF584,1E-300)*1E6)</f>
        <v>0</v>
      </c>
      <c r="AJ584" s="7">
        <f>20*LOG10(MAX(AG584,1E-300)*1E6)</f>
        <v>0</v>
      </c>
      <c r="AK584" s="7">
        <f>DEGREES(IMARGUMENT(AB584))</f>
        <v>0</v>
      </c>
      <c r="AL584" s="7">
        <f>DEGREES(IMARGUMENT(AC584))</f>
        <v>0</v>
      </c>
      <c r="AM584" s="7">
        <f>DEGREES(IMARGUMENT(AD584))</f>
        <v>0</v>
      </c>
    </row>
    <row r="585" spans="1:39">
      <c r="A585" s="6">
        <f>10^(LOG10(F_START)+(ROW()-ROW($A$2))*(LOG10(F_STOP)-LOG10(F_START))/(N_POINTS-1))</f>
        <v>0</v>
      </c>
      <c r="B585" s="6">
        <f>2*PI()*A585</f>
        <v>0</v>
      </c>
      <c r="C585">
        <f>COMPLEX(2*LINE_PS_DCR,2*B585*LINE_PS_L)</f>
        <v>0</v>
      </c>
      <c r="D585">
        <f>IMSUM(COMPLEX(0,B585*(LINE_PS_CLINE+LINE_PS_CCHA/2)),IMDIV("1",IMPRODUCT("2",COMPLEX(C_THROUGH_ESR,B585*C_THROUGH_ESL-1/(B585*C_THROUGH_C)))))</f>
        <v>0</v>
      </c>
      <c r="E585">
        <f>COMPLEX(2*LINE_INPUT_DCR,2*B585*LINE_INPUT_L)</f>
        <v>0</v>
      </c>
      <c r="F585">
        <f>COMPLEX(0,B585*(LINE_INPUT_CLINE+LINE_INPUT_CCHA/2))</f>
        <v>0</v>
      </c>
      <c r="G585">
        <f>IMPRODUCT("2",IMDIV("1",IMSUM(IMDIV("1",COMPLEX(LDM1_DCR,B585*LDM1_L)),COMPLEX(0,B585*LDM1_CPA))))</f>
        <v>0</v>
      </c>
      <c r="H585">
        <f>IMSUM(IMDIV("1",COMPLEX(CX1_ESR,B585*CX1_ESL-1/(B585*CX1_C))),IMDIV("1",IMSUM(COMPLEX(DUMP1_R,0),COMPLEX(DUMP1_ESR,B585*DUMP1_ESL-1/(B585*DUMP1_C)))))</f>
        <v>0</v>
      </c>
      <c r="I585">
        <f>IMPRODUCT("2",IMDIV("1",IMSUM(IMDIV("1",COMPLEX(LDM2_DCR,B585*LDM2_L)),COMPLEX(0,B585*LDM2_CPA))))</f>
        <v>0</v>
      </c>
      <c r="J585">
        <f>IMSUM(IMDIV("1",COMPLEX(CX2_ESR,B585*CX2_ESL-1/(B585*CX2_C))),IMDIV("1",IMSUM(COMPLEX(DUMP2_R,0),COMPLEX(DUMP2_ESR,B585*DUMP2_ESL-1/(B585*DUMP2_C)))))</f>
        <v>0</v>
      </c>
      <c r="K585">
        <f>IMPRODUCT("2",IMDIV("1",IMSUM(IMDIV("1",COMPLEX(CMC_DCR,B585*CMC_L*(1-CMC_K))),COMPLEX(0,B585*CMC_CPA))))</f>
        <v>0</v>
      </c>
      <c r="L585">
        <f>IMSUM(COMPLEX(0,B585*CMC_CLINE),IMDIV("1",IMPRODUCT("2",COMPLEX(CY_ESR,B585*CY_ESL-1/(B585*CY_C)))),COMPLEX(1/DUMMY_R,0))</f>
        <v>0</v>
      </c>
      <c r="M585">
        <f>IMSUM(D585,IMDIV("1",C585))</f>
        <v>0</v>
      </c>
      <c r="N585">
        <f>IMDIV("1",IMSUM(E585,IMDIV("1",M585)))</f>
        <v>0</v>
      </c>
      <c r="O585">
        <f>IMSUM(F585,N585)</f>
        <v>0</v>
      </c>
      <c r="P585">
        <f>IMDIV("1",IMSUM(G585,IMDIV("1",O585)))</f>
        <v>0</v>
      </c>
      <c r="Q585">
        <f>IMSUM(H585,P585)</f>
        <v>0</v>
      </c>
      <c r="R585">
        <f>IMDIV("1",IMSUM(I585,IMDIV("1",Q585)))</f>
        <v>0</v>
      </c>
      <c r="S585">
        <f>IMSUM(J585,R585)</f>
        <v>0</v>
      </c>
      <c r="T585">
        <f>IMDIV("1",IMSUM(K585,IMDIV("1",S585)))</f>
        <v>0</v>
      </c>
      <c r="U585">
        <f>IMSUM(L585,T585)</f>
        <v>0</v>
      </c>
      <c r="V585">
        <f>IMDIV(COMPLEX(I_DM_SOURCE,0),U585)</f>
        <v>0</v>
      </c>
      <c r="W585">
        <f>IMPRODUCT(V585,T585)</f>
        <v>0</v>
      </c>
      <c r="X585">
        <f>IMDIV(W585,S585)</f>
        <v>0</v>
      </c>
      <c r="Y585">
        <f>IMPRODUCT(X585,R585)</f>
        <v>0</v>
      </c>
      <c r="Z585">
        <f>IMDIV(Y585,Q585)</f>
        <v>0</v>
      </c>
      <c r="AA585">
        <f>IMPRODUCT(Z585,P585)</f>
        <v>0</v>
      </c>
      <c r="AB585">
        <f>AA585</f>
        <v>0</v>
      </c>
      <c r="AC585">
        <f>IMPRODUCT("-1",AB585)</f>
        <v>0</v>
      </c>
      <c r="AD585">
        <f>IMDIV(IMSUB(AB585,AC585),"2")</f>
        <v>0</v>
      </c>
      <c r="AE585" s="6">
        <f>IMABS(AB585)</f>
        <v>0</v>
      </c>
      <c r="AF585" s="6">
        <f>IMABS(AC585)</f>
        <v>0</v>
      </c>
      <c r="AG585" s="6">
        <f>IMABS(AD585)</f>
        <v>0</v>
      </c>
      <c r="AH585" s="7">
        <f>20*LOG10(MAX(AE585,1E-300)*1E6)</f>
        <v>0</v>
      </c>
      <c r="AI585" s="7">
        <f>20*LOG10(MAX(AF585,1E-300)*1E6)</f>
        <v>0</v>
      </c>
      <c r="AJ585" s="7">
        <f>20*LOG10(MAX(AG585,1E-300)*1E6)</f>
        <v>0</v>
      </c>
      <c r="AK585" s="7">
        <f>DEGREES(IMARGUMENT(AB585))</f>
        <v>0</v>
      </c>
      <c r="AL585" s="7">
        <f>DEGREES(IMARGUMENT(AC585))</f>
        <v>0</v>
      </c>
      <c r="AM585" s="7">
        <f>DEGREES(IMARGUMENT(AD585))</f>
        <v>0</v>
      </c>
    </row>
    <row r="586" spans="1:39">
      <c r="A586" s="6">
        <f>10^(LOG10(F_START)+(ROW()-ROW($A$2))*(LOG10(F_STOP)-LOG10(F_START))/(N_POINTS-1))</f>
        <v>0</v>
      </c>
      <c r="B586" s="6">
        <f>2*PI()*A586</f>
        <v>0</v>
      </c>
      <c r="C586">
        <f>COMPLEX(2*LINE_PS_DCR,2*B586*LINE_PS_L)</f>
        <v>0</v>
      </c>
      <c r="D586">
        <f>IMSUM(COMPLEX(0,B586*(LINE_PS_CLINE+LINE_PS_CCHA/2)),IMDIV("1",IMPRODUCT("2",COMPLEX(C_THROUGH_ESR,B586*C_THROUGH_ESL-1/(B586*C_THROUGH_C)))))</f>
        <v>0</v>
      </c>
      <c r="E586">
        <f>COMPLEX(2*LINE_INPUT_DCR,2*B586*LINE_INPUT_L)</f>
        <v>0</v>
      </c>
      <c r="F586">
        <f>COMPLEX(0,B586*(LINE_INPUT_CLINE+LINE_INPUT_CCHA/2))</f>
        <v>0</v>
      </c>
      <c r="G586">
        <f>IMPRODUCT("2",IMDIV("1",IMSUM(IMDIV("1",COMPLEX(LDM1_DCR,B586*LDM1_L)),COMPLEX(0,B586*LDM1_CPA))))</f>
        <v>0</v>
      </c>
      <c r="H586">
        <f>IMSUM(IMDIV("1",COMPLEX(CX1_ESR,B586*CX1_ESL-1/(B586*CX1_C))),IMDIV("1",IMSUM(COMPLEX(DUMP1_R,0),COMPLEX(DUMP1_ESR,B586*DUMP1_ESL-1/(B586*DUMP1_C)))))</f>
        <v>0</v>
      </c>
      <c r="I586">
        <f>IMPRODUCT("2",IMDIV("1",IMSUM(IMDIV("1",COMPLEX(LDM2_DCR,B586*LDM2_L)),COMPLEX(0,B586*LDM2_CPA))))</f>
        <v>0</v>
      </c>
      <c r="J586">
        <f>IMSUM(IMDIV("1",COMPLEX(CX2_ESR,B586*CX2_ESL-1/(B586*CX2_C))),IMDIV("1",IMSUM(COMPLEX(DUMP2_R,0),COMPLEX(DUMP2_ESR,B586*DUMP2_ESL-1/(B586*DUMP2_C)))))</f>
        <v>0</v>
      </c>
      <c r="K586">
        <f>IMPRODUCT("2",IMDIV("1",IMSUM(IMDIV("1",COMPLEX(CMC_DCR,B586*CMC_L*(1-CMC_K))),COMPLEX(0,B586*CMC_CPA))))</f>
        <v>0</v>
      </c>
      <c r="L586">
        <f>IMSUM(COMPLEX(0,B586*CMC_CLINE),IMDIV("1",IMPRODUCT("2",COMPLEX(CY_ESR,B586*CY_ESL-1/(B586*CY_C)))),COMPLEX(1/DUMMY_R,0))</f>
        <v>0</v>
      </c>
      <c r="M586">
        <f>IMSUM(D586,IMDIV("1",C586))</f>
        <v>0</v>
      </c>
      <c r="N586">
        <f>IMDIV("1",IMSUM(E586,IMDIV("1",M586)))</f>
        <v>0</v>
      </c>
      <c r="O586">
        <f>IMSUM(F586,N586)</f>
        <v>0</v>
      </c>
      <c r="P586">
        <f>IMDIV("1",IMSUM(G586,IMDIV("1",O586)))</f>
        <v>0</v>
      </c>
      <c r="Q586">
        <f>IMSUM(H586,P586)</f>
        <v>0</v>
      </c>
      <c r="R586">
        <f>IMDIV("1",IMSUM(I586,IMDIV("1",Q586)))</f>
        <v>0</v>
      </c>
      <c r="S586">
        <f>IMSUM(J586,R586)</f>
        <v>0</v>
      </c>
      <c r="T586">
        <f>IMDIV("1",IMSUM(K586,IMDIV("1",S586)))</f>
        <v>0</v>
      </c>
      <c r="U586">
        <f>IMSUM(L586,T586)</f>
        <v>0</v>
      </c>
      <c r="V586">
        <f>IMDIV(COMPLEX(I_DM_SOURCE,0),U586)</f>
        <v>0</v>
      </c>
      <c r="W586">
        <f>IMPRODUCT(V586,T586)</f>
        <v>0</v>
      </c>
      <c r="X586">
        <f>IMDIV(W586,S586)</f>
        <v>0</v>
      </c>
      <c r="Y586">
        <f>IMPRODUCT(X586,R586)</f>
        <v>0</v>
      </c>
      <c r="Z586">
        <f>IMDIV(Y586,Q586)</f>
        <v>0</v>
      </c>
      <c r="AA586">
        <f>IMPRODUCT(Z586,P586)</f>
        <v>0</v>
      </c>
      <c r="AB586">
        <f>AA586</f>
        <v>0</v>
      </c>
      <c r="AC586">
        <f>IMPRODUCT("-1",AB586)</f>
        <v>0</v>
      </c>
      <c r="AD586">
        <f>IMDIV(IMSUB(AB586,AC586),"2")</f>
        <v>0</v>
      </c>
      <c r="AE586" s="6">
        <f>IMABS(AB586)</f>
        <v>0</v>
      </c>
      <c r="AF586" s="6">
        <f>IMABS(AC586)</f>
        <v>0</v>
      </c>
      <c r="AG586" s="6">
        <f>IMABS(AD586)</f>
        <v>0</v>
      </c>
      <c r="AH586" s="7">
        <f>20*LOG10(MAX(AE586,1E-300)*1E6)</f>
        <v>0</v>
      </c>
      <c r="AI586" s="7">
        <f>20*LOG10(MAX(AF586,1E-300)*1E6)</f>
        <v>0</v>
      </c>
      <c r="AJ586" s="7">
        <f>20*LOG10(MAX(AG586,1E-300)*1E6)</f>
        <v>0</v>
      </c>
      <c r="AK586" s="7">
        <f>DEGREES(IMARGUMENT(AB586))</f>
        <v>0</v>
      </c>
      <c r="AL586" s="7">
        <f>DEGREES(IMARGUMENT(AC586))</f>
        <v>0</v>
      </c>
      <c r="AM586" s="7">
        <f>DEGREES(IMARGUMENT(AD586))</f>
        <v>0</v>
      </c>
    </row>
    <row r="587" spans="1:39">
      <c r="A587" s="6">
        <f>10^(LOG10(F_START)+(ROW()-ROW($A$2))*(LOG10(F_STOP)-LOG10(F_START))/(N_POINTS-1))</f>
        <v>0</v>
      </c>
      <c r="B587" s="6">
        <f>2*PI()*A587</f>
        <v>0</v>
      </c>
      <c r="C587">
        <f>COMPLEX(2*LINE_PS_DCR,2*B587*LINE_PS_L)</f>
        <v>0</v>
      </c>
      <c r="D587">
        <f>IMSUM(COMPLEX(0,B587*(LINE_PS_CLINE+LINE_PS_CCHA/2)),IMDIV("1",IMPRODUCT("2",COMPLEX(C_THROUGH_ESR,B587*C_THROUGH_ESL-1/(B587*C_THROUGH_C)))))</f>
        <v>0</v>
      </c>
      <c r="E587">
        <f>COMPLEX(2*LINE_INPUT_DCR,2*B587*LINE_INPUT_L)</f>
        <v>0</v>
      </c>
      <c r="F587">
        <f>COMPLEX(0,B587*(LINE_INPUT_CLINE+LINE_INPUT_CCHA/2))</f>
        <v>0</v>
      </c>
      <c r="G587">
        <f>IMPRODUCT("2",IMDIV("1",IMSUM(IMDIV("1",COMPLEX(LDM1_DCR,B587*LDM1_L)),COMPLEX(0,B587*LDM1_CPA))))</f>
        <v>0</v>
      </c>
      <c r="H587">
        <f>IMSUM(IMDIV("1",COMPLEX(CX1_ESR,B587*CX1_ESL-1/(B587*CX1_C))),IMDIV("1",IMSUM(COMPLEX(DUMP1_R,0),COMPLEX(DUMP1_ESR,B587*DUMP1_ESL-1/(B587*DUMP1_C)))))</f>
        <v>0</v>
      </c>
      <c r="I587">
        <f>IMPRODUCT("2",IMDIV("1",IMSUM(IMDIV("1",COMPLEX(LDM2_DCR,B587*LDM2_L)),COMPLEX(0,B587*LDM2_CPA))))</f>
        <v>0</v>
      </c>
      <c r="J587">
        <f>IMSUM(IMDIV("1",COMPLEX(CX2_ESR,B587*CX2_ESL-1/(B587*CX2_C))),IMDIV("1",IMSUM(COMPLEX(DUMP2_R,0),COMPLEX(DUMP2_ESR,B587*DUMP2_ESL-1/(B587*DUMP2_C)))))</f>
        <v>0</v>
      </c>
      <c r="K587">
        <f>IMPRODUCT("2",IMDIV("1",IMSUM(IMDIV("1",COMPLEX(CMC_DCR,B587*CMC_L*(1-CMC_K))),COMPLEX(0,B587*CMC_CPA))))</f>
        <v>0</v>
      </c>
      <c r="L587">
        <f>IMSUM(COMPLEX(0,B587*CMC_CLINE),IMDIV("1",IMPRODUCT("2",COMPLEX(CY_ESR,B587*CY_ESL-1/(B587*CY_C)))),COMPLEX(1/DUMMY_R,0))</f>
        <v>0</v>
      </c>
      <c r="M587">
        <f>IMSUM(D587,IMDIV("1",C587))</f>
        <v>0</v>
      </c>
      <c r="N587">
        <f>IMDIV("1",IMSUM(E587,IMDIV("1",M587)))</f>
        <v>0</v>
      </c>
      <c r="O587">
        <f>IMSUM(F587,N587)</f>
        <v>0</v>
      </c>
      <c r="P587">
        <f>IMDIV("1",IMSUM(G587,IMDIV("1",O587)))</f>
        <v>0</v>
      </c>
      <c r="Q587">
        <f>IMSUM(H587,P587)</f>
        <v>0</v>
      </c>
      <c r="R587">
        <f>IMDIV("1",IMSUM(I587,IMDIV("1",Q587)))</f>
        <v>0</v>
      </c>
      <c r="S587">
        <f>IMSUM(J587,R587)</f>
        <v>0</v>
      </c>
      <c r="T587">
        <f>IMDIV("1",IMSUM(K587,IMDIV("1",S587)))</f>
        <v>0</v>
      </c>
      <c r="U587">
        <f>IMSUM(L587,T587)</f>
        <v>0</v>
      </c>
      <c r="V587">
        <f>IMDIV(COMPLEX(I_DM_SOURCE,0),U587)</f>
        <v>0</v>
      </c>
      <c r="W587">
        <f>IMPRODUCT(V587,T587)</f>
        <v>0</v>
      </c>
      <c r="X587">
        <f>IMDIV(W587,S587)</f>
        <v>0</v>
      </c>
      <c r="Y587">
        <f>IMPRODUCT(X587,R587)</f>
        <v>0</v>
      </c>
      <c r="Z587">
        <f>IMDIV(Y587,Q587)</f>
        <v>0</v>
      </c>
      <c r="AA587">
        <f>IMPRODUCT(Z587,P587)</f>
        <v>0</v>
      </c>
      <c r="AB587">
        <f>AA587</f>
        <v>0</v>
      </c>
      <c r="AC587">
        <f>IMPRODUCT("-1",AB587)</f>
        <v>0</v>
      </c>
      <c r="AD587">
        <f>IMDIV(IMSUB(AB587,AC587),"2")</f>
        <v>0</v>
      </c>
      <c r="AE587" s="6">
        <f>IMABS(AB587)</f>
        <v>0</v>
      </c>
      <c r="AF587" s="6">
        <f>IMABS(AC587)</f>
        <v>0</v>
      </c>
      <c r="AG587" s="6">
        <f>IMABS(AD587)</f>
        <v>0</v>
      </c>
      <c r="AH587" s="7">
        <f>20*LOG10(MAX(AE587,1E-300)*1E6)</f>
        <v>0</v>
      </c>
      <c r="AI587" s="7">
        <f>20*LOG10(MAX(AF587,1E-300)*1E6)</f>
        <v>0</v>
      </c>
      <c r="AJ587" s="7">
        <f>20*LOG10(MAX(AG587,1E-300)*1E6)</f>
        <v>0</v>
      </c>
      <c r="AK587" s="7">
        <f>DEGREES(IMARGUMENT(AB587))</f>
        <v>0</v>
      </c>
      <c r="AL587" s="7">
        <f>DEGREES(IMARGUMENT(AC587))</f>
        <v>0</v>
      </c>
      <c r="AM587" s="7">
        <f>DEGREES(IMARGUMENT(AD587))</f>
        <v>0</v>
      </c>
    </row>
    <row r="588" spans="1:39">
      <c r="A588" s="6">
        <f>10^(LOG10(F_START)+(ROW()-ROW($A$2))*(LOG10(F_STOP)-LOG10(F_START))/(N_POINTS-1))</f>
        <v>0</v>
      </c>
      <c r="B588" s="6">
        <f>2*PI()*A588</f>
        <v>0</v>
      </c>
      <c r="C588">
        <f>COMPLEX(2*LINE_PS_DCR,2*B588*LINE_PS_L)</f>
        <v>0</v>
      </c>
      <c r="D588">
        <f>IMSUM(COMPLEX(0,B588*(LINE_PS_CLINE+LINE_PS_CCHA/2)),IMDIV("1",IMPRODUCT("2",COMPLEX(C_THROUGH_ESR,B588*C_THROUGH_ESL-1/(B588*C_THROUGH_C)))))</f>
        <v>0</v>
      </c>
      <c r="E588">
        <f>COMPLEX(2*LINE_INPUT_DCR,2*B588*LINE_INPUT_L)</f>
        <v>0</v>
      </c>
      <c r="F588">
        <f>COMPLEX(0,B588*(LINE_INPUT_CLINE+LINE_INPUT_CCHA/2))</f>
        <v>0</v>
      </c>
      <c r="G588">
        <f>IMPRODUCT("2",IMDIV("1",IMSUM(IMDIV("1",COMPLEX(LDM1_DCR,B588*LDM1_L)),COMPLEX(0,B588*LDM1_CPA))))</f>
        <v>0</v>
      </c>
      <c r="H588">
        <f>IMSUM(IMDIV("1",COMPLEX(CX1_ESR,B588*CX1_ESL-1/(B588*CX1_C))),IMDIV("1",IMSUM(COMPLEX(DUMP1_R,0),COMPLEX(DUMP1_ESR,B588*DUMP1_ESL-1/(B588*DUMP1_C)))))</f>
        <v>0</v>
      </c>
      <c r="I588">
        <f>IMPRODUCT("2",IMDIV("1",IMSUM(IMDIV("1",COMPLEX(LDM2_DCR,B588*LDM2_L)),COMPLEX(0,B588*LDM2_CPA))))</f>
        <v>0</v>
      </c>
      <c r="J588">
        <f>IMSUM(IMDIV("1",COMPLEX(CX2_ESR,B588*CX2_ESL-1/(B588*CX2_C))),IMDIV("1",IMSUM(COMPLEX(DUMP2_R,0),COMPLEX(DUMP2_ESR,B588*DUMP2_ESL-1/(B588*DUMP2_C)))))</f>
        <v>0</v>
      </c>
      <c r="K588">
        <f>IMPRODUCT("2",IMDIV("1",IMSUM(IMDIV("1",COMPLEX(CMC_DCR,B588*CMC_L*(1-CMC_K))),COMPLEX(0,B588*CMC_CPA))))</f>
        <v>0</v>
      </c>
      <c r="L588">
        <f>IMSUM(COMPLEX(0,B588*CMC_CLINE),IMDIV("1",IMPRODUCT("2",COMPLEX(CY_ESR,B588*CY_ESL-1/(B588*CY_C)))),COMPLEX(1/DUMMY_R,0))</f>
        <v>0</v>
      </c>
      <c r="M588">
        <f>IMSUM(D588,IMDIV("1",C588))</f>
        <v>0</v>
      </c>
      <c r="N588">
        <f>IMDIV("1",IMSUM(E588,IMDIV("1",M588)))</f>
        <v>0</v>
      </c>
      <c r="O588">
        <f>IMSUM(F588,N588)</f>
        <v>0</v>
      </c>
      <c r="P588">
        <f>IMDIV("1",IMSUM(G588,IMDIV("1",O588)))</f>
        <v>0</v>
      </c>
      <c r="Q588">
        <f>IMSUM(H588,P588)</f>
        <v>0</v>
      </c>
      <c r="R588">
        <f>IMDIV("1",IMSUM(I588,IMDIV("1",Q588)))</f>
        <v>0</v>
      </c>
      <c r="S588">
        <f>IMSUM(J588,R588)</f>
        <v>0</v>
      </c>
      <c r="T588">
        <f>IMDIV("1",IMSUM(K588,IMDIV("1",S588)))</f>
        <v>0</v>
      </c>
      <c r="U588">
        <f>IMSUM(L588,T588)</f>
        <v>0</v>
      </c>
      <c r="V588">
        <f>IMDIV(COMPLEX(I_DM_SOURCE,0),U588)</f>
        <v>0</v>
      </c>
      <c r="W588">
        <f>IMPRODUCT(V588,T588)</f>
        <v>0</v>
      </c>
      <c r="X588">
        <f>IMDIV(W588,S588)</f>
        <v>0</v>
      </c>
      <c r="Y588">
        <f>IMPRODUCT(X588,R588)</f>
        <v>0</v>
      </c>
      <c r="Z588">
        <f>IMDIV(Y588,Q588)</f>
        <v>0</v>
      </c>
      <c r="AA588">
        <f>IMPRODUCT(Z588,P588)</f>
        <v>0</v>
      </c>
      <c r="AB588">
        <f>AA588</f>
        <v>0</v>
      </c>
      <c r="AC588">
        <f>IMPRODUCT("-1",AB588)</f>
        <v>0</v>
      </c>
      <c r="AD588">
        <f>IMDIV(IMSUB(AB588,AC588),"2")</f>
        <v>0</v>
      </c>
      <c r="AE588" s="6">
        <f>IMABS(AB588)</f>
        <v>0</v>
      </c>
      <c r="AF588" s="6">
        <f>IMABS(AC588)</f>
        <v>0</v>
      </c>
      <c r="AG588" s="6">
        <f>IMABS(AD588)</f>
        <v>0</v>
      </c>
      <c r="AH588" s="7">
        <f>20*LOG10(MAX(AE588,1E-300)*1E6)</f>
        <v>0</v>
      </c>
      <c r="AI588" s="7">
        <f>20*LOG10(MAX(AF588,1E-300)*1E6)</f>
        <v>0</v>
      </c>
      <c r="AJ588" s="7">
        <f>20*LOG10(MAX(AG588,1E-300)*1E6)</f>
        <v>0</v>
      </c>
      <c r="AK588" s="7">
        <f>DEGREES(IMARGUMENT(AB588))</f>
        <v>0</v>
      </c>
      <c r="AL588" s="7">
        <f>DEGREES(IMARGUMENT(AC588))</f>
        <v>0</v>
      </c>
      <c r="AM588" s="7">
        <f>DEGREES(IMARGUMENT(AD588))</f>
        <v>0</v>
      </c>
    </row>
    <row r="589" spans="1:39">
      <c r="A589" s="6">
        <f>10^(LOG10(F_START)+(ROW()-ROW($A$2))*(LOG10(F_STOP)-LOG10(F_START))/(N_POINTS-1))</f>
        <v>0</v>
      </c>
      <c r="B589" s="6">
        <f>2*PI()*A589</f>
        <v>0</v>
      </c>
      <c r="C589">
        <f>COMPLEX(2*LINE_PS_DCR,2*B589*LINE_PS_L)</f>
        <v>0</v>
      </c>
      <c r="D589">
        <f>IMSUM(COMPLEX(0,B589*(LINE_PS_CLINE+LINE_PS_CCHA/2)),IMDIV("1",IMPRODUCT("2",COMPLEX(C_THROUGH_ESR,B589*C_THROUGH_ESL-1/(B589*C_THROUGH_C)))))</f>
        <v>0</v>
      </c>
      <c r="E589">
        <f>COMPLEX(2*LINE_INPUT_DCR,2*B589*LINE_INPUT_L)</f>
        <v>0</v>
      </c>
      <c r="F589">
        <f>COMPLEX(0,B589*(LINE_INPUT_CLINE+LINE_INPUT_CCHA/2))</f>
        <v>0</v>
      </c>
      <c r="G589">
        <f>IMPRODUCT("2",IMDIV("1",IMSUM(IMDIV("1",COMPLEX(LDM1_DCR,B589*LDM1_L)),COMPLEX(0,B589*LDM1_CPA))))</f>
        <v>0</v>
      </c>
      <c r="H589">
        <f>IMSUM(IMDIV("1",COMPLEX(CX1_ESR,B589*CX1_ESL-1/(B589*CX1_C))),IMDIV("1",IMSUM(COMPLEX(DUMP1_R,0),COMPLEX(DUMP1_ESR,B589*DUMP1_ESL-1/(B589*DUMP1_C)))))</f>
        <v>0</v>
      </c>
      <c r="I589">
        <f>IMPRODUCT("2",IMDIV("1",IMSUM(IMDIV("1",COMPLEX(LDM2_DCR,B589*LDM2_L)),COMPLEX(0,B589*LDM2_CPA))))</f>
        <v>0</v>
      </c>
      <c r="J589">
        <f>IMSUM(IMDIV("1",COMPLEX(CX2_ESR,B589*CX2_ESL-1/(B589*CX2_C))),IMDIV("1",IMSUM(COMPLEX(DUMP2_R,0),COMPLEX(DUMP2_ESR,B589*DUMP2_ESL-1/(B589*DUMP2_C)))))</f>
        <v>0</v>
      </c>
      <c r="K589">
        <f>IMPRODUCT("2",IMDIV("1",IMSUM(IMDIV("1",COMPLEX(CMC_DCR,B589*CMC_L*(1-CMC_K))),COMPLEX(0,B589*CMC_CPA))))</f>
        <v>0</v>
      </c>
      <c r="L589">
        <f>IMSUM(COMPLEX(0,B589*CMC_CLINE),IMDIV("1",IMPRODUCT("2",COMPLEX(CY_ESR,B589*CY_ESL-1/(B589*CY_C)))),COMPLEX(1/DUMMY_R,0))</f>
        <v>0</v>
      </c>
      <c r="M589">
        <f>IMSUM(D589,IMDIV("1",C589))</f>
        <v>0</v>
      </c>
      <c r="N589">
        <f>IMDIV("1",IMSUM(E589,IMDIV("1",M589)))</f>
        <v>0</v>
      </c>
      <c r="O589">
        <f>IMSUM(F589,N589)</f>
        <v>0</v>
      </c>
      <c r="P589">
        <f>IMDIV("1",IMSUM(G589,IMDIV("1",O589)))</f>
        <v>0</v>
      </c>
      <c r="Q589">
        <f>IMSUM(H589,P589)</f>
        <v>0</v>
      </c>
      <c r="R589">
        <f>IMDIV("1",IMSUM(I589,IMDIV("1",Q589)))</f>
        <v>0</v>
      </c>
      <c r="S589">
        <f>IMSUM(J589,R589)</f>
        <v>0</v>
      </c>
      <c r="T589">
        <f>IMDIV("1",IMSUM(K589,IMDIV("1",S589)))</f>
        <v>0</v>
      </c>
      <c r="U589">
        <f>IMSUM(L589,T589)</f>
        <v>0</v>
      </c>
      <c r="V589">
        <f>IMDIV(COMPLEX(I_DM_SOURCE,0),U589)</f>
        <v>0</v>
      </c>
      <c r="W589">
        <f>IMPRODUCT(V589,T589)</f>
        <v>0</v>
      </c>
      <c r="X589">
        <f>IMDIV(W589,S589)</f>
        <v>0</v>
      </c>
      <c r="Y589">
        <f>IMPRODUCT(X589,R589)</f>
        <v>0</v>
      </c>
      <c r="Z589">
        <f>IMDIV(Y589,Q589)</f>
        <v>0</v>
      </c>
      <c r="AA589">
        <f>IMPRODUCT(Z589,P589)</f>
        <v>0</v>
      </c>
      <c r="AB589">
        <f>AA589</f>
        <v>0</v>
      </c>
      <c r="AC589">
        <f>IMPRODUCT("-1",AB589)</f>
        <v>0</v>
      </c>
      <c r="AD589">
        <f>IMDIV(IMSUB(AB589,AC589),"2")</f>
        <v>0</v>
      </c>
      <c r="AE589" s="6">
        <f>IMABS(AB589)</f>
        <v>0</v>
      </c>
      <c r="AF589" s="6">
        <f>IMABS(AC589)</f>
        <v>0</v>
      </c>
      <c r="AG589" s="6">
        <f>IMABS(AD589)</f>
        <v>0</v>
      </c>
      <c r="AH589" s="7">
        <f>20*LOG10(MAX(AE589,1E-300)*1E6)</f>
        <v>0</v>
      </c>
      <c r="AI589" s="7">
        <f>20*LOG10(MAX(AF589,1E-300)*1E6)</f>
        <v>0</v>
      </c>
      <c r="AJ589" s="7">
        <f>20*LOG10(MAX(AG589,1E-300)*1E6)</f>
        <v>0</v>
      </c>
      <c r="AK589" s="7">
        <f>DEGREES(IMARGUMENT(AB589))</f>
        <v>0</v>
      </c>
      <c r="AL589" s="7">
        <f>DEGREES(IMARGUMENT(AC589))</f>
        <v>0</v>
      </c>
      <c r="AM589" s="7">
        <f>DEGREES(IMARGUMENT(AD589))</f>
        <v>0</v>
      </c>
    </row>
    <row r="590" spans="1:39">
      <c r="A590" s="6">
        <f>10^(LOG10(F_START)+(ROW()-ROW($A$2))*(LOG10(F_STOP)-LOG10(F_START))/(N_POINTS-1))</f>
        <v>0</v>
      </c>
      <c r="B590" s="6">
        <f>2*PI()*A590</f>
        <v>0</v>
      </c>
      <c r="C590">
        <f>COMPLEX(2*LINE_PS_DCR,2*B590*LINE_PS_L)</f>
        <v>0</v>
      </c>
      <c r="D590">
        <f>IMSUM(COMPLEX(0,B590*(LINE_PS_CLINE+LINE_PS_CCHA/2)),IMDIV("1",IMPRODUCT("2",COMPLEX(C_THROUGH_ESR,B590*C_THROUGH_ESL-1/(B590*C_THROUGH_C)))))</f>
        <v>0</v>
      </c>
      <c r="E590">
        <f>COMPLEX(2*LINE_INPUT_DCR,2*B590*LINE_INPUT_L)</f>
        <v>0</v>
      </c>
      <c r="F590">
        <f>COMPLEX(0,B590*(LINE_INPUT_CLINE+LINE_INPUT_CCHA/2))</f>
        <v>0</v>
      </c>
      <c r="G590">
        <f>IMPRODUCT("2",IMDIV("1",IMSUM(IMDIV("1",COMPLEX(LDM1_DCR,B590*LDM1_L)),COMPLEX(0,B590*LDM1_CPA))))</f>
        <v>0</v>
      </c>
      <c r="H590">
        <f>IMSUM(IMDIV("1",COMPLEX(CX1_ESR,B590*CX1_ESL-1/(B590*CX1_C))),IMDIV("1",IMSUM(COMPLEX(DUMP1_R,0),COMPLEX(DUMP1_ESR,B590*DUMP1_ESL-1/(B590*DUMP1_C)))))</f>
        <v>0</v>
      </c>
      <c r="I590">
        <f>IMPRODUCT("2",IMDIV("1",IMSUM(IMDIV("1",COMPLEX(LDM2_DCR,B590*LDM2_L)),COMPLEX(0,B590*LDM2_CPA))))</f>
        <v>0</v>
      </c>
      <c r="J590">
        <f>IMSUM(IMDIV("1",COMPLEX(CX2_ESR,B590*CX2_ESL-1/(B590*CX2_C))),IMDIV("1",IMSUM(COMPLEX(DUMP2_R,0),COMPLEX(DUMP2_ESR,B590*DUMP2_ESL-1/(B590*DUMP2_C)))))</f>
        <v>0</v>
      </c>
      <c r="K590">
        <f>IMPRODUCT("2",IMDIV("1",IMSUM(IMDIV("1",COMPLEX(CMC_DCR,B590*CMC_L*(1-CMC_K))),COMPLEX(0,B590*CMC_CPA))))</f>
        <v>0</v>
      </c>
      <c r="L590">
        <f>IMSUM(COMPLEX(0,B590*CMC_CLINE),IMDIV("1",IMPRODUCT("2",COMPLEX(CY_ESR,B590*CY_ESL-1/(B590*CY_C)))),COMPLEX(1/DUMMY_R,0))</f>
        <v>0</v>
      </c>
      <c r="M590">
        <f>IMSUM(D590,IMDIV("1",C590))</f>
        <v>0</v>
      </c>
      <c r="N590">
        <f>IMDIV("1",IMSUM(E590,IMDIV("1",M590)))</f>
        <v>0</v>
      </c>
      <c r="O590">
        <f>IMSUM(F590,N590)</f>
        <v>0</v>
      </c>
      <c r="P590">
        <f>IMDIV("1",IMSUM(G590,IMDIV("1",O590)))</f>
        <v>0</v>
      </c>
      <c r="Q590">
        <f>IMSUM(H590,P590)</f>
        <v>0</v>
      </c>
      <c r="R590">
        <f>IMDIV("1",IMSUM(I590,IMDIV("1",Q590)))</f>
        <v>0</v>
      </c>
      <c r="S590">
        <f>IMSUM(J590,R590)</f>
        <v>0</v>
      </c>
      <c r="T590">
        <f>IMDIV("1",IMSUM(K590,IMDIV("1",S590)))</f>
        <v>0</v>
      </c>
      <c r="U590">
        <f>IMSUM(L590,T590)</f>
        <v>0</v>
      </c>
      <c r="V590">
        <f>IMDIV(COMPLEX(I_DM_SOURCE,0),U590)</f>
        <v>0</v>
      </c>
      <c r="W590">
        <f>IMPRODUCT(V590,T590)</f>
        <v>0</v>
      </c>
      <c r="X590">
        <f>IMDIV(W590,S590)</f>
        <v>0</v>
      </c>
      <c r="Y590">
        <f>IMPRODUCT(X590,R590)</f>
        <v>0</v>
      </c>
      <c r="Z590">
        <f>IMDIV(Y590,Q590)</f>
        <v>0</v>
      </c>
      <c r="AA590">
        <f>IMPRODUCT(Z590,P590)</f>
        <v>0</v>
      </c>
      <c r="AB590">
        <f>AA590</f>
        <v>0</v>
      </c>
      <c r="AC590">
        <f>IMPRODUCT("-1",AB590)</f>
        <v>0</v>
      </c>
      <c r="AD590">
        <f>IMDIV(IMSUB(AB590,AC590),"2")</f>
        <v>0</v>
      </c>
      <c r="AE590" s="6">
        <f>IMABS(AB590)</f>
        <v>0</v>
      </c>
      <c r="AF590" s="6">
        <f>IMABS(AC590)</f>
        <v>0</v>
      </c>
      <c r="AG590" s="6">
        <f>IMABS(AD590)</f>
        <v>0</v>
      </c>
      <c r="AH590" s="7">
        <f>20*LOG10(MAX(AE590,1E-300)*1E6)</f>
        <v>0</v>
      </c>
      <c r="AI590" s="7">
        <f>20*LOG10(MAX(AF590,1E-300)*1E6)</f>
        <v>0</v>
      </c>
      <c r="AJ590" s="7">
        <f>20*LOG10(MAX(AG590,1E-300)*1E6)</f>
        <v>0</v>
      </c>
      <c r="AK590" s="7">
        <f>DEGREES(IMARGUMENT(AB590))</f>
        <v>0</v>
      </c>
      <c r="AL590" s="7">
        <f>DEGREES(IMARGUMENT(AC590))</f>
        <v>0</v>
      </c>
      <c r="AM590" s="7">
        <f>DEGREES(IMARGUMENT(AD590))</f>
        <v>0</v>
      </c>
    </row>
    <row r="591" spans="1:39">
      <c r="A591" s="6">
        <f>10^(LOG10(F_START)+(ROW()-ROW($A$2))*(LOG10(F_STOP)-LOG10(F_START))/(N_POINTS-1))</f>
        <v>0</v>
      </c>
      <c r="B591" s="6">
        <f>2*PI()*A591</f>
        <v>0</v>
      </c>
      <c r="C591">
        <f>COMPLEX(2*LINE_PS_DCR,2*B591*LINE_PS_L)</f>
        <v>0</v>
      </c>
      <c r="D591">
        <f>IMSUM(COMPLEX(0,B591*(LINE_PS_CLINE+LINE_PS_CCHA/2)),IMDIV("1",IMPRODUCT("2",COMPLEX(C_THROUGH_ESR,B591*C_THROUGH_ESL-1/(B591*C_THROUGH_C)))))</f>
        <v>0</v>
      </c>
      <c r="E591">
        <f>COMPLEX(2*LINE_INPUT_DCR,2*B591*LINE_INPUT_L)</f>
        <v>0</v>
      </c>
      <c r="F591">
        <f>COMPLEX(0,B591*(LINE_INPUT_CLINE+LINE_INPUT_CCHA/2))</f>
        <v>0</v>
      </c>
      <c r="G591">
        <f>IMPRODUCT("2",IMDIV("1",IMSUM(IMDIV("1",COMPLEX(LDM1_DCR,B591*LDM1_L)),COMPLEX(0,B591*LDM1_CPA))))</f>
        <v>0</v>
      </c>
      <c r="H591">
        <f>IMSUM(IMDIV("1",COMPLEX(CX1_ESR,B591*CX1_ESL-1/(B591*CX1_C))),IMDIV("1",IMSUM(COMPLEX(DUMP1_R,0),COMPLEX(DUMP1_ESR,B591*DUMP1_ESL-1/(B591*DUMP1_C)))))</f>
        <v>0</v>
      </c>
      <c r="I591">
        <f>IMPRODUCT("2",IMDIV("1",IMSUM(IMDIV("1",COMPLEX(LDM2_DCR,B591*LDM2_L)),COMPLEX(0,B591*LDM2_CPA))))</f>
        <v>0</v>
      </c>
      <c r="J591">
        <f>IMSUM(IMDIV("1",COMPLEX(CX2_ESR,B591*CX2_ESL-1/(B591*CX2_C))),IMDIV("1",IMSUM(COMPLEX(DUMP2_R,0),COMPLEX(DUMP2_ESR,B591*DUMP2_ESL-1/(B591*DUMP2_C)))))</f>
        <v>0</v>
      </c>
      <c r="K591">
        <f>IMPRODUCT("2",IMDIV("1",IMSUM(IMDIV("1",COMPLEX(CMC_DCR,B591*CMC_L*(1-CMC_K))),COMPLEX(0,B591*CMC_CPA))))</f>
        <v>0</v>
      </c>
      <c r="L591">
        <f>IMSUM(COMPLEX(0,B591*CMC_CLINE),IMDIV("1",IMPRODUCT("2",COMPLEX(CY_ESR,B591*CY_ESL-1/(B591*CY_C)))),COMPLEX(1/DUMMY_R,0))</f>
        <v>0</v>
      </c>
      <c r="M591">
        <f>IMSUM(D591,IMDIV("1",C591))</f>
        <v>0</v>
      </c>
      <c r="N591">
        <f>IMDIV("1",IMSUM(E591,IMDIV("1",M591)))</f>
        <v>0</v>
      </c>
      <c r="O591">
        <f>IMSUM(F591,N591)</f>
        <v>0</v>
      </c>
      <c r="P591">
        <f>IMDIV("1",IMSUM(G591,IMDIV("1",O591)))</f>
        <v>0</v>
      </c>
      <c r="Q591">
        <f>IMSUM(H591,P591)</f>
        <v>0</v>
      </c>
      <c r="R591">
        <f>IMDIV("1",IMSUM(I591,IMDIV("1",Q591)))</f>
        <v>0</v>
      </c>
      <c r="S591">
        <f>IMSUM(J591,R591)</f>
        <v>0</v>
      </c>
      <c r="T591">
        <f>IMDIV("1",IMSUM(K591,IMDIV("1",S591)))</f>
        <v>0</v>
      </c>
      <c r="U591">
        <f>IMSUM(L591,T591)</f>
        <v>0</v>
      </c>
      <c r="V591">
        <f>IMDIV(COMPLEX(I_DM_SOURCE,0),U591)</f>
        <v>0</v>
      </c>
      <c r="W591">
        <f>IMPRODUCT(V591,T591)</f>
        <v>0</v>
      </c>
      <c r="X591">
        <f>IMDIV(W591,S591)</f>
        <v>0</v>
      </c>
      <c r="Y591">
        <f>IMPRODUCT(X591,R591)</f>
        <v>0</v>
      </c>
      <c r="Z591">
        <f>IMDIV(Y591,Q591)</f>
        <v>0</v>
      </c>
      <c r="AA591">
        <f>IMPRODUCT(Z591,P591)</f>
        <v>0</v>
      </c>
      <c r="AB591">
        <f>AA591</f>
        <v>0</v>
      </c>
      <c r="AC591">
        <f>IMPRODUCT("-1",AB591)</f>
        <v>0</v>
      </c>
      <c r="AD591">
        <f>IMDIV(IMSUB(AB591,AC591),"2")</f>
        <v>0</v>
      </c>
      <c r="AE591" s="6">
        <f>IMABS(AB591)</f>
        <v>0</v>
      </c>
      <c r="AF591" s="6">
        <f>IMABS(AC591)</f>
        <v>0</v>
      </c>
      <c r="AG591" s="6">
        <f>IMABS(AD591)</f>
        <v>0</v>
      </c>
      <c r="AH591" s="7">
        <f>20*LOG10(MAX(AE591,1E-300)*1E6)</f>
        <v>0</v>
      </c>
      <c r="AI591" s="7">
        <f>20*LOG10(MAX(AF591,1E-300)*1E6)</f>
        <v>0</v>
      </c>
      <c r="AJ591" s="7">
        <f>20*LOG10(MAX(AG591,1E-300)*1E6)</f>
        <v>0</v>
      </c>
      <c r="AK591" s="7">
        <f>DEGREES(IMARGUMENT(AB591))</f>
        <v>0</v>
      </c>
      <c r="AL591" s="7">
        <f>DEGREES(IMARGUMENT(AC591))</f>
        <v>0</v>
      </c>
      <c r="AM591" s="7">
        <f>DEGREES(IMARGUMENT(AD591))</f>
        <v>0</v>
      </c>
    </row>
    <row r="592" spans="1:39">
      <c r="A592" s="6">
        <f>10^(LOG10(F_START)+(ROW()-ROW($A$2))*(LOG10(F_STOP)-LOG10(F_START))/(N_POINTS-1))</f>
        <v>0</v>
      </c>
      <c r="B592" s="6">
        <f>2*PI()*A592</f>
        <v>0</v>
      </c>
      <c r="C592">
        <f>COMPLEX(2*LINE_PS_DCR,2*B592*LINE_PS_L)</f>
        <v>0</v>
      </c>
      <c r="D592">
        <f>IMSUM(COMPLEX(0,B592*(LINE_PS_CLINE+LINE_PS_CCHA/2)),IMDIV("1",IMPRODUCT("2",COMPLEX(C_THROUGH_ESR,B592*C_THROUGH_ESL-1/(B592*C_THROUGH_C)))))</f>
        <v>0</v>
      </c>
      <c r="E592">
        <f>COMPLEX(2*LINE_INPUT_DCR,2*B592*LINE_INPUT_L)</f>
        <v>0</v>
      </c>
      <c r="F592">
        <f>COMPLEX(0,B592*(LINE_INPUT_CLINE+LINE_INPUT_CCHA/2))</f>
        <v>0</v>
      </c>
      <c r="G592">
        <f>IMPRODUCT("2",IMDIV("1",IMSUM(IMDIV("1",COMPLEX(LDM1_DCR,B592*LDM1_L)),COMPLEX(0,B592*LDM1_CPA))))</f>
        <v>0</v>
      </c>
      <c r="H592">
        <f>IMSUM(IMDIV("1",COMPLEX(CX1_ESR,B592*CX1_ESL-1/(B592*CX1_C))),IMDIV("1",IMSUM(COMPLEX(DUMP1_R,0),COMPLEX(DUMP1_ESR,B592*DUMP1_ESL-1/(B592*DUMP1_C)))))</f>
        <v>0</v>
      </c>
      <c r="I592">
        <f>IMPRODUCT("2",IMDIV("1",IMSUM(IMDIV("1",COMPLEX(LDM2_DCR,B592*LDM2_L)),COMPLEX(0,B592*LDM2_CPA))))</f>
        <v>0</v>
      </c>
      <c r="J592">
        <f>IMSUM(IMDIV("1",COMPLEX(CX2_ESR,B592*CX2_ESL-1/(B592*CX2_C))),IMDIV("1",IMSUM(COMPLEX(DUMP2_R,0),COMPLEX(DUMP2_ESR,B592*DUMP2_ESL-1/(B592*DUMP2_C)))))</f>
        <v>0</v>
      </c>
      <c r="K592">
        <f>IMPRODUCT("2",IMDIV("1",IMSUM(IMDIV("1",COMPLEX(CMC_DCR,B592*CMC_L*(1-CMC_K))),COMPLEX(0,B592*CMC_CPA))))</f>
        <v>0</v>
      </c>
      <c r="L592">
        <f>IMSUM(COMPLEX(0,B592*CMC_CLINE),IMDIV("1",IMPRODUCT("2",COMPLEX(CY_ESR,B592*CY_ESL-1/(B592*CY_C)))),COMPLEX(1/DUMMY_R,0))</f>
        <v>0</v>
      </c>
      <c r="M592">
        <f>IMSUM(D592,IMDIV("1",C592))</f>
        <v>0</v>
      </c>
      <c r="N592">
        <f>IMDIV("1",IMSUM(E592,IMDIV("1",M592)))</f>
        <v>0</v>
      </c>
      <c r="O592">
        <f>IMSUM(F592,N592)</f>
        <v>0</v>
      </c>
      <c r="P592">
        <f>IMDIV("1",IMSUM(G592,IMDIV("1",O592)))</f>
        <v>0</v>
      </c>
      <c r="Q592">
        <f>IMSUM(H592,P592)</f>
        <v>0</v>
      </c>
      <c r="R592">
        <f>IMDIV("1",IMSUM(I592,IMDIV("1",Q592)))</f>
        <v>0</v>
      </c>
      <c r="S592">
        <f>IMSUM(J592,R592)</f>
        <v>0</v>
      </c>
      <c r="T592">
        <f>IMDIV("1",IMSUM(K592,IMDIV("1",S592)))</f>
        <v>0</v>
      </c>
      <c r="U592">
        <f>IMSUM(L592,T592)</f>
        <v>0</v>
      </c>
      <c r="V592">
        <f>IMDIV(COMPLEX(I_DM_SOURCE,0),U592)</f>
        <v>0</v>
      </c>
      <c r="W592">
        <f>IMPRODUCT(V592,T592)</f>
        <v>0</v>
      </c>
      <c r="X592">
        <f>IMDIV(W592,S592)</f>
        <v>0</v>
      </c>
      <c r="Y592">
        <f>IMPRODUCT(X592,R592)</f>
        <v>0</v>
      </c>
      <c r="Z592">
        <f>IMDIV(Y592,Q592)</f>
        <v>0</v>
      </c>
      <c r="AA592">
        <f>IMPRODUCT(Z592,P592)</f>
        <v>0</v>
      </c>
      <c r="AB592">
        <f>AA592</f>
        <v>0</v>
      </c>
      <c r="AC592">
        <f>IMPRODUCT("-1",AB592)</f>
        <v>0</v>
      </c>
      <c r="AD592">
        <f>IMDIV(IMSUB(AB592,AC592),"2")</f>
        <v>0</v>
      </c>
      <c r="AE592" s="6">
        <f>IMABS(AB592)</f>
        <v>0</v>
      </c>
      <c r="AF592" s="6">
        <f>IMABS(AC592)</f>
        <v>0</v>
      </c>
      <c r="AG592" s="6">
        <f>IMABS(AD592)</f>
        <v>0</v>
      </c>
      <c r="AH592" s="7">
        <f>20*LOG10(MAX(AE592,1E-300)*1E6)</f>
        <v>0</v>
      </c>
      <c r="AI592" s="7">
        <f>20*LOG10(MAX(AF592,1E-300)*1E6)</f>
        <v>0</v>
      </c>
      <c r="AJ592" s="7">
        <f>20*LOG10(MAX(AG592,1E-300)*1E6)</f>
        <v>0</v>
      </c>
      <c r="AK592" s="7">
        <f>DEGREES(IMARGUMENT(AB592))</f>
        <v>0</v>
      </c>
      <c r="AL592" s="7">
        <f>DEGREES(IMARGUMENT(AC592))</f>
        <v>0</v>
      </c>
      <c r="AM592" s="7">
        <f>DEGREES(IMARGUMENT(AD592))</f>
        <v>0</v>
      </c>
    </row>
    <row r="593" spans="1:39">
      <c r="A593" s="6">
        <f>10^(LOG10(F_START)+(ROW()-ROW($A$2))*(LOG10(F_STOP)-LOG10(F_START))/(N_POINTS-1))</f>
        <v>0</v>
      </c>
      <c r="B593" s="6">
        <f>2*PI()*A593</f>
        <v>0</v>
      </c>
      <c r="C593">
        <f>COMPLEX(2*LINE_PS_DCR,2*B593*LINE_PS_L)</f>
        <v>0</v>
      </c>
      <c r="D593">
        <f>IMSUM(COMPLEX(0,B593*(LINE_PS_CLINE+LINE_PS_CCHA/2)),IMDIV("1",IMPRODUCT("2",COMPLEX(C_THROUGH_ESR,B593*C_THROUGH_ESL-1/(B593*C_THROUGH_C)))))</f>
        <v>0</v>
      </c>
      <c r="E593">
        <f>COMPLEX(2*LINE_INPUT_DCR,2*B593*LINE_INPUT_L)</f>
        <v>0</v>
      </c>
      <c r="F593">
        <f>COMPLEX(0,B593*(LINE_INPUT_CLINE+LINE_INPUT_CCHA/2))</f>
        <v>0</v>
      </c>
      <c r="G593">
        <f>IMPRODUCT("2",IMDIV("1",IMSUM(IMDIV("1",COMPLEX(LDM1_DCR,B593*LDM1_L)),COMPLEX(0,B593*LDM1_CPA))))</f>
        <v>0</v>
      </c>
      <c r="H593">
        <f>IMSUM(IMDIV("1",COMPLEX(CX1_ESR,B593*CX1_ESL-1/(B593*CX1_C))),IMDIV("1",IMSUM(COMPLEX(DUMP1_R,0),COMPLEX(DUMP1_ESR,B593*DUMP1_ESL-1/(B593*DUMP1_C)))))</f>
        <v>0</v>
      </c>
      <c r="I593">
        <f>IMPRODUCT("2",IMDIV("1",IMSUM(IMDIV("1",COMPLEX(LDM2_DCR,B593*LDM2_L)),COMPLEX(0,B593*LDM2_CPA))))</f>
        <v>0</v>
      </c>
      <c r="J593">
        <f>IMSUM(IMDIV("1",COMPLEX(CX2_ESR,B593*CX2_ESL-1/(B593*CX2_C))),IMDIV("1",IMSUM(COMPLEX(DUMP2_R,0),COMPLEX(DUMP2_ESR,B593*DUMP2_ESL-1/(B593*DUMP2_C)))))</f>
        <v>0</v>
      </c>
      <c r="K593">
        <f>IMPRODUCT("2",IMDIV("1",IMSUM(IMDIV("1",COMPLEX(CMC_DCR,B593*CMC_L*(1-CMC_K))),COMPLEX(0,B593*CMC_CPA))))</f>
        <v>0</v>
      </c>
      <c r="L593">
        <f>IMSUM(COMPLEX(0,B593*CMC_CLINE),IMDIV("1",IMPRODUCT("2",COMPLEX(CY_ESR,B593*CY_ESL-1/(B593*CY_C)))),COMPLEX(1/DUMMY_R,0))</f>
        <v>0</v>
      </c>
      <c r="M593">
        <f>IMSUM(D593,IMDIV("1",C593))</f>
        <v>0</v>
      </c>
      <c r="N593">
        <f>IMDIV("1",IMSUM(E593,IMDIV("1",M593)))</f>
        <v>0</v>
      </c>
      <c r="O593">
        <f>IMSUM(F593,N593)</f>
        <v>0</v>
      </c>
      <c r="P593">
        <f>IMDIV("1",IMSUM(G593,IMDIV("1",O593)))</f>
        <v>0</v>
      </c>
      <c r="Q593">
        <f>IMSUM(H593,P593)</f>
        <v>0</v>
      </c>
      <c r="R593">
        <f>IMDIV("1",IMSUM(I593,IMDIV("1",Q593)))</f>
        <v>0</v>
      </c>
      <c r="S593">
        <f>IMSUM(J593,R593)</f>
        <v>0</v>
      </c>
      <c r="T593">
        <f>IMDIV("1",IMSUM(K593,IMDIV("1",S593)))</f>
        <v>0</v>
      </c>
      <c r="U593">
        <f>IMSUM(L593,T593)</f>
        <v>0</v>
      </c>
      <c r="V593">
        <f>IMDIV(COMPLEX(I_DM_SOURCE,0),U593)</f>
        <v>0</v>
      </c>
      <c r="W593">
        <f>IMPRODUCT(V593,T593)</f>
        <v>0</v>
      </c>
      <c r="X593">
        <f>IMDIV(W593,S593)</f>
        <v>0</v>
      </c>
      <c r="Y593">
        <f>IMPRODUCT(X593,R593)</f>
        <v>0</v>
      </c>
      <c r="Z593">
        <f>IMDIV(Y593,Q593)</f>
        <v>0</v>
      </c>
      <c r="AA593">
        <f>IMPRODUCT(Z593,P593)</f>
        <v>0</v>
      </c>
      <c r="AB593">
        <f>AA593</f>
        <v>0</v>
      </c>
      <c r="AC593">
        <f>IMPRODUCT("-1",AB593)</f>
        <v>0</v>
      </c>
      <c r="AD593">
        <f>IMDIV(IMSUB(AB593,AC593),"2")</f>
        <v>0</v>
      </c>
      <c r="AE593" s="6">
        <f>IMABS(AB593)</f>
        <v>0</v>
      </c>
      <c r="AF593" s="6">
        <f>IMABS(AC593)</f>
        <v>0</v>
      </c>
      <c r="AG593" s="6">
        <f>IMABS(AD593)</f>
        <v>0</v>
      </c>
      <c r="AH593" s="7">
        <f>20*LOG10(MAX(AE593,1E-300)*1E6)</f>
        <v>0</v>
      </c>
      <c r="AI593" s="7">
        <f>20*LOG10(MAX(AF593,1E-300)*1E6)</f>
        <v>0</v>
      </c>
      <c r="AJ593" s="7">
        <f>20*LOG10(MAX(AG593,1E-300)*1E6)</f>
        <v>0</v>
      </c>
      <c r="AK593" s="7">
        <f>DEGREES(IMARGUMENT(AB593))</f>
        <v>0</v>
      </c>
      <c r="AL593" s="7">
        <f>DEGREES(IMARGUMENT(AC593))</f>
        <v>0</v>
      </c>
      <c r="AM593" s="7">
        <f>DEGREES(IMARGUMENT(AD593))</f>
        <v>0</v>
      </c>
    </row>
    <row r="594" spans="1:39">
      <c r="A594" s="6">
        <f>10^(LOG10(F_START)+(ROW()-ROW($A$2))*(LOG10(F_STOP)-LOG10(F_START))/(N_POINTS-1))</f>
        <v>0</v>
      </c>
      <c r="B594" s="6">
        <f>2*PI()*A594</f>
        <v>0</v>
      </c>
      <c r="C594">
        <f>COMPLEX(2*LINE_PS_DCR,2*B594*LINE_PS_L)</f>
        <v>0</v>
      </c>
      <c r="D594">
        <f>IMSUM(COMPLEX(0,B594*(LINE_PS_CLINE+LINE_PS_CCHA/2)),IMDIV("1",IMPRODUCT("2",COMPLEX(C_THROUGH_ESR,B594*C_THROUGH_ESL-1/(B594*C_THROUGH_C)))))</f>
        <v>0</v>
      </c>
      <c r="E594">
        <f>COMPLEX(2*LINE_INPUT_DCR,2*B594*LINE_INPUT_L)</f>
        <v>0</v>
      </c>
      <c r="F594">
        <f>COMPLEX(0,B594*(LINE_INPUT_CLINE+LINE_INPUT_CCHA/2))</f>
        <v>0</v>
      </c>
      <c r="G594">
        <f>IMPRODUCT("2",IMDIV("1",IMSUM(IMDIV("1",COMPLEX(LDM1_DCR,B594*LDM1_L)),COMPLEX(0,B594*LDM1_CPA))))</f>
        <v>0</v>
      </c>
      <c r="H594">
        <f>IMSUM(IMDIV("1",COMPLEX(CX1_ESR,B594*CX1_ESL-1/(B594*CX1_C))),IMDIV("1",IMSUM(COMPLEX(DUMP1_R,0),COMPLEX(DUMP1_ESR,B594*DUMP1_ESL-1/(B594*DUMP1_C)))))</f>
        <v>0</v>
      </c>
      <c r="I594">
        <f>IMPRODUCT("2",IMDIV("1",IMSUM(IMDIV("1",COMPLEX(LDM2_DCR,B594*LDM2_L)),COMPLEX(0,B594*LDM2_CPA))))</f>
        <v>0</v>
      </c>
      <c r="J594">
        <f>IMSUM(IMDIV("1",COMPLEX(CX2_ESR,B594*CX2_ESL-1/(B594*CX2_C))),IMDIV("1",IMSUM(COMPLEX(DUMP2_R,0),COMPLEX(DUMP2_ESR,B594*DUMP2_ESL-1/(B594*DUMP2_C)))))</f>
        <v>0</v>
      </c>
      <c r="K594">
        <f>IMPRODUCT("2",IMDIV("1",IMSUM(IMDIV("1",COMPLEX(CMC_DCR,B594*CMC_L*(1-CMC_K))),COMPLEX(0,B594*CMC_CPA))))</f>
        <v>0</v>
      </c>
      <c r="L594">
        <f>IMSUM(COMPLEX(0,B594*CMC_CLINE),IMDIV("1",IMPRODUCT("2",COMPLEX(CY_ESR,B594*CY_ESL-1/(B594*CY_C)))),COMPLEX(1/DUMMY_R,0))</f>
        <v>0</v>
      </c>
      <c r="M594">
        <f>IMSUM(D594,IMDIV("1",C594))</f>
        <v>0</v>
      </c>
      <c r="N594">
        <f>IMDIV("1",IMSUM(E594,IMDIV("1",M594)))</f>
        <v>0</v>
      </c>
      <c r="O594">
        <f>IMSUM(F594,N594)</f>
        <v>0</v>
      </c>
      <c r="P594">
        <f>IMDIV("1",IMSUM(G594,IMDIV("1",O594)))</f>
        <v>0</v>
      </c>
      <c r="Q594">
        <f>IMSUM(H594,P594)</f>
        <v>0</v>
      </c>
      <c r="R594">
        <f>IMDIV("1",IMSUM(I594,IMDIV("1",Q594)))</f>
        <v>0</v>
      </c>
      <c r="S594">
        <f>IMSUM(J594,R594)</f>
        <v>0</v>
      </c>
      <c r="T594">
        <f>IMDIV("1",IMSUM(K594,IMDIV("1",S594)))</f>
        <v>0</v>
      </c>
      <c r="U594">
        <f>IMSUM(L594,T594)</f>
        <v>0</v>
      </c>
      <c r="V594">
        <f>IMDIV(COMPLEX(I_DM_SOURCE,0),U594)</f>
        <v>0</v>
      </c>
      <c r="W594">
        <f>IMPRODUCT(V594,T594)</f>
        <v>0</v>
      </c>
      <c r="X594">
        <f>IMDIV(W594,S594)</f>
        <v>0</v>
      </c>
      <c r="Y594">
        <f>IMPRODUCT(X594,R594)</f>
        <v>0</v>
      </c>
      <c r="Z594">
        <f>IMDIV(Y594,Q594)</f>
        <v>0</v>
      </c>
      <c r="AA594">
        <f>IMPRODUCT(Z594,P594)</f>
        <v>0</v>
      </c>
      <c r="AB594">
        <f>AA594</f>
        <v>0</v>
      </c>
      <c r="AC594">
        <f>IMPRODUCT("-1",AB594)</f>
        <v>0</v>
      </c>
      <c r="AD594">
        <f>IMDIV(IMSUB(AB594,AC594),"2")</f>
        <v>0</v>
      </c>
      <c r="AE594" s="6">
        <f>IMABS(AB594)</f>
        <v>0</v>
      </c>
      <c r="AF594" s="6">
        <f>IMABS(AC594)</f>
        <v>0</v>
      </c>
      <c r="AG594" s="6">
        <f>IMABS(AD594)</f>
        <v>0</v>
      </c>
      <c r="AH594" s="7">
        <f>20*LOG10(MAX(AE594,1E-300)*1E6)</f>
        <v>0</v>
      </c>
      <c r="AI594" s="7">
        <f>20*LOG10(MAX(AF594,1E-300)*1E6)</f>
        <v>0</v>
      </c>
      <c r="AJ594" s="7">
        <f>20*LOG10(MAX(AG594,1E-300)*1E6)</f>
        <v>0</v>
      </c>
      <c r="AK594" s="7">
        <f>DEGREES(IMARGUMENT(AB594))</f>
        <v>0</v>
      </c>
      <c r="AL594" s="7">
        <f>DEGREES(IMARGUMENT(AC594))</f>
        <v>0</v>
      </c>
      <c r="AM594" s="7">
        <f>DEGREES(IMARGUMENT(AD594))</f>
        <v>0</v>
      </c>
    </row>
    <row r="595" spans="1:39">
      <c r="A595" s="6">
        <f>10^(LOG10(F_START)+(ROW()-ROW($A$2))*(LOG10(F_STOP)-LOG10(F_START))/(N_POINTS-1))</f>
        <v>0</v>
      </c>
      <c r="B595" s="6">
        <f>2*PI()*A595</f>
        <v>0</v>
      </c>
      <c r="C595">
        <f>COMPLEX(2*LINE_PS_DCR,2*B595*LINE_PS_L)</f>
        <v>0</v>
      </c>
      <c r="D595">
        <f>IMSUM(COMPLEX(0,B595*(LINE_PS_CLINE+LINE_PS_CCHA/2)),IMDIV("1",IMPRODUCT("2",COMPLEX(C_THROUGH_ESR,B595*C_THROUGH_ESL-1/(B595*C_THROUGH_C)))))</f>
        <v>0</v>
      </c>
      <c r="E595">
        <f>COMPLEX(2*LINE_INPUT_DCR,2*B595*LINE_INPUT_L)</f>
        <v>0</v>
      </c>
      <c r="F595">
        <f>COMPLEX(0,B595*(LINE_INPUT_CLINE+LINE_INPUT_CCHA/2))</f>
        <v>0</v>
      </c>
      <c r="G595">
        <f>IMPRODUCT("2",IMDIV("1",IMSUM(IMDIV("1",COMPLEX(LDM1_DCR,B595*LDM1_L)),COMPLEX(0,B595*LDM1_CPA))))</f>
        <v>0</v>
      </c>
      <c r="H595">
        <f>IMSUM(IMDIV("1",COMPLEX(CX1_ESR,B595*CX1_ESL-1/(B595*CX1_C))),IMDIV("1",IMSUM(COMPLEX(DUMP1_R,0),COMPLEX(DUMP1_ESR,B595*DUMP1_ESL-1/(B595*DUMP1_C)))))</f>
        <v>0</v>
      </c>
      <c r="I595">
        <f>IMPRODUCT("2",IMDIV("1",IMSUM(IMDIV("1",COMPLEX(LDM2_DCR,B595*LDM2_L)),COMPLEX(0,B595*LDM2_CPA))))</f>
        <v>0</v>
      </c>
      <c r="J595">
        <f>IMSUM(IMDIV("1",COMPLEX(CX2_ESR,B595*CX2_ESL-1/(B595*CX2_C))),IMDIV("1",IMSUM(COMPLEX(DUMP2_R,0),COMPLEX(DUMP2_ESR,B595*DUMP2_ESL-1/(B595*DUMP2_C)))))</f>
        <v>0</v>
      </c>
      <c r="K595">
        <f>IMPRODUCT("2",IMDIV("1",IMSUM(IMDIV("1",COMPLEX(CMC_DCR,B595*CMC_L*(1-CMC_K))),COMPLEX(0,B595*CMC_CPA))))</f>
        <v>0</v>
      </c>
      <c r="L595">
        <f>IMSUM(COMPLEX(0,B595*CMC_CLINE),IMDIV("1",IMPRODUCT("2",COMPLEX(CY_ESR,B595*CY_ESL-1/(B595*CY_C)))),COMPLEX(1/DUMMY_R,0))</f>
        <v>0</v>
      </c>
      <c r="M595">
        <f>IMSUM(D595,IMDIV("1",C595))</f>
        <v>0</v>
      </c>
      <c r="N595">
        <f>IMDIV("1",IMSUM(E595,IMDIV("1",M595)))</f>
        <v>0</v>
      </c>
      <c r="O595">
        <f>IMSUM(F595,N595)</f>
        <v>0</v>
      </c>
      <c r="P595">
        <f>IMDIV("1",IMSUM(G595,IMDIV("1",O595)))</f>
        <v>0</v>
      </c>
      <c r="Q595">
        <f>IMSUM(H595,P595)</f>
        <v>0</v>
      </c>
      <c r="R595">
        <f>IMDIV("1",IMSUM(I595,IMDIV("1",Q595)))</f>
        <v>0</v>
      </c>
      <c r="S595">
        <f>IMSUM(J595,R595)</f>
        <v>0</v>
      </c>
      <c r="T595">
        <f>IMDIV("1",IMSUM(K595,IMDIV("1",S595)))</f>
        <v>0</v>
      </c>
      <c r="U595">
        <f>IMSUM(L595,T595)</f>
        <v>0</v>
      </c>
      <c r="V595">
        <f>IMDIV(COMPLEX(I_DM_SOURCE,0),U595)</f>
        <v>0</v>
      </c>
      <c r="W595">
        <f>IMPRODUCT(V595,T595)</f>
        <v>0</v>
      </c>
      <c r="X595">
        <f>IMDIV(W595,S595)</f>
        <v>0</v>
      </c>
      <c r="Y595">
        <f>IMPRODUCT(X595,R595)</f>
        <v>0</v>
      </c>
      <c r="Z595">
        <f>IMDIV(Y595,Q595)</f>
        <v>0</v>
      </c>
      <c r="AA595">
        <f>IMPRODUCT(Z595,P595)</f>
        <v>0</v>
      </c>
      <c r="AB595">
        <f>AA595</f>
        <v>0</v>
      </c>
      <c r="AC595">
        <f>IMPRODUCT("-1",AB595)</f>
        <v>0</v>
      </c>
      <c r="AD595">
        <f>IMDIV(IMSUB(AB595,AC595),"2")</f>
        <v>0</v>
      </c>
      <c r="AE595" s="6">
        <f>IMABS(AB595)</f>
        <v>0</v>
      </c>
      <c r="AF595" s="6">
        <f>IMABS(AC595)</f>
        <v>0</v>
      </c>
      <c r="AG595" s="6">
        <f>IMABS(AD595)</f>
        <v>0</v>
      </c>
      <c r="AH595" s="7">
        <f>20*LOG10(MAX(AE595,1E-300)*1E6)</f>
        <v>0</v>
      </c>
      <c r="AI595" s="7">
        <f>20*LOG10(MAX(AF595,1E-300)*1E6)</f>
        <v>0</v>
      </c>
      <c r="AJ595" s="7">
        <f>20*LOG10(MAX(AG595,1E-300)*1E6)</f>
        <v>0</v>
      </c>
      <c r="AK595" s="7">
        <f>DEGREES(IMARGUMENT(AB595))</f>
        <v>0</v>
      </c>
      <c r="AL595" s="7">
        <f>DEGREES(IMARGUMENT(AC595))</f>
        <v>0</v>
      </c>
      <c r="AM595" s="7">
        <f>DEGREES(IMARGUMENT(AD595))</f>
        <v>0</v>
      </c>
    </row>
    <row r="596" spans="1:39">
      <c r="A596" s="6">
        <f>10^(LOG10(F_START)+(ROW()-ROW($A$2))*(LOG10(F_STOP)-LOG10(F_START))/(N_POINTS-1))</f>
        <v>0</v>
      </c>
      <c r="B596" s="6">
        <f>2*PI()*A596</f>
        <v>0</v>
      </c>
      <c r="C596">
        <f>COMPLEX(2*LINE_PS_DCR,2*B596*LINE_PS_L)</f>
        <v>0</v>
      </c>
      <c r="D596">
        <f>IMSUM(COMPLEX(0,B596*(LINE_PS_CLINE+LINE_PS_CCHA/2)),IMDIV("1",IMPRODUCT("2",COMPLEX(C_THROUGH_ESR,B596*C_THROUGH_ESL-1/(B596*C_THROUGH_C)))))</f>
        <v>0</v>
      </c>
      <c r="E596">
        <f>COMPLEX(2*LINE_INPUT_DCR,2*B596*LINE_INPUT_L)</f>
        <v>0</v>
      </c>
      <c r="F596">
        <f>COMPLEX(0,B596*(LINE_INPUT_CLINE+LINE_INPUT_CCHA/2))</f>
        <v>0</v>
      </c>
      <c r="G596">
        <f>IMPRODUCT("2",IMDIV("1",IMSUM(IMDIV("1",COMPLEX(LDM1_DCR,B596*LDM1_L)),COMPLEX(0,B596*LDM1_CPA))))</f>
        <v>0</v>
      </c>
      <c r="H596">
        <f>IMSUM(IMDIV("1",COMPLEX(CX1_ESR,B596*CX1_ESL-1/(B596*CX1_C))),IMDIV("1",IMSUM(COMPLEX(DUMP1_R,0),COMPLEX(DUMP1_ESR,B596*DUMP1_ESL-1/(B596*DUMP1_C)))))</f>
        <v>0</v>
      </c>
      <c r="I596">
        <f>IMPRODUCT("2",IMDIV("1",IMSUM(IMDIV("1",COMPLEX(LDM2_DCR,B596*LDM2_L)),COMPLEX(0,B596*LDM2_CPA))))</f>
        <v>0</v>
      </c>
      <c r="J596">
        <f>IMSUM(IMDIV("1",COMPLEX(CX2_ESR,B596*CX2_ESL-1/(B596*CX2_C))),IMDIV("1",IMSUM(COMPLEX(DUMP2_R,0),COMPLEX(DUMP2_ESR,B596*DUMP2_ESL-1/(B596*DUMP2_C)))))</f>
        <v>0</v>
      </c>
      <c r="K596">
        <f>IMPRODUCT("2",IMDIV("1",IMSUM(IMDIV("1",COMPLEX(CMC_DCR,B596*CMC_L*(1-CMC_K))),COMPLEX(0,B596*CMC_CPA))))</f>
        <v>0</v>
      </c>
      <c r="L596">
        <f>IMSUM(COMPLEX(0,B596*CMC_CLINE),IMDIV("1",IMPRODUCT("2",COMPLEX(CY_ESR,B596*CY_ESL-1/(B596*CY_C)))),COMPLEX(1/DUMMY_R,0))</f>
        <v>0</v>
      </c>
      <c r="M596">
        <f>IMSUM(D596,IMDIV("1",C596))</f>
        <v>0</v>
      </c>
      <c r="N596">
        <f>IMDIV("1",IMSUM(E596,IMDIV("1",M596)))</f>
        <v>0</v>
      </c>
      <c r="O596">
        <f>IMSUM(F596,N596)</f>
        <v>0</v>
      </c>
      <c r="P596">
        <f>IMDIV("1",IMSUM(G596,IMDIV("1",O596)))</f>
        <v>0</v>
      </c>
      <c r="Q596">
        <f>IMSUM(H596,P596)</f>
        <v>0</v>
      </c>
      <c r="R596">
        <f>IMDIV("1",IMSUM(I596,IMDIV("1",Q596)))</f>
        <v>0</v>
      </c>
      <c r="S596">
        <f>IMSUM(J596,R596)</f>
        <v>0</v>
      </c>
      <c r="T596">
        <f>IMDIV("1",IMSUM(K596,IMDIV("1",S596)))</f>
        <v>0</v>
      </c>
      <c r="U596">
        <f>IMSUM(L596,T596)</f>
        <v>0</v>
      </c>
      <c r="V596">
        <f>IMDIV(COMPLEX(I_DM_SOURCE,0),U596)</f>
        <v>0</v>
      </c>
      <c r="W596">
        <f>IMPRODUCT(V596,T596)</f>
        <v>0</v>
      </c>
      <c r="X596">
        <f>IMDIV(W596,S596)</f>
        <v>0</v>
      </c>
      <c r="Y596">
        <f>IMPRODUCT(X596,R596)</f>
        <v>0</v>
      </c>
      <c r="Z596">
        <f>IMDIV(Y596,Q596)</f>
        <v>0</v>
      </c>
      <c r="AA596">
        <f>IMPRODUCT(Z596,P596)</f>
        <v>0</v>
      </c>
      <c r="AB596">
        <f>AA596</f>
        <v>0</v>
      </c>
      <c r="AC596">
        <f>IMPRODUCT("-1",AB596)</f>
        <v>0</v>
      </c>
      <c r="AD596">
        <f>IMDIV(IMSUB(AB596,AC596),"2")</f>
        <v>0</v>
      </c>
      <c r="AE596" s="6">
        <f>IMABS(AB596)</f>
        <v>0</v>
      </c>
      <c r="AF596" s="6">
        <f>IMABS(AC596)</f>
        <v>0</v>
      </c>
      <c r="AG596" s="6">
        <f>IMABS(AD596)</f>
        <v>0</v>
      </c>
      <c r="AH596" s="7">
        <f>20*LOG10(MAX(AE596,1E-300)*1E6)</f>
        <v>0</v>
      </c>
      <c r="AI596" s="7">
        <f>20*LOG10(MAX(AF596,1E-300)*1E6)</f>
        <v>0</v>
      </c>
      <c r="AJ596" s="7">
        <f>20*LOG10(MAX(AG596,1E-300)*1E6)</f>
        <v>0</v>
      </c>
      <c r="AK596" s="7">
        <f>DEGREES(IMARGUMENT(AB596))</f>
        <v>0</v>
      </c>
      <c r="AL596" s="7">
        <f>DEGREES(IMARGUMENT(AC596))</f>
        <v>0</v>
      </c>
      <c r="AM596" s="7">
        <f>DEGREES(IMARGUMENT(AD596))</f>
        <v>0</v>
      </c>
    </row>
    <row r="597" spans="1:39">
      <c r="A597" s="6">
        <f>10^(LOG10(F_START)+(ROW()-ROW($A$2))*(LOG10(F_STOP)-LOG10(F_START))/(N_POINTS-1))</f>
        <v>0</v>
      </c>
      <c r="B597" s="6">
        <f>2*PI()*A597</f>
        <v>0</v>
      </c>
      <c r="C597">
        <f>COMPLEX(2*LINE_PS_DCR,2*B597*LINE_PS_L)</f>
        <v>0</v>
      </c>
      <c r="D597">
        <f>IMSUM(COMPLEX(0,B597*(LINE_PS_CLINE+LINE_PS_CCHA/2)),IMDIV("1",IMPRODUCT("2",COMPLEX(C_THROUGH_ESR,B597*C_THROUGH_ESL-1/(B597*C_THROUGH_C)))))</f>
        <v>0</v>
      </c>
      <c r="E597">
        <f>COMPLEX(2*LINE_INPUT_DCR,2*B597*LINE_INPUT_L)</f>
        <v>0</v>
      </c>
      <c r="F597">
        <f>COMPLEX(0,B597*(LINE_INPUT_CLINE+LINE_INPUT_CCHA/2))</f>
        <v>0</v>
      </c>
      <c r="G597">
        <f>IMPRODUCT("2",IMDIV("1",IMSUM(IMDIV("1",COMPLEX(LDM1_DCR,B597*LDM1_L)),COMPLEX(0,B597*LDM1_CPA))))</f>
        <v>0</v>
      </c>
      <c r="H597">
        <f>IMSUM(IMDIV("1",COMPLEX(CX1_ESR,B597*CX1_ESL-1/(B597*CX1_C))),IMDIV("1",IMSUM(COMPLEX(DUMP1_R,0),COMPLEX(DUMP1_ESR,B597*DUMP1_ESL-1/(B597*DUMP1_C)))))</f>
        <v>0</v>
      </c>
      <c r="I597">
        <f>IMPRODUCT("2",IMDIV("1",IMSUM(IMDIV("1",COMPLEX(LDM2_DCR,B597*LDM2_L)),COMPLEX(0,B597*LDM2_CPA))))</f>
        <v>0</v>
      </c>
      <c r="J597">
        <f>IMSUM(IMDIV("1",COMPLEX(CX2_ESR,B597*CX2_ESL-1/(B597*CX2_C))),IMDIV("1",IMSUM(COMPLEX(DUMP2_R,0),COMPLEX(DUMP2_ESR,B597*DUMP2_ESL-1/(B597*DUMP2_C)))))</f>
        <v>0</v>
      </c>
      <c r="K597">
        <f>IMPRODUCT("2",IMDIV("1",IMSUM(IMDIV("1",COMPLEX(CMC_DCR,B597*CMC_L*(1-CMC_K))),COMPLEX(0,B597*CMC_CPA))))</f>
        <v>0</v>
      </c>
      <c r="L597">
        <f>IMSUM(COMPLEX(0,B597*CMC_CLINE),IMDIV("1",IMPRODUCT("2",COMPLEX(CY_ESR,B597*CY_ESL-1/(B597*CY_C)))),COMPLEX(1/DUMMY_R,0))</f>
        <v>0</v>
      </c>
      <c r="M597">
        <f>IMSUM(D597,IMDIV("1",C597))</f>
        <v>0</v>
      </c>
      <c r="N597">
        <f>IMDIV("1",IMSUM(E597,IMDIV("1",M597)))</f>
        <v>0</v>
      </c>
      <c r="O597">
        <f>IMSUM(F597,N597)</f>
        <v>0</v>
      </c>
      <c r="P597">
        <f>IMDIV("1",IMSUM(G597,IMDIV("1",O597)))</f>
        <v>0</v>
      </c>
      <c r="Q597">
        <f>IMSUM(H597,P597)</f>
        <v>0</v>
      </c>
      <c r="R597">
        <f>IMDIV("1",IMSUM(I597,IMDIV("1",Q597)))</f>
        <v>0</v>
      </c>
      <c r="S597">
        <f>IMSUM(J597,R597)</f>
        <v>0</v>
      </c>
      <c r="T597">
        <f>IMDIV("1",IMSUM(K597,IMDIV("1",S597)))</f>
        <v>0</v>
      </c>
      <c r="U597">
        <f>IMSUM(L597,T597)</f>
        <v>0</v>
      </c>
      <c r="V597">
        <f>IMDIV(COMPLEX(I_DM_SOURCE,0),U597)</f>
        <v>0</v>
      </c>
      <c r="W597">
        <f>IMPRODUCT(V597,T597)</f>
        <v>0</v>
      </c>
      <c r="X597">
        <f>IMDIV(W597,S597)</f>
        <v>0</v>
      </c>
      <c r="Y597">
        <f>IMPRODUCT(X597,R597)</f>
        <v>0</v>
      </c>
      <c r="Z597">
        <f>IMDIV(Y597,Q597)</f>
        <v>0</v>
      </c>
      <c r="AA597">
        <f>IMPRODUCT(Z597,P597)</f>
        <v>0</v>
      </c>
      <c r="AB597">
        <f>AA597</f>
        <v>0</v>
      </c>
      <c r="AC597">
        <f>IMPRODUCT("-1",AB597)</f>
        <v>0</v>
      </c>
      <c r="AD597">
        <f>IMDIV(IMSUB(AB597,AC597),"2")</f>
        <v>0</v>
      </c>
      <c r="AE597" s="6">
        <f>IMABS(AB597)</f>
        <v>0</v>
      </c>
      <c r="AF597" s="6">
        <f>IMABS(AC597)</f>
        <v>0</v>
      </c>
      <c r="AG597" s="6">
        <f>IMABS(AD597)</f>
        <v>0</v>
      </c>
      <c r="AH597" s="7">
        <f>20*LOG10(MAX(AE597,1E-300)*1E6)</f>
        <v>0</v>
      </c>
      <c r="AI597" s="7">
        <f>20*LOG10(MAX(AF597,1E-300)*1E6)</f>
        <v>0</v>
      </c>
      <c r="AJ597" s="7">
        <f>20*LOG10(MAX(AG597,1E-300)*1E6)</f>
        <v>0</v>
      </c>
      <c r="AK597" s="7">
        <f>DEGREES(IMARGUMENT(AB597))</f>
        <v>0</v>
      </c>
      <c r="AL597" s="7">
        <f>DEGREES(IMARGUMENT(AC597))</f>
        <v>0</v>
      </c>
      <c r="AM597" s="7">
        <f>DEGREES(IMARGUMENT(AD597))</f>
        <v>0</v>
      </c>
    </row>
    <row r="598" spans="1:39">
      <c r="A598" s="6">
        <f>10^(LOG10(F_START)+(ROW()-ROW($A$2))*(LOG10(F_STOP)-LOG10(F_START))/(N_POINTS-1))</f>
        <v>0</v>
      </c>
      <c r="B598" s="6">
        <f>2*PI()*A598</f>
        <v>0</v>
      </c>
      <c r="C598">
        <f>COMPLEX(2*LINE_PS_DCR,2*B598*LINE_PS_L)</f>
        <v>0</v>
      </c>
      <c r="D598">
        <f>IMSUM(COMPLEX(0,B598*(LINE_PS_CLINE+LINE_PS_CCHA/2)),IMDIV("1",IMPRODUCT("2",COMPLEX(C_THROUGH_ESR,B598*C_THROUGH_ESL-1/(B598*C_THROUGH_C)))))</f>
        <v>0</v>
      </c>
      <c r="E598">
        <f>COMPLEX(2*LINE_INPUT_DCR,2*B598*LINE_INPUT_L)</f>
        <v>0</v>
      </c>
      <c r="F598">
        <f>COMPLEX(0,B598*(LINE_INPUT_CLINE+LINE_INPUT_CCHA/2))</f>
        <v>0</v>
      </c>
      <c r="G598">
        <f>IMPRODUCT("2",IMDIV("1",IMSUM(IMDIV("1",COMPLEX(LDM1_DCR,B598*LDM1_L)),COMPLEX(0,B598*LDM1_CPA))))</f>
        <v>0</v>
      </c>
      <c r="H598">
        <f>IMSUM(IMDIV("1",COMPLEX(CX1_ESR,B598*CX1_ESL-1/(B598*CX1_C))),IMDIV("1",IMSUM(COMPLEX(DUMP1_R,0),COMPLEX(DUMP1_ESR,B598*DUMP1_ESL-1/(B598*DUMP1_C)))))</f>
        <v>0</v>
      </c>
      <c r="I598">
        <f>IMPRODUCT("2",IMDIV("1",IMSUM(IMDIV("1",COMPLEX(LDM2_DCR,B598*LDM2_L)),COMPLEX(0,B598*LDM2_CPA))))</f>
        <v>0</v>
      </c>
      <c r="J598">
        <f>IMSUM(IMDIV("1",COMPLEX(CX2_ESR,B598*CX2_ESL-1/(B598*CX2_C))),IMDIV("1",IMSUM(COMPLEX(DUMP2_R,0),COMPLEX(DUMP2_ESR,B598*DUMP2_ESL-1/(B598*DUMP2_C)))))</f>
        <v>0</v>
      </c>
      <c r="K598">
        <f>IMPRODUCT("2",IMDIV("1",IMSUM(IMDIV("1",COMPLEX(CMC_DCR,B598*CMC_L*(1-CMC_K))),COMPLEX(0,B598*CMC_CPA))))</f>
        <v>0</v>
      </c>
      <c r="L598">
        <f>IMSUM(COMPLEX(0,B598*CMC_CLINE),IMDIV("1",IMPRODUCT("2",COMPLEX(CY_ESR,B598*CY_ESL-1/(B598*CY_C)))),COMPLEX(1/DUMMY_R,0))</f>
        <v>0</v>
      </c>
      <c r="M598">
        <f>IMSUM(D598,IMDIV("1",C598))</f>
        <v>0</v>
      </c>
      <c r="N598">
        <f>IMDIV("1",IMSUM(E598,IMDIV("1",M598)))</f>
        <v>0</v>
      </c>
      <c r="O598">
        <f>IMSUM(F598,N598)</f>
        <v>0</v>
      </c>
      <c r="P598">
        <f>IMDIV("1",IMSUM(G598,IMDIV("1",O598)))</f>
        <v>0</v>
      </c>
      <c r="Q598">
        <f>IMSUM(H598,P598)</f>
        <v>0</v>
      </c>
      <c r="R598">
        <f>IMDIV("1",IMSUM(I598,IMDIV("1",Q598)))</f>
        <v>0</v>
      </c>
      <c r="S598">
        <f>IMSUM(J598,R598)</f>
        <v>0</v>
      </c>
      <c r="T598">
        <f>IMDIV("1",IMSUM(K598,IMDIV("1",S598)))</f>
        <v>0</v>
      </c>
      <c r="U598">
        <f>IMSUM(L598,T598)</f>
        <v>0</v>
      </c>
      <c r="V598">
        <f>IMDIV(COMPLEX(I_DM_SOURCE,0),U598)</f>
        <v>0</v>
      </c>
      <c r="W598">
        <f>IMPRODUCT(V598,T598)</f>
        <v>0</v>
      </c>
      <c r="X598">
        <f>IMDIV(W598,S598)</f>
        <v>0</v>
      </c>
      <c r="Y598">
        <f>IMPRODUCT(X598,R598)</f>
        <v>0</v>
      </c>
      <c r="Z598">
        <f>IMDIV(Y598,Q598)</f>
        <v>0</v>
      </c>
      <c r="AA598">
        <f>IMPRODUCT(Z598,P598)</f>
        <v>0</v>
      </c>
      <c r="AB598">
        <f>AA598</f>
        <v>0</v>
      </c>
      <c r="AC598">
        <f>IMPRODUCT("-1",AB598)</f>
        <v>0</v>
      </c>
      <c r="AD598">
        <f>IMDIV(IMSUB(AB598,AC598),"2")</f>
        <v>0</v>
      </c>
      <c r="AE598" s="6">
        <f>IMABS(AB598)</f>
        <v>0</v>
      </c>
      <c r="AF598" s="6">
        <f>IMABS(AC598)</f>
        <v>0</v>
      </c>
      <c r="AG598" s="6">
        <f>IMABS(AD598)</f>
        <v>0</v>
      </c>
      <c r="AH598" s="7">
        <f>20*LOG10(MAX(AE598,1E-300)*1E6)</f>
        <v>0</v>
      </c>
      <c r="AI598" s="7">
        <f>20*LOG10(MAX(AF598,1E-300)*1E6)</f>
        <v>0</v>
      </c>
      <c r="AJ598" s="7">
        <f>20*LOG10(MAX(AG598,1E-300)*1E6)</f>
        <v>0</v>
      </c>
      <c r="AK598" s="7">
        <f>DEGREES(IMARGUMENT(AB598))</f>
        <v>0</v>
      </c>
      <c r="AL598" s="7">
        <f>DEGREES(IMARGUMENT(AC598))</f>
        <v>0</v>
      </c>
      <c r="AM598" s="7">
        <f>DEGREES(IMARGUMENT(AD598))</f>
        <v>0</v>
      </c>
    </row>
    <row r="599" spans="1:39">
      <c r="A599" s="6">
        <f>10^(LOG10(F_START)+(ROW()-ROW($A$2))*(LOG10(F_STOP)-LOG10(F_START))/(N_POINTS-1))</f>
        <v>0</v>
      </c>
      <c r="B599" s="6">
        <f>2*PI()*A599</f>
        <v>0</v>
      </c>
      <c r="C599">
        <f>COMPLEX(2*LINE_PS_DCR,2*B599*LINE_PS_L)</f>
        <v>0</v>
      </c>
      <c r="D599">
        <f>IMSUM(COMPLEX(0,B599*(LINE_PS_CLINE+LINE_PS_CCHA/2)),IMDIV("1",IMPRODUCT("2",COMPLEX(C_THROUGH_ESR,B599*C_THROUGH_ESL-1/(B599*C_THROUGH_C)))))</f>
        <v>0</v>
      </c>
      <c r="E599">
        <f>COMPLEX(2*LINE_INPUT_DCR,2*B599*LINE_INPUT_L)</f>
        <v>0</v>
      </c>
      <c r="F599">
        <f>COMPLEX(0,B599*(LINE_INPUT_CLINE+LINE_INPUT_CCHA/2))</f>
        <v>0</v>
      </c>
      <c r="G599">
        <f>IMPRODUCT("2",IMDIV("1",IMSUM(IMDIV("1",COMPLEX(LDM1_DCR,B599*LDM1_L)),COMPLEX(0,B599*LDM1_CPA))))</f>
        <v>0</v>
      </c>
      <c r="H599">
        <f>IMSUM(IMDIV("1",COMPLEX(CX1_ESR,B599*CX1_ESL-1/(B599*CX1_C))),IMDIV("1",IMSUM(COMPLEX(DUMP1_R,0),COMPLEX(DUMP1_ESR,B599*DUMP1_ESL-1/(B599*DUMP1_C)))))</f>
        <v>0</v>
      </c>
      <c r="I599">
        <f>IMPRODUCT("2",IMDIV("1",IMSUM(IMDIV("1",COMPLEX(LDM2_DCR,B599*LDM2_L)),COMPLEX(0,B599*LDM2_CPA))))</f>
        <v>0</v>
      </c>
      <c r="J599">
        <f>IMSUM(IMDIV("1",COMPLEX(CX2_ESR,B599*CX2_ESL-1/(B599*CX2_C))),IMDIV("1",IMSUM(COMPLEX(DUMP2_R,0),COMPLEX(DUMP2_ESR,B599*DUMP2_ESL-1/(B599*DUMP2_C)))))</f>
        <v>0</v>
      </c>
      <c r="K599">
        <f>IMPRODUCT("2",IMDIV("1",IMSUM(IMDIV("1",COMPLEX(CMC_DCR,B599*CMC_L*(1-CMC_K))),COMPLEX(0,B599*CMC_CPA))))</f>
        <v>0</v>
      </c>
      <c r="L599">
        <f>IMSUM(COMPLEX(0,B599*CMC_CLINE),IMDIV("1",IMPRODUCT("2",COMPLEX(CY_ESR,B599*CY_ESL-1/(B599*CY_C)))),COMPLEX(1/DUMMY_R,0))</f>
        <v>0</v>
      </c>
      <c r="M599">
        <f>IMSUM(D599,IMDIV("1",C599))</f>
        <v>0</v>
      </c>
      <c r="N599">
        <f>IMDIV("1",IMSUM(E599,IMDIV("1",M599)))</f>
        <v>0</v>
      </c>
      <c r="O599">
        <f>IMSUM(F599,N599)</f>
        <v>0</v>
      </c>
      <c r="P599">
        <f>IMDIV("1",IMSUM(G599,IMDIV("1",O599)))</f>
        <v>0</v>
      </c>
      <c r="Q599">
        <f>IMSUM(H599,P599)</f>
        <v>0</v>
      </c>
      <c r="R599">
        <f>IMDIV("1",IMSUM(I599,IMDIV("1",Q599)))</f>
        <v>0</v>
      </c>
      <c r="S599">
        <f>IMSUM(J599,R599)</f>
        <v>0</v>
      </c>
      <c r="T599">
        <f>IMDIV("1",IMSUM(K599,IMDIV("1",S599)))</f>
        <v>0</v>
      </c>
      <c r="U599">
        <f>IMSUM(L599,T599)</f>
        <v>0</v>
      </c>
      <c r="V599">
        <f>IMDIV(COMPLEX(I_DM_SOURCE,0),U599)</f>
        <v>0</v>
      </c>
      <c r="W599">
        <f>IMPRODUCT(V599,T599)</f>
        <v>0</v>
      </c>
      <c r="X599">
        <f>IMDIV(W599,S599)</f>
        <v>0</v>
      </c>
      <c r="Y599">
        <f>IMPRODUCT(X599,R599)</f>
        <v>0</v>
      </c>
      <c r="Z599">
        <f>IMDIV(Y599,Q599)</f>
        <v>0</v>
      </c>
      <c r="AA599">
        <f>IMPRODUCT(Z599,P599)</f>
        <v>0</v>
      </c>
      <c r="AB599">
        <f>AA599</f>
        <v>0</v>
      </c>
      <c r="AC599">
        <f>IMPRODUCT("-1",AB599)</f>
        <v>0</v>
      </c>
      <c r="AD599">
        <f>IMDIV(IMSUB(AB599,AC599),"2")</f>
        <v>0</v>
      </c>
      <c r="AE599" s="6">
        <f>IMABS(AB599)</f>
        <v>0</v>
      </c>
      <c r="AF599" s="6">
        <f>IMABS(AC599)</f>
        <v>0</v>
      </c>
      <c r="AG599" s="6">
        <f>IMABS(AD599)</f>
        <v>0</v>
      </c>
      <c r="AH599" s="7">
        <f>20*LOG10(MAX(AE599,1E-300)*1E6)</f>
        <v>0</v>
      </c>
      <c r="AI599" s="7">
        <f>20*LOG10(MAX(AF599,1E-300)*1E6)</f>
        <v>0</v>
      </c>
      <c r="AJ599" s="7">
        <f>20*LOG10(MAX(AG599,1E-300)*1E6)</f>
        <v>0</v>
      </c>
      <c r="AK599" s="7">
        <f>DEGREES(IMARGUMENT(AB599))</f>
        <v>0</v>
      </c>
      <c r="AL599" s="7">
        <f>DEGREES(IMARGUMENT(AC599))</f>
        <v>0</v>
      </c>
      <c r="AM599" s="7">
        <f>DEGREES(IMARGUMENT(AD599))</f>
        <v>0</v>
      </c>
    </row>
    <row r="600" spans="1:39">
      <c r="A600" s="6">
        <f>10^(LOG10(F_START)+(ROW()-ROW($A$2))*(LOG10(F_STOP)-LOG10(F_START))/(N_POINTS-1))</f>
        <v>0</v>
      </c>
      <c r="B600" s="6">
        <f>2*PI()*A600</f>
        <v>0</v>
      </c>
      <c r="C600">
        <f>COMPLEX(2*LINE_PS_DCR,2*B600*LINE_PS_L)</f>
        <v>0</v>
      </c>
      <c r="D600">
        <f>IMSUM(COMPLEX(0,B600*(LINE_PS_CLINE+LINE_PS_CCHA/2)),IMDIV("1",IMPRODUCT("2",COMPLEX(C_THROUGH_ESR,B600*C_THROUGH_ESL-1/(B600*C_THROUGH_C)))))</f>
        <v>0</v>
      </c>
      <c r="E600">
        <f>COMPLEX(2*LINE_INPUT_DCR,2*B600*LINE_INPUT_L)</f>
        <v>0</v>
      </c>
      <c r="F600">
        <f>COMPLEX(0,B600*(LINE_INPUT_CLINE+LINE_INPUT_CCHA/2))</f>
        <v>0</v>
      </c>
      <c r="G600">
        <f>IMPRODUCT("2",IMDIV("1",IMSUM(IMDIV("1",COMPLEX(LDM1_DCR,B600*LDM1_L)),COMPLEX(0,B600*LDM1_CPA))))</f>
        <v>0</v>
      </c>
      <c r="H600">
        <f>IMSUM(IMDIV("1",COMPLEX(CX1_ESR,B600*CX1_ESL-1/(B600*CX1_C))),IMDIV("1",IMSUM(COMPLEX(DUMP1_R,0),COMPLEX(DUMP1_ESR,B600*DUMP1_ESL-1/(B600*DUMP1_C)))))</f>
        <v>0</v>
      </c>
      <c r="I600">
        <f>IMPRODUCT("2",IMDIV("1",IMSUM(IMDIV("1",COMPLEX(LDM2_DCR,B600*LDM2_L)),COMPLEX(0,B600*LDM2_CPA))))</f>
        <v>0</v>
      </c>
      <c r="J600">
        <f>IMSUM(IMDIV("1",COMPLEX(CX2_ESR,B600*CX2_ESL-1/(B600*CX2_C))),IMDIV("1",IMSUM(COMPLEX(DUMP2_R,0),COMPLEX(DUMP2_ESR,B600*DUMP2_ESL-1/(B600*DUMP2_C)))))</f>
        <v>0</v>
      </c>
      <c r="K600">
        <f>IMPRODUCT("2",IMDIV("1",IMSUM(IMDIV("1",COMPLEX(CMC_DCR,B600*CMC_L*(1-CMC_K))),COMPLEX(0,B600*CMC_CPA))))</f>
        <v>0</v>
      </c>
      <c r="L600">
        <f>IMSUM(COMPLEX(0,B600*CMC_CLINE),IMDIV("1",IMPRODUCT("2",COMPLEX(CY_ESR,B600*CY_ESL-1/(B600*CY_C)))),COMPLEX(1/DUMMY_R,0))</f>
        <v>0</v>
      </c>
      <c r="M600">
        <f>IMSUM(D600,IMDIV("1",C600))</f>
        <v>0</v>
      </c>
      <c r="N600">
        <f>IMDIV("1",IMSUM(E600,IMDIV("1",M600)))</f>
        <v>0</v>
      </c>
      <c r="O600">
        <f>IMSUM(F600,N600)</f>
        <v>0</v>
      </c>
      <c r="P600">
        <f>IMDIV("1",IMSUM(G600,IMDIV("1",O600)))</f>
        <v>0</v>
      </c>
      <c r="Q600">
        <f>IMSUM(H600,P600)</f>
        <v>0</v>
      </c>
      <c r="R600">
        <f>IMDIV("1",IMSUM(I600,IMDIV("1",Q600)))</f>
        <v>0</v>
      </c>
      <c r="S600">
        <f>IMSUM(J600,R600)</f>
        <v>0</v>
      </c>
      <c r="T600">
        <f>IMDIV("1",IMSUM(K600,IMDIV("1",S600)))</f>
        <v>0</v>
      </c>
      <c r="U600">
        <f>IMSUM(L600,T600)</f>
        <v>0</v>
      </c>
      <c r="V600">
        <f>IMDIV(COMPLEX(I_DM_SOURCE,0),U600)</f>
        <v>0</v>
      </c>
      <c r="W600">
        <f>IMPRODUCT(V600,T600)</f>
        <v>0</v>
      </c>
      <c r="X600">
        <f>IMDIV(W600,S600)</f>
        <v>0</v>
      </c>
      <c r="Y600">
        <f>IMPRODUCT(X600,R600)</f>
        <v>0</v>
      </c>
      <c r="Z600">
        <f>IMDIV(Y600,Q600)</f>
        <v>0</v>
      </c>
      <c r="AA600">
        <f>IMPRODUCT(Z600,P600)</f>
        <v>0</v>
      </c>
      <c r="AB600">
        <f>AA600</f>
        <v>0</v>
      </c>
      <c r="AC600">
        <f>IMPRODUCT("-1",AB600)</f>
        <v>0</v>
      </c>
      <c r="AD600">
        <f>IMDIV(IMSUB(AB600,AC600),"2")</f>
        <v>0</v>
      </c>
      <c r="AE600" s="6">
        <f>IMABS(AB600)</f>
        <v>0</v>
      </c>
      <c r="AF600" s="6">
        <f>IMABS(AC600)</f>
        <v>0</v>
      </c>
      <c r="AG600" s="6">
        <f>IMABS(AD600)</f>
        <v>0</v>
      </c>
      <c r="AH600" s="7">
        <f>20*LOG10(MAX(AE600,1E-300)*1E6)</f>
        <v>0</v>
      </c>
      <c r="AI600" s="7">
        <f>20*LOG10(MAX(AF600,1E-300)*1E6)</f>
        <v>0</v>
      </c>
      <c r="AJ600" s="7">
        <f>20*LOG10(MAX(AG600,1E-300)*1E6)</f>
        <v>0</v>
      </c>
      <c r="AK600" s="7">
        <f>DEGREES(IMARGUMENT(AB600))</f>
        <v>0</v>
      </c>
      <c r="AL600" s="7">
        <f>DEGREES(IMARGUMENT(AC600))</f>
        <v>0</v>
      </c>
      <c r="AM600" s="7">
        <f>DEGREES(IMARGUMENT(AD600))</f>
        <v>0</v>
      </c>
    </row>
    <row r="601" spans="1:39">
      <c r="A601" s="6">
        <f>10^(LOG10(F_START)+(ROW()-ROW($A$2))*(LOG10(F_STOP)-LOG10(F_START))/(N_POINTS-1))</f>
        <v>0</v>
      </c>
      <c r="B601" s="6">
        <f>2*PI()*A601</f>
        <v>0</v>
      </c>
      <c r="C601">
        <f>COMPLEX(2*LINE_PS_DCR,2*B601*LINE_PS_L)</f>
        <v>0</v>
      </c>
      <c r="D601">
        <f>IMSUM(COMPLEX(0,B601*(LINE_PS_CLINE+LINE_PS_CCHA/2)),IMDIV("1",IMPRODUCT("2",COMPLEX(C_THROUGH_ESR,B601*C_THROUGH_ESL-1/(B601*C_THROUGH_C)))))</f>
        <v>0</v>
      </c>
      <c r="E601">
        <f>COMPLEX(2*LINE_INPUT_DCR,2*B601*LINE_INPUT_L)</f>
        <v>0</v>
      </c>
      <c r="F601">
        <f>COMPLEX(0,B601*(LINE_INPUT_CLINE+LINE_INPUT_CCHA/2))</f>
        <v>0</v>
      </c>
      <c r="G601">
        <f>IMPRODUCT("2",IMDIV("1",IMSUM(IMDIV("1",COMPLEX(LDM1_DCR,B601*LDM1_L)),COMPLEX(0,B601*LDM1_CPA))))</f>
        <v>0</v>
      </c>
      <c r="H601">
        <f>IMSUM(IMDIV("1",COMPLEX(CX1_ESR,B601*CX1_ESL-1/(B601*CX1_C))),IMDIV("1",IMSUM(COMPLEX(DUMP1_R,0),COMPLEX(DUMP1_ESR,B601*DUMP1_ESL-1/(B601*DUMP1_C)))))</f>
        <v>0</v>
      </c>
      <c r="I601">
        <f>IMPRODUCT("2",IMDIV("1",IMSUM(IMDIV("1",COMPLEX(LDM2_DCR,B601*LDM2_L)),COMPLEX(0,B601*LDM2_CPA))))</f>
        <v>0</v>
      </c>
      <c r="J601">
        <f>IMSUM(IMDIV("1",COMPLEX(CX2_ESR,B601*CX2_ESL-1/(B601*CX2_C))),IMDIV("1",IMSUM(COMPLEX(DUMP2_R,0),COMPLEX(DUMP2_ESR,B601*DUMP2_ESL-1/(B601*DUMP2_C)))))</f>
        <v>0</v>
      </c>
      <c r="K601">
        <f>IMPRODUCT("2",IMDIV("1",IMSUM(IMDIV("1",COMPLEX(CMC_DCR,B601*CMC_L*(1-CMC_K))),COMPLEX(0,B601*CMC_CPA))))</f>
        <v>0</v>
      </c>
      <c r="L601">
        <f>IMSUM(COMPLEX(0,B601*CMC_CLINE),IMDIV("1",IMPRODUCT("2",COMPLEX(CY_ESR,B601*CY_ESL-1/(B601*CY_C)))),COMPLEX(1/DUMMY_R,0))</f>
        <v>0</v>
      </c>
      <c r="M601">
        <f>IMSUM(D601,IMDIV("1",C601))</f>
        <v>0</v>
      </c>
      <c r="N601">
        <f>IMDIV("1",IMSUM(E601,IMDIV("1",M601)))</f>
        <v>0</v>
      </c>
      <c r="O601">
        <f>IMSUM(F601,N601)</f>
        <v>0</v>
      </c>
      <c r="P601">
        <f>IMDIV("1",IMSUM(G601,IMDIV("1",O601)))</f>
        <v>0</v>
      </c>
      <c r="Q601">
        <f>IMSUM(H601,P601)</f>
        <v>0</v>
      </c>
      <c r="R601">
        <f>IMDIV("1",IMSUM(I601,IMDIV("1",Q601)))</f>
        <v>0</v>
      </c>
      <c r="S601">
        <f>IMSUM(J601,R601)</f>
        <v>0</v>
      </c>
      <c r="T601">
        <f>IMDIV("1",IMSUM(K601,IMDIV("1",S601)))</f>
        <v>0</v>
      </c>
      <c r="U601">
        <f>IMSUM(L601,T601)</f>
        <v>0</v>
      </c>
      <c r="V601">
        <f>IMDIV(COMPLEX(I_DM_SOURCE,0),U601)</f>
        <v>0</v>
      </c>
      <c r="W601">
        <f>IMPRODUCT(V601,T601)</f>
        <v>0</v>
      </c>
      <c r="X601">
        <f>IMDIV(W601,S601)</f>
        <v>0</v>
      </c>
      <c r="Y601">
        <f>IMPRODUCT(X601,R601)</f>
        <v>0</v>
      </c>
      <c r="Z601">
        <f>IMDIV(Y601,Q601)</f>
        <v>0</v>
      </c>
      <c r="AA601">
        <f>IMPRODUCT(Z601,P601)</f>
        <v>0</v>
      </c>
      <c r="AB601">
        <f>AA601</f>
        <v>0</v>
      </c>
      <c r="AC601">
        <f>IMPRODUCT("-1",AB601)</f>
        <v>0</v>
      </c>
      <c r="AD601">
        <f>IMDIV(IMSUB(AB601,AC601),"2")</f>
        <v>0</v>
      </c>
      <c r="AE601" s="6">
        <f>IMABS(AB601)</f>
        <v>0</v>
      </c>
      <c r="AF601" s="6">
        <f>IMABS(AC601)</f>
        <v>0</v>
      </c>
      <c r="AG601" s="6">
        <f>IMABS(AD601)</f>
        <v>0</v>
      </c>
      <c r="AH601" s="7">
        <f>20*LOG10(MAX(AE601,1E-300)*1E6)</f>
        <v>0</v>
      </c>
      <c r="AI601" s="7">
        <f>20*LOG10(MAX(AF601,1E-300)*1E6)</f>
        <v>0</v>
      </c>
      <c r="AJ601" s="7">
        <f>20*LOG10(MAX(AG601,1E-300)*1E6)</f>
        <v>0</v>
      </c>
      <c r="AK601" s="7">
        <f>DEGREES(IMARGUMENT(AB601))</f>
        <v>0</v>
      </c>
      <c r="AL601" s="7">
        <f>DEGREES(IMARGUMENT(AC601))</f>
        <v>0</v>
      </c>
      <c r="AM601" s="7">
        <f>DEGREES(IMARGUMENT(AD601))</f>
        <v>0</v>
      </c>
    </row>
    <row r="602" spans="1:39">
      <c r="A602" s="6">
        <f>10^(LOG10(F_START)+(ROW()-ROW($A$2))*(LOG10(F_STOP)-LOG10(F_START))/(N_POINTS-1))</f>
        <v>0</v>
      </c>
      <c r="B602" s="6">
        <f>2*PI()*A602</f>
        <v>0</v>
      </c>
      <c r="C602">
        <f>COMPLEX(2*LINE_PS_DCR,2*B602*LINE_PS_L)</f>
        <v>0</v>
      </c>
      <c r="D602">
        <f>IMSUM(COMPLEX(0,B602*(LINE_PS_CLINE+LINE_PS_CCHA/2)),IMDIV("1",IMPRODUCT("2",COMPLEX(C_THROUGH_ESR,B602*C_THROUGH_ESL-1/(B602*C_THROUGH_C)))))</f>
        <v>0</v>
      </c>
      <c r="E602">
        <f>COMPLEX(2*LINE_INPUT_DCR,2*B602*LINE_INPUT_L)</f>
        <v>0</v>
      </c>
      <c r="F602">
        <f>COMPLEX(0,B602*(LINE_INPUT_CLINE+LINE_INPUT_CCHA/2))</f>
        <v>0</v>
      </c>
      <c r="G602">
        <f>IMPRODUCT("2",IMDIV("1",IMSUM(IMDIV("1",COMPLEX(LDM1_DCR,B602*LDM1_L)),COMPLEX(0,B602*LDM1_CPA))))</f>
        <v>0</v>
      </c>
      <c r="H602">
        <f>IMSUM(IMDIV("1",COMPLEX(CX1_ESR,B602*CX1_ESL-1/(B602*CX1_C))),IMDIV("1",IMSUM(COMPLEX(DUMP1_R,0),COMPLEX(DUMP1_ESR,B602*DUMP1_ESL-1/(B602*DUMP1_C)))))</f>
        <v>0</v>
      </c>
      <c r="I602">
        <f>IMPRODUCT("2",IMDIV("1",IMSUM(IMDIV("1",COMPLEX(LDM2_DCR,B602*LDM2_L)),COMPLEX(0,B602*LDM2_CPA))))</f>
        <v>0</v>
      </c>
      <c r="J602">
        <f>IMSUM(IMDIV("1",COMPLEX(CX2_ESR,B602*CX2_ESL-1/(B602*CX2_C))),IMDIV("1",IMSUM(COMPLEX(DUMP2_R,0),COMPLEX(DUMP2_ESR,B602*DUMP2_ESL-1/(B602*DUMP2_C)))))</f>
        <v>0</v>
      </c>
      <c r="K602">
        <f>IMPRODUCT("2",IMDIV("1",IMSUM(IMDIV("1",COMPLEX(CMC_DCR,B602*CMC_L*(1-CMC_K))),COMPLEX(0,B602*CMC_CPA))))</f>
        <v>0</v>
      </c>
      <c r="L602">
        <f>IMSUM(COMPLEX(0,B602*CMC_CLINE),IMDIV("1",IMPRODUCT("2",COMPLEX(CY_ESR,B602*CY_ESL-1/(B602*CY_C)))),COMPLEX(1/DUMMY_R,0))</f>
        <v>0</v>
      </c>
      <c r="M602">
        <f>IMSUM(D602,IMDIV("1",C602))</f>
        <v>0</v>
      </c>
      <c r="N602">
        <f>IMDIV("1",IMSUM(E602,IMDIV("1",M602)))</f>
        <v>0</v>
      </c>
      <c r="O602">
        <f>IMSUM(F602,N602)</f>
        <v>0</v>
      </c>
      <c r="P602">
        <f>IMDIV("1",IMSUM(G602,IMDIV("1",O602)))</f>
        <v>0</v>
      </c>
      <c r="Q602">
        <f>IMSUM(H602,P602)</f>
        <v>0</v>
      </c>
      <c r="R602">
        <f>IMDIV("1",IMSUM(I602,IMDIV("1",Q602)))</f>
        <v>0</v>
      </c>
      <c r="S602">
        <f>IMSUM(J602,R602)</f>
        <v>0</v>
      </c>
      <c r="T602">
        <f>IMDIV("1",IMSUM(K602,IMDIV("1",S602)))</f>
        <v>0</v>
      </c>
      <c r="U602">
        <f>IMSUM(L602,T602)</f>
        <v>0</v>
      </c>
      <c r="V602">
        <f>IMDIV(COMPLEX(I_DM_SOURCE,0),U602)</f>
        <v>0</v>
      </c>
      <c r="W602">
        <f>IMPRODUCT(V602,T602)</f>
        <v>0</v>
      </c>
      <c r="X602">
        <f>IMDIV(W602,S602)</f>
        <v>0</v>
      </c>
      <c r="Y602">
        <f>IMPRODUCT(X602,R602)</f>
        <v>0</v>
      </c>
      <c r="Z602">
        <f>IMDIV(Y602,Q602)</f>
        <v>0</v>
      </c>
      <c r="AA602">
        <f>IMPRODUCT(Z602,P602)</f>
        <v>0</v>
      </c>
      <c r="AB602">
        <f>AA602</f>
        <v>0</v>
      </c>
      <c r="AC602">
        <f>IMPRODUCT("-1",AB602)</f>
        <v>0</v>
      </c>
      <c r="AD602">
        <f>IMDIV(IMSUB(AB602,AC602),"2")</f>
        <v>0</v>
      </c>
      <c r="AE602" s="6">
        <f>IMABS(AB602)</f>
        <v>0</v>
      </c>
      <c r="AF602" s="6">
        <f>IMABS(AC602)</f>
        <v>0</v>
      </c>
      <c r="AG602" s="6">
        <f>IMABS(AD602)</f>
        <v>0</v>
      </c>
      <c r="AH602" s="7">
        <f>20*LOG10(MAX(AE602,1E-300)*1E6)</f>
        <v>0</v>
      </c>
      <c r="AI602" s="7">
        <f>20*LOG10(MAX(AF602,1E-300)*1E6)</f>
        <v>0</v>
      </c>
      <c r="AJ602" s="7">
        <f>20*LOG10(MAX(AG602,1E-300)*1E6)</f>
        <v>0</v>
      </c>
      <c r="AK602" s="7">
        <f>DEGREES(IMARGUMENT(AB602))</f>
        <v>0</v>
      </c>
      <c r="AL602" s="7">
        <f>DEGREES(IMARGUMENT(AC602))</f>
        <v>0</v>
      </c>
      <c r="AM602" s="7">
        <f>DEGREES(IMARGUMENT(AD602))</f>
        <v>0</v>
      </c>
    </row>
    <row r="603" spans="1:39">
      <c r="A603" s="6">
        <f>10^(LOG10(F_START)+(ROW()-ROW($A$2))*(LOG10(F_STOP)-LOG10(F_START))/(N_POINTS-1))</f>
        <v>0</v>
      </c>
      <c r="B603" s="6">
        <f>2*PI()*A603</f>
        <v>0</v>
      </c>
      <c r="C603">
        <f>COMPLEX(2*LINE_PS_DCR,2*B603*LINE_PS_L)</f>
        <v>0</v>
      </c>
      <c r="D603">
        <f>IMSUM(COMPLEX(0,B603*(LINE_PS_CLINE+LINE_PS_CCHA/2)),IMDIV("1",IMPRODUCT("2",COMPLEX(C_THROUGH_ESR,B603*C_THROUGH_ESL-1/(B603*C_THROUGH_C)))))</f>
        <v>0</v>
      </c>
      <c r="E603">
        <f>COMPLEX(2*LINE_INPUT_DCR,2*B603*LINE_INPUT_L)</f>
        <v>0</v>
      </c>
      <c r="F603">
        <f>COMPLEX(0,B603*(LINE_INPUT_CLINE+LINE_INPUT_CCHA/2))</f>
        <v>0</v>
      </c>
      <c r="G603">
        <f>IMPRODUCT("2",IMDIV("1",IMSUM(IMDIV("1",COMPLEX(LDM1_DCR,B603*LDM1_L)),COMPLEX(0,B603*LDM1_CPA))))</f>
        <v>0</v>
      </c>
      <c r="H603">
        <f>IMSUM(IMDIV("1",COMPLEX(CX1_ESR,B603*CX1_ESL-1/(B603*CX1_C))),IMDIV("1",IMSUM(COMPLEX(DUMP1_R,0),COMPLEX(DUMP1_ESR,B603*DUMP1_ESL-1/(B603*DUMP1_C)))))</f>
        <v>0</v>
      </c>
      <c r="I603">
        <f>IMPRODUCT("2",IMDIV("1",IMSUM(IMDIV("1",COMPLEX(LDM2_DCR,B603*LDM2_L)),COMPLEX(0,B603*LDM2_CPA))))</f>
        <v>0</v>
      </c>
      <c r="J603">
        <f>IMSUM(IMDIV("1",COMPLEX(CX2_ESR,B603*CX2_ESL-1/(B603*CX2_C))),IMDIV("1",IMSUM(COMPLEX(DUMP2_R,0),COMPLEX(DUMP2_ESR,B603*DUMP2_ESL-1/(B603*DUMP2_C)))))</f>
        <v>0</v>
      </c>
      <c r="K603">
        <f>IMPRODUCT("2",IMDIV("1",IMSUM(IMDIV("1",COMPLEX(CMC_DCR,B603*CMC_L*(1-CMC_K))),COMPLEX(0,B603*CMC_CPA))))</f>
        <v>0</v>
      </c>
      <c r="L603">
        <f>IMSUM(COMPLEX(0,B603*CMC_CLINE),IMDIV("1",IMPRODUCT("2",COMPLEX(CY_ESR,B603*CY_ESL-1/(B603*CY_C)))),COMPLEX(1/DUMMY_R,0))</f>
        <v>0</v>
      </c>
      <c r="M603">
        <f>IMSUM(D603,IMDIV("1",C603))</f>
        <v>0</v>
      </c>
      <c r="N603">
        <f>IMDIV("1",IMSUM(E603,IMDIV("1",M603)))</f>
        <v>0</v>
      </c>
      <c r="O603">
        <f>IMSUM(F603,N603)</f>
        <v>0</v>
      </c>
      <c r="P603">
        <f>IMDIV("1",IMSUM(G603,IMDIV("1",O603)))</f>
        <v>0</v>
      </c>
      <c r="Q603">
        <f>IMSUM(H603,P603)</f>
        <v>0</v>
      </c>
      <c r="R603">
        <f>IMDIV("1",IMSUM(I603,IMDIV("1",Q603)))</f>
        <v>0</v>
      </c>
      <c r="S603">
        <f>IMSUM(J603,R603)</f>
        <v>0</v>
      </c>
      <c r="T603">
        <f>IMDIV("1",IMSUM(K603,IMDIV("1",S603)))</f>
        <v>0</v>
      </c>
      <c r="U603">
        <f>IMSUM(L603,T603)</f>
        <v>0</v>
      </c>
      <c r="V603">
        <f>IMDIV(COMPLEX(I_DM_SOURCE,0),U603)</f>
        <v>0</v>
      </c>
      <c r="W603">
        <f>IMPRODUCT(V603,T603)</f>
        <v>0</v>
      </c>
      <c r="X603">
        <f>IMDIV(W603,S603)</f>
        <v>0</v>
      </c>
      <c r="Y603">
        <f>IMPRODUCT(X603,R603)</f>
        <v>0</v>
      </c>
      <c r="Z603">
        <f>IMDIV(Y603,Q603)</f>
        <v>0</v>
      </c>
      <c r="AA603">
        <f>IMPRODUCT(Z603,P603)</f>
        <v>0</v>
      </c>
      <c r="AB603">
        <f>AA603</f>
        <v>0</v>
      </c>
      <c r="AC603">
        <f>IMPRODUCT("-1",AB603)</f>
        <v>0</v>
      </c>
      <c r="AD603">
        <f>IMDIV(IMSUB(AB603,AC603),"2")</f>
        <v>0</v>
      </c>
      <c r="AE603" s="6">
        <f>IMABS(AB603)</f>
        <v>0</v>
      </c>
      <c r="AF603" s="6">
        <f>IMABS(AC603)</f>
        <v>0</v>
      </c>
      <c r="AG603" s="6">
        <f>IMABS(AD603)</f>
        <v>0</v>
      </c>
      <c r="AH603" s="7">
        <f>20*LOG10(MAX(AE603,1E-300)*1E6)</f>
        <v>0</v>
      </c>
      <c r="AI603" s="7">
        <f>20*LOG10(MAX(AF603,1E-300)*1E6)</f>
        <v>0</v>
      </c>
      <c r="AJ603" s="7">
        <f>20*LOG10(MAX(AG603,1E-300)*1E6)</f>
        <v>0</v>
      </c>
      <c r="AK603" s="7">
        <f>DEGREES(IMARGUMENT(AB603))</f>
        <v>0</v>
      </c>
      <c r="AL603" s="7">
        <f>DEGREES(IMARGUMENT(AC603))</f>
        <v>0</v>
      </c>
      <c r="AM603" s="7">
        <f>DEGREES(IMARGUMENT(AD603))</f>
        <v>0</v>
      </c>
    </row>
    <row r="604" spans="1:39">
      <c r="A604" s="6">
        <f>10^(LOG10(F_START)+(ROW()-ROW($A$2))*(LOG10(F_STOP)-LOG10(F_START))/(N_POINTS-1))</f>
        <v>0</v>
      </c>
      <c r="B604" s="6">
        <f>2*PI()*A604</f>
        <v>0</v>
      </c>
      <c r="C604">
        <f>COMPLEX(2*LINE_PS_DCR,2*B604*LINE_PS_L)</f>
        <v>0</v>
      </c>
      <c r="D604">
        <f>IMSUM(COMPLEX(0,B604*(LINE_PS_CLINE+LINE_PS_CCHA/2)),IMDIV("1",IMPRODUCT("2",COMPLEX(C_THROUGH_ESR,B604*C_THROUGH_ESL-1/(B604*C_THROUGH_C)))))</f>
        <v>0</v>
      </c>
      <c r="E604">
        <f>COMPLEX(2*LINE_INPUT_DCR,2*B604*LINE_INPUT_L)</f>
        <v>0</v>
      </c>
      <c r="F604">
        <f>COMPLEX(0,B604*(LINE_INPUT_CLINE+LINE_INPUT_CCHA/2))</f>
        <v>0</v>
      </c>
      <c r="G604">
        <f>IMPRODUCT("2",IMDIV("1",IMSUM(IMDIV("1",COMPLEX(LDM1_DCR,B604*LDM1_L)),COMPLEX(0,B604*LDM1_CPA))))</f>
        <v>0</v>
      </c>
      <c r="H604">
        <f>IMSUM(IMDIV("1",COMPLEX(CX1_ESR,B604*CX1_ESL-1/(B604*CX1_C))),IMDIV("1",IMSUM(COMPLEX(DUMP1_R,0),COMPLEX(DUMP1_ESR,B604*DUMP1_ESL-1/(B604*DUMP1_C)))))</f>
        <v>0</v>
      </c>
      <c r="I604">
        <f>IMPRODUCT("2",IMDIV("1",IMSUM(IMDIV("1",COMPLEX(LDM2_DCR,B604*LDM2_L)),COMPLEX(0,B604*LDM2_CPA))))</f>
        <v>0</v>
      </c>
      <c r="J604">
        <f>IMSUM(IMDIV("1",COMPLEX(CX2_ESR,B604*CX2_ESL-1/(B604*CX2_C))),IMDIV("1",IMSUM(COMPLEX(DUMP2_R,0),COMPLEX(DUMP2_ESR,B604*DUMP2_ESL-1/(B604*DUMP2_C)))))</f>
        <v>0</v>
      </c>
      <c r="K604">
        <f>IMPRODUCT("2",IMDIV("1",IMSUM(IMDIV("1",COMPLEX(CMC_DCR,B604*CMC_L*(1-CMC_K))),COMPLEX(0,B604*CMC_CPA))))</f>
        <v>0</v>
      </c>
      <c r="L604">
        <f>IMSUM(COMPLEX(0,B604*CMC_CLINE),IMDIV("1",IMPRODUCT("2",COMPLEX(CY_ESR,B604*CY_ESL-1/(B604*CY_C)))),COMPLEX(1/DUMMY_R,0))</f>
        <v>0</v>
      </c>
      <c r="M604">
        <f>IMSUM(D604,IMDIV("1",C604))</f>
        <v>0</v>
      </c>
      <c r="N604">
        <f>IMDIV("1",IMSUM(E604,IMDIV("1",M604)))</f>
        <v>0</v>
      </c>
      <c r="O604">
        <f>IMSUM(F604,N604)</f>
        <v>0</v>
      </c>
      <c r="P604">
        <f>IMDIV("1",IMSUM(G604,IMDIV("1",O604)))</f>
        <v>0</v>
      </c>
      <c r="Q604">
        <f>IMSUM(H604,P604)</f>
        <v>0</v>
      </c>
      <c r="R604">
        <f>IMDIV("1",IMSUM(I604,IMDIV("1",Q604)))</f>
        <v>0</v>
      </c>
      <c r="S604">
        <f>IMSUM(J604,R604)</f>
        <v>0</v>
      </c>
      <c r="T604">
        <f>IMDIV("1",IMSUM(K604,IMDIV("1",S604)))</f>
        <v>0</v>
      </c>
      <c r="U604">
        <f>IMSUM(L604,T604)</f>
        <v>0</v>
      </c>
      <c r="V604">
        <f>IMDIV(COMPLEX(I_DM_SOURCE,0),U604)</f>
        <v>0</v>
      </c>
      <c r="W604">
        <f>IMPRODUCT(V604,T604)</f>
        <v>0</v>
      </c>
      <c r="X604">
        <f>IMDIV(W604,S604)</f>
        <v>0</v>
      </c>
      <c r="Y604">
        <f>IMPRODUCT(X604,R604)</f>
        <v>0</v>
      </c>
      <c r="Z604">
        <f>IMDIV(Y604,Q604)</f>
        <v>0</v>
      </c>
      <c r="AA604">
        <f>IMPRODUCT(Z604,P604)</f>
        <v>0</v>
      </c>
      <c r="AB604">
        <f>AA604</f>
        <v>0</v>
      </c>
      <c r="AC604">
        <f>IMPRODUCT("-1",AB604)</f>
        <v>0</v>
      </c>
      <c r="AD604">
        <f>IMDIV(IMSUB(AB604,AC604),"2")</f>
        <v>0</v>
      </c>
      <c r="AE604" s="6">
        <f>IMABS(AB604)</f>
        <v>0</v>
      </c>
      <c r="AF604" s="6">
        <f>IMABS(AC604)</f>
        <v>0</v>
      </c>
      <c r="AG604" s="6">
        <f>IMABS(AD604)</f>
        <v>0</v>
      </c>
      <c r="AH604" s="7">
        <f>20*LOG10(MAX(AE604,1E-300)*1E6)</f>
        <v>0</v>
      </c>
      <c r="AI604" s="7">
        <f>20*LOG10(MAX(AF604,1E-300)*1E6)</f>
        <v>0</v>
      </c>
      <c r="AJ604" s="7">
        <f>20*LOG10(MAX(AG604,1E-300)*1E6)</f>
        <v>0</v>
      </c>
      <c r="AK604" s="7">
        <f>DEGREES(IMARGUMENT(AB604))</f>
        <v>0</v>
      </c>
      <c r="AL604" s="7">
        <f>DEGREES(IMARGUMENT(AC604))</f>
        <v>0</v>
      </c>
      <c r="AM604" s="7">
        <f>DEGREES(IMARGUMENT(AD604))</f>
        <v>0</v>
      </c>
    </row>
    <row r="605" spans="1:39">
      <c r="A605" s="6">
        <f>10^(LOG10(F_START)+(ROW()-ROW($A$2))*(LOG10(F_STOP)-LOG10(F_START))/(N_POINTS-1))</f>
        <v>0</v>
      </c>
      <c r="B605" s="6">
        <f>2*PI()*A605</f>
        <v>0</v>
      </c>
      <c r="C605">
        <f>COMPLEX(2*LINE_PS_DCR,2*B605*LINE_PS_L)</f>
        <v>0</v>
      </c>
      <c r="D605">
        <f>IMSUM(COMPLEX(0,B605*(LINE_PS_CLINE+LINE_PS_CCHA/2)),IMDIV("1",IMPRODUCT("2",COMPLEX(C_THROUGH_ESR,B605*C_THROUGH_ESL-1/(B605*C_THROUGH_C)))))</f>
        <v>0</v>
      </c>
      <c r="E605">
        <f>COMPLEX(2*LINE_INPUT_DCR,2*B605*LINE_INPUT_L)</f>
        <v>0</v>
      </c>
      <c r="F605">
        <f>COMPLEX(0,B605*(LINE_INPUT_CLINE+LINE_INPUT_CCHA/2))</f>
        <v>0</v>
      </c>
      <c r="G605">
        <f>IMPRODUCT("2",IMDIV("1",IMSUM(IMDIV("1",COMPLEX(LDM1_DCR,B605*LDM1_L)),COMPLEX(0,B605*LDM1_CPA))))</f>
        <v>0</v>
      </c>
      <c r="H605">
        <f>IMSUM(IMDIV("1",COMPLEX(CX1_ESR,B605*CX1_ESL-1/(B605*CX1_C))),IMDIV("1",IMSUM(COMPLEX(DUMP1_R,0),COMPLEX(DUMP1_ESR,B605*DUMP1_ESL-1/(B605*DUMP1_C)))))</f>
        <v>0</v>
      </c>
      <c r="I605">
        <f>IMPRODUCT("2",IMDIV("1",IMSUM(IMDIV("1",COMPLEX(LDM2_DCR,B605*LDM2_L)),COMPLEX(0,B605*LDM2_CPA))))</f>
        <v>0</v>
      </c>
      <c r="J605">
        <f>IMSUM(IMDIV("1",COMPLEX(CX2_ESR,B605*CX2_ESL-1/(B605*CX2_C))),IMDIV("1",IMSUM(COMPLEX(DUMP2_R,0),COMPLEX(DUMP2_ESR,B605*DUMP2_ESL-1/(B605*DUMP2_C)))))</f>
        <v>0</v>
      </c>
      <c r="K605">
        <f>IMPRODUCT("2",IMDIV("1",IMSUM(IMDIV("1",COMPLEX(CMC_DCR,B605*CMC_L*(1-CMC_K))),COMPLEX(0,B605*CMC_CPA))))</f>
        <v>0</v>
      </c>
      <c r="L605">
        <f>IMSUM(COMPLEX(0,B605*CMC_CLINE),IMDIV("1",IMPRODUCT("2",COMPLEX(CY_ESR,B605*CY_ESL-1/(B605*CY_C)))),COMPLEX(1/DUMMY_R,0))</f>
        <v>0</v>
      </c>
      <c r="M605">
        <f>IMSUM(D605,IMDIV("1",C605))</f>
        <v>0</v>
      </c>
      <c r="N605">
        <f>IMDIV("1",IMSUM(E605,IMDIV("1",M605)))</f>
        <v>0</v>
      </c>
      <c r="O605">
        <f>IMSUM(F605,N605)</f>
        <v>0</v>
      </c>
      <c r="P605">
        <f>IMDIV("1",IMSUM(G605,IMDIV("1",O605)))</f>
        <v>0</v>
      </c>
      <c r="Q605">
        <f>IMSUM(H605,P605)</f>
        <v>0</v>
      </c>
      <c r="R605">
        <f>IMDIV("1",IMSUM(I605,IMDIV("1",Q605)))</f>
        <v>0</v>
      </c>
      <c r="S605">
        <f>IMSUM(J605,R605)</f>
        <v>0</v>
      </c>
      <c r="T605">
        <f>IMDIV("1",IMSUM(K605,IMDIV("1",S605)))</f>
        <v>0</v>
      </c>
      <c r="U605">
        <f>IMSUM(L605,T605)</f>
        <v>0</v>
      </c>
      <c r="V605">
        <f>IMDIV(COMPLEX(I_DM_SOURCE,0),U605)</f>
        <v>0</v>
      </c>
      <c r="W605">
        <f>IMPRODUCT(V605,T605)</f>
        <v>0</v>
      </c>
      <c r="X605">
        <f>IMDIV(W605,S605)</f>
        <v>0</v>
      </c>
      <c r="Y605">
        <f>IMPRODUCT(X605,R605)</f>
        <v>0</v>
      </c>
      <c r="Z605">
        <f>IMDIV(Y605,Q605)</f>
        <v>0</v>
      </c>
      <c r="AA605">
        <f>IMPRODUCT(Z605,P605)</f>
        <v>0</v>
      </c>
      <c r="AB605">
        <f>AA605</f>
        <v>0</v>
      </c>
      <c r="AC605">
        <f>IMPRODUCT("-1",AB605)</f>
        <v>0</v>
      </c>
      <c r="AD605">
        <f>IMDIV(IMSUB(AB605,AC605),"2")</f>
        <v>0</v>
      </c>
      <c r="AE605" s="6">
        <f>IMABS(AB605)</f>
        <v>0</v>
      </c>
      <c r="AF605" s="6">
        <f>IMABS(AC605)</f>
        <v>0</v>
      </c>
      <c r="AG605" s="6">
        <f>IMABS(AD605)</f>
        <v>0</v>
      </c>
      <c r="AH605" s="7">
        <f>20*LOG10(MAX(AE605,1E-300)*1E6)</f>
        <v>0</v>
      </c>
      <c r="AI605" s="7">
        <f>20*LOG10(MAX(AF605,1E-300)*1E6)</f>
        <v>0</v>
      </c>
      <c r="AJ605" s="7">
        <f>20*LOG10(MAX(AG605,1E-300)*1E6)</f>
        <v>0</v>
      </c>
      <c r="AK605" s="7">
        <f>DEGREES(IMARGUMENT(AB605))</f>
        <v>0</v>
      </c>
      <c r="AL605" s="7">
        <f>DEGREES(IMARGUMENT(AC605))</f>
        <v>0</v>
      </c>
      <c r="AM605" s="7">
        <f>DEGREES(IMARGUMENT(AD605))</f>
        <v>0</v>
      </c>
    </row>
    <row r="606" spans="1:39">
      <c r="A606" s="6">
        <f>10^(LOG10(F_START)+(ROW()-ROW($A$2))*(LOG10(F_STOP)-LOG10(F_START))/(N_POINTS-1))</f>
        <v>0</v>
      </c>
      <c r="B606" s="6">
        <f>2*PI()*A606</f>
        <v>0</v>
      </c>
      <c r="C606">
        <f>COMPLEX(2*LINE_PS_DCR,2*B606*LINE_PS_L)</f>
        <v>0</v>
      </c>
      <c r="D606">
        <f>IMSUM(COMPLEX(0,B606*(LINE_PS_CLINE+LINE_PS_CCHA/2)),IMDIV("1",IMPRODUCT("2",COMPLEX(C_THROUGH_ESR,B606*C_THROUGH_ESL-1/(B606*C_THROUGH_C)))))</f>
        <v>0</v>
      </c>
      <c r="E606">
        <f>COMPLEX(2*LINE_INPUT_DCR,2*B606*LINE_INPUT_L)</f>
        <v>0</v>
      </c>
      <c r="F606">
        <f>COMPLEX(0,B606*(LINE_INPUT_CLINE+LINE_INPUT_CCHA/2))</f>
        <v>0</v>
      </c>
      <c r="G606">
        <f>IMPRODUCT("2",IMDIV("1",IMSUM(IMDIV("1",COMPLEX(LDM1_DCR,B606*LDM1_L)),COMPLEX(0,B606*LDM1_CPA))))</f>
        <v>0</v>
      </c>
      <c r="H606">
        <f>IMSUM(IMDIV("1",COMPLEX(CX1_ESR,B606*CX1_ESL-1/(B606*CX1_C))),IMDIV("1",IMSUM(COMPLEX(DUMP1_R,0),COMPLEX(DUMP1_ESR,B606*DUMP1_ESL-1/(B606*DUMP1_C)))))</f>
        <v>0</v>
      </c>
      <c r="I606">
        <f>IMPRODUCT("2",IMDIV("1",IMSUM(IMDIV("1",COMPLEX(LDM2_DCR,B606*LDM2_L)),COMPLEX(0,B606*LDM2_CPA))))</f>
        <v>0</v>
      </c>
      <c r="J606">
        <f>IMSUM(IMDIV("1",COMPLEX(CX2_ESR,B606*CX2_ESL-1/(B606*CX2_C))),IMDIV("1",IMSUM(COMPLEX(DUMP2_R,0),COMPLEX(DUMP2_ESR,B606*DUMP2_ESL-1/(B606*DUMP2_C)))))</f>
        <v>0</v>
      </c>
      <c r="K606">
        <f>IMPRODUCT("2",IMDIV("1",IMSUM(IMDIV("1",COMPLEX(CMC_DCR,B606*CMC_L*(1-CMC_K))),COMPLEX(0,B606*CMC_CPA))))</f>
        <v>0</v>
      </c>
      <c r="L606">
        <f>IMSUM(COMPLEX(0,B606*CMC_CLINE),IMDIV("1",IMPRODUCT("2",COMPLEX(CY_ESR,B606*CY_ESL-1/(B606*CY_C)))),COMPLEX(1/DUMMY_R,0))</f>
        <v>0</v>
      </c>
      <c r="M606">
        <f>IMSUM(D606,IMDIV("1",C606))</f>
        <v>0</v>
      </c>
      <c r="N606">
        <f>IMDIV("1",IMSUM(E606,IMDIV("1",M606)))</f>
        <v>0</v>
      </c>
      <c r="O606">
        <f>IMSUM(F606,N606)</f>
        <v>0</v>
      </c>
      <c r="P606">
        <f>IMDIV("1",IMSUM(G606,IMDIV("1",O606)))</f>
        <v>0</v>
      </c>
      <c r="Q606">
        <f>IMSUM(H606,P606)</f>
        <v>0</v>
      </c>
      <c r="R606">
        <f>IMDIV("1",IMSUM(I606,IMDIV("1",Q606)))</f>
        <v>0</v>
      </c>
      <c r="S606">
        <f>IMSUM(J606,R606)</f>
        <v>0</v>
      </c>
      <c r="T606">
        <f>IMDIV("1",IMSUM(K606,IMDIV("1",S606)))</f>
        <v>0</v>
      </c>
      <c r="U606">
        <f>IMSUM(L606,T606)</f>
        <v>0</v>
      </c>
      <c r="V606">
        <f>IMDIV(COMPLEX(I_DM_SOURCE,0),U606)</f>
        <v>0</v>
      </c>
      <c r="W606">
        <f>IMPRODUCT(V606,T606)</f>
        <v>0</v>
      </c>
      <c r="X606">
        <f>IMDIV(W606,S606)</f>
        <v>0</v>
      </c>
      <c r="Y606">
        <f>IMPRODUCT(X606,R606)</f>
        <v>0</v>
      </c>
      <c r="Z606">
        <f>IMDIV(Y606,Q606)</f>
        <v>0</v>
      </c>
      <c r="AA606">
        <f>IMPRODUCT(Z606,P606)</f>
        <v>0</v>
      </c>
      <c r="AB606">
        <f>AA606</f>
        <v>0</v>
      </c>
      <c r="AC606">
        <f>IMPRODUCT("-1",AB606)</f>
        <v>0</v>
      </c>
      <c r="AD606">
        <f>IMDIV(IMSUB(AB606,AC606),"2")</f>
        <v>0</v>
      </c>
      <c r="AE606" s="6">
        <f>IMABS(AB606)</f>
        <v>0</v>
      </c>
      <c r="AF606" s="6">
        <f>IMABS(AC606)</f>
        <v>0</v>
      </c>
      <c r="AG606" s="6">
        <f>IMABS(AD606)</f>
        <v>0</v>
      </c>
      <c r="AH606" s="7">
        <f>20*LOG10(MAX(AE606,1E-300)*1E6)</f>
        <v>0</v>
      </c>
      <c r="AI606" s="7">
        <f>20*LOG10(MAX(AF606,1E-300)*1E6)</f>
        <v>0</v>
      </c>
      <c r="AJ606" s="7">
        <f>20*LOG10(MAX(AG606,1E-300)*1E6)</f>
        <v>0</v>
      </c>
      <c r="AK606" s="7">
        <f>DEGREES(IMARGUMENT(AB606))</f>
        <v>0</v>
      </c>
      <c r="AL606" s="7">
        <f>DEGREES(IMARGUMENT(AC606))</f>
        <v>0</v>
      </c>
      <c r="AM606" s="7">
        <f>DEGREES(IMARGUMENT(AD606))</f>
        <v>0</v>
      </c>
    </row>
    <row r="607" spans="1:39">
      <c r="A607" s="6">
        <f>10^(LOG10(F_START)+(ROW()-ROW($A$2))*(LOG10(F_STOP)-LOG10(F_START))/(N_POINTS-1))</f>
        <v>0</v>
      </c>
      <c r="B607" s="6">
        <f>2*PI()*A607</f>
        <v>0</v>
      </c>
      <c r="C607">
        <f>COMPLEX(2*LINE_PS_DCR,2*B607*LINE_PS_L)</f>
        <v>0</v>
      </c>
      <c r="D607">
        <f>IMSUM(COMPLEX(0,B607*(LINE_PS_CLINE+LINE_PS_CCHA/2)),IMDIV("1",IMPRODUCT("2",COMPLEX(C_THROUGH_ESR,B607*C_THROUGH_ESL-1/(B607*C_THROUGH_C)))))</f>
        <v>0</v>
      </c>
      <c r="E607">
        <f>COMPLEX(2*LINE_INPUT_DCR,2*B607*LINE_INPUT_L)</f>
        <v>0</v>
      </c>
      <c r="F607">
        <f>COMPLEX(0,B607*(LINE_INPUT_CLINE+LINE_INPUT_CCHA/2))</f>
        <v>0</v>
      </c>
      <c r="G607">
        <f>IMPRODUCT("2",IMDIV("1",IMSUM(IMDIV("1",COMPLEX(LDM1_DCR,B607*LDM1_L)),COMPLEX(0,B607*LDM1_CPA))))</f>
        <v>0</v>
      </c>
      <c r="H607">
        <f>IMSUM(IMDIV("1",COMPLEX(CX1_ESR,B607*CX1_ESL-1/(B607*CX1_C))),IMDIV("1",IMSUM(COMPLEX(DUMP1_R,0),COMPLEX(DUMP1_ESR,B607*DUMP1_ESL-1/(B607*DUMP1_C)))))</f>
        <v>0</v>
      </c>
      <c r="I607">
        <f>IMPRODUCT("2",IMDIV("1",IMSUM(IMDIV("1",COMPLEX(LDM2_DCR,B607*LDM2_L)),COMPLEX(0,B607*LDM2_CPA))))</f>
        <v>0</v>
      </c>
      <c r="J607">
        <f>IMSUM(IMDIV("1",COMPLEX(CX2_ESR,B607*CX2_ESL-1/(B607*CX2_C))),IMDIV("1",IMSUM(COMPLEX(DUMP2_R,0),COMPLEX(DUMP2_ESR,B607*DUMP2_ESL-1/(B607*DUMP2_C)))))</f>
        <v>0</v>
      </c>
      <c r="K607">
        <f>IMPRODUCT("2",IMDIV("1",IMSUM(IMDIV("1",COMPLEX(CMC_DCR,B607*CMC_L*(1-CMC_K))),COMPLEX(0,B607*CMC_CPA))))</f>
        <v>0</v>
      </c>
      <c r="L607">
        <f>IMSUM(COMPLEX(0,B607*CMC_CLINE),IMDIV("1",IMPRODUCT("2",COMPLEX(CY_ESR,B607*CY_ESL-1/(B607*CY_C)))),COMPLEX(1/DUMMY_R,0))</f>
        <v>0</v>
      </c>
      <c r="M607">
        <f>IMSUM(D607,IMDIV("1",C607))</f>
        <v>0</v>
      </c>
      <c r="N607">
        <f>IMDIV("1",IMSUM(E607,IMDIV("1",M607)))</f>
        <v>0</v>
      </c>
      <c r="O607">
        <f>IMSUM(F607,N607)</f>
        <v>0</v>
      </c>
      <c r="P607">
        <f>IMDIV("1",IMSUM(G607,IMDIV("1",O607)))</f>
        <v>0</v>
      </c>
      <c r="Q607">
        <f>IMSUM(H607,P607)</f>
        <v>0</v>
      </c>
      <c r="R607">
        <f>IMDIV("1",IMSUM(I607,IMDIV("1",Q607)))</f>
        <v>0</v>
      </c>
      <c r="S607">
        <f>IMSUM(J607,R607)</f>
        <v>0</v>
      </c>
      <c r="T607">
        <f>IMDIV("1",IMSUM(K607,IMDIV("1",S607)))</f>
        <v>0</v>
      </c>
      <c r="U607">
        <f>IMSUM(L607,T607)</f>
        <v>0</v>
      </c>
      <c r="V607">
        <f>IMDIV(COMPLEX(I_DM_SOURCE,0),U607)</f>
        <v>0</v>
      </c>
      <c r="W607">
        <f>IMPRODUCT(V607,T607)</f>
        <v>0</v>
      </c>
      <c r="X607">
        <f>IMDIV(W607,S607)</f>
        <v>0</v>
      </c>
      <c r="Y607">
        <f>IMPRODUCT(X607,R607)</f>
        <v>0</v>
      </c>
      <c r="Z607">
        <f>IMDIV(Y607,Q607)</f>
        <v>0</v>
      </c>
      <c r="AA607">
        <f>IMPRODUCT(Z607,P607)</f>
        <v>0</v>
      </c>
      <c r="AB607">
        <f>AA607</f>
        <v>0</v>
      </c>
      <c r="AC607">
        <f>IMPRODUCT("-1",AB607)</f>
        <v>0</v>
      </c>
      <c r="AD607">
        <f>IMDIV(IMSUB(AB607,AC607),"2")</f>
        <v>0</v>
      </c>
      <c r="AE607" s="6">
        <f>IMABS(AB607)</f>
        <v>0</v>
      </c>
      <c r="AF607" s="6">
        <f>IMABS(AC607)</f>
        <v>0</v>
      </c>
      <c r="AG607" s="6">
        <f>IMABS(AD607)</f>
        <v>0</v>
      </c>
      <c r="AH607" s="7">
        <f>20*LOG10(MAX(AE607,1E-300)*1E6)</f>
        <v>0</v>
      </c>
      <c r="AI607" s="7">
        <f>20*LOG10(MAX(AF607,1E-300)*1E6)</f>
        <v>0</v>
      </c>
      <c r="AJ607" s="7">
        <f>20*LOG10(MAX(AG607,1E-300)*1E6)</f>
        <v>0</v>
      </c>
      <c r="AK607" s="7">
        <f>DEGREES(IMARGUMENT(AB607))</f>
        <v>0</v>
      </c>
      <c r="AL607" s="7">
        <f>DEGREES(IMARGUMENT(AC607))</f>
        <v>0</v>
      </c>
      <c r="AM607" s="7">
        <f>DEGREES(IMARGUMENT(AD607))</f>
        <v>0</v>
      </c>
    </row>
    <row r="608" spans="1:39">
      <c r="A608" s="6">
        <f>10^(LOG10(F_START)+(ROW()-ROW($A$2))*(LOG10(F_STOP)-LOG10(F_START))/(N_POINTS-1))</f>
        <v>0</v>
      </c>
      <c r="B608" s="6">
        <f>2*PI()*A608</f>
        <v>0</v>
      </c>
      <c r="C608">
        <f>COMPLEX(2*LINE_PS_DCR,2*B608*LINE_PS_L)</f>
        <v>0</v>
      </c>
      <c r="D608">
        <f>IMSUM(COMPLEX(0,B608*(LINE_PS_CLINE+LINE_PS_CCHA/2)),IMDIV("1",IMPRODUCT("2",COMPLEX(C_THROUGH_ESR,B608*C_THROUGH_ESL-1/(B608*C_THROUGH_C)))))</f>
        <v>0</v>
      </c>
      <c r="E608">
        <f>COMPLEX(2*LINE_INPUT_DCR,2*B608*LINE_INPUT_L)</f>
        <v>0</v>
      </c>
      <c r="F608">
        <f>COMPLEX(0,B608*(LINE_INPUT_CLINE+LINE_INPUT_CCHA/2))</f>
        <v>0</v>
      </c>
      <c r="G608">
        <f>IMPRODUCT("2",IMDIV("1",IMSUM(IMDIV("1",COMPLEX(LDM1_DCR,B608*LDM1_L)),COMPLEX(0,B608*LDM1_CPA))))</f>
        <v>0</v>
      </c>
      <c r="H608">
        <f>IMSUM(IMDIV("1",COMPLEX(CX1_ESR,B608*CX1_ESL-1/(B608*CX1_C))),IMDIV("1",IMSUM(COMPLEX(DUMP1_R,0),COMPLEX(DUMP1_ESR,B608*DUMP1_ESL-1/(B608*DUMP1_C)))))</f>
        <v>0</v>
      </c>
      <c r="I608">
        <f>IMPRODUCT("2",IMDIV("1",IMSUM(IMDIV("1",COMPLEX(LDM2_DCR,B608*LDM2_L)),COMPLEX(0,B608*LDM2_CPA))))</f>
        <v>0</v>
      </c>
      <c r="J608">
        <f>IMSUM(IMDIV("1",COMPLEX(CX2_ESR,B608*CX2_ESL-1/(B608*CX2_C))),IMDIV("1",IMSUM(COMPLEX(DUMP2_R,0),COMPLEX(DUMP2_ESR,B608*DUMP2_ESL-1/(B608*DUMP2_C)))))</f>
        <v>0</v>
      </c>
      <c r="K608">
        <f>IMPRODUCT("2",IMDIV("1",IMSUM(IMDIV("1",COMPLEX(CMC_DCR,B608*CMC_L*(1-CMC_K))),COMPLEX(0,B608*CMC_CPA))))</f>
        <v>0</v>
      </c>
      <c r="L608">
        <f>IMSUM(COMPLEX(0,B608*CMC_CLINE),IMDIV("1",IMPRODUCT("2",COMPLEX(CY_ESR,B608*CY_ESL-1/(B608*CY_C)))),COMPLEX(1/DUMMY_R,0))</f>
        <v>0</v>
      </c>
      <c r="M608">
        <f>IMSUM(D608,IMDIV("1",C608))</f>
        <v>0</v>
      </c>
      <c r="N608">
        <f>IMDIV("1",IMSUM(E608,IMDIV("1",M608)))</f>
        <v>0</v>
      </c>
      <c r="O608">
        <f>IMSUM(F608,N608)</f>
        <v>0</v>
      </c>
      <c r="P608">
        <f>IMDIV("1",IMSUM(G608,IMDIV("1",O608)))</f>
        <v>0</v>
      </c>
      <c r="Q608">
        <f>IMSUM(H608,P608)</f>
        <v>0</v>
      </c>
      <c r="R608">
        <f>IMDIV("1",IMSUM(I608,IMDIV("1",Q608)))</f>
        <v>0</v>
      </c>
      <c r="S608">
        <f>IMSUM(J608,R608)</f>
        <v>0</v>
      </c>
      <c r="T608">
        <f>IMDIV("1",IMSUM(K608,IMDIV("1",S608)))</f>
        <v>0</v>
      </c>
      <c r="U608">
        <f>IMSUM(L608,T608)</f>
        <v>0</v>
      </c>
      <c r="V608">
        <f>IMDIV(COMPLEX(I_DM_SOURCE,0),U608)</f>
        <v>0</v>
      </c>
      <c r="W608">
        <f>IMPRODUCT(V608,T608)</f>
        <v>0</v>
      </c>
      <c r="X608">
        <f>IMDIV(W608,S608)</f>
        <v>0</v>
      </c>
      <c r="Y608">
        <f>IMPRODUCT(X608,R608)</f>
        <v>0</v>
      </c>
      <c r="Z608">
        <f>IMDIV(Y608,Q608)</f>
        <v>0</v>
      </c>
      <c r="AA608">
        <f>IMPRODUCT(Z608,P608)</f>
        <v>0</v>
      </c>
      <c r="AB608">
        <f>AA608</f>
        <v>0</v>
      </c>
      <c r="AC608">
        <f>IMPRODUCT("-1",AB608)</f>
        <v>0</v>
      </c>
      <c r="AD608">
        <f>IMDIV(IMSUB(AB608,AC608),"2")</f>
        <v>0</v>
      </c>
      <c r="AE608" s="6">
        <f>IMABS(AB608)</f>
        <v>0</v>
      </c>
      <c r="AF608" s="6">
        <f>IMABS(AC608)</f>
        <v>0</v>
      </c>
      <c r="AG608" s="6">
        <f>IMABS(AD608)</f>
        <v>0</v>
      </c>
      <c r="AH608" s="7">
        <f>20*LOG10(MAX(AE608,1E-300)*1E6)</f>
        <v>0</v>
      </c>
      <c r="AI608" s="7">
        <f>20*LOG10(MAX(AF608,1E-300)*1E6)</f>
        <v>0</v>
      </c>
      <c r="AJ608" s="7">
        <f>20*LOG10(MAX(AG608,1E-300)*1E6)</f>
        <v>0</v>
      </c>
      <c r="AK608" s="7">
        <f>DEGREES(IMARGUMENT(AB608))</f>
        <v>0</v>
      </c>
      <c r="AL608" s="7">
        <f>DEGREES(IMARGUMENT(AC608))</f>
        <v>0</v>
      </c>
      <c r="AM608" s="7">
        <f>DEGREES(IMARGUMENT(AD608))</f>
        <v>0</v>
      </c>
    </row>
    <row r="609" spans="1:39">
      <c r="A609" s="6">
        <f>10^(LOG10(F_START)+(ROW()-ROW($A$2))*(LOG10(F_STOP)-LOG10(F_START))/(N_POINTS-1))</f>
        <v>0</v>
      </c>
      <c r="B609" s="6">
        <f>2*PI()*A609</f>
        <v>0</v>
      </c>
      <c r="C609">
        <f>COMPLEX(2*LINE_PS_DCR,2*B609*LINE_PS_L)</f>
        <v>0</v>
      </c>
      <c r="D609">
        <f>IMSUM(COMPLEX(0,B609*(LINE_PS_CLINE+LINE_PS_CCHA/2)),IMDIV("1",IMPRODUCT("2",COMPLEX(C_THROUGH_ESR,B609*C_THROUGH_ESL-1/(B609*C_THROUGH_C)))))</f>
        <v>0</v>
      </c>
      <c r="E609">
        <f>COMPLEX(2*LINE_INPUT_DCR,2*B609*LINE_INPUT_L)</f>
        <v>0</v>
      </c>
      <c r="F609">
        <f>COMPLEX(0,B609*(LINE_INPUT_CLINE+LINE_INPUT_CCHA/2))</f>
        <v>0</v>
      </c>
      <c r="G609">
        <f>IMPRODUCT("2",IMDIV("1",IMSUM(IMDIV("1",COMPLEX(LDM1_DCR,B609*LDM1_L)),COMPLEX(0,B609*LDM1_CPA))))</f>
        <v>0</v>
      </c>
      <c r="H609">
        <f>IMSUM(IMDIV("1",COMPLEX(CX1_ESR,B609*CX1_ESL-1/(B609*CX1_C))),IMDIV("1",IMSUM(COMPLEX(DUMP1_R,0),COMPLEX(DUMP1_ESR,B609*DUMP1_ESL-1/(B609*DUMP1_C)))))</f>
        <v>0</v>
      </c>
      <c r="I609">
        <f>IMPRODUCT("2",IMDIV("1",IMSUM(IMDIV("1",COMPLEX(LDM2_DCR,B609*LDM2_L)),COMPLEX(0,B609*LDM2_CPA))))</f>
        <v>0</v>
      </c>
      <c r="J609">
        <f>IMSUM(IMDIV("1",COMPLEX(CX2_ESR,B609*CX2_ESL-1/(B609*CX2_C))),IMDIV("1",IMSUM(COMPLEX(DUMP2_R,0),COMPLEX(DUMP2_ESR,B609*DUMP2_ESL-1/(B609*DUMP2_C)))))</f>
        <v>0</v>
      </c>
      <c r="K609">
        <f>IMPRODUCT("2",IMDIV("1",IMSUM(IMDIV("1",COMPLEX(CMC_DCR,B609*CMC_L*(1-CMC_K))),COMPLEX(0,B609*CMC_CPA))))</f>
        <v>0</v>
      </c>
      <c r="L609">
        <f>IMSUM(COMPLEX(0,B609*CMC_CLINE),IMDIV("1",IMPRODUCT("2",COMPLEX(CY_ESR,B609*CY_ESL-1/(B609*CY_C)))),COMPLEX(1/DUMMY_R,0))</f>
        <v>0</v>
      </c>
      <c r="M609">
        <f>IMSUM(D609,IMDIV("1",C609))</f>
        <v>0</v>
      </c>
      <c r="N609">
        <f>IMDIV("1",IMSUM(E609,IMDIV("1",M609)))</f>
        <v>0</v>
      </c>
      <c r="O609">
        <f>IMSUM(F609,N609)</f>
        <v>0</v>
      </c>
      <c r="P609">
        <f>IMDIV("1",IMSUM(G609,IMDIV("1",O609)))</f>
        <v>0</v>
      </c>
      <c r="Q609">
        <f>IMSUM(H609,P609)</f>
        <v>0</v>
      </c>
      <c r="R609">
        <f>IMDIV("1",IMSUM(I609,IMDIV("1",Q609)))</f>
        <v>0</v>
      </c>
      <c r="S609">
        <f>IMSUM(J609,R609)</f>
        <v>0</v>
      </c>
      <c r="T609">
        <f>IMDIV("1",IMSUM(K609,IMDIV("1",S609)))</f>
        <v>0</v>
      </c>
      <c r="U609">
        <f>IMSUM(L609,T609)</f>
        <v>0</v>
      </c>
      <c r="V609">
        <f>IMDIV(COMPLEX(I_DM_SOURCE,0),U609)</f>
        <v>0</v>
      </c>
      <c r="W609">
        <f>IMPRODUCT(V609,T609)</f>
        <v>0</v>
      </c>
      <c r="X609">
        <f>IMDIV(W609,S609)</f>
        <v>0</v>
      </c>
      <c r="Y609">
        <f>IMPRODUCT(X609,R609)</f>
        <v>0</v>
      </c>
      <c r="Z609">
        <f>IMDIV(Y609,Q609)</f>
        <v>0</v>
      </c>
      <c r="AA609">
        <f>IMPRODUCT(Z609,P609)</f>
        <v>0</v>
      </c>
      <c r="AB609">
        <f>AA609</f>
        <v>0</v>
      </c>
      <c r="AC609">
        <f>IMPRODUCT("-1",AB609)</f>
        <v>0</v>
      </c>
      <c r="AD609">
        <f>IMDIV(IMSUB(AB609,AC609),"2")</f>
        <v>0</v>
      </c>
      <c r="AE609" s="6">
        <f>IMABS(AB609)</f>
        <v>0</v>
      </c>
      <c r="AF609" s="6">
        <f>IMABS(AC609)</f>
        <v>0</v>
      </c>
      <c r="AG609" s="6">
        <f>IMABS(AD609)</f>
        <v>0</v>
      </c>
      <c r="AH609" s="7">
        <f>20*LOG10(MAX(AE609,1E-300)*1E6)</f>
        <v>0</v>
      </c>
      <c r="AI609" s="7">
        <f>20*LOG10(MAX(AF609,1E-300)*1E6)</f>
        <v>0</v>
      </c>
      <c r="AJ609" s="7">
        <f>20*LOG10(MAX(AG609,1E-300)*1E6)</f>
        <v>0</v>
      </c>
      <c r="AK609" s="7">
        <f>DEGREES(IMARGUMENT(AB609))</f>
        <v>0</v>
      </c>
      <c r="AL609" s="7">
        <f>DEGREES(IMARGUMENT(AC609))</f>
        <v>0</v>
      </c>
      <c r="AM609" s="7">
        <f>DEGREES(IMARGUMENT(AD609))</f>
        <v>0</v>
      </c>
    </row>
    <row r="610" spans="1:39">
      <c r="A610" s="6">
        <f>10^(LOG10(F_START)+(ROW()-ROW($A$2))*(LOG10(F_STOP)-LOG10(F_START))/(N_POINTS-1))</f>
        <v>0</v>
      </c>
      <c r="B610" s="6">
        <f>2*PI()*A610</f>
        <v>0</v>
      </c>
      <c r="C610">
        <f>COMPLEX(2*LINE_PS_DCR,2*B610*LINE_PS_L)</f>
        <v>0</v>
      </c>
      <c r="D610">
        <f>IMSUM(COMPLEX(0,B610*(LINE_PS_CLINE+LINE_PS_CCHA/2)),IMDIV("1",IMPRODUCT("2",COMPLEX(C_THROUGH_ESR,B610*C_THROUGH_ESL-1/(B610*C_THROUGH_C)))))</f>
        <v>0</v>
      </c>
      <c r="E610">
        <f>COMPLEX(2*LINE_INPUT_DCR,2*B610*LINE_INPUT_L)</f>
        <v>0</v>
      </c>
      <c r="F610">
        <f>COMPLEX(0,B610*(LINE_INPUT_CLINE+LINE_INPUT_CCHA/2))</f>
        <v>0</v>
      </c>
      <c r="G610">
        <f>IMPRODUCT("2",IMDIV("1",IMSUM(IMDIV("1",COMPLEX(LDM1_DCR,B610*LDM1_L)),COMPLEX(0,B610*LDM1_CPA))))</f>
        <v>0</v>
      </c>
      <c r="H610">
        <f>IMSUM(IMDIV("1",COMPLEX(CX1_ESR,B610*CX1_ESL-1/(B610*CX1_C))),IMDIV("1",IMSUM(COMPLEX(DUMP1_R,0),COMPLEX(DUMP1_ESR,B610*DUMP1_ESL-1/(B610*DUMP1_C)))))</f>
        <v>0</v>
      </c>
      <c r="I610">
        <f>IMPRODUCT("2",IMDIV("1",IMSUM(IMDIV("1",COMPLEX(LDM2_DCR,B610*LDM2_L)),COMPLEX(0,B610*LDM2_CPA))))</f>
        <v>0</v>
      </c>
      <c r="J610">
        <f>IMSUM(IMDIV("1",COMPLEX(CX2_ESR,B610*CX2_ESL-1/(B610*CX2_C))),IMDIV("1",IMSUM(COMPLEX(DUMP2_R,0),COMPLEX(DUMP2_ESR,B610*DUMP2_ESL-1/(B610*DUMP2_C)))))</f>
        <v>0</v>
      </c>
      <c r="K610">
        <f>IMPRODUCT("2",IMDIV("1",IMSUM(IMDIV("1",COMPLEX(CMC_DCR,B610*CMC_L*(1-CMC_K))),COMPLEX(0,B610*CMC_CPA))))</f>
        <v>0</v>
      </c>
      <c r="L610">
        <f>IMSUM(COMPLEX(0,B610*CMC_CLINE),IMDIV("1",IMPRODUCT("2",COMPLEX(CY_ESR,B610*CY_ESL-1/(B610*CY_C)))),COMPLEX(1/DUMMY_R,0))</f>
        <v>0</v>
      </c>
      <c r="M610">
        <f>IMSUM(D610,IMDIV("1",C610))</f>
        <v>0</v>
      </c>
      <c r="N610">
        <f>IMDIV("1",IMSUM(E610,IMDIV("1",M610)))</f>
        <v>0</v>
      </c>
      <c r="O610">
        <f>IMSUM(F610,N610)</f>
        <v>0</v>
      </c>
      <c r="P610">
        <f>IMDIV("1",IMSUM(G610,IMDIV("1",O610)))</f>
        <v>0</v>
      </c>
      <c r="Q610">
        <f>IMSUM(H610,P610)</f>
        <v>0</v>
      </c>
      <c r="R610">
        <f>IMDIV("1",IMSUM(I610,IMDIV("1",Q610)))</f>
        <v>0</v>
      </c>
      <c r="S610">
        <f>IMSUM(J610,R610)</f>
        <v>0</v>
      </c>
      <c r="T610">
        <f>IMDIV("1",IMSUM(K610,IMDIV("1",S610)))</f>
        <v>0</v>
      </c>
      <c r="U610">
        <f>IMSUM(L610,T610)</f>
        <v>0</v>
      </c>
      <c r="V610">
        <f>IMDIV(COMPLEX(I_DM_SOURCE,0),U610)</f>
        <v>0</v>
      </c>
      <c r="W610">
        <f>IMPRODUCT(V610,T610)</f>
        <v>0</v>
      </c>
      <c r="X610">
        <f>IMDIV(W610,S610)</f>
        <v>0</v>
      </c>
      <c r="Y610">
        <f>IMPRODUCT(X610,R610)</f>
        <v>0</v>
      </c>
      <c r="Z610">
        <f>IMDIV(Y610,Q610)</f>
        <v>0</v>
      </c>
      <c r="AA610">
        <f>IMPRODUCT(Z610,P610)</f>
        <v>0</v>
      </c>
      <c r="AB610">
        <f>AA610</f>
        <v>0</v>
      </c>
      <c r="AC610">
        <f>IMPRODUCT("-1",AB610)</f>
        <v>0</v>
      </c>
      <c r="AD610">
        <f>IMDIV(IMSUB(AB610,AC610),"2")</f>
        <v>0</v>
      </c>
      <c r="AE610" s="6">
        <f>IMABS(AB610)</f>
        <v>0</v>
      </c>
      <c r="AF610" s="6">
        <f>IMABS(AC610)</f>
        <v>0</v>
      </c>
      <c r="AG610" s="6">
        <f>IMABS(AD610)</f>
        <v>0</v>
      </c>
      <c r="AH610" s="7">
        <f>20*LOG10(MAX(AE610,1E-300)*1E6)</f>
        <v>0</v>
      </c>
      <c r="AI610" s="7">
        <f>20*LOG10(MAX(AF610,1E-300)*1E6)</f>
        <v>0</v>
      </c>
      <c r="AJ610" s="7">
        <f>20*LOG10(MAX(AG610,1E-300)*1E6)</f>
        <v>0</v>
      </c>
      <c r="AK610" s="7">
        <f>DEGREES(IMARGUMENT(AB610))</f>
        <v>0</v>
      </c>
      <c r="AL610" s="7">
        <f>DEGREES(IMARGUMENT(AC610))</f>
        <v>0</v>
      </c>
      <c r="AM610" s="7">
        <f>DEGREES(IMARGUMENT(AD610))</f>
        <v>0</v>
      </c>
    </row>
    <row r="611" spans="1:39">
      <c r="A611" s="6">
        <f>10^(LOG10(F_START)+(ROW()-ROW($A$2))*(LOG10(F_STOP)-LOG10(F_START))/(N_POINTS-1))</f>
        <v>0</v>
      </c>
      <c r="B611" s="6">
        <f>2*PI()*A611</f>
        <v>0</v>
      </c>
      <c r="C611">
        <f>COMPLEX(2*LINE_PS_DCR,2*B611*LINE_PS_L)</f>
        <v>0</v>
      </c>
      <c r="D611">
        <f>IMSUM(COMPLEX(0,B611*(LINE_PS_CLINE+LINE_PS_CCHA/2)),IMDIV("1",IMPRODUCT("2",COMPLEX(C_THROUGH_ESR,B611*C_THROUGH_ESL-1/(B611*C_THROUGH_C)))))</f>
        <v>0</v>
      </c>
      <c r="E611">
        <f>COMPLEX(2*LINE_INPUT_DCR,2*B611*LINE_INPUT_L)</f>
        <v>0</v>
      </c>
      <c r="F611">
        <f>COMPLEX(0,B611*(LINE_INPUT_CLINE+LINE_INPUT_CCHA/2))</f>
        <v>0</v>
      </c>
      <c r="G611">
        <f>IMPRODUCT("2",IMDIV("1",IMSUM(IMDIV("1",COMPLEX(LDM1_DCR,B611*LDM1_L)),COMPLEX(0,B611*LDM1_CPA))))</f>
        <v>0</v>
      </c>
      <c r="H611">
        <f>IMSUM(IMDIV("1",COMPLEX(CX1_ESR,B611*CX1_ESL-1/(B611*CX1_C))),IMDIV("1",IMSUM(COMPLEX(DUMP1_R,0),COMPLEX(DUMP1_ESR,B611*DUMP1_ESL-1/(B611*DUMP1_C)))))</f>
        <v>0</v>
      </c>
      <c r="I611">
        <f>IMPRODUCT("2",IMDIV("1",IMSUM(IMDIV("1",COMPLEX(LDM2_DCR,B611*LDM2_L)),COMPLEX(0,B611*LDM2_CPA))))</f>
        <v>0</v>
      </c>
      <c r="J611">
        <f>IMSUM(IMDIV("1",COMPLEX(CX2_ESR,B611*CX2_ESL-1/(B611*CX2_C))),IMDIV("1",IMSUM(COMPLEX(DUMP2_R,0),COMPLEX(DUMP2_ESR,B611*DUMP2_ESL-1/(B611*DUMP2_C)))))</f>
        <v>0</v>
      </c>
      <c r="K611">
        <f>IMPRODUCT("2",IMDIV("1",IMSUM(IMDIV("1",COMPLEX(CMC_DCR,B611*CMC_L*(1-CMC_K))),COMPLEX(0,B611*CMC_CPA))))</f>
        <v>0</v>
      </c>
      <c r="L611">
        <f>IMSUM(COMPLEX(0,B611*CMC_CLINE),IMDIV("1",IMPRODUCT("2",COMPLEX(CY_ESR,B611*CY_ESL-1/(B611*CY_C)))),COMPLEX(1/DUMMY_R,0))</f>
        <v>0</v>
      </c>
      <c r="M611">
        <f>IMSUM(D611,IMDIV("1",C611))</f>
        <v>0</v>
      </c>
      <c r="N611">
        <f>IMDIV("1",IMSUM(E611,IMDIV("1",M611)))</f>
        <v>0</v>
      </c>
      <c r="O611">
        <f>IMSUM(F611,N611)</f>
        <v>0</v>
      </c>
      <c r="P611">
        <f>IMDIV("1",IMSUM(G611,IMDIV("1",O611)))</f>
        <v>0</v>
      </c>
      <c r="Q611">
        <f>IMSUM(H611,P611)</f>
        <v>0</v>
      </c>
      <c r="R611">
        <f>IMDIV("1",IMSUM(I611,IMDIV("1",Q611)))</f>
        <v>0</v>
      </c>
      <c r="S611">
        <f>IMSUM(J611,R611)</f>
        <v>0</v>
      </c>
      <c r="T611">
        <f>IMDIV("1",IMSUM(K611,IMDIV("1",S611)))</f>
        <v>0</v>
      </c>
      <c r="U611">
        <f>IMSUM(L611,T611)</f>
        <v>0</v>
      </c>
      <c r="V611">
        <f>IMDIV(COMPLEX(I_DM_SOURCE,0),U611)</f>
        <v>0</v>
      </c>
      <c r="W611">
        <f>IMPRODUCT(V611,T611)</f>
        <v>0</v>
      </c>
      <c r="X611">
        <f>IMDIV(W611,S611)</f>
        <v>0</v>
      </c>
      <c r="Y611">
        <f>IMPRODUCT(X611,R611)</f>
        <v>0</v>
      </c>
      <c r="Z611">
        <f>IMDIV(Y611,Q611)</f>
        <v>0</v>
      </c>
      <c r="AA611">
        <f>IMPRODUCT(Z611,P611)</f>
        <v>0</v>
      </c>
      <c r="AB611">
        <f>AA611</f>
        <v>0</v>
      </c>
      <c r="AC611">
        <f>IMPRODUCT("-1",AB611)</f>
        <v>0</v>
      </c>
      <c r="AD611">
        <f>IMDIV(IMSUB(AB611,AC611),"2")</f>
        <v>0</v>
      </c>
      <c r="AE611" s="6">
        <f>IMABS(AB611)</f>
        <v>0</v>
      </c>
      <c r="AF611" s="6">
        <f>IMABS(AC611)</f>
        <v>0</v>
      </c>
      <c r="AG611" s="6">
        <f>IMABS(AD611)</f>
        <v>0</v>
      </c>
      <c r="AH611" s="7">
        <f>20*LOG10(MAX(AE611,1E-300)*1E6)</f>
        <v>0</v>
      </c>
      <c r="AI611" s="7">
        <f>20*LOG10(MAX(AF611,1E-300)*1E6)</f>
        <v>0</v>
      </c>
      <c r="AJ611" s="7">
        <f>20*LOG10(MAX(AG611,1E-300)*1E6)</f>
        <v>0</v>
      </c>
      <c r="AK611" s="7">
        <f>DEGREES(IMARGUMENT(AB611))</f>
        <v>0</v>
      </c>
      <c r="AL611" s="7">
        <f>DEGREES(IMARGUMENT(AC611))</f>
        <v>0</v>
      </c>
      <c r="AM611" s="7">
        <f>DEGREES(IMARGUMENT(AD611))</f>
        <v>0</v>
      </c>
    </row>
    <row r="612" spans="1:39">
      <c r="A612" s="6">
        <f>10^(LOG10(F_START)+(ROW()-ROW($A$2))*(LOG10(F_STOP)-LOG10(F_START))/(N_POINTS-1))</f>
        <v>0</v>
      </c>
      <c r="B612" s="6">
        <f>2*PI()*A612</f>
        <v>0</v>
      </c>
      <c r="C612">
        <f>COMPLEX(2*LINE_PS_DCR,2*B612*LINE_PS_L)</f>
        <v>0</v>
      </c>
      <c r="D612">
        <f>IMSUM(COMPLEX(0,B612*(LINE_PS_CLINE+LINE_PS_CCHA/2)),IMDIV("1",IMPRODUCT("2",COMPLEX(C_THROUGH_ESR,B612*C_THROUGH_ESL-1/(B612*C_THROUGH_C)))))</f>
        <v>0</v>
      </c>
      <c r="E612">
        <f>COMPLEX(2*LINE_INPUT_DCR,2*B612*LINE_INPUT_L)</f>
        <v>0</v>
      </c>
      <c r="F612">
        <f>COMPLEX(0,B612*(LINE_INPUT_CLINE+LINE_INPUT_CCHA/2))</f>
        <v>0</v>
      </c>
      <c r="G612">
        <f>IMPRODUCT("2",IMDIV("1",IMSUM(IMDIV("1",COMPLEX(LDM1_DCR,B612*LDM1_L)),COMPLEX(0,B612*LDM1_CPA))))</f>
        <v>0</v>
      </c>
      <c r="H612">
        <f>IMSUM(IMDIV("1",COMPLEX(CX1_ESR,B612*CX1_ESL-1/(B612*CX1_C))),IMDIV("1",IMSUM(COMPLEX(DUMP1_R,0),COMPLEX(DUMP1_ESR,B612*DUMP1_ESL-1/(B612*DUMP1_C)))))</f>
        <v>0</v>
      </c>
      <c r="I612">
        <f>IMPRODUCT("2",IMDIV("1",IMSUM(IMDIV("1",COMPLEX(LDM2_DCR,B612*LDM2_L)),COMPLEX(0,B612*LDM2_CPA))))</f>
        <v>0</v>
      </c>
      <c r="J612">
        <f>IMSUM(IMDIV("1",COMPLEX(CX2_ESR,B612*CX2_ESL-1/(B612*CX2_C))),IMDIV("1",IMSUM(COMPLEX(DUMP2_R,0),COMPLEX(DUMP2_ESR,B612*DUMP2_ESL-1/(B612*DUMP2_C)))))</f>
        <v>0</v>
      </c>
      <c r="K612">
        <f>IMPRODUCT("2",IMDIV("1",IMSUM(IMDIV("1",COMPLEX(CMC_DCR,B612*CMC_L*(1-CMC_K))),COMPLEX(0,B612*CMC_CPA))))</f>
        <v>0</v>
      </c>
      <c r="L612">
        <f>IMSUM(COMPLEX(0,B612*CMC_CLINE),IMDIV("1",IMPRODUCT("2",COMPLEX(CY_ESR,B612*CY_ESL-1/(B612*CY_C)))),COMPLEX(1/DUMMY_R,0))</f>
        <v>0</v>
      </c>
      <c r="M612">
        <f>IMSUM(D612,IMDIV("1",C612))</f>
        <v>0</v>
      </c>
      <c r="N612">
        <f>IMDIV("1",IMSUM(E612,IMDIV("1",M612)))</f>
        <v>0</v>
      </c>
      <c r="O612">
        <f>IMSUM(F612,N612)</f>
        <v>0</v>
      </c>
      <c r="P612">
        <f>IMDIV("1",IMSUM(G612,IMDIV("1",O612)))</f>
        <v>0</v>
      </c>
      <c r="Q612">
        <f>IMSUM(H612,P612)</f>
        <v>0</v>
      </c>
      <c r="R612">
        <f>IMDIV("1",IMSUM(I612,IMDIV("1",Q612)))</f>
        <v>0</v>
      </c>
      <c r="S612">
        <f>IMSUM(J612,R612)</f>
        <v>0</v>
      </c>
      <c r="T612">
        <f>IMDIV("1",IMSUM(K612,IMDIV("1",S612)))</f>
        <v>0</v>
      </c>
      <c r="U612">
        <f>IMSUM(L612,T612)</f>
        <v>0</v>
      </c>
      <c r="V612">
        <f>IMDIV(COMPLEX(I_DM_SOURCE,0),U612)</f>
        <v>0</v>
      </c>
      <c r="W612">
        <f>IMPRODUCT(V612,T612)</f>
        <v>0</v>
      </c>
      <c r="X612">
        <f>IMDIV(W612,S612)</f>
        <v>0</v>
      </c>
      <c r="Y612">
        <f>IMPRODUCT(X612,R612)</f>
        <v>0</v>
      </c>
      <c r="Z612">
        <f>IMDIV(Y612,Q612)</f>
        <v>0</v>
      </c>
      <c r="AA612">
        <f>IMPRODUCT(Z612,P612)</f>
        <v>0</v>
      </c>
      <c r="AB612">
        <f>AA612</f>
        <v>0</v>
      </c>
      <c r="AC612">
        <f>IMPRODUCT("-1",AB612)</f>
        <v>0</v>
      </c>
      <c r="AD612">
        <f>IMDIV(IMSUB(AB612,AC612),"2")</f>
        <v>0</v>
      </c>
      <c r="AE612" s="6">
        <f>IMABS(AB612)</f>
        <v>0</v>
      </c>
      <c r="AF612" s="6">
        <f>IMABS(AC612)</f>
        <v>0</v>
      </c>
      <c r="AG612" s="6">
        <f>IMABS(AD612)</f>
        <v>0</v>
      </c>
      <c r="AH612" s="7">
        <f>20*LOG10(MAX(AE612,1E-300)*1E6)</f>
        <v>0</v>
      </c>
      <c r="AI612" s="7">
        <f>20*LOG10(MAX(AF612,1E-300)*1E6)</f>
        <v>0</v>
      </c>
      <c r="AJ612" s="7">
        <f>20*LOG10(MAX(AG612,1E-300)*1E6)</f>
        <v>0</v>
      </c>
      <c r="AK612" s="7">
        <f>DEGREES(IMARGUMENT(AB612))</f>
        <v>0</v>
      </c>
      <c r="AL612" s="7">
        <f>DEGREES(IMARGUMENT(AC612))</f>
        <v>0</v>
      </c>
      <c r="AM612" s="7">
        <f>DEGREES(IMARGUMENT(AD612))</f>
        <v>0</v>
      </c>
    </row>
    <row r="613" spans="1:39">
      <c r="A613" s="6">
        <f>10^(LOG10(F_START)+(ROW()-ROW($A$2))*(LOG10(F_STOP)-LOG10(F_START))/(N_POINTS-1))</f>
        <v>0</v>
      </c>
      <c r="B613" s="6">
        <f>2*PI()*A613</f>
        <v>0</v>
      </c>
      <c r="C613">
        <f>COMPLEX(2*LINE_PS_DCR,2*B613*LINE_PS_L)</f>
        <v>0</v>
      </c>
      <c r="D613">
        <f>IMSUM(COMPLEX(0,B613*(LINE_PS_CLINE+LINE_PS_CCHA/2)),IMDIV("1",IMPRODUCT("2",COMPLEX(C_THROUGH_ESR,B613*C_THROUGH_ESL-1/(B613*C_THROUGH_C)))))</f>
        <v>0</v>
      </c>
      <c r="E613">
        <f>COMPLEX(2*LINE_INPUT_DCR,2*B613*LINE_INPUT_L)</f>
        <v>0</v>
      </c>
      <c r="F613">
        <f>COMPLEX(0,B613*(LINE_INPUT_CLINE+LINE_INPUT_CCHA/2))</f>
        <v>0</v>
      </c>
      <c r="G613">
        <f>IMPRODUCT("2",IMDIV("1",IMSUM(IMDIV("1",COMPLEX(LDM1_DCR,B613*LDM1_L)),COMPLEX(0,B613*LDM1_CPA))))</f>
        <v>0</v>
      </c>
      <c r="H613">
        <f>IMSUM(IMDIV("1",COMPLEX(CX1_ESR,B613*CX1_ESL-1/(B613*CX1_C))),IMDIV("1",IMSUM(COMPLEX(DUMP1_R,0),COMPLEX(DUMP1_ESR,B613*DUMP1_ESL-1/(B613*DUMP1_C)))))</f>
        <v>0</v>
      </c>
      <c r="I613">
        <f>IMPRODUCT("2",IMDIV("1",IMSUM(IMDIV("1",COMPLEX(LDM2_DCR,B613*LDM2_L)),COMPLEX(0,B613*LDM2_CPA))))</f>
        <v>0</v>
      </c>
      <c r="J613">
        <f>IMSUM(IMDIV("1",COMPLEX(CX2_ESR,B613*CX2_ESL-1/(B613*CX2_C))),IMDIV("1",IMSUM(COMPLEX(DUMP2_R,0),COMPLEX(DUMP2_ESR,B613*DUMP2_ESL-1/(B613*DUMP2_C)))))</f>
        <v>0</v>
      </c>
      <c r="K613">
        <f>IMPRODUCT("2",IMDIV("1",IMSUM(IMDIV("1",COMPLEX(CMC_DCR,B613*CMC_L*(1-CMC_K))),COMPLEX(0,B613*CMC_CPA))))</f>
        <v>0</v>
      </c>
      <c r="L613">
        <f>IMSUM(COMPLEX(0,B613*CMC_CLINE),IMDIV("1",IMPRODUCT("2",COMPLEX(CY_ESR,B613*CY_ESL-1/(B613*CY_C)))),COMPLEX(1/DUMMY_R,0))</f>
        <v>0</v>
      </c>
      <c r="M613">
        <f>IMSUM(D613,IMDIV("1",C613))</f>
        <v>0</v>
      </c>
      <c r="N613">
        <f>IMDIV("1",IMSUM(E613,IMDIV("1",M613)))</f>
        <v>0</v>
      </c>
      <c r="O613">
        <f>IMSUM(F613,N613)</f>
        <v>0</v>
      </c>
      <c r="P613">
        <f>IMDIV("1",IMSUM(G613,IMDIV("1",O613)))</f>
        <v>0</v>
      </c>
      <c r="Q613">
        <f>IMSUM(H613,P613)</f>
        <v>0</v>
      </c>
      <c r="R613">
        <f>IMDIV("1",IMSUM(I613,IMDIV("1",Q613)))</f>
        <v>0</v>
      </c>
      <c r="S613">
        <f>IMSUM(J613,R613)</f>
        <v>0</v>
      </c>
      <c r="T613">
        <f>IMDIV("1",IMSUM(K613,IMDIV("1",S613)))</f>
        <v>0</v>
      </c>
      <c r="U613">
        <f>IMSUM(L613,T613)</f>
        <v>0</v>
      </c>
      <c r="V613">
        <f>IMDIV(COMPLEX(I_DM_SOURCE,0),U613)</f>
        <v>0</v>
      </c>
      <c r="W613">
        <f>IMPRODUCT(V613,T613)</f>
        <v>0</v>
      </c>
      <c r="X613">
        <f>IMDIV(W613,S613)</f>
        <v>0</v>
      </c>
      <c r="Y613">
        <f>IMPRODUCT(X613,R613)</f>
        <v>0</v>
      </c>
      <c r="Z613">
        <f>IMDIV(Y613,Q613)</f>
        <v>0</v>
      </c>
      <c r="AA613">
        <f>IMPRODUCT(Z613,P613)</f>
        <v>0</v>
      </c>
      <c r="AB613">
        <f>AA613</f>
        <v>0</v>
      </c>
      <c r="AC613">
        <f>IMPRODUCT("-1",AB613)</f>
        <v>0</v>
      </c>
      <c r="AD613">
        <f>IMDIV(IMSUB(AB613,AC613),"2")</f>
        <v>0</v>
      </c>
      <c r="AE613" s="6">
        <f>IMABS(AB613)</f>
        <v>0</v>
      </c>
      <c r="AF613" s="6">
        <f>IMABS(AC613)</f>
        <v>0</v>
      </c>
      <c r="AG613" s="6">
        <f>IMABS(AD613)</f>
        <v>0</v>
      </c>
      <c r="AH613" s="7">
        <f>20*LOG10(MAX(AE613,1E-300)*1E6)</f>
        <v>0</v>
      </c>
      <c r="AI613" s="7">
        <f>20*LOG10(MAX(AF613,1E-300)*1E6)</f>
        <v>0</v>
      </c>
      <c r="AJ613" s="7">
        <f>20*LOG10(MAX(AG613,1E-300)*1E6)</f>
        <v>0</v>
      </c>
      <c r="AK613" s="7">
        <f>DEGREES(IMARGUMENT(AB613))</f>
        <v>0</v>
      </c>
      <c r="AL613" s="7">
        <f>DEGREES(IMARGUMENT(AC613))</f>
        <v>0</v>
      </c>
      <c r="AM613" s="7">
        <f>DEGREES(IMARGUMENT(AD613))</f>
        <v>0</v>
      </c>
    </row>
    <row r="614" spans="1:39">
      <c r="A614" s="6">
        <f>10^(LOG10(F_START)+(ROW()-ROW($A$2))*(LOG10(F_STOP)-LOG10(F_START))/(N_POINTS-1))</f>
        <v>0</v>
      </c>
      <c r="B614" s="6">
        <f>2*PI()*A614</f>
        <v>0</v>
      </c>
      <c r="C614">
        <f>COMPLEX(2*LINE_PS_DCR,2*B614*LINE_PS_L)</f>
        <v>0</v>
      </c>
      <c r="D614">
        <f>IMSUM(COMPLEX(0,B614*(LINE_PS_CLINE+LINE_PS_CCHA/2)),IMDIV("1",IMPRODUCT("2",COMPLEX(C_THROUGH_ESR,B614*C_THROUGH_ESL-1/(B614*C_THROUGH_C)))))</f>
        <v>0</v>
      </c>
      <c r="E614">
        <f>COMPLEX(2*LINE_INPUT_DCR,2*B614*LINE_INPUT_L)</f>
        <v>0</v>
      </c>
      <c r="F614">
        <f>COMPLEX(0,B614*(LINE_INPUT_CLINE+LINE_INPUT_CCHA/2))</f>
        <v>0</v>
      </c>
      <c r="G614">
        <f>IMPRODUCT("2",IMDIV("1",IMSUM(IMDIV("1",COMPLEX(LDM1_DCR,B614*LDM1_L)),COMPLEX(0,B614*LDM1_CPA))))</f>
        <v>0</v>
      </c>
      <c r="H614">
        <f>IMSUM(IMDIV("1",COMPLEX(CX1_ESR,B614*CX1_ESL-1/(B614*CX1_C))),IMDIV("1",IMSUM(COMPLEX(DUMP1_R,0),COMPLEX(DUMP1_ESR,B614*DUMP1_ESL-1/(B614*DUMP1_C)))))</f>
        <v>0</v>
      </c>
      <c r="I614">
        <f>IMPRODUCT("2",IMDIV("1",IMSUM(IMDIV("1",COMPLEX(LDM2_DCR,B614*LDM2_L)),COMPLEX(0,B614*LDM2_CPA))))</f>
        <v>0</v>
      </c>
      <c r="J614">
        <f>IMSUM(IMDIV("1",COMPLEX(CX2_ESR,B614*CX2_ESL-1/(B614*CX2_C))),IMDIV("1",IMSUM(COMPLEX(DUMP2_R,0),COMPLEX(DUMP2_ESR,B614*DUMP2_ESL-1/(B614*DUMP2_C)))))</f>
        <v>0</v>
      </c>
      <c r="K614">
        <f>IMPRODUCT("2",IMDIV("1",IMSUM(IMDIV("1",COMPLEX(CMC_DCR,B614*CMC_L*(1-CMC_K))),COMPLEX(0,B614*CMC_CPA))))</f>
        <v>0</v>
      </c>
      <c r="L614">
        <f>IMSUM(COMPLEX(0,B614*CMC_CLINE),IMDIV("1",IMPRODUCT("2",COMPLEX(CY_ESR,B614*CY_ESL-1/(B614*CY_C)))),COMPLEX(1/DUMMY_R,0))</f>
        <v>0</v>
      </c>
      <c r="M614">
        <f>IMSUM(D614,IMDIV("1",C614))</f>
        <v>0</v>
      </c>
      <c r="N614">
        <f>IMDIV("1",IMSUM(E614,IMDIV("1",M614)))</f>
        <v>0</v>
      </c>
      <c r="O614">
        <f>IMSUM(F614,N614)</f>
        <v>0</v>
      </c>
      <c r="P614">
        <f>IMDIV("1",IMSUM(G614,IMDIV("1",O614)))</f>
        <v>0</v>
      </c>
      <c r="Q614">
        <f>IMSUM(H614,P614)</f>
        <v>0</v>
      </c>
      <c r="R614">
        <f>IMDIV("1",IMSUM(I614,IMDIV("1",Q614)))</f>
        <v>0</v>
      </c>
      <c r="S614">
        <f>IMSUM(J614,R614)</f>
        <v>0</v>
      </c>
      <c r="T614">
        <f>IMDIV("1",IMSUM(K614,IMDIV("1",S614)))</f>
        <v>0</v>
      </c>
      <c r="U614">
        <f>IMSUM(L614,T614)</f>
        <v>0</v>
      </c>
      <c r="V614">
        <f>IMDIV(COMPLEX(I_DM_SOURCE,0),U614)</f>
        <v>0</v>
      </c>
      <c r="W614">
        <f>IMPRODUCT(V614,T614)</f>
        <v>0</v>
      </c>
      <c r="X614">
        <f>IMDIV(W614,S614)</f>
        <v>0</v>
      </c>
      <c r="Y614">
        <f>IMPRODUCT(X614,R614)</f>
        <v>0</v>
      </c>
      <c r="Z614">
        <f>IMDIV(Y614,Q614)</f>
        <v>0</v>
      </c>
      <c r="AA614">
        <f>IMPRODUCT(Z614,P614)</f>
        <v>0</v>
      </c>
      <c r="AB614">
        <f>AA614</f>
        <v>0</v>
      </c>
      <c r="AC614">
        <f>IMPRODUCT("-1",AB614)</f>
        <v>0</v>
      </c>
      <c r="AD614">
        <f>IMDIV(IMSUB(AB614,AC614),"2")</f>
        <v>0</v>
      </c>
      <c r="AE614" s="6">
        <f>IMABS(AB614)</f>
        <v>0</v>
      </c>
      <c r="AF614" s="6">
        <f>IMABS(AC614)</f>
        <v>0</v>
      </c>
      <c r="AG614" s="6">
        <f>IMABS(AD614)</f>
        <v>0</v>
      </c>
      <c r="AH614" s="7">
        <f>20*LOG10(MAX(AE614,1E-300)*1E6)</f>
        <v>0</v>
      </c>
      <c r="AI614" s="7">
        <f>20*LOG10(MAX(AF614,1E-300)*1E6)</f>
        <v>0</v>
      </c>
      <c r="AJ614" s="7">
        <f>20*LOG10(MAX(AG614,1E-300)*1E6)</f>
        <v>0</v>
      </c>
      <c r="AK614" s="7">
        <f>DEGREES(IMARGUMENT(AB614))</f>
        <v>0</v>
      </c>
      <c r="AL614" s="7">
        <f>DEGREES(IMARGUMENT(AC614))</f>
        <v>0</v>
      </c>
      <c r="AM614" s="7">
        <f>DEGREES(IMARGUMENT(AD614))</f>
        <v>0</v>
      </c>
    </row>
    <row r="615" spans="1:39">
      <c r="A615" s="6">
        <f>10^(LOG10(F_START)+(ROW()-ROW($A$2))*(LOG10(F_STOP)-LOG10(F_START))/(N_POINTS-1))</f>
        <v>0</v>
      </c>
      <c r="B615" s="6">
        <f>2*PI()*A615</f>
        <v>0</v>
      </c>
      <c r="C615">
        <f>COMPLEX(2*LINE_PS_DCR,2*B615*LINE_PS_L)</f>
        <v>0</v>
      </c>
      <c r="D615">
        <f>IMSUM(COMPLEX(0,B615*(LINE_PS_CLINE+LINE_PS_CCHA/2)),IMDIV("1",IMPRODUCT("2",COMPLEX(C_THROUGH_ESR,B615*C_THROUGH_ESL-1/(B615*C_THROUGH_C)))))</f>
        <v>0</v>
      </c>
      <c r="E615">
        <f>COMPLEX(2*LINE_INPUT_DCR,2*B615*LINE_INPUT_L)</f>
        <v>0</v>
      </c>
      <c r="F615">
        <f>COMPLEX(0,B615*(LINE_INPUT_CLINE+LINE_INPUT_CCHA/2))</f>
        <v>0</v>
      </c>
      <c r="G615">
        <f>IMPRODUCT("2",IMDIV("1",IMSUM(IMDIV("1",COMPLEX(LDM1_DCR,B615*LDM1_L)),COMPLEX(0,B615*LDM1_CPA))))</f>
        <v>0</v>
      </c>
      <c r="H615">
        <f>IMSUM(IMDIV("1",COMPLEX(CX1_ESR,B615*CX1_ESL-1/(B615*CX1_C))),IMDIV("1",IMSUM(COMPLEX(DUMP1_R,0),COMPLEX(DUMP1_ESR,B615*DUMP1_ESL-1/(B615*DUMP1_C)))))</f>
        <v>0</v>
      </c>
      <c r="I615">
        <f>IMPRODUCT("2",IMDIV("1",IMSUM(IMDIV("1",COMPLEX(LDM2_DCR,B615*LDM2_L)),COMPLEX(0,B615*LDM2_CPA))))</f>
        <v>0</v>
      </c>
      <c r="J615">
        <f>IMSUM(IMDIV("1",COMPLEX(CX2_ESR,B615*CX2_ESL-1/(B615*CX2_C))),IMDIV("1",IMSUM(COMPLEX(DUMP2_R,0),COMPLEX(DUMP2_ESR,B615*DUMP2_ESL-1/(B615*DUMP2_C)))))</f>
        <v>0</v>
      </c>
      <c r="K615">
        <f>IMPRODUCT("2",IMDIV("1",IMSUM(IMDIV("1",COMPLEX(CMC_DCR,B615*CMC_L*(1-CMC_K))),COMPLEX(0,B615*CMC_CPA))))</f>
        <v>0</v>
      </c>
      <c r="L615">
        <f>IMSUM(COMPLEX(0,B615*CMC_CLINE),IMDIV("1",IMPRODUCT("2",COMPLEX(CY_ESR,B615*CY_ESL-1/(B615*CY_C)))),COMPLEX(1/DUMMY_R,0))</f>
        <v>0</v>
      </c>
      <c r="M615">
        <f>IMSUM(D615,IMDIV("1",C615))</f>
        <v>0</v>
      </c>
      <c r="N615">
        <f>IMDIV("1",IMSUM(E615,IMDIV("1",M615)))</f>
        <v>0</v>
      </c>
      <c r="O615">
        <f>IMSUM(F615,N615)</f>
        <v>0</v>
      </c>
      <c r="P615">
        <f>IMDIV("1",IMSUM(G615,IMDIV("1",O615)))</f>
        <v>0</v>
      </c>
      <c r="Q615">
        <f>IMSUM(H615,P615)</f>
        <v>0</v>
      </c>
      <c r="R615">
        <f>IMDIV("1",IMSUM(I615,IMDIV("1",Q615)))</f>
        <v>0</v>
      </c>
      <c r="S615">
        <f>IMSUM(J615,R615)</f>
        <v>0</v>
      </c>
      <c r="T615">
        <f>IMDIV("1",IMSUM(K615,IMDIV("1",S615)))</f>
        <v>0</v>
      </c>
      <c r="U615">
        <f>IMSUM(L615,T615)</f>
        <v>0</v>
      </c>
      <c r="V615">
        <f>IMDIV(COMPLEX(I_DM_SOURCE,0),U615)</f>
        <v>0</v>
      </c>
      <c r="W615">
        <f>IMPRODUCT(V615,T615)</f>
        <v>0</v>
      </c>
      <c r="X615">
        <f>IMDIV(W615,S615)</f>
        <v>0</v>
      </c>
      <c r="Y615">
        <f>IMPRODUCT(X615,R615)</f>
        <v>0</v>
      </c>
      <c r="Z615">
        <f>IMDIV(Y615,Q615)</f>
        <v>0</v>
      </c>
      <c r="AA615">
        <f>IMPRODUCT(Z615,P615)</f>
        <v>0</v>
      </c>
      <c r="AB615">
        <f>AA615</f>
        <v>0</v>
      </c>
      <c r="AC615">
        <f>IMPRODUCT("-1",AB615)</f>
        <v>0</v>
      </c>
      <c r="AD615">
        <f>IMDIV(IMSUB(AB615,AC615),"2")</f>
        <v>0</v>
      </c>
      <c r="AE615" s="6">
        <f>IMABS(AB615)</f>
        <v>0</v>
      </c>
      <c r="AF615" s="6">
        <f>IMABS(AC615)</f>
        <v>0</v>
      </c>
      <c r="AG615" s="6">
        <f>IMABS(AD615)</f>
        <v>0</v>
      </c>
      <c r="AH615" s="7">
        <f>20*LOG10(MAX(AE615,1E-300)*1E6)</f>
        <v>0</v>
      </c>
      <c r="AI615" s="7">
        <f>20*LOG10(MAX(AF615,1E-300)*1E6)</f>
        <v>0</v>
      </c>
      <c r="AJ615" s="7">
        <f>20*LOG10(MAX(AG615,1E-300)*1E6)</f>
        <v>0</v>
      </c>
      <c r="AK615" s="7">
        <f>DEGREES(IMARGUMENT(AB615))</f>
        <v>0</v>
      </c>
      <c r="AL615" s="7">
        <f>DEGREES(IMARGUMENT(AC615))</f>
        <v>0</v>
      </c>
      <c r="AM615" s="7">
        <f>DEGREES(IMARGUMENT(AD615))</f>
        <v>0</v>
      </c>
    </row>
    <row r="616" spans="1:39">
      <c r="A616" s="6">
        <f>10^(LOG10(F_START)+(ROW()-ROW($A$2))*(LOG10(F_STOP)-LOG10(F_START))/(N_POINTS-1))</f>
        <v>0</v>
      </c>
      <c r="B616" s="6">
        <f>2*PI()*A616</f>
        <v>0</v>
      </c>
      <c r="C616">
        <f>COMPLEX(2*LINE_PS_DCR,2*B616*LINE_PS_L)</f>
        <v>0</v>
      </c>
      <c r="D616">
        <f>IMSUM(COMPLEX(0,B616*(LINE_PS_CLINE+LINE_PS_CCHA/2)),IMDIV("1",IMPRODUCT("2",COMPLEX(C_THROUGH_ESR,B616*C_THROUGH_ESL-1/(B616*C_THROUGH_C)))))</f>
        <v>0</v>
      </c>
      <c r="E616">
        <f>COMPLEX(2*LINE_INPUT_DCR,2*B616*LINE_INPUT_L)</f>
        <v>0</v>
      </c>
      <c r="F616">
        <f>COMPLEX(0,B616*(LINE_INPUT_CLINE+LINE_INPUT_CCHA/2))</f>
        <v>0</v>
      </c>
      <c r="G616">
        <f>IMPRODUCT("2",IMDIV("1",IMSUM(IMDIV("1",COMPLEX(LDM1_DCR,B616*LDM1_L)),COMPLEX(0,B616*LDM1_CPA))))</f>
        <v>0</v>
      </c>
      <c r="H616">
        <f>IMSUM(IMDIV("1",COMPLEX(CX1_ESR,B616*CX1_ESL-1/(B616*CX1_C))),IMDIV("1",IMSUM(COMPLEX(DUMP1_R,0),COMPLEX(DUMP1_ESR,B616*DUMP1_ESL-1/(B616*DUMP1_C)))))</f>
        <v>0</v>
      </c>
      <c r="I616">
        <f>IMPRODUCT("2",IMDIV("1",IMSUM(IMDIV("1",COMPLEX(LDM2_DCR,B616*LDM2_L)),COMPLEX(0,B616*LDM2_CPA))))</f>
        <v>0</v>
      </c>
      <c r="J616">
        <f>IMSUM(IMDIV("1",COMPLEX(CX2_ESR,B616*CX2_ESL-1/(B616*CX2_C))),IMDIV("1",IMSUM(COMPLEX(DUMP2_R,0),COMPLEX(DUMP2_ESR,B616*DUMP2_ESL-1/(B616*DUMP2_C)))))</f>
        <v>0</v>
      </c>
      <c r="K616">
        <f>IMPRODUCT("2",IMDIV("1",IMSUM(IMDIV("1",COMPLEX(CMC_DCR,B616*CMC_L*(1-CMC_K))),COMPLEX(0,B616*CMC_CPA))))</f>
        <v>0</v>
      </c>
      <c r="L616">
        <f>IMSUM(COMPLEX(0,B616*CMC_CLINE),IMDIV("1",IMPRODUCT("2",COMPLEX(CY_ESR,B616*CY_ESL-1/(B616*CY_C)))),COMPLEX(1/DUMMY_R,0))</f>
        <v>0</v>
      </c>
      <c r="M616">
        <f>IMSUM(D616,IMDIV("1",C616))</f>
        <v>0</v>
      </c>
      <c r="N616">
        <f>IMDIV("1",IMSUM(E616,IMDIV("1",M616)))</f>
        <v>0</v>
      </c>
      <c r="O616">
        <f>IMSUM(F616,N616)</f>
        <v>0</v>
      </c>
      <c r="P616">
        <f>IMDIV("1",IMSUM(G616,IMDIV("1",O616)))</f>
        <v>0</v>
      </c>
      <c r="Q616">
        <f>IMSUM(H616,P616)</f>
        <v>0</v>
      </c>
      <c r="R616">
        <f>IMDIV("1",IMSUM(I616,IMDIV("1",Q616)))</f>
        <v>0</v>
      </c>
      <c r="S616">
        <f>IMSUM(J616,R616)</f>
        <v>0</v>
      </c>
      <c r="T616">
        <f>IMDIV("1",IMSUM(K616,IMDIV("1",S616)))</f>
        <v>0</v>
      </c>
      <c r="U616">
        <f>IMSUM(L616,T616)</f>
        <v>0</v>
      </c>
      <c r="V616">
        <f>IMDIV(COMPLEX(I_DM_SOURCE,0),U616)</f>
        <v>0</v>
      </c>
      <c r="W616">
        <f>IMPRODUCT(V616,T616)</f>
        <v>0</v>
      </c>
      <c r="X616">
        <f>IMDIV(W616,S616)</f>
        <v>0</v>
      </c>
      <c r="Y616">
        <f>IMPRODUCT(X616,R616)</f>
        <v>0</v>
      </c>
      <c r="Z616">
        <f>IMDIV(Y616,Q616)</f>
        <v>0</v>
      </c>
      <c r="AA616">
        <f>IMPRODUCT(Z616,P616)</f>
        <v>0</v>
      </c>
      <c r="AB616">
        <f>AA616</f>
        <v>0</v>
      </c>
      <c r="AC616">
        <f>IMPRODUCT("-1",AB616)</f>
        <v>0</v>
      </c>
      <c r="AD616">
        <f>IMDIV(IMSUB(AB616,AC616),"2")</f>
        <v>0</v>
      </c>
      <c r="AE616" s="6">
        <f>IMABS(AB616)</f>
        <v>0</v>
      </c>
      <c r="AF616" s="6">
        <f>IMABS(AC616)</f>
        <v>0</v>
      </c>
      <c r="AG616" s="6">
        <f>IMABS(AD616)</f>
        <v>0</v>
      </c>
      <c r="AH616" s="7">
        <f>20*LOG10(MAX(AE616,1E-300)*1E6)</f>
        <v>0</v>
      </c>
      <c r="AI616" s="7">
        <f>20*LOG10(MAX(AF616,1E-300)*1E6)</f>
        <v>0</v>
      </c>
      <c r="AJ616" s="7">
        <f>20*LOG10(MAX(AG616,1E-300)*1E6)</f>
        <v>0</v>
      </c>
      <c r="AK616" s="7">
        <f>DEGREES(IMARGUMENT(AB616))</f>
        <v>0</v>
      </c>
      <c r="AL616" s="7">
        <f>DEGREES(IMARGUMENT(AC616))</f>
        <v>0</v>
      </c>
      <c r="AM616" s="7">
        <f>DEGREES(IMARGUMENT(AD616))</f>
        <v>0</v>
      </c>
    </row>
    <row r="617" spans="1:39">
      <c r="A617" s="6">
        <f>10^(LOG10(F_START)+(ROW()-ROW($A$2))*(LOG10(F_STOP)-LOG10(F_START))/(N_POINTS-1))</f>
        <v>0</v>
      </c>
      <c r="B617" s="6">
        <f>2*PI()*A617</f>
        <v>0</v>
      </c>
      <c r="C617">
        <f>COMPLEX(2*LINE_PS_DCR,2*B617*LINE_PS_L)</f>
        <v>0</v>
      </c>
      <c r="D617">
        <f>IMSUM(COMPLEX(0,B617*(LINE_PS_CLINE+LINE_PS_CCHA/2)),IMDIV("1",IMPRODUCT("2",COMPLEX(C_THROUGH_ESR,B617*C_THROUGH_ESL-1/(B617*C_THROUGH_C)))))</f>
        <v>0</v>
      </c>
      <c r="E617">
        <f>COMPLEX(2*LINE_INPUT_DCR,2*B617*LINE_INPUT_L)</f>
        <v>0</v>
      </c>
      <c r="F617">
        <f>COMPLEX(0,B617*(LINE_INPUT_CLINE+LINE_INPUT_CCHA/2))</f>
        <v>0</v>
      </c>
      <c r="G617">
        <f>IMPRODUCT("2",IMDIV("1",IMSUM(IMDIV("1",COMPLEX(LDM1_DCR,B617*LDM1_L)),COMPLEX(0,B617*LDM1_CPA))))</f>
        <v>0</v>
      </c>
      <c r="H617">
        <f>IMSUM(IMDIV("1",COMPLEX(CX1_ESR,B617*CX1_ESL-1/(B617*CX1_C))),IMDIV("1",IMSUM(COMPLEX(DUMP1_R,0),COMPLEX(DUMP1_ESR,B617*DUMP1_ESL-1/(B617*DUMP1_C)))))</f>
        <v>0</v>
      </c>
      <c r="I617">
        <f>IMPRODUCT("2",IMDIV("1",IMSUM(IMDIV("1",COMPLEX(LDM2_DCR,B617*LDM2_L)),COMPLEX(0,B617*LDM2_CPA))))</f>
        <v>0</v>
      </c>
      <c r="J617">
        <f>IMSUM(IMDIV("1",COMPLEX(CX2_ESR,B617*CX2_ESL-1/(B617*CX2_C))),IMDIV("1",IMSUM(COMPLEX(DUMP2_R,0),COMPLEX(DUMP2_ESR,B617*DUMP2_ESL-1/(B617*DUMP2_C)))))</f>
        <v>0</v>
      </c>
      <c r="K617">
        <f>IMPRODUCT("2",IMDIV("1",IMSUM(IMDIV("1",COMPLEX(CMC_DCR,B617*CMC_L*(1-CMC_K))),COMPLEX(0,B617*CMC_CPA))))</f>
        <v>0</v>
      </c>
      <c r="L617">
        <f>IMSUM(COMPLEX(0,B617*CMC_CLINE),IMDIV("1",IMPRODUCT("2",COMPLEX(CY_ESR,B617*CY_ESL-1/(B617*CY_C)))),COMPLEX(1/DUMMY_R,0))</f>
        <v>0</v>
      </c>
      <c r="M617">
        <f>IMSUM(D617,IMDIV("1",C617))</f>
        <v>0</v>
      </c>
      <c r="N617">
        <f>IMDIV("1",IMSUM(E617,IMDIV("1",M617)))</f>
        <v>0</v>
      </c>
      <c r="O617">
        <f>IMSUM(F617,N617)</f>
        <v>0</v>
      </c>
      <c r="P617">
        <f>IMDIV("1",IMSUM(G617,IMDIV("1",O617)))</f>
        <v>0</v>
      </c>
      <c r="Q617">
        <f>IMSUM(H617,P617)</f>
        <v>0</v>
      </c>
      <c r="R617">
        <f>IMDIV("1",IMSUM(I617,IMDIV("1",Q617)))</f>
        <v>0</v>
      </c>
      <c r="S617">
        <f>IMSUM(J617,R617)</f>
        <v>0</v>
      </c>
      <c r="T617">
        <f>IMDIV("1",IMSUM(K617,IMDIV("1",S617)))</f>
        <v>0</v>
      </c>
      <c r="U617">
        <f>IMSUM(L617,T617)</f>
        <v>0</v>
      </c>
      <c r="V617">
        <f>IMDIV(COMPLEX(I_DM_SOURCE,0),U617)</f>
        <v>0</v>
      </c>
      <c r="W617">
        <f>IMPRODUCT(V617,T617)</f>
        <v>0</v>
      </c>
      <c r="X617">
        <f>IMDIV(W617,S617)</f>
        <v>0</v>
      </c>
      <c r="Y617">
        <f>IMPRODUCT(X617,R617)</f>
        <v>0</v>
      </c>
      <c r="Z617">
        <f>IMDIV(Y617,Q617)</f>
        <v>0</v>
      </c>
      <c r="AA617">
        <f>IMPRODUCT(Z617,P617)</f>
        <v>0</v>
      </c>
      <c r="AB617">
        <f>AA617</f>
        <v>0</v>
      </c>
      <c r="AC617">
        <f>IMPRODUCT("-1",AB617)</f>
        <v>0</v>
      </c>
      <c r="AD617">
        <f>IMDIV(IMSUB(AB617,AC617),"2")</f>
        <v>0</v>
      </c>
      <c r="AE617" s="6">
        <f>IMABS(AB617)</f>
        <v>0</v>
      </c>
      <c r="AF617" s="6">
        <f>IMABS(AC617)</f>
        <v>0</v>
      </c>
      <c r="AG617" s="6">
        <f>IMABS(AD617)</f>
        <v>0</v>
      </c>
      <c r="AH617" s="7">
        <f>20*LOG10(MAX(AE617,1E-300)*1E6)</f>
        <v>0</v>
      </c>
      <c r="AI617" s="7">
        <f>20*LOG10(MAX(AF617,1E-300)*1E6)</f>
        <v>0</v>
      </c>
      <c r="AJ617" s="7">
        <f>20*LOG10(MAX(AG617,1E-300)*1E6)</f>
        <v>0</v>
      </c>
      <c r="AK617" s="7">
        <f>DEGREES(IMARGUMENT(AB617))</f>
        <v>0</v>
      </c>
      <c r="AL617" s="7">
        <f>DEGREES(IMARGUMENT(AC617))</f>
        <v>0</v>
      </c>
      <c r="AM617" s="7">
        <f>DEGREES(IMARGUMENT(AD617))</f>
        <v>0</v>
      </c>
    </row>
    <row r="618" spans="1:39">
      <c r="A618" s="6">
        <f>10^(LOG10(F_START)+(ROW()-ROW($A$2))*(LOG10(F_STOP)-LOG10(F_START))/(N_POINTS-1))</f>
        <v>0</v>
      </c>
      <c r="B618" s="6">
        <f>2*PI()*A618</f>
        <v>0</v>
      </c>
      <c r="C618">
        <f>COMPLEX(2*LINE_PS_DCR,2*B618*LINE_PS_L)</f>
        <v>0</v>
      </c>
      <c r="D618">
        <f>IMSUM(COMPLEX(0,B618*(LINE_PS_CLINE+LINE_PS_CCHA/2)),IMDIV("1",IMPRODUCT("2",COMPLEX(C_THROUGH_ESR,B618*C_THROUGH_ESL-1/(B618*C_THROUGH_C)))))</f>
        <v>0</v>
      </c>
      <c r="E618">
        <f>COMPLEX(2*LINE_INPUT_DCR,2*B618*LINE_INPUT_L)</f>
        <v>0</v>
      </c>
      <c r="F618">
        <f>COMPLEX(0,B618*(LINE_INPUT_CLINE+LINE_INPUT_CCHA/2))</f>
        <v>0</v>
      </c>
      <c r="G618">
        <f>IMPRODUCT("2",IMDIV("1",IMSUM(IMDIV("1",COMPLEX(LDM1_DCR,B618*LDM1_L)),COMPLEX(0,B618*LDM1_CPA))))</f>
        <v>0</v>
      </c>
      <c r="H618">
        <f>IMSUM(IMDIV("1",COMPLEX(CX1_ESR,B618*CX1_ESL-1/(B618*CX1_C))),IMDIV("1",IMSUM(COMPLEX(DUMP1_R,0),COMPLEX(DUMP1_ESR,B618*DUMP1_ESL-1/(B618*DUMP1_C)))))</f>
        <v>0</v>
      </c>
      <c r="I618">
        <f>IMPRODUCT("2",IMDIV("1",IMSUM(IMDIV("1",COMPLEX(LDM2_DCR,B618*LDM2_L)),COMPLEX(0,B618*LDM2_CPA))))</f>
        <v>0</v>
      </c>
      <c r="J618">
        <f>IMSUM(IMDIV("1",COMPLEX(CX2_ESR,B618*CX2_ESL-1/(B618*CX2_C))),IMDIV("1",IMSUM(COMPLEX(DUMP2_R,0),COMPLEX(DUMP2_ESR,B618*DUMP2_ESL-1/(B618*DUMP2_C)))))</f>
        <v>0</v>
      </c>
      <c r="K618">
        <f>IMPRODUCT("2",IMDIV("1",IMSUM(IMDIV("1",COMPLEX(CMC_DCR,B618*CMC_L*(1-CMC_K))),COMPLEX(0,B618*CMC_CPA))))</f>
        <v>0</v>
      </c>
      <c r="L618">
        <f>IMSUM(COMPLEX(0,B618*CMC_CLINE),IMDIV("1",IMPRODUCT("2",COMPLEX(CY_ESR,B618*CY_ESL-1/(B618*CY_C)))),COMPLEX(1/DUMMY_R,0))</f>
        <v>0</v>
      </c>
      <c r="M618">
        <f>IMSUM(D618,IMDIV("1",C618))</f>
        <v>0</v>
      </c>
      <c r="N618">
        <f>IMDIV("1",IMSUM(E618,IMDIV("1",M618)))</f>
        <v>0</v>
      </c>
      <c r="O618">
        <f>IMSUM(F618,N618)</f>
        <v>0</v>
      </c>
      <c r="P618">
        <f>IMDIV("1",IMSUM(G618,IMDIV("1",O618)))</f>
        <v>0</v>
      </c>
      <c r="Q618">
        <f>IMSUM(H618,P618)</f>
        <v>0</v>
      </c>
      <c r="R618">
        <f>IMDIV("1",IMSUM(I618,IMDIV("1",Q618)))</f>
        <v>0</v>
      </c>
      <c r="S618">
        <f>IMSUM(J618,R618)</f>
        <v>0</v>
      </c>
      <c r="T618">
        <f>IMDIV("1",IMSUM(K618,IMDIV("1",S618)))</f>
        <v>0</v>
      </c>
      <c r="U618">
        <f>IMSUM(L618,T618)</f>
        <v>0</v>
      </c>
      <c r="V618">
        <f>IMDIV(COMPLEX(I_DM_SOURCE,0),U618)</f>
        <v>0</v>
      </c>
      <c r="W618">
        <f>IMPRODUCT(V618,T618)</f>
        <v>0</v>
      </c>
      <c r="X618">
        <f>IMDIV(W618,S618)</f>
        <v>0</v>
      </c>
      <c r="Y618">
        <f>IMPRODUCT(X618,R618)</f>
        <v>0</v>
      </c>
      <c r="Z618">
        <f>IMDIV(Y618,Q618)</f>
        <v>0</v>
      </c>
      <c r="AA618">
        <f>IMPRODUCT(Z618,P618)</f>
        <v>0</v>
      </c>
      <c r="AB618">
        <f>AA618</f>
        <v>0</v>
      </c>
      <c r="AC618">
        <f>IMPRODUCT("-1",AB618)</f>
        <v>0</v>
      </c>
      <c r="AD618">
        <f>IMDIV(IMSUB(AB618,AC618),"2")</f>
        <v>0</v>
      </c>
      <c r="AE618" s="6">
        <f>IMABS(AB618)</f>
        <v>0</v>
      </c>
      <c r="AF618" s="6">
        <f>IMABS(AC618)</f>
        <v>0</v>
      </c>
      <c r="AG618" s="6">
        <f>IMABS(AD618)</f>
        <v>0</v>
      </c>
      <c r="AH618" s="7">
        <f>20*LOG10(MAX(AE618,1E-300)*1E6)</f>
        <v>0</v>
      </c>
      <c r="AI618" s="7">
        <f>20*LOG10(MAX(AF618,1E-300)*1E6)</f>
        <v>0</v>
      </c>
      <c r="AJ618" s="7">
        <f>20*LOG10(MAX(AG618,1E-300)*1E6)</f>
        <v>0</v>
      </c>
      <c r="AK618" s="7">
        <f>DEGREES(IMARGUMENT(AB618))</f>
        <v>0</v>
      </c>
      <c r="AL618" s="7">
        <f>DEGREES(IMARGUMENT(AC618))</f>
        <v>0</v>
      </c>
      <c r="AM618" s="7">
        <f>DEGREES(IMARGUMENT(AD618))</f>
        <v>0</v>
      </c>
    </row>
    <row r="619" spans="1:39">
      <c r="A619" s="6">
        <f>10^(LOG10(F_START)+(ROW()-ROW($A$2))*(LOG10(F_STOP)-LOG10(F_START))/(N_POINTS-1))</f>
        <v>0</v>
      </c>
      <c r="B619" s="6">
        <f>2*PI()*A619</f>
        <v>0</v>
      </c>
      <c r="C619">
        <f>COMPLEX(2*LINE_PS_DCR,2*B619*LINE_PS_L)</f>
        <v>0</v>
      </c>
      <c r="D619">
        <f>IMSUM(COMPLEX(0,B619*(LINE_PS_CLINE+LINE_PS_CCHA/2)),IMDIV("1",IMPRODUCT("2",COMPLEX(C_THROUGH_ESR,B619*C_THROUGH_ESL-1/(B619*C_THROUGH_C)))))</f>
        <v>0</v>
      </c>
      <c r="E619">
        <f>COMPLEX(2*LINE_INPUT_DCR,2*B619*LINE_INPUT_L)</f>
        <v>0</v>
      </c>
      <c r="F619">
        <f>COMPLEX(0,B619*(LINE_INPUT_CLINE+LINE_INPUT_CCHA/2))</f>
        <v>0</v>
      </c>
      <c r="G619">
        <f>IMPRODUCT("2",IMDIV("1",IMSUM(IMDIV("1",COMPLEX(LDM1_DCR,B619*LDM1_L)),COMPLEX(0,B619*LDM1_CPA))))</f>
        <v>0</v>
      </c>
      <c r="H619">
        <f>IMSUM(IMDIV("1",COMPLEX(CX1_ESR,B619*CX1_ESL-1/(B619*CX1_C))),IMDIV("1",IMSUM(COMPLEX(DUMP1_R,0),COMPLEX(DUMP1_ESR,B619*DUMP1_ESL-1/(B619*DUMP1_C)))))</f>
        <v>0</v>
      </c>
      <c r="I619">
        <f>IMPRODUCT("2",IMDIV("1",IMSUM(IMDIV("1",COMPLEX(LDM2_DCR,B619*LDM2_L)),COMPLEX(0,B619*LDM2_CPA))))</f>
        <v>0</v>
      </c>
      <c r="J619">
        <f>IMSUM(IMDIV("1",COMPLEX(CX2_ESR,B619*CX2_ESL-1/(B619*CX2_C))),IMDIV("1",IMSUM(COMPLEX(DUMP2_R,0),COMPLEX(DUMP2_ESR,B619*DUMP2_ESL-1/(B619*DUMP2_C)))))</f>
        <v>0</v>
      </c>
      <c r="K619">
        <f>IMPRODUCT("2",IMDIV("1",IMSUM(IMDIV("1",COMPLEX(CMC_DCR,B619*CMC_L*(1-CMC_K))),COMPLEX(0,B619*CMC_CPA))))</f>
        <v>0</v>
      </c>
      <c r="L619">
        <f>IMSUM(COMPLEX(0,B619*CMC_CLINE),IMDIV("1",IMPRODUCT("2",COMPLEX(CY_ESR,B619*CY_ESL-1/(B619*CY_C)))),COMPLEX(1/DUMMY_R,0))</f>
        <v>0</v>
      </c>
      <c r="M619">
        <f>IMSUM(D619,IMDIV("1",C619))</f>
        <v>0</v>
      </c>
      <c r="N619">
        <f>IMDIV("1",IMSUM(E619,IMDIV("1",M619)))</f>
        <v>0</v>
      </c>
      <c r="O619">
        <f>IMSUM(F619,N619)</f>
        <v>0</v>
      </c>
      <c r="P619">
        <f>IMDIV("1",IMSUM(G619,IMDIV("1",O619)))</f>
        <v>0</v>
      </c>
      <c r="Q619">
        <f>IMSUM(H619,P619)</f>
        <v>0</v>
      </c>
      <c r="R619">
        <f>IMDIV("1",IMSUM(I619,IMDIV("1",Q619)))</f>
        <v>0</v>
      </c>
      <c r="S619">
        <f>IMSUM(J619,R619)</f>
        <v>0</v>
      </c>
      <c r="T619">
        <f>IMDIV("1",IMSUM(K619,IMDIV("1",S619)))</f>
        <v>0</v>
      </c>
      <c r="U619">
        <f>IMSUM(L619,T619)</f>
        <v>0</v>
      </c>
      <c r="V619">
        <f>IMDIV(COMPLEX(I_DM_SOURCE,0),U619)</f>
        <v>0</v>
      </c>
      <c r="W619">
        <f>IMPRODUCT(V619,T619)</f>
        <v>0</v>
      </c>
      <c r="X619">
        <f>IMDIV(W619,S619)</f>
        <v>0</v>
      </c>
      <c r="Y619">
        <f>IMPRODUCT(X619,R619)</f>
        <v>0</v>
      </c>
      <c r="Z619">
        <f>IMDIV(Y619,Q619)</f>
        <v>0</v>
      </c>
      <c r="AA619">
        <f>IMPRODUCT(Z619,P619)</f>
        <v>0</v>
      </c>
      <c r="AB619">
        <f>AA619</f>
        <v>0</v>
      </c>
      <c r="AC619">
        <f>IMPRODUCT("-1",AB619)</f>
        <v>0</v>
      </c>
      <c r="AD619">
        <f>IMDIV(IMSUB(AB619,AC619),"2")</f>
        <v>0</v>
      </c>
      <c r="AE619" s="6">
        <f>IMABS(AB619)</f>
        <v>0</v>
      </c>
      <c r="AF619" s="6">
        <f>IMABS(AC619)</f>
        <v>0</v>
      </c>
      <c r="AG619" s="6">
        <f>IMABS(AD619)</f>
        <v>0</v>
      </c>
      <c r="AH619" s="7">
        <f>20*LOG10(MAX(AE619,1E-300)*1E6)</f>
        <v>0</v>
      </c>
      <c r="AI619" s="7">
        <f>20*LOG10(MAX(AF619,1E-300)*1E6)</f>
        <v>0</v>
      </c>
      <c r="AJ619" s="7">
        <f>20*LOG10(MAX(AG619,1E-300)*1E6)</f>
        <v>0</v>
      </c>
      <c r="AK619" s="7">
        <f>DEGREES(IMARGUMENT(AB619))</f>
        <v>0</v>
      </c>
      <c r="AL619" s="7">
        <f>DEGREES(IMARGUMENT(AC619))</f>
        <v>0</v>
      </c>
      <c r="AM619" s="7">
        <f>DEGREES(IMARGUMENT(AD619))</f>
        <v>0</v>
      </c>
    </row>
    <row r="620" spans="1:39">
      <c r="A620" s="6">
        <f>10^(LOG10(F_START)+(ROW()-ROW($A$2))*(LOG10(F_STOP)-LOG10(F_START))/(N_POINTS-1))</f>
        <v>0</v>
      </c>
      <c r="B620" s="6">
        <f>2*PI()*A620</f>
        <v>0</v>
      </c>
      <c r="C620">
        <f>COMPLEX(2*LINE_PS_DCR,2*B620*LINE_PS_L)</f>
        <v>0</v>
      </c>
      <c r="D620">
        <f>IMSUM(COMPLEX(0,B620*(LINE_PS_CLINE+LINE_PS_CCHA/2)),IMDIV("1",IMPRODUCT("2",COMPLEX(C_THROUGH_ESR,B620*C_THROUGH_ESL-1/(B620*C_THROUGH_C)))))</f>
        <v>0</v>
      </c>
      <c r="E620">
        <f>COMPLEX(2*LINE_INPUT_DCR,2*B620*LINE_INPUT_L)</f>
        <v>0</v>
      </c>
      <c r="F620">
        <f>COMPLEX(0,B620*(LINE_INPUT_CLINE+LINE_INPUT_CCHA/2))</f>
        <v>0</v>
      </c>
      <c r="G620">
        <f>IMPRODUCT("2",IMDIV("1",IMSUM(IMDIV("1",COMPLEX(LDM1_DCR,B620*LDM1_L)),COMPLEX(0,B620*LDM1_CPA))))</f>
        <v>0</v>
      </c>
      <c r="H620">
        <f>IMSUM(IMDIV("1",COMPLEX(CX1_ESR,B620*CX1_ESL-1/(B620*CX1_C))),IMDIV("1",IMSUM(COMPLEX(DUMP1_R,0),COMPLEX(DUMP1_ESR,B620*DUMP1_ESL-1/(B620*DUMP1_C)))))</f>
        <v>0</v>
      </c>
      <c r="I620">
        <f>IMPRODUCT("2",IMDIV("1",IMSUM(IMDIV("1",COMPLEX(LDM2_DCR,B620*LDM2_L)),COMPLEX(0,B620*LDM2_CPA))))</f>
        <v>0</v>
      </c>
      <c r="J620">
        <f>IMSUM(IMDIV("1",COMPLEX(CX2_ESR,B620*CX2_ESL-1/(B620*CX2_C))),IMDIV("1",IMSUM(COMPLEX(DUMP2_R,0),COMPLEX(DUMP2_ESR,B620*DUMP2_ESL-1/(B620*DUMP2_C)))))</f>
        <v>0</v>
      </c>
      <c r="K620">
        <f>IMPRODUCT("2",IMDIV("1",IMSUM(IMDIV("1",COMPLEX(CMC_DCR,B620*CMC_L*(1-CMC_K))),COMPLEX(0,B620*CMC_CPA))))</f>
        <v>0</v>
      </c>
      <c r="L620">
        <f>IMSUM(COMPLEX(0,B620*CMC_CLINE),IMDIV("1",IMPRODUCT("2",COMPLEX(CY_ESR,B620*CY_ESL-1/(B620*CY_C)))),COMPLEX(1/DUMMY_R,0))</f>
        <v>0</v>
      </c>
      <c r="M620">
        <f>IMSUM(D620,IMDIV("1",C620))</f>
        <v>0</v>
      </c>
      <c r="N620">
        <f>IMDIV("1",IMSUM(E620,IMDIV("1",M620)))</f>
        <v>0</v>
      </c>
      <c r="O620">
        <f>IMSUM(F620,N620)</f>
        <v>0</v>
      </c>
      <c r="P620">
        <f>IMDIV("1",IMSUM(G620,IMDIV("1",O620)))</f>
        <v>0</v>
      </c>
      <c r="Q620">
        <f>IMSUM(H620,P620)</f>
        <v>0</v>
      </c>
      <c r="R620">
        <f>IMDIV("1",IMSUM(I620,IMDIV("1",Q620)))</f>
        <v>0</v>
      </c>
      <c r="S620">
        <f>IMSUM(J620,R620)</f>
        <v>0</v>
      </c>
      <c r="T620">
        <f>IMDIV("1",IMSUM(K620,IMDIV("1",S620)))</f>
        <v>0</v>
      </c>
      <c r="U620">
        <f>IMSUM(L620,T620)</f>
        <v>0</v>
      </c>
      <c r="V620">
        <f>IMDIV(COMPLEX(I_DM_SOURCE,0),U620)</f>
        <v>0</v>
      </c>
      <c r="W620">
        <f>IMPRODUCT(V620,T620)</f>
        <v>0</v>
      </c>
      <c r="X620">
        <f>IMDIV(W620,S620)</f>
        <v>0</v>
      </c>
      <c r="Y620">
        <f>IMPRODUCT(X620,R620)</f>
        <v>0</v>
      </c>
      <c r="Z620">
        <f>IMDIV(Y620,Q620)</f>
        <v>0</v>
      </c>
      <c r="AA620">
        <f>IMPRODUCT(Z620,P620)</f>
        <v>0</v>
      </c>
      <c r="AB620">
        <f>AA620</f>
        <v>0</v>
      </c>
      <c r="AC620">
        <f>IMPRODUCT("-1",AB620)</f>
        <v>0</v>
      </c>
      <c r="AD620">
        <f>IMDIV(IMSUB(AB620,AC620),"2")</f>
        <v>0</v>
      </c>
      <c r="AE620" s="6">
        <f>IMABS(AB620)</f>
        <v>0</v>
      </c>
      <c r="AF620" s="6">
        <f>IMABS(AC620)</f>
        <v>0</v>
      </c>
      <c r="AG620" s="6">
        <f>IMABS(AD620)</f>
        <v>0</v>
      </c>
      <c r="AH620" s="7">
        <f>20*LOG10(MAX(AE620,1E-300)*1E6)</f>
        <v>0</v>
      </c>
      <c r="AI620" s="7">
        <f>20*LOG10(MAX(AF620,1E-300)*1E6)</f>
        <v>0</v>
      </c>
      <c r="AJ620" s="7">
        <f>20*LOG10(MAX(AG620,1E-300)*1E6)</f>
        <v>0</v>
      </c>
      <c r="AK620" s="7">
        <f>DEGREES(IMARGUMENT(AB620))</f>
        <v>0</v>
      </c>
      <c r="AL620" s="7">
        <f>DEGREES(IMARGUMENT(AC620))</f>
        <v>0</v>
      </c>
      <c r="AM620" s="7">
        <f>DEGREES(IMARGUMENT(AD620))</f>
        <v>0</v>
      </c>
    </row>
    <row r="621" spans="1:39">
      <c r="A621" s="6">
        <f>10^(LOG10(F_START)+(ROW()-ROW($A$2))*(LOG10(F_STOP)-LOG10(F_START))/(N_POINTS-1))</f>
        <v>0</v>
      </c>
      <c r="B621" s="6">
        <f>2*PI()*A621</f>
        <v>0</v>
      </c>
      <c r="C621">
        <f>COMPLEX(2*LINE_PS_DCR,2*B621*LINE_PS_L)</f>
        <v>0</v>
      </c>
      <c r="D621">
        <f>IMSUM(COMPLEX(0,B621*(LINE_PS_CLINE+LINE_PS_CCHA/2)),IMDIV("1",IMPRODUCT("2",COMPLEX(C_THROUGH_ESR,B621*C_THROUGH_ESL-1/(B621*C_THROUGH_C)))))</f>
        <v>0</v>
      </c>
      <c r="E621">
        <f>COMPLEX(2*LINE_INPUT_DCR,2*B621*LINE_INPUT_L)</f>
        <v>0</v>
      </c>
      <c r="F621">
        <f>COMPLEX(0,B621*(LINE_INPUT_CLINE+LINE_INPUT_CCHA/2))</f>
        <v>0</v>
      </c>
      <c r="G621">
        <f>IMPRODUCT("2",IMDIV("1",IMSUM(IMDIV("1",COMPLEX(LDM1_DCR,B621*LDM1_L)),COMPLEX(0,B621*LDM1_CPA))))</f>
        <v>0</v>
      </c>
      <c r="H621">
        <f>IMSUM(IMDIV("1",COMPLEX(CX1_ESR,B621*CX1_ESL-1/(B621*CX1_C))),IMDIV("1",IMSUM(COMPLEX(DUMP1_R,0),COMPLEX(DUMP1_ESR,B621*DUMP1_ESL-1/(B621*DUMP1_C)))))</f>
        <v>0</v>
      </c>
      <c r="I621">
        <f>IMPRODUCT("2",IMDIV("1",IMSUM(IMDIV("1",COMPLEX(LDM2_DCR,B621*LDM2_L)),COMPLEX(0,B621*LDM2_CPA))))</f>
        <v>0</v>
      </c>
      <c r="J621">
        <f>IMSUM(IMDIV("1",COMPLEX(CX2_ESR,B621*CX2_ESL-1/(B621*CX2_C))),IMDIV("1",IMSUM(COMPLEX(DUMP2_R,0),COMPLEX(DUMP2_ESR,B621*DUMP2_ESL-1/(B621*DUMP2_C)))))</f>
        <v>0</v>
      </c>
      <c r="K621">
        <f>IMPRODUCT("2",IMDIV("1",IMSUM(IMDIV("1",COMPLEX(CMC_DCR,B621*CMC_L*(1-CMC_K))),COMPLEX(0,B621*CMC_CPA))))</f>
        <v>0</v>
      </c>
      <c r="L621">
        <f>IMSUM(COMPLEX(0,B621*CMC_CLINE),IMDIV("1",IMPRODUCT("2",COMPLEX(CY_ESR,B621*CY_ESL-1/(B621*CY_C)))),COMPLEX(1/DUMMY_R,0))</f>
        <v>0</v>
      </c>
      <c r="M621">
        <f>IMSUM(D621,IMDIV("1",C621))</f>
        <v>0</v>
      </c>
      <c r="N621">
        <f>IMDIV("1",IMSUM(E621,IMDIV("1",M621)))</f>
        <v>0</v>
      </c>
      <c r="O621">
        <f>IMSUM(F621,N621)</f>
        <v>0</v>
      </c>
      <c r="P621">
        <f>IMDIV("1",IMSUM(G621,IMDIV("1",O621)))</f>
        <v>0</v>
      </c>
      <c r="Q621">
        <f>IMSUM(H621,P621)</f>
        <v>0</v>
      </c>
      <c r="R621">
        <f>IMDIV("1",IMSUM(I621,IMDIV("1",Q621)))</f>
        <v>0</v>
      </c>
      <c r="S621">
        <f>IMSUM(J621,R621)</f>
        <v>0</v>
      </c>
      <c r="T621">
        <f>IMDIV("1",IMSUM(K621,IMDIV("1",S621)))</f>
        <v>0</v>
      </c>
      <c r="U621">
        <f>IMSUM(L621,T621)</f>
        <v>0</v>
      </c>
      <c r="V621">
        <f>IMDIV(COMPLEX(I_DM_SOURCE,0),U621)</f>
        <v>0</v>
      </c>
      <c r="W621">
        <f>IMPRODUCT(V621,T621)</f>
        <v>0</v>
      </c>
      <c r="X621">
        <f>IMDIV(W621,S621)</f>
        <v>0</v>
      </c>
      <c r="Y621">
        <f>IMPRODUCT(X621,R621)</f>
        <v>0</v>
      </c>
      <c r="Z621">
        <f>IMDIV(Y621,Q621)</f>
        <v>0</v>
      </c>
      <c r="AA621">
        <f>IMPRODUCT(Z621,P621)</f>
        <v>0</v>
      </c>
      <c r="AB621">
        <f>AA621</f>
        <v>0</v>
      </c>
      <c r="AC621">
        <f>IMPRODUCT("-1",AB621)</f>
        <v>0</v>
      </c>
      <c r="AD621">
        <f>IMDIV(IMSUB(AB621,AC621),"2")</f>
        <v>0</v>
      </c>
      <c r="AE621" s="6">
        <f>IMABS(AB621)</f>
        <v>0</v>
      </c>
      <c r="AF621" s="6">
        <f>IMABS(AC621)</f>
        <v>0</v>
      </c>
      <c r="AG621" s="6">
        <f>IMABS(AD621)</f>
        <v>0</v>
      </c>
      <c r="AH621" s="7">
        <f>20*LOG10(MAX(AE621,1E-300)*1E6)</f>
        <v>0</v>
      </c>
      <c r="AI621" s="7">
        <f>20*LOG10(MAX(AF621,1E-300)*1E6)</f>
        <v>0</v>
      </c>
      <c r="AJ621" s="7">
        <f>20*LOG10(MAX(AG621,1E-300)*1E6)</f>
        <v>0</v>
      </c>
      <c r="AK621" s="7">
        <f>DEGREES(IMARGUMENT(AB621))</f>
        <v>0</v>
      </c>
      <c r="AL621" s="7">
        <f>DEGREES(IMARGUMENT(AC621))</f>
        <v>0</v>
      </c>
      <c r="AM621" s="7">
        <f>DEGREES(IMARGUMENT(AD621))</f>
        <v>0</v>
      </c>
    </row>
    <row r="622" spans="1:39">
      <c r="A622" s="6">
        <f>10^(LOG10(F_START)+(ROW()-ROW($A$2))*(LOG10(F_STOP)-LOG10(F_START))/(N_POINTS-1))</f>
        <v>0</v>
      </c>
      <c r="B622" s="6">
        <f>2*PI()*A622</f>
        <v>0</v>
      </c>
      <c r="C622">
        <f>COMPLEX(2*LINE_PS_DCR,2*B622*LINE_PS_L)</f>
        <v>0</v>
      </c>
      <c r="D622">
        <f>IMSUM(COMPLEX(0,B622*(LINE_PS_CLINE+LINE_PS_CCHA/2)),IMDIV("1",IMPRODUCT("2",COMPLEX(C_THROUGH_ESR,B622*C_THROUGH_ESL-1/(B622*C_THROUGH_C)))))</f>
        <v>0</v>
      </c>
      <c r="E622">
        <f>COMPLEX(2*LINE_INPUT_DCR,2*B622*LINE_INPUT_L)</f>
        <v>0</v>
      </c>
      <c r="F622">
        <f>COMPLEX(0,B622*(LINE_INPUT_CLINE+LINE_INPUT_CCHA/2))</f>
        <v>0</v>
      </c>
      <c r="G622">
        <f>IMPRODUCT("2",IMDIV("1",IMSUM(IMDIV("1",COMPLEX(LDM1_DCR,B622*LDM1_L)),COMPLEX(0,B622*LDM1_CPA))))</f>
        <v>0</v>
      </c>
      <c r="H622">
        <f>IMSUM(IMDIV("1",COMPLEX(CX1_ESR,B622*CX1_ESL-1/(B622*CX1_C))),IMDIV("1",IMSUM(COMPLEX(DUMP1_R,0),COMPLEX(DUMP1_ESR,B622*DUMP1_ESL-1/(B622*DUMP1_C)))))</f>
        <v>0</v>
      </c>
      <c r="I622">
        <f>IMPRODUCT("2",IMDIV("1",IMSUM(IMDIV("1",COMPLEX(LDM2_DCR,B622*LDM2_L)),COMPLEX(0,B622*LDM2_CPA))))</f>
        <v>0</v>
      </c>
      <c r="J622">
        <f>IMSUM(IMDIV("1",COMPLEX(CX2_ESR,B622*CX2_ESL-1/(B622*CX2_C))),IMDIV("1",IMSUM(COMPLEX(DUMP2_R,0),COMPLEX(DUMP2_ESR,B622*DUMP2_ESL-1/(B622*DUMP2_C)))))</f>
        <v>0</v>
      </c>
      <c r="K622">
        <f>IMPRODUCT("2",IMDIV("1",IMSUM(IMDIV("1",COMPLEX(CMC_DCR,B622*CMC_L*(1-CMC_K))),COMPLEX(0,B622*CMC_CPA))))</f>
        <v>0</v>
      </c>
      <c r="L622">
        <f>IMSUM(COMPLEX(0,B622*CMC_CLINE),IMDIV("1",IMPRODUCT("2",COMPLEX(CY_ESR,B622*CY_ESL-1/(B622*CY_C)))),COMPLEX(1/DUMMY_R,0))</f>
        <v>0</v>
      </c>
      <c r="M622">
        <f>IMSUM(D622,IMDIV("1",C622))</f>
        <v>0</v>
      </c>
      <c r="N622">
        <f>IMDIV("1",IMSUM(E622,IMDIV("1",M622)))</f>
        <v>0</v>
      </c>
      <c r="O622">
        <f>IMSUM(F622,N622)</f>
        <v>0</v>
      </c>
      <c r="P622">
        <f>IMDIV("1",IMSUM(G622,IMDIV("1",O622)))</f>
        <v>0</v>
      </c>
      <c r="Q622">
        <f>IMSUM(H622,P622)</f>
        <v>0</v>
      </c>
      <c r="R622">
        <f>IMDIV("1",IMSUM(I622,IMDIV("1",Q622)))</f>
        <v>0</v>
      </c>
      <c r="S622">
        <f>IMSUM(J622,R622)</f>
        <v>0</v>
      </c>
      <c r="T622">
        <f>IMDIV("1",IMSUM(K622,IMDIV("1",S622)))</f>
        <v>0</v>
      </c>
      <c r="U622">
        <f>IMSUM(L622,T622)</f>
        <v>0</v>
      </c>
      <c r="V622">
        <f>IMDIV(COMPLEX(I_DM_SOURCE,0),U622)</f>
        <v>0</v>
      </c>
      <c r="W622">
        <f>IMPRODUCT(V622,T622)</f>
        <v>0</v>
      </c>
      <c r="X622">
        <f>IMDIV(W622,S622)</f>
        <v>0</v>
      </c>
      <c r="Y622">
        <f>IMPRODUCT(X622,R622)</f>
        <v>0</v>
      </c>
      <c r="Z622">
        <f>IMDIV(Y622,Q622)</f>
        <v>0</v>
      </c>
      <c r="AA622">
        <f>IMPRODUCT(Z622,P622)</f>
        <v>0</v>
      </c>
      <c r="AB622">
        <f>AA622</f>
        <v>0</v>
      </c>
      <c r="AC622">
        <f>IMPRODUCT("-1",AB622)</f>
        <v>0</v>
      </c>
      <c r="AD622">
        <f>IMDIV(IMSUB(AB622,AC622),"2")</f>
        <v>0</v>
      </c>
      <c r="AE622" s="6">
        <f>IMABS(AB622)</f>
        <v>0</v>
      </c>
      <c r="AF622" s="6">
        <f>IMABS(AC622)</f>
        <v>0</v>
      </c>
      <c r="AG622" s="6">
        <f>IMABS(AD622)</f>
        <v>0</v>
      </c>
      <c r="AH622" s="7">
        <f>20*LOG10(MAX(AE622,1E-300)*1E6)</f>
        <v>0</v>
      </c>
      <c r="AI622" s="7">
        <f>20*LOG10(MAX(AF622,1E-300)*1E6)</f>
        <v>0</v>
      </c>
      <c r="AJ622" s="7">
        <f>20*LOG10(MAX(AG622,1E-300)*1E6)</f>
        <v>0</v>
      </c>
      <c r="AK622" s="7">
        <f>DEGREES(IMARGUMENT(AB622))</f>
        <v>0</v>
      </c>
      <c r="AL622" s="7">
        <f>DEGREES(IMARGUMENT(AC622))</f>
        <v>0</v>
      </c>
      <c r="AM622" s="7">
        <f>DEGREES(IMARGUMENT(AD622))</f>
        <v>0</v>
      </c>
    </row>
    <row r="623" spans="1:39">
      <c r="A623" s="6">
        <f>10^(LOG10(F_START)+(ROW()-ROW($A$2))*(LOG10(F_STOP)-LOG10(F_START))/(N_POINTS-1))</f>
        <v>0</v>
      </c>
      <c r="B623" s="6">
        <f>2*PI()*A623</f>
        <v>0</v>
      </c>
      <c r="C623">
        <f>COMPLEX(2*LINE_PS_DCR,2*B623*LINE_PS_L)</f>
        <v>0</v>
      </c>
      <c r="D623">
        <f>IMSUM(COMPLEX(0,B623*(LINE_PS_CLINE+LINE_PS_CCHA/2)),IMDIV("1",IMPRODUCT("2",COMPLEX(C_THROUGH_ESR,B623*C_THROUGH_ESL-1/(B623*C_THROUGH_C)))))</f>
        <v>0</v>
      </c>
      <c r="E623">
        <f>COMPLEX(2*LINE_INPUT_DCR,2*B623*LINE_INPUT_L)</f>
        <v>0</v>
      </c>
      <c r="F623">
        <f>COMPLEX(0,B623*(LINE_INPUT_CLINE+LINE_INPUT_CCHA/2))</f>
        <v>0</v>
      </c>
      <c r="G623">
        <f>IMPRODUCT("2",IMDIV("1",IMSUM(IMDIV("1",COMPLEX(LDM1_DCR,B623*LDM1_L)),COMPLEX(0,B623*LDM1_CPA))))</f>
        <v>0</v>
      </c>
      <c r="H623">
        <f>IMSUM(IMDIV("1",COMPLEX(CX1_ESR,B623*CX1_ESL-1/(B623*CX1_C))),IMDIV("1",IMSUM(COMPLEX(DUMP1_R,0),COMPLEX(DUMP1_ESR,B623*DUMP1_ESL-1/(B623*DUMP1_C)))))</f>
        <v>0</v>
      </c>
      <c r="I623">
        <f>IMPRODUCT("2",IMDIV("1",IMSUM(IMDIV("1",COMPLEX(LDM2_DCR,B623*LDM2_L)),COMPLEX(0,B623*LDM2_CPA))))</f>
        <v>0</v>
      </c>
      <c r="J623">
        <f>IMSUM(IMDIV("1",COMPLEX(CX2_ESR,B623*CX2_ESL-1/(B623*CX2_C))),IMDIV("1",IMSUM(COMPLEX(DUMP2_R,0),COMPLEX(DUMP2_ESR,B623*DUMP2_ESL-1/(B623*DUMP2_C)))))</f>
        <v>0</v>
      </c>
      <c r="K623">
        <f>IMPRODUCT("2",IMDIV("1",IMSUM(IMDIV("1",COMPLEX(CMC_DCR,B623*CMC_L*(1-CMC_K))),COMPLEX(0,B623*CMC_CPA))))</f>
        <v>0</v>
      </c>
      <c r="L623">
        <f>IMSUM(COMPLEX(0,B623*CMC_CLINE),IMDIV("1",IMPRODUCT("2",COMPLEX(CY_ESR,B623*CY_ESL-1/(B623*CY_C)))),COMPLEX(1/DUMMY_R,0))</f>
        <v>0</v>
      </c>
      <c r="M623">
        <f>IMSUM(D623,IMDIV("1",C623))</f>
        <v>0</v>
      </c>
      <c r="N623">
        <f>IMDIV("1",IMSUM(E623,IMDIV("1",M623)))</f>
        <v>0</v>
      </c>
      <c r="O623">
        <f>IMSUM(F623,N623)</f>
        <v>0</v>
      </c>
      <c r="P623">
        <f>IMDIV("1",IMSUM(G623,IMDIV("1",O623)))</f>
        <v>0</v>
      </c>
      <c r="Q623">
        <f>IMSUM(H623,P623)</f>
        <v>0</v>
      </c>
      <c r="R623">
        <f>IMDIV("1",IMSUM(I623,IMDIV("1",Q623)))</f>
        <v>0</v>
      </c>
      <c r="S623">
        <f>IMSUM(J623,R623)</f>
        <v>0</v>
      </c>
      <c r="T623">
        <f>IMDIV("1",IMSUM(K623,IMDIV("1",S623)))</f>
        <v>0</v>
      </c>
      <c r="U623">
        <f>IMSUM(L623,T623)</f>
        <v>0</v>
      </c>
      <c r="V623">
        <f>IMDIV(COMPLEX(I_DM_SOURCE,0),U623)</f>
        <v>0</v>
      </c>
      <c r="W623">
        <f>IMPRODUCT(V623,T623)</f>
        <v>0</v>
      </c>
      <c r="X623">
        <f>IMDIV(W623,S623)</f>
        <v>0</v>
      </c>
      <c r="Y623">
        <f>IMPRODUCT(X623,R623)</f>
        <v>0</v>
      </c>
      <c r="Z623">
        <f>IMDIV(Y623,Q623)</f>
        <v>0</v>
      </c>
      <c r="AA623">
        <f>IMPRODUCT(Z623,P623)</f>
        <v>0</v>
      </c>
      <c r="AB623">
        <f>AA623</f>
        <v>0</v>
      </c>
      <c r="AC623">
        <f>IMPRODUCT("-1",AB623)</f>
        <v>0</v>
      </c>
      <c r="AD623">
        <f>IMDIV(IMSUB(AB623,AC623),"2")</f>
        <v>0</v>
      </c>
      <c r="AE623" s="6">
        <f>IMABS(AB623)</f>
        <v>0</v>
      </c>
      <c r="AF623" s="6">
        <f>IMABS(AC623)</f>
        <v>0</v>
      </c>
      <c r="AG623" s="6">
        <f>IMABS(AD623)</f>
        <v>0</v>
      </c>
      <c r="AH623" s="7">
        <f>20*LOG10(MAX(AE623,1E-300)*1E6)</f>
        <v>0</v>
      </c>
      <c r="AI623" s="7">
        <f>20*LOG10(MAX(AF623,1E-300)*1E6)</f>
        <v>0</v>
      </c>
      <c r="AJ623" s="7">
        <f>20*LOG10(MAX(AG623,1E-300)*1E6)</f>
        <v>0</v>
      </c>
      <c r="AK623" s="7">
        <f>DEGREES(IMARGUMENT(AB623))</f>
        <v>0</v>
      </c>
      <c r="AL623" s="7">
        <f>DEGREES(IMARGUMENT(AC623))</f>
        <v>0</v>
      </c>
      <c r="AM623" s="7">
        <f>DEGREES(IMARGUMENT(AD623))</f>
        <v>0</v>
      </c>
    </row>
    <row r="624" spans="1:39">
      <c r="A624" s="6">
        <f>10^(LOG10(F_START)+(ROW()-ROW($A$2))*(LOG10(F_STOP)-LOG10(F_START))/(N_POINTS-1))</f>
        <v>0</v>
      </c>
      <c r="B624" s="6">
        <f>2*PI()*A624</f>
        <v>0</v>
      </c>
      <c r="C624">
        <f>COMPLEX(2*LINE_PS_DCR,2*B624*LINE_PS_L)</f>
        <v>0</v>
      </c>
      <c r="D624">
        <f>IMSUM(COMPLEX(0,B624*(LINE_PS_CLINE+LINE_PS_CCHA/2)),IMDIV("1",IMPRODUCT("2",COMPLEX(C_THROUGH_ESR,B624*C_THROUGH_ESL-1/(B624*C_THROUGH_C)))))</f>
        <v>0</v>
      </c>
      <c r="E624">
        <f>COMPLEX(2*LINE_INPUT_DCR,2*B624*LINE_INPUT_L)</f>
        <v>0</v>
      </c>
      <c r="F624">
        <f>COMPLEX(0,B624*(LINE_INPUT_CLINE+LINE_INPUT_CCHA/2))</f>
        <v>0</v>
      </c>
      <c r="G624">
        <f>IMPRODUCT("2",IMDIV("1",IMSUM(IMDIV("1",COMPLEX(LDM1_DCR,B624*LDM1_L)),COMPLEX(0,B624*LDM1_CPA))))</f>
        <v>0</v>
      </c>
      <c r="H624">
        <f>IMSUM(IMDIV("1",COMPLEX(CX1_ESR,B624*CX1_ESL-1/(B624*CX1_C))),IMDIV("1",IMSUM(COMPLEX(DUMP1_R,0),COMPLEX(DUMP1_ESR,B624*DUMP1_ESL-1/(B624*DUMP1_C)))))</f>
        <v>0</v>
      </c>
      <c r="I624">
        <f>IMPRODUCT("2",IMDIV("1",IMSUM(IMDIV("1",COMPLEX(LDM2_DCR,B624*LDM2_L)),COMPLEX(0,B624*LDM2_CPA))))</f>
        <v>0</v>
      </c>
      <c r="J624">
        <f>IMSUM(IMDIV("1",COMPLEX(CX2_ESR,B624*CX2_ESL-1/(B624*CX2_C))),IMDIV("1",IMSUM(COMPLEX(DUMP2_R,0),COMPLEX(DUMP2_ESR,B624*DUMP2_ESL-1/(B624*DUMP2_C)))))</f>
        <v>0</v>
      </c>
      <c r="K624">
        <f>IMPRODUCT("2",IMDIV("1",IMSUM(IMDIV("1",COMPLEX(CMC_DCR,B624*CMC_L*(1-CMC_K))),COMPLEX(0,B624*CMC_CPA))))</f>
        <v>0</v>
      </c>
      <c r="L624">
        <f>IMSUM(COMPLEX(0,B624*CMC_CLINE),IMDIV("1",IMPRODUCT("2",COMPLEX(CY_ESR,B624*CY_ESL-1/(B624*CY_C)))),COMPLEX(1/DUMMY_R,0))</f>
        <v>0</v>
      </c>
      <c r="M624">
        <f>IMSUM(D624,IMDIV("1",C624))</f>
        <v>0</v>
      </c>
      <c r="N624">
        <f>IMDIV("1",IMSUM(E624,IMDIV("1",M624)))</f>
        <v>0</v>
      </c>
      <c r="O624">
        <f>IMSUM(F624,N624)</f>
        <v>0</v>
      </c>
      <c r="P624">
        <f>IMDIV("1",IMSUM(G624,IMDIV("1",O624)))</f>
        <v>0</v>
      </c>
      <c r="Q624">
        <f>IMSUM(H624,P624)</f>
        <v>0</v>
      </c>
      <c r="R624">
        <f>IMDIV("1",IMSUM(I624,IMDIV("1",Q624)))</f>
        <v>0</v>
      </c>
      <c r="S624">
        <f>IMSUM(J624,R624)</f>
        <v>0</v>
      </c>
      <c r="T624">
        <f>IMDIV("1",IMSUM(K624,IMDIV("1",S624)))</f>
        <v>0</v>
      </c>
      <c r="U624">
        <f>IMSUM(L624,T624)</f>
        <v>0</v>
      </c>
      <c r="V624">
        <f>IMDIV(COMPLEX(I_DM_SOURCE,0),U624)</f>
        <v>0</v>
      </c>
      <c r="W624">
        <f>IMPRODUCT(V624,T624)</f>
        <v>0</v>
      </c>
      <c r="X624">
        <f>IMDIV(W624,S624)</f>
        <v>0</v>
      </c>
      <c r="Y624">
        <f>IMPRODUCT(X624,R624)</f>
        <v>0</v>
      </c>
      <c r="Z624">
        <f>IMDIV(Y624,Q624)</f>
        <v>0</v>
      </c>
      <c r="AA624">
        <f>IMPRODUCT(Z624,P624)</f>
        <v>0</v>
      </c>
      <c r="AB624">
        <f>AA624</f>
        <v>0</v>
      </c>
      <c r="AC624">
        <f>IMPRODUCT("-1",AB624)</f>
        <v>0</v>
      </c>
      <c r="AD624">
        <f>IMDIV(IMSUB(AB624,AC624),"2")</f>
        <v>0</v>
      </c>
      <c r="AE624" s="6">
        <f>IMABS(AB624)</f>
        <v>0</v>
      </c>
      <c r="AF624" s="6">
        <f>IMABS(AC624)</f>
        <v>0</v>
      </c>
      <c r="AG624" s="6">
        <f>IMABS(AD624)</f>
        <v>0</v>
      </c>
      <c r="AH624" s="7">
        <f>20*LOG10(MAX(AE624,1E-300)*1E6)</f>
        <v>0</v>
      </c>
      <c r="AI624" s="7">
        <f>20*LOG10(MAX(AF624,1E-300)*1E6)</f>
        <v>0</v>
      </c>
      <c r="AJ624" s="7">
        <f>20*LOG10(MAX(AG624,1E-300)*1E6)</f>
        <v>0</v>
      </c>
      <c r="AK624" s="7">
        <f>DEGREES(IMARGUMENT(AB624))</f>
        <v>0</v>
      </c>
      <c r="AL624" s="7">
        <f>DEGREES(IMARGUMENT(AC624))</f>
        <v>0</v>
      </c>
      <c r="AM624" s="7">
        <f>DEGREES(IMARGUMENT(AD624))</f>
        <v>0</v>
      </c>
    </row>
    <row r="625" spans="1:39">
      <c r="A625" s="6">
        <f>10^(LOG10(F_START)+(ROW()-ROW($A$2))*(LOG10(F_STOP)-LOG10(F_START))/(N_POINTS-1))</f>
        <v>0</v>
      </c>
      <c r="B625" s="6">
        <f>2*PI()*A625</f>
        <v>0</v>
      </c>
      <c r="C625">
        <f>COMPLEX(2*LINE_PS_DCR,2*B625*LINE_PS_L)</f>
        <v>0</v>
      </c>
      <c r="D625">
        <f>IMSUM(COMPLEX(0,B625*(LINE_PS_CLINE+LINE_PS_CCHA/2)),IMDIV("1",IMPRODUCT("2",COMPLEX(C_THROUGH_ESR,B625*C_THROUGH_ESL-1/(B625*C_THROUGH_C)))))</f>
        <v>0</v>
      </c>
      <c r="E625">
        <f>COMPLEX(2*LINE_INPUT_DCR,2*B625*LINE_INPUT_L)</f>
        <v>0</v>
      </c>
      <c r="F625">
        <f>COMPLEX(0,B625*(LINE_INPUT_CLINE+LINE_INPUT_CCHA/2))</f>
        <v>0</v>
      </c>
      <c r="G625">
        <f>IMPRODUCT("2",IMDIV("1",IMSUM(IMDIV("1",COMPLEX(LDM1_DCR,B625*LDM1_L)),COMPLEX(0,B625*LDM1_CPA))))</f>
        <v>0</v>
      </c>
      <c r="H625">
        <f>IMSUM(IMDIV("1",COMPLEX(CX1_ESR,B625*CX1_ESL-1/(B625*CX1_C))),IMDIV("1",IMSUM(COMPLEX(DUMP1_R,0),COMPLEX(DUMP1_ESR,B625*DUMP1_ESL-1/(B625*DUMP1_C)))))</f>
        <v>0</v>
      </c>
      <c r="I625">
        <f>IMPRODUCT("2",IMDIV("1",IMSUM(IMDIV("1",COMPLEX(LDM2_DCR,B625*LDM2_L)),COMPLEX(0,B625*LDM2_CPA))))</f>
        <v>0</v>
      </c>
      <c r="J625">
        <f>IMSUM(IMDIV("1",COMPLEX(CX2_ESR,B625*CX2_ESL-1/(B625*CX2_C))),IMDIV("1",IMSUM(COMPLEX(DUMP2_R,0),COMPLEX(DUMP2_ESR,B625*DUMP2_ESL-1/(B625*DUMP2_C)))))</f>
        <v>0</v>
      </c>
      <c r="K625">
        <f>IMPRODUCT("2",IMDIV("1",IMSUM(IMDIV("1",COMPLEX(CMC_DCR,B625*CMC_L*(1-CMC_K))),COMPLEX(0,B625*CMC_CPA))))</f>
        <v>0</v>
      </c>
      <c r="L625">
        <f>IMSUM(COMPLEX(0,B625*CMC_CLINE),IMDIV("1",IMPRODUCT("2",COMPLEX(CY_ESR,B625*CY_ESL-1/(B625*CY_C)))),COMPLEX(1/DUMMY_R,0))</f>
        <v>0</v>
      </c>
      <c r="M625">
        <f>IMSUM(D625,IMDIV("1",C625))</f>
        <v>0</v>
      </c>
      <c r="N625">
        <f>IMDIV("1",IMSUM(E625,IMDIV("1",M625)))</f>
        <v>0</v>
      </c>
      <c r="O625">
        <f>IMSUM(F625,N625)</f>
        <v>0</v>
      </c>
      <c r="P625">
        <f>IMDIV("1",IMSUM(G625,IMDIV("1",O625)))</f>
        <v>0</v>
      </c>
      <c r="Q625">
        <f>IMSUM(H625,P625)</f>
        <v>0</v>
      </c>
      <c r="R625">
        <f>IMDIV("1",IMSUM(I625,IMDIV("1",Q625)))</f>
        <v>0</v>
      </c>
      <c r="S625">
        <f>IMSUM(J625,R625)</f>
        <v>0</v>
      </c>
      <c r="T625">
        <f>IMDIV("1",IMSUM(K625,IMDIV("1",S625)))</f>
        <v>0</v>
      </c>
      <c r="U625">
        <f>IMSUM(L625,T625)</f>
        <v>0</v>
      </c>
      <c r="V625">
        <f>IMDIV(COMPLEX(I_DM_SOURCE,0),U625)</f>
        <v>0</v>
      </c>
      <c r="W625">
        <f>IMPRODUCT(V625,T625)</f>
        <v>0</v>
      </c>
      <c r="X625">
        <f>IMDIV(W625,S625)</f>
        <v>0</v>
      </c>
      <c r="Y625">
        <f>IMPRODUCT(X625,R625)</f>
        <v>0</v>
      </c>
      <c r="Z625">
        <f>IMDIV(Y625,Q625)</f>
        <v>0</v>
      </c>
      <c r="AA625">
        <f>IMPRODUCT(Z625,P625)</f>
        <v>0</v>
      </c>
      <c r="AB625">
        <f>AA625</f>
        <v>0</v>
      </c>
      <c r="AC625">
        <f>IMPRODUCT("-1",AB625)</f>
        <v>0</v>
      </c>
      <c r="AD625">
        <f>IMDIV(IMSUB(AB625,AC625),"2")</f>
        <v>0</v>
      </c>
      <c r="AE625" s="6">
        <f>IMABS(AB625)</f>
        <v>0</v>
      </c>
      <c r="AF625" s="6">
        <f>IMABS(AC625)</f>
        <v>0</v>
      </c>
      <c r="AG625" s="6">
        <f>IMABS(AD625)</f>
        <v>0</v>
      </c>
      <c r="AH625" s="7">
        <f>20*LOG10(MAX(AE625,1E-300)*1E6)</f>
        <v>0</v>
      </c>
      <c r="AI625" s="7">
        <f>20*LOG10(MAX(AF625,1E-300)*1E6)</f>
        <v>0</v>
      </c>
      <c r="AJ625" s="7">
        <f>20*LOG10(MAX(AG625,1E-300)*1E6)</f>
        <v>0</v>
      </c>
      <c r="AK625" s="7">
        <f>DEGREES(IMARGUMENT(AB625))</f>
        <v>0</v>
      </c>
      <c r="AL625" s="7">
        <f>DEGREES(IMARGUMENT(AC625))</f>
        <v>0</v>
      </c>
      <c r="AM625" s="7">
        <f>DEGREES(IMARGUMENT(AD625))</f>
        <v>0</v>
      </c>
    </row>
    <row r="626" spans="1:39">
      <c r="A626" s="6">
        <f>10^(LOG10(F_START)+(ROW()-ROW($A$2))*(LOG10(F_STOP)-LOG10(F_START))/(N_POINTS-1))</f>
        <v>0</v>
      </c>
      <c r="B626" s="6">
        <f>2*PI()*A626</f>
        <v>0</v>
      </c>
      <c r="C626">
        <f>COMPLEX(2*LINE_PS_DCR,2*B626*LINE_PS_L)</f>
        <v>0</v>
      </c>
      <c r="D626">
        <f>IMSUM(COMPLEX(0,B626*(LINE_PS_CLINE+LINE_PS_CCHA/2)),IMDIV("1",IMPRODUCT("2",COMPLEX(C_THROUGH_ESR,B626*C_THROUGH_ESL-1/(B626*C_THROUGH_C)))))</f>
        <v>0</v>
      </c>
      <c r="E626">
        <f>COMPLEX(2*LINE_INPUT_DCR,2*B626*LINE_INPUT_L)</f>
        <v>0</v>
      </c>
      <c r="F626">
        <f>COMPLEX(0,B626*(LINE_INPUT_CLINE+LINE_INPUT_CCHA/2))</f>
        <v>0</v>
      </c>
      <c r="G626">
        <f>IMPRODUCT("2",IMDIV("1",IMSUM(IMDIV("1",COMPLEX(LDM1_DCR,B626*LDM1_L)),COMPLEX(0,B626*LDM1_CPA))))</f>
        <v>0</v>
      </c>
      <c r="H626">
        <f>IMSUM(IMDIV("1",COMPLEX(CX1_ESR,B626*CX1_ESL-1/(B626*CX1_C))),IMDIV("1",IMSUM(COMPLEX(DUMP1_R,0),COMPLEX(DUMP1_ESR,B626*DUMP1_ESL-1/(B626*DUMP1_C)))))</f>
        <v>0</v>
      </c>
      <c r="I626">
        <f>IMPRODUCT("2",IMDIV("1",IMSUM(IMDIV("1",COMPLEX(LDM2_DCR,B626*LDM2_L)),COMPLEX(0,B626*LDM2_CPA))))</f>
        <v>0</v>
      </c>
      <c r="J626">
        <f>IMSUM(IMDIV("1",COMPLEX(CX2_ESR,B626*CX2_ESL-1/(B626*CX2_C))),IMDIV("1",IMSUM(COMPLEX(DUMP2_R,0),COMPLEX(DUMP2_ESR,B626*DUMP2_ESL-1/(B626*DUMP2_C)))))</f>
        <v>0</v>
      </c>
      <c r="K626">
        <f>IMPRODUCT("2",IMDIV("1",IMSUM(IMDIV("1",COMPLEX(CMC_DCR,B626*CMC_L*(1-CMC_K))),COMPLEX(0,B626*CMC_CPA))))</f>
        <v>0</v>
      </c>
      <c r="L626">
        <f>IMSUM(COMPLEX(0,B626*CMC_CLINE),IMDIV("1",IMPRODUCT("2",COMPLEX(CY_ESR,B626*CY_ESL-1/(B626*CY_C)))),COMPLEX(1/DUMMY_R,0))</f>
        <v>0</v>
      </c>
      <c r="M626">
        <f>IMSUM(D626,IMDIV("1",C626))</f>
        <v>0</v>
      </c>
      <c r="N626">
        <f>IMDIV("1",IMSUM(E626,IMDIV("1",M626)))</f>
        <v>0</v>
      </c>
      <c r="O626">
        <f>IMSUM(F626,N626)</f>
        <v>0</v>
      </c>
      <c r="P626">
        <f>IMDIV("1",IMSUM(G626,IMDIV("1",O626)))</f>
        <v>0</v>
      </c>
      <c r="Q626">
        <f>IMSUM(H626,P626)</f>
        <v>0</v>
      </c>
      <c r="R626">
        <f>IMDIV("1",IMSUM(I626,IMDIV("1",Q626)))</f>
        <v>0</v>
      </c>
      <c r="S626">
        <f>IMSUM(J626,R626)</f>
        <v>0</v>
      </c>
      <c r="T626">
        <f>IMDIV("1",IMSUM(K626,IMDIV("1",S626)))</f>
        <v>0</v>
      </c>
      <c r="U626">
        <f>IMSUM(L626,T626)</f>
        <v>0</v>
      </c>
      <c r="V626">
        <f>IMDIV(COMPLEX(I_DM_SOURCE,0),U626)</f>
        <v>0</v>
      </c>
      <c r="W626">
        <f>IMPRODUCT(V626,T626)</f>
        <v>0</v>
      </c>
      <c r="X626">
        <f>IMDIV(W626,S626)</f>
        <v>0</v>
      </c>
      <c r="Y626">
        <f>IMPRODUCT(X626,R626)</f>
        <v>0</v>
      </c>
      <c r="Z626">
        <f>IMDIV(Y626,Q626)</f>
        <v>0</v>
      </c>
      <c r="AA626">
        <f>IMPRODUCT(Z626,P626)</f>
        <v>0</v>
      </c>
      <c r="AB626">
        <f>AA626</f>
        <v>0</v>
      </c>
      <c r="AC626">
        <f>IMPRODUCT("-1",AB626)</f>
        <v>0</v>
      </c>
      <c r="AD626">
        <f>IMDIV(IMSUB(AB626,AC626),"2")</f>
        <v>0</v>
      </c>
      <c r="AE626" s="6">
        <f>IMABS(AB626)</f>
        <v>0</v>
      </c>
      <c r="AF626" s="6">
        <f>IMABS(AC626)</f>
        <v>0</v>
      </c>
      <c r="AG626" s="6">
        <f>IMABS(AD626)</f>
        <v>0</v>
      </c>
      <c r="AH626" s="7">
        <f>20*LOG10(MAX(AE626,1E-300)*1E6)</f>
        <v>0</v>
      </c>
      <c r="AI626" s="7">
        <f>20*LOG10(MAX(AF626,1E-300)*1E6)</f>
        <v>0</v>
      </c>
      <c r="AJ626" s="7">
        <f>20*LOG10(MAX(AG626,1E-300)*1E6)</f>
        <v>0</v>
      </c>
      <c r="AK626" s="7">
        <f>DEGREES(IMARGUMENT(AB626))</f>
        <v>0</v>
      </c>
      <c r="AL626" s="7">
        <f>DEGREES(IMARGUMENT(AC626))</f>
        <v>0</v>
      </c>
      <c r="AM626" s="7">
        <f>DEGREES(IMARGUMENT(AD626))</f>
        <v>0</v>
      </c>
    </row>
    <row r="627" spans="1:39">
      <c r="A627" s="6">
        <f>10^(LOG10(F_START)+(ROW()-ROW($A$2))*(LOG10(F_STOP)-LOG10(F_START))/(N_POINTS-1))</f>
        <v>0</v>
      </c>
      <c r="B627" s="6">
        <f>2*PI()*A627</f>
        <v>0</v>
      </c>
      <c r="C627">
        <f>COMPLEX(2*LINE_PS_DCR,2*B627*LINE_PS_L)</f>
        <v>0</v>
      </c>
      <c r="D627">
        <f>IMSUM(COMPLEX(0,B627*(LINE_PS_CLINE+LINE_PS_CCHA/2)),IMDIV("1",IMPRODUCT("2",COMPLEX(C_THROUGH_ESR,B627*C_THROUGH_ESL-1/(B627*C_THROUGH_C)))))</f>
        <v>0</v>
      </c>
      <c r="E627">
        <f>COMPLEX(2*LINE_INPUT_DCR,2*B627*LINE_INPUT_L)</f>
        <v>0</v>
      </c>
      <c r="F627">
        <f>COMPLEX(0,B627*(LINE_INPUT_CLINE+LINE_INPUT_CCHA/2))</f>
        <v>0</v>
      </c>
      <c r="G627">
        <f>IMPRODUCT("2",IMDIV("1",IMSUM(IMDIV("1",COMPLEX(LDM1_DCR,B627*LDM1_L)),COMPLEX(0,B627*LDM1_CPA))))</f>
        <v>0</v>
      </c>
      <c r="H627">
        <f>IMSUM(IMDIV("1",COMPLEX(CX1_ESR,B627*CX1_ESL-1/(B627*CX1_C))),IMDIV("1",IMSUM(COMPLEX(DUMP1_R,0),COMPLEX(DUMP1_ESR,B627*DUMP1_ESL-1/(B627*DUMP1_C)))))</f>
        <v>0</v>
      </c>
      <c r="I627">
        <f>IMPRODUCT("2",IMDIV("1",IMSUM(IMDIV("1",COMPLEX(LDM2_DCR,B627*LDM2_L)),COMPLEX(0,B627*LDM2_CPA))))</f>
        <v>0</v>
      </c>
      <c r="J627">
        <f>IMSUM(IMDIV("1",COMPLEX(CX2_ESR,B627*CX2_ESL-1/(B627*CX2_C))),IMDIV("1",IMSUM(COMPLEX(DUMP2_R,0),COMPLEX(DUMP2_ESR,B627*DUMP2_ESL-1/(B627*DUMP2_C)))))</f>
        <v>0</v>
      </c>
      <c r="K627">
        <f>IMPRODUCT("2",IMDIV("1",IMSUM(IMDIV("1",COMPLEX(CMC_DCR,B627*CMC_L*(1-CMC_K))),COMPLEX(0,B627*CMC_CPA))))</f>
        <v>0</v>
      </c>
      <c r="L627">
        <f>IMSUM(COMPLEX(0,B627*CMC_CLINE),IMDIV("1",IMPRODUCT("2",COMPLEX(CY_ESR,B627*CY_ESL-1/(B627*CY_C)))),COMPLEX(1/DUMMY_R,0))</f>
        <v>0</v>
      </c>
      <c r="M627">
        <f>IMSUM(D627,IMDIV("1",C627))</f>
        <v>0</v>
      </c>
      <c r="N627">
        <f>IMDIV("1",IMSUM(E627,IMDIV("1",M627)))</f>
        <v>0</v>
      </c>
      <c r="O627">
        <f>IMSUM(F627,N627)</f>
        <v>0</v>
      </c>
      <c r="P627">
        <f>IMDIV("1",IMSUM(G627,IMDIV("1",O627)))</f>
        <v>0</v>
      </c>
      <c r="Q627">
        <f>IMSUM(H627,P627)</f>
        <v>0</v>
      </c>
      <c r="R627">
        <f>IMDIV("1",IMSUM(I627,IMDIV("1",Q627)))</f>
        <v>0</v>
      </c>
      <c r="S627">
        <f>IMSUM(J627,R627)</f>
        <v>0</v>
      </c>
      <c r="T627">
        <f>IMDIV("1",IMSUM(K627,IMDIV("1",S627)))</f>
        <v>0</v>
      </c>
      <c r="U627">
        <f>IMSUM(L627,T627)</f>
        <v>0</v>
      </c>
      <c r="V627">
        <f>IMDIV(COMPLEX(I_DM_SOURCE,0),U627)</f>
        <v>0</v>
      </c>
      <c r="W627">
        <f>IMPRODUCT(V627,T627)</f>
        <v>0</v>
      </c>
      <c r="X627">
        <f>IMDIV(W627,S627)</f>
        <v>0</v>
      </c>
      <c r="Y627">
        <f>IMPRODUCT(X627,R627)</f>
        <v>0</v>
      </c>
      <c r="Z627">
        <f>IMDIV(Y627,Q627)</f>
        <v>0</v>
      </c>
      <c r="AA627">
        <f>IMPRODUCT(Z627,P627)</f>
        <v>0</v>
      </c>
      <c r="AB627">
        <f>AA627</f>
        <v>0</v>
      </c>
      <c r="AC627">
        <f>IMPRODUCT("-1",AB627)</f>
        <v>0</v>
      </c>
      <c r="AD627">
        <f>IMDIV(IMSUB(AB627,AC627),"2")</f>
        <v>0</v>
      </c>
      <c r="AE627" s="6">
        <f>IMABS(AB627)</f>
        <v>0</v>
      </c>
      <c r="AF627" s="6">
        <f>IMABS(AC627)</f>
        <v>0</v>
      </c>
      <c r="AG627" s="6">
        <f>IMABS(AD627)</f>
        <v>0</v>
      </c>
      <c r="AH627" s="7">
        <f>20*LOG10(MAX(AE627,1E-300)*1E6)</f>
        <v>0</v>
      </c>
      <c r="AI627" s="7">
        <f>20*LOG10(MAX(AF627,1E-300)*1E6)</f>
        <v>0</v>
      </c>
      <c r="AJ627" s="7">
        <f>20*LOG10(MAX(AG627,1E-300)*1E6)</f>
        <v>0</v>
      </c>
      <c r="AK627" s="7">
        <f>DEGREES(IMARGUMENT(AB627))</f>
        <v>0</v>
      </c>
      <c r="AL627" s="7">
        <f>DEGREES(IMARGUMENT(AC627))</f>
        <v>0</v>
      </c>
      <c r="AM627" s="7">
        <f>DEGREES(IMARGUMENT(AD627))</f>
        <v>0</v>
      </c>
    </row>
    <row r="628" spans="1:39">
      <c r="A628" s="6">
        <f>10^(LOG10(F_START)+(ROW()-ROW($A$2))*(LOG10(F_STOP)-LOG10(F_START))/(N_POINTS-1))</f>
        <v>0</v>
      </c>
      <c r="B628" s="6">
        <f>2*PI()*A628</f>
        <v>0</v>
      </c>
      <c r="C628">
        <f>COMPLEX(2*LINE_PS_DCR,2*B628*LINE_PS_L)</f>
        <v>0</v>
      </c>
      <c r="D628">
        <f>IMSUM(COMPLEX(0,B628*(LINE_PS_CLINE+LINE_PS_CCHA/2)),IMDIV("1",IMPRODUCT("2",COMPLEX(C_THROUGH_ESR,B628*C_THROUGH_ESL-1/(B628*C_THROUGH_C)))))</f>
        <v>0</v>
      </c>
      <c r="E628">
        <f>COMPLEX(2*LINE_INPUT_DCR,2*B628*LINE_INPUT_L)</f>
        <v>0</v>
      </c>
      <c r="F628">
        <f>COMPLEX(0,B628*(LINE_INPUT_CLINE+LINE_INPUT_CCHA/2))</f>
        <v>0</v>
      </c>
      <c r="G628">
        <f>IMPRODUCT("2",IMDIV("1",IMSUM(IMDIV("1",COMPLEX(LDM1_DCR,B628*LDM1_L)),COMPLEX(0,B628*LDM1_CPA))))</f>
        <v>0</v>
      </c>
      <c r="H628">
        <f>IMSUM(IMDIV("1",COMPLEX(CX1_ESR,B628*CX1_ESL-1/(B628*CX1_C))),IMDIV("1",IMSUM(COMPLEX(DUMP1_R,0),COMPLEX(DUMP1_ESR,B628*DUMP1_ESL-1/(B628*DUMP1_C)))))</f>
        <v>0</v>
      </c>
      <c r="I628">
        <f>IMPRODUCT("2",IMDIV("1",IMSUM(IMDIV("1",COMPLEX(LDM2_DCR,B628*LDM2_L)),COMPLEX(0,B628*LDM2_CPA))))</f>
        <v>0</v>
      </c>
      <c r="J628">
        <f>IMSUM(IMDIV("1",COMPLEX(CX2_ESR,B628*CX2_ESL-1/(B628*CX2_C))),IMDIV("1",IMSUM(COMPLEX(DUMP2_R,0),COMPLEX(DUMP2_ESR,B628*DUMP2_ESL-1/(B628*DUMP2_C)))))</f>
        <v>0</v>
      </c>
      <c r="K628">
        <f>IMPRODUCT("2",IMDIV("1",IMSUM(IMDIV("1",COMPLEX(CMC_DCR,B628*CMC_L*(1-CMC_K))),COMPLEX(0,B628*CMC_CPA))))</f>
        <v>0</v>
      </c>
      <c r="L628">
        <f>IMSUM(COMPLEX(0,B628*CMC_CLINE),IMDIV("1",IMPRODUCT("2",COMPLEX(CY_ESR,B628*CY_ESL-1/(B628*CY_C)))),COMPLEX(1/DUMMY_R,0))</f>
        <v>0</v>
      </c>
      <c r="M628">
        <f>IMSUM(D628,IMDIV("1",C628))</f>
        <v>0</v>
      </c>
      <c r="N628">
        <f>IMDIV("1",IMSUM(E628,IMDIV("1",M628)))</f>
        <v>0</v>
      </c>
      <c r="O628">
        <f>IMSUM(F628,N628)</f>
        <v>0</v>
      </c>
      <c r="P628">
        <f>IMDIV("1",IMSUM(G628,IMDIV("1",O628)))</f>
        <v>0</v>
      </c>
      <c r="Q628">
        <f>IMSUM(H628,P628)</f>
        <v>0</v>
      </c>
      <c r="R628">
        <f>IMDIV("1",IMSUM(I628,IMDIV("1",Q628)))</f>
        <v>0</v>
      </c>
      <c r="S628">
        <f>IMSUM(J628,R628)</f>
        <v>0</v>
      </c>
      <c r="T628">
        <f>IMDIV("1",IMSUM(K628,IMDIV("1",S628)))</f>
        <v>0</v>
      </c>
      <c r="U628">
        <f>IMSUM(L628,T628)</f>
        <v>0</v>
      </c>
      <c r="V628">
        <f>IMDIV(COMPLEX(I_DM_SOURCE,0),U628)</f>
        <v>0</v>
      </c>
      <c r="W628">
        <f>IMPRODUCT(V628,T628)</f>
        <v>0</v>
      </c>
      <c r="X628">
        <f>IMDIV(W628,S628)</f>
        <v>0</v>
      </c>
      <c r="Y628">
        <f>IMPRODUCT(X628,R628)</f>
        <v>0</v>
      </c>
      <c r="Z628">
        <f>IMDIV(Y628,Q628)</f>
        <v>0</v>
      </c>
      <c r="AA628">
        <f>IMPRODUCT(Z628,P628)</f>
        <v>0</v>
      </c>
      <c r="AB628">
        <f>AA628</f>
        <v>0</v>
      </c>
      <c r="AC628">
        <f>IMPRODUCT("-1",AB628)</f>
        <v>0</v>
      </c>
      <c r="AD628">
        <f>IMDIV(IMSUB(AB628,AC628),"2")</f>
        <v>0</v>
      </c>
      <c r="AE628" s="6">
        <f>IMABS(AB628)</f>
        <v>0</v>
      </c>
      <c r="AF628" s="6">
        <f>IMABS(AC628)</f>
        <v>0</v>
      </c>
      <c r="AG628" s="6">
        <f>IMABS(AD628)</f>
        <v>0</v>
      </c>
      <c r="AH628" s="7">
        <f>20*LOG10(MAX(AE628,1E-300)*1E6)</f>
        <v>0</v>
      </c>
      <c r="AI628" s="7">
        <f>20*LOG10(MAX(AF628,1E-300)*1E6)</f>
        <v>0</v>
      </c>
      <c r="AJ628" s="7">
        <f>20*LOG10(MAX(AG628,1E-300)*1E6)</f>
        <v>0</v>
      </c>
      <c r="AK628" s="7">
        <f>DEGREES(IMARGUMENT(AB628))</f>
        <v>0</v>
      </c>
      <c r="AL628" s="7">
        <f>DEGREES(IMARGUMENT(AC628))</f>
        <v>0</v>
      </c>
      <c r="AM628" s="7">
        <f>DEGREES(IMARGUMENT(AD628))</f>
        <v>0</v>
      </c>
    </row>
    <row r="629" spans="1:39">
      <c r="A629" s="6">
        <f>10^(LOG10(F_START)+(ROW()-ROW($A$2))*(LOG10(F_STOP)-LOG10(F_START))/(N_POINTS-1))</f>
        <v>0</v>
      </c>
      <c r="B629" s="6">
        <f>2*PI()*A629</f>
        <v>0</v>
      </c>
      <c r="C629">
        <f>COMPLEX(2*LINE_PS_DCR,2*B629*LINE_PS_L)</f>
        <v>0</v>
      </c>
      <c r="D629">
        <f>IMSUM(COMPLEX(0,B629*(LINE_PS_CLINE+LINE_PS_CCHA/2)),IMDIV("1",IMPRODUCT("2",COMPLEX(C_THROUGH_ESR,B629*C_THROUGH_ESL-1/(B629*C_THROUGH_C)))))</f>
        <v>0</v>
      </c>
      <c r="E629">
        <f>COMPLEX(2*LINE_INPUT_DCR,2*B629*LINE_INPUT_L)</f>
        <v>0</v>
      </c>
      <c r="F629">
        <f>COMPLEX(0,B629*(LINE_INPUT_CLINE+LINE_INPUT_CCHA/2))</f>
        <v>0</v>
      </c>
      <c r="G629">
        <f>IMPRODUCT("2",IMDIV("1",IMSUM(IMDIV("1",COMPLEX(LDM1_DCR,B629*LDM1_L)),COMPLEX(0,B629*LDM1_CPA))))</f>
        <v>0</v>
      </c>
      <c r="H629">
        <f>IMSUM(IMDIV("1",COMPLEX(CX1_ESR,B629*CX1_ESL-1/(B629*CX1_C))),IMDIV("1",IMSUM(COMPLEX(DUMP1_R,0),COMPLEX(DUMP1_ESR,B629*DUMP1_ESL-1/(B629*DUMP1_C)))))</f>
        <v>0</v>
      </c>
      <c r="I629">
        <f>IMPRODUCT("2",IMDIV("1",IMSUM(IMDIV("1",COMPLEX(LDM2_DCR,B629*LDM2_L)),COMPLEX(0,B629*LDM2_CPA))))</f>
        <v>0</v>
      </c>
      <c r="J629">
        <f>IMSUM(IMDIV("1",COMPLEX(CX2_ESR,B629*CX2_ESL-1/(B629*CX2_C))),IMDIV("1",IMSUM(COMPLEX(DUMP2_R,0),COMPLEX(DUMP2_ESR,B629*DUMP2_ESL-1/(B629*DUMP2_C)))))</f>
        <v>0</v>
      </c>
      <c r="K629">
        <f>IMPRODUCT("2",IMDIV("1",IMSUM(IMDIV("1",COMPLEX(CMC_DCR,B629*CMC_L*(1-CMC_K))),COMPLEX(0,B629*CMC_CPA))))</f>
        <v>0</v>
      </c>
      <c r="L629">
        <f>IMSUM(COMPLEX(0,B629*CMC_CLINE),IMDIV("1",IMPRODUCT("2",COMPLEX(CY_ESR,B629*CY_ESL-1/(B629*CY_C)))),COMPLEX(1/DUMMY_R,0))</f>
        <v>0</v>
      </c>
      <c r="M629">
        <f>IMSUM(D629,IMDIV("1",C629))</f>
        <v>0</v>
      </c>
      <c r="N629">
        <f>IMDIV("1",IMSUM(E629,IMDIV("1",M629)))</f>
        <v>0</v>
      </c>
      <c r="O629">
        <f>IMSUM(F629,N629)</f>
        <v>0</v>
      </c>
      <c r="P629">
        <f>IMDIV("1",IMSUM(G629,IMDIV("1",O629)))</f>
        <v>0</v>
      </c>
      <c r="Q629">
        <f>IMSUM(H629,P629)</f>
        <v>0</v>
      </c>
      <c r="R629">
        <f>IMDIV("1",IMSUM(I629,IMDIV("1",Q629)))</f>
        <v>0</v>
      </c>
      <c r="S629">
        <f>IMSUM(J629,R629)</f>
        <v>0</v>
      </c>
      <c r="T629">
        <f>IMDIV("1",IMSUM(K629,IMDIV("1",S629)))</f>
        <v>0</v>
      </c>
      <c r="U629">
        <f>IMSUM(L629,T629)</f>
        <v>0</v>
      </c>
      <c r="V629">
        <f>IMDIV(COMPLEX(I_DM_SOURCE,0),U629)</f>
        <v>0</v>
      </c>
      <c r="W629">
        <f>IMPRODUCT(V629,T629)</f>
        <v>0</v>
      </c>
      <c r="X629">
        <f>IMDIV(W629,S629)</f>
        <v>0</v>
      </c>
      <c r="Y629">
        <f>IMPRODUCT(X629,R629)</f>
        <v>0</v>
      </c>
      <c r="Z629">
        <f>IMDIV(Y629,Q629)</f>
        <v>0</v>
      </c>
      <c r="AA629">
        <f>IMPRODUCT(Z629,P629)</f>
        <v>0</v>
      </c>
      <c r="AB629">
        <f>AA629</f>
        <v>0</v>
      </c>
      <c r="AC629">
        <f>IMPRODUCT("-1",AB629)</f>
        <v>0</v>
      </c>
      <c r="AD629">
        <f>IMDIV(IMSUB(AB629,AC629),"2")</f>
        <v>0</v>
      </c>
      <c r="AE629" s="6">
        <f>IMABS(AB629)</f>
        <v>0</v>
      </c>
      <c r="AF629" s="6">
        <f>IMABS(AC629)</f>
        <v>0</v>
      </c>
      <c r="AG629" s="6">
        <f>IMABS(AD629)</f>
        <v>0</v>
      </c>
      <c r="AH629" s="7">
        <f>20*LOG10(MAX(AE629,1E-300)*1E6)</f>
        <v>0</v>
      </c>
      <c r="AI629" s="7">
        <f>20*LOG10(MAX(AF629,1E-300)*1E6)</f>
        <v>0</v>
      </c>
      <c r="AJ629" s="7">
        <f>20*LOG10(MAX(AG629,1E-300)*1E6)</f>
        <v>0</v>
      </c>
      <c r="AK629" s="7">
        <f>DEGREES(IMARGUMENT(AB629))</f>
        <v>0</v>
      </c>
      <c r="AL629" s="7">
        <f>DEGREES(IMARGUMENT(AC629))</f>
        <v>0</v>
      </c>
      <c r="AM629" s="7">
        <f>DEGREES(IMARGUMENT(AD629))</f>
        <v>0</v>
      </c>
    </row>
    <row r="630" spans="1:39">
      <c r="A630" s="6">
        <f>10^(LOG10(F_START)+(ROW()-ROW($A$2))*(LOG10(F_STOP)-LOG10(F_START))/(N_POINTS-1))</f>
        <v>0</v>
      </c>
      <c r="B630" s="6">
        <f>2*PI()*A630</f>
        <v>0</v>
      </c>
      <c r="C630">
        <f>COMPLEX(2*LINE_PS_DCR,2*B630*LINE_PS_L)</f>
        <v>0</v>
      </c>
      <c r="D630">
        <f>IMSUM(COMPLEX(0,B630*(LINE_PS_CLINE+LINE_PS_CCHA/2)),IMDIV("1",IMPRODUCT("2",COMPLEX(C_THROUGH_ESR,B630*C_THROUGH_ESL-1/(B630*C_THROUGH_C)))))</f>
        <v>0</v>
      </c>
      <c r="E630">
        <f>COMPLEX(2*LINE_INPUT_DCR,2*B630*LINE_INPUT_L)</f>
        <v>0</v>
      </c>
      <c r="F630">
        <f>COMPLEX(0,B630*(LINE_INPUT_CLINE+LINE_INPUT_CCHA/2))</f>
        <v>0</v>
      </c>
      <c r="G630">
        <f>IMPRODUCT("2",IMDIV("1",IMSUM(IMDIV("1",COMPLEX(LDM1_DCR,B630*LDM1_L)),COMPLEX(0,B630*LDM1_CPA))))</f>
        <v>0</v>
      </c>
      <c r="H630">
        <f>IMSUM(IMDIV("1",COMPLEX(CX1_ESR,B630*CX1_ESL-1/(B630*CX1_C))),IMDIV("1",IMSUM(COMPLEX(DUMP1_R,0),COMPLEX(DUMP1_ESR,B630*DUMP1_ESL-1/(B630*DUMP1_C)))))</f>
        <v>0</v>
      </c>
      <c r="I630">
        <f>IMPRODUCT("2",IMDIV("1",IMSUM(IMDIV("1",COMPLEX(LDM2_DCR,B630*LDM2_L)),COMPLEX(0,B630*LDM2_CPA))))</f>
        <v>0</v>
      </c>
      <c r="J630">
        <f>IMSUM(IMDIV("1",COMPLEX(CX2_ESR,B630*CX2_ESL-1/(B630*CX2_C))),IMDIV("1",IMSUM(COMPLEX(DUMP2_R,0),COMPLEX(DUMP2_ESR,B630*DUMP2_ESL-1/(B630*DUMP2_C)))))</f>
        <v>0</v>
      </c>
      <c r="K630">
        <f>IMPRODUCT("2",IMDIV("1",IMSUM(IMDIV("1",COMPLEX(CMC_DCR,B630*CMC_L*(1-CMC_K))),COMPLEX(0,B630*CMC_CPA))))</f>
        <v>0</v>
      </c>
      <c r="L630">
        <f>IMSUM(COMPLEX(0,B630*CMC_CLINE),IMDIV("1",IMPRODUCT("2",COMPLEX(CY_ESR,B630*CY_ESL-1/(B630*CY_C)))),COMPLEX(1/DUMMY_R,0))</f>
        <v>0</v>
      </c>
      <c r="M630">
        <f>IMSUM(D630,IMDIV("1",C630))</f>
        <v>0</v>
      </c>
      <c r="N630">
        <f>IMDIV("1",IMSUM(E630,IMDIV("1",M630)))</f>
        <v>0</v>
      </c>
      <c r="O630">
        <f>IMSUM(F630,N630)</f>
        <v>0</v>
      </c>
      <c r="P630">
        <f>IMDIV("1",IMSUM(G630,IMDIV("1",O630)))</f>
        <v>0</v>
      </c>
      <c r="Q630">
        <f>IMSUM(H630,P630)</f>
        <v>0</v>
      </c>
      <c r="R630">
        <f>IMDIV("1",IMSUM(I630,IMDIV("1",Q630)))</f>
        <v>0</v>
      </c>
      <c r="S630">
        <f>IMSUM(J630,R630)</f>
        <v>0</v>
      </c>
      <c r="T630">
        <f>IMDIV("1",IMSUM(K630,IMDIV("1",S630)))</f>
        <v>0</v>
      </c>
      <c r="U630">
        <f>IMSUM(L630,T630)</f>
        <v>0</v>
      </c>
      <c r="V630">
        <f>IMDIV(COMPLEX(I_DM_SOURCE,0),U630)</f>
        <v>0</v>
      </c>
      <c r="W630">
        <f>IMPRODUCT(V630,T630)</f>
        <v>0</v>
      </c>
      <c r="X630">
        <f>IMDIV(W630,S630)</f>
        <v>0</v>
      </c>
      <c r="Y630">
        <f>IMPRODUCT(X630,R630)</f>
        <v>0</v>
      </c>
      <c r="Z630">
        <f>IMDIV(Y630,Q630)</f>
        <v>0</v>
      </c>
      <c r="AA630">
        <f>IMPRODUCT(Z630,P630)</f>
        <v>0</v>
      </c>
      <c r="AB630">
        <f>AA630</f>
        <v>0</v>
      </c>
      <c r="AC630">
        <f>IMPRODUCT("-1",AB630)</f>
        <v>0</v>
      </c>
      <c r="AD630">
        <f>IMDIV(IMSUB(AB630,AC630),"2")</f>
        <v>0</v>
      </c>
      <c r="AE630" s="6">
        <f>IMABS(AB630)</f>
        <v>0</v>
      </c>
      <c r="AF630" s="6">
        <f>IMABS(AC630)</f>
        <v>0</v>
      </c>
      <c r="AG630" s="6">
        <f>IMABS(AD630)</f>
        <v>0</v>
      </c>
      <c r="AH630" s="7">
        <f>20*LOG10(MAX(AE630,1E-300)*1E6)</f>
        <v>0</v>
      </c>
      <c r="AI630" s="7">
        <f>20*LOG10(MAX(AF630,1E-300)*1E6)</f>
        <v>0</v>
      </c>
      <c r="AJ630" s="7">
        <f>20*LOG10(MAX(AG630,1E-300)*1E6)</f>
        <v>0</v>
      </c>
      <c r="AK630" s="7">
        <f>DEGREES(IMARGUMENT(AB630))</f>
        <v>0</v>
      </c>
      <c r="AL630" s="7">
        <f>DEGREES(IMARGUMENT(AC630))</f>
        <v>0</v>
      </c>
      <c r="AM630" s="7">
        <f>DEGREES(IMARGUMENT(AD630))</f>
        <v>0</v>
      </c>
    </row>
    <row r="631" spans="1:39">
      <c r="A631" s="6">
        <f>10^(LOG10(F_START)+(ROW()-ROW($A$2))*(LOG10(F_STOP)-LOG10(F_START))/(N_POINTS-1))</f>
        <v>0</v>
      </c>
      <c r="B631" s="6">
        <f>2*PI()*A631</f>
        <v>0</v>
      </c>
      <c r="C631">
        <f>COMPLEX(2*LINE_PS_DCR,2*B631*LINE_PS_L)</f>
        <v>0</v>
      </c>
      <c r="D631">
        <f>IMSUM(COMPLEX(0,B631*(LINE_PS_CLINE+LINE_PS_CCHA/2)),IMDIV("1",IMPRODUCT("2",COMPLEX(C_THROUGH_ESR,B631*C_THROUGH_ESL-1/(B631*C_THROUGH_C)))))</f>
        <v>0</v>
      </c>
      <c r="E631">
        <f>COMPLEX(2*LINE_INPUT_DCR,2*B631*LINE_INPUT_L)</f>
        <v>0</v>
      </c>
      <c r="F631">
        <f>COMPLEX(0,B631*(LINE_INPUT_CLINE+LINE_INPUT_CCHA/2))</f>
        <v>0</v>
      </c>
      <c r="G631">
        <f>IMPRODUCT("2",IMDIV("1",IMSUM(IMDIV("1",COMPLEX(LDM1_DCR,B631*LDM1_L)),COMPLEX(0,B631*LDM1_CPA))))</f>
        <v>0</v>
      </c>
      <c r="H631">
        <f>IMSUM(IMDIV("1",COMPLEX(CX1_ESR,B631*CX1_ESL-1/(B631*CX1_C))),IMDIV("1",IMSUM(COMPLEX(DUMP1_R,0),COMPLEX(DUMP1_ESR,B631*DUMP1_ESL-1/(B631*DUMP1_C)))))</f>
        <v>0</v>
      </c>
      <c r="I631">
        <f>IMPRODUCT("2",IMDIV("1",IMSUM(IMDIV("1",COMPLEX(LDM2_DCR,B631*LDM2_L)),COMPLEX(0,B631*LDM2_CPA))))</f>
        <v>0</v>
      </c>
      <c r="J631">
        <f>IMSUM(IMDIV("1",COMPLEX(CX2_ESR,B631*CX2_ESL-1/(B631*CX2_C))),IMDIV("1",IMSUM(COMPLEX(DUMP2_R,0),COMPLEX(DUMP2_ESR,B631*DUMP2_ESL-1/(B631*DUMP2_C)))))</f>
        <v>0</v>
      </c>
      <c r="K631">
        <f>IMPRODUCT("2",IMDIV("1",IMSUM(IMDIV("1",COMPLEX(CMC_DCR,B631*CMC_L*(1-CMC_K))),COMPLEX(0,B631*CMC_CPA))))</f>
        <v>0</v>
      </c>
      <c r="L631">
        <f>IMSUM(COMPLEX(0,B631*CMC_CLINE),IMDIV("1",IMPRODUCT("2",COMPLEX(CY_ESR,B631*CY_ESL-1/(B631*CY_C)))),COMPLEX(1/DUMMY_R,0))</f>
        <v>0</v>
      </c>
      <c r="M631">
        <f>IMSUM(D631,IMDIV("1",C631))</f>
        <v>0</v>
      </c>
      <c r="N631">
        <f>IMDIV("1",IMSUM(E631,IMDIV("1",M631)))</f>
        <v>0</v>
      </c>
      <c r="O631">
        <f>IMSUM(F631,N631)</f>
        <v>0</v>
      </c>
      <c r="P631">
        <f>IMDIV("1",IMSUM(G631,IMDIV("1",O631)))</f>
        <v>0</v>
      </c>
      <c r="Q631">
        <f>IMSUM(H631,P631)</f>
        <v>0</v>
      </c>
      <c r="R631">
        <f>IMDIV("1",IMSUM(I631,IMDIV("1",Q631)))</f>
        <v>0</v>
      </c>
      <c r="S631">
        <f>IMSUM(J631,R631)</f>
        <v>0</v>
      </c>
      <c r="T631">
        <f>IMDIV("1",IMSUM(K631,IMDIV("1",S631)))</f>
        <v>0</v>
      </c>
      <c r="U631">
        <f>IMSUM(L631,T631)</f>
        <v>0</v>
      </c>
      <c r="V631">
        <f>IMDIV(COMPLEX(I_DM_SOURCE,0),U631)</f>
        <v>0</v>
      </c>
      <c r="W631">
        <f>IMPRODUCT(V631,T631)</f>
        <v>0</v>
      </c>
      <c r="X631">
        <f>IMDIV(W631,S631)</f>
        <v>0</v>
      </c>
      <c r="Y631">
        <f>IMPRODUCT(X631,R631)</f>
        <v>0</v>
      </c>
      <c r="Z631">
        <f>IMDIV(Y631,Q631)</f>
        <v>0</v>
      </c>
      <c r="AA631">
        <f>IMPRODUCT(Z631,P631)</f>
        <v>0</v>
      </c>
      <c r="AB631">
        <f>AA631</f>
        <v>0</v>
      </c>
      <c r="AC631">
        <f>IMPRODUCT("-1",AB631)</f>
        <v>0</v>
      </c>
      <c r="AD631">
        <f>IMDIV(IMSUB(AB631,AC631),"2")</f>
        <v>0</v>
      </c>
      <c r="AE631" s="6">
        <f>IMABS(AB631)</f>
        <v>0</v>
      </c>
      <c r="AF631" s="6">
        <f>IMABS(AC631)</f>
        <v>0</v>
      </c>
      <c r="AG631" s="6">
        <f>IMABS(AD631)</f>
        <v>0</v>
      </c>
      <c r="AH631" s="7">
        <f>20*LOG10(MAX(AE631,1E-300)*1E6)</f>
        <v>0</v>
      </c>
      <c r="AI631" s="7">
        <f>20*LOG10(MAX(AF631,1E-300)*1E6)</f>
        <v>0</v>
      </c>
      <c r="AJ631" s="7">
        <f>20*LOG10(MAX(AG631,1E-300)*1E6)</f>
        <v>0</v>
      </c>
      <c r="AK631" s="7">
        <f>DEGREES(IMARGUMENT(AB631))</f>
        <v>0</v>
      </c>
      <c r="AL631" s="7">
        <f>DEGREES(IMARGUMENT(AC631))</f>
        <v>0</v>
      </c>
      <c r="AM631" s="7">
        <f>DEGREES(IMARGUMENT(AD631))</f>
        <v>0</v>
      </c>
    </row>
    <row r="632" spans="1:39">
      <c r="A632" s="6">
        <f>10^(LOG10(F_START)+(ROW()-ROW($A$2))*(LOG10(F_STOP)-LOG10(F_START))/(N_POINTS-1))</f>
        <v>0</v>
      </c>
      <c r="B632" s="6">
        <f>2*PI()*A632</f>
        <v>0</v>
      </c>
      <c r="C632">
        <f>COMPLEX(2*LINE_PS_DCR,2*B632*LINE_PS_L)</f>
        <v>0</v>
      </c>
      <c r="D632">
        <f>IMSUM(COMPLEX(0,B632*(LINE_PS_CLINE+LINE_PS_CCHA/2)),IMDIV("1",IMPRODUCT("2",COMPLEX(C_THROUGH_ESR,B632*C_THROUGH_ESL-1/(B632*C_THROUGH_C)))))</f>
        <v>0</v>
      </c>
      <c r="E632">
        <f>COMPLEX(2*LINE_INPUT_DCR,2*B632*LINE_INPUT_L)</f>
        <v>0</v>
      </c>
      <c r="F632">
        <f>COMPLEX(0,B632*(LINE_INPUT_CLINE+LINE_INPUT_CCHA/2))</f>
        <v>0</v>
      </c>
      <c r="G632">
        <f>IMPRODUCT("2",IMDIV("1",IMSUM(IMDIV("1",COMPLEX(LDM1_DCR,B632*LDM1_L)),COMPLEX(0,B632*LDM1_CPA))))</f>
        <v>0</v>
      </c>
      <c r="H632">
        <f>IMSUM(IMDIV("1",COMPLEX(CX1_ESR,B632*CX1_ESL-1/(B632*CX1_C))),IMDIV("1",IMSUM(COMPLEX(DUMP1_R,0),COMPLEX(DUMP1_ESR,B632*DUMP1_ESL-1/(B632*DUMP1_C)))))</f>
        <v>0</v>
      </c>
      <c r="I632">
        <f>IMPRODUCT("2",IMDIV("1",IMSUM(IMDIV("1",COMPLEX(LDM2_DCR,B632*LDM2_L)),COMPLEX(0,B632*LDM2_CPA))))</f>
        <v>0</v>
      </c>
      <c r="J632">
        <f>IMSUM(IMDIV("1",COMPLEX(CX2_ESR,B632*CX2_ESL-1/(B632*CX2_C))),IMDIV("1",IMSUM(COMPLEX(DUMP2_R,0),COMPLEX(DUMP2_ESR,B632*DUMP2_ESL-1/(B632*DUMP2_C)))))</f>
        <v>0</v>
      </c>
      <c r="K632">
        <f>IMPRODUCT("2",IMDIV("1",IMSUM(IMDIV("1",COMPLEX(CMC_DCR,B632*CMC_L*(1-CMC_K))),COMPLEX(0,B632*CMC_CPA))))</f>
        <v>0</v>
      </c>
      <c r="L632">
        <f>IMSUM(COMPLEX(0,B632*CMC_CLINE),IMDIV("1",IMPRODUCT("2",COMPLEX(CY_ESR,B632*CY_ESL-1/(B632*CY_C)))),COMPLEX(1/DUMMY_R,0))</f>
        <v>0</v>
      </c>
      <c r="M632">
        <f>IMSUM(D632,IMDIV("1",C632))</f>
        <v>0</v>
      </c>
      <c r="N632">
        <f>IMDIV("1",IMSUM(E632,IMDIV("1",M632)))</f>
        <v>0</v>
      </c>
      <c r="O632">
        <f>IMSUM(F632,N632)</f>
        <v>0</v>
      </c>
      <c r="P632">
        <f>IMDIV("1",IMSUM(G632,IMDIV("1",O632)))</f>
        <v>0</v>
      </c>
      <c r="Q632">
        <f>IMSUM(H632,P632)</f>
        <v>0</v>
      </c>
      <c r="R632">
        <f>IMDIV("1",IMSUM(I632,IMDIV("1",Q632)))</f>
        <v>0</v>
      </c>
      <c r="S632">
        <f>IMSUM(J632,R632)</f>
        <v>0</v>
      </c>
      <c r="T632">
        <f>IMDIV("1",IMSUM(K632,IMDIV("1",S632)))</f>
        <v>0</v>
      </c>
      <c r="U632">
        <f>IMSUM(L632,T632)</f>
        <v>0</v>
      </c>
      <c r="V632">
        <f>IMDIV(COMPLEX(I_DM_SOURCE,0),U632)</f>
        <v>0</v>
      </c>
      <c r="W632">
        <f>IMPRODUCT(V632,T632)</f>
        <v>0</v>
      </c>
      <c r="X632">
        <f>IMDIV(W632,S632)</f>
        <v>0</v>
      </c>
      <c r="Y632">
        <f>IMPRODUCT(X632,R632)</f>
        <v>0</v>
      </c>
      <c r="Z632">
        <f>IMDIV(Y632,Q632)</f>
        <v>0</v>
      </c>
      <c r="AA632">
        <f>IMPRODUCT(Z632,P632)</f>
        <v>0</v>
      </c>
      <c r="AB632">
        <f>AA632</f>
        <v>0</v>
      </c>
      <c r="AC632">
        <f>IMPRODUCT("-1",AB632)</f>
        <v>0</v>
      </c>
      <c r="AD632">
        <f>IMDIV(IMSUB(AB632,AC632),"2")</f>
        <v>0</v>
      </c>
      <c r="AE632" s="6">
        <f>IMABS(AB632)</f>
        <v>0</v>
      </c>
      <c r="AF632" s="6">
        <f>IMABS(AC632)</f>
        <v>0</v>
      </c>
      <c r="AG632" s="6">
        <f>IMABS(AD632)</f>
        <v>0</v>
      </c>
      <c r="AH632" s="7">
        <f>20*LOG10(MAX(AE632,1E-300)*1E6)</f>
        <v>0</v>
      </c>
      <c r="AI632" s="7">
        <f>20*LOG10(MAX(AF632,1E-300)*1E6)</f>
        <v>0</v>
      </c>
      <c r="AJ632" s="7">
        <f>20*LOG10(MAX(AG632,1E-300)*1E6)</f>
        <v>0</v>
      </c>
      <c r="AK632" s="7">
        <f>DEGREES(IMARGUMENT(AB632))</f>
        <v>0</v>
      </c>
      <c r="AL632" s="7">
        <f>DEGREES(IMARGUMENT(AC632))</f>
        <v>0</v>
      </c>
      <c r="AM632" s="7">
        <f>DEGREES(IMARGUMENT(AD632))</f>
        <v>0</v>
      </c>
    </row>
    <row r="633" spans="1:39">
      <c r="A633" s="6">
        <f>10^(LOG10(F_START)+(ROW()-ROW($A$2))*(LOG10(F_STOP)-LOG10(F_START))/(N_POINTS-1))</f>
        <v>0</v>
      </c>
      <c r="B633" s="6">
        <f>2*PI()*A633</f>
        <v>0</v>
      </c>
      <c r="C633">
        <f>COMPLEX(2*LINE_PS_DCR,2*B633*LINE_PS_L)</f>
        <v>0</v>
      </c>
      <c r="D633">
        <f>IMSUM(COMPLEX(0,B633*(LINE_PS_CLINE+LINE_PS_CCHA/2)),IMDIV("1",IMPRODUCT("2",COMPLEX(C_THROUGH_ESR,B633*C_THROUGH_ESL-1/(B633*C_THROUGH_C)))))</f>
        <v>0</v>
      </c>
      <c r="E633">
        <f>COMPLEX(2*LINE_INPUT_DCR,2*B633*LINE_INPUT_L)</f>
        <v>0</v>
      </c>
      <c r="F633">
        <f>COMPLEX(0,B633*(LINE_INPUT_CLINE+LINE_INPUT_CCHA/2))</f>
        <v>0</v>
      </c>
      <c r="G633">
        <f>IMPRODUCT("2",IMDIV("1",IMSUM(IMDIV("1",COMPLEX(LDM1_DCR,B633*LDM1_L)),COMPLEX(0,B633*LDM1_CPA))))</f>
        <v>0</v>
      </c>
      <c r="H633">
        <f>IMSUM(IMDIV("1",COMPLEX(CX1_ESR,B633*CX1_ESL-1/(B633*CX1_C))),IMDIV("1",IMSUM(COMPLEX(DUMP1_R,0),COMPLEX(DUMP1_ESR,B633*DUMP1_ESL-1/(B633*DUMP1_C)))))</f>
        <v>0</v>
      </c>
      <c r="I633">
        <f>IMPRODUCT("2",IMDIV("1",IMSUM(IMDIV("1",COMPLEX(LDM2_DCR,B633*LDM2_L)),COMPLEX(0,B633*LDM2_CPA))))</f>
        <v>0</v>
      </c>
      <c r="J633">
        <f>IMSUM(IMDIV("1",COMPLEX(CX2_ESR,B633*CX2_ESL-1/(B633*CX2_C))),IMDIV("1",IMSUM(COMPLEX(DUMP2_R,0),COMPLEX(DUMP2_ESR,B633*DUMP2_ESL-1/(B633*DUMP2_C)))))</f>
        <v>0</v>
      </c>
      <c r="K633">
        <f>IMPRODUCT("2",IMDIV("1",IMSUM(IMDIV("1",COMPLEX(CMC_DCR,B633*CMC_L*(1-CMC_K))),COMPLEX(0,B633*CMC_CPA))))</f>
        <v>0</v>
      </c>
      <c r="L633">
        <f>IMSUM(COMPLEX(0,B633*CMC_CLINE),IMDIV("1",IMPRODUCT("2",COMPLEX(CY_ESR,B633*CY_ESL-1/(B633*CY_C)))),COMPLEX(1/DUMMY_R,0))</f>
        <v>0</v>
      </c>
      <c r="M633">
        <f>IMSUM(D633,IMDIV("1",C633))</f>
        <v>0</v>
      </c>
      <c r="N633">
        <f>IMDIV("1",IMSUM(E633,IMDIV("1",M633)))</f>
        <v>0</v>
      </c>
      <c r="O633">
        <f>IMSUM(F633,N633)</f>
        <v>0</v>
      </c>
      <c r="P633">
        <f>IMDIV("1",IMSUM(G633,IMDIV("1",O633)))</f>
        <v>0</v>
      </c>
      <c r="Q633">
        <f>IMSUM(H633,P633)</f>
        <v>0</v>
      </c>
      <c r="R633">
        <f>IMDIV("1",IMSUM(I633,IMDIV("1",Q633)))</f>
        <v>0</v>
      </c>
      <c r="S633">
        <f>IMSUM(J633,R633)</f>
        <v>0</v>
      </c>
      <c r="T633">
        <f>IMDIV("1",IMSUM(K633,IMDIV("1",S633)))</f>
        <v>0</v>
      </c>
      <c r="U633">
        <f>IMSUM(L633,T633)</f>
        <v>0</v>
      </c>
      <c r="V633">
        <f>IMDIV(COMPLEX(I_DM_SOURCE,0),U633)</f>
        <v>0</v>
      </c>
      <c r="W633">
        <f>IMPRODUCT(V633,T633)</f>
        <v>0</v>
      </c>
      <c r="X633">
        <f>IMDIV(W633,S633)</f>
        <v>0</v>
      </c>
      <c r="Y633">
        <f>IMPRODUCT(X633,R633)</f>
        <v>0</v>
      </c>
      <c r="Z633">
        <f>IMDIV(Y633,Q633)</f>
        <v>0</v>
      </c>
      <c r="AA633">
        <f>IMPRODUCT(Z633,P633)</f>
        <v>0</v>
      </c>
      <c r="AB633">
        <f>AA633</f>
        <v>0</v>
      </c>
      <c r="AC633">
        <f>IMPRODUCT("-1",AB633)</f>
        <v>0</v>
      </c>
      <c r="AD633">
        <f>IMDIV(IMSUB(AB633,AC633),"2")</f>
        <v>0</v>
      </c>
      <c r="AE633" s="6">
        <f>IMABS(AB633)</f>
        <v>0</v>
      </c>
      <c r="AF633" s="6">
        <f>IMABS(AC633)</f>
        <v>0</v>
      </c>
      <c r="AG633" s="6">
        <f>IMABS(AD633)</f>
        <v>0</v>
      </c>
      <c r="AH633" s="7">
        <f>20*LOG10(MAX(AE633,1E-300)*1E6)</f>
        <v>0</v>
      </c>
      <c r="AI633" s="7">
        <f>20*LOG10(MAX(AF633,1E-300)*1E6)</f>
        <v>0</v>
      </c>
      <c r="AJ633" s="7">
        <f>20*LOG10(MAX(AG633,1E-300)*1E6)</f>
        <v>0</v>
      </c>
      <c r="AK633" s="7">
        <f>DEGREES(IMARGUMENT(AB633))</f>
        <v>0</v>
      </c>
      <c r="AL633" s="7">
        <f>DEGREES(IMARGUMENT(AC633))</f>
        <v>0</v>
      </c>
      <c r="AM633" s="7">
        <f>DEGREES(IMARGUMENT(AD633))</f>
        <v>0</v>
      </c>
    </row>
    <row r="634" spans="1:39">
      <c r="A634" s="6">
        <f>10^(LOG10(F_START)+(ROW()-ROW($A$2))*(LOG10(F_STOP)-LOG10(F_START))/(N_POINTS-1))</f>
        <v>0</v>
      </c>
      <c r="B634" s="6">
        <f>2*PI()*A634</f>
        <v>0</v>
      </c>
      <c r="C634">
        <f>COMPLEX(2*LINE_PS_DCR,2*B634*LINE_PS_L)</f>
        <v>0</v>
      </c>
      <c r="D634">
        <f>IMSUM(COMPLEX(0,B634*(LINE_PS_CLINE+LINE_PS_CCHA/2)),IMDIV("1",IMPRODUCT("2",COMPLEX(C_THROUGH_ESR,B634*C_THROUGH_ESL-1/(B634*C_THROUGH_C)))))</f>
        <v>0</v>
      </c>
      <c r="E634">
        <f>COMPLEX(2*LINE_INPUT_DCR,2*B634*LINE_INPUT_L)</f>
        <v>0</v>
      </c>
      <c r="F634">
        <f>COMPLEX(0,B634*(LINE_INPUT_CLINE+LINE_INPUT_CCHA/2))</f>
        <v>0</v>
      </c>
      <c r="G634">
        <f>IMPRODUCT("2",IMDIV("1",IMSUM(IMDIV("1",COMPLEX(LDM1_DCR,B634*LDM1_L)),COMPLEX(0,B634*LDM1_CPA))))</f>
        <v>0</v>
      </c>
      <c r="H634">
        <f>IMSUM(IMDIV("1",COMPLEX(CX1_ESR,B634*CX1_ESL-1/(B634*CX1_C))),IMDIV("1",IMSUM(COMPLEX(DUMP1_R,0),COMPLEX(DUMP1_ESR,B634*DUMP1_ESL-1/(B634*DUMP1_C)))))</f>
        <v>0</v>
      </c>
      <c r="I634">
        <f>IMPRODUCT("2",IMDIV("1",IMSUM(IMDIV("1",COMPLEX(LDM2_DCR,B634*LDM2_L)),COMPLEX(0,B634*LDM2_CPA))))</f>
        <v>0</v>
      </c>
      <c r="J634">
        <f>IMSUM(IMDIV("1",COMPLEX(CX2_ESR,B634*CX2_ESL-1/(B634*CX2_C))),IMDIV("1",IMSUM(COMPLEX(DUMP2_R,0),COMPLEX(DUMP2_ESR,B634*DUMP2_ESL-1/(B634*DUMP2_C)))))</f>
        <v>0</v>
      </c>
      <c r="K634">
        <f>IMPRODUCT("2",IMDIV("1",IMSUM(IMDIV("1",COMPLEX(CMC_DCR,B634*CMC_L*(1-CMC_K))),COMPLEX(0,B634*CMC_CPA))))</f>
        <v>0</v>
      </c>
      <c r="L634">
        <f>IMSUM(COMPLEX(0,B634*CMC_CLINE),IMDIV("1",IMPRODUCT("2",COMPLEX(CY_ESR,B634*CY_ESL-1/(B634*CY_C)))),COMPLEX(1/DUMMY_R,0))</f>
        <v>0</v>
      </c>
      <c r="M634">
        <f>IMSUM(D634,IMDIV("1",C634))</f>
        <v>0</v>
      </c>
      <c r="N634">
        <f>IMDIV("1",IMSUM(E634,IMDIV("1",M634)))</f>
        <v>0</v>
      </c>
      <c r="O634">
        <f>IMSUM(F634,N634)</f>
        <v>0</v>
      </c>
      <c r="P634">
        <f>IMDIV("1",IMSUM(G634,IMDIV("1",O634)))</f>
        <v>0</v>
      </c>
      <c r="Q634">
        <f>IMSUM(H634,P634)</f>
        <v>0</v>
      </c>
      <c r="R634">
        <f>IMDIV("1",IMSUM(I634,IMDIV("1",Q634)))</f>
        <v>0</v>
      </c>
      <c r="S634">
        <f>IMSUM(J634,R634)</f>
        <v>0</v>
      </c>
      <c r="T634">
        <f>IMDIV("1",IMSUM(K634,IMDIV("1",S634)))</f>
        <v>0</v>
      </c>
      <c r="U634">
        <f>IMSUM(L634,T634)</f>
        <v>0</v>
      </c>
      <c r="V634">
        <f>IMDIV(COMPLEX(I_DM_SOURCE,0),U634)</f>
        <v>0</v>
      </c>
      <c r="W634">
        <f>IMPRODUCT(V634,T634)</f>
        <v>0</v>
      </c>
      <c r="X634">
        <f>IMDIV(W634,S634)</f>
        <v>0</v>
      </c>
      <c r="Y634">
        <f>IMPRODUCT(X634,R634)</f>
        <v>0</v>
      </c>
      <c r="Z634">
        <f>IMDIV(Y634,Q634)</f>
        <v>0</v>
      </c>
      <c r="AA634">
        <f>IMPRODUCT(Z634,P634)</f>
        <v>0</v>
      </c>
      <c r="AB634">
        <f>AA634</f>
        <v>0</v>
      </c>
      <c r="AC634">
        <f>IMPRODUCT("-1",AB634)</f>
        <v>0</v>
      </c>
      <c r="AD634">
        <f>IMDIV(IMSUB(AB634,AC634),"2")</f>
        <v>0</v>
      </c>
      <c r="AE634" s="6">
        <f>IMABS(AB634)</f>
        <v>0</v>
      </c>
      <c r="AF634" s="6">
        <f>IMABS(AC634)</f>
        <v>0</v>
      </c>
      <c r="AG634" s="6">
        <f>IMABS(AD634)</f>
        <v>0</v>
      </c>
      <c r="AH634" s="7">
        <f>20*LOG10(MAX(AE634,1E-300)*1E6)</f>
        <v>0</v>
      </c>
      <c r="AI634" s="7">
        <f>20*LOG10(MAX(AF634,1E-300)*1E6)</f>
        <v>0</v>
      </c>
      <c r="AJ634" s="7">
        <f>20*LOG10(MAX(AG634,1E-300)*1E6)</f>
        <v>0</v>
      </c>
      <c r="AK634" s="7">
        <f>DEGREES(IMARGUMENT(AB634))</f>
        <v>0</v>
      </c>
      <c r="AL634" s="7">
        <f>DEGREES(IMARGUMENT(AC634))</f>
        <v>0</v>
      </c>
      <c r="AM634" s="7">
        <f>DEGREES(IMARGUMENT(AD634))</f>
        <v>0</v>
      </c>
    </row>
    <row r="635" spans="1:39">
      <c r="A635" s="6">
        <f>10^(LOG10(F_START)+(ROW()-ROW($A$2))*(LOG10(F_STOP)-LOG10(F_START))/(N_POINTS-1))</f>
        <v>0</v>
      </c>
      <c r="B635" s="6">
        <f>2*PI()*A635</f>
        <v>0</v>
      </c>
      <c r="C635">
        <f>COMPLEX(2*LINE_PS_DCR,2*B635*LINE_PS_L)</f>
        <v>0</v>
      </c>
      <c r="D635">
        <f>IMSUM(COMPLEX(0,B635*(LINE_PS_CLINE+LINE_PS_CCHA/2)),IMDIV("1",IMPRODUCT("2",COMPLEX(C_THROUGH_ESR,B635*C_THROUGH_ESL-1/(B635*C_THROUGH_C)))))</f>
        <v>0</v>
      </c>
      <c r="E635">
        <f>COMPLEX(2*LINE_INPUT_DCR,2*B635*LINE_INPUT_L)</f>
        <v>0</v>
      </c>
      <c r="F635">
        <f>COMPLEX(0,B635*(LINE_INPUT_CLINE+LINE_INPUT_CCHA/2))</f>
        <v>0</v>
      </c>
      <c r="G635">
        <f>IMPRODUCT("2",IMDIV("1",IMSUM(IMDIV("1",COMPLEX(LDM1_DCR,B635*LDM1_L)),COMPLEX(0,B635*LDM1_CPA))))</f>
        <v>0</v>
      </c>
      <c r="H635">
        <f>IMSUM(IMDIV("1",COMPLEX(CX1_ESR,B635*CX1_ESL-1/(B635*CX1_C))),IMDIV("1",IMSUM(COMPLEX(DUMP1_R,0),COMPLEX(DUMP1_ESR,B635*DUMP1_ESL-1/(B635*DUMP1_C)))))</f>
        <v>0</v>
      </c>
      <c r="I635">
        <f>IMPRODUCT("2",IMDIV("1",IMSUM(IMDIV("1",COMPLEX(LDM2_DCR,B635*LDM2_L)),COMPLEX(0,B635*LDM2_CPA))))</f>
        <v>0</v>
      </c>
      <c r="J635">
        <f>IMSUM(IMDIV("1",COMPLEX(CX2_ESR,B635*CX2_ESL-1/(B635*CX2_C))),IMDIV("1",IMSUM(COMPLEX(DUMP2_R,0),COMPLEX(DUMP2_ESR,B635*DUMP2_ESL-1/(B635*DUMP2_C)))))</f>
        <v>0</v>
      </c>
      <c r="K635">
        <f>IMPRODUCT("2",IMDIV("1",IMSUM(IMDIV("1",COMPLEX(CMC_DCR,B635*CMC_L*(1-CMC_K))),COMPLEX(0,B635*CMC_CPA))))</f>
        <v>0</v>
      </c>
      <c r="L635">
        <f>IMSUM(COMPLEX(0,B635*CMC_CLINE),IMDIV("1",IMPRODUCT("2",COMPLEX(CY_ESR,B635*CY_ESL-1/(B635*CY_C)))),COMPLEX(1/DUMMY_R,0))</f>
        <v>0</v>
      </c>
      <c r="M635">
        <f>IMSUM(D635,IMDIV("1",C635))</f>
        <v>0</v>
      </c>
      <c r="N635">
        <f>IMDIV("1",IMSUM(E635,IMDIV("1",M635)))</f>
        <v>0</v>
      </c>
      <c r="O635">
        <f>IMSUM(F635,N635)</f>
        <v>0</v>
      </c>
      <c r="P635">
        <f>IMDIV("1",IMSUM(G635,IMDIV("1",O635)))</f>
        <v>0</v>
      </c>
      <c r="Q635">
        <f>IMSUM(H635,P635)</f>
        <v>0</v>
      </c>
      <c r="R635">
        <f>IMDIV("1",IMSUM(I635,IMDIV("1",Q635)))</f>
        <v>0</v>
      </c>
      <c r="S635">
        <f>IMSUM(J635,R635)</f>
        <v>0</v>
      </c>
      <c r="T635">
        <f>IMDIV("1",IMSUM(K635,IMDIV("1",S635)))</f>
        <v>0</v>
      </c>
      <c r="U635">
        <f>IMSUM(L635,T635)</f>
        <v>0</v>
      </c>
      <c r="V635">
        <f>IMDIV(COMPLEX(I_DM_SOURCE,0),U635)</f>
        <v>0</v>
      </c>
      <c r="W635">
        <f>IMPRODUCT(V635,T635)</f>
        <v>0</v>
      </c>
      <c r="X635">
        <f>IMDIV(W635,S635)</f>
        <v>0</v>
      </c>
      <c r="Y635">
        <f>IMPRODUCT(X635,R635)</f>
        <v>0</v>
      </c>
      <c r="Z635">
        <f>IMDIV(Y635,Q635)</f>
        <v>0</v>
      </c>
      <c r="AA635">
        <f>IMPRODUCT(Z635,P635)</f>
        <v>0</v>
      </c>
      <c r="AB635">
        <f>AA635</f>
        <v>0</v>
      </c>
      <c r="AC635">
        <f>IMPRODUCT("-1",AB635)</f>
        <v>0</v>
      </c>
      <c r="AD635">
        <f>IMDIV(IMSUB(AB635,AC635),"2")</f>
        <v>0</v>
      </c>
      <c r="AE635" s="6">
        <f>IMABS(AB635)</f>
        <v>0</v>
      </c>
      <c r="AF635" s="6">
        <f>IMABS(AC635)</f>
        <v>0</v>
      </c>
      <c r="AG635" s="6">
        <f>IMABS(AD635)</f>
        <v>0</v>
      </c>
      <c r="AH635" s="7">
        <f>20*LOG10(MAX(AE635,1E-300)*1E6)</f>
        <v>0</v>
      </c>
      <c r="AI635" s="7">
        <f>20*LOG10(MAX(AF635,1E-300)*1E6)</f>
        <v>0</v>
      </c>
      <c r="AJ635" s="7">
        <f>20*LOG10(MAX(AG635,1E-300)*1E6)</f>
        <v>0</v>
      </c>
      <c r="AK635" s="7">
        <f>DEGREES(IMARGUMENT(AB635))</f>
        <v>0</v>
      </c>
      <c r="AL635" s="7">
        <f>DEGREES(IMARGUMENT(AC635))</f>
        <v>0</v>
      </c>
      <c r="AM635" s="7">
        <f>DEGREES(IMARGUMENT(AD635))</f>
        <v>0</v>
      </c>
    </row>
    <row r="636" spans="1:39">
      <c r="A636" s="6">
        <f>10^(LOG10(F_START)+(ROW()-ROW($A$2))*(LOG10(F_STOP)-LOG10(F_START))/(N_POINTS-1))</f>
        <v>0</v>
      </c>
      <c r="B636" s="6">
        <f>2*PI()*A636</f>
        <v>0</v>
      </c>
      <c r="C636">
        <f>COMPLEX(2*LINE_PS_DCR,2*B636*LINE_PS_L)</f>
        <v>0</v>
      </c>
      <c r="D636">
        <f>IMSUM(COMPLEX(0,B636*(LINE_PS_CLINE+LINE_PS_CCHA/2)),IMDIV("1",IMPRODUCT("2",COMPLEX(C_THROUGH_ESR,B636*C_THROUGH_ESL-1/(B636*C_THROUGH_C)))))</f>
        <v>0</v>
      </c>
      <c r="E636">
        <f>COMPLEX(2*LINE_INPUT_DCR,2*B636*LINE_INPUT_L)</f>
        <v>0</v>
      </c>
      <c r="F636">
        <f>COMPLEX(0,B636*(LINE_INPUT_CLINE+LINE_INPUT_CCHA/2))</f>
        <v>0</v>
      </c>
      <c r="G636">
        <f>IMPRODUCT("2",IMDIV("1",IMSUM(IMDIV("1",COMPLEX(LDM1_DCR,B636*LDM1_L)),COMPLEX(0,B636*LDM1_CPA))))</f>
        <v>0</v>
      </c>
      <c r="H636">
        <f>IMSUM(IMDIV("1",COMPLEX(CX1_ESR,B636*CX1_ESL-1/(B636*CX1_C))),IMDIV("1",IMSUM(COMPLEX(DUMP1_R,0),COMPLEX(DUMP1_ESR,B636*DUMP1_ESL-1/(B636*DUMP1_C)))))</f>
        <v>0</v>
      </c>
      <c r="I636">
        <f>IMPRODUCT("2",IMDIV("1",IMSUM(IMDIV("1",COMPLEX(LDM2_DCR,B636*LDM2_L)),COMPLEX(0,B636*LDM2_CPA))))</f>
        <v>0</v>
      </c>
      <c r="J636">
        <f>IMSUM(IMDIV("1",COMPLEX(CX2_ESR,B636*CX2_ESL-1/(B636*CX2_C))),IMDIV("1",IMSUM(COMPLEX(DUMP2_R,0),COMPLEX(DUMP2_ESR,B636*DUMP2_ESL-1/(B636*DUMP2_C)))))</f>
        <v>0</v>
      </c>
      <c r="K636">
        <f>IMPRODUCT("2",IMDIV("1",IMSUM(IMDIV("1",COMPLEX(CMC_DCR,B636*CMC_L*(1-CMC_K))),COMPLEX(0,B636*CMC_CPA))))</f>
        <v>0</v>
      </c>
      <c r="L636">
        <f>IMSUM(COMPLEX(0,B636*CMC_CLINE),IMDIV("1",IMPRODUCT("2",COMPLEX(CY_ESR,B636*CY_ESL-1/(B636*CY_C)))),COMPLEX(1/DUMMY_R,0))</f>
        <v>0</v>
      </c>
      <c r="M636">
        <f>IMSUM(D636,IMDIV("1",C636))</f>
        <v>0</v>
      </c>
      <c r="N636">
        <f>IMDIV("1",IMSUM(E636,IMDIV("1",M636)))</f>
        <v>0</v>
      </c>
      <c r="O636">
        <f>IMSUM(F636,N636)</f>
        <v>0</v>
      </c>
      <c r="P636">
        <f>IMDIV("1",IMSUM(G636,IMDIV("1",O636)))</f>
        <v>0</v>
      </c>
      <c r="Q636">
        <f>IMSUM(H636,P636)</f>
        <v>0</v>
      </c>
      <c r="R636">
        <f>IMDIV("1",IMSUM(I636,IMDIV("1",Q636)))</f>
        <v>0</v>
      </c>
      <c r="S636">
        <f>IMSUM(J636,R636)</f>
        <v>0</v>
      </c>
      <c r="T636">
        <f>IMDIV("1",IMSUM(K636,IMDIV("1",S636)))</f>
        <v>0</v>
      </c>
      <c r="U636">
        <f>IMSUM(L636,T636)</f>
        <v>0</v>
      </c>
      <c r="V636">
        <f>IMDIV(COMPLEX(I_DM_SOURCE,0),U636)</f>
        <v>0</v>
      </c>
      <c r="W636">
        <f>IMPRODUCT(V636,T636)</f>
        <v>0</v>
      </c>
      <c r="X636">
        <f>IMDIV(W636,S636)</f>
        <v>0</v>
      </c>
      <c r="Y636">
        <f>IMPRODUCT(X636,R636)</f>
        <v>0</v>
      </c>
      <c r="Z636">
        <f>IMDIV(Y636,Q636)</f>
        <v>0</v>
      </c>
      <c r="AA636">
        <f>IMPRODUCT(Z636,P636)</f>
        <v>0</v>
      </c>
      <c r="AB636">
        <f>AA636</f>
        <v>0</v>
      </c>
      <c r="AC636">
        <f>IMPRODUCT("-1",AB636)</f>
        <v>0</v>
      </c>
      <c r="AD636">
        <f>IMDIV(IMSUB(AB636,AC636),"2")</f>
        <v>0</v>
      </c>
      <c r="AE636" s="6">
        <f>IMABS(AB636)</f>
        <v>0</v>
      </c>
      <c r="AF636" s="6">
        <f>IMABS(AC636)</f>
        <v>0</v>
      </c>
      <c r="AG636" s="6">
        <f>IMABS(AD636)</f>
        <v>0</v>
      </c>
      <c r="AH636" s="7">
        <f>20*LOG10(MAX(AE636,1E-300)*1E6)</f>
        <v>0</v>
      </c>
      <c r="AI636" s="7">
        <f>20*LOG10(MAX(AF636,1E-300)*1E6)</f>
        <v>0</v>
      </c>
      <c r="AJ636" s="7">
        <f>20*LOG10(MAX(AG636,1E-300)*1E6)</f>
        <v>0</v>
      </c>
      <c r="AK636" s="7">
        <f>DEGREES(IMARGUMENT(AB636))</f>
        <v>0</v>
      </c>
      <c r="AL636" s="7">
        <f>DEGREES(IMARGUMENT(AC636))</f>
        <v>0</v>
      </c>
      <c r="AM636" s="7">
        <f>DEGREES(IMARGUMENT(AD636))</f>
        <v>0</v>
      </c>
    </row>
    <row r="637" spans="1:39">
      <c r="A637" s="6">
        <f>10^(LOG10(F_START)+(ROW()-ROW($A$2))*(LOG10(F_STOP)-LOG10(F_START))/(N_POINTS-1))</f>
        <v>0</v>
      </c>
      <c r="B637" s="6">
        <f>2*PI()*A637</f>
        <v>0</v>
      </c>
      <c r="C637">
        <f>COMPLEX(2*LINE_PS_DCR,2*B637*LINE_PS_L)</f>
        <v>0</v>
      </c>
      <c r="D637">
        <f>IMSUM(COMPLEX(0,B637*(LINE_PS_CLINE+LINE_PS_CCHA/2)),IMDIV("1",IMPRODUCT("2",COMPLEX(C_THROUGH_ESR,B637*C_THROUGH_ESL-1/(B637*C_THROUGH_C)))))</f>
        <v>0</v>
      </c>
      <c r="E637">
        <f>COMPLEX(2*LINE_INPUT_DCR,2*B637*LINE_INPUT_L)</f>
        <v>0</v>
      </c>
      <c r="F637">
        <f>COMPLEX(0,B637*(LINE_INPUT_CLINE+LINE_INPUT_CCHA/2))</f>
        <v>0</v>
      </c>
      <c r="G637">
        <f>IMPRODUCT("2",IMDIV("1",IMSUM(IMDIV("1",COMPLEX(LDM1_DCR,B637*LDM1_L)),COMPLEX(0,B637*LDM1_CPA))))</f>
        <v>0</v>
      </c>
      <c r="H637">
        <f>IMSUM(IMDIV("1",COMPLEX(CX1_ESR,B637*CX1_ESL-1/(B637*CX1_C))),IMDIV("1",IMSUM(COMPLEX(DUMP1_R,0),COMPLEX(DUMP1_ESR,B637*DUMP1_ESL-1/(B637*DUMP1_C)))))</f>
        <v>0</v>
      </c>
      <c r="I637">
        <f>IMPRODUCT("2",IMDIV("1",IMSUM(IMDIV("1",COMPLEX(LDM2_DCR,B637*LDM2_L)),COMPLEX(0,B637*LDM2_CPA))))</f>
        <v>0</v>
      </c>
      <c r="J637">
        <f>IMSUM(IMDIV("1",COMPLEX(CX2_ESR,B637*CX2_ESL-1/(B637*CX2_C))),IMDIV("1",IMSUM(COMPLEX(DUMP2_R,0),COMPLEX(DUMP2_ESR,B637*DUMP2_ESL-1/(B637*DUMP2_C)))))</f>
        <v>0</v>
      </c>
      <c r="K637">
        <f>IMPRODUCT("2",IMDIV("1",IMSUM(IMDIV("1",COMPLEX(CMC_DCR,B637*CMC_L*(1-CMC_K))),COMPLEX(0,B637*CMC_CPA))))</f>
        <v>0</v>
      </c>
      <c r="L637">
        <f>IMSUM(COMPLEX(0,B637*CMC_CLINE),IMDIV("1",IMPRODUCT("2",COMPLEX(CY_ESR,B637*CY_ESL-1/(B637*CY_C)))),COMPLEX(1/DUMMY_R,0))</f>
        <v>0</v>
      </c>
      <c r="M637">
        <f>IMSUM(D637,IMDIV("1",C637))</f>
        <v>0</v>
      </c>
      <c r="N637">
        <f>IMDIV("1",IMSUM(E637,IMDIV("1",M637)))</f>
        <v>0</v>
      </c>
      <c r="O637">
        <f>IMSUM(F637,N637)</f>
        <v>0</v>
      </c>
      <c r="P637">
        <f>IMDIV("1",IMSUM(G637,IMDIV("1",O637)))</f>
        <v>0</v>
      </c>
      <c r="Q637">
        <f>IMSUM(H637,P637)</f>
        <v>0</v>
      </c>
      <c r="R637">
        <f>IMDIV("1",IMSUM(I637,IMDIV("1",Q637)))</f>
        <v>0</v>
      </c>
      <c r="S637">
        <f>IMSUM(J637,R637)</f>
        <v>0</v>
      </c>
      <c r="T637">
        <f>IMDIV("1",IMSUM(K637,IMDIV("1",S637)))</f>
        <v>0</v>
      </c>
      <c r="U637">
        <f>IMSUM(L637,T637)</f>
        <v>0</v>
      </c>
      <c r="V637">
        <f>IMDIV(COMPLEX(I_DM_SOURCE,0),U637)</f>
        <v>0</v>
      </c>
      <c r="W637">
        <f>IMPRODUCT(V637,T637)</f>
        <v>0</v>
      </c>
      <c r="X637">
        <f>IMDIV(W637,S637)</f>
        <v>0</v>
      </c>
      <c r="Y637">
        <f>IMPRODUCT(X637,R637)</f>
        <v>0</v>
      </c>
      <c r="Z637">
        <f>IMDIV(Y637,Q637)</f>
        <v>0</v>
      </c>
      <c r="AA637">
        <f>IMPRODUCT(Z637,P637)</f>
        <v>0</v>
      </c>
      <c r="AB637">
        <f>AA637</f>
        <v>0</v>
      </c>
      <c r="AC637">
        <f>IMPRODUCT("-1",AB637)</f>
        <v>0</v>
      </c>
      <c r="AD637">
        <f>IMDIV(IMSUB(AB637,AC637),"2")</f>
        <v>0</v>
      </c>
      <c r="AE637" s="6">
        <f>IMABS(AB637)</f>
        <v>0</v>
      </c>
      <c r="AF637" s="6">
        <f>IMABS(AC637)</f>
        <v>0</v>
      </c>
      <c r="AG637" s="6">
        <f>IMABS(AD637)</f>
        <v>0</v>
      </c>
      <c r="AH637" s="7">
        <f>20*LOG10(MAX(AE637,1E-300)*1E6)</f>
        <v>0</v>
      </c>
      <c r="AI637" s="7">
        <f>20*LOG10(MAX(AF637,1E-300)*1E6)</f>
        <v>0</v>
      </c>
      <c r="AJ637" s="7">
        <f>20*LOG10(MAX(AG637,1E-300)*1E6)</f>
        <v>0</v>
      </c>
      <c r="AK637" s="7">
        <f>DEGREES(IMARGUMENT(AB637))</f>
        <v>0</v>
      </c>
      <c r="AL637" s="7">
        <f>DEGREES(IMARGUMENT(AC637))</f>
        <v>0</v>
      </c>
      <c r="AM637" s="7">
        <f>DEGREES(IMARGUMENT(AD637))</f>
        <v>0</v>
      </c>
    </row>
    <row r="638" spans="1:39">
      <c r="A638" s="6">
        <f>10^(LOG10(F_START)+(ROW()-ROW($A$2))*(LOG10(F_STOP)-LOG10(F_START))/(N_POINTS-1))</f>
        <v>0</v>
      </c>
      <c r="B638" s="6">
        <f>2*PI()*A638</f>
        <v>0</v>
      </c>
      <c r="C638">
        <f>COMPLEX(2*LINE_PS_DCR,2*B638*LINE_PS_L)</f>
        <v>0</v>
      </c>
      <c r="D638">
        <f>IMSUM(COMPLEX(0,B638*(LINE_PS_CLINE+LINE_PS_CCHA/2)),IMDIV("1",IMPRODUCT("2",COMPLEX(C_THROUGH_ESR,B638*C_THROUGH_ESL-1/(B638*C_THROUGH_C)))))</f>
        <v>0</v>
      </c>
      <c r="E638">
        <f>COMPLEX(2*LINE_INPUT_DCR,2*B638*LINE_INPUT_L)</f>
        <v>0</v>
      </c>
      <c r="F638">
        <f>COMPLEX(0,B638*(LINE_INPUT_CLINE+LINE_INPUT_CCHA/2))</f>
        <v>0</v>
      </c>
      <c r="G638">
        <f>IMPRODUCT("2",IMDIV("1",IMSUM(IMDIV("1",COMPLEX(LDM1_DCR,B638*LDM1_L)),COMPLEX(0,B638*LDM1_CPA))))</f>
        <v>0</v>
      </c>
      <c r="H638">
        <f>IMSUM(IMDIV("1",COMPLEX(CX1_ESR,B638*CX1_ESL-1/(B638*CX1_C))),IMDIV("1",IMSUM(COMPLEX(DUMP1_R,0),COMPLEX(DUMP1_ESR,B638*DUMP1_ESL-1/(B638*DUMP1_C)))))</f>
        <v>0</v>
      </c>
      <c r="I638">
        <f>IMPRODUCT("2",IMDIV("1",IMSUM(IMDIV("1",COMPLEX(LDM2_DCR,B638*LDM2_L)),COMPLEX(0,B638*LDM2_CPA))))</f>
        <v>0</v>
      </c>
      <c r="J638">
        <f>IMSUM(IMDIV("1",COMPLEX(CX2_ESR,B638*CX2_ESL-1/(B638*CX2_C))),IMDIV("1",IMSUM(COMPLEX(DUMP2_R,0),COMPLEX(DUMP2_ESR,B638*DUMP2_ESL-1/(B638*DUMP2_C)))))</f>
        <v>0</v>
      </c>
      <c r="K638">
        <f>IMPRODUCT("2",IMDIV("1",IMSUM(IMDIV("1",COMPLEX(CMC_DCR,B638*CMC_L*(1-CMC_K))),COMPLEX(0,B638*CMC_CPA))))</f>
        <v>0</v>
      </c>
      <c r="L638">
        <f>IMSUM(COMPLEX(0,B638*CMC_CLINE),IMDIV("1",IMPRODUCT("2",COMPLEX(CY_ESR,B638*CY_ESL-1/(B638*CY_C)))),COMPLEX(1/DUMMY_R,0))</f>
        <v>0</v>
      </c>
      <c r="M638">
        <f>IMSUM(D638,IMDIV("1",C638))</f>
        <v>0</v>
      </c>
      <c r="N638">
        <f>IMDIV("1",IMSUM(E638,IMDIV("1",M638)))</f>
        <v>0</v>
      </c>
      <c r="O638">
        <f>IMSUM(F638,N638)</f>
        <v>0</v>
      </c>
      <c r="P638">
        <f>IMDIV("1",IMSUM(G638,IMDIV("1",O638)))</f>
        <v>0</v>
      </c>
      <c r="Q638">
        <f>IMSUM(H638,P638)</f>
        <v>0</v>
      </c>
      <c r="R638">
        <f>IMDIV("1",IMSUM(I638,IMDIV("1",Q638)))</f>
        <v>0</v>
      </c>
      <c r="S638">
        <f>IMSUM(J638,R638)</f>
        <v>0</v>
      </c>
      <c r="T638">
        <f>IMDIV("1",IMSUM(K638,IMDIV("1",S638)))</f>
        <v>0</v>
      </c>
      <c r="U638">
        <f>IMSUM(L638,T638)</f>
        <v>0</v>
      </c>
      <c r="V638">
        <f>IMDIV(COMPLEX(I_DM_SOURCE,0),U638)</f>
        <v>0</v>
      </c>
      <c r="W638">
        <f>IMPRODUCT(V638,T638)</f>
        <v>0</v>
      </c>
      <c r="X638">
        <f>IMDIV(W638,S638)</f>
        <v>0</v>
      </c>
      <c r="Y638">
        <f>IMPRODUCT(X638,R638)</f>
        <v>0</v>
      </c>
      <c r="Z638">
        <f>IMDIV(Y638,Q638)</f>
        <v>0</v>
      </c>
      <c r="AA638">
        <f>IMPRODUCT(Z638,P638)</f>
        <v>0</v>
      </c>
      <c r="AB638">
        <f>AA638</f>
        <v>0</v>
      </c>
      <c r="AC638">
        <f>IMPRODUCT("-1",AB638)</f>
        <v>0</v>
      </c>
      <c r="AD638">
        <f>IMDIV(IMSUB(AB638,AC638),"2")</f>
        <v>0</v>
      </c>
      <c r="AE638" s="6">
        <f>IMABS(AB638)</f>
        <v>0</v>
      </c>
      <c r="AF638" s="6">
        <f>IMABS(AC638)</f>
        <v>0</v>
      </c>
      <c r="AG638" s="6">
        <f>IMABS(AD638)</f>
        <v>0</v>
      </c>
      <c r="AH638" s="7">
        <f>20*LOG10(MAX(AE638,1E-300)*1E6)</f>
        <v>0</v>
      </c>
      <c r="AI638" s="7">
        <f>20*LOG10(MAX(AF638,1E-300)*1E6)</f>
        <v>0</v>
      </c>
      <c r="AJ638" s="7">
        <f>20*LOG10(MAX(AG638,1E-300)*1E6)</f>
        <v>0</v>
      </c>
      <c r="AK638" s="7">
        <f>DEGREES(IMARGUMENT(AB638))</f>
        <v>0</v>
      </c>
      <c r="AL638" s="7">
        <f>DEGREES(IMARGUMENT(AC638))</f>
        <v>0</v>
      </c>
      <c r="AM638" s="7">
        <f>DEGREES(IMARGUMENT(AD638))</f>
        <v>0</v>
      </c>
    </row>
    <row r="639" spans="1:39">
      <c r="A639" s="6">
        <f>10^(LOG10(F_START)+(ROW()-ROW($A$2))*(LOG10(F_STOP)-LOG10(F_START))/(N_POINTS-1))</f>
        <v>0</v>
      </c>
      <c r="B639" s="6">
        <f>2*PI()*A639</f>
        <v>0</v>
      </c>
      <c r="C639">
        <f>COMPLEX(2*LINE_PS_DCR,2*B639*LINE_PS_L)</f>
        <v>0</v>
      </c>
      <c r="D639">
        <f>IMSUM(COMPLEX(0,B639*(LINE_PS_CLINE+LINE_PS_CCHA/2)),IMDIV("1",IMPRODUCT("2",COMPLEX(C_THROUGH_ESR,B639*C_THROUGH_ESL-1/(B639*C_THROUGH_C)))))</f>
        <v>0</v>
      </c>
      <c r="E639">
        <f>COMPLEX(2*LINE_INPUT_DCR,2*B639*LINE_INPUT_L)</f>
        <v>0</v>
      </c>
      <c r="F639">
        <f>COMPLEX(0,B639*(LINE_INPUT_CLINE+LINE_INPUT_CCHA/2))</f>
        <v>0</v>
      </c>
      <c r="G639">
        <f>IMPRODUCT("2",IMDIV("1",IMSUM(IMDIV("1",COMPLEX(LDM1_DCR,B639*LDM1_L)),COMPLEX(0,B639*LDM1_CPA))))</f>
        <v>0</v>
      </c>
      <c r="H639">
        <f>IMSUM(IMDIV("1",COMPLEX(CX1_ESR,B639*CX1_ESL-1/(B639*CX1_C))),IMDIV("1",IMSUM(COMPLEX(DUMP1_R,0),COMPLEX(DUMP1_ESR,B639*DUMP1_ESL-1/(B639*DUMP1_C)))))</f>
        <v>0</v>
      </c>
      <c r="I639">
        <f>IMPRODUCT("2",IMDIV("1",IMSUM(IMDIV("1",COMPLEX(LDM2_DCR,B639*LDM2_L)),COMPLEX(0,B639*LDM2_CPA))))</f>
        <v>0</v>
      </c>
      <c r="J639">
        <f>IMSUM(IMDIV("1",COMPLEX(CX2_ESR,B639*CX2_ESL-1/(B639*CX2_C))),IMDIV("1",IMSUM(COMPLEX(DUMP2_R,0),COMPLEX(DUMP2_ESR,B639*DUMP2_ESL-1/(B639*DUMP2_C)))))</f>
        <v>0</v>
      </c>
      <c r="K639">
        <f>IMPRODUCT("2",IMDIV("1",IMSUM(IMDIV("1",COMPLEX(CMC_DCR,B639*CMC_L*(1-CMC_K))),COMPLEX(0,B639*CMC_CPA))))</f>
        <v>0</v>
      </c>
      <c r="L639">
        <f>IMSUM(COMPLEX(0,B639*CMC_CLINE),IMDIV("1",IMPRODUCT("2",COMPLEX(CY_ESR,B639*CY_ESL-1/(B639*CY_C)))),COMPLEX(1/DUMMY_R,0))</f>
        <v>0</v>
      </c>
      <c r="M639">
        <f>IMSUM(D639,IMDIV("1",C639))</f>
        <v>0</v>
      </c>
      <c r="N639">
        <f>IMDIV("1",IMSUM(E639,IMDIV("1",M639)))</f>
        <v>0</v>
      </c>
      <c r="O639">
        <f>IMSUM(F639,N639)</f>
        <v>0</v>
      </c>
      <c r="P639">
        <f>IMDIV("1",IMSUM(G639,IMDIV("1",O639)))</f>
        <v>0</v>
      </c>
      <c r="Q639">
        <f>IMSUM(H639,P639)</f>
        <v>0</v>
      </c>
      <c r="R639">
        <f>IMDIV("1",IMSUM(I639,IMDIV("1",Q639)))</f>
        <v>0</v>
      </c>
      <c r="S639">
        <f>IMSUM(J639,R639)</f>
        <v>0</v>
      </c>
      <c r="T639">
        <f>IMDIV("1",IMSUM(K639,IMDIV("1",S639)))</f>
        <v>0</v>
      </c>
      <c r="U639">
        <f>IMSUM(L639,T639)</f>
        <v>0</v>
      </c>
      <c r="V639">
        <f>IMDIV(COMPLEX(I_DM_SOURCE,0),U639)</f>
        <v>0</v>
      </c>
      <c r="W639">
        <f>IMPRODUCT(V639,T639)</f>
        <v>0</v>
      </c>
      <c r="X639">
        <f>IMDIV(W639,S639)</f>
        <v>0</v>
      </c>
      <c r="Y639">
        <f>IMPRODUCT(X639,R639)</f>
        <v>0</v>
      </c>
      <c r="Z639">
        <f>IMDIV(Y639,Q639)</f>
        <v>0</v>
      </c>
      <c r="AA639">
        <f>IMPRODUCT(Z639,P639)</f>
        <v>0</v>
      </c>
      <c r="AB639">
        <f>AA639</f>
        <v>0</v>
      </c>
      <c r="AC639">
        <f>IMPRODUCT("-1",AB639)</f>
        <v>0</v>
      </c>
      <c r="AD639">
        <f>IMDIV(IMSUB(AB639,AC639),"2")</f>
        <v>0</v>
      </c>
      <c r="AE639" s="6">
        <f>IMABS(AB639)</f>
        <v>0</v>
      </c>
      <c r="AF639" s="6">
        <f>IMABS(AC639)</f>
        <v>0</v>
      </c>
      <c r="AG639" s="6">
        <f>IMABS(AD639)</f>
        <v>0</v>
      </c>
      <c r="AH639" s="7">
        <f>20*LOG10(MAX(AE639,1E-300)*1E6)</f>
        <v>0</v>
      </c>
      <c r="AI639" s="7">
        <f>20*LOG10(MAX(AF639,1E-300)*1E6)</f>
        <v>0</v>
      </c>
      <c r="AJ639" s="7">
        <f>20*LOG10(MAX(AG639,1E-300)*1E6)</f>
        <v>0</v>
      </c>
      <c r="AK639" s="7">
        <f>DEGREES(IMARGUMENT(AB639))</f>
        <v>0</v>
      </c>
      <c r="AL639" s="7">
        <f>DEGREES(IMARGUMENT(AC639))</f>
        <v>0</v>
      </c>
      <c r="AM639" s="7">
        <f>DEGREES(IMARGUMENT(AD639))</f>
        <v>0</v>
      </c>
    </row>
    <row r="640" spans="1:39">
      <c r="A640" s="6">
        <f>10^(LOG10(F_START)+(ROW()-ROW($A$2))*(LOG10(F_STOP)-LOG10(F_START))/(N_POINTS-1))</f>
        <v>0</v>
      </c>
      <c r="B640" s="6">
        <f>2*PI()*A640</f>
        <v>0</v>
      </c>
      <c r="C640">
        <f>COMPLEX(2*LINE_PS_DCR,2*B640*LINE_PS_L)</f>
        <v>0</v>
      </c>
      <c r="D640">
        <f>IMSUM(COMPLEX(0,B640*(LINE_PS_CLINE+LINE_PS_CCHA/2)),IMDIV("1",IMPRODUCT("2",COMPLEX(C_THROUGH_ESR,B640*C_THROUGH_ESL-1/(B640*C_THROUGH_C)))))</f>
        <v>0</v>
      </c>
      <c r="E640">
        <f>COMPLEX(2*LINE_INPUT_DCR,2*B640*LINE_INPUT_L)</f>
        <v>0</v>
      </c>
      <c r="F640">
        <f>COMPLEX(0,B640*(LINE_INPUT_CLINE+LINE_INPUT_CCHA/2))</f>
        <v>0</v>
      </c>
      <c r="G640">
        <f>IMPRODUCT("2",IMDIV("1",IMSUM(IMDIV("1",COMPLEX(LDM1_DCR,B640*LDM1_L)),COMPLEX(0,B640*LDM1_CPA))))</f>
        <v>0</v>
      </c>
      <c r="H640">
        <f>IMSUM(IMDIV("1",COMPLEX(CX1_ESR,B640*CX1_ESL-1/(B640*CX1_C))),IMDIV("1",IMSUM(COMPLEX(DUMP1_R,0),COMPLEX(DUMP1_ESR,B640*DUMP1_ESL-1/(B640*DUMP1_C)))))</f>
        <v>0</v>
      </c>
      <c r="I640">
        <f>IMPRODUCT("2",IMDIV("1",IMSUM(IMDIV("1",COMPLEX(LDM2_DCR,B640*LDM2_L)),COMPLEX(0,B640*LDM2_CPA))))</f>
        <v>0</v>
      </c>
      <c r="J640">
        <f>IMSUM(IMDIV("1",COMPLEX(CX2_ESR,B640*CX2_ESL-1/(B640*CX2_C))),IMDIV("1",IMSUM(COMPLEX(DUMP2_R,0),COMPLEX(DUMP2_ESR,B640*DUMP2_ESL-1/(B640*DUMP2_C)))))</f>
        <v>0</v>
      </c>
      <c r="K640">
        <f>IMPRODUCT("2",IMDIV("1",IMSUM(IMDIV("1",COMPLEX(CMC_DCR,B640*CMC_L*(1-CMC_K))),COMPLEX(0,B640*CMC_CPA))))</f>
        <v>0</v>
      </c>
      <c r="L640">
        <f>IMSUM(COMPLEX(0,B640*CMC_CLINE),IMDIV("1",IMPRODUCT("2",COMPLEX(CY_ESR,B640*CY_ESL-1/(B640*CY_C)))),COMPLEX(1/DUMMY_R,0))</f>
        <v>0</v>
      </c>
      <c r="M640">
        <f>IMSUM(D640,IMDIV("1",C640))</f>
        <v>0</v>
      </c>
      <c r="N640">
        <f>IMDIV("1",IMSUM(E640,IMDIV("1",M640)))</f>
        <v>0</v>
      </c>
      <c r="O640">
        <f>IMSUM(F640,N640)</f>
        <v>0</v>
      </c>
      <c r="P640">
        <f>IMDIV("1",IMSUM(G640,IMDIV("1",O640)))</f>
        <v>0</v>
      </c>
      <c r="Q640">
        <f>IMSUM(H640,P640)</f>
        <v>0</v>
      </c>
      <c r="R640">
        <f>IMDIV("1",IMSUM(I640,IMDIV("1",Q640)))</f>
        <v>0</v>
      </c>
      <c r="S640">
        <f>IMSUM(J640,R640)</f>
        <v>0</v>
      </c>
      <c r="T640">
        <f>IMDIV("1",IMSUM(K640,IMDIV("1",S640)))</f>
        <v>0</v>
      </c>
      <c r="U640">
        <f>IMSUM(L640,T640)</f>
        <v>0</v>
      </c>
      <c r="V640">
        <f>IMDIV(COMPLEX(I_DM_SOURCE,0),U640)</f>
        <v>0</v>
      </c>
      <c r="W640">
        <f>IMPRODUCT(V640,T640)</f>
        <v>0</v>
      </c>
      <c r="X640">
        <f>IMDIV(W640,S640)</f>
        <v>0</v>
      </c>
      <c r="Y640">
        <f>IMPRODUCT(X640,R640)</f>
        <v>0</v>
      </c>
      <c r="Z640">
        <f>IMDIV(Y640,Q640)</f>
        <v>0</v>
      </c>
      <c r="AA640">
        <f>IMPRODUCT(Z640,P640)</f>
        <v>0</v>
      </c>
      <c r="AB640">
        <f>AA640</f>
        <v>0</v>
      </c>
      <c r="AC640">
        <f>IMPRODUCT("-1",AB640)</f>
        <v>0</v>
      </c>
      <c r="AD640">
        <f>IMDIV(IMSUB(AB640,AC640),"2")</f>
        <v>0</v>
      </c>
      <c r="AE640" s="6">
        <f>IMABS(AB640)</f>
        <v>0</v>
      </c>
      <c r="AF640" s="6">
        <f>IMABS(AC640)</f>
        <v>0</v>
      </c>
      <c r="AG640" s="6">
        <f>IMABS(AD640)</f>
        <v>0</v>
      </c>
      <c r="AH640" s="7">
        <f>20*LOG10(MAX(AE640,1E-300)*1E6)</f>
        <v>0</v>
      </c>
      <c r="AI640" s="7">
        <f>20*LOG10(MAX(AF640,1E-300)*1E6)</f>
        <v>0</v>
      </c>
      <c r="AJ640" s="7">
        <f>20*LOG10(MAX(AG640,1E-300)*1E6)</f>
        <v>0</v>
      </c>
      <c r="AK640" s="7">
        <f>DEGREES(IMARGUMENT(AB640))</f>
        <v>0</v>
      </c>
      <c r="AL640" s="7">
        <f>DEGREES(IMARGUMENT(AC640))</f>
        <v>0</v>
      </c>
      <c r="AM640" s="7">
        <f>DEGREES(IMARGUMENT(AD640))</f>
        <v>0</v>
      </c>
    </row>
    <row r="641" spans="1:39">
      <c r="A641" s="6">
        <f>10^(LOG10(F_START)+(ROW()-ROW($A$2))*(LOG10(F_STOP)-LOG10(F_START))/(N_POINTS-1))</f>
        <v>0</v>
      </c>
      <c r="B641" s="6">
        <f>2*PI()*A641</f>
        <v>0</v>
      </c>
      <c r="C641">
        <f>COMPLEX(2*LINE_PS_DCR,2*B641*LINE_PS_L)</f>
        <v>0</v>
      </c>
      <c r="D641">
        <f>IMSUM(COMPLEX(0,B641*(LINE_PS_CLINE+LINE_PS_CCHA/2)),IMDIV("1",IMPRODUCT("2",COMPLEX(C_THROUGH_ESR,B641*C_THROUGH_ESL-1/(B641*C_THROUGH_C)))))</f>
        <v>0</v>
      </c>
      <c r="E641">
        <f>COMPLEX(2*LINE_INPUT_DCR,2*B641*LINE_INPUT_L)</f>
        <v>0</v>
      </c>
      <c r="F641">
        <f>COMPLEX(0,B641*(LINE_INPUT_CLINE+LINE_INPUT_CCHA/2))</f>
        <v>0</v>
      </c>
      <c r="G641">
        <f>IMPRODUCT("2",IMDIV("1",IMSUM(IMDIV("1",COMPLEX(LDM1_DCR,B641*LDM1_L)),COMPLEX(0,B641*LDM1_CPA))))</f>
        <v>0</v>
      </c>
      <c r="H641">
        <f>IMSUM(IMDIV("1",COMPLEX(CX1_ESR,B641*CX1_ESL-1/(B641*CX1_C))),IMDIV("1",IMSUM(COMPLEX(DUMP1_R,0),COMPLEX(DUMP1_ESR,B641*DUMP1_ESL-1/(B641*DUMP1_C)))))</f>
        <v>0</v>
      </c>
      <c r="I641">
        <f>IMPRODUCT("2",IMDIV("1",IMSUM(IMDIV("1",COMPLEX(LDM2_DCR,B641*LDM2_L)),COMPLEX(0,B641*LDM2_CPA))))</f>
        <v>0</v>
      </c>
      <c r="J641">
        <f>IMSUM(IMDIV("1",COMPLEX(CX2_ESR,B641*CX2_ESL-1/(B641*CX2_C))),IMDIV("1",IMSUM(COMPLEX(DUMP2_R,0),COMPLEX(DUMP2_ESR,B641*DUMP2_ESL-1/(B641*DUMP2_C)))))</f>
        <v>0</v>
      </c>
      <c r="K641">
        <f>IMPRODUCT("2",IMDIV("1",IMSUM(IMDIV("1",COMPLEX(CMC_DCR,B641*CMC_L*(1-CMC_K))),COMPLEX(0,B641*CMC_CPA))))</f>
        <v>0</v>
      </c>
      <c r="L641">
        <f>IMSUM(COMPLEX(0,B641*CMC_CLINE),IMDIV("1",IMPRODUCT("2",COMPLEX(CY_ESR,B641*CY_ESL-1/(B641*CY_C)))),COMPLEX(1/DUMMY_R,0))</f>
        <v>0</v>
      </c>
      <c r="M641">
        <f>IMSUM(D641,IMDIV("1",C641))</f>
        <v>0</v>
      </c>
      <c r="N641">
        <f>IMDIV("1",IMSUM(E641,IMDIV("1",M641)))</f>
        <v>0</v>
      </c>
      <c r="O641">
        <f>IMSUM(F641,N641)</f>
        <v>0</v>
      </c>
      <c r="P641">
        <f>IMDIV("1",IMSUM(G641,IMDIV("1",O641)))</f>
        <v>0</v>
      </c>
      <c r="Q641">
        <f>IMSUM(H641,P641)</f>
        <v>0</v>
      </c>
      <c r="R641">
        <f>IMDIV("1",IMSUM(I641,IMDIV("1",Q641)))</f>
        <v>0</v>
      </c>
      <c r="S641">
        <f>IMSUM(J641,R641)</f>
        <v>0</v>
      </c>
      <c r="T641">
        <f>IMDIV("1",IMSUM(K641,IMDIV("1",S641)))</f>
        <v>0</v>
      </c>
      <c r="U641">
        <f>IMSUM(L641,T641)</f>
        <v>0</v>
      </c>
      <c r="V641">
        <f>IMDIV(COMPLEX(I_DM_SOURCE,0),U641)</f>
        <v>0</v>
      </c>
      <c r="W641">
        <f>IMPRODUCT(V641,T641)</f>
        <v>0</v>
      </c>
      <c r="X641">
        <f>IMDIV(W641,S641)</f>
        <v>0</v>
      </c>
      <c r="Y641">
        <f>IMPRODUCT(X641,R641)</f>
        <v>0</v>
      </c>
      <c r="Z641">
        <f>IMDIV(Y641,Q641)</f>
        <v>0</v>
      </c>
      <c r="AA641">
        <f>IMPRODUCT(Z641,P641)</f>
        <v>0</v>
      </c>
      <c r="AB641">
        <f>AA641</f>
        <v>0</v>
      </c>
      <c r="AC641">
        <f>IMPRODUCT("-1",AB641)</f>
        <v>0</v>
      </c>
      <c r="AD641">
        <f>IMDIV(IMSUB(AB641,AC641),"2")</f>
        <v>0</v>
      </c>
      <c r="AE641" s="6">
        <f>IMABS(AB641)</f>
        <v>0</v>
      </c>
      <c r="AF641" s="6">
        <f>IMABS(AC641)</f>
        <v>0</v>
      </c>
      <c r="AG641" s="6">
        <f>IMABS(AD641)</f>
        <v>0</v>
      </c>
      <c r="AH641" s="7">
        <f>20*LOG10(MAX(AE641,1E-300)*1E6)</f>
        <v>0</v>
      </c>
      <c r="AI641" s="7">
        <f>20*LOG10(MAX(AF641,1E-300)*1E6)</f>
        <v>0</v>
      </c>
      <c r="AJ641" s="7">
        <f>20*LOG10(MAX(AG641,1E-300)*1E6)</f>
        <v>0</v>
      </c>
      <c r="AK641" s="7">
        <f>DEGREES(IMARGUMENT(AB641))</f>
        <v>0</v>
      </c>
      <c r="AL641" s="7">
        <f>DEGREES(IMARGUMENT(AC641))</f>
        <v>0</v>
      </c>
      <c r="AM641" s="7">
        <f>DEGREES(IMARGUMENT(AD641))</f>
        <v>0</v>
      </c>
    </row>
    <row r="642" spans="1:39">
      <c r="A642" s="6">
        <f>10^(LOG10(F_START)+(ROW()-ROW($A$2))*(LOG10(F_STOP)-LOG10(F_START))/(N_POINTS-1))</f>
        <v>0</v>
      </c>
      <c r="B642" s="6">
        <f>2*PI()*A642</f>
        <v>0</v>
      </c>
      <c r="C642">
        <f>COMPLEX(2*LINE_PS_DCR,2*B642*LINE_PS_L)</f>
        <v>0</v>
      </c>
      <c r="D642">
        <f>IMSUM(COMPLEX(0,B642*(LINE_PS_CLINE+LINE_PS_CCHA/2)),IMDIV("1",IMPRODUCT("2",COMPLEX(C_THROUGH_ESR,B642*C_THROUGH_ESL-1/(B642*C_THROUGH_C)))))</f>
        <v>0</v>
      </c>
      <c r="E642">
        <f>COMPLEX(2*LINE_INPUT_DCR,2*B642*LINE_INPUT_L)</f>
        <v>0</v>
      </c>
      <c r="F642">
        <f>COMPLEX(0,B642*(LINE_INPUT_CLINE+LINE_INPUT_CCHA/2))</f>
        <v>0</v>
      </c>
      <c r="G642">
        <f>IMPRODUCT("2",IMDIV("1",IMSUM(IMDIV("1",COMPLEX(LDM1_DCR,B642*LDM1_L)),COMPLEX(0,B642*LDM1_CPA))))</f>
        <v>0</v>
      </c>
      <c r="H642">
        <f>IMSUM(IMDIV("1",COMPLEX(CX1_ESR,B642*CX1_ESL-1/(B642*CX1_C))),IMDIV("1",IMSUM(COMPLEX(DUMP1_R,0),COMPLEX(DUMP1_ESR,B642*DUMP1_ESL-1/(B642*DUMP1_C)))))</f>
        <v>0</v>
      </c>
      <c r="I642">
        <f>IMPRODUCT("2",IMDIV("1",IMSUM(IMDIV("1",COMPLEX(LDM2_DCR,B642*LDM2_L)),COMPLEX(0,B642*LDM2_CPA))))</f>
        <v>0</v>
      </c>
      <c r="J642">
        <f>IMSUM(IMDIV("1",COMPLEX(CX2_ESR,B642*CX2_ESL-1/(B642*CX2_C))),IMDIV("1",IMSUM(COMPLEX(DUMP2_R,0),COMPLEX(DUMP2_ESR,B642*DUMP2_ESL-1/(B642*DUMP2_C)))))</f>
        <v>0</v>
      </c>
      <c r="K642">
        <f>IMPRODUCT("2",IMDIV("1",IMSUM(IMDIV("1",COMPLEX(CMC_DCR,B642*CMC_L*(1-CMC_K))),COMPLEX(0,B642*CMC_CPA))))</f>
        <v>0</v>
      </c>
      <c r="L642">
        <f>IMSUM(COMPLEX(0,B642*CMC_CLINE),IMDIV("1",IMPRODUCT("2",COMPLEX(CY_ESR,B642*CY_ESL-1/(B642*CY_C)))),COMPLEX(1/DUMMY_R,0))</f>
        <v>0</v>
      </c>
      <c r="M642">
        <f>IMSUM(D642,IMDIV("1",C642))</f>
        <v>0</v>
      </c>
      <c r="N642">
        <f>IMDIV("1",IMSUM(E642,IMDIV("1",M642)))</f>
        <v>0</v>
      </c>
      <c r="O642">
        <f>IMSUM(F642,N642)</f>
        <v>0</v>
      </c>
      <c r="P642">
        <f>IMDIV("1",IMSUM(G642,IMDIV("1",O642)))</f>
        <v>0</v>
      </c>
      <c r="Q642">
        <f>IMSUM(H642,P642)</f>
        <v>0</v>
      </c>
      <c r="R642">
        <f>IMDIV("1",IMSUM(I642,IMDIV("1",Q642)))</f>
        <v>0</v>
      </c>
      <c r="S642">
        <f>IMSUM(J642,R642)</f>
        <v>0</v>
      </c>
      <c r="T642">
        <f>IMDIV("1",IMSUM(K642,IMDIV("1",S642)))</f>
        <v>0</v>
      </c>
      <c r="U642">
        <f>IMSUM(L642,T642)</f>
        <v>0</v>
      </c>
      <c r="V642">
        <f>IMDIV(COMPLEX(I_DM_SOURCE,0),U642)</f>
        <v>0</v>
      </c>
      <c r="W642">
        <f>IMPRODUCT(V642,T642)</f>
        <v>0</v>
      </c>
      <c r="X642">
        <f>IMDIV(W642,S642)</f>
        <v>0</v>
      </c>
      <c r="Y642">
        <f>IMPRODUCT(X642,R642)</f>
        <v>0</v>
      </c>
      <c r="Z642">
        <f>IMDIV(Y642,Q642)</f>
        <v>0</v>
      </c>
      <c r="AA642">
        <f>IMPRODUCT(Z642,P642)</f>
        <v>0</v>
      </c>
      <c r="AB642">
        <f>AA642</f>
        <v>0</v>
      </c>
      <c r="AC642">
        <f>IMPRODUCT("-1",AB642)</f>
        <v>0</v>
      </c>
      <c r="AD642">
        <f>IMDIV(IMSUB(AB642,AC642),"2")</f>
        <v>0</v>
      </c>
      <c r="AE642" s="6">
        <f>IMABS(AB642)</f>
        <v>0</v>
      </c>
      <c r="AF642" s="6">
        <f>IMABS(AC642)</f>
        <v>0</v>
      </c>
      <c r="AG642" s="6">
        <f>IMABS(AD642)</f>
        <v>0</v>
      </c>
      <c r="AH642" s="7">
        <f>20*LOG10(MAX(AE642,1E-300)*1E6)</f>
        <v>0</v>
      </c>
      <c r="AI642" s="7">
        <f>20*LOG10(MAX(AF642,1E-300)*1E6)</f>
        <v>0</v>
      </c>
      <c r="AJ642" s="7">
        <f>20*LOG10(MAX(AG642,1E-300)*1E6)</f>
        <v>0</v>
      </c>
      <c r="AK642" s="7">
        <f>DEGREES(IMARGUMENT(AB642))</f>
        <v>0</v>
      </c>
      <c r="AL642" s="7">
        <f>DEGREES(IMARGUMENT(AC642))</f>
        <v>0</v>
      </c>
      <c r="AM642" s="7">
        <f>DEGREES(IMARGUMENT(AD642))</f>
        <v>0</v>
      </c>
    </row>
    <row r="643" spans="1:39">
      <c r="A643" s="6">
        <f>10^(LOG10(F_START)+(ROW()-ROW($A$2))*(LOG10(F_STOP)-LOG10(F_START))/(N_POINTS-1))</f>
        <v>0</v>
      </c>
      <c r="B643" s="6">
        <f>2*PI()*A643</f>
        <v>0</v>
      </c>
      <c r="C643">
        <f>COMPLEX(2*LINE_PS_DCR,2*B643*LINE_PS_L)</f>
        <v>0</v>
      </c>
      <c r="D643">
        <f>IMSUM(COMPLEX(0,B643*(LINE_PS_CLINE+LINE_PS_CCHA/2)),IMDIV("1",IMPRODUCT("2",COMPLEX(C_THROUGH_ESR,B643*C_THROUGH_ESL-1/(B643*C_THROUGH_C)))))</f>
        <v>0</v>
      </c>
      <c r="E643">
        <f>COMPLEX(2*LINE_INPUT_DCR,2*B643*LINE_INPUT_L)</f>
        <v>0</v>
      </c>
      <c r="F643">
        <f>COMPLEX(0,B643*(LINE_INPUT_CLINE+LINE_INPUT_CCHA/2))</f>
        <v>0</v>
      </c>
      <c r="G643">
        <f>IMPRODUCT("2",IMDIV("1",IMSUM(IMDIV("1",COMPLEX(LDM1_DCR,B643*LDM1_L)),COMPLEX(0,B643*LDM1_CPA))))</f>
        <v>0</v>
      </c>
      <c r="H643">
        <f>IMSUM(IMDIV("1",COMPLEX(CX1_ESR,B643*CX1_ESL-1/(B643*CX1_C))),IMDIV("1",IMSUM(COMPLEX(DUMP1_R,0),COMPLEX(DUMP1_ESR,B643*DUMP1_ESL-1/(B643*DUMP1_C)))))</f>
        <v>0</v>
      </c>
      <c r="I643">
        <f>IMPRODUCT("2",IMDIV("1",IMSUM(IMDIV("1",COMPLEX(LDM2_DCR,B643*LDM2_L)),COMPLEX(0,B643*LDM2_CPA))))</f>
        <v>0</v>
      </c>
      <c r="J643">
        <f>IMSUM(IMDIV("1",COMPLEX(CX2_ESR,B643*CX2_ESL-1/(B643*CX2_C))),IMDIV("1",IMSUM(COMPLEX(DUMP2_R,0),COMPLEX(DUMP2_ESR,B643*DUMP2_ESL-1/(B643*DUMP2_C)))))</f>
        <v>0</v>
      </c>
      <c r="K643">
        <f>IMPRODUCT("2",IMDIV("1",IMSUM(IMDIV("1",COMPLEX(CMC_DCR,B643*CMC_L*(1-CMC_K))),COMPLEX(0,B643*CMC_CPA))))</f>
        <v>0</v>
      </c>
      <c r="L643">
        <f>IMSUM(COMPLEX(0,B643*CMC_CLINE),IMDIV("1",IMPRODUCT("2",COMPLEX(CY_ESR,B643*CY_ESL-1/(B643*CY_C)))),COMPLEX(1/DUMMY_R,0))</f>
        <v>0</v>
      </c>
      <c r="M643">
        <f>IMSUM(D643,IMDIV("1",C643))</f>
        <v>0</v>
      </c>
      <c r="N643">
        <f>IMDIV("1",IMSUM(E643,IMDIV("1",M643)))</f>
        <v>0</v>
      </c>
      <c r="O643">
        <f>IMSUM(F643,N643)</f>
        <v>0</v>
      </c>
      <c r="P643">
        <f>IMDIV("1",IMSUM(G643,IMDIV("1",O643)))</f>
        <v>0</v>
      </c>
      <c r="Q643">
        <f>IMSUM(H643,P643)</f>
        <v>0</v>
      </c>
      <c r="R643">
        <f>IMDIV("1",IMSUM(I643,IMDIV("1",Q643)))</f>
        <v>0</v>
      </c>
      <c r="S643">
        <f>IMSUM(J643,R643)</f>
        <v>0</v>
      </c>
      <c r="T643">
        <f>IMDIV("1",IMSUM(K643,IMDIV("1",S643)))</f>
        <v>0</v>
      </c>
      <c r="U643">
        <f>IMSUM(L643,T643)</f>
        <v>0</v>
      </c>
      <c r="V643">
        <f>IMDIV(COMPLEX(I_DM_SOURCE,0),U643)</f>
        <v>0</v>
      </c>
      <c r="W643">
        <f>IMPRODUCT(V643,T643)</f>
        <v>0</v>
      </c>
      <c r="X643">
        <f>IMDIV(W643,S643)</f>
        <v>0</v>
      </c>
      <c r="Y643">
        <f>IMPRODUCT(X643,R643)</f>
        <v>0</v>
      </c>
      <c r="Z643">
        <f>IMDIV(Y643,Q643)</f>
        <v>0</v>
      </c>
      <c r="AA643">
        <f>IMPRODUCT(Z643,P643)</f>
        <v>0</v>
      </c>
      <c r="AB643">
        <f>AA643</f>
        <v>0</v>
      </c>
      <c r="AC643">
        <f>IMPRODUCT("-1",AB643)</f>
        <v>0</v>
      </c>
      <c r="AD643">
        <f>IMDIV(IMSUB(AB643,AC643),"2")</f>
        <v>0</v>
      </c>
      <c r="AE643" s="6">
        <f>IMABS(AB643)</f>
        <v>0</v>
      </c>
      <c r="AF643" s="6">
        <f>IMABS(AC643)</f>
        <v>0</v>
      </c>
      <c r="AG643" s="6">
        <f>IMABS(AD643)</f>
        <v>0</v>
      </c>
      <c r="AH643" s="7">
        <f>20*LOG10(MAX(AE643,1E-300)*1E6)</f>
        <v>0</v>
      </c>
      <c r="AI643" s="7">
        <f>20*LOG10(MAX(AF643,1E-300)*1E6)</f>
        <v>0</v>
      </c>
      <c r="AJ643" s="7">
        <f>20*LOG10(MAX(AG643,1E-300)*1E6)</f>
        <v>0</v>
      </c>
      <c r="AK643" s="7">
        <f>DEGREES(IMARGUMENT(AB643))</f>
        <v>0</v>
      </c>
      <c r="AL643" s="7">
        <f>DEGREES(IMARGUMENT(AC643))</f>
        <v>0</v>
      </c>
      <c r="AM643" s="7">
        <f>DEGREES(IMARGUMENT(AD643))</f>
        <v>0</v>
      </c>
    </row>
    <row r="644" spans="1:39">
      <c r="A644" s="6">
        <f>10^(LOG10(F_START)+(ROW()-ROW($A$2))*(LOG10(F_STOP)-LOG10(F_START))/(N_POINTS-1))</f>
        <v>0</v>
      </c>
      <c r="B644" s="6">
        <f>2*PI()*A644</f>
        <v>0</v>
      </c>
      <c r="C644">
        <f>COMPLEX(2*LINE_PS_DCR,2*B644*LINE_PS_L)</f>
        <v>0</v>
      </c>
      <c r="D644">
        <f>IMSUM(COMPLEX(0,B644*(LINE_PS_CLINE+LINE_PS_CCHA/2)),IMDIV("1",IMPRODUCT("2",COMPLEX(C_THROUGH_ESR,B644*C_THROUGH_ESL-1/(B644*C_THROUGH_C)))))</f>
        <v>0</v>
      </c>
      <c r="E644">
        <f>COMPLEX(2*LINE_INPUT_DCR,2*B644*LINE_INPUT_L)</f>
        <v>0</v>
      </c>
      <c r="F644">
        <f>COMPLEX(0,B644*(LINE_INPUT_CLINE+LINE_INPUT_CCHA/2))</f>
        <v>0</v>
      </c>
      <c r="G644">
        <f>IMPRODUCT("2",IMDIV("1",IMSUM(IMDIV("1",COMPLEX(LDM1_DCR,B644*LDM1_L)),COMPLEX(0,B644*LDM1_CPA))))</f>
        <v>0</v>
      </c>
      <c r="H644">
        <f>IMSUM(IMDIV("1",COMPLEX(CX1_ESR,B644*CX1_ESL-1/(B644*CX1_C))),IMDIV("1",IMSUM(COMPLEX(DUMP1_R,0),COMPLEX(DUMP1_ESR,B644*DUMP1_ESL-1/(B644*DUMP1_C)))))</f>
        <v>0</v>
      </c>
      <c r="I644">
        <f>IMPRODUCT("2",IMDIV("1",IMSUM(IMDIV("1",COMPLEX(LDM2_DCR,B644*LDM2_L)),COMPLEX(0,B644*LDM2_CPA))))</f>
        <v>0</v>
      </c>
      <c r="J644">
        <f>IMSUM(IMDIV("1",COMPLEX(CX2_ESR,B644*CX2_ESL-1/(B644*CX2_C))),IMDIV("1",IMSUM(COMPLEX(DUMP2_R,0),COMPLEX(DUMP2_ESR,B644*DUMP2_ESL-1/(B644*DUMP2_C)))))</f>
        <v>0</v>
      </c>
      <c r="K644">
        <f>IMPRODUCT("2",IMDIV("1",IMSUM(IMDIV("1",COMPLEX(CMC_DCR,B644*CMC_L*(1-CMC_K))),COMPLEX(0,B644*CMC_CPA))))</f>
        <v>0</v>
      </c>
      <c r="L644">
        <f>IMSUM(COMPLEX(0,B644*CMC_CLINE),IMDIV("1",IMPRODUCT("2",COMPLEX(CY_ESR,B644*CY_ESL-1/(B644*CY_C)))),COMPLEX(1/DUMMY_R,0))</f>
        <v>0</v>
      </c>
      <c r="M644">
        <f>IMSUM(D644,IMDIV("1",C644))</f>
        <v>0</v>
      </c>
      <c r="N644">
        <f>IMDIV("1",IMSUM(E644,IMDIV("1",M644)))</f>
        <v>0</v>
      </c>
      <c r="O644">
        <f>IMSUM(F644,N644)</f>
        <v>0</v>
      </c>
      <c r="P644">
        <f>IMDIV("1",IMSUM(G644,IMDIV("1",O644)))</f>
        <v>0</v>
      </c>
      <c r="Q644">
        <f>IMSUM(H644,P644)</f>
        <v>0</v>
      </c>
      <c r="R644">
        <f>IMDIV("1",IMSUM(I644,IMDIV("1",Q644)))</f>
        <v>0</v>
      </c>
      <c r="S644">
        <f>IMSUM(J644,R644)</f>
        <v>0</v>
      </c>
      <c r="T644">
        <f>IMDIV("1",IMSUM(K644,IMDIV("1",S644)))</f>
        <v>0</v>
      </c>
      <c r="U644">
        <f>IMSUM(L644,T644)</f>
        <v>0</v>
      </c>
      <c r="V644">
        <f>IMDIV(COMPLEX(I_DM_SOURCE,0),U644)</f>
        <v>0</v>
      </c>
      <c r="W644">
        <f>IMPRODUCT(V644,T644)</f>
        <v>0</v>
      </c>
      <c r="X644">
        <f>IMDIV(W644,S644)</f>
        <v>0</v>
      </c>
      <c r="Y644">
        <f>IMPRODUCT(X644,R644)</f>
        <v>0</v>
      </c>
      <c r="Z644">
        <f>IMDIV(Y644,Q644)</f>
        <v>0</v>
      </c>
      <c r="AA644">
        <f>IMPRODUCT(Z644,P644)</f>
        <v>0</v>
      </c>
      <c r="AB644">
        <f>AA644</f>
        <v>0</v>
      </c>
      <c r="AC644">
        <f>IMPRODUCT("-1",AB644)</f>
        <v>0</v>
      </c>
      <c r="AD644">
        <f>IMDIV(IMSUB(AB644,AC644),"2")</f>
        <v>0</v>
      </c>
      <c r="AE644" s="6">
        <f>IMABS(AB644)</f>
        <v>0</v>
      </c>
      <c r="AF644" s="6">
        <f>IMABS(AC644)</f>
        <v>0</v>
      </c>
      <c r="AG644" s="6">
        <f>IMABS(AD644)</f>
        <v>0</v>
      </c>
      <c r="AH644" s="7">
        <f>20*LOG10(MAX(AE644,1E-300)*1E6)</f>
        <v>0</v>
      </c>
      <c r="AI644" s="7">
        <f>20*LOG10(MAX(AF644,1E-300)*1E6)</f>
        <v>0</v>
      </c>
      <c r="AJ644" s="7">
        <f>20*LOG10(MAX(AG644,1E-300)*1E6)</f>
        <v>0</v>
      </c>
      <c r="AK644" s="7">
        <f>DEGREES(IMARGUMENT(AB644))</f>
        <v>0</v>
      </c>
      <c r="AL644" s="7">
        <f>DEGREES(IMARGUMENT(AC644))</f>
        <v>0</v>
      </c>
      <c r="AM644" s="7">
        <f>DEGREES(IMARGUMENT(AD644))</f>
        <v>0</v>
      </c>
    </row>
    <row r="645" spans="1:39">
      <c r="A645" s="6">
        <f>10^(LOG10(F_START)+(ROW()-ROW($A$2))*(LOG10(F_STOP)-LOG10(F_START))/(N_POINTS-1))</f>
        <v>0</v>
      </c>
      <c r="B645" s="6">
        <f>2*PI()*A645</f>
        <v>0</v>
      </c>
      <c r="C645">
        <f>COMPLEX(2*LINE_PS_DCR,2*B645*LINE_PS_L)</f>
        <v>0</v>
      </c>
      <c r="D645">
        <f>IMSUM(COMPLEX(0,B645*(LINE_PS_CLINE+LINE_PS_CCHA/2)),IMDIV("1",IMPRODUCT("2",COMPLEX(C_THROUGH_ESR,B645*C_THROUGH_ESL-1/(B645*C_THROUGH_C)))))</f>
        <v>0</v>
      </c>
      <c r="E645">
        <f>COMPLEX(2*LINE_INPUT_DCR,2*B645*LINE_INPUT_L)</f>
        <v>0</v>
      </c>
      <c r="F645">
        <f>COMPLEX(0,B645*(LINE_INPUT_CLINE+LINE_INPUT_CCHA/2))</f>
        <v>0</v>
      </c>
      <c r="G645">
        <f>IMPRODUCT("2",IMDIV("1",IMSUM(IMDIV("1",COMPLEX(LDM1_DCR,B645*LDM1_L)),COMPLEX(0,B645*LDM1_CPA))))</f>
        <v>0</v>
      </c>
      <c r="H645">
        <f>IMSUM(IMDIV("1",COMPLEX(CX1_ESR,B645*CX1_ESL-1/(B645*CX1_C))),IMDIV("1",IMSUM(COMPLEX(DUMP1_R,0),COMPLEX(DUMP1_ESR,B645*DUMP1_ESL-1/(B645*DUMP1_C)))))</f>
        <v>0</v>
      </c>
      <c r="I645">
        <f>IMPRODUCT("2",IMDIV("1",IMSUM(IMDIV("1",COMPLEX(LDM2_DCR,B645*LDM2_L)),COMPLEX(0,B645*LDM2_CPA))))</f>
        <v>0</v>
      </c>
      <c r="J645">
        <f>IMSUM(IMDIV("1",COMPLEX(CX2_ESR,B645*CX2_ESL-1/(B645*CX2_C))),IMDIV("1",IMSUM(COMPLEX(DUMP2_R,0),COMPLEX(DUMP2_ESR,B645*DUMP2_ESL-1/(B645*DUMP2_C)))))</f>
        <v>0</v>
      </c>
      <c r="K645">
        <f>IMPRODUCT("2",IMDIV("1",IMSUM(IMDIV("1",COMPLEX(CMC_DCR,B645*CMC_L*(1-CMC_K))),COMPLEX(0,B645*CMC_CPA))))</f>
        <v>0</v>
      </c>
      <c r="L645">
        <f>IMSUM(COMPLEX(0,B645*CMC_CLINE),IMDIV("1",IMPRODUCT("2",COMPLEX(CY_ESR,B645*CY_ESL-1/(B645*CY_C)))),COMPLEX(1/DUMMY_R,0))</f>
        <v>0</v>
      </c>
      <c r="M645">
        <f>IMSUM(D645,IMDIV("1",C645))</f>
        <v>0</v>
      </c>
      <c r="N645">
        <f>IMDIV("1",IMSUM(E645,IMDIV("1",M645)))</f>
        <v>0</v>
      </c>
      <c r="O645">
        <f>IMSUM(F645,N645)</f>
        <v>0</v>
      </c>
      <c r="P645">
        <f>IMDIV("1",IMSUM(G645,IMDIV("1",O645)))</f>
        <v>0</v>
      </c>
      <c r="Q645">
        <f>IMSUM(H645,P645)</f>
        <v>0</v>
      </c>
      <c r="R645">
        <f>IMDIV("1",IMSUM(I645,IMDIV("1",Q645)))</f>
        <v>0</v>
      </c>
      <c r="S645">
        <f>IMSUM(J645,R645)</f>
        <v>0</v>
      </c>
      <c r="T645">
        <f>IMDIV("1",IMSUM(K645,IMDIV("1",S645)))</f>
        <v>0</v>
      </c>
      <c r="U645">
        <f>IMSUM(L645,T645)</f>
        <v>0</v>
      </c>
      <c r="V645">
        <f>IMDIV(COMPLEX(I_DM_SOURCE,0),U645)</f>
        <v>0</v>
      </c>
      <c r="W645">
        <f>IMPRODUCT(V645,T645)</f>
        <v>0</v>
      </c>
      <c r="X645">
        <f>IMDIV(W645,S645)</f>
        <v>0</v>
      </c>
      <c r="Y645">
        <f>IMPRODUCT(X645,R645)</f>
        <v>0</v>
      </c>
      <c r="Z645">
        <f>IMDIV(Y645,Q645)</f>
        <v>0</v>
      </c>
      <c r="AA645">
        <f>IMPRODUCT(Z645,P645)</f>
        <v>0</v>
      </c>
      <c r="AB645">
        <f>AA645</f>
        <v>0</v>
      </c>
      <c r="AC645">
        <f>IMPRODUCT("-1",AB645)</f>
        <v>0</v>
      </c>
      <c r="AD645">
        <f>IMDIV(IMSUB(AB645,AC645),"2")</f>
        <v>0</v>
      </c>
      <c r="AE645" s="6">
        <f>IMABS(AB645)</f>
        <v>0</v>
      </c>
      <c r="AF645" s="6">
        <f>IMABS(AC645)</f>
        <v>0</v>
      </c>
      <c r="AG645" s="6">
        <f>IMABS(AD645)</f>
        <v>0</v>
      </c>
      <c r="AH645" s="7">
        <f>20*LOG10(MAX(AE645,1E-300)*1E6)</f>
        <v>0</v>
      </c>
      <c r="AI645" s="7">
        <f>20*LOG10(MAX(AF645,1E-300)*1E6)</f>
        <v>0</v>
      </c>
      <c r="AJ645" s="7">
        <f>20*LOG10(MAX(AG645,1E-300)*1E6)</f>
        <v>0</v>
      </c>
      <c r="AK645" s="7">
        <f>DEGREES(IMARGUMENT(AB645))</f>
        <v>0</v>
      </c>
      <c r="AL645" s="7">
        <f>DEGREES(IMARGUMENT(AC645))</f>
        <v>0</v>
      </c>
      <c r="AM645" s="7">
        <f>DEGREES(IMARGUMENT(AD645))</f>
        <v>0</v>
      </c>
    </row>
    <row r="646" spans="1:39">
      <c r="A646" s="6">
        <f>10^(LOG10(F_START)+(ROW()-ROW($A$2))*(LOG10(F_STOP)-LOG10(F_START))/(N_POINTS-1))</f>
        <v>0</v>
      </c>
      <c r="B646" s="6">
        <f>2*PI()*A646</f>
        <v>0</v>
      </c>
      <c r="C646">
        <f>COMPLEX(2*LINE_PS_DCR,2*B646*LINE_PS_L)</f>
        <v>0</v>
      </c>
      <c r="D646">
        <f>IMSUM(COMPLEX(0,B646*(LINE_PS_CLINE+LINE_PS_CCHA/2)),IMDIV("1",IMPRODUCT("2",COMPLEX(C_THROUGH_ESR,B646*C_THROUGH_ESL-1/(B646*C_THROUGH_C)))))</f>
        <v>0</v>
      </c>
      <c r="E646">
        <f>COMPLEX(2*LINE_INPUT_DCR,2*B646*LINE_INPUT_L)</f>
        <v>0</v>
      </c>
      <c r="F646">
        <f>COMPLEX(0,B646*(LINE_INPUT_CLINE+LINE_INPUT_CCHA/2))</f>
        <v>0</v>
      </c>
      <c r="G646">
        <f>IMPRODUCT("2",IMDIV("1",IMSUM(IMDIV("1",COMPLEX(LDM1_DCR,B646*LDM1_L)),COMPLEX(0,B646*LDM1_CPA))))</f>
        <v>0</v>
      </c>
      <c r="H646">
        <f>IMSUM(IMDIV("1",COMPLEX(CX1_ESR,B646*CX1_ESL-1/(B646*CX1_C))),IMDIV("1",IMSUM(COMPLEX(DUMP1_R,0),COMPLEX(DUMP1_ESR,B646*DUMP1_ESL-1/(B646*DUMP1_C)))))</f>
        <v>0</v>
      </c>
      <c r="I646">
        <f>IMPRODUCT("2",IMDIV("1",IMSUM(IMDIV("1",COMPLEX(LDM2_DCR,B646*LDM2_L)),COMPLEX(0,B646*LDM2_CPA))))</f>
        <v>0</v>
      </c>
      <c r="J646">
        <f>IMSUM(IMDIV("1",COMPLEX(CX2_ESR,B646*CX2_ESL-1/(B646*CX2_C))),IMDIV("1",IMSUM(COMPLEX(DUMP2_R,0),COMPLEX(DUMP2_ESR,B646*DUMP2_ESL-1/(B646*DUMP2_C)))))</f>
        <v>0</v>
      </c>
      <c r="K646">
        <f>IMPRODUCT("2",IMDIV("1",IMSUM(IMDIV("1",COMPLEX(CMC_DCR,B646*CMC_L*(1-CMC_K))),COMPLEX(0,B646*CMC_CPA))))</f>
        <v>0</v>
      </c>
      <c r="L646">
        <f>IMSUM(COMPLEX(0,B646*CMC_CLINE),IMDIV("1",IMPRODUCT("2",COMPLEX(CY_ESR,B646*CY_ESL-1/(B646*CY_C)))),COMPLEX(1/DUMMY_R,0))</f>
        <v>0</v>
      </c>
      <c r="M646">
        <f>IMSUM(D646,IMDIV("1",C646))</f>
        <v>0</v>
      </c>
      <c r="N646">
        <f>IMDIV("1",IMSUM(E646,IMDIV("1",M646)))</f>
        <v>0</v>
      </c>
      <c r="O646">
        <f>IMSUM(F646,N646)</f>
        <v>0</v>
      </c>
      <c r="P646">
        <f>IMDIV("1",IMSUM(G646,IMDIV("1",O646)))</f>
        <v>0</v>
      </c>
      <c r="Q646">
        <f>IMSUM(H646,P646)</f>
        <v>0</v>
      </c>
      <c r="R646">
        <f>IMDIV("1",IMSUM(I646,IMDIV("1",Q646)))</f>
        <v>0</v>
      </c>
      <c r="S646">
        <f>IMSUM(J646,R646)</f>
        <v>0</v>
      </c>
      <c r="T646">
        <f>IMDIV("1",IMSUM(K646,IMDIV("1",S646)))</f>
        <v>0</v>
      </c>
      <c r="U646">
        <f>IMSUM(L646,T646)</f>
        <v>0</v>
      </c>
      <c r="V646">
        <f>IMDIV(COMPLEX(I_DM_SOURCE,0),U646)</f>
        <v>0</v>
      </c>
      <c r="W646">
        <f>IMPRODUCT(V646,T646)</f>
        <v>0</v>
      </c>
      <c r="X646">
        <f>IMDIV(W646,S646)</f>
        <v>0</v>
      </c>
      <c r="Y646">
        <f>IMPRODUCT(X646,R646)</f>
        <v>0</v>
      </c>
      <c r="Z646">
        <f>IMDIV(Y646,Q646)</f>
        <v>0</v>
      </c>
      <c r="AA646">
        <f>IMPRODUCT(Z646,P646)</f>
        <v>0</v>
      </c>
      <c r="AB646">
        <f>AA646</f>
        <v>0</v>
      </c>
      <c r="AC646">
        <f>IMPRODUCT("-1",AB646)</f>
        <v>0</v>
      </c>
      <c r="AD646">
        <f>IMDIV(IMSUB(AB646,AC646),"2")</f>
        <v>0</v>
      </c>
      <c r="AE646" s="6">
        <f>IMABS(AB646)</f>
        <v>0</v>
      </c>
      <c r="AF646" s="6">
        <f>IMABS(AC646)</f>
        <v>0</v>
      </c>
      <c r="AG646" s="6">
        <f>IMABS(AD646)</f>
        <v>0</v>
      </c>
      <c r="AH646" s="7">
        <f>20*LOG10(MAX(AE646,1E-300)*1E6)</f>
        <v>0</v>
      </c>
      <c r="AI646" s="7">
        <f>20*LOG10(MAX(AF646,1E-300)*1E6)</f>
        <v>0</v>
      </c>
      <c r="AJ646" s="7">
        <f>20*LOG10(MAX(AG646,1E-300)*1E6)</f>
        <v>0</v>
      </c>
      <c r="AK646" s="7">
        <f>DEGREES(IMARGUMENT(AB646))</f>
        <v>0</v>
      </c>
      <c r="AL646" s="7">
        <f>DEGREES(IMARGUMENT(AC646))</f>
        <v>0</v>
      </c>
      <c r="AM646" s="7">
        <f>DEGREES(IMARGUMENT(AD646))</f>
        <v>0</v>
      </c>
    </row>
    <row r="647" spans="1:39">
      <c r="A647" s="6">
        <f>10^(LOG10(F_START)+(ROW()-ROW($A$2))*(LOG10(F_STOP)-LOG10(F_START))/(N_POINTS-1))</f>
        <v>0</v>
      </c>
      <c r="B647" s="6">
        <f>2*PI()*A647</f>
        <v>0</v>
      </c>
      <c r="C647">
        <f>COMPLEX(2*LINE_PS_DCR,2*B647*LINE_PS_L)</f>
        <v>0</v>
      </c>
      <c r="D647">
        <f>IMSUM(COMPLEX(0,B647*(LINE_PS_CLINE+LINE_PS_CCHA/2)),IMDIV("1",IMPRODUCT("2",COMPLEX(C_THROUGH_ESR,B647*C_THROUGH_ESL-1/(B647*C_THROUGH_C)))))</f>
        <v>0</v>
      </c>
      <c r="E647">
        <f>COMPLEX(2*LINE_INPUT_DCR,2*B647*LINE_INPUT_L)</f>
        <v>0</v>
      </c>
      <c r="F647">
        <f>COMPLEX(0,B647*(LINE_INPUT_CLINE+LINE_INPUT_CCHA/2))</f>
        <v>0</v>
      </c>
      <c r="G647">
        <f>IMPRODUCT("2",IMDIV("1",IMSUM(IMDIV("1",COMPLEX(LDM1_DCR,B647*LDM1_L)),COMPLEX(0,B647*LDM1_CPA))))</f>
        <v>0</v>
      </c>
      <c r="H647">
        <f>IMSUM(IMDIV("1",COMPLEX(CX1_ESR,B647*CX1_ESL-1/(B647*CX1_C))),IMDIV("1",IMSUM(COMPLEX(DUMP1_R,0),COMPLEX(DUMP1_ESR,B647*DUMP1_ESL-1/(B647*DUMP1_C)))))</f>
        <v>0</v>
      </c>
      <c r="I647">
        <f>IMPRODUCT("2",IMDIV("1",IMSUM(IMDIV("1",COMPLEX(LDM2_DCR,B647*LDM2_L)),COMPLEX(0,B647*LDM2_CPA))))</f>
        <v>0</v>
      </c>
      <c r="J647">
        <f>IMSUM(IMDIV("1",COMPLEX(CX2_ESR,B647*CX2_ESL-1/(B647*CX2_C))),IMDIV("1",IMSUM(COMPLEX(DUMP2_R,0),COMPLEX(DUMP2_ESR,B647*DUMP2_ESL-1/(B647*DUMP2_C)))))</f>
        <v>0</v>
      </c>
      <c r="K647">
        <f>IMPRODUCT("2",IMDIV("1",IMSUM(IMDIV("1",COMPLEX(CMC_DCR,B647*CMC_L*(1-CMC_K))),COMPLEX(0,B647*CMC_CPA))))</f>
        <v>0</v>
      </c>
      <c r="L647">
        <f>IMSUM(COMPLEX(0,B647*CMC_CLINE),IMDIV("1",IMPRODUCT("2",COMPLEX(CY_ESR,B647*CY_ESL-1/(B647*CY_C)))),COMPLEX(1/DUMMY_R,0))</f>
        <v>0</v>
      </c>
      <c r="M647">
        <f>IMSUM(D647,IMDIV("1",C647))</f>
        <v>0</v>
      </c>
      <c r="N647">
        <f>IMDIV("1",IMSUM(E647,IMDIV("1",M647)))</f>
        <v>0</v>
      </c>
      <c r="O647">
        <f>IMSUM(F647,N647)</f>
        <v>0</v>
      </c>
      <c r="P647">
        <f>IMDIV("1",IMSUM(G647,IMDIV("1",O647)))</f>
        <v>0</v>
      </c>
      <c r="Q647">
        <f>IMSUM(H647,P647)</f>
        <v>0</v>
      </c>
      <c r="R647">
        <f>IMDIV("1",IMSUM(I647,IMDIV("1",Q647)))</f>
        <v>0</v>
      </c>
      <c r="S647">
        <f>IMSUM(J647,R647)</f>
        <v>0</v>
      </c>
      <c r="T647">
        <f>IMDIV("1",IMSUM(K647,IMDIV("1",S647)))</f>
        <v>0</v>
      </c>
      <c r="U647">
        <f>IMSUM(L647,T647)</f>
        <v>0</v>
      </c>
      <c r="V647">
        <f>IMDIV(COMPLEX(I_DM_SOURCE,0),U647)</f>
        <v>0</v>
      </c>
      <c r="W647">
        <f>IMPRODUCT(V647,T647)</f>
        <v>0</v>
      </c>
      <c r="X647">
        <f>IMDIV(W647,S647)</f>
        <v>0</v>
      </c>
      <c r="Y647">
        <f>IMPRODUCT(X647,R647)</f>
        <v>0</v>
      </c>
      <c r="Z647">
        <f>IMDIV(Y647,Q647)</f>
        <v>0</v>
      </c>
      <c r="AA647">
        <f>IMPRODUCT(Z647,P647)</f>
        <v>0</v>
      </c>
      <c r="AB647">
        <f>AA647</f>
        <v>0</v>
      </c>
      <c r="AC647">
        <f>IMPRODUCT("-1",AB647)</f>
        <v>0</v>
      </c>
      <c r="AD647">
        <f>IMDIV(IMSUB(AB647,AC647),"2")</f>
        <v>0</v>
      </c>
      <c r="AE647" s="6">
        <f>IMABS(AB647)</f>
        <v>0</v>
      </c>
      <c r="AF647" s="6">
        <f>IMABS(AC647)</f>
        <v>0</v>
      </c>
      <c r="AG647" s="6">
        <f>IMABS(AD647)</f>
        <v>0</v>
      </c>
      <c r="AH647" s="7">
        <f>20*LOG10(MAX(AE647,1E-300)*1E6)</f>
        <v>0</v>
      </c>
      <c r="AI647" s="7">
        <f>20*LOG10(MAX(AF647,1E-300)*1E6)</f>
        <v>0</v>
      </c>
      <c r="AJ647" s="7">
        <f>20*LOG10(MAX(AG647,1E-300)*1E6)</f>
        <v>0</v>
      </c>
      <c r="AK647" s="7">
        <f>DEGREES(IMARGUMENT(AB647))</f>
        <v>0</v>
      </c>
      <c r="AL647" s="7">
        <f>DEGREES(IMARGUMENT(AC647))</f>
        <v>0</v>
      </c>
      <c r="AM647" s="7">
        <f>DEGREES(IMARGUMENT(AD647))</f>
        <v>0</v>
      </c>
    </row>
    <row r="648" spans="1:39">
      <c r="A648" s="6">
        <f>10^(LOG10(F_START)+(ROW()-ROW($A$2))*(LOG10(F_STOP)-LOG10(F_START))/(N_POINTS-1))</f>
        <v>0</v>
      </c>
      <c r="B648" s="6">
        <f>2*PI()*A648</f>
        <v>0</v>
      </c>
      <c r="C648">
        <f>COMPLEX(2*LINE_PS_DCR,2*B648*LINE_PS_L)</f>
        <v>0</v>
      </c>
      <c r="D648">
        <f>IMSUM(COMPLEX(0,B648*(LINE_PS_CLINE+LINE_PS_CCHA/2)),IMDIV("1",IMPRODUCT("2",COMPLEX(C_THROUGH_ESR,B648*C_THROUGH_ESL-1/(B648*C_THROUGH_C)))))</f>
        <v>0</v>
      </c>
      <c r="E648">
        <f>COMPLEX(2*LINE_INPUT_DCR,2*B648*LINE_INPUT_L)</f>
        <v>0</v>
      </c>
      <c r="F648">
        <f>COMPLEX(0,B648*(LINE_INPUT_CLINE+LINE_INPUT_CCHA/2))</f>
        <v>0</v>
      </c>
      <c r="G648">
        <f>IMPRODUCT("2",IMDIV("1",IMSUM(IMDIV("1",COMPLEX(LDM1_DCR,B648*LDM1_L)),COMPLEX(0,B648*LDM1_CPA))))</f>
        <v>0</v>
      </c>
      <c r="H648">
        <f>IMSUM(IMDIV("1",COMPLEX(CX1_ESR,B648*CX1_ESL-1/(B648*CX1_C))),IMDIV("1",IMSUM(COMPLEX(DUMP1_R,0),COMPLEX(DUMP1_ESR,B648*DUMP1_ESL-1/(B648*DUMP1_C)))))</f>
        <v>0</v>
      </c>
      <c r="I648">
        <f>IMPRODUCT("2",IMDIV("1",IMSUM(IMDIV("1",COMPLEX(LDM2_DCR,B648*LDM2_L)),COMPLEX(0,B648*LDM2_CPA))))</f>
        <v>0</v>
      </c>
      <c r="J648">
        <f>IMSUM(IMDIV("1",COMPLEX(CX2_ESR,B648*CX2_ESL-1/(B648*CX2_C))),IMDIV("1",IMSUM(COMPLEX(DUMP2_R,0),COMPLEX(DUMP2_ESR,B648*DUMP2_ESL-1/(B648*DUMP2_C)))))</f>
        <v>0</v>
      </c>
      <c r="K648">
        <f>IMPRODUCT("2",IMDIV("1",IMSUM(IMDIV("1",COMPLEX(CMC_DCR,B648*CMC_L*(1-CMC_K))),COMPLEX(0,B648*CMC_CPA))))</f>
        <v>0</v>
      </c>
      <c r="L648">
        <f>IMSUM(COMPLEX(0,B648*CMC_CLINE),IMDIV("1",IMPRODUCT("2",COMPLEX(CY_ESR,B648*CY_ESL-1/(B648*CY_C)))),COMPLEX(1/DUMMY_R,0))</f>
        <v>0</v>
      </c>
      <c r="M648">
        <f>IMSUM(D648,IMDIV("1",C648))</f>
        <v>0</v>
      </c>
      <c r="N648">
        <f>IMDIV("1",IMSUM(E648,IMDIV("1",M648)))</f>
        <v>0</v>
      </c>
      <c r="O648">
        <f>IMSUM(F648,N648)</f>
        <v>0</v>
      </c>
      <c r="P648">
        <f>IMDIV("1",IMSUM(G648,IMDIV("1",O648)))</f>
        <v>0</v>
      </c>
      <c r="Q648">
        <f>IMSUM(H648,P648)</f>
        <v>0</v>
      </c>
      <c r="R648">
        <f>IMDIV("1",IMSUM(I648,IMDIV("1",Q648)))</f>
        <v>0</v>
      </c>
      <c r="S648">
        <f>IMSUM(J648,R648)</f>
        <v>0</v>
      </c>
      <c r="T648">
        <f>IMDIV("1",IMSUM(K648,IMDIV("1",S648)))</f>
        <v>0</v>
      </c>
      <c r="U648">
        <f>IMSUM(L648,T648)</f>
        <v>0</v>
      </c>
      <c r="V648">
        <f>IMDIV(COMPLEX(I_DM_SOURCE,0),U648)</f>
        <v>0</v>
      </c>
      <c r="W648">
        <f>IMPRODUCT(V648,T648)</f>
        <v>0</v>
      </c>
      <c r="X648">
        <f>IMDIV(W648,S648)</f>
        <v>0</v>
      </c>
      <c r="Y648">
        <f>IMPRODUCT(X648,R648)</f>
        <v>0</v>
      </c>
      <c r="Z648">
        <f>IMDIV(Y648,Q648)</f>
        <v>0</v>
      </c>
      <c r="AA648">
        <f>IMPRODUCT(Z648,P648)</f>
        <v>0</v>
      </c>
      <c r="AB648">
        <f>AA648</f>
        <v>0</v>
      </c>
      <c r="AC648">
        <f>IMPRODUCT("-1",AB648)</f>
        <v>0</v>
      </c>
      <c r="AD648">
        <f>IMDIV(IMSUB(AB648,AC648),"2")</f>
        <v>0</v>
      </c>
      <c r="AE648" s="6">
        <f>IMABS(AB648)</f>
        <v>0</v>
      </c>
      <c r="AF648" s="6">
        <f>IMABS(AC648)</f>
        <v>0</v>
      </c>
      <c r="AG648" s="6">
        <f>IMABS(AD648)</f>
        <v>0</v>
      </c>
      <c r="AH648" s="7">
        <f>20*LOG10(MAX(AE648,1E-300)*1E6)</f>
        <v>0</v>
      </c>
      <c r="AI648" s="7">
        <f>20*LOG10(MAX(AF648,1E-300)*1E6)</f>
        <v>0</v>
      </c>
      <c r="AJ648" s="7">
        <f>20*LOG10(MAX(AG648,1E-300)*1E6)</f>
        <v>0</v>
      </c>
      <c r="AK648" s="7">
        <f>DEGREES(IMARGUMENT(AB648))</f>
        <v>0</v>
      </c>
      <c r="AL648" s="7">
        <f>DEGREES(IMARGUMENT(AC648))</f>
        <v>0</v>
      </c>
      <c r="AM648" s="7">
        <f>DEGREES(IMARGUMENT(AD648))</f>
        <v>0</v>
      </c>
    </row>
    <row r="649" spans="1:39">
      <c r="A649" s="6">
        <f>10^(LOG10(F_START)+(ROW()-ROW($A$2))*(LOG10(F_STOP)-LOG10(F_START))/(N_POINTS-1))</f>
        <v>0</v>
      </c>
      <c r="B649" s="6">
        <f>2*PI()*A649</f>
        <v>0</v>
      </c>
      <c r="C649">
        <f>COMPLEX(2*LINE_PS_DCR,2*B649*LINE_PS_L)</f>
        <v>0</v>
      </c>
      <c r="D649">
        <f>IMSUM(COMPLEX(0,B649*(LINE_PS_CLINE+LINE_PS_CCHA/2)),IMDIV("1",IMPRODUCT("2",COMPLEX(C_THROUGH_ESR,B649*C_THROUGH_ESL-1/(B649*C_THROUGH_C)))))</f>
        <v>0</v>
      </c>
      <c r="E649">
        <f>COMPLEX(2*LINE_INPUT_DCR,2*B649*LINE_INPUT_L)</f>
        <v>0</v>
      </c>
      <c r="F649">
        <f>COMPLEX(0,B649*(LINE_INPUT_CLINE+LINE_INPUT_CCHA/2))</f>
        <v>0</v>
      </c>
      <c r="G649">
        <f>IMPRODUCT("2",IMDIV("1",IMSUM(IMDIV("1",COMPLEX(LDM1_DCR,B649*LDM1_L)),COMPLEX(0,B649*LDM1_CPA))))</f>
        <v>0</v>
      </c>
      <c r="H649">
        <f>IMSUM(IMDIV("1",COMPLEX(CX1_ESR,B649*CX1_ESL-1/(B649*CX1_C))),IMDIV("1",IMSUM(COMPLEX(DUMP1_R,0),COMPLEX(DUMP1_ESR,B649*DUMP1_ESL-1/(B649*DUMP1_C)))))</f>
        <v>0</v>
      </c>
      <c r="I649">
        <f>IMPRODUCT("2",IMDIV("1",IMSUM(IMDIV("1",COMPLEX(LDM2_DCR,B649*LDM2_L)),COMPLEX(0,B649*LDM2_CPA))))</f>
        <v>0</v>
      </c>
      <c r="J649">
        <f>IMSUM(IMDIV("1",COMPLEX(CX2_ESR,B649*CX2_ESL-1/(B649*CX2_C))),IMDIV("1",IMSUM(COMPLEX(DUMP2_R,0),COMPLEX(DUMP2_ESR,B649*DUMP2_ESL-1/(B649*DUMP2_C)))))</f>
        <v>0</v>
      </c>
      <c r="K649">
        <f>IMPRODUCT("2",IMDIV("1",IMSUM(IMDIV("1",COMPLEX(CMC_DCR,B649*CMC_L*(1-CMC_K))),COMPLEX(0,B649*CMC_CPA))))</f>
        <v>0</v>
      </c>
      <c r="L649">
        <f>IMSUM(COMPLEX(0,B649*CMC_CLINE),IMDIV("1",IMPRODUCT("2",COMPLEX(CY_ESR,B649*CY_ESL-1/(B649*CY_C)))),COMPLEX(1/DUMMY_R,0))</f>
        <v>0</v>
      </c>
      <c r="M649">
        <f>IMSUM(D649,IMDIV("1",C649))</f>
        <v>0</v>
      </c>
      <c r="N649">
        <f>IMDIV("1",IMSUM(E649,IMDIV("1",M649)))</f>
        <v>0</v>
      </c>
      <c r="O649">
        <f>IMSUM(F649,N649)</f>
        <v>0</v>
      </c>
      <c r="P649">
        <f>IMDIV("1",IMSUM(G649,IMDIV("1",O649)))</f>
        <v>0</v>
      </c>
      <c r="Q649">
        <f>IMSUM(H649,P649)</f>
        <v>0</v>
      </c>
      <c r="R649">
        <f>IMDIV("1",IMSUM(I649,IMDIV("1",Q649)))</f>
        <v>0</v>
      </c>
      <c r="S649">
        <f>IMSUM(J649,R649)</f>
        <v>0</v>
      </c>
      <c r="T649">
        <f>IMDIV("1",IMSUM(K649,IMDIV("1",S649)))</f>
        <v>0</v>
      </c>
      <c r="U649">
        <f>IMSUM(L649,T649)</f>
        <v>0</v>
      </c>
      <c r="V649">
        <f>IMDIV(COMPLEX(I_DM_SOURCE,0),U649)</f>
        <v>0</v>
      </c>
      <c r="W649">
        <f>IMPRODUCT(V649,T649)</f>
        <v>0</v>
      </c>
      <c r="X649">
        <f>IMDIV(W649,S649)</f>
        <v>0</v>
      </c>
      <c r="Y649">
        <f>IMPRODUCT(X649,R649)</f>
        <v>0</v>
      </c>
      <c r="Z649">
        <f>IMDIV(Y649,Q649)</f>
        <v>0</v>
      </c>
      <c r="AA649">
        <f>IMPRODUCT(Z649,P649)</f>
        <v>0</v>
      </c>
      <c r="AB649">
        <f>AA649</f>
        <v>0</v>
      </c>
      <c r="AC649">
        <f>IMPRODUCT("-1",AB649)</f>
        <v>0</v>
      </c>
      <c r="AD649">
        <f>IMDIV(IMSUB(AB649,AC649),"2")</f>
        <v>0</v>
      </c>
      <c r="AE649" s="6">
        <f>IMABS(AB649)</f>
        <v>0</v>
      </c>
      <c r="AF649" s="6">
        <f>IMABS(AC649)</f>
        <v>0</v>
      </c>
      <c r="AG649" s="6">
        <f>IMABS(AD649)</f>
        <v>0</v>
      </c>
      <c r="AH649" s="7">
        <f>20*LOG10(MAX(AE649,1E-300)*1E6)</f>
        <v>0</v>
      </c>
      <c r="AI649" s="7">
        <f>20*LOG10(MAX(AF649,1E-300)*1E6)</f>
        <v>0</v>
      </c>
      <c r="AJ649" s="7">
        <f>20*LOG10(MAX(AG649,1E-300)*1E6)</f>
        <v>0</v>
      </c>
      <c r="AK649" s="7">
        <f>DEGREES(IMARGUMENT(AB649))</f>
        <v>0</v>
      </c>
      <c r="AL649" s="7">
        <f>DEGREES(IMARGUMENT(AC649))</f>
        <v>0</v>
      </c>
      <c r="AM649" s="7">
        <f>DEGREES(IMARGUMENT(AD649))</f>
        <v>0</v>
      </c>
    </row>
    <row r="650" spans="1:39">
      <c r="A650" s="6">
        <f>10^(LOG10(F_START)+(ROW()-ROW($A$2))*(LOG10(F_STOP)-LOG10(F_START))/(N_POINTS-1))</f>
        <v>0</v>
      </c>
      <c r="B650" s="6">
        <f>2*PI()*A650</f>
        <v>0</v>
      </c>
      <c r="C650">
        <f>COMPLEX(2*LINE_PS_DCR,2*B650*LINE_PS_L)</f>
        <v>0</v>
      </c>
      <c r="D650">
        <f>IMSUM(COMPLEX(0,B650*(LINE_PS_CLINE+LINE_PS_CCHA/2)),IMDIV("1",IMPRODUCT("2",COMPLEX(C_THROUGH_ESR,B650*C_THROUGH_ESL-1/(B650*C_THROUGH_C)))))</f>
        <v>0</v>
      </c>
      <c r="E650">
        <f>COMPLEX(2*LINE_INPUT_DCR,2*B650*LINE_INPUT_L)</f>
        <v>0</v>
      </c>
      <c r="F650">
        <f>COMPLEX(0,B650*(LINE_INPUT_CLINE+LINE_INPUT_CCHA/2))</f>
        <v>0</v>
      </c>
      <c r="G650">
        <f>IMPRODUCT("2",IMDIV("1",IMSUM(IMDIV("1",COMPLEX(LDM1_DCR,B650*LDM1_L)),COMPLEX(0,B650*LDM1_CPA))))</f>
        <v>0</v>
      </c>
      <c r="H650">
        <f>IMSUM(IMDIV("1",COMPLEX(CX1_ESR,B650*CX1_ESL-1/(B650*CX1_C))),IMDIV("1",IMSUM(COMPLEX(DUMP1_R,0),COMPLEX(DUMP1_ESR,B650*DUMP1_ESL-1/(B650*DUMP1_C)))))</f>
        <v>0</v>
      </c>
      <c r="I650">
        <f>IMPRODUCT("2",IMDIV("1",IMSUM(IMDIV("1",COMPLEX(LDM2_DCR,B650*LDM2_L)),COMPLEX(0,B650*LDM2_CPA))))</f>
        <v>0</v>
      </c>
      <c r="J650">
        <f>IMSUM(IMDIV("1",COMPLEX(CX2_ESR,B650*CX2_ESL-1/(B650*CX2_C))),IMDIV("1",IMSUM(COMPLEX(DUMP2_R,0),COMPLEX(DUMP2_ESR,B650*DUMP2_ESL-1/(B650*DUMP2_C)))))</f>
        <v>0</v>
      </c>
      <c r="K650">
        <f>IMPRODUCT("2",IMDIV("1",IMSUM(IMDIV("1",COMPLEX(CMC_DCR,B650*CMC_L*(1-CMC_K))),COMPLEX(0,B650*CMC_CPA))))</f>
        <v>0</v>
      </c>
      <c r="L650">
        <f>IMSUM(COMPLEX(0,B650*CMC_CLINE),IMDIV("1",IMPRODUCT("2",COMPLEX(CY_ESR,B650*CY_ESL-1/(B650*CY_C)))),COMPLEX(1/DUMMY_R,0))</f>
        <v>0</v>
      </c>
      <c r="M650">
        <f>IMSUM(D650,IMDIV("1",C650))</f>
        <v>0</v>
      </c>
      <c r="N650">
        <f>IMDIV("1",IMSUM(E650,IMDIV("1",M650)))</f>
        <v>0</v>
      </c>
      <c r="O650">
        <f>IMSUM(F650,N650)</f>
        <v>0</v>
      </c>
      <c r="P650">
        <f>IMDIV("1",IMSUM(G650,IMDIV("1",O650)))</f>
        <v>0</v>
      </c>
      <c r="Q650">
        <f>IMSUM(H650,P650)</f>
        <v>0</v>
      </c>
      <c r="R650">
        <f>IMDIV("1",IMSUM(I650,IMDIV("1",Q650)))</f>
        <v>0</v>
      </c>
      <c r="S650">
        <f>IMSUM(J650,R650)</f>
        <v>0</v>
      </c>
      <c r="T650">
        <f>IMDIV("1",IMSUM(K650,IMDIV("1",S650)))</f>
        <v>0</v>
      </c>
      <c r="U650">
        <f>IMSUM(L650,T650)</f>
        <v>0</v>
      </c>
      <c r="V650">
        <f>IMDIV(COMPLEX(I_DM_SOURCE,0),U650)</f>
        <v>0</v>
      </c>
      <c r="W650">
        <f>IMPRODUCT(V650,T650)</f>
        <v>0</v>
      </c>
      <c r="X650">
        <f>IMDIV(W650,S650)</f>
        <v>0</v>
      </c>
      <c r="Y650">
        <f>IMPRODUCT(X650,R650)</f>
        <v>0</v>
      </c>
      <c r="Z650">
        <f>IMDIV(Y650,Q650)</f>
        <v>0</v>
      </c>
      <c r="AA650">
        <f>IMPRODUCT(Z650,P650)</f>
        <v>0</v>
      </c>
      <c r="AB650">
        <f>AA650</f>
        <v>0</v>
      </c>
      <c r="AC650">
        <f>IMPRODUCT("-1",AB650)</f>
        <v>0</v>
      </c>
      <c r="AD650">
        <f>IMDIV(IMSUB(AB650,AC650),"2")</f>
        <v>0</v>
      </c>
      <c r="AE650" s="6">
        <f>IMABS(AB650)</f>
        <v>0</v>
      </c>
      <c r="AF650" s="6">
        <f>IMABS(AC650)</f>
        <v>0</v>
      </c>
      <c r="AG650" s="6">
        <f>IMABS(AD650)</f>
        <v>0</v>
      </c>
      <c r="AH650" s="7">
        <f>20*LOG10(MAX(AE650,1E-300)*1E6)</f>
        <v>0</v>
      </c>
      <c r="AI650" s="7">
        <f>20*LOG10(MAX(AF650,1E-300)*1E6)</f>
        <v>0</v>
      </c>
      <c r="AJ650" s="7">
        <f>20*LOG10(MAX(AG650,1E-300)*1E6)</f>
        <v>0</v>
      </c>
      <c r="AK650" s="7">
        <f>DEGREES(IMARGUMENT(AB650))</f>
        <v>0</v>
      </c>
      <c r="AL650" s="7">
        <f>DEGREES(IMARGUMENT(AC650))</f>
        <v>0</v>
      </c>
      <c r="AM650" s="7">
        <f>DEGREES(IMARGUMENT(AD650))</f>
        <v>0</v>
      </c>
    </row>
    <row r="651" spans="1:39">
      <c r="A651" s="6">
        <f>10^(LOG10(F_START)+(ROW()-ROW($A$2))*(LOG10(F_STOP)-LOG10(F_START))/(N_POINTS-1))</f>
        <v>0</v>
      </c>
      <c r="B651" s="6">
        <f>2*PI()*A651</f>
        <v>0</v>
      </c>
      <c r="C651">
        <f>COMPLEX(2*LINE_PS_DCR,2*B651*LINE_PS_L)</f>
        <v>0</v>
      </c>
      <c r="D651">
        <f>IMSUM(COMPLEX(0,B651*(LINE_PS_CLINE+LINE_PS_CCHA/2)),IMDIV("1",IMPRODUCT("2",COMPLEX(C_THROUGH_ESR,B651*C_THROUGH_ESL-1/(B651*C_THROUGH_C)))))</f>
        <v>0</v>
      </c>
      <c r="E651">
        <f>COMPLEX(2*LINE_INPUT_DCR,2*B651*LINE_INPUT_L)</f>
        <v>0</v>
      </c>
      <c r="F651">
        <f>COMPLEX(0,B651*(LINE_INPUT_CLINE+LINE_INPUT_CCHA/2))</f>
        <v>0</v>
      </c>
      <c r="G651">
        <f>IMPRODUCT("2",IMDIV("1",IMSUM(IMDIV("1",COMPLEX(LDM1_DCR,B651*LDM1_L)),COMPLEX(0,B651*LDM1_CPA))))</f>
        <v>0</v>
      </c>
      <c r="H651">
        <f>IMSUM(IMDIV("1",COMPLEX(CX1_ESR,B651*CX1_ESL-1/(B651*CX1_C))),IMDIV("1",IMSUM(COMPLEX(DUMP1_R,0),COMPLEX(DUMP1_ESR,B651*DUMP1_ESL-1/(B651*DUMP1_C)))))</f>
        <v>0</v>
      </c>
      <c r="I651">
        <f>IMPRODUCT("2",IMDIV("1",IMSUM(IMDIV("1",COMPLEX(LDM2_DCR,B651*LDM2_L)),COMPLEX(0,B651*LDM2_CPA))))</f>
        <v>0</v>
      </c>
      <c r="J651">
        <f>IMSUM(IMDIV("1",COMPLEX(CX2_ESR,B651*CX2_ESL-1/(B651*CX2_C))),IMDIV("1",IMSUM(COMPLEX(DUMP2_R,0),COMPLEX(DUMP2_ESR,B651*DUMP2_ESL-1/(B651*DUMP2_C)))))</f>
        <v>0</v>
      </c>
      <c r="K651">
        <f>IMPRODUCT("2",IMDIV("1",IMSUM(IMDIV("1",COMPLEX(CMC_DCR,B651*CMC_L*(1-CMC_K))),COMPLEX(0,B651*CMC_CPA))))</f>
        <v>0</v>
      </c>
      <c r="L651">
        <f>IMSUM(COMPLEX(0,B651*CMC_CLINE),IMDIV("1",IMPRODUCT("2",COMPLEX(CY_ESR,B651*CY_ESL-1/(B651*CY_C)))),COMPLEX(1/DUMMY_R,0))</f>
        <v>0</v>
      </c>
      <c r="M651">
        <f>IMSUM(D651,IMDIV("1",C651))</f>
        <v>0</v>
      </c>
      <c r="N651">
        <f>IMDIV("1",IMSUM(E651,IMDIV("1",M651)))</f>
        <v>0</v>
      </c>
      <c r="O651">
        <f>IMSUM(F651,N651)</f>
        <v>0</v>
      </c>
      <c r="P651">
        <f>IMDIV("1",IMSUM(G651,IMDIV("1",O651)))</f>
        <v>0</v>
      </c>
      <c r="Q651">
        <f>IMSUM(H651,P651)</f>
        <v>0</v>
      </c>
      <c r="R651">
        <f>IMDIV("1",IMSUM(I651,IMDIV("1",Q651)))</f>
        <v>0</v>
      </c>
      <c r="S651">
        <f>IMSUM(J651,R651)</f>
        <v>0</v>
      </c>
      <c r="T651">
        <f>IMDIV("1",IMSUM(K651,IMDIV("1",S651)))</f>
        <v>0</v>
      </c>
      <c r="U651">
        <f>IMSUM(L651,T651)</f>
        <v>0</v>
      </c>
      <c r="V651">
        <f>IMDIV(COMPLEX(I_DM_SOURCE,0),U651)</f>
        <v>0</v>
      </c>
      <c r="W651">
        <f>IMPRODUCT(V651,T651)</f>
        <v>0</v>
      </c>
      <c r="X651">
        <f>IMDIV(W651,S651)</f>
        <v>0</v>
      </c>
      <c r="Y651">
        <f>IMPRODUCT(X651,R651)</f>
        <v>0</v>
      </c>
      <c r="Z651">
        <f>IMDIV(Y651,Q651)</f>
        <v>0</v>
      </c>
      <c r="AA651">
        <f>IMPRODUCT(Z651,P651)</f>
        <v>0</v>
      </c>
      <c r="AB651">
        <f>AA651</f>
        <v>0</v>
      </c>
      <c r="AC651">
        <f>IMPRODUCT("-1",AB651)</f>
        <v>0</v>
      </c>
      <c r="AD651">
        <f>IMDIV(IMSUB(AB651,AC651),"2")</f>
        <v>0</v>
      </c>
      <c r="AE651" s="6">
        <f>IMABS(AB651)</f>
        <v>0</v>
      </c>
      <c r="AF651" s="6">
        <f>IMABS(AC651)</f>
        <v>0</v>
      </c>
      <c r="AG651" s="6">
        <f>IMABS(AD651)</f>
        <v>0</v>
      </c>
      <c r="AH651" s="7">
        <f>20*LOG10(MAX(AE651,1E-300)*1E6)</f>
        <v>0</v>
      </c>
      <c r="AI651" s="7">
        <f>20*LOG10(MAX(AF651,1E-300)*1E6)</f>
        <v>0</v>
      </c>
      <c r="AJ651" s="7">
        <f>20*LOG10(MAX(AG651,1E-300)*1E6)</f>
        <v>0</v>
      </c>
      <c r="AK651" s="7">
        <f>DEGREES(IMARGUMENT(AB651))</f>
        <v>0</v>
      </c>
      <c r="AL651" s="7">
        <f>DEGREES(IMARGUMENT(AC651))</f>
        <v>0</v>
      </c>
      <c r="AM651" s="7">
        <f>DEGREES(IMARGUMENT(AD651))</f>
        <v>0</v>
      </c>
    </row>
    <row r="652" spans="1:39">
      <c r="A652" s="6">
        <f>10^(LOG10(F_START)+(ROW()-ROW($A$2))*(LOG10(F_STOP)-LOG10(F_START))/(N_POINTS-1))</f>
        <v>0</v>
      </c>
      <c r="B652" s="6">
        <f>2*PI()*A652</f>
        <v>0</v>
      </c>
      <c r="C652">
        <f>COMPLEX(2*LINE_PS_DCR,2*B652*LINE_PS_L)</f>
        <v>0</v>
      </c>
      <c r="D652">
        <f>IMSUM(COMPLEX(0,B652*(LINE_PS_CLINE+LINE_PS_CCHA/2)),IMDIV("1",IMPRODUCT("2",COMPLEX(C_THROUGH_ESR,B652*C_THROUGH_ESL-1/(B652*C_THROUGH_C)))))</f>
        <v>0</v>
      </c>
      <c r="E652">
        <f>COMPLEX(2*LINE_INPUT_DCR,2*B652*LINE_INPUT_L)</f>
        <v>0</v>
      </c>
      <c r="F652">
        <f>COMPLEX(0,B652*(LINE_INPUT_CLINE+LINE_INPUT_CCHA/2))</f>
        <v>0</v>
      </c>
      <c r="G652">
        <f>IMPRODUCT("2",IMDIV("1",IMSUM(IMDIV("1",COMPLEX(LDM1_DCR,B652*LDM1_L)),COMPLEX(0,B652*LDM1_CPA))))</f>
        <v>0</v>
      </c>
      <c r="H652">
        <f>IMSUM(IMDIV("1",COMPLEX(CX1_ESR,B652*CX1_ESL-1/(B652*CX1_C))),IMDIV("1",IMSUM(COMPLEX(DUMP1_R,0),COMPLEX(DUMP1_ESR,B652*DUMP1_ESL-1/(B652*DUMP1_C)))))</f>
        <v>0</v>
      </c>
      <c r="I652">
        <f>IMPRODUCT("2",IMDIV("1",IMSUM(IMDIV("1",COMPLEX(LDM2_DCR,B652*LDM2_L)),COMPLEX(0,B652*LDM2_CPA))))</f>
        <v>0</v>
      </c>
      <c r="J652">
        <f>IMSUM(IMDIV("1",COMPLEX(CX2_ESR,B652*CX2_ESL-1/(B652*CX2_C))),IMDIV("1",IMSUM(COMPLEX(DUMP2_R,0),COMPLEX(DUMP2_ESR,B652*DUMP2_ESL-1/(B652*DUMP2_C)))))</f>
        <v>0</v>
      </c>
      <c r="K652">
        <f>IMPRODUCT("2",IMDIV("1",IMSUM(IMDIV("1",COMPLEX(CMC_DCR,B652*CMC_L*(1-CMC_K))),COMPLEX(0,B652*CMC_CPA))))</f>
        <v>0</v>
      </c>
      <c r="L652">
        <f>IMSUM(COMPLEX(0,B652*CMC_CLINE),IMDIV("1",IMPRODUCT("2",COMPLEX(CY_ESR,B652*CY_ESL-1/(B652*CY_C)))),COMPLEX(1/DUMMY_R,0))</f>
        <v>0</v>
      </c>
      <c r="M652">
        <f>IMSUM(D652,IMDIV("1",C652))</f>
        <v>0</v>
      </c>
      <c r="N652">
        <f>IMDIV("1",IMSUM(E652,IMDIV("1",M652)))</f>
        <v>0</v>
      </c>
      <c r="O652">
        <f>IMSUM(F652,N652)</f>
        <v>0</v>
      </c>
      <c r="P652">
        <f>IMDIV("1",IMSUM(G652,IMDIV("1",O652)))</f>
        <v>0</v>
      </c>
      <c r="Q652">
        <f>IMSUM(H652,P652)</f>
        <v>0</v>
      </c>
      <c r="R652">
        <f>IMDIV("1",IMSUM(I652,IMDIV("1",Q652)))</f>
        <v>0</v>
      </c>
      <c r="S652">
        <f>IMSUM(J652,R652)</f>
        <v>0</v>
      </c>
      <c r="T652">
        <f>IMDIV("1",IMSUM(K652,IMDIV("1",S652)))</f>
        <v>0</v>
      </c>
      <c r="U652">
        <f>IMSUM(L652,T652)</f>
        <v>0</v>
      </c>
      <c r="V652">
        <f>IMDIV(COMPLEX(I_DM_SOURCE,0),U652)</f>
        <v>0</v>
      </c>
      <c r="W652">
        <f>IMPRODUCT(V652,T652)</f>
        <v>0</v>
      </c>
      <c r="X652">
        <f>IMDIV(W652,S652)</f>
        <v>0</v>
      </c>
      <c r="Y652">
        <f>IMPRODUCT(X652,R652)</f>
        <v>0</v>
      </c>
      <c r="Z652">
        <f>IMDIV(Y652,Q652)</f>
        <v>0</v>
      </c>
      <c r="AA652">
        <f>IMPRODUCT(Z652,P652)</f>
        <v>0</v>
      </c>
      <c r="AB652">
        <f>AA652</f>
        <v>0</v>
      </c>
      <c r="AC652">
        <f>IMPRODUCT("-1",AB652)</f>
        <v>0</v>
      </c>
      <c r="AD652">
        <f>IMDIV(IMSUB(AB652,AC652),"2")</f>
        <v>0</v>
      </c>
      <c r="AE652" s="6">
        <f>IMABS(AB652)</f>
        <v>0</v>
      </c>
      <c r="AF652" s="6">
        <f>IMABS(AC652)</f>
        <v>0</v>
      </c>
      <c r="AG652" s="6">
        <f>IMABS(AD652)</f>
        <v>0</v>
      </c>
      <c r="AH652" s="7">
        <f>20*LOG10(MAX(AE652,1E-300)*1E6)</f>
        <v>0</v>
      </c>
      <c r="AI652" s="7">
        <f>20*LOG10(MAX(AF652,1E-300)*1E6)</f>
        <v>0</v>
      </c>
      <c r="AJ652" s="7">
        <f>20*LOG10(MAX(AG652,1E-300)*1E6)</f>
        <v>0</v>
      </c>
      <c r="AK652" s="7">
        <f>DEGREES(IMARGUMENT(AB652))</f>
        <v>0</v>
      </c>
      <c r="AL652" s="7">
        <f>DEGREES(IMARGUMENT(AC652))</f>
        <v>0</v>
      </c>
      <c r="AM652" s="7">
        <f>DEGREES(IMARGUMENT(AD652))</f>
        <v>0</v>
      </c>
    </row>
    <row r="653" spans="1:39">
      <c r="A653" s="6">
        <f>10^(LOG10(F_START)+(ROW()-ROW($A$2))*(LOG10(F_STOP)-LOG10(F_START))/(N_POINTS-1))</f>
        <v>0</v>
      </c>
      <c r="B653" s="6">
        <f>2*PI()*A653</f>
        <v>0</v>
      </c>
      <c r="C653">
        <f>COMPLEX(2*LINE_PS_DCR,2*B653*LINE_PS_L)</f>
        <v>0</v>
      </c>
      <c r="D653">
        <f>IMSUM(COMPLEX(0,B653*(LINE_PS_CLINE+LINE_PS_CCHA/2)),IMDIV("1",IMPRODUCT("2",COMPLEX(C_THROUGH_ESR,B653*C_THROUGH_ESL-1/(B653*C_THROUGH_C)))))</f>
        <v>0</v>
      </c>
      <c r="E653">
        <f>COMPLEX(2*LINE_INPUT_DCR,2*B653*LINE_INPUT_L)</f>
        <v>0</v>
      </c>
      <c r="F653">
        <f>COMPLEX(0,B653*(LINE_INPUT_CLINE+LINE_INPUT_CCHA/2))</f>
        <v>0</v>
      </c>
      <c r="G653">
        <f>IMPRODUCT("2",IMDIV("1",IMSUM(IMDIV("1",COMPLEX(LDM1_DCR,B653*LDM1_L)),COMPLEX(0,B653*LDM1_CPA))))</f>
        <v>0</v>
      </c>
      <c r="H653">
        <f>IMSUM(IMDIV("1",COMPLEX(CX1_ESR,B653*CX1_ESL-1/(B653*CX1_C))),IMDIV("1",IMSUM(COMPLEX(DUMP1_R,0),COMPLEX(DUMP1_ESR,B653*DUMP1_ESL-1/(B653*DUMP1_C)))))</f>
        <v>0</v>
      </c>
      <c r="I653">
        <f>IMPRODUCT("2",IMDIV("1",IMSUM(IMDIV("1",COMPLEX(LDM2_DCR,B653*LDM2_L)),COMPLEX(0,B653*LDM2_CPA))))</f>
        <v>0</v>
      </c>
      <c r="J653">
        <f>IMSUM(IMDIV("1",COMPLEX(CX2_ESR,B653*CX2_ESL-1/(B653*CX2_C))),IMDIV("1",IMSUM(COMPLEX(DUMP2_R,0),COMPLEX(DUMP2_ESR,B653*DUMP2_ESL-1/(B653*DUMP2_C)))))</f>
        <v>0</v>
      </c>
      <c r="K653">
        <f>IMPRODUCT("2",IMDIV("1",IMSUM(IMDIV("1",COMPLEX(CMC_DCR,B653*CMC_L*(1-CMC_K))),COMPLEX(0,B653*CMC_CPA))))</f>
        <v>0</v>
      </c>
      <c r="L653">
        <f>IMSUM(COMPLEX(0,B653*CMC_CLINE),IMDIV("1",IMPRODUCT("2",COMPLEX(CY_ESR,B653*CY_ESL-1/(B653*CY_C)))),COMPLEX(1/DUMMY_R,0))</f>
        <v>0</v>
      </c>
      <c r="M653">
        <f>IMSUM(D653,IMDIV("1",C653))</f>
        <v>0</v>
      </c>
      <c r="N653">
        <f>IMDIV("1",IMSUM(E653,IMDIV("1",M653)))</f>
        <v>0</v>
      </c>
      <c r="O653">
        <f>IMSUM(F653,N653)</f>
        <v>0</v>
      </c>
      <c r="P653">
        <f>IMDIV("1",IMSUM(G653,IMDIV("1",O653)))</f>
        <v>0</v>
      </c>
      <c r="Q653">
        <f>IMSUM(H653,P653)</f>
        <v>0</v>
      </c>
      <c r="R653">
        <f>IMDIV("1",IMSUM(I653,IMDIV("1",Q653)))</f>
        <v>0</v>
      </c>
      <c r="S653">
        <f>IMSUM(J653,R653)</f>
        <v>0</v>
      </c>
      <c r="T653">
        <f>IMDIV("1",IMSUM(K653,IMDIV("1",S653)))</f>
        <v>0</v>
      </c>
      <c r="U653">
        <f>IMSUM(L653,T653)</f>
        <v>0</v>
      </c>
      <c r="V653">
        <f>IMDIV(COMPLEX(I_DM_SOURCE,0),U653)</f>
        <v>0</v>
      </c>
      <c r="W653">
        <f>IMPRODUCT(V653,T653)</f>
        <v>0</v>
      </c>
      <c r="X653">
        <f>IMDIV(W653,S653)</f>
        <v>0</v>
      </c>
      <c r="Y653">
        <f>IMPRODUCT(X653,R653)</f>
        <v>0</v>
      </c>
      <c r="Z653">
        <f>IMDIV(Y653,Q653)</f>
        <v>0</v>
      </c>
      <c r="AA653">
        <f>IMPRODUCT(Z653,P653)</f>
        <v>0</v>
      </c>
      <c r="AB653">
        <f>AA653</f>
        <v>0</v>
      </c>
      <c r="AC653">
        <f>IMPRODUCT("-1",AB653)</f>
        <v>0</v>
      </c>
      <c r="AD653">
        <f>IMDIV(IMSUB(AB653,AC653),"2")</f>
        <v>0</v>
      </c>
      <c r="AE653" s="6">
        <f>IMABS(AB653)</f>
        <v>0</v>
      </c>
      <c r="AF653" s="6">
        <f>IMABS(AC653)</f>
        <v>0</v>
      </c>
      <c r="AG653" s="6">
        <f>IMABS(AD653)</f>
        <v>0</v>
      </c>
      <c r="AH653" s="7">
        <f>20*LOG10(MAX(AE653,1E-300)*1E6)</f>
        <v>0</v>
      </c>
      <c r="AI653" s="7">
        <f>20*LOG10(MAX(AF653,1E-300)*1E6)</f>
        <v>0</v>
      </c>
      <c r="AJ653" s="7">
        <f>20*LOG10(MAX(AG653,1E-300)*1E6)</f>
        <v>0</v>
      </c>
      <c r="AK653" s="7">
        <f>DEGREES(IMARGUMENT(AB653))</f>
        <v>0</v>
      </c>
      <c r="AL653" s="7">
        <f>DEGREES(IMARGUMENT(AC653))</f>
        <v>0</v>
      </c>
      <c r="AM653" s="7">
        <f>DEGREES(IMARGUMENT(AD653))</f>
        <v>0</v>
      </c>
    </row>
    <row r="654" spans="1:39">
      <c r="A654" s="6">
        <f>10^(LOG10(F_START)+(ROW()-ROW($A$2))*(LOG10(F_STOP)-LOG10(F_START))/(N_POINTS-1))</f>
        <v>0</v>
      </c>
      <c r="B654" s="6">
        <f>2*PI()*A654</f>
        <v>0</v>
      </c>
      <c r="C654">
        <f>COMPLEX(2*LINE_PS_DCR,2*B654*LINE_PS_L)</f>
        <v>0</v>
      </c>
      <c r="D654">
        <f>IMSUM(COMPLEX(0,B654*(LINE_PS_CLINE+LINE_PS_CCHA/2)),IMDIV("1",IMPRODUCT("2",COMPLEX(C_THROUGH_ESR,B654*C_THROUGH_ESL-1/(B654*C_THROUGH_C)))))</f>
        <v>0</v>
      </c>
      <c r="E654">
        <f>COMPLEX(2*LINE_INPUT_DCR,2*B654*LINE_INPUT_L)</f>
        <v>0</v>
      </c>
      <c r="F654">
        <f>COMPLEX(0,B654*(LINE_INPUT_CLINE+LINE_INPUT_CCHA/2))</f>
        <v>0</v>
      </c>
      <c r="G654">
        <f>IMPRODUCT("2",IMDIV("1",IMSUM(IMDIV("1",COMPLEX(LDM1_DCR,B654*LDM1_L)),COMPLEX(0,B654*LDM1_CPA))))</f>
        <v>0</v>
      </c>
      <c r="H654">
        <f>IMSUM(IMDIV("1",COMPLEX(CX1_ESR,B654*CX1_ESL-1/(B654*CX1_C))),IMDIV("1",IMSUM(COMPLEX(DUMP1_R,0),COMPLEX(DUMP1_ESR,B654*DUMP1_ESL-1/(B654*DUMP1_C)))))</f>
        <v>0</v>
      </c>
      <c r="I654">
        <f>IMPRODUCT("2",IMDIV("1",IMSUM(IMDIV("1",COMPLEX(LDM2_DCR,B654*LDM2_L)),COMPLEX(0,B654*LDM2_CPA))))</f>
        <v>0</v>
      </c>
      <c r="J654">
        <f>IMSUM(IMDIV("1",COMPLEX(CX2_ESR,B654*CX2_ESL-1/(B654*CX2_C))),IMDIV("1",IMSUM(COMPLEX(DUMP2_R,0),COMPLEX(DUMP2_ESR,B654*DUMP2_ESL-1/(B654*DUMP2_C)))))</f>
        <v>0</v>
      </c>
      <c r="K654">
        <f>IMPRODUCT("2",IMDIV("1",IMSUM(IMDIV("1",COMPLEX(CMC_DCR,B654*CMC_L*(1-CMC_K))),COMPLEX(0,B654*CMC_CPA))))</f>
        <v>0</v>
      </c>
      <c r="L654">
        <f>IMSUM(COMPLEX(0,B654*CMC_CLINE),IMDIV("1",IMPRODUCT("2",COMPLEX(CY_ESR,B654*CY_ESL-1/(B654*CY_C)))),COMPLEX(1/DUMMY_R,0))</f>
        <v>0</v>
      </c>
      <c r="M654">
        <f>IMSUM(D654,IMDIV("1",C654))</f>
        <v>0</v>
      </c>
      <c r="N654">
        <f>IMDIV("1",IMSUM(E654,IMDIV("1",M654)))</f>
        <v>0</v>
      </c>
      <c r="O654">
        <f>IMSUM(F654,N654)</f>
        <v>0</v>
      </c>
      <c r="P654">
        <f>IMDIV("1",IMSUM(G654,IMDIV("1",O654)))</f>
        <v>0</v>
      </c>
      <c r="Q654">
        <f>IMSUM(H654,P654)</f>
        <v>0</v>
      </c>
      <c r="R654">
        <f>IMDIV("1",IMSUM(I654,IMDIV("1",Q654)))</f>
        <v>0</v>
      </c>
      <c r="S654">
        <f>IMSUM(J654,R654)</f>
        <v>0</v>
      </c>
      <c r="T654">
        <f>IMDIV("1",IMSUM(K654,IMDIV("1",S654)))</f>
        <v>0</v>
      </c>
      <c r="U654">
        <f>IMSUM(L654,T654)</f>
        <v>0</v>
      </c>
      <c r="V654">
        <f>IMDIV(COMPLEX(I_DM_SOURCE,0),U654)</f>
        <v>0</v>
      </c>
      <c r="W654">
        <f>IMPRODUCT(V654,T654)</f>
        <v>0</v>
      </c>
      <c r="X654">
        <f>IMDIV(W654,S654)</f>
        <v>0</v>
      </c>
      <c r="Y654">
        <f>IMPRODUCT(X654,R654)</f>
        <v>0</v>
      </c>
      <c r="Z654">
        <f>IMDIV(Y654,Q654)</f>
        <v>0</v>
      </c>
      <c r="AA654">
        <f>IMPRODUCT(Z654,P654)</f>
        <v>0</v>
      </c>
      <c r="AB654">
        <f>AA654</f>
        <v>0</v>
      </c>
      <c r="AC654">
        <f>IMPRODUCT("-1",AB654)</f>
        <v>0</v>
      </c>
      <c r="AD654">
        <f>IMDIV(IMSUB(AB654,AC654),"2")</f>
        <v>0</v>
      </c>
      <c r="AE654" s="6">
        <f>IMABS(AB654)</f>
        <v>0</v>
      </c>
      <c r="AF654" s="6">
        <f>IMABS(AC654)</f>
        <v>0</v>
      </c>
      <c r="AG654" s="6">
        <f>IMABS(AD654)</f>
        <v>0</v>
      </c>
      <c r="AH654" s="7">
        <f>20*LOG10(MAX(AE654,1E-300)*1E6)</f>
        <v>0</v>
      </c>
      <c r="AI654" s="7">
        <f>20*LOG10(MAX(AF654,1E-300)*1E6)</f>
        <v>0</v>
      </c>
      <c r="AJ654" s="7">
        <f>20*LOG10(MAX(AG654,1E-300)*1E6)</f>
        <v>0</v>
      </c>
      <c r="AK654" s="7">
        <f>DEGREES(IMARGUMENT(AB654))</f>
        <v>0</v>
      </c>
      <c r="AL654" s="7">
        <f>DEGREES(IMARGUMENT(AC654))</f>
        <v>0</v>
      </c>
      <c r="AM654" s="7">
        <f>DEGREES(IMARGUMENT(AD654))</f>
        <v>0</v>
      </c>
    </row>
    <row r="655" spans="1:39">
      <c r="A655" s="6">
        <f>10^(LOG10(F_START)+(ROW()-ROW($A$2))*(LOG10(F_STOP)-LOG10(F_START))/(N_POINTS-1))</f>
        <v>0</v>
      </c>
      <c r="B655" s="6">
        <f>2*PI()*A655</f>
        <v>0</v>
      </c>
      <c r="C655">
        <f>COMPLEX(2*LINE_PS_DCR,2*B655*LINE_PS_L)</f>
        <v>0</v>
      </c>
      <c r="D655">
        <f>IMSUM(COMPLEX(0,B655*(LINE_PS_CLINE+LINE_PS_CCHA/2)),IMDIV("1",IMPRODUCT("2",COMPLEX(C_THROUGH_ESR,B655*C_THROUGH_ESL-1/(B655*C_THROUGH_C)))))</f>
        <v>0</v>
      </c>
      <c r="E655">
        <f>COMPLEX(2*LINE_INPUT_DCR,2*B655*LINE_INPUT_L)</f>
        <v>0</v>
      </c>
      <c r="F655">
        <f>COMPLEX(0,B655*(LINE_INPUT_CLINE+LINE_INPUT_CCHA/2))</f>
        <v>0</v>
      </c>
      <c r="G655">
        <f>IMPRODUCT("2",IMDIV("1",IMSUM(IMDIV("1",COMPLEX(LDM1_DCR,B655*LDM1_L)),COMPLEX(0,B655*LDM1_CPA))))</f>
        <v>0</v>
      </c>
      <c r="H655">
        <f>IMSUM(IMDIV("1",COMPLEX(CX1_ESR,B655*CX1_ESL-1/(B655*CX1_C))),IMDIV("1",IMSUM(COMPLEX(DUMP1_R,0),COMPLEX(DUMP1_ESR,B655*DUMP1_ESL-1/(B655*DUMP1_C)))))</f>
        <v>0</v>
      </c>
      <c r="I655">
        <f>IMPRODUCT("2",IMDIV("1",IMSUM(IMDIV("1",COMPLEX(LDM2_DCR,B655*LDM2_L)),COMPLEX(0,B655*LDM2_CPA))))</f>
        <v>0</v>
      </c>
      <c r="J655">
        <f>IMSUM(IMDIV("1",COMPLEX(CX2_ESR,B655*CX2_ESL-1/(B655*CX2_C))),IMDIV("1",IMSUM(COMPLEX(DUMP2_R,0),COMPLEX(DUMP2_ESR,B655*DUMP2_ESL-1/(B655*DUMP2_C)))))</f>
        <v>0</v>
      </c>
      <c r="K655">
        <f>IMPRODUCT("2",IMDIV("1",IMSUM(IMDIV("1",COMPLEX(CMC_DCR,B655*CMC_L*(1-CMC_K))),COMPLEX(0,B655*CMC_CPA))))</f>
        <v>0</v>
      </c>
      <c r="L655">
        <f>IMSUM(COMPLEX(0,B655*CMC_CLINE),IMDIV("1",IMPRODUCT("2",COMPLEX(CY_ESR,B655*CY_ESL-1/(B655*CY_C)))),COMPLEX(1/DUMMY_R,0))</f>
        <v>0</v>
      </c>
      <c r="M655">
        <f>IMSUM(D655,IMDIV("1",C655))</f>
        <v>0</v>
      </c>
      <c r="N655">
        <f>IMDIV("1",IMSUM(E655,IMDIV("1",M655)))</f>
        <v>0</v>
      </c>
      <c r="O655">
        <f>IMSUM(F655,N655)</f>
        <v>0</v>
      </c>
      <c r="P655">
        <f>IMDIV("1",IMSUM(G655,IMDIV("1",O655)))</f>
        <v>0</v>
      </c>
      <c r="Q655">
        <f>IMSUM(H655,P655)</f>
        <v>0</v>
      </c>
      <c r="R655">
        <f>IMDIV("1",IMSUM(I655,IMDIV("1",Q655)))</f>
        <v>0</v>
      </c>
      <c r="S655">
        <f>IMSUM(J655,R655)</f>
        <v>0</v>
      </c>
      <c r="T655">
        <f>IMDIV("1",IMSUM(K655,IMDIV("1",S655)))</f>
        <v>0</v>
      </c>
      <c r="U655">
        <f>IMSUM(L655,T655)</f>
        <v>0</v>
      </c>
      <c r="V655">
        <f>IMDIV(COMPLEX(I_DM_SOURCE,0),U655)</f>
        <v>0</v>
      </c>
      <c r="W655">
        <f>IMPRODUCT(V655,T655)</f>
        <v>0</v>
      </c>
      <c r="X655">
        <f>IMDIV(W655,S655)</f>
        <v>0</v>
      </c>
      <c r="Y655">
        <f>IMPRODUCT(X655,R655)</f>
        <v>0</v>
      </c>
      <c r="Z655">
        <f>IMDIV(Y655,Q655)</f>
        <v>0</v>
      </c>
      <c r="AA655">
        <f>IMPRODUCT(Z655,P655)</f>
        <v>0</v>
      </c>
      <c r="AB655">
        <f>AA655</f>
        <v>0</v>
      </c>
      <c r="AC655">
        <f>IMPRODUCT("-1",AB655)</f>
        <v>0</v>
      </c>
      <c r="AD655">
        <f>IMDIV(IMSUB(AB655,AC655),"2")</f>
        <v>0</v>
      </c>
      <c r="AE655" s="6">
        <f>IMABS(AB655)</f>
        <v>0</v>
      </c>
      <c r="AF655" s="6">
        <f>IMABS(AC655)</f>
        <v>0</v>
      </c>
      <c r="AG655" s="6">
        <f>IMABS(AD655)</f>
        <v>0</v>
      </c>
      <c r="AH655" s="7">
        <f>20*LOG10(MAX(AE655,1E-300)*1E6)</f>
        <v>0</v>
      </c>
      <c r="AI655" s="7">
        <f>20*LOG10(MAX(AF655,1E-300)*1E6)</f>
        <v>0</v>
      </c>
      <c r="AJ655" s="7">
        <f>20*LOG10(MAX(AG655,1E-300)*1E6)</f>
        <v>0</v>
      </c>
      <c r="AK655" s="7">
        <f>DEGREES(IMARGUMENT(AB655))</f>
        <v>0</v>
      </c>
      <c r="AL655" s="7">
        <f>DEGREES(IMARGUMENT(AC655))</f>
        <v>0</v>
      </c>
      <c r="AM655" s="7">
        <f>DEGREES(IMARGUMENT(AD655))</f>
        <v>0</v>
      </c>
    </row>
    <row r="656" spans="1:39">
      <c r="A656" s="6">
        <f>10^(LOG10(F_START)+(ROW()-ROW($A$2))*(LOG10(F_STOP)-LOG10(F_START))/(N_POINTS-1))</f>
        <v>0</v>
      </c>
      <c r="B656" s="6">
        <f>2*PI()*A656</f>
        <v>0</v>
      </c>
      <c r="C656">
        <f>COMPLEX(2*LINE_PS_DCR,2*B656*LINE_PS_L)</f>
        <v>0</v>
      </c>
      <c r="D656">
        <f>IMSUM(COMPLEX(0,B656*(LINE_PS_CLINE+LINE_PS_CCHA/2)),IMDIV("1",IMPRODUCT("2",COMPLEX(C_THROUGH_ESR,B656*C_THROUGH_ESL-1/(B656*C_THROUGH_C)))))</f>
        <v>0</v>
      </c>
      <c r="E656">
        <f>COMPLEX(2*LINE_INPUT_DCR,2*B656*LINE_INPUT_L)</f>
        <v>0</v>
      </c>
      <c r="F656">
        <f>COMPLEX(0,B656*(LINE_INPUT_CLINE+LINE_INPUT_CCHA/2))</f>
        <v>0</v>
      </c>
      <c r="G656">
        <f>IMPRODUCT("2",IMDIV("1",IMSUM(IMDIV("1",COMPLEX(LDM1_DCR,B656*LDM1_L)),COMPLEX(0,B656*LDM1_CPA))))</f>
        <v>0</v>
      </c>
      <c r="H656">
        <f>IMSUM(IMDIV("1",COMPLEX(CX1_ESR,B656*CX1_ESL-1/(B656*CX1_C))),IMDIV("1",IMSUM(COMPLEX(DUMP1_R,0),COMPLEX(DUMP1_ESR,B656*DUMP1_ESL-1/(B656*DUMP1_C)))))</f>
        <v>0</v>
      </c>
      <c r="I656">
        <f>IMPRODUCT("2",IMDIV("1",IMSUM(IMDIV("1",COMPLEX(LDM2_DCR,B656*LDM2_L)),COMPLEX(0,B656*LDM2_CPA))))</f>
        <v>0</v>
      </c>
      <c r="J656">
        <f>IMSUM(IMDIV("1",COMPLEX(CX2_ESR,B656*CX2_ESL-1/(B656*CX2_C))),IMDIV("1",IMSUM(COMPLEX(DUMP2_R,0),COMPLEX(DUMP2_ESR,B656*DUMP2_ESL-1/(B656*DUMP2_C)))))</f>
        <v>0</v>
      </c>
      <c r="K656">
        <f>IMPRODUCT("2",IMDIV("1",IMSUM(IMDIV("1",COMPLEX(CMC_DCR,B656*CMC_L*(1-CMC_K))),COMPLEX(0,B656*CMC_CPA))))</f>
        <v>0</v>
      </c>
      <c r="L656">
        <f>IMSUM(COMPLEX(0,B656*CMC_CLINE),IMDIV("1",IMPRODUCT("2",COMPLEX(CY_ESR,B656*CY_ESL-1/(B656*CY_C)))),COMPLEX(1/DUMMY_R,0))</f>
        <v>0</v>
      </c>
      <c r="M656">
        <f>IMSUM(D656,IMDIV("1",C656))</f>
        <v>0</v>
      </c>
      <c r="N656">
        <f>IMDIV("1",IMSUM(E656,IMDIV("1",M656)))</f>
        <v>0</v>
      </c>
      <c r="O656">
        <f>IMSUM(F656,N656)</f>
        <v>0</v>
      </c>
      <c r="P656">
        <f>IMDIV("1",IMSUM(G656,IMDIV("1",O656)))</f>
        <v>0</v>
      </c>
      <c r="Q656">
        <f>IMSUM(H656,P656)</f>
        <v>0</v>
      </c>
      <c r="R656">
        <f>IMDIV("1",IMSUM(I656,IMDIV("1",Q656)))</f>
        <v>0</v>
      </c>
      <c r="S656">
        <f>IMSUM(J656,R656)</f>
        <v>0</v>
      </c>
      <c r="T656">
        <f>IMDIV("1",IMSUM(K656,IMDIV("1",S656)))</f>
        <v>0</v>
      </c>
      <c r="U656">
        <f>IMSUM(L656,T656)</f>
        <v>0</v>
      </c>
      <c r="V656">
        <f>IMDIV(COMPLEX(I_DM_SOURCE,0),U656)</f>
        <v>0</v>
      </c>
      <c r="W656">
        <f>IMPRODUCT(V656,T656)</f>
        <v>0</v>
      </c>
      <c r="X656">
        <f>IMDIV(W656,S656)</f>
        <v>0</v>
      </c>
      <c r="Y656">
        <f>IMPRODUCT(X656,R656)</f>
        <v>0</v>
      </c>
      <c r="Z656">
        <f>IMDIV(Y656,Q656)</f>
        <v>0</v>
      </c>
      <c r="AA656">
        <f>IMPRODUCT(Z656,P656)</f>
        <v>0</v>
      </c>
      <c r="AB656">
        <f>AA656</f>
        <v>0</v>
      </c>
      <c r="AC656">
        <f>IMPRODUCT("-1",AB656)</f>
        <v>0</v>
      </c>
      <c r="AD656">
        <f>IMDIV(IMSUB(AB656,AC656),"2")</f>
        <v>0</v>
      </c>
      <c r="AE656" s="6">
        <f>IMABS(AB656)</f>
        <v>0</v>
      </c>
      <c r="AF656" s="6">
        <f>IMABS(AC656)</f>
        <v>0</v>
      </c>
      <c r="AG656" s="6">
        <f>IMABS(AD656)</f>
        <v>0</v>
      </c>
      <c r="AH656" s="7">
        <f>20*LOG10(MAX(AE656,1E-300)*1E6)</f>
        <v>0</v>
      </c>
      <c r="AI656" s="7">
        <f>20*LOG10(MAX(AF656,1E-300)*1E6)</f>
        <v>0</v>
      </c>
      <c r="AJ656" s="7">
        <f>20*LOG10(MAX(AG656,1E-300)*1E6)</f>
        <v>0</v>
      </c>
      <c r="AK656" s="7">
        <f>DEGREES(IMARGUMENT(AB656))</f>
        <v>0</v>
      </c>
      <c r="AL656" s="7">
        <f>DEGREES(IMARGUMENT(AC656))</f>
        <v>0</v>
      </c>
      <c r="AM656" s="7">
        <f>DEGREES(IMARGUMENT(AD656))</f>
        <v>0</v>
      </c>
    </row>
    <row r="657" spans="1:39">
      <c r="A657" s="6">
        <f>10^(LOG10(F_START)+(ROW()-ROW($A$2))*(LOG10(F_STOP)-LOG10(F_START))/(N_POINTS-1))</f>
        <v>0</v>
      </c>
      <c r="B657" s="6">
        <f>2*PI()*A657</f>
        <v>0</v>
      </c>
      <c r="C657">
        <f>COMPLEX(2*LINE_PS_DCR,2*B657*LINE_PS_L)</f>
        <v>0</v>
      </c>
      <c r="D657">
        <f>IMSUM(COMPLEX(0,B657*(LINE_PS_CLINE+LINE_PS_CCHA/2)),IMDIV("1",IMPRODUCT("2",COMPLEX(C_THROUGH_ESR,B657*C_THROUGH_ESL-1/(B657*C_THROUGH_C)))))</f>
        <v>0</v>
      </c>
      <c r="E657">
        <f>COMPLEX(2*LINE_INPUT_DCR,2*B657*LINE_INPUT_L)</f>
        <v>0</v>
      </c>
      <c r="F657">
        <f>COMPLEX(0,B657*(LINE_INPUT_CLINE+LINE_INPUT_CCHA/2))</f>
        <v>0</v>
      </c>
      <c r="G657">
        <f>IMPRODUCT("2",IMDIV("1",IMSUM(IMDIV("1",COMPLEX(LDM1_DCR,B657*LDM1_L)),COMPLEX(0,B657*LDM1_CPA))))</f>
        <v>0</v>
      </c>
      <c r="H657">
        <f>IMSUM(IMDIV("1",COMPLEX(CX1_ESR,B657*CX1_ESL-1/(B657*CX1_C))),IMDIV("1",IMSUM(COMPLEX(DUMP1_R,0),COMPLEX(DUMP1_ESR,B657*DUMP1_ESL-1/(B657*DUMP1_C)))))</f>
        <v>0</v>
      </c>
      <c r="I657">
        <f>IMPRODUCT("2",IMDIV("1",IMSUM(IMDIV("1",COMPLEX(LDM2_DCR,B657*LDM2_L)),COMPLEX(0,B657*LDM2_CPA))))</f>
        <v>0</v>
      </c>
      <c r="J657">
        <f>IMSUM(IMDIV("1",COMPLEX(CX2_ESR,B657*CX2_ESL-1/(B657*CX2_C))),IMDIV("1",IMSUM(COMPLEX(DUMP2_R,0),COMPLEX(DUMP2_ESR,B657*DUMP2_ESL-1/(B657*DUMP2_C)))))</f>
        <v>0</v>
      </c>
      <c r="K657">
        <f>IMPRODUCT("2",IMDIV("1",IMSUM(IMDIV("1",COMPLEX(CMC_DCR,B657*CMC_L*(1-CMC_K))),COMPLEX(0,B657*CMC_CPA))))</f>
        <v>0</v>
      </c>
      <c r="L657">
        <f>IMSUM(COMPLEX(0,B657*CMC_CLINE),IMDIV("1",IMPRODUCT("2",COMPLEX(CY_ESR,B657*CY_ESL-1/(B657*CY_C)))),COMPLEX(1/DUMMY_R,0))</f>
        <v>0</v>
      </c>
      <c r="M657">
        <f>IMSUM(D657,IMDIV("1",C657))</f>
        <v>0</v>
      </c>
      <c r="N657">
        <f>IMDIV("1",IMSUM(E657,IMDIV("1",M657)))</f>
        <v>0</v>
      </c>
      <c r="O657">
        <f>IMSUM(F657,N657)</f>
        <v>0</v>
      </c>
      <c r="P657">
        <f>IMDIV("1",IMSUM(G657,IMDIV("1",O657)))</f>
        <v>0</v>
      </c>
      <c r="Q657">
        <f>IMSUM(H657,P657)</f>
        <v>0</v>
      </c>
      <c r="R657">
        <f>IMDIV("1",IMSUM(I657,IMDIV("1",Q657)))</f>
        <v>0</v>
      </c>
      <c r="S657">
        <f>IMSUM(J657,R657)</f>
        <v>0</v>
      </c>
      <c r="T657">
        <f>IMDIV("1",IMSUM(K657,IMDIV("1",S657)))</f>
        <v>0</v>
      </c>
      <c r="U657">
        <f>IMSUM(L657,T657)</f>
        <v>0</v>
      </c>
      <c r="V657">
        <f>IMDIV(COMPLEX(I_DM_SOURCE,0),U657)</f>
        <v>0</v>
      </c>
      <c r="W657">
        <f>IMPRODUCT(V657,T657)</f>
        <v>0</v>
      </c>
      <c r="X657">
        <f>IMDIV(W657,S657)</f>
        <v>0</v>
      </c>
      <c r="Y657">
        <f>IMPRODUCT(X657,R657)</f>
        <v>0</v>
      </c>
      <c r="Z657">
        <f>IMDIV(Y657,Q657)</f>
        <v>0</v>
      </c>
      <c r="AA657">
        <f>IMPRODUCT(Z657,P657)</f>
        <v>0</v>
      </c>
      <c r="AB657">
        <f>AA657</f>
        <v>0</v>
      </c>
      <c r="AC657">
        <f>IMPRODUCT("-1",AB657)</f>
        <v>0</v>
      </c>
      <c r="AD657">
        <f>IMDIV(IMSUB(AB657,AC657),"2")</f>
        <v>0</v>
      </c>
      <c r="AE657" s="6">
        <f>IMABS(AB657)</f>
        <v>0</v>
      </c>
      <c r="AF657" s="6">
        <f>IMABS(AC657)</f>
        <v>0</v>
      </c>
      <c r="AG657" s="6">
        <f>IMABS(AD657)</f>
        <v>0</v>
      </c>
      <c r="AH657" s="7">
        <f>20*LOG10(MAX(AE657,1E-300)*1E6)</f>
        <v>0</v>
      </c>
      <c r="AI657" s="7">
        <f>20*LOG10(MAX(AF657,1E-300)*1E6)</f>
        <v>0</v>
      </c>
      <c r="AJ657" s="7">
        <f>20*LOG10(MAX(AG657,1E-300)*1E6)</f>
        <v>0</v>
      </c>
      <c r="AK657" s="7">
        <f>DEGREES(IMARGUMENT(AB657))</f>
        <v>0</v>
      </c>
      <c r="AL657" s="7">
        <f>DEGREES(IMARGUMENT(AC657))</f>
        <v>0</v>
      </c>
      <c r="AM657" s="7">
        <f>DEGREES(IMARGUMENT(AD657))</f>
        <v>0</v>
      </c>
    </row>
    <row r="658" spans="1:39">
      <c r="A658" s="6">
        <f>10^(LOG10(F_START)+(ROW()-ROW($A$2))*(LOG10(F_STOP)-LOG10(F_START))/(N_POINTS-1))</f>
        <v>0</v>
      </c>
      <c r="B658" s="6">
        <f>2*PI()*A658</f>
        <v>0</v>
      </c>
      <c r="C658">
        <f>COMPLEX(2*LINE_PS_DCR,2*B658*LINE_PS_L)</f>
        <v>0</v>
      </c>
      <c r="D658">
        <f>IMSUM(COMPLEX(0,B658*(LINE_PS_CLINE+LINE_PS_CCHA/2)),IMDIV("1",IMPRODUCT("2",COMPLEX(C_THROUGH_ESR,B658*C_THROUGH_ESL-1/(B658*C_THROUGH_C)))))</f>
        <v>0</v>
      </c>
      <c r="E658">
        <f>COMPLEX(2*LINE_INPUT_DCR,2*B658*LINE_INPUT_L)</f>
        <v>0</v>
      </c>
      <c r="F658">
        <f>COMPLEX(0,B658*(LINE_INPUT_CLINE+LINE_INPUT_CCHA/2))</f>
        <v>0</v>
      </c>
      <c r="G658">
        <f>IMPRODUCT("2",IMDIV("1",IMSUM(IMDIV("1",COMPLEX(LDM1_DCR,B658*LDM1_L)),COMPLEX(0,B658*LDM1_CPA))))</f>
        <v>0</v>
      </c>
      <c r="H658">
        <f>IMSUM(IMDIV("1",COMPLEX(CX1_ESR,B658*CX1_ESL-1/(B658*CX1_C))),IMDIV("1",IMSUM(COMPLEX(DUMP1_R,0),COMPLEX(DUMP1_ESR,B658*DUMP1_ESL-1/(B658*DUMP1_C)))))</f>
        <v>0</v>
      </c>
      <c r="I658">
        <f>IMPRODUCT("2",IMDIV("1",IMSUM(IMDIV("1",COMPLEX(LDM2_DCR,B658*LDM2_L)),COMPLEX(0,B658*LDM2_CPA))))</f>
        <v>0</v>
      </c>
      <c r="J658">
        <f>IMSUM(IMDIV("1",COMPLEX(CX2_ESR,B658*CX2_ESL-1/(B658*CX2_C))),IMDIV("1",IMSUM(COMPLEX(DUMP2_R,0),COMPLEX(DUMP2_ESR,B658*DUMP2_ESL-1/(B658*DUMP2_C)))))</f>
        <v>0</v>
      </c>
      <c r="K658">
        <f>IMPRODUCT("2",IMDIV("1",IMSUM(IMDIV("1",COMPLEX(CMC_DCR,B658*CMC_L*(1-CMC_K))),COMPLEX(0,B658*CMC_CPA))))</f>
        <v>0</v>
      </c>
      <c r="L658">
        <f>IMSUM(COMPLEX(0,B658*CMC_CLINE),IMDIV("1",IMPRODUCT("2",COMPLEX(CY_ESR,B658*CY_ESL-1/(B658*CY_C)))),COMPLEX(1/DUMMY_R,0))</f>
        <v>0</v>
      </c>
      <c r="M658">
        <f>IMSUM(D658,IMDIV("1",C658))</f>
        <v>0</v>
      </c>
      <c r="N658">
        <f>IMDIV("1",IMSUM(E658,IMDIV("1",M658)))</f>
        <v>0</v>
      </c>
      <c r="O658">
        <f>IMSUM(F658,N658)</f>
        <v>0</v>
      </c>
      <c r="P658">
        <f>IMDIV("1",IMSUM(G658,IMDIV("1",O658)))</f>
        <v>0</v>
      </c>
      <c r="Q658">
        <f>IMSUM(H658,P658)</f>
        <v>0</v>
      </c>
      <c r="R658">
        <f>IMDIV("1",IMSUM(I658,IMDIV("1",Q658)))</f>
        <v>0</v>
      </c>
      <c r="S658">
        <f>IMSUM(J658,R658)</f>
        <v>0</v>
      </c>
      <c r="T658">
        <f>IMDIV("1",IMSUM(K658,IMDIV("1",S658)))</f>
        <v>0</v>
      </c>
      <c r="U658">
        <f>IMSUM(L658,T658)</f>
        <v>0</v>
      </c>
      <c r="V658">
        <f>IMDIV(COMPLEX(I_DM_SOURCE,0),U658)</f>
        <v>0</v>
      </c>
      <c r="W658">
        <f>IMPRODUCT(V658,T658)</f>
        <v>0</v>
      </c>
      <c r="X658">
        <f>IMDIV(W658,S658)</f>
        <v>0</v>
      </c>
      <c r="Y658">
        <f>IMPRODUCT(X658,R658)</f>
        <v>0</v>
      </c>
      <c r="Z658">
        <f>IMDIV(Y658,Q658)</f>
        <v>0</v>
      </c>
      <c r="AA658">
        <f>IMPRODUCT(Z658,P658)</f>
        <v>0</v>
      </c>
      <c r="AB658">
        <f>AA658</f>
        <v>0</v>
      </c>
      <c r="AC658">
        <f>IMPRODUCT("-1",AB658)</f>
        <v>0</v>
      </c>
      <c r="AD658">
        <f>IMDIV(IMSUB(AB658,AC658),"2")</f>
        <v>0</v>
      </c>
      <c r="AE658" s="6">
        <f>IMABS(AB658)</f>
        <v>0</v>
      </c>
      <c r="AF658" s="6">
        <f>IMABS(AC658)</f>
        <v>0</v>
      </c>
      <c r="AG658" s="6">
        <f>IMABS(AD658)</f>
        <v>0</v>
      </c>
      <c r="AH658" s="7">
        <f>20*LOG10(MAX(AE658,1E-300)*1E6)</f>
        <v>0</v>
      </c>
      <c r="AI658" s="7">
        <f>20*LOG10(MAX(AF658,1E-300)*1E6)</f>
        <v>0</v>
      </c>
      <c r="AJ658" s="7">
        <f>20*LOG10(MAX(AG658,1E-300)*1E6)</f>
        <v>0</v>
      </c>
      <c r="AK658" s="7">
        <f>DEGREES(IMARGUMENT(AB658))</f>
        <v>0</v>
      </c>
      <c r="AL658" s="7">
        <f>DEGREES(IMARGUMENT(AC658))</f>
        <v>0</v>
      </c>
      <c r="AM658" s="7">
        <f>DEGREES(IMARGUMENT(AD658))</f>
        <v>0</v>
      </c>
    </row>
    <row r="659" spans="1:39">
      <c r="A659" s="6">
        <f>10^(LOG10(F_START)+(ROW()-ROW($A$2))*(LOG10(F_STOP)-LOG10(F_START))/(N_POINTS-1))</f>
        <v>0</v>
      </c>
      <c r="B659" s="6">
        <f>2*PI()*A659</f>
        <v>0</v>
      </c>
      <c r="C659">
        <f>COMPLEX(2*LINE_PS_DCR,2*B659*LINE_PS_L)</f>
        <v>0</v>
      </c>
      <c r="D659">
        <f>IMSUM(COMPLEX(0,B659*(LINE_PS_CLINE+LINE_PS_CCHA/2)),IMDIV("1",IMPRODUCT("2",COMPLEX(C_THROUGH_ESR,B659*C_THROUGH_ESL-1/(B659*C_THROUGH_C)))))</f>
        <v>0</v>
      </c>
      <c r="E659">
        <f>COMPLEX(2*LINE_INPUT_DCR,2*B659*LINE_INPUT_L)</f>
        <v>0</v>
      </c>
      <c r="F659">
        <f>COMPLEX(0,B659*(LINE_INPUT_CLINE+LINE_INPUT_CCHA/2))</f>
        <v>0</v>
      </c>
      <c r="G659">
        <f>IMPRODUCT("2",IMDIV("1",IMSUM(IMDIV("1",COMPLEX(LDM1_DCR,B659*LDM1_L)),COMPLEX(0,B659*LDM1_CPA))))</f>
        <v>0</v>
      </c>
      <c r="H659">
        <f>IMSUM(IMDIV("1",COMPLEX(CX1_ESR,B659*CX1_ESL-1/(B659*CX1_C))),IMDIV("1",IMSUM(COMPLEX(DUMP1_R,0),COMPLEX(DUMP1_ESR,B659*DUMP1_ESL-1/(B659*DUMP1_C)))))</f>
        <v>0</v>
      </c>
      <c r="I659">
        <f>IMPRODUCT("2",IMDIV("1",IMSUM(IMDIV("1",COMPLEX(LDM2_DCR,B659*LDM2_L)),COMPLEX(0,B659*LDM2_CPA))))</f>
        <v>0</v>
      </c>
      <c r="J659">
        <f>IMSUM(IMDIV("1",COMPLEX(CX2_ESR,B659*CX2_ESL-1/(B659*CX2_C))),IMDIV("1",IMSUM(COMPLEX(DUMP2_R,0),COMPLEX(DUMP2_ESR,B659*DUMP2_ESL-1/(B659*DUMP2_C)))))</f>
        <v>0</v>
      </c>
      <c r="K659">
        <f>IMPRODUCT("2",IMDIV("1",IMSUM(IMDIV("1",COMPLEX(CMC_DCR,B659*CMC_L*(1-CMC_K))),COMPLEX(0,B659*CMC_CPA))))</f>
        <v>0</v>
      </c>
      <c r="L659">
        <f>IMSUM(COMPLEX(0,B659*CMC_CLINE),IMDIV("1",IMPRODUCT("2",COMPLEX(CY_ESR,B659*CY_ESL-1/(B659*CY_C)))),COMPLEX(1/DUMMY_R,0))</f>
        <v>0</v>
      </c>
      <c r="M659">
        <f>IMSUM(D659,IMDIV("1",C659))</f>
        <v>0</v>
      </c>
      <c r="N659">
        <f>IMDIV("1",IMSUM(E659,IMDIV("1",M659)))</f>
        <v>0</v>
      </c>
      <c r="O659">
        <f>IMSUM(F659,N659)</f>
        <v>0</v>
      </c>
      <c r="P659">
        <f>IMDIV("1",IMSUM(G659,IMDIV("1",O659)))</f>
        <v>0</v>
      </c>
      <c r="Q659">
        <f>IMSUM(H659,P659)</f>
        <v>0</v>
      </c>
      <c r="R659">
        <f>IMDIV("1",IMSUM(I659,IMDIV("1",Q659)))</f>
        <v>0</v>
      </c>
      <c r="S659">
        <f>IMSUM(J659,R659)</f>
        <v>0</v>
      </c>
      <c r="T659">
        <f>IMDIV("1",IMSUM(K659,IMDIV("1",S659)))</f>
        <v>0</v>
      </c>
      <c r="U659">
        <f>IMSUM(L659,T659)</f>
        <v>0</v>
      </c>
      <c r="V659">
        <f>IMDIV(COMPLEX(I_DM_SOURCE,0),U659)</f>
        <v>0</v>
      </c>
      <c r="W659">
        <f>IMPRODUCT(V659,T659)</f>
        <v>0</v>
      </c>
      <c r="X659">
        <f>IMDIV(W659,S659)</f>
        <v>0</v>
      </c>
      <c r="Y659">
        <f>IMPRODUCT(X659,R659)</f>
        <v>0</v>
      </c>
      <c r="Z659">
        <f>IMDIV(Y659,Q659)</f>
        <v>0</v>
      </c>
      <c r="AA659">
        <f>IMPRODUCT(Z659,P659)</f>
        <v>0</v>
      </c>
      <c r="AB659">
        <f>AA659</f>
        <v>0</v>
      </c>
      <c r="AC659">
        <f>IMPRODUCT("-1",AB659)</f>
        <v>0</v>
      </c>
      <c r="AD659">
        <f>IMDIV(IMSUB(AB659,AC659),"2")</f>
        <v>0</v>
      </c>
      <c r="AE659" s="6">
        <f>IMABS(AB659)</f>
        <v>0</v>
      </c>
      <c r="AF659" s="6">
        <f>IMABS(AC659)</f>
        <v>0</v>
      </c>
      <c r="AG659" s="6">
        <f>IMABS(AD659)</f>
        <v>0</v>
      </c>
      <c r="AH659" s="7">
        <f>20*LOG10(MAX(AE659,1E-300)*1E6)</f>
        <v>0</v>
      </c>
      <c r="AI659" s="7">
        <f>20*LOG10(MAX(AF659,1E-300)*1E6)</f>
        <v>0</v>
      </c>
      <c r="AJ659" s="7">
        <f>20*LOG10(MAX(AG659,1E-300)*1E6)</f>
        <v>0</v>
      </c>
      <c r="AK659" s="7">
        <f>DEGREES(IMARGUMENT(AB659))</f>
        <v>0</v>
      </c>
      <c r="AL659" s="7">
        <f>DEGREES(IMARGUMENT(AC659))</f>
        <v>0</v>
      </c>
      <c r="AM659" s="7">
        <f>DEGREES(IMARGUMENT(AD659))</f>
        <v>0</v>
      </c>
    </row>
    <row r="660" spans="1:39">
      <c r="A660" s="6">
        <f>10^(LOG10(F_START)+(ROW()-ROW($A$2))*(LOG10(F_STOP)-LOG10(F_START))/(N_POINTS-1))</f>
        <v>0</v>
      </c>
      <c r="B660" s="6">
        <f>2*PI()*A660</f>
        <v>0</v>
      </c>
      <c r="C660">
        <f>COMPLEX(2*LINE_PS_DCR,2*B660*LINE_PS_L)</f>
        <v>0</v>
      </c>
      <c r="D660">
        <f>IMSUM(COMPLEX(0,B660*(LINE_PS_CLINE+LINE_PS_CCHA/2)),IMDIV("1",IMPRODUCT("2",COMPLEX(C_THROUGH_ESR,B660*C_THROUGH_ESL-1/(B660*C_THROUGH_C)))))</f>
        <v>0</v>
      </c>
      <c r="E660">
        <f>COMPLEX(2*LINE_INPUT_DCR,2*B660*LINE_INPUT_L)</f>
        <v>0</v>
      </c>
      <c r="F660">
        <f>COMPLEX(0,B660*(LINE_INPUT_CLINE+LINE_INPUT_CCHA/2))</f>
        <v>0</v>
      </c>
      <c r="G660">
        <f>IMPRODUCT("2",IMDIV("1",IMSUM(IMDIV("1",COMPLEX(LDM1_DCR,B660*LDM1_L)),COMPLEX(0,B660*LDM1_CPA))))</f>
        <v>0</v>
      </c>
      <c r="H660">
        <f>IMSUM(IMDIV("1",COMPLEX(CX1_ESR,B660*CX1_ESL-1/(B660*CX1_C))),IMDIV("1",IMSUM(COMPLEX(DUMP1_R,0),COMPLEX(DUMP1_ESR,B660*DUMP1_ESL-1/(B660*DUMP1_C)))))</f>
        <v>0</v>
      </c>
      <c r="I660">
        <f>IMPRODUCT("2",IMDIV("1",IMSUM(IMDIV("1",COMPLEX(LDM2_DCR,B660*LDM2_L)),COMPLEX(0,B660*LDM2_CPA))))</f>
        <v>0</v>
      </c>
      <c r="J660">
        <f>IMSUM(IMDIV("1",COMPLEX(CX2_ESR,B660*CX2_ESL-1/(B660*CX2_C))),IMDIV("1",IMSUM(COMPLEX(DUMP2_R,0),COMPLEX(DUMP2_ESR,B660*DUMP2_ESL-1/(B660*DUMP2_C)))))</f>
        <v>0</v>
      </c>
      <c r="K660">
        <f>IMPRODUCT("2",IMDIV("1",IMSUM(IMDIV("1",COMPLEX(CMC_DCR,B660*CMC_L*(1-CMC_K))),COMPLEX(0,B660*CMC_CPA))))</f>
        <v>0</v>
      </c>
      <c r="L660">
        <f>IMSUM(COMPLEX(0,B660*CMC_CLINE),IMDIV("1",IMPRODUCT("2",COMPLEX(CY_ESR,B660*CY_ESL-1/(B660*CY_C)))),COMPLEX(1/DUMMY_R,0))</f>
        <v>0</v>
      </c>
      <c r="M660">
        <f>IMSUM(D660,IMDIV("1",C660))</f>
        <v>0</v>
      </c>
      <c r="N660">
        <f>IMDIV("1",IMSUM(E660,IMDIV("1",M660)))</f>
        <v>0</v>
      </c>
      <c r="O660">
        <f>IMSUM(F660,N660)</f>
        <v>0</v>
      </c>
      <c r="P660">
        <f>IMDIV("1",IMSUM(G660,IMDIV("1",O660)))</f>
        <v>0</v>
      </c>
      <c r="Q660">
        <f>IMSUM(H660,P660)</f>
        <v>0</v>
      </c>
      <c r="R660">
        <f>IMDIV("1",IMSUM(I660,IMDIV("1",Q660)))</f>
        <v>0</v>
      </c>
      <c r="S660">
        <f>IMSUM(J660,R660)</f>
        <v>0</v>
      </c>
      <c r="T660">
        <f>IMDIV("1",IMSUM(K660,IMDIV("1",S660)))</f>
        <v>0</v>
      </c>
      <c r="U660">
        <f>IMSUM(L660,T660)</f>
        <v>0</v>
      </c>
      <c r="V660">
        <f>IMDIV(COMPLEX(I_DM_SOURCE,0),U660)</f>
        <v>0</v>
      </c>
      <c r="W660">
        <f>IMPRODUCT(V660,T660)</f>
        <v>0</v>
      </c>
      <c r="X660">
        <f>IMDIV(W660,S660)</f>
        <v>0</v>
      </c>
      <c r="Y660">
        <f>IMPRODUCT(X660,R660)</f>
        <v>0</v>
      </c>
      <c r="Z660">
        <f>IMDIV(Y660,Q660)</f>
        <v>0</v>
      </c>
      <c r="AA660">
        <f>IMPRODUCT(Z660,P660)</f>
        <v>0</v>
      </c>
      <c r="AB660">
        <f>AA660</f>
        <v>0</v>
      </c>
      <c r="AC660">
        <f>IMPRODUCT("-1",AB660)</f>
        <v>0</v>
      </c>
      <c r="AD660">
        <f>IMDIV(IMSUB(AB660,AC660),"2")</f>
        <v>0</v>
      </c>
      <c r="AE660" s="6">
        <f>IMABS(AB660)</f>
        <v>0</v>
      </c>
      <c r="AF660" s="6">
        <f>IMABS(AC660)</f>
        <v>0</v>
      </c>
      <c r="AG660" s="6">
        <f>IMABS(AD660)</f>
        <v>0</v>
      </c>
      <c r="AH660" s="7">
        <f>20*LOG10(MAX(AE660,1E-300)*1E6)</f>
        <v>0</v>
      </c>
      <c r="AI660" s="7">
        <f>20*LOG10(MAX(AF660,1E-300)*1E6)</f>
        <v>0</v>
      </c>
      <c r="AJ660" s="7">
        <f>20*LOG10(MAX(AG660,1E-300)*1E6)</f>
        <v>0</v>
      </c>
      <c r="AK660" s="7">
        <f>DEGREES(IMARGUMENT(AB660))</f>
        <v>0</v>
      </c>
      <c r="AL660" s="7">
        <f>DEGREES(IMARGUMENT(AC660))</f>
        <v>0</v>
      </c>
      <c r="AM660" s="7">
        <f>DEGREES(IMARGUMENT(AD660))</f>
        <v>0</v>
      </c>
    </row>
    <row r="661" spans="1:39">
      <c r="A661" s="6">
        <f>10^(LOG10(F_START)+(ROW()-ROW($A$2))*(LOG10(F_STOP)-LOG10(F_START))/(N_POINTS-1))</f>
        <v>0</v>
      </c>
      <c r="B661" s="6">
        <f>2*PI()*A661</f>
        <v>0</v>
      </c>
      <c r="C661">
        <f>COMPLEX(2*LINE_PS_DCR,2*B661*LINE_PS_L)</f>
        <v>0</v>
      </c>
      <c r="D661">
        <f>IMSUM(COMPLEX(0,B661*(LINE_PS_CLINE+LINE_PS_CCHA/2)),IMDIV("1",IMPRODUCT("2",COMPLEX(C_THROUGH_ESR,B661*C_THROUGH_ESL-1/(B661*C_THROUGH_C)))))</f>
        <v>0</v>
      </c>
      <c r="E661">
        <f>COMPLEX(2*LINE_INPUT_DCR,2*B661*LINE_INPUT_L)</f>
        <v>0</v>
      </c>
      <c r="F661">
        <f>COMPLEX(0,B661*(LINE_INPUT_CLINE+LINE_INPUT_CCHA/2))</f>
        <v>0</v>
      </c>
      <c r="G661">
        <f>IMPRODUCT("2",IMDIV("1",IMSUM(IMDIV("1",COMPLEX(LDM1_DCR,B661*LDM1_L)),COMPLEX(0,B661*LDM1_CPA))))</f>
        <v>0</v>
      </c>
      <c r="H661">
        <f>IMSUM(IMDIV("1",COMPLEX(CX1_ESR,B661*CX1_ESL-1/(B661*CX1_C))),IMDIV("1",IMSUM(COMPLEX(DUMP1_R,0),COMPLEX(DUMP1_ESR,B661*DUMP1_ESL-1/(B661*DUMP1_C)))))</f>
        <v>0</v>
      </c>
      <c r="I661">
        <f>IMPRODUCT("2",IMDIV("1",IMSUM(IMDIV("1",COMPLEX(LDM2_DCR,B661*LDM2_L)),COMPLEX(0,B661*LDM2_CPA))))</f>
        <v>0</v>
      </c>
      <c r="J661">
        <f>IMSUM(IMDIV("1",COMPLEX(CX2_ESR,B661*CX2_ESL-1/(B661*CX2_C))),IMDIV("1",IMSUM(COMPLEX(DUMP2_R,0),COMPLEX(DUMP2_ESR,B661*DUMP2_ESL-1/(B661*DUMP2_C)))))</f>
        <v>0</v>
      </c>
      <c r="K661">
        <f>IMPRODUCT("2",IMDIV("1",IMSUM(IMDIV("1",COMPLEX(CMC_DCR,B661*CMC_L*(1-CMC_K))),COMPLEX(0,B661*CMC_CPA))))</f>
        <v>0</v>
      </c>
      <c r="L661">
        <f>IMSUM(COMPLEX(0,B661*CMC_CLINE),IMDIV("1",IMPRODUCT("2",COMPLEX(CY_ESR,B661*CY_ESL-1/(B661*CY_C)))),COMPLEX(1/DUMMY_R,0))</f>
        <v>0</v>
      </c>
      <c r="M661">
        <f>IMSUM(D661,IMDIV("1",C661))</f>
        <v>0</v>
      </c>
      <c r="N661">
        <f>IMDIV("1",IMSUM(E661,IMDIV("1",M661)))</f>
        <v>0</v>
      </c>
      <c r="O661">
        <f>IMSUM(F661,N661)</f>
        <v>0</v>
      </c>
      <c r="P661">
        <f>IMDIV("1",IMSUM(G661,IMDIV("1",O661)))</f>
        <v>0</v>
      </c>
      <c r="Q661">
        <f>IMSUM(H661,P661)</f>
        <v>0</v>
      </c>
      <c r="R661">
        <f>IMDIV("1",IMSUM(I661,IMDIV("1",Q661)))</f>
        <v>0</v>
      </c>
      <c r="S661">
        <f>IMSUM(J661,R661)</f>
        <v>0</v>
      </c>
      <c r="T661">
        <f>IMDIV("1",IMSUM(K661,IMDIV("1",S661)))</f>
        <v>0</v>
      </c>
      <c r="U661">
        <f>IMSUM(L661,T661)</f>
        <v>0</v>
      </c>
      <c r="V661">
        <f>IMDIV(COMPLEX(I_DM_SOURCE,0),U661)</f>
        <v>0</v>
      </c>
      <c r="W661">
        <f>IMPRODUCT(V661,T661)</f>
        <v>0</v>
      </c>
      <c r="X661">
        <f>IMDIV(W661,S661)</f>
        <v>0</v>
      </c>
      <c r="Y661">
        <f>IMPRODUCT(X661,R661)</f>
        <v>0</v>
      </c>
      <c r="Z661">
        <f>IMDIV(Y661,Q661)</f>
        <v>0</v>
      </c>
      <c r="AA661">
        <f>IMPRODUCT(Z661,P661)</f>
        <v>0</v>
      </c>
      <c r="AB661">
        <f>AA661</f>
        <v>0</v>
      </c>
      <c r="AC661">
        <f>IMPRODUCT("-1",AB661)</f>
        <v>0</v>
      </c>
      <c r="AD661">
        <f>IMDIV(IMSUB(AB661,AC661),"2")</f>
        <v>0</v>
      </c>
      <c r="AE661" s="6">
        <f>IMABS(AB661)</f>
        <v>0</v>
      </c>
      <c r="AF661" s="6">
        <f>IMABS(AC661)</f>
        <v>0</v>
      </c>
      <c r="AG661" s="6">
        <f>IMABS(AD661)</f>
        <v>0</v>
      </c>
      <c r="AH661" s="7">
        <f>20*LOG10(MAX(AE661,1E-300)*1E6)</f>
        <v>0</v>
      </c>
      <c r="AI661" s="7">
        <f>20*LOG10(MAX(AF661,1E-300)*1E6)</f>
        <v>0</v>
      </c>
      <c r="AJ661" s="7">
        <f>20*LOG10(MAX(AG661,1E-300)*1E6)</f>
        <v>0</v>
      </c>
      <c r="AK661" s="7">
        <f>DEGREES(IMARGUMENT(AB661))</f>
        <v>0</v>
      </c>
      <c r="AL661" s="7">
        <f>DEGREES(IMARGUMENT(AC661))</f>
        <v>0</v>
      </c>
      <c r="AM661" s="7">
        <f>DEGREES(IMARGUMENT(AD661))</f>
        <v>0</v>
      </c>
    </row>
    <row r="662" spans="1:39">
      <c r="A662" s="6">
        <f>10^(LOG10(F_START)+(ROW()-ROW($A$2))*(LOG10(F_STOP)-LOG10(F_START))/(N_POINTS-1))</f>
        <v>0</v>
      </c>
      <c r="B662" s="6">
        <f>2*PI()*A662</f>
        <v>0</v>
      </c>
      <c r="C662">
        <f>COMPLEX(2*LINE_PS_DCR,2*B662*LINE_PS_L)</f>
        <v>0</v>
      </c>
      <c r="D662">
        <f>IMSUM(COMPLEX(0,B662*(LINE_PS_CLINE+LINE_PS_CCHA/2)),IMDIV("1",IMPRODUCT("2",COMPLEX(C_THROUGH_ESR,B662*C_THROUGH_ESL-1/(B662*C_THROUGH_C)))))</f>
        <v>0</v>
      </c>
      <c r="E662">
        <f>COMPLEX(2*LINE_INPUT_DCR,2*B662*LINE_INPUT_L)</f>
        <v>0</v>
      </c>
      <c r="F662">
        <f>COMPLEX(0,B662*(LINE_INPUT_CLINE+LINE_INPUT_CCHA/2))</f>
        <v>0</v>
      </c>
      <c r="G662">
        <f>IMPRODUCT("2",IMDIV("1",IMSUM(IMDIV("1",COMPLEX(LDM1_DCR,B662*LDM1_L)),COMPLEX(0,B662*LDM1_CPA))))</f>
        <v>0</v>
      </c>
      <c r="H662">
        <f>IMSUM(IMDIV("1",COMPLEX(CX1_ESR,B662*CX1_ESL-1/(B662*CX1_C))),IMDIV("1",IMSUM(COMPLEX(DUMP1_R,0),COMPLEX(DUMP1_ESR,B662*DUMP1_ESL-1/(B662*DUMP1_C)))))</f>
        <v>0</v>
      </c>
      <c r="I662">
        <f>IMPRODUCT("2",IMDIV("1",IMSUM(IMDIV("1",COMPLEX(LDM2_DCR,B662*LDM2_L)),COMPLEX(0,B662*LDM2_CPA))))</f>
        <v>0</v>
      </c>
      <c r="J662">
        <f>IMSUM(IMDIV("1",COMPLEX(CX2_ESR,B662*CX2_ESL-1/(B662*CX2_C))),IMDIV("1",IMSUM(COMPLEX(DUMP2_R,0),COMPLEX(DUMP2_ESR,B662*DUMP2_ESL-1/(B662*DUMP2_C)))))</f>
        <v>0</v>
      </c>
      <c r="K662">
        <f>IMPRODUCT("2",IMDIV("1",IMSUM(IMDIV("1",COMPLEX(CMC_DCR,B662*CMC_L*(1-CMC_K))),COMPLEX(0,B662*CMC_CPA))))</f>
        <v>0</v>
      </c>
      <c r="L662">
        <f>IMSUM(COMPLEX(0,B662*CMC_CLINE),IMDIV("1",IMPRODUCT("2",COMPLEX(CY_ESR,B662*CY_ESL-1/(B662*CY_C)))),COMPLEX(1/DUMMY_R,0))</f>
        <v>0</v>
      </c>
      <c r="M662">
        <f>IMSUM(D662,IMDIV("1",C662))</f>
        <v>0</v>
      </c>
      <c r="N662">
        <f>IMDIV("1",IMSUM(E662,IMDIV("1",M662)))</f>
        <v>0</v>
      </c>
      <c r="O662">
        <f>IMSUM(F662,N662)</f>
        <v>0</v>
      </c>
      <c r="P662">
        <f>IMDIV("1",IMSUM(G662,IMDIV("1",O662)))</f>
        <v>0</v>
      </c>
      <c r="Q662">
        <f>IMSUM(H662,P662)</f>
        <v>0</v>
      </c>
      <c r="R662">
        <f>IMDIV("1",IMSUM(I662,IMDIV("1",Q662)))</f>
        <v>0</v>
      </c>
      <c r="S662">
        <f>IMSUM(J662,R662)</f>
        <v>0</v>
      </c>
      <c r="T662">
        <f>IMDIV("1",IMSUM(K662,IMDIV("1",S662)))</f>
        <v>0</v>
      </c>
      <c r="U662">
        <f>IMSUM(L662,T662)</f>
        <v>0</v>
      </c>
      <c r="V662">
        <f>IMDIV(COMPLEX(I_DM_SOURCE,0),U662)</f>
        <v>0</v>
      </c>
      <c r="W662">
        <f>IMPRODUCT(V662,T662)</f>
        <v>0</v>
      </c>
      <c r="X662">
        <f>IMDIV(W662,S662)</f>
        <v>0</v>
      </c>
      <c r="Y662">
        <f>IMPRODUCT(X662,R662)</f>
        <v>0</v>
      </c>
      <c r="Z662">
        <f>IMDIV(Y662,Q662)</f>
        <v>0</v>
      </c>
      <c r="AA662">
        <f>IMPRODUCT(Z662,P662)</f>
        <v>0</v>
      </c>
      <c r="AB662">
        <f>AA662</f>
        <v>0</v>
      </c>
      <c r="AC662">
        <f>IMPRODUCT("-1",AB662)</f>
        <v>0</v>
      </c>
      <c r="AD662">
        <f>IMDIV(IMSUB(AB662,AC662),"2")</f>
        <v>0</v>
      </c>
      <c r="AE662" s="6">
        <f>IMABS(AB662)</f>
        <v>0</v>
      </c>
      <c r="AF662" s="6">
        <f>IMABS(AC662)</f>
        <v>0</v>
      </c>
      <c r="AG662" s="6">
        <f>IMABS(AD662)</f>
        <v>0</v>
      </c>
      <c r="AH662" s="7">
        <f>20*LOG10(MAX(AE662,1E-300)*1E6)</f>
        <v>0</v>
      </c>
      <c r="AI662" s="7">
        <f>20*LOG10(MAX(AF662,1E-300)*1E6)</f>
        <v>0</v>
      </c>
      <c r="AJ662" s="7">
        <f>20*LOG10(MAX(AG662,1E-300)*1E6)</f>
        <v>0</v>
      </c>
      <c r="AK662" s="7">
        <f>DEGREES(IMARGUMENT(AB662))</f>
        <v>0</v>
      </c>
      <c r="AL662" s="7">
        <f>DEGREES(IMARGUMENT(AC662))</f>
        <v>0</v>
      </c>
      <c r="AM662" s="7">
        <f>DEGREES(IMARGUMENT(AD662))</f>
        <v>0</v>
      </c>
    </row>
    <row r="663" spans="1:39">
      <c r="A663" s="6">
        <f>10^(LOG10(F_START)+(ROW()-ROW($A$2))*(LOG10(F_STOP)-LOG10(F_START))/(N_POINTS-1))</f>
        <v>0</v>
      </c>
      <c r="B663" s="6">
        <f>2*PI()*A663</f>
        <v>0</v>
      </c>
      <c r="C663">
        <f>COMPLEX(2*LINE_PS_DCR,2*B663*LINE_PS_L)</f>
        <v>0</v>
      </c>
      <c r="D663">
        <f>IMSUM(COMPLEX(0,B663*(LINE_PS_CLINE+LINE_PS_CCHA/2)),IMDIV("1",IMPRODUCT("2",COMPLEX(C_THROUGH_ESR,B663*C_THROUGH_ESL-1/(B663*C_THROUGH_C)))))</f>
        <v>0</v>
      </c>
      <c r="E663">
        <f>COMPLEX(2*LINE_INPUT_DCR,2*B663*LINE_INPUT_L)</f>
        <v>0</v>
      </c>
      <c r="F663">
        <f>COMPLEX(0,B663*(LINE_INPUT_CLINE+LINE_INPUT_CCHA/2))</f>
        <v>0</v>
      </c>
      <c r="G663">
        <f>IMPRODUCT("2",IMDIV("1",IMSUM(IMDIV("1",COMPLEX(LDM1_DCR,B663*LDM1_L)),COMPLEX(0,B663*LDM1_CPA))))</f>
        <v>0</v>
      </c>
      <c r="H663">
        <f>IMSUM(IMDIV("1",COMPLEX(CX1_ESR,B663*CX1_ESL-1/(B663*CX1_C))),IMDIV("1",IMSUM(COMPLEX(DUMP1_R,0),COMPLEX(DUMP1_ESR,B663*DUMP1_ESL-1/(B663*DUMP1_C)))))</f>
        <v>0</v>
      </c>
      <c r="I663">
        <f>IMPRODUCT("2",IMDIV("1",IMSUM(IMDIV("1",COMPLEX(LDM2_DCR,B663*LDM2_L)),COMPLEX(0,B663*LDM2_CPA))))</f>
        <v>0</v>
      </c>
      <c r="J663">
        <f>IMSUM(IMDIV("1",COMPLEX(CX2_ESR,B663*CX2_ESL-1/(B663*CX2_C))),IMDIV("1",IMSUM(COMPLEX(DUMP2_R,0),COMPLEX(DUMP2_ESR,B663*DUMP2_ESL-1/(B663*DUMP2_C)))))</f>
        <v>0</v>
      </c>
      <c r="K663">
        <f>IMPRODUCT("2",IMDIV("1",IMSUM(IMDIV("1",COMPLEX(CMC_DCR,B663*CMC_L*(1-CMC_K))),COMPLEX(0,B663*CMC_CPA))))</f>
        <v>0</v>
      </c>
      <c r="L663">
        <f>IMSUM(COMPLEX(0,B663*CMC_CLINE),IMDIV("1",IMPRODUCT("2",COMPLEX(CY_ESR,B663*CY_ESL-1/(B663*CY_C)))),COMPLEX(1/DUMMY_R,0))</f>
        <v>0</v>
      </c>
      <c r="M663">
        <f>IMSUM(D663,IMDIV("1",C663))</f>
        <v>0</v>
      </c>
      <c r="N663">
        <f>IMDIV("1",IMSUM(E663,IMDIV("1",M663)))</f>
        <v>0</v>
      </c>
      <c r="O663">
        <f>IMSUM(F663,N663)</f>
        <v>0</v>
      </c>
      <c r="P663">
        <f>IMDIV("1",IMSUM(G663,IMDIV("1",O663)))</f>
        <v>0</v>
      </c>
      <c r="Q663">
        <f>IMSUM(H663,P663)</f>
        <v>0</v>
      </c>
      <c r="R663">
        <f>IMDIV("1",IMSUM(I663,IMDIV("1",Q663)))</f>
        <v>0</v>
      </c>
      <c r="S663">
        <f>IMSUM(J663,R663)</f>
        <v>0</v>
      </c>
      <c r="T663">
        <f>IMDIV("1",IMSUM(K663,IMDIV("1",S663)))</f>
        <v>0</v>
      </c>
      <c r="U663">
        <f>IMSUM(L663,T663)</f>
        <v>0</v>
      </c>
      <c r="V663">
        <f>IMDIV(COMPLEX(I_DM_SOURCE,0),U663)</f>
        <v>0</v>
      </c>
      <c r="W663">
        <f>IMPRODUCT(V663,T663)</f>
        <v>0</v>
      </c>
      <c r="X663">
        <f>IMDIV(W663,S663)</f>
        <v>0</v>
      </c>
      <c r="Y663">
        <f>IMPRODUCT(X663,R663)</f>
        <v>0</v>
      </c>
      <c r="Z663">
        <f>IMDIV(Y663,Q663)</f>
        <v>0</v>
      </c>
      <c r="AA663">
        <f>IMPRODUCT(Z663,P663)</f>
        <v>0</v>
      </c>
      <c r="AB663">
        <f>AA663</f>
        <v>0</v>
      </c>
      <c r="AC663">
        <f>IMPRODUCT("-1",AB663)</f>
        <v>0</v>
      </c>
      <c r="AD663">
        <f>IMDIV(IMSUB(AB663,AC663),"2")</f>
        <v>0</v>
      </c>
      <c r="AE663" s="6">
        <f>IMABS(AB663)</f>
        <v>0</v>
      </c>
      <c r="AF663" s="6">
        <f>IMABS(AC663)</f>
        <v>0</v>
      </c>
      <c r="AG663" s="6">
        <f>IMABS(AD663)</f>
        <v>0</v>
      </c>
      <c r="AH663" s="7">
        <f>20*LOG10(MAX(AE663,1E-300)*1E6)</f>
        <v>0</v>
      </c>
      <c r="AI663" s="7">
        <f>20*LOG10(MAX(AF663,1E-300)*1E6)</f>
        <v>0</v>
      </c>
      <c r="AJ663" s="7">
        <f>20*LOG10(MAX(AG663,1E-300)*1E6)</f>
        <v>0</v>
      </c>
      <c r="AK663" s="7">
        <f>DEGREES(IMARGUMENT(AB663))</f>
        <v>0</v>
      </c>
      <c r="AL663" s="7">
        <f>DEGREES(IMARGUMENT(AC663))</f>
        <v>0</v>
      </c>
      <c r="AM663" s="7">
        <f>DEGREES(IMARGUMENT(AD663))</f>
        <v>0</v>
      </c>
    </row>
    <row r="664" spans="1:39">
      <c r="A664" s="6">
        <f>10^(LOG10(F_START)+(ROW()-ROW($A$2))*(LOG10(F_STOP)-LOG10(F_START))/(N_POINTS-1))</f>
        <v>0</v>
      </c>
      <c r="B664" s="6">
        <f>2*PI()*A664</f>
        <v>0</v>
      </c>
      <c r="C664">
        <f>COMPLEX(2*LINE_PS_DCR,2*B664*LINE_PS_L)</f>
        <v>0</v>
      </c>
      <c r="D664">
        <f>IMSUM(COMPLEX(0,B664*(LINE_PS_CLINE+LINE_PS_CCHA/2)),IMDIV("1",IMPRODUCT("2",COMPLEX(C_THROUGH_ESR,B664*C_THROUGH_ESL-1/(B664*C_THROUGH_C)))))</f>
        <v>0</v>
      </c>
      <c r="E664">
        <f>COMPLEX(2*LINE_INPUT_DCR,2*B664*LINE_INPUT_L)</f>
        <v>0</v>
      </c>
      <c r="F664">
        <f>COMPLEX(0,B664*(LINE_INPUT_CLINE+LINE_INPUT_CCHA/2))</f>
        <v>0</v>
      </c>
      <c r="G664">
        <f>IMPRODUCT("2",IMDIV("1",IMSUM(IMDIV("1",COMPLEX(LDM1_DCR,B664*LDM1_L)),COMPLEX(0,B664*LDM1_CPA))))</f>
        <v>0</v>
      </c>
      <c r="H664">
        <f>IMSUM(IMDIV("1",COMPLEX(CX1_ESR,B664*CX1_ESL-1/(B664*CX1_C))),IMDIV("1",IMSUM(COMPLEX(DUMP1_R,0),COMPLEX(DUMP1_ESR,B664*DUMP1_ESL-1/(B664*DUMP1_C)))))</f>
        <v>0</v>
      </c>
      <c r="I664">
        <f>IMPRODUCT("2",IMDIV("1",IMSUM(IMDIV("1",COMPLEX(LDM2_DCR,B664*LDM2_L)),COMPLEX(0,B664*LDM2_CPA))))</f>
        <v>0</v>
      </c>
      <c r="J664">
        <f>IMSUM(IMDIV("1",COMPLEX(CX2_ESR,B664*CX2_ESL-1/(B664*CX2_C))),IMDIV("1",IMSUM(COMPLEX(DUMP2_R,0),COMPLEX(DUMP2_ESR,B664*DUMP2_ESL-1/(B664*DUMP2_C)))))</f>
        <v>0</v>
      </c>
      <c r="K664">
        <f>IMPRODUCT("2",IMDIV("1",IMSUM(IMDIV("1",COMPLEX(CMC_DCR,B664*CMC_L*(1-CMC_K))),COMPLEX(0,B664*CMC_CPA))))</f>
        <v>0</v>
      </c>
      <c r="L664">
        <f>IMSUM(COMPLEX(0,B664*CMC_CLINE),IMDIV("1",IMPRODUCT("2",COMPLEX(CY_ESR,B664*CY_ESL-1/(B664*CY_C)))),COMPLEX(1/DUMMY_R,0))</f>
        <v>0</v>
      </c>
      <c r="M664">
        <f>IMSUM(D664,IMDIV("1",C664))</f>
        <v>0</v>
      </c>
      <c r="N664">
        <f>IMDIV("1",IMSUM(E664,IMDIV("1",M664)))</f>
        <v>0</v>
      </c>
      <c r="O664">
        <f>IMSUM(F664,N664)</f>
        <v>0</v>
      </c>
      <c r="P664">
        <f>IMDIV("1",IMSUM(G664,IMDIV("1",O664)))</f>
        <v>0</v>
      </c>
      <c r="Q664">
        <f>IMSUM(H664,P664)</f>
        <v>0</v>
      </c>
      <c r="R664">
        <f>IMDIV("1",IMSUM(I664,IMDIV("1",Q664)))</f>
        <v>0</v>
      </c>
      <c r="S664">
        <f>IMSUM(J664,R664)</f>
        <v>0</v>
      </c>
      <c r="T664">
        <f>IMDIV("1",IMSUM(K664,IMDIV("1",S664)))</f>
        <v>0</v>
      </c>
      <c r="U664">
        <f>IMSUM(L664,T664)</f>
        <v>0</v>
      </c>
      <c r="V664">
        <f>IMDIV(COMPLEX(I_DM_SOURCE,0),U664)</f>
        <v>0</v>
      </c>
      <c r="W664">
        <f>IMPRODUCT(V664,T664)</f>
        <v>0</v>
      </c>
      <c r="X664">
        <f>IMDIV(W664,S664)</f>
        <v>0</v>
      </c>
      <c r="Y664">
        <f>IMPRODUCT(X664,R664)</f>
        <v>0</v>
      </c>
      <c r="Z664">
        <f>IMDIV(Y664,Q664)</f>
        <v>0</v>
      </c>
      <c r="AA664">
        <f>IMPRODUCT(Z664,P664)</f>
        <v>0</v>
      </c>
      <c r="AB664">
        <f>AA664</f>
        <v>0</v>
      </c>
      <c r="AC664">
        <f>IMPRODUCT("-1",AB664)</f>
        <v>0</v>
      </c>
      <c r="AD664">
        <f>IMDIV(IMSUB(AB664,AC664),"2")</f>
        <v>0</v>
      </c>
      <c r="AE664" s="6">
        <f>IMABS(AB664)</f>
        <v>0</v>
      </c>
      <c r="AF664" s="6">
        <f>IMABS(AC664)</f>
        <v>0</v>
      </c>
      <c r="AG664" s="6">
        <f>IMABS(AD664)</f>
        <v>0</v>
      </c>
      <c r="AH664" s="7">
        <f>20*LOG10(MAX(AE664,1E-300)*1E6)</f>
        <v>0</v>
      </c>
      <c r="AI664" s="7">
        <f>20*LOG10(MAX(AF664,1E-300)*1E6)</f>
        <v>0</v>
      </c>
      <c r="AJ664" s="7">
        <f>20*LOG10(MAX(AG664,1E-300)*1E6)</f>
        <v>0</v>
      </c>
      <c r="AK664" s="7">
        <f>DEGREES(IMARGUMENT(AB664))</f>
        <v>0</v>
      </c>
      <c r="AL664" s="7">
        <f>DEGREES(IMARGUMENT(AC664))</f>
        <v>0</v>
      </c>
      <c r="AM664" s="7">
        <f>DEGREES(IMARGUMENT(AD664))</f>
        <v>0</v>
      </c>
    </row>
    <row r="665" spans="1:39">
      <c r="A665" s="6">
        <f>10^(LOG10(F_START)+(ROW()-ROW($A$2))*(LOG10(F_STOP)-LOG10(F_START))/(N_POINTS-1))</f>
        <v>0</v>
      </c>
      <c r="B665" s="6">
        <f>2*PI()*A665</f>
        <v>0</v>
      </c>
      <c r="C665">
        <f>COMPLEX(2*LINE_PS_DCR,2*B665*LINE_PS_L)</f>
        <v>0</v>
      </c>
      <c r="D665">
        <f>IMSUM(COMPLEX(0,B665*(LINE_PS_CLINE+LINE_PS_CCHA/2)),IMDIV("1",IMPRODUCT("2",COMPLEX(C_THROUGH_ESR,B665*C_THROUGH_ESL-1/(B665*C_THROUGH_C)))))</f>
        <v>0</v>
      </c>
      <c r="E665">
        <f>COMPLEX(2*LINE_INPUT_DCR,2*B665*LINE_INPUT_L)</f>
        <v>0</v>
      </c>
      <c r="F665">
        <f>COMPLEX(0,B665*(LINE_INPUT_CLINE+LINE_INPUT_CCHA/2))</f>
        <v>0</v>
      </c>
      <c r="G665">
        <f>IMPRODUCT("2",IMDIV("1",IMSUM(IMDIV("1",COMPLEX(LDM1_DCR,B665*LDM1_L)),COMPLEX(0,B665*LDM1_CPA))))</f>
        <v>0</v>
      </c>
      <c r="H665">
        <f>IMSUM(IMDIV("1",COMPLEX(CX1_ESR,B665*CX1_ESL-1/(B665*CX1_C))),IMDIV("1",IMSUM(COMPLEX(DUMP1_R,0),COMPLEX(DUMP1_ESR,B665*DUMP1_ESL-1/(B665*DUMP1_C)))))</f>
        <v>0</v>
      </c>
      <c r="I665">
        <f>IMPRODUCT("2",IMDIV("1",IMSUM(IMDIV("1",COMPLEX(LDM2_DCR,B665*LDM2_L)),COMPLEX(0,B665*LDM2_CPA))))</f>
        <v>0</v>
      </c>
      <c r="J665">
        <f>IMSUM(IMDIV("1",COMPLEX(CX2_ESR,B665*CX2_ESL-1/(B665*CX2_C))),IMDIV("1",IMSUM(COMPLEX(DUMP2_R,0),COMPLEX(DUMP2_ESR,B665*DUMP2_ESL-1/(B665*DUMP2_C)))))</f>
        <v>0</v>
      </c>
      <c r="K665">
        <f>IMPRODUCT("2",IMDIV("1",IMSUM(IMDIV("1",COMPLEX(CMC_DCR,B665*CMC_L*(1-CMC_K))),COMPLEX(0,B665*CMC_CPA))))</f>
        <v>0</v>
      </c>
      <c r="L665">
        <f>IMSUM(COMPLEX(0,B665*CMC_CLINE),IMDIV("1",IMPRODUCT("2",COMPLEX(CY_ESR,B665*CY_ESL-1/(B665*CY_C)))),COMPLEX(1/DUMMY_R,0))</f>
        <v>0</v>
      </c>
      <c r="M665">
        <f>IMSUM(D665,IMDIV("1",C665))</f>
        <v>0</v>
      </c>
      <c r="N665">
        <f>IMDIV("1",IMSUM(E665,IMDIV("1",M665)))</f>
        <v>0</v>
      </c>
      <c r="O665">
        <f>IMSUM(F665,N665)</f>
        <v>0</v>
      </c>
      <c r="P665">
        <f>IMDIV("1",IMSUM(G665,IMDIV("1",O665)))</f>
        <v>0</v>
      </c>
      <c r="Q665">
        <f>IMSUM(H665,P665)</f>
        <v>0</v>
      </c>
      <c r="R665">
        <f>IMDIV("1",IMSUM(I665,IMDIV("1",Q665)))</f>
        <v>0</v>
      </c>
      <c r="S665">
        <f>IMSUM(J665,R665)</f>
        <v>0</v>
      </c>
      <c r="T665">
        <f>IMDIV("1",IMSUM(K665,IMDIV("1",S665)))</f>
        <v>0</v>
      </c>
      <c r="U665">
        <f>IMSUM(L665,T665)</f>
        <v>0</v>
      </c>
      <c r="V665">
        <f>IMDIV(COMPLEX(I_DM_SOURCE,0),U665)</f>
        <v>0</v>
      </c>
      <c r="W665">
        <f>IMPRODUCT(V665,T665)</f>
        <v>0</v>
      </c>
      <c r="X665">
        <f>IMDIV(W665,S665)</f>
        <v>0</v>
      </c>
      <c r="Y665">
        <f>IMPRODUCT(X665,R665)</f>
        <v>0</v>
      </c>
      <c r="Z665">
        <f>IMDIV(Y665,Q665)</f>
        <v>0</v>
      </c>
      <c r="AA665">
        <f>IMPRODUCT(Z665,P665)</f>
        <v>0</v>
      </c>
      <c r="AB665">
        <f>AA665</f>
        <v>0</v>
      </c>
      <c r="AC665">
        <f>IMPRODUCT("-1",AB665)</f>
        <v>0</v>
      </c>
      <c r="AD665">
        <f>IMDIV(IMSUB(AB665,AC665),"2")</f>
        <v>0</v>
      </c>
      <c r="AE665" s="6">
        <f>IMABS(AB665)</f>
        <v>0</v>
      </c>
      <c r="AF665" s="6">
        <f>IMABS(AC665)</f>
        <v>0</v>
      </c>
      <c r="AG665" s="6">
        <f>IMABS(AD665)</f>
        <v>0</v>
      </c>
      <c r="AH665" s="7">
        <f>20*LOG10(MAX(AE665,1E-300)*1E6)</f>
        <v>0</v>
      </c>
      <c r="AI665" s="7">
        <f>20*LOG10(MAX(AF665,1E-300)*1E6)</f>
        <v>0</v>
      </c>
      <c r="AJ665" s="7">
        <f>20*LOG10(MAX(AG665,1E-300)*1E6)</f>
        <v>0</v>
      </c>
      <c r="AK665" s="7">
        <f>DEGREES(IMARGUMENT(AB665))</f>
        <v>0</v>
      </c>
      <c r="AL665" s="7">
        <f>DEGREES(IMARGUMENT(AC665))</f>
        <v>0</v>
      </c>
      <c r="AM665" s="7">
        <f>DEGREES(IMARGUMENT(AD665))</f>
        <v>0</v>
      </c>
    </row>
    <row r="666" spans="1:39">
      <c r="A666" s="6">
        <f>10^(LOG10(F_START)+(ROW()-ROW($A$2))*(LOG10(F_STOP)-LOG10(F_START))/(N_POINTS-1))</f>
        <v>0</v>
      </c>
      <c r="B666" s="6">
        <f>2*PI()*A666</f>
        <v>0</v>
      </c>
      <c r="C666">
        <f>COMPLEX(2*LINE_PS_DCR,2*B666*LINE_PS_L)</f>
        <v>0</v>
      </c>
      <c r="D666">
        <f>IMSUM(COMPLEX(0,B666*(LINE_PS_CLINE+LINE_PS_CCHA/2)),IMDIV("1",IMPRODUCT("2",COMPLEX(C_THROUGH_ESR,B666*C_THROUGH_ESL-1/(B666*C_THROUGH_C)))))</f>
        <v>0</v>
      </c>
      <c r="E666">
        <f>COMPLEX(2*LINE_INPUT_DCR,2*B666*LINE_INPUT_L)</f>
        <v>0</v>
      </c>
      <c r="F666">
        <f>COMPLEX(0,B666*(LINE_INPUT_CLINE+LINE_INPUT_CCHA/2))</f>
        <v>0</v>
      </c>
      <c r="G666">
        <f>IMPRODUCT("2",IMDIV("1",IMSUM(IMDIV("1",COMPLEX(LDM1_DCR,B666*LDM1_L)),COMPLEX(0,B666*LDM1_CPA))))</f>
        <v>0</v>
      </c>
      <c r="H666">
        <f>IMSUM(IMDIV("1",COMPLEX(CX1_ESR,B666*CX1_ESL-1/(B666*CX1_C))),IMDIV("1",IMSUM(COMPLEX(DUMP1_R,0),COMPLEX(DUMP1_ESR,B666*DUMP1_ESL-1/(B666*DUMP1_C)))))</f>
        <v>0</v>
      </c>
      <c r="I666">
        <f>IMPRODUCT("2",IMDIV("1",IMSUM(IMDIV("1",COMPLEX(LDM2_DCR,B666*LDM2_L)),COMPLEX(0,B666*LDM2_CPA))))</f>
        <v>0</v>
      </c>
      <c r="J666">
        <f>IMSUM(IMDIV("1",COMPLEX(CX2_ESR,B666*CX2_ESL-1/(B666*CX2_C))),IMDIV("1",IMSUM(COMPLEX(DUMP2_R,0),COMPLEX(DUMP2_ESR,B666*DUMP2_ESL-1/(B666*DUMP2_C)))))</f>
        <v>0</v>
      </c>
      <c r="K666">
        <f>IMPRODUCT("2",IMDIV("1",IMSUM(IMDIV("1",COMPLEX(CMC_DCR,B666*CMC_L*(1-CMC_K))),COMPLEX(0,B666*CMC_CPA))))</f>
        <v>0</v>
      </c>
      <c r="L666">
        <f>IMSUM(COMPLEX(0,B666*CMC_CLINE),IMDIV("1",IMPRODUCT("2",COMPLEX(CY_ESR,B666*CY_ESL-1/(B666*CY_C)))),COMPLEX(1/DUMMY_R,0))</f>
        <v>0</v>
      </c>
      <c r="M666">
        <f>IMSUM(D666,IMDIV("1",C666))</f>
        <v>0</v>
      </c>
      <c r="N666">
        <f>IMDIV("1",IMSUM(E666,IMDIV("1",M666)))</f>
        <v>0</v>
      </c>
      <c r="O666">
        <f>IMSUM(F666,N666)</f>
        <v>0</v>
      </c>
      <c r="P666">
        <f>IMDIV("1",IMSUM(G666,IMDIV("1",O666)))</f>
        <v>0</v>
      </c>
      <c r="Q666">
        <f>IMSUM(H666,P666)</f>
        <v>0</v>
      </c>
      <c r="R666">
        <f>IMDIV("1",IMSUM(I666,IMDIV("1",Q666)))</f>
        <v>0</v>
      </c>
      <c r="S666">
        <f>IMSUM(J666,R666)</f>
        <v>0</v>
      </c>
      <c r="T666">
        <f>IMDIV("1",IMSUM(K666,IMDIV("1",S666)))</f>
        <v>0</v>
      </c>
      <c r="U666">
        <f>IMSUM(L666,T666)</f>
        <v>0</v>
      </c>
      <c r="V666">
        <f>IMDIV(COMPLEX(I_DM_SOURCE,0),U666)</f>
        <v>0</v>
      </c>
      <c r="W666">
        <f>IMPRODUCT(V666,T666)</f>
        <v>0</v>
      </c>
      <c r="X666">
        <f>IMDIV(W666,S666)</f>
        <v>0</v>
      </c>
      <c r="Y666">
        <f>IMPRODUCT(X666,R666)</f>
        <v>0</v>
      </c>
      <c r="Z666">
        <f>IMDIV(Y666,Q666)</f>
        <v>0</v>
      </c>
      <c r="AA666">
        <f>IMPRODUCT(Z666,P666)</f>
        <v>0</v>
      </c>
      <c r="AB666">
        <f>AA666</f>
        <v>0</v>
      </c>
      <c r="AC666">
        <f>IMPRODUCT("-1",AB666)</f>
        <v>0</v>
      </c>
      <c r="AD666">
        <f>IMDIV(IMSUB(AB666,AC666),"2")</f>
        <v>0</v>
      </c>
      <c r="AE666" s="6">
        <f>IMABS(AB666)</f>
        <v>0</v>
      </c>
      <c r="AF666" s="6">
        <f>IMABS(AC666)</f>
        <v>0</v>
      </c>
      <c r="AG666" s="6">
        <f>IMABS(AD666)</f>
        <v>0</v>
      </c>
      <c r="AH666" s="7">
        <f>20*LOG10(MAX(AE666,1E-300)*1E6)</f>
        <v>0</v>
      </c>
      <c r="AI666" s="7">
        <f>20*LOG10(MAX(AF666,1E-300)*1E6)</f>
        <v>0</v>
      </c>
      <c r="AJ666" s="7">
        <f>20*LOG10(MAX(AG666,1E-300)*1E6)</f>
        <v>0</v>
      </c>
      <c r="AK666" s="7">
        <f>DEGREES(IMARGUMENT(AB666))</f>
        <v>0</v>
      </c>
      <c r="AL666" s="7">
        <f>DEGREES(IMARGUMENT(AC666))</f>
        <v>0</v>
      </c>
      <c r="AM666" s="7">
        <f>DEGREES(IMARGUMENT(AD666))</f>
        <v>0</v>
      </c>
    </row>
    <row r="667" spans="1:39">
      <c r="A667" s="6">
        <f>10^(LOG10(F_START)+(ROW()-ROW($A$2))*(LOG10(F_STOP)-LOG10(F_START))/(N_POINTS-1))</f>
        <v>0</v>
      </c>
      <c r="B667" s="6">
        <f>2*PI()*A667</f>
        <v>0</v>
      </c>
      <c r="C667">
        <f>COMPLEX(2*LINE_PS_DCR,2*B667*LINE_PS_L)</f>
        <v>0</v>
      </c>
      <c r="D667">
        <f>IMSUM(COMPLEX(0,B667*(LINE_PS_CLINE+LINE_PS_CCHA/2)),IMDIV("1",IMPRODUCT("2",COMPLEX(C_THROUGH_ESR,B667*C_THROUGH_ESL-1/(B667*C_THROUGH_C)))))</f>
        <v>0</v>
      </c>
      <c r="E667">
        <f>COMPLEX(2*LINE_INPUT_DCR,2*B667*LINE_INPUT_L)</f>
        <v>0</v>
      </c>
      <c r="F667">
        <f>COMPLEX(0,B667*(LINE_INPUT_CLINE+LINE_INPUT_CCHA/2))</f>
        <v>0</v>
      </c>
      <c r="G667">
        <f>IMPRODUCT("2",IMDIV("1",IMSUM(IMDIV("1",COMPLEX(LDM1_DCR,B667*LDM1_L)),COMPLEX(0,B667*LDM1_CPA))))</f>
        <v>0</v>
      </c>
      <c r="H667">
        <f>IMSUM(IMDIV("1",COMPLEX(CX1_ESR,B667*CX1_ESL-1/(B667*CX1_C))),IMDIV("1",IMSUM(COMPLEX(DUMP1_R,0),COMPLEX(DUMP1_ESR,B667*DUMP1_ESL-1/(B667*DUMP1_C)))))</f>
        <v>0</v>
      </c>
      <c r="I667">
        <f>IMPRODUCT("2",IMDIV("1",IMSUM(IMDIV("1",COMPLEX(LDM2_DCR,B667*LDM2_L)),COMPLEX(0,B667*LDM2_CPA))))</f>
        <v>0</v>
      </c>
      <c r="J667">
        <f>IMSUM(IMDIV("1",COMPLEX(CX2_ESR,B667*CX2_ESL-1/(B667*CX2_C))),IMDIV("1",IMSUM(COMPLEX(DUMP2_R,0),COMPLEX(DUMP2_ESR,B667*DUMP2_ESL-1/(B667*DUMP2_C)))))</f>
        <v>0</v>
      </c>
      <c r="K667">
        <f>IMPRODUCT("2",IMDIV("1",IMSUM(IMDIV("1",COMPLEX(CMC_DCR,B667*CMC_L*(1-CMC_K))),COMPLEX(0,B667*CMC_CPA))))</f>
        <v>0</v>
      </c>
      <c r="L667">
        <f>IMSUM(COMPLEX(0,B667*CMC_CLINE),IMDIV("1",IMPRODUCT("2",COMPLEX(CY_ESR,B667*CY_ESL-1/(B667*CY_C)))),COMPLEX(1/DUMMY_R,0))</f>
        <v>0</v>
      </c>
      <c r="M667">
        <f>IMSUM(D667,IMDIV("1",C667))</f>
        <v>0</v>
      </c>
      <c r="N667">
        <f>IMDIV("1",IMSUM(E667,IMDIV("1",M667)))</f>
        <v>0</v>
      </c>
      <c r="O667">
        <f>IMSUM(F667,N667)</f>
        <v>0</v>
      </c>
      <c r="P667">
        <f>IMDIV("1",IMSUM(G667,IMDIV("1",O667)))</f>
        <v>0</v>
      </c>
      <c r="Q667">
        <f>IMSUM(H667,P667)</f>
        <v>0</v>
      </c>
      <c r="R667">
        <f>IMDIV("1",IMSUM(I667,IMDIV("1",Q667)))</f>
        <v>0</v>
      </c>
      <c r="S667">
        <f>IMSUM(J667,R667)</f>
        <v>0</v>
      </c>
      <c r="T667">
        <f>IMDIV("1",IMSUM(K667,IMDIV("1",S667)))</f>
        <v>0</v>
      </c>
      <c r="U667">
        <f>IMSUM(L667,T667)</f>
        <v>0</v>
      </c>
      <c r="V667">
        <f>IMDIV(COMPLEX(I_DM_SOURCE,0),U667)</f>
        <v>0</v>
      </c>
      <c r="W667">
        <f>IMPRODUCT(V667,T667)</f>
        <v>0</v>
      </c>
      <c r="X667">
        <f>IMDIV(W667,S667)</f>
        <v>0</v>
      </c>
      <c r="Y667">
        <f>IMPRODUCT(X667,R667)</f>
        <v>0</v>
      </c>
      <c r="Z667">
        <f>IMDIV(Y667,Q667)</f>
        <v>0</v>
      </c>
      <c r="AA667">
        <f>IMPRODUCT(Z667,P667)</f>
        <v>0</v>
      </c>
      <c r="AB667">
        <f>AA667</f>
        <v>0</v>
      </c>
      <c r="AC667">
        <f>IMPRODUCT("-1",AB667)</f>
        <v>0</v>
      </c>
      <c r="AD667">
        <f>IMDIV(IMSUB(AB667,AC667),"2")</f>
        <v>0</v>
      </c>
      <c r="AE667" s="6">
        <f>IMABS(AB667)</f>
        <v>0</v>
      </c>
      <c r="AF667" s="6">
        <f>IMABS(AC667)</f>
        <v>0</v>
      </c>
      <c r="AG667" s="6">
        <f>IMABS(AD667)</f>
        <v>0</v>
      </c>
      <c r="AH667" s="7">
        <f>20*LOG10(MAX(AE667,1E-300)*1E6)</f>
        <v>0</v>
      </c>
      <c r="AI667" s="7">
        <f>20*LOG10(MAX(AF667,1E-300)*1E6)</f>
        <v>0</v>
      </c>
      <c r="AJ667" s="7">
        <f>20*LOG10(MAX(AG667,1E-300)*1E6)</f>
        <v>0</v>
      </c>
      <c r="AK667" s="7">
        <f>DEGREES(IMARGUMENT(AB667))</f>
        <v>0</v>
      </c>
      <c r="AL667" s="7">
        <f>DEGREES(IMARGUMENT(AC667))</f>
        <v>0</v>
      </c>
      <c r="AM667" s="7">
        <f>DEGREES(IMARGUMENT(AD667))</f>
        <v>0</v>
      </c>
    </row>
    <row r="668" spans="1:39">
      <c r="A668" s="6">
        <f>10^(LOG10(F_START)+(ROW()-ROW($A$2))*(LOG10(F_STOP)-LOG10(F_START))/(N_POINTS-1))</f>
        <v>0</v>
      </c>
      <c r="B668" s="6">
        <f>2*PI()*A668</f>
        <v>0</v>
      </c>
      <c r="C668">
        <f>COMPLEX(2*LINE_PS_DCR,2*B668*LINE_PS_L)</f>
        <v>0</v>
      </c>
      <c r="D668">
        <f>IMSUM(COMPLEX(0,B668*(LINE_PS_CLINE+LINE_PS_CCHA/2)),IMDIV("1",IMPRODUCT("2",COMPLEX(C_THROUGH_ESR,B668*C_THROUGH_ESL-1/(B668*C_THROUGH_C)))))</f>
        <v>0</v>
      </c>
      <c r="E668">
        <f>COMPLEX(2*LINE_INPUT_DCR,2*B668*LINE_INPUT_L)</f>
        <v>0</v>
      </c>
      <c r="F668">
        <f>COMPLEX(0,B668*(LINE_INPUT_CLINE+LINE_INPUT_CCHA/2))</f>
        <v>0</v>
      </c>
      <c r="G668">
        <f>IMPRODUCT("2",IMDIV("1",IMSUM(IMDIV("1",COMPLEX(LDM1_DCR,B668*LDM1_L)),COMPLEX(0,B668*LDM1_CPA))))</f>
        <v>0</v>
      </c>
      <c r="H668">
        <f>IMSUM(IMDIV("1",COMPLEX(CX1_ESR,B668*CX1_ESL-1/(B668*CX1_C))),IMDIV("1",IMSUM(COMPLEX(DUMP1_R,0),COMPLEX(DUMP1_ESR,B668*DUMP1_ESL-1/(B668*DUMP1_C)))))</f>
        <v>0</v>
      </c>
      <c r="I668">
        <f>IMPRODUCT("2",IMDIV("1",IMSUM(IMDIV("1",COMPLEX(LDM2_DCR,B668*LDM2_L)),COMPLEX(0,B668*LDM2_CPA))))</f>
        <v>0</v>
      </c>
      <c r="J668">
        <f>IMSUM(IMDIV("1",COMPLEX(CX2_ESR,B668*CX2_ESL-1/(B668*CX2_C))),IMDIV("1",IMSUM(COMPLEX(DUMP2_R,0),COMPLEX(DUMP2_ESR,B668*DUMP2_ESL-1/(B668*DUMP2_C)))))</f>
        <v>0</v>
      </c>
      <c r="K668">
        <f>IMPRODUCT("2",IMDIV("1",IMSUM(IMDIV("1",COMPLEX(CMC_DCR,B668*CMC_L*(1-CMC_K))),COMPLEX(0,B668*CMC_CPA))))</f>
        <v>0</v>
      </c>
      <c r="L668">
        <f>IMSUM(COMPLEX(0,B668*CMC_CLINE),IMDIV("1",IMPRODUCT("2",COMPLEX(CY_ESR,B668*CY_ESL-1/(B668*CY_C)))),COMPLEX(1/DUMMY_R,0))</f>
        <v>0</v>
      </c>
      <c r="M668">
        <f>IMSUM(D668,IMDIV("1",C668))</f>
        <v>0</v>
      </c>
      <c r="N668">
        <f>IMDIV("1",IMSUM(E668,IMDIV("1",M668)))</f>
        <v>0</v>
      </c>
      <c r="O668">
        <f>IMSUM(F668,N668)</f>
        <v>0</v>
      </c>
      <c r="P668">
        <f>IMDIV("1",IMSUM(G668,IMDIV("1",O668)))</f>
        <v>0</v>
      </c>
      <c r="Q668">
        <f>IMSUM(H668,P668)</f>
        <v>0</v>
      </c>
      <c r="R668">
        <f>IMDIV("1",IMSUM(I668,IMDIV("1",Q668)))</f>
        <v>0</v>
      </c>
      <c r="S668">
        <f>IMSUM(J668,R668)</f>
        <v>0</v>
      </c>
      <c r="T668">
        <f>IMDIV("1",IMSUM(K668,IMDIV("1",S668)))</f>
        <v>0</v>
      </c>
      <c r="U668">
        <f>IMSUM(L668,T668)</f>
        <v>0</v>
      </c>
      <c r="V668">
        <f>IMDIV(COMPLEX(I_DM_SOURCE,0),U668)</f>
        <v>0</v>
      </c>
      <c r="W668">
        <f>IMPRODUCT(V668,T668)</f>
        <v>0</v>
      </c>
      <c r="X668">
        <f>IMDIV(W668,S668)</f>
        <v>0</v>
      </c>
      <c r="Y668">
        <f>IMPRODUCT(X668,R668)</f>
        <v>0</v>
      </c>
      <c r="Z668">
        <f>IMDIV(Y668,Q668)</f>
        <v>0</v>
      </c>
      <c r="AA668">
        <f>IMPRODUCT(Z668,P668)</f>
        <v>0</v>
      </c>
      <c r="AB668">
        <f>AA668</f>
        <v>0</v>
      </c>
      <c r="AC668">
        <f>IMPRODUCT("-1",AB668)</f>
        <v>0</v>
      </c>
      <c r="AD668">
        <f>IMDIV(IMSUB(AB668,AC668),"2")</f>
        <v>0</v>
      </c>
      <c r="AE668" s="6">
        <f>IMABS(AB668)</f>
        <v>0</v>
      </c>
      <c r="AF668" s="6">
        <f>IMABS(AC668)</f>
        <v>0</v>
      </c>
      <c r="AG668" s="6">
        <f>IMABS(AD668)</f>
        <v>0</v>
      </c>
      <c r="AH668" s="7">
        <f>20*LOG10(MAX(AE668,1E-300)*1E6)</f>
        <v>0</v>
      </c>
      <c r="AI668" s="7">
        <f>20*LOG10(MAX(AF668,1E-300)*1E6)</f>
        <v>0</v>
      </c>
      <c r="AJ668" s="7">
        <f>20*LOG10(MAX(AG668,1E-300)*1E6)</f>
        <v>0</v>
      </c>
      <c r="AK668" s="7">
        <f>DEGREES(IMARGUMENT(AB668))</f>
        <v>0</v>
      </c>
      <c r="AL668" s="7">
        <f>DEGREES(IMARGUMENT(AC668))</f>
        <v>0</v>
      </c>
      <c r="AM668" s="7">
        <f>DEGREES(IMARGUMENT(AD668))</f>
        <v>0</v>
      </c>
    </row>
    <row r="669" spans="1:39">
      <c r="A669" s="6">
        <f>10^(LOG10(F_START)+(ROW()-ROW($A$2))*(LOG10(F_STOP)-LOG10(F_START))/(N_POINTS-1))</f>
        <v>0</v>
      </c>
      <c r="B669" s="6">
        <f>2*PI()*A669</f>
        <v>0</v>
      </c>
      <c r="C669">
        <f>COMPLEX(2*LINE_PS_DCR,2*B669*LINE_PS_L)</f>
        <v>0</v>
      </c>
      <c r="D669">
        <f>IMSUM(COMPLEX(0,B669*(LINE_PS_CLINE+LINE_PS_CCHA/2)),IMDIV("1",IMPRODUCT("2",COMPLEX(C_THROUGH_ESR,B669*C_THROUGH_ESL-1/(B669*C_THROUGH_C)))))</f>
        <v>0</v>
      </c>
      <c r="E669">
        <f>COMPLEX(2*LINE_INPUT_DCR,2*B669*LINE_INPUT_L)</f>
        <v>0</v>
      </c>
      <c r="F669">
        <f>COMPLEX(0,B669*(LINE_INPUT_CLINE+LINE_INPUT_CCHA/2))</f>
        <v>0</v>
      </c>
      <c r="G669">
        <f>IMPRODUCT("2",IMDIV("1",IMSUM(IMDIV("1",COMPLEX(LDM1_DCR,B669*LDM1_L)),COMPLEX(0,B669*LDM1_CPA))))</f>
        <v>0</v>
      </c>
      <c r="H669">
        <f>IMSUM(IMDIV("1",COMPLEX(CX1_ESR,B669*CX1_ESL-1/(B669*CX1_C))),IMDIV("1",IMSUM(COMPLEX(DUMP1_R,0),COMPLEX(DUMP1_ESR,B669*DUMP1_ESL-1/(B669*DUMP1_C)))))</f>
        <v>0</v>
      </c>
      <c r="I669">
        <f>IMPRODUCT("2",IMDIV("1",IMSUM(IMDIV("1",COMPLEX(LDM2_DCR,B669*LDM2_L)),COMPLEX(0,B669*LDM2_CPA))))</f>
        <v>0</v>
      </c>
      <c r="J669">
        <f>IMSUM(IMDIV("1",COMPLEX(CX2_ESR,B669*CX2_ESL-1/(B669*CX2_C))),IMDIV("1",IMSUM(COMPLEX(DUMP2_R,0),COMPLEX(DUMP2_ESR,B669*DUMP2_ESL-1/(B669*DUMP2_C)))))</f>
        <v>0</v>
      </c>
      <c r="K669">
        <f>IMPRODUCT("2",IMDIV("1",IMSUM(IMDIV("1",COMPLEX(CMC_DCR,B669*CMC_L*(1-CMC_K))),COMPLEX(0,B669*CMC_CPA))))</f>
        <v>0</v>
      </c>
      <c r="L669">
        <f>IMSUM(COMPLEX(0,B669*CMC_CLINE),IMDIV("1",IMPRODUCT("2",COMPLEX(CY_ESR,B669*CY_ESL-1/(B669*CY_C)))),COMPLEX(1/DUMMY_R,0))</f>
        <v>0</v>
      </c>
      <c r="M669">
        <f>IMSUM(D669,IMDIV("1",C669))</f>
        <v>0</v>
      </c>
      <c r="N669">
        <f>IMDIV("1",IMSUM(E669,IMDIV("1",M669)))</f>
        <v>0</v>
      </c>
      <c r="O669">
        <f>IMSUM(F669,N669)</f>
        <v>0</v>
      </c>
      <c r="P669">
        <f>IMDIV("1",IMSUM(G669,IMDIV("1",O669)))</f>
        <v>0</v>
      </c>
      <c r="Q669">
        <f>IMSUM(H669,P669)</f>
        <v>0</v>
      </c>
      <c r="R669">
        <f>IMDIV("1",IMSUM(I669,IMDIV("1",Q669)))</f>
        <v>0</v>
      </c>
      <c r="S669">
        <f>IMSUM(J669,R669)</f>
        <v>0</v>
      </c>
      <c r="T669">
        <f>IMDIV("1",IMSUM(K669,IMDIV("1",S669)))</f>
        <v>0</v>
      </c>
      <c r="U669">
        <f>IMSUM(L669,T669)</f>
        <v>0</v>
      </c>
      <c r="V669">
        <f>IMDIV(COMPLEX(I_DM_SOURCE,0),U669)</f>
        <v>0</v>
      </c>
      <c r="W669">
        <f>IMPRODUCT(V669,T669)</f>
        <v>0</v>
      </c>
      <c r="X669">
        <f>IMDIV(W669,S669)</f>
        <v>0</v>
      </c>
      <c r="Y669">
        <f>IMPRODUCT(X669,R669)</f>
        <v>0</v>
      </c>
      <c r="Z669">
        <f>IMDIV(Y669,Q669)</f>
        <v>0</v>
      </c>
      <c r="AA669">
        <f>IMPRODUCT(Z669,P669)</f>
        <v>0</v>
      </c>
      <c r="AB669">
        <f>AA669</f>
        <v>0</v>
      </c>
      <c r="AC669">
        <f>IMPRODUCT("-1",AB669)</f>
        <v>0</v>
      </c>
      <c r="AD669">
        <f>IMDIV(IMSUB(AB669,AC669),"2")</f>
        <v>0</v>
      </c>
      <c r="AE669" s="6">
        <f>IMABS(AB669)</f>
        <v>0</v>
      </c>
      <c r="AF669" s="6">
        <f>IMABS(AC669)</f>
        <v>0</v>
      </c>
      <c r="AG669" s="6">
        <f>IMABS(AD669)</f>
        <v>0</v>
      </c>
      <c r="AH669" s="7">
        <f>20*LOG10(MAX(AE669,1E-300)*1E6)</f>
        <v>0</v>
      </c>
      <c r="AI669" s="7">
        <f>20*LOG10(MAX(AF669,1E-300)*1E6)</f>
        <v>0</v>
      </c>
      <c r="AJ669" s="7">
        <f>20*LOG10(MAX(AG669,1E-300)*1E6)</f>
        <v>0</v>
      </c>
      <c r="AK669" s="7">
        <f>DEGREES(IMARGUMENT(AB669))</f>
        <v>0</v>
      </c>
      <c r="AL669" s="7">
        <f>DEGREES(IMARGUMENT(AC669))</f>
        <v>0</v>
      </c>
      <c r="AM669" s="7">
        <f>DEGREES(IMARGUMENT(AD669))</f>
        <v>0</v>
      </c>
    </row>
    <row r="670" spans="1:39">
      <c r="A670" s="6">
        <f>10^(LOG10(F_START)+(ROW()-ROW($A$2))*(LOG10(F_STOP)-LOG10(F_START))/(N_POINTS-1))</f>
        <v>0</v>
      </c>
      <c r="B670" s="6">
        <f>2*PI()*A670</f>
        <v>0</v>
      </c>
      <c r="C670">
        <f>COMPLEX(2*LINE_PS_DCR,2*B670*LINE_PS_L)</f>
        <v>0</v>
      </c>
      <c r="D670">
        <f>IMSUM(COMPLEX(0,B670*(LINE_PS_CLINE+LINE_PS_CCHA/2)),IMDIV("1",IMPRODUCT("2",COMPLEX(C_THROUGH_ESR,B670*C_THROUGH_ESL-1/(B670*C_THROUGH_C)))))</f>
        <v>0</v>
      </c>
      <c r="E670">
        <f>COMPLEX(2*LINE_INPUT_DCR,2*B670*LINE_INPUT_L)</f>
        <v>0</v>
      </c>
      <c r="F670">
        <f>COMPLEX(0,B670*(LINE_INPUT_CLINE+LINE_INPUT_CCHA/2))</f>
        <v>0</v>
      </c>
      <c r="G670">
        <f>IMPRODUCT("2",IMDIV("1",IMSUM(IMDIV("1",COMPLEX(LDM1_DCR,B670*LDM1_L)),COMPLEX(0,B670*LDM1_CPA))))</f>
        <v>0</v>
      </c>
      <c r="H670">
        <f>IMSUM(IMDIV("1",COMPLEX(CX1_ESR,B670*CX1_ESL-1/(B670*CX1_C))),IMDIV("1",IMSUM(COMPLEX(DUMP1_R,0),COMPLEX(DUMP1_ESR,B670*DUMP1_ESL-1/(B670*DUMP1_C)))))</f>
        <v>0</v>
      </c>
      <c r="I670">
        <f>IMPRODUCT("2",IMDIV("1",IMSUM(IMDIV("1",COMPLEX(LDM2_DCR,B670*LDM2_L)),COMPLEX(0,B670*LDM2_CPA))))</f>
        <v>0</v>
      </c>
      <c r="J670">
        <f>IMSUM(IMDIV("1",COMPLEX(CX2_ESR,B670*CX2_ESL-1/(B670*CX2_C))),IMDIV("1",IMSUM(COMPLEX(DUMP2_R,0),COMPLEX(DUMP2_ESR,B670*DUMP2_ESL-1/(B670*DUMP2_C)))))</f>
        <v>0</v>
      </c>
      <c r="K670">
        <f>IMPRODUCT("2",IMDIV("1",IMSUM(IMDIV("1",COMPLEX(CMC_DCR,B670*CMC_L*(1-CMC_K))),COMPLEX(0,B670*CMC_CPA))))</f>
        <v>0</v>
      </c>
      <c r="L670">
        <f>IMSUM(COMPLEX(0,B670*CMC_CLINE),IMDIV("1",IMPRODUCT("2",COMPLEX(CY_ESR,B670*CY_ESL-1/(B670*CY_C)))),COMPLEX(1/DUMMY_R,0))</f>
        <v>0</v>
      </c>
      <c r="M670">
        <f>IMSUM(D670,IMDIV("1",C670))</f>
        <v>0</v>
      </c>
      <c r="N670">
        <f>IMDIV("1",IMSUM(E670,IMDIV("1",M670)))</f>
        <v>0</v>
      </c>
      <c r="O670">
        <f>IMSUM(F670,N670)</f>
        <v>0</v>
      </c>
      <c r="P670">
        <f>IMDIV("1",IMSUM(G670,IMDIV("1",O670)))</f>
        <v>0</v>
      </c>
      <c r="Q670">
        <f>IMSUM(H670,P670)</f>
        <v>0</v>
      </c>
      <c r="R670">
        <f>IMDIV("1",IMSUM(I670,IMDIV("1",Q670)))</f>
        <v>0</v>
      </c>
      <c r="S670">
        <f>IMSUM(J670,R670)</f>
        <v>0</v>
      </c>
      <c r="T670">
        <f>IMDIV("1",IMSUM(K670,IMDIV("1",S670)))</f>
        <v>0</v>
      </c>
      <c r="U670">
        <f>IMSUM(L670,T670)</f>
        <v>0</v>
      </c>
      <c r="V670">
        <f>IMDIV(COMPLEX(I_DM_SOURCE,0),U670)</f>
        <v>0</v>
      </c>
      <c r="W670">
        <f>IMPRODUCT(V670,T670)</f>
        <v>0</v>
      </c>
      <c r="X670">
        <f>IMDIV(W670,S670)</f>
        <v>0</v>
      </c>
      <c r="Y670">
        <f>IMPRODUCT(X670,R670)</f>
        <v>0</v>
      </c>
      <c r="Z670">
        <f>IMDIV(Y670,Q670)</f>
        <v>0</v>
      </c>
      <c r="AA670">
        <f>IMPRODUCT(Z670,P670)</f>
        <v>0</v>
      </c>
      <c r="AB670">
        <f>AA670</f>
        <v>0</v>
      </c>
      <c r="AC670">
        <f>IMPRODUCT("-1",AB670)</f>
        <v>0</v>
      </c>
      <c r="AD670">
        <f>IMDIV(IMSUB(AB670,AC670),"2")</f>
        <v>0</v>
      </c>
      <c r="AE670" s="6">
        <f>IMABS(AB670)</f>
        <v>0</v>
      </c>
      <c r="AF670" s="6">
        <f>IMABS(AC670)</f>
        <v>0</v>
      </c>
      <c r="AG670" s="6">
        <f>IMABS(AD670)</f>
        <v>0</v>
      </c>
      <c r="AH670" s="7">
        <f>20*LOG10(MAX(AE670,1E-300)*1E6)</f>
        <v>0</v>
      </c>
      <c r="AI670" s="7">
        <f>20*LOG10(MAX(AF670,1E-300)*1E6)</f>
        <v>0</v>
      </c>
      <c r="AJ670" s="7">
        <f>20*LOG10(MAX(AG670,1E-300)*1E6)</f>
        <v>0</v>
      </c>
      <c r="AK670" s="7">
        <f>DEGREES(IMARGUMENT(AB670))</f>
        <v>0</v>
      </c>
      <c r="AL670" s="7">
        <f>DEGREES(IMARGUMENT(AC670))</f>
        <v>0</v>
      </c>
      <c r="AM670" s="7">
        <f>DEGREES(IMARGUMENT(AD670))</f>
        <v>0</v>
      </c>
    </row>
    <row r="671" spans="1:39">
      <c r="A671" s="6">
        <f>10^(LOG10(F_START)+(ROW()-ROW($A$2))*(LOG10(F_STOP)-LOG10(F_START))/(N_POINTS-1))</f>
        <v>0</v>
      </c>
      <c r="B671" s="6">
        <f>2*PI()*A671</f>
        <v>0</v>
      </c>
      <c r="C671">
        <f>COMPLEX(2*LINE_PS_DCR,2*B671*LINE_PS_L)</f>
        <v>0</v>
      </c>
      <c r="D671">
        <f>IMSUM(COMPLEX(0,B671*(LINE_PS_CLINE+LINE_PS_CCHA/2)),IMDIV("1",IMPRODUCT("2",COMPLEX(C_THROUGH_ESR,B671*C_THROUGH_ESL-1/(B671*C_THROUGH_C)))))</f>
        <v>0</v>
      </c>
      <c r="E671">
        <f>COMPLEX(2*LINE_INPUT_DCR,2*B671*LINE_INPUT_L)</f>
        <v>0</v>
      </c>
      <c r="F671">
        <f>COMPLEX(0,B671*(LINE_INPUT_CLINE+LINE_INPUT_CCHA/2))</f>
        <v>0</v>
      </c>
      <c r="G671">
        <f>IMPRODUCT("2",IMDIV("1",IMSUM(IMDIV("1",COMPLEX(LDM1_DCR,B671*LDM1_L)),COMPLEX(0,B671*LDM1_CPA))))</f>
        <v>0</v>
      </c>
      <c r="H671">
        <f>IMSUM(IMDIV("1",COMPLEX(CX1_ESR,B671*CX1_ESL-1/(B671*CX1_C))),IMDIV("1",IMSUM(COMPLEX(DUMP1_R,0),COMPLEX(DUMP1_ESR,B671*DUMP1_ESL-1/(B671*DUMP1_C)))))</f>
        <v>0</v>
      </c>
      <c r="I671">
        <f>IMPRODUCT("2",IMDIV("1",IMSUM(IMDIV("1",COMPLEX(LDM2_DCR,B671*LDM2_L)),COMPLEX(0,B671*LDM2_CPA))))</f>
        <v>0</v>
      </c>
      <c r="J671">
        <f>IMSUM(IMDIV("1",COMPLEX(CX2_ESR,B671*CX2_ESL-1/(B671*CX2_C))),IMDIV("1",IMSUM(COMPLEX(DUMP2_R,0),COMPLEX(DUMP2_ESR,B671*DUMP2_ESL-1/(B671*DUMP2_C)))))</f>
        <v>0</v>
      </c>
      <c r="K671">
        <f>IMPRODUCT("2",IMDIV("1",IMSUM(IMDIV("1",COMPLEX(CMC_DCR,B671*CMC_L*(1-CMC_K))),COMPLEX(0,B671*CMC_CPA))))</f>
        <v>0</v>
      </c>
      <c r="L671">
        <f>IMSUM(COMPLEX(0,B671*CMC_CLINE),IMDIV("1",IMPRODUCT("2",COMPLEX(CY_ESR,B671*CY_ESL-1/(B671*CY_C)))),COMPLEX(1/DUMMY_R,0))</f>
        <v>0</v>
      </c>
      <c r="M671">
        <f>IMSUM(D671,IMDIV("1",C671))</f>
        <v>0</v>
      </c>
      <c r="N671">
        <f>IMDIV("1",IMSUM(E671,IMDIV("1",M671)))</f>
        <v>0</v>
      </c>
      <c r="O671">
        <f>IMSUM(F671,N671)</f>
        <v>0</v>
      </c>
      <c r="P671">
        <f>IMDIV("1",IMSUM(G671,IMDIV("1",O671)))</f>
        <v>0</v>
      </c>
      <c r="Q671">
        <f>IMSUM(H671,P671)</f>
        <v>0</v>
      </c>
      <c r="R671">
        <f>IMDIV("1",IMSUM(I671,IMDIV("1",Q671)))</f>
        <v>0</v>
      </c>
      <c r="S671">
        <f>IMSUM(J671,R671)</f>
        <v>0</v>
      </c>
      <c r="T671">
        <f>IMDIV("1",IMSUM(K671,IMDIV("1",S671)))</f>
        <v>0</v>
      </c>
      <c r="U671">
        <f>IMSUM(L671,T671)</f>
        <v>0</v>
      </c>
      <c r="V671">
        <f>IMDIV(COMPLEX(I_DM_SOURCE,0),U671)</f>
        <v>0</v>
      </c>
      <c r="W671">
        <f>IMPRODUCT(V671,T671)</f>
        <v>0</v>
      </c>
      <c r="X671">
        <f>IMDIV(W671,S671)</f>
        <v>0</v>
      </c>
      <c r="Y671">
        <f>IMPRODUCT(X671,R671)</f>
        <v>0</v>
      </c>
      <c r="Z671">
        <f>IMDIV(Y671,Q671)</f>
        <v>0</v>
      </c>
      <c r="AA671">
        <f>IMPRODUCT(Z671,P671)</f>
        <v>0</v>
      </c>
      <c r="AB671">
        <f>AA671</f>
        <v>0</v>
      </c>
      <c r="AC671">
        <f>IMPRODUCT("-1",AB671)</f>
        <v>0</v>
      </c>
      <c r="AD671">
        <f>IMDIV(IMSUB(AB671,AC671),"2")</f>
        <v>0</v>
      </c>
      <c r="AE671" s="6">
        <f>IMABS(AB671)</f>
        <v>0</v>
      </c>
      <c r="AF671" s="6">
        <f>IMABS(AC671)</f>
        <v>0</v>
      </c>
      <c r="AG671" s="6">
        <f>IMABS(AD671)</f>
        <v>0</v>
      </c>
      <c r="AH671" s="7">
        <f>20*LOG10(MAX(AE671,1E-300)*1E6)</f>
        <v>0</v>
      </c>
      <c r="AI671" s="7">
        <f>20*LOG10(MAX(AF671,1E-300)*1E6)</f>
        <v>0</v>
      </c>
      <c r="AJ671" s="7">
        <f>20*LOG10(MAX(AG671,1E-300)*1E6)</f>
        <v>0</v>
      </c>
      <c r="AK671" s="7">
        <f>DEGREES(IMARGUMENT(AB671))</f>
        <v>0</v>
      </c>
      <c r="AL671" s="7">
        <f>DEGREES(IMARGUMENT(AC671))</f>
        <v>0</v>
      </c>
      <c r="AM671" s="7">
        <f>DEGREES(IMARGUMENT(AD671))</f>
        <v>0</v>
      </c>
    </row>
    <row r="672" spans="1:39">
      <c r="A672" s="6">
        <f>10^(LOG10(F_START)+(ROW()-ROW($A$2))*(LOG10(F_STOP)-LOG10(F_START))/(N_POINTS-1))</f>
        <v>0</v>
      </c>
      <c r="B672" s="6">
        <f>2*PI()*A672</f>
        <v>0</v>
      </c>
      <c r="C672">
        <f>COMPLEX(2*LINE_PS_DCR,2*B672*LINE_PS_L)</f>
        <v>0</v>
      </c>
      <c r="D672">
        <f>IMSUM(COMPLEX(0,B672*(LINE_PS_CLINE+LINE_PS_CCHA/2)),IMDIV("1",IMPRODUCT("2",COMPLEX(C_THROUGH_ESR,B672*C_THROUGH_ESL-1/(B672*C_THROUGH_C)))))</f>
        <v>0</v>
      </c>
      <c r="E672">
        <f>COMPLEX(2*LINE_INPUT_DCR,2*B672*LINE_INPUT_L)</f>
        <v>0</v>
      </c>
      <c r="F672">
        <f>COMPLEX(0,B672*(LINE_INPUT_CLINE+LINE_INPUT_CCHA/2))</f>
        <v>0</v>
      </c>
      <c r="G672">
        <f>IMPRODUCT("2",IMDIV("1",IMSUM(IMDIV("1",COMPLEX(LDM1_DCR,B672*LDM1_L)),COMPLEX(0,B672*LDM1_CPA))))</f>
        <v>0</v>
      </c>
      <c r="H672">
        <f>IMSUM(IMDIV("1",COMPLEX(CX1_ESR,B672*CX1_ESL-1/(B672*CX1_C))),IMDIV("1",IMSUM(COMPLEX(DUMP1_R,0),COMPLEX(DUMP1_ESR,B672*DUMP1_ESL-1/(B672*DUMP1_C)))))</f>
        <v>0</v>
      </c>
      <c r="I672">
        <f>IMPRODUCT("2",IMDIV("1",IMSUM(IMDIV("1",COMPLEX(LDM2_DCR,B672*LDM2_L)),COMPLEX(0,B672*LDM2_CPA))))</f>
        <v>0</v>
      </c>
      <c r="J672">
        <f>IMSUM(IMDIV("1",COMPLEX(CX2_ESR,B672*CX2_ESL-1/(B672*CX2_C))),IMDIV("1",IMSUM(COMPLEX(DUMP2_R,0),COMPLEX(DUMP2_ESR,B672*DUMP2_ESL-1/(B672*DUMP2_C)))))</f>
        <v>0</v>
      </c>
      <c r="K672">
        <f>IMPRODUCT("2",IMDIV("1",IMSUM(IMDIV("1",COMPLEX(CMC_DCR,B672*CMC_L*(1-CMC_K))),COMPLEX(0,B672*CMC_CPA))))</f>
        <v>0</v>
      </c>
      <c r="L672">
        <f>IMSUM(COMPLEX(0,B672*CMC_CLINE),IMDIV("1",IMPRODUCT("2",COMPLEX(CY_ESR,B672*CY_ESL-1/(B672*CY_C)))),COMPLEX(1/DUMMY_R,0))</f>
        <v>0</v>
      </c>
      <c r="M672">
        <f>IMSUM(D672,IMDIV("1",C672))</f>
        <v>0</v>
      </c>
      <c r="N672">
        <f>IMDIV("1",IMSUM(E672,IMDIV("1",M672)))</f>
        <v>0</v>
      </c>
      <c r="O672">
        <f>IMSUM(F672,N672)</f>
        <v>0</v>
      </c>
      <c r="P672">
        <f>IMDIV("1",IMSUM(G672,IMDIV("1",O672)))</f>
        <v>0</v>
      </c>
      <c r="Q672">
        <f>IMSUM(H672,P672)</f>
        <v>0</v>
      </c>
      <c r="R672">
        <f>IMDIV("1",IMSUM(I672,IMDIV("1",Q672)))</f>
        <v>0</v>
      </c>
      <c r="S672">
        <f>IMSUM(J672,R672)</f>
        <v>0</v>
      </c>
      <c r="T672">
        <f>IMDIV("1",IMSUM(K672,IMDIV("1",S672)))</f>
        <v>0</v>
      </c>
      <c r="U672">
        <f>IMSUM(L672,T672)</f>
        <v>0</v>
      </c>
      <c r="V672">
        <f>IMDIV(COMPLEX(I_DM_SOURCE,0),U672)</f>
        <v>0</v>
      </c>
      <c r="W672">
        <f>IMPRODUCT(V672,T672)</f>
        <v>0</v>
      </c>
      <c r="X672">
        <f>IMDIV(W672,S672)</f>
        <v>0</v>
      </c>
      <c r="Y672">
        <f>IMPRODUCT(X672,R672)</f>
        <v>0</v>
      </c>
      <c r="Z672">
        <f>IMDIV(Y672,Q672)</f>
        <v>0</v>
      </c>
      <c r="AA672">
        <f>IMPRODUCT(Z672,P672)</f>
        <v>0</v>
      </c>
      <c r="AB672">
        <f>AA672</f>
        <v>0</v>
      </c>
      <c r="AC672">
        <f>IMPRODUCT("-1",AB672)</f>
        <v>0</v>
      </c>
      <c r="AD672">
        <f>IMDIV(IMSUB(AB672,AC672),"2")</f>
        <v>0</v>
      </c>
      <c r="AE672" s="6">
        <f>IMABS(AB672)</f>
        <v>0</v>
      </c>
      <c r="AF672" s="6">
        <f>IMABS(AC672)</f>
        <v>0</v>
      </c>
      <c r="AG672" s="6">
        <f>IMABS(AD672)</f>
        <v>0</v>
      </c>
      <c r="AH672" s="7">
        <f>20*LOG10(MAX(AE672,1E-300)*1E6)</f>
        <v>0</v>
      </c>
      <c r="AI672" s="7">
        <f>20*LOG10(MAX(AF672,1E-300)*1E6)</f>
        <v>0</v>
      </c>
      <c r="AJ672" s="7">
        <f>20*LOG10(MAX(AG672,1E-300)*1E6)</f>
        <v>0</v>
      </c>
      <c r="AK672" s="7">
        <f>DEGREES(IMARGUMENT(AB672))</f>
        <v>0</v>
      </c>
      <c r="AL672" s="7">
        <f>DEGREES(IMARGUMENT(AC672))</f>
        <v>0</v>
      </c>
      <c r="AM672" s="7">
        <f>DEGREES(IMARGUMENT(AD672))</f>
        <v>0</v>
      </c>
    </row>
    <row r="673" spans="1:39">
      <c r="A673" s="6">
        <f>10^(LOG10(F_START)+(ROW()-ROW($A$2))*(LOG10(F_STOP)-LOG10(F_START))/(N_POINTS-1))</f>
        <v>0</v>
      </c>
      <c r="B673" s="6">
        <f>2*PI()*A673</f>
        <v>0</v>
      </c>
      <c r="C673">
        <f>COMPLEX(2*LINE_PS_DCR,2*B673*LINE_PS_L)</f>
        <v>0</v>
      </c>
      <c r="D673">
        <f>IMSUM(COMPLEX(0,B673*(LINE_PS_CLINE+LINE_PS_CCHA/2)),IMDIV("1",IMPRODUCT("2",COMPLEX(C_THROUGH_ESR,B673*C_THROUGH_ESL-1/(B673*C_THROUGH_C)))))</f>
        <v>0</v>
      </c>
      <c r="E673">
        <f>COMPLEX(2*LINE_INPUT_DCR,2*B673*LINE_INPUT_L)</f>
        <v>0</v>
      </c>
      <c r="F673">
        <f>COMPLEX(0,B673*(LINE_INPUT_CLINE+LINE_INPUT_CCHA/2))</f>
        <v>0</v>
      </c>
      <c r="G673">
        <f>IMPRODUCT("2",IMDIV("1",IMSUM(IMDIV("1",COMPLEX(LDM1_DCR,B673*LDM1_L)),COMPLEX(0,B673*LDM1_CPA))))</f>
        <v>0</v>
      </c>
      <c r="H673">
        <f>IMSUM(IMDIV("1",COMPLEX(CX1_ESR,B673*CX1_ESL-1/(B673*CX1_C))),IMDIV("1",IMSUM(COMPLEX(DUMP1_R,0),COMPLEX(DUMP1_ESR,B673*DUMP1_ESL-1/(B673*DUMP1_C)))))</f>
        <v>0</v>
      </c>
      <c r="I673">
        <f>IMPRODUCT("2",IMDIV("1",IMSUM(IMDIV("1",COMPLEX(LDM2_DCR,B673*LDM2_L)),COMPLEX(0,B673*LDM2_CPA))))</f>
        <v>0</v>
      </c>
      <c r="J673">
        <f>IMSUM(IMDIV("1",COMPLEX(CX2_ESR,B673*CX2_ESL-1/(B673*CX2_C))),IMDIV("1",IMSUM(COMPLEX(DUMP2_R,0),COMPLEX(DUMP2_ESR,B673*DUMP2_ESL-1/(B673*DUMP2_C)))))</f>
        <v>0</v>
      </c>
      <c r="K673">
        <f>IMPRODUCT("2",IMDIV("1",IMSUM(IMDIV("1",COMPLEX(CMC_DCR,B673*CMC_L*(1-CMC_K))),COMPLEX(0,B673*CMC_CPA))))</f>
        <v>0</v>
      </c>
      <c r="L673">
        <f>IMSUM(COMPLEX(0,B673*CMC_CLINE),IMDIV("1",IMPRODUCT("2",COMPLEX(CY_ESR,B673*CY_ESL-1/(B673*CY_C)))),COMPLEX(1/DUMMY_R,0))</f>
        <v>0</v>
      </c>
      <c r="M673">
        <f>IMSUM(D673,IMDIV("1",C673))</f>
        <v>0</v>
      </c>
      <c r="N673">
        <f>IMDIV("1",IMSUM(E673,IMDIV("1",M673)))</f>
        <v>0</v>
      </c>
      <c r="O673">
        <f>IMSUM(F673,N673)</f>
        <v>0</v>
      </c>
      <c r="P673">
        <f>IMDIV("1",IMSUM(G673,IMDIV("1",O673)))</f>
        <v>0</v>
      </c>
      <c r="Q673">
        <f>IMSUM(H673,P673)</f>
        <v>0</v>
      </c>
      <c r="R673">
        <f>IMDIV("1",IMSUM(I673,IMDIV("1",Q673)))</f>
        <v>0</v>
      </c>
      <c r="S673">
        <f>IMSUM(J673,R673)</f>
        <v>0</v>
      </c>
      <c r="T673">
        <f>IMDIV("1",IMSUM(K673,IMDIV("1",S673)))</f>
        <v>0</v>
      </c>
      <c r="U673">
        <f>IMSUM(L673,T673)</f>
        <v>0</v>
      </c>
      <c r="V673">
        <f>IMDIV(COMPLEX(I_DM_SOURCE,0),U673)</f>
        <v>0</v>
      </c>
      <c r="W673">
        <f>IMPRODUCT(V673,T673)</f>
        <v>0</v>
      </c>
      <c r="X673">
        <f>IMDIV(W673,S673)</f>
        <v>0</v>
      </c>
      <c r="Y673">
        <f>IMPRODUCT(X673,R673)</f>
        <v>0</v>
      </c>
      <c r="Z673">
        <f>IMDIV(Y673,Q673)</f>
        <v>0</v>
      </c>
      <c r="AA673">
        <f>IMPRODUCT(Z673,P673)</f>
        <v>0</v>
      </c>
      <c r="AB673">
        <f>AA673</f>
        <v>0</v>
      </c>
      <c r="AC673">
        <f>IMPRODUCT("-1",AB673)</f>
        <v>0</v>
      </c>
      <c r="AD673">
        <f>IMDIV(IMSUB(AB673,AC673),"2")</f>
        <v>0</v>
      </c>
      <c r="AE673" s="6">
        <f>IMABS(AB673)</f>
        <v>0</v>
      </c>
      <c r="AF673" s="6">
        <f>IMABS(AC673)</f>
        <v>0</v>
      </c>
      <c r="AG673" s="6">
        <f>IMABS(AD673)</f>
        <v>0</v>
      </c>
      <c r="AH673" s="7">
        <f>20*LOG10(MAX(AE673,1E-300)*1E6)</f>
        <v>0</v>
      </c>
      <c r="AI673" s="7">
        <f>20*LOG10(MAX(AF673,1E-300)*1E6)</f>
        <v>0</v>
      </c>
      <c r="AJ673" s="7">
        <f>20*LOG10(MAX(AG673,1E-300)*1E6)</f>
        <v>0</v>
      </c>
      <c r="AK673" s="7">
        <f>DEGREES(IMARGUMENT(AB673))</f>
        <v>0</v>
      </c>
      <c r="AL673" s="7">
        <f>DEGREES(IMARGUMENT(AC673))</f>
        <v>0</v>
      </c>
      <c r="AM673" s="7">
        <f>DEGREES(IMARGUMENT(AD673))</f>
        <v>0</v>
      </c>
    </row>
    <row r="674" spans="1:39">
      <c r="A674" s="6">
        <f>10^(LOG10(F_START)+(ROW()-ROW($A$2))*(LOG10(F_STOP)-LOG10(F_START))/(N_POINTS-1))</f>
        <v>0</v>
      </c>
      <c r="B674" s="6">
        <f>2*PI()*A674</f>
        <v>0</v>
      </c>
      <c r="C674">
        <f>COMPLEX(2*LINE_PS_DCR,2*B674*LINE_PS_L)</f>
        <v>0</v>
      </c>
      <c r="D674">
        <f>IMSUM(COMPLEX(0,B674*(LINE_PS_CLINE+LINE_PS_CCHA/2)),IMDIV("1",IMPRODUCT("2",COMPLEX(C_THROUGH_ESR,B674*C_THROUGH_ESL-1/(B674*C_THROUGH_C)))))</f>
        <v>0</v>
      </c>
      <c r="E674">
        <f>COMPLEX(2*LINE_INPUT_DCR,2*B674*LINE_INPUT_L)</f>
        <v>0</v>
      </c>
      <c r="F674">
        <f>COMPLEX(0,B674*(LINE_INPUT_CLINE+LINE_INPUT_CCHA/2))</f>
        <v>0</v>
      </c>
      <c r="G674">
        <f>IMPRODUCT("2",IMDIV("1",IMSUM(IMDIV("1",COMPLEX(LDM1_DCR,B674*LDM1_L)),COMPLEX(0,B674*LDM1_CPA))))</f>
        <v>0</v>
      </c>
      <c r="H674">
        <f>IMSUM(IMDIV("1",COMPLEX(CX1_ESR,B674*CX1_ESL-1/(B674*CX1_C))),IMDIV("1",IMSUM(COMPLEX(DUMP1_R,0),COMPLEX(DUMP1_ESR,B674*DUMP1_ESL-1/(B674*DUMP1_C)))))</f>
        <v>0</v>
      </c>
      <c r="I674">
        <f>IMPRODUCT("2",IMDIV("1",IMSUM(IMDIV("1",COMPLEX(LDM2_DCR,B674*LDM2_L)),COMPLEX(0,B674*LDM2_CPA))))</f>
        <v>0</v>
      </c>
      <c r="J674">
        <f>IMSUM(IMDIV("1",COMPLEX(CX2_ESR,B674*CX2_ESL-1/(B674*CX2_C))),IMDIV("1",IMSUM(COMPLEX(DUMP2_R,0),COMPLEX(DUMP2_ESR,B674*DUMP2_ESL-1/(B674*DUMP2_C)))))</f>
        <v>0</v>
      </c>
      <c r="K674">
        <f>IMPRODUCT("2",IMDIV("1",IMSUM(IMDIV("1",COMPLEX(CMC_DCR,B674*CMC_L*(1-CMC_K))),COMPLEX(0,B674*CMC_CPA))))</f>
        <v>0</v>
      </c>
      <c r="L674">
        <f>IMSUM(COMPLEX(0,B674*CMC_CLINE),IMDIV("1",IMPRODUCT("2",COMPLEX(CY_ESR,B674*CY_ESL-1/(B674*CY_C)))),COMPLEX(1/DUMMY_R,0))</f>
        <v>0</v>
      </c>
      <c r="M674">
        <f>IMSUM(D674,IMDIV("1",C674))</f>
        <v>0</v>
      </c>
      <c r="N674">
        <f>IMDIV("1",IMSUM(E674,IMDIV("1",M674)))</f>
        <v>0</v>
      </c>
      <c r="O674">
        <f>IMSUM(F674,N674)</f>
        <v>0</v>
      </c>
      <c r="P674">
        <f>IMDIV("1",IMSUM(G674,IMDIV("1",O674)))</f>
        <v>0</v>
      </c>
      <c r="Q674">
        <f>IMSUM(H674,P674)</f>
        <v>0</v>
      </c>
      <c r="R674">
        <f>IMDIV("1",IMSUM(I674,IMDIV("1",Q674)))</f>
        <v>0</v>
      </c>
      <c r="S674">
        <f>IMSUM(J674,R674)</f>
        <v>0</v>
      </c>
      <c r="T674">
        <f>IMDIV("1",IMSUM(K674,IMDIV("1",S674)))</f>
        <v>0</v>
      </c>
      <c r="U674">
        <f>IMSUM(L674,T674)</f>
        <v>0</v>
      </c>
      <c r="V674">
        <f>IMDIV(COMPLEX(I_DM_SOURCE,0),U674)</f>
        <v>0</v>
      </c>
      <c r="W674">
        <f>IMPRODUCT(V674,T674)</f>
        <v>0</v>
      </c>
      <c r="X674">
        <f>IMDIV(W674,S674)</f>
        <v>0</v>
      </c>
      <c r="Y674">
        <f>IMPRODUCT(X674,R674)</f>
        <v>0</v>
      </c>
      <c r="Z674">
        <f>IMDIV(Y674,Q674)</f>
        <v>0</v>
      </c>
      <c r="AA674">
        <f>IMPRODUCT(Z674,P674)</f>
        <v>0</v>
      </c>
      <c r="AB674">
        <f>AA674</f>
        <v>0</v>
      </c>
      <c r="AC674">
        <f>IMPRODUCT("-1",AB674)</f>
        <v>0</v>
      </c>
      <c r="AD674">
        <f>IMDIV(IMSUB(AB674,AC674),"2")</f>
        <v>0</v>
      </c>
      <c r="AE674" s="6">
        <f>IMABS(AB674)</f>
        <v>0</v>
      </c>
      <c r="AF674" s="6">
        <f>IMABS(AC674)</f>
        <v>0</v>
      </c>
      <c r="AG674" s="6">
        <f>IMABS(AD674)</f>
        <v>0</v>
      </c>
      <c r="AH674" s="7">
        <f>20*LOG10(MAX(AE674,1E-300)*1E6)</f>
        <v>0</v>
      </c>
      <c r="AI674" s="7">
        <f>20*LOG10(MAX(AF674,1E-300)*1E6)</f>
        <v>0</v>
      </c>
      <c r="AJ674" s="7">
        <f>20*LOG10(MAX(AG674,1E-300)*1E6)</f>
        <v>0</v>
      </c>
      <c r="AK674" s="7">
        <f>DEGREES(IMARGUMENT(AB674))</f>
        <v>0</v>
      </c>
      <c r="AL674" s="7">
        <f>DEGREES(IMARGUMENT(AC674))</f>
        <v>0</v>
      </c>
      <c r="AM674" s="7">
        <f>DEGREES(IMARGUMENT(AD674))</f>
        <v>0</v>
      </c>
    </row>
    <row r="675" spans="1:39">
      <c r="A675" s="6">
        <f>10^(LOG10(F_START)+(ROW()-ROW($A$2))*(LOG10(F_STOP)-LOG10(F_START))/(N_POINTS-1))</f>
        <v>0</v>
      </c>
      <c r="B675" s="6">
        <f>2*PI()*A675</f>
        <v>0</v>
      </c>
      <c r="C675">
        <f>COMPLEX(2*LINE_PS_DCR,2*B675*LINE_PS_L)</f>
        <v>0</v>
      </c>
      <c r="D675">
        <f>IMSUM(COMPLEX(0,B675*(LINE_PS_CLINE+LINE_PS_CCHA/2)),IMDIV("1",IMPRODUCT("2",COMPLEX(C_THROUGH_ESR,B675*C_THROUGH_ESL-1/(B675*C_THROUGH_C)))))</f>
        <v>0</v>
      </c>
      <c r="E675">
        <f>COMPLEX(2*LINE_INPUT_DCR,2*B675*LINE_INPUT_L)</f>
        <v>0</v>
      </c>
      <c r="F675">
        <f>COMPLEX(0,B675*(LINE_INPUT_CLINE+LINE_INPUT_CCHA/2))</f>
        <v>0</v>
      </c>
      <c r="G675">
        <f>IMPRODUCT("2",IMDIV("1",IMSUM(IMDIV("1",COMPLEX(LDM1_DCR,B675*LDM1_L)),COMPLEX(0,B675*LDM1_CPA))))</f>
        <v>0</v>
      </c>
      <c r="H675">
        <f>IMSUM(IMDIV("1",COMPLEX(CX1_ESR,B675*CX1_ESL-1/(B675*CX1_C))),IMDIV("1",IMSUM(COMPLEX(DUMP1_R,0),COMPLEX(DUMP1_ESR,B675*DUMP1_ESL-1/(B675*DUMP1_C)))))</f>
        <v>0</v>
      </c>
      <c r="I675">
        <f>IMPRODUCT("2",IMDIV("1",IMSUM(IMDIV("1",COMPLEX(LDM2_DCR,B675*LDM2_L)),COMPLEX(0,B675*LDM2_CPA))))</f>
        <v>0</v>
      </c>
      <c r="J675">
        <f>IMSUM(IMDIV("1",COMPLEX(CX2_ESR,B675*CX2_ESL-1/(B675*CX2_C))),IMDIV("1",IMSUM(COMPLEX(DUMP2_R,0),COMPLEX(DUMP2_ESR,B675*DUMP2_ESL-1/(B675*DUMP2_C)))))</f>
        <v>0</v>
      </c>
      <c r="K675">
        <f>IMPRODUCT("2",IMDIV("1",IMSUM(IMDIV("1",COMPLEX(CMC_DCR,B675*CMC_L*(1-CMC_K))),COMPLEX(0,B675*CMC_CPA))))</f>
        <v>0</v>
      </c>
      <c r="L675">
        <f>IMSUM(COMPLEX(0,B675*CMC_CLINE),IMDIV("1",IMPRODUCT("2",COMPLEX(CY_ESR,B675*CY_ESL-1/(B675*CY_C)))),COMPLEX(1/DUMMY_R,0))</f>
        <v>0</v>
      </c>
      <c r="M675">
        <f>IMSUM(D675,IMDIV("1",C675))</f>
        <v>0</v>
      </c>
      <c r="N675">
        <f>IMDIV("1",IMSUM(E675,IMDIV("1",M675)))</f>
        <v>0</v>
      </c>
      <c r="O675">
        <f>IMSUM(F675,N675)</f>
        <v>0</v>
      </c>
      <c r="P675">
        <f>IMDIV("1",IMSUM(G675,IMDIV("1",O675)))</f>
        <v>0</v>
      </c>
      <c r="Q675">
        <f>IMSUM(H675,P675)</f>
        <v>0</v>
      </c>
      <c r="R675">
        <f>IMDIV("1",IMSUM(I675,IMDIV("1",Q675)))</f>
        <v>0</v>
      </c>
      <c r="S675">
        <f>IMSUM(J675,R675)</f>
        <v>0</v>
      </c>
      <c r="T675">
        <f>IMDIV("1",IMSUM(K675,IMDIV("1",S675)))</f>
        <v>0</v>
      </c>
      <c r="U675">
        <f>IMSUM(L675,T675)</f>
        <v>0</v>
      </c>
      <c r="V675">
        <f>IMDIV(COMPLEX(I_DM_SOURCE,0),U675)</f>
        <v>0</v>
      </c>
      <c r="W675">
        <f>IMPRODUCT(V675,T675)</f>
        <v>0</v>
      </c>
      <c r="X675">
        <f>IMDIV(W675,S675)</f>
        <v>0</v>
      </c>
      <c r="Y675">
        <f>IMPRODUCT(X675,R675)</f>
        <v>0</v>
      </c>
      <c r="Z675">
        <f>IMDIV(Y675,Q675)</f>
        <v>0</v>
      </c>
      <c r="AA675">
        <f>IMPRODUCT(Z675,P675)</f>
        <v>0</v>
      </c>
      <c r="AB675">
        <f>AA675</f>
        <v>0</v>
      </c>
      <c r="AC675">
        <f>IMPRODUCT("-1",AB675)</f>
        <v>0</v>
      </c>
      <c r="AD675">
        <f>IMDIV(IMSUB(AB675,AC675),"2")</f>
        <v>0</v>
      </c>
      <c r="AE675" s="6">
        <f>IMABS(AB675)</f>
        <v>0</v>
      </c>
      <c r="AF675" s="6">
        <f>IMABS(AC675)</f>
        <v>0</v>
      </c>
      <c r="AG675" s="6">
        <f>IMABS(AD675)</f>
        <v>0</v>
      </c>
      <c r="AH675" s="7">
        <f>20*LOG10(MAX(AE675,1E-300)*1E6)</f>
        <v>0</v>
      </c>
      <c r="AI675" s="7">
        <f>20*LOG10(MAX(AF675,1E-300)*1E6)</f>
        <v>0</v>
      </c>
      <c r="AJ675" s="7">
        <f>20*LOG10(MAX(AG675,1E-300)*1E6)</f>
        <v>0</v>
      </c>
      <c r="AK675" s="7">
        <f>DEGREES(IMARGUMENT(AB675))</f>
        <v>0</v>
      </c>
      <c r="AL675" s="7">
        <f>DEGREES(IMARGUMENT(AC675))</f>
        <v>0</v>
      </c>
      <c r="AM675" s="7">
        <f>DEGREES(IMARGUMENT(AD675))</f>
        <v>0</v>
      </c>
    </row>
    <row r="676" spans="1:39">
      <c r="A676" s="6">
        <f>10^(LOG10(F_START)+(ROW()-ROW($A$2))*(LOG10(F_STOP)-LOG10(F_START))/(N_POINTS-1))</f>
        <v>0</v>
      </c>
      <c r="B676" s="6">
        <f>2*PI()*A676</f>
        <v>0</v>
      </c>
      <c r="C676">
        <f>COMPLEX(2*LINE_PS_DCR,2*B676*LINE_PS_L)</f>
        <v>0</v>
      </c>
      <c r="D676">
        <f>IMSUM(COMPLEX(0,B676*(LINE_PS_CLINE+LINE_PS_CCHA/2)),IMDIV("1",IMPRODUCT("2",COMPLEX(C_THROUGH_ESR,B676*C_THROUGH_ESL-1/(B676*C_THROUGH_C)))))</f>
        <v>0</v>
      </c>
      <c r="E676">
        <f>COMPLEX(2*LINE_INPUT_DCR,2*B676*LINE_INPUT_L)</f>
        <v>0</v>
      </c>
      <c r="F676">
        <f>COMPLEX(0,B676*(LINE_INPUT_CLINE+LINE_INPUT_CCHA/2))</f>
        <v>0</v>
      </c>
      <c r="G676">
        <f>IMPRODUCT("2",IMDIV("1",IMSUM(IMDIV("1",COMPLEX(LDM1_DCR,B676*LDM1_L)),COMPLEX(0,B676*LDM1_CPA))))</f>
        <v>0</v>
      </c>
      <c r="H676">
        <f>IMSUM(IMDIV("1",COMPLEX(CX1_ESR,B676*CX1_ESL-1/(B676*CX1_C))),IMDIV("1",IMSUM(COMPLEX(DUMP1_R,0),COMPLEX(DUMP1_ESR,B676*DUMP1_ESL-1/(B676*DUMP1_C)))))</f>
        <v>0</v>
      </c>
      <c r="I676">
        <f>IMPRODUCT("2",IMDIV("1",IMSUM(IMDIV("1",COMPLEX(LDM2_DCR,B676*LDM2_L)),COMPLEX(0,B676*LDM2_CPA))))</f>
        <v>0</v>
      </c>
      <c r="J676">
        <f>IMSUM(IMDIV("1",COMPLEX(CX2_ESR,B676*CX2_ESL-1/(B676*CX2_C))),IMDIV("1",IMSUM(COMPLEX(DUMP2_R,0),COMPLEX(DUMP2_ESR,B676*DUMP2_ESL-1/(B676*DUMP2_C)))))</f>
        <v>0</v>
      </c>
      <c r="K676">
        <f>IMPRODUCT("2",IMDIV("1",IMSUM(IMDIV("1",COMPLEX(CMC_DCR,B676*CMC_L*(1-CMC_K))),COMPLEX(0,B676*CMC_CPA))))</f>
        <v>0</v>
      </c>
      <c r="L676">
        <f>IMSUM(COMPLEX(0,B676*CMC_CLINE),IMDIV("1",IMPRODUCT("2",COMPLEX(CY_ESR,B676*CY_ESL-1/(B676*CY_C)))),COMPLEX(1/DUMMY_R,0))</f>
        <v>0</v>
      </c>
      <c r="M676">
        <f>IMSUM(D676,IMDIV("1",C676))</f>
        <v>0</v>
      </c>
      <c r="N676">
        <f>IMDIV("1",IMSUM(E676,IMDIV("1",M676)))</f>
        <v>0</v>
      </c>
      <c r="O676">
        <f>IMSUM(F676,N676)</f>
        <v>0</v>
      </c>
      <c r="P676">
        <f>IMDIV("1",IMSUM(G676,IMDIV("1",O676)))</f>
        <v>0</v>
      </c>
      <c r="Q676">
        <f>IMSUM(H676,P676)</f>
        <v>0</v>
      </c>
      <c r="R676">
        <f>IMDIV("1",IMSUM(I676,IMDIV("1",Q676)))</f>
        <v>0</v>
      </c>
      <c r="S676">
        <f>IMSUM(J676,R676)</f>
        <v>0</v>
      </c>
      <c r="T676">
        <f>IMDIV("1",IMSUM(K676,IMDIV("1",S676)))</f>
        <v>0</v>
      </c>
      <c r="U676">
        <f>IMSUM(L676,T676)</f>
        <v>0</v>
      </c>
      <c r="V676">
        <f>IMDIV(COMPLEX(I_DM_SOURCE,0),U676)</f>
        <v>0</v>
      </c>
      <c r="W676">
        <f>IMPRODUCT(V676,T676)</f>
        <v>0</v>
      </c>
      <c r="X676">
        <f>IMDIV(W676,S676)</f>
        <v>0</v>
      </c>
      <c r="Y676">
        <f>IMPRODUCT(X676,R676)</f>
        <v>0</v>
      </c>
      <c r="Z676">
        <f>IMDIV(Y676,Q676)</f>
        <v>0</v>
      </c>
      <c r="AA676">
        <f>IMPRODUCT(Z676,P676)</f>
        <v>0</v>
      </c>
      <c r="AB676">
        <f>AA676</f>
        <v>0</v>
      </c>
      <c r="AC676">
        <f>IMPRODUCT("-1",AB676)</f>
        <v>0</v>
      </c>
      <c r="AD676">
        <f>IMDIV(IMSUB(AB676,AC676),"2")</f>
        <v>0</v>
      </c>
      <c r="AE676" s="6">
        <f>IMABS(AB676)</f>
        <v>0</v>
      </c>
      <c r="AF676" s="6">
        <f>IMABS(AC676)</f>
        <v>0</v>
      </c>
      <c r="AG676" s="6">
        <f>IMABS(AD676)</f>
        <v>0</v>
      </c>
      <c r="AH676" s="7">
        <f>20*LOG10(MAX(AE676,1E-300)*1E6)</f>
        <v>0</v>
      </c>
      <c r="AI676" s="7">
        <f>20*LOG10(MAX(AF676,1E-300)*1E6)</f>
        <v>0</v>
      </c>
      <c r="AJ676" s="7">
        <f>20*LOG10(MAX(AG676,1E-300)*1E6)</f>
        <v>0</v>
      </c>
      <c r="AK676" s="7">
        <f>DEGREES(IMARGUMENT(AB676))</f>
        <v>0</v>
      </c>
      <c r="AL676" s="7">
        <f>DEGREES(IMARGUMENT(AC676))</f>
        <v>0</v>
      </c>
      <c r="AM676" s="7">
        <f>DEGREES(IMARGUMENT(AD676))</f>
        <v>0</v>
      </c>
    </row>
    <row r="677" spans="1:39">
      <c r="A677" s="6">
        <f>10^(LOG10(F_START)+(ROW()-ROW($A$2))*(LOG10(F_STOP)-LOG10(F_START))/(N_POINTS-1))</f>
        <v>0</v>
      </c>
      <c r="B677" s="6">
        <f>2*PI()*A677</f>
        <v>0</v>
      </c>
      <c r="C677">
        <f>COMPLEX(2*LINE_PS_DCR,2*B677*LINE_PS_L)</f>
        <v>0</v>
      </c>
      <c r="D677">
        <f>IMSUM(COMPLEX(0,B677*(LINE_PS_CLINE+LINE_PS_CCHA/2)),IMDIV("1",IMPRODUCT("2",COMPLEX(C_THROUGH_ESR,B677*C_THROUGH_ESL-1/(B677*C_THROUGH_C)))))</f>
        <v>0</v>
      </c>
      <c r="E677">
        <f>COMPLEX(2*LINE_INPUT_DCR,2*B677*LINE_INPUT_L)</f>
        <v>0</v>
      </c>
      <c r="F677">
        <f>COMPLEX(0,B677*(LINE_INPUT_CLINE+LINE_INPUT_CCHA/2))</f>
        <v>0</v>
      </c>
      <c r="G677">
        <f>IMPRODUCT("2",IMDIV("1",IMSUM(IMDIV("1",COMPLEX(LDM1_DCR,B677*LDM1_L)),COMPLEX(0,B677*LDM1_CPA))))</f>
        <v>0</v>
      </c>
      <c r="H677">
        <f>IMSUM(IMDIV("1",COMPLEX(CX1_ESR,B677*CX1_ESL-1/(B677*CX1_C))),IMDIV("1",IMSUM(COMPLEX(DUMP1_R,0),COMPLEX(DUMP1_ESR,B677*DUMP1_ESL-1/(B677*DUMP1_C)))))</f>
        <v>0</v>
      </c>
      <c r="I677">
        <f>IMPRODUCT("2",IMDIV("1",IMSUM(IMDIV("1",COMPLEX(LDM2_DCR,B677*LDM2_L)),COMPLEX(0,B677*LDM2_CPA))))</f>
        <v>0</v>
      </c>
      <c r="J677">
        <f>IMSUM(IMDIV("1",COMPLEX(CX2_ESR,B677*CX2_ESL-1/(B677*CX2_C))),IMDIV("1",IMSUM(COMPLEX(DUMP2_R,0),COMPLEX(DUMP2_ESR,B677*DUMP2_ESL-1/(B677*DUMP2_C)))))</f>
        <v>0</v>
      </c>
      <c r="K677">
        <f>IMPRODUCT("2",IMDIV("1",IMSUM(IMDIV("1",COMPLEX(CMC_DCR,B677*CMC_L*(1-CMC_K))),COMPLEX(0,B677*CMC_CPA))))</f>
        <v>0</v>
      </c>
      <c r="L677">
        <f>IMSUM(COMPLEX(0,B677*CMC_CLINE),IMDIV("1",IMPRODUCT("2",COMPLEX(CY_ESR,B677*CY_ESL-1/(B677*CY_C)))),COMPLEX(1/DUMMY_R,0))</f>
        <v>0</v>
      </c>
      <c r="M677">
        <f>IMSUM(D677,IMDIV("1",C677))</f>
        <v>0</v>
      </c>
      <c r="N677">
        <f>IMDIV("1",IMSUM(E677,IMDIV("1",M677)))</f>
        <v>0</v>
      </c>
      <c r="O677">
        <f>IMSUM(F677,N677)</f>
        <v>0</v>
      </c>
      <c r="P677">
        <f>IMDIV("1",IMSUM(G677,IMDIV("1",O677)))</f>
        <v>0</v>
      </c>
      <c r="Q677">
        <f>IMSUM(H677,P677)</f>
        <v>0</v>
      </c>
      <c r="R677">
        <f>IMDIV("1",IMSUM(I677,IMDIV("1",Q677)))</f>
        <v>0</v>
      </c>
      <c r="S677">
        <f>IMSUM(J677,R677)</f>
        <v>0</v>
      </c>
      <c r="T677">
        <f>IMDIV("1",IMSUM(K677,IMDIV("1",S677)))</f>
        <v>0</v>
      </c>
      <c r="U677">
        <f>IMSUM(L677,T677)</f>
        <v>0</v>
      </c>
      <c r="V677">
        <f>IMDIV(COMPLEX(I_DM_SOURCE,0),U677)</f>
        <v>0</v>
      </c>
      <c r="W677">
        <f>IMPRODUCT(V677,T677)</f>
        <v>0</v>
      </c>
      <c r="X677">
        <f>IMDIV(W677,S677)</f>
        <v>0</v>
      </c>
      <c r="Y677">
        <f>IMPRODUCT(X677,R677)</f>
        <v>0</v>
      </c>
      <c r="Z677">
        <f>IMDIV(Y677,Q677)</f>
        <v>0</v>
      </c>
      <c r="AA677">
        <f>IMPRODUCT(Z677,P677)</f>
        <v>0</v>
      </c>
      <c r="AB677">
        <f>AA677</f>
        <v>0</v>
      </c>
      <c r="AC677">
        <f>IMPRODUCT("-1",AB677)</f>
        <v>0</v>
      </c>
      <c r="AD677">
        <f>IMDIV(IMSUB(AB677,AC677),"2")</f>
        <v>0</v>
      </c>
      <c r="AE677" s="6">
        <f>IMABS(AB677)</f>
        <v>0</v>
      </c>
      <c r="AF677" s="6">
        <f>IMABS(AC677)</f>
        <v>0</v>
      </c>
      <c r="AG677" s="6">
        <f>IMABS(AD677)</f>
        <v>0</v>
      </c>
      <c r="AH677" s="7">
        <f>20*LOG10(MAX(AE677,1E-300)*1E6)</f>
        <v>0</v>
      </c>
      <c r="AI677" s="7">
        <f>20*LOG10(MAX(AF677,1E-300)*1E6)</f>
        <v>0</v>
      </c>
      <c r="AJ677" s="7">
        <f>20*LOG10(MAX(AG677,1E-300)*1E6)</f>
        <v>0</v>
      </c>
      <c r="AK677" s="7">
        <f>DEGREES(IMARGUMENT(AB677))</f>
        <v>0</v>
      </c>
      <c r="AL677" s="7">
        <f>DEGREES(IMARGUMENT(AC677))</f>
        <v>0</v>
      </c>
      <c r="AM677" s="7">
        <f>DEGREES(IMARGUMENT(AD677))</f>
        <v>0</v>
      </c>
    </row>
    <row r="678" spans="1:39">
      <c r="A678" s="6">
        <f>10^(LOG10(F_START)+(ROW()-ROW($A$2))*(LOG10(F_STOP)-LOG10(F_START))/(N_POINTS-1))</f>
        <v>0</v>
      </c>
      <c r="B678" s="6">
        <f>2*PI()*A678</f>
        <v>0</v>
      </c>
      <c r="C678">
        <f>COMPLEX(2*LINE_PS_DCR,2*B678*LINE_PS_L)</f>
        <v>0</v>
      </c>
      <c r="D678">
        <f>IMSUM(COMPLEX(0,B678*(LINE_PS_CLINE+LINE_PS_CCHA/2)),IMDIV("1",IMPRODUCT("2",COMPLEX(C_THROUGH_ESR,B678*C_THROUGH_ESL-1/(B678*C_THROUGH_C)))))</f>
        <v>0</v>
      </c>
      <c r="E678">
        <f>COMPLEX(2*LINE_INPUT_DCR,2*B678*LINE_INPUT_L)</f>
        <v>0</v>
      </c>
      <c r="F678">
        <f>COMPLEX(0,B678*(LINE_INPUT_CLINE+LINE_INPUT_CCHA/2))</f>
        <v>0</v>
      </c>
      <c r="G678">
        <f>IMPRODUCT("2",IMDIV("1",IMSUM(IMDIV("1",COMPLEX(LDM1_DCR,B678*LDM1_L)),COMPLEX(0,B678*LDM1_CPA))))</f>
        <v>0</v>
      </c>
      <c r="H678">
        <f>IMSUM(IMDIV("1",COMPLEX(CX1_ESR,B678*CX1_ESL-1/(B678*CX1_C))),IMDIV("1",IMSUM(COMPLEX(DUMP1_R,0),COMPLEX(DUMP1_ESR,B678*DUMP1_ESL-1/(B678*DUMP1_C)))))</f>
        <v>0</v>
      </c>
      <c r="I678">
        <f>IMPRODUCT("2",IMDIV("1",IMSUM(IMDIV("1",COMPLEX(LDM2_DCR,B678*LDM2_L)),COMPLEX(0,B678*LDM2_CPA))))</f>
        <v>0</v>
      </c>
      <c r="J678">
        <f>IMSUM(IMDIV("1",COMPLEX(CX2_ESR,B678*CX2_ESL-1/(B678*CX2_C))),IMDIV("1",IMSUM(COMPLEX(DUMP2_R,0),COMPLEX(DUMP2_ESR,B678*DUMP2_ESL-1/(B678*DUMP2_C)))))</f>
        <v>0</v>
      </c>
      <c r="K678">
        <f>IMPRODUCT("2",IMDIV("1",IMSUM(IMDIV("1",COMPLEX(CMC_DCR,B678*CMC_L*(1-CMC_K))),COMPLEX(0,B678*CMC_CPA))))</f>
        <v>0</v>
      </c>
      <c r="L678">
        <f>IMSUM(COMPLEX(0,B678*CMC_CLINE),IMDIV("1",IMPRODUCT("2",COMPLEX(CY_ESR,B678*CY_ESL-1/(B678*CY_C)))),COMPLEX(1/DUMMY_R,0))</f>
        <v>0</v>
      </c>
      <c r="M678">
        <f>IMSUM(D678,IMDIV("1",C678))</f>
        <v>0</v>
      </c>
      <c r="N678">
        <f>IMDIV("1",IMSUM(E678,IMDIV("1",M678)))</f>
        <v>0</v>
      </c>
      <c r="O678">
        <f>IMSUM(F678,N678)</f>
        <v>0</v>
      </c>
      <c r="P678">
        <f>IMDIV("1",IMSUM(G678,IMDIV("1",O678)))</f>
        <v>0</v>
      </c>
      <c r="Q678">
        <f>IMSUM(H678,P678)</f>
        <v>0</v>
      </c>
      <c r="R678">
        <f>IMDIV("1",IMSUM(I678,IMDIV("1",Q678)))</f>
        <v>0</v>
      </c>
      <c r="S678">
        <f>IMSUM(J678,R678)</f>
        <v>0</v>
      </c>
      <c r="T678">
        <f>IMDIV("1",IMSUM(K678,IMDIV("1",S678)))</f>
        <v>0</v>
      </c>
      <c r="U678">
        <f>IMSUM(L678,T678)</f>
        <v>0</v>
      </c>
      <c r="V678">
        <f>IMDIV(COMPLEX(I_DM_SOURCE,0),U678)</f>
        <v>0</v>
      </c>
      <c r="W678">
        <f>IMPRODUCT(V678,T678)</f>
        <v>0</v>
      </c>
      <c r="X678">
        <f>IMDIV(W678,S678)</f>
        <v>0</v>
      </c>
      <c r="Y678">
        <f>IMPRODUCT(X678,R678)</f>
        <v>0</v>
      </c>
      <c r="Z678">
        <f>IMDIV(Y678,Q678)</f>
        <v>0</v>
      </c>
      <c r="AA678">
        <f>IMPRODUCT(Z678,P678)</f>
        <v>0</v>
      </c>
      <c r="AB678">
        <f>AA678</f>
        <v>0</v>
      </c>
      <c r="AC678">
        <f>IMPRODUCT("-1",AB678)</f>
        <v>0</v>
      </c>
      <c r="AD678">
        <f>IMDIV(IMSUB(AB678,AC678),"2")</f>
        <v>0</v>
      </c>
      <c r="AE678" s="6">
        <f>IMABS(AB678)</f>
        <v>0</v>
      </c>
      <c r="AF678" s="6">
        <f>IMABS(AC678)</f>
        <v>0</v>
      </c>
      <c r="AG678" s="6">
        <f>IMABS(AD678)</f>
        <v>0</v>
      </c>
      <c r="AH678" s="7">
        <f>20*LOG10(MAX(AE678,1E-300)*1E6)</f>
        <v>0</v>
      </c>
      <c r="AI678" s="7">
        <f>20*LOG10(MAX(AF678,1E-300)*1E6)</f>
        <v>0</v>
      </c>
      <c r="AJ678" s="7">
        <f>20*LOG10(MAX(AG678,1E-300)*1E6)</f>
        <v>0</v>
      </c>
      <c r="AK678" s="7">
        <f>DEGREES(IMARGUMENT(AB678))</f>
        <v>0</v>
      </c>
      <c r="AL678" s="7">
        <f>DEGREES(IMARGUMENT(AC678))</f>
        <v>0</v>
      </c>
      <c r="AM678" s="7">
        <f>DEGREES(IMARGUMENT(AD678))</f>
        <v>0</v>
      </c>
    </row>
    <row r="679" spans="1:39">
      <c r="A679" s="6">
        <f>10^(LOG10(F_START)+(ROW()-ROW($A$2))*(LOG10(F_STOP)-LOG10(F_START))/(N_POINTS-1))</f>
        <v>0</v>
      </c>
      <c r="B679" s="6">
        <f>2*PI()*A679</f>
        <v>0</v>
      </c>
      <c r="C679">
        <f>COMPLEX(2*LINE_PS_DCR,2*B679*LINE_PS_L)</f>
        <v>0</v>
      </c>
      <c r="D679">
        <f>IMSUM(COMPLEX(0,B679*(LINE_PS_CLINE+LINE_PS_CCHA/2)),IMDIV("1",IMPRODUCT("2",COMPLEX(C_THROUGH_ESR,B679*C_THROUGH_ESL-1/(B679*C_THROUGH_C)))))</f>
        <v>0</v>
      </c>
      <c r="E679">
        <f>COMPLEX(2*LINE_INPUT_DCR,2*B679*LINE_INPUT_L)</f>
        <v>0</v>
      </c>
      <c r="F679">
        <f>COMPLEX(0,B679*(LINE_INPUT_CLINE+LINE_INPUT_CCHA/2))</f>
        <v>0</v>
      </c>
      <c r="G679">
        <f>IMPRODUCT("2",IMDIV("1",IMSUM(IMDIV("1",COMPLEX(LDM1_DCR,B679*LDM1_L)),COMPLEX(0,B679*LDM1_CPA))))</f>
        <v>0</v>
      </c>
      <c r="H679">
        <f>IMSUM(IMDIV("1",COMPLEX(CX1_ESR,B679*CX1_ESL-1/(B679*CX1_C))),IMDIV("1",IMSUM(COMPLEX(DUMP1_R,0),COMPLEX(DUMP1_ESR,B679*DUMP1_ESL-1/(B679*DUMP1_C)))))</f>
        <v>0</v>
      </c>
      <c r="I679">
        <f>IMPRODUCT("2",IMDIV("1",IMSUM(IMDIV("1",COMPLEX(LDM2_DCR,B679*LDM2_L)),COMPLEX(0,B679*LDM2_CPA))))</f>
        <v>0</v>
      </c>
      <c r="J679">
        <f>IMSUM(IMDIV("1",COMPLEX(CX2_ESR,B679*CX2_ESL-1/(B679*CX2_C))),IMDIV("1",IMSUM(COMPLEX(DUMP2_R,0),COMPLEX(DUMP2_ESR,B679*DUMP2_ESL-1/(B679*DUMP2_C)))))</f>
        <v>0</v>
      </c>
      <c r="K679">
        <f>IMPRODUCT("2",IMDIV("1",IMSUM(IMDIV("1",COMPLEX(CMC_DCR,B679*CMC_L*(1-CMC_K))),COMPLEX(0,B679*CMC_CPA))))</f>
        <v>0</v>
      </c>
      <c r="L679">
        <f>IMSUM(COMPLEX(0,B679*CMC_CLINE),IMDIV("1",IMPRODUCT("2",COMPLEX(CY_ESR,B679*CY_ESL-1/(B679*CY_C)))),COMPLEX(1/DUMMY_R,0))</f>
        <v>0</v>
      </c>
      <c r="M679">
        <f>IMSUM(D679,IMDIV("1",C679))</f>
        <v>0</v>
      </c>
      <c r="N679">
        <f>IMDIV("1",IMSUM(E679,IMDIV("1",M679)))</f>
        <v>0</v>
      </c>
      <c r="O679">
        <f>IMSUM(F679,N679)</f>
        <v>0</v>
      </c>
      <c r="P679">
        <f>IMDIV("1",IMSUM(G679,IMDIV("1",O679)))</f>
        <v>0</v>
      </c>
      <c r="Q679">
        <f>IMSUM(H679,P679)</f>
        <v>0</v>
      </c>
      <c r="R679">
        <f>IMDIV("1",IMSUM(I679,IMDIV("1",Q679)))</f>
        <v>0</v>
      </c>
      <c r="S679">
        <f>IMSUM(J679,R679)</f>
        <v>0</v>
      </c>
      <c r="T679">
        <f>IMDIV("1",IMSUM(K679,IMDIV("1",S679)))</f>
        <v>0</v>
      </c>
      <c r="U679">
        <f>IMSUM(L679,T679)</f>
        <v>0</v>
      </c>
      <c r="V679">
        <f>IMDIV(COMPLEX(I_DM_SOURCE,0),U679)</f>
        <v>0</v>
      </c>
      <c r="W679">
        <f>IMPRODUCT(V679,T679)</f>
        <v>0</v>
      </c>
      <c r="X679">
        <f>IMDIV(W679,S679)</f>
        <v>0</v>
      </c>
      <c r="Y679">
        <f>IMPRODUCT(X679,R679)</f>
        <v>0</v>
      </c>
      <c r="Z679">
        <f>IMDIV(Y679,Q679)</f>
        <v>0</v>
      </c>
      <c r="AA679">
        <f>IMPRODUCT(Z679,P679)</f>
        <v>0</v>
      </c>
      <c r="AB679">
        <f>AA679</f>
        <v>0</v>
      </c>
      <c r="AC679">
        <f>IMPRODUCT("-1",AB679)</f>
        <v>0</v>
      </c>
      <c r="AD679">
        <f>IMDIV(IMSUB(AB679,AC679),"2")</f>
        <v>0</v>
      </c>
      <c r="AE679" s="6">
        <f>IMABS(AB679)</f>
        <v>0</v>
      </c>
      <c r="AF679" s="6">
        <f>IMABS(AC679)</f>
        <v>0</v>
      </c>
      <c r="AG679" s="6">
        <f>IMABS(AD679)</f>
        <v>0</v>
      </c>
      <c r="AH679" s="7">
        <f>20*LOG10(MAX(AE679,1E-300)*1E6)</f>
        <v>0</v>
      </c>
      <c r="AI679" s="7">
        <f>20*LOG10(MAX(AF679,1E-300)*1E6)</f>
        <v>0</v>
      </c>
      <c r="AJ679" s="7">
        <f>20*LOG10(MAX(AG679,1E-300)*1E6)</f>
        <v>0</v>
      </c>
      <c r="AK679" s="7">
        <f>DEGREES(IMARGUMENT(AB679))</f>
        <v>0</v>
      </c>
      <c r="AL679" s="7">
        <f>DEGREES(IMARGUMENT(AC679))</f>
        <v>0</v>
      </c>
      <c r="AM679" s="7">
        <f>DEGREES(IMARGUMENT(AD679))</f>
        <v>0</v>
      </c>
    </row>
    <row r="680" spans="1:39">
      <c r="A680" s="6">
        <f>10^(LOG10(F_START)+(ROW()-ROW($A$2))*(LOG10(F_STOP)-LOG10(F_START))/(N_POINTS-1))</f>
        <v>0</v>
      </c>
      <c r="B680" s="6">
        <f>2*PI()*A680</f>
        <v>0</v>
      </c>
      <c r="C680">
        <f>COMPLEX(2*LINE_PS_DCR,2*B680*LINE_PS_L)</f>
        <v>0</v>
      </c>
      <c r="D680">
        <f>IMSUM(COMPLEX(0,B680*(LINE_PS_CLINE+LINE_PS_CCHA/2)),IMDIV("1",IMPRODUCT("2",COMPLEX(C_THROUGH_ESR,B680*C_THROUGH_ESL-1/(B680*C_THROUGH_C)))))</f>
        <v>0</v>
      </c>
      <c r="E680">
        <f>COMPLEX(2*LINE_INPUT_DCR,2*B680*LINE_INPUT_L)</f>
        <v>0</v>
      </c>
      <c r="F680">
        <f>COMPLEX(0,B680*(LINE_INPUT_CLINE+LINE_INPUT_CCHA/2))</f>
        <v>0</v>
      </c>
      <c r="G680">
        <f>IMPRODUCT("2",IMDIV("1",IMSUM(IMDIV("1",COMPLEX(LDM1_DCR,B680*LDM1_L)),COMPLEX(0,B680*LDM1_CPA))))</f>
        <v>0</v>
      </c>
      <c r="H680">
        <f>IMSUM(IMDIV("1",COMPLEX(CX1_ESR,B680*CX1_ESL-1/(B680*CX1_C))),IMDIV("1",IMSUM(COMPLEX(DUMP1_R,0),COMPLEX(DUMP1_ESR,B680*DUMP1_ESL-1/(B680*DUMP1_C)))))</f>
        <v>0</v>
      </c>
      <c r="I680">
        <f>IMPRODUCT("2",IMDIV("1",IMSUM(IMDIV("1",COMPLEX(LDM2_DCR,B680*LDM2_L)),COMPLEX(0,B680*LDM2_CPA))))</f>
        <v>0</v>
      </c>
      <c r="J680">
        <f>IMSUM(IMDIV("1",COMPLEX(CX2_ESR,B680*CX2_ESL-1/(B680*CX2_C))),IMDIV("1",IMSUM(COMPLEX(DUMP2_R,0),COMPLEX(DUMP2_ESR,B680*DUMP2_ESL-1/(B680*DUMP2_C)))))</f>
        <v>0</v>
      </c>
      <c r="K680">
        <f>IMPRODUCT("2",IMDIV("1",IMSUM(IMDIV("1",COMPLEX(CMC_DCR,B680*CMC_L*(1-CMC_K))),COMPLEX(0,B680*CMC_CPA))))</f>
        <v>0</v>
      </c>
      <c r="L680">
        <f>IMSUM(COMPLEX(0,B680*CMC_CLINE),IMDIV("1",IMPRODUCT("2",COMPLEX(CY_ESR,B680*CY_ESL-1/(B680*CY_C)))),COMPLEX(1/DUMMY_R,0))</f>
        <v>0</v>
      </c>
      <c r="M680">
        <f>IMSUM(D680,IMDIV("1",C680))</f>
        <v>0</v>
      </c>
      <c r="N680">
        <f>IMDIV("1",IMSUM(E680,IMDIV("1",M680)))</f>
        <v>0</v>
      </c>
      <c r="O680">
        <f>IMSUM(F680,N680)</f>
        <v>0</v>
      </c>
      <c r="P680">
        <f>IMDIV("1",IMSUM(G680,IMDIV("1",O680)))</f>
        <v>0</v>
      </c>
      <c r="Q680">
        <f>IMSUM(H680,P680)</f>
        <v>0</v>
      </c>
      <c r="R680">
        <f>IMDIV("1",IMSUM(I680,IMDIV("1",Q680)))</f>
        <v>0</v>
      </c>
      <c r="S680">
        <f>IMSUM(J680,R680)</f>
        <v>0</v>
      </c>
      <c r="T680">
        <f>IMDIV("1",IMSUM(K680,IMDIV("1",S680)))</f>
        <v>0</v>
      </c>
      <c r="U680">
        <f>IMSUM(L680,T680)</f>
        <v>0</v>
      </c>
      <c r="V680">
        <f>IMDIV(COMPLEX(I_DM_SOURCE,0),U680)</f>
        <v>0</v>
      </c>
      <c r="W680">
        <f>IMPRODUCT(V680,T680)</f>
        <v>0</v>
      </c>
      <c r="X680">
        <f>IMDIV(W680,S680)</f>
        <v>0</v>
      </c>
      <c r="Y680">
        <f>IMPRODUCT(X680,R680)</f>
        <v>0</v>
      </c>
      <c r="Z680">
        <f>IMDIV(Y680,Q680)</f>
        <v>0</v>
      </c>
      <c r="AA680">
        <f>IMPRODUCT(Z680,P680)</f>
        <v>0</v>
      </c>
      <c r="AB680">
        <f>AA680</f>
        <v>0</v>
      </c>
      <c r="AC680">
        <f>IMPRODUCT("-1",AB680)</f>
        <v>0</v>
      </c>
      <c r="AD680">
        <f>IMDIV(IMSUB(AB680,AC680),"2")</f>
        <v>0</v>
      </c>
      <c r="AE680" s="6">
        <f>IMABS(AB680)</f>
        <v>0</v>
      </c>
      <c r="AF680" s="6">
        <f>IMABS(AC680)</f>
        <v>0</v>
      </c>
      <c r="AG680" s="6">
        <f>IMABS(AD680)</f>
        <v>0</v>
      </c>
      <c r="AH680" s="7">
        <f>20*LOG10(MAX(AE680,1E-300)*1E6)</f>
        <v>0</v>
      </c>
      <c r="AI680" s="7">
        <f>20*LOG10(MAX(AF680,1E-300)*1E6)</f>
        <v>0</v>
      </c>
      <c r="AJ680" s="7">
        <f>20*LOG10(MAX(AG680,1E-300)*1E6)</f>
        <v>0</v>
      </c>
      <c r="AK680" s="7">
        <f>DEGREES(IMARGUMENT(AB680))</f>
        <v>0</v>
      </c>
      <c r="AL680" s="7">
        <f>DEGREES(IMARGUMENT(AC680))</f>
        <v>0</v>
      </c>
      <c r="AM680" s="7">
        <f>DEGREES(IMARGUMENT(AD680))</f>
        <v>0</v>
      </c>
    </row>
    <row r="681" spans="1:39">
      <c r="A681" s="6">
        <f>10^(LOG10(F_START)+(ROW()-ROW($A$2))*(LOG10(F_STOP)-LOG10(F_START))/(N_POINTS-1))</f>
        <v>0</v>
      </c>
      <c r="B681" s="6">
        <f>2*PI()*A681</f>
        <v>0</v>
      </c>
      <c r="C681">
        <f>COMPLEX(2*LINE_PS_DCR,2*B681*LINE_PS_L)</f>
        <v>0</v>
      </c>
      <c r="D681">
        <f>IMSUM(COMPLEX(0,B681*(LINE_PS_CLINE+LINE_PS_CCHA/2)),IMDIV("1",IMPRODUCT("2",COMPLEX(C_THROUGH_ESR,B681*C_THROUGH_ESL-1/(B681*C_THROUGH_C)))))</f>
        <v>0</v>
      </c>
      <c r="E681">
        <f>COMPLEX(2*LINE_INPUT_DCR,2*B681*LINE_INPUT_L)</f>
        <v>0</v>
      </c>
      <c r="F681">
        <f>COMPLEX(0,B681*(LINE_INPUT_CLINE+LINE_INPUT_CCHA/2))</f>
        <v>0</v>
      </c>
      <c r="G681">
        <f>IMPRODUCT("2",IMDIV("1",IMSUM(IMDIV("1",COMPLEX(LDM1_DCR,B681*LDM1_L)),COMPLEX(0,B681*LDM1_CPA))))</f>
        <v>0</v>
      </c>
      <c r="H681">
        <f>IMSUM(IMDIV("1",COMPLEX(CX1_ESR,B681*CX1_ESL-1/(B681*CX1_C))),IMDIV("1",IMSUM(COMPLEX(DUMP1_R,0),COMPLEX(DUMP1_ESR,B681*DUMP1_ESL-1/(B681*DUMP1_C)))))</f>
        <v>0</v>
      </c>
      <c r="I681">
        <f>IMPRODUCT("2",IMDIV("1",IMSUM(IMDIV("1",COMPLEX(LDM2_DCR,B681*LDM2_L)),COMPLEX(0,B681*LDM2_CPA))))</f>
        <v>0</v>
      </c>
      <c r="J681">
        <f>IMSUM(IMDIV("1",COMPLEX(CX2_ESR,B681*CX2_ESL-1/(B681*CX2_C))),IMDIV("1",IMSUM(COMPLEX(DUMP2_R,0),COMPLEX(DUMP2_ESR,B681*DUMP2_ESL-1/(B681*DUMP2_C)))))</f>
        <v>0</v>
      </c>
      <c r="K681">
        <f>IMPRODUCT("2",IMDIV("1",IMSUM(IMDIV("1",COMPLEX(CMC_DCR,B681*CMC_L*(1-CMC_K))),COMPLEX(0,B681*CMC_CPA))))</f>
        <v>0</v>
      </c>
      <c r="L681">
        <f>IMSUM(COMPLEX(0,B681*CMC_CLINE),IMDIV("1",IMPRODUCT("2",COMPLEX(CY_ESR,B681*CY_ESL-1/(B681*CY_C)))),COMPLEX(1/DUMMY_R,0))</f>
        <v>0</v>
      </c>
      <c r="M681">
        <f>IMSUM(D681,IMDIV("1",C681))</f>
        <v>0</v>
      </c>
      <c r="N681">
        <f>IMDIV("1",IMSUM(E681,IMDIV("1",M681)))</f>
        <v>0</v>
      </c>
      <c r="O681">
        <f>IMSUM(F681,N681)</f>
        <v>0</v>
      </c>
      <c r="P681">
        <f>IMDIV("1",IMSUM(G681,IMDIV("1",O681)))</f>
        <v>0</v>
      </c>
      <c r="Q681">
        <f>IMSUM(H681,P681)</f>
        <v>0</v>
      </c>
      <c r="R681">
        <f>IMDIV("1",IMSUM(I681,IMDIV("1",Q681)))</f>
        <v>0</v>
      </c>
      <c r="S681">
        <f>IMSUM(J681,R681)</f>
        <v>0</v>
      </c>
      <c r="T681">
        <f>IMDIV("1",IMSUM(K681,IMDIV("1",S681)))</f>
        <v>0</v>
      </c>
      <c r="U681">
        <f>IMSUM(L681,T681)</f>
        <v>0</v>
      </c>
      <c r="V681">
        <f>IMDIV(COMPLEX(I_DM_SOURCE,0),U681)</f>
        <v>0</v>
      </c>
      <c r="W681">
        <f>IMPRODUCT(V681,T681)</f>
        <v>0</v>
      </c>
      <c r="X681">
        <f>IMDIV(W681,S681)</f>
        <v>0</v>
      </c>
      <c r="Y681">
        <f>IMPRODUCT(X681,R681)</f>
        <v>0</v>
      </c>
      <c r="Z681">
        <f>IMDIV(Y681,Q681)</f>
        <v>0</v>
      </c>
      <c r="AA681">
        <f>IMPRODUCT(Z681,P681)</f>
        <v>0</v>
      </c>
      <c r="AB681">
        <f>AA681</f>
        <v>0</v>
      </c>
      <c r="AC681">
        <f>IMPRODUCT("-1",AB681)</f>
        <v>0</v>
      </c>
      <c r="AD681">
        <f>IMDIV(IMSUB(AB681,AC681),"2")</f>
        <v>0</v>
      </c>
      <c r="AE681" s="6">
        <f>IMABS(AB681)</f>
        <v>0</v>
      </c>
      <c r="AF681" s="6">
        <f>IMABS(AC681)</f>
        <v>0</v>
      </c>
      <c r="AG681" s="6">
        <f>IMABS(AD681)</f>
        <v>0</v>
      </c>
      <c r="AH681" s="7">
        <f>20*LOG10(MAX(AE681,1E-300)*1E6)</f>
        <v>0</v>
      </c>
      <c r="AI681" s="7">
        <f>20*LOG10(MAX(AF681,1E-300)*1E6)</f>
        <v>0</v>
      </c>
      <c r="AJ681" s="7">
        <f>20*LOG10(MAX(AG681,1E-300)*1E6)</f>
        <v>0</v>
      </c>
      <c r="AK681" s="7">
        <f>DEGREES(IMARGUMENT(AB681))</f>
        <v>0</v>
      </c>
      <c r="AL681" s="7">
        <f>DEGREES(IMARGUMENT(AC681))</f>
        <v>0</v>
      </c>
      <c r="AM681" s="7">
        <f>DEGREES(IMARGUMENT(AD681))</f>
        <v>0</v>
      </c>
    </row>
    <row r="682" spans="1:39">
      <c r="A682" s="6">
        <f>10^(LOG10(F_START)+(ROW()-ROW($A$2))*(LOG10(F_STOP)-LOG10(F_START))/(N_POINTS-1))</f>
        <v>0</v>
      </c>
      <c r="B682" s="6">
        <f>2*PI()*A682</f>
        <v>0</v>
      </c>
      <c r="C682">
        <f>COMPLEX(2*LINE_PS_DCR,2*B682*LINE_PS_L)</f>
        <v>0</v>
      </c>
      <c r="D682">
        <f>IMSUM(COMPLEX(0,B682*(LINE_PS_CLINE+LINE_PS_CCHA/2)),IMDIV("1",IMPRODUCT("2",COMPLEX(C_THROUGH_ESR,B682*C_THROUGH_ESL-1/(B682*C_THROUGH_C)))))</f>
        <v>0</v>
      </c>
      <c r="E682">
        <f>COMPLEX(2*LINE_INPUT_DCR,2*B682*LINE_INPUT_L)</f>
        <v>0</v>
      </c>
      <c r="F682">
        <f>COMPLEX(0,B682*(LINE_INPUT_CLINE+LINE_INPUT_CCHA/2))</f>
        <v>0</v>
      </c>
      <c r="G682">
        <f>IMPRODUCT("2",IMDIV("1",IMSUM(IMDIV("1",COMPLEX(LDM1_DCR,B682*LDM1_L)),COMPLEX(0,B682*LDM1_CPA))))</f>
        <v>0</v>
      </c>
      <c r="H682">
        <f>IMSUM(IMDIV("1",COMPLEX(CX1_ESR,B682*CX1_ESL-1/(B682*CX1_C))),IMDIV("1",IMSUM(COMPLEX(DUMP1_R,0),COMPLEX(DUMP1_ESR,B682*DUMP1_ESL-1/(B682*DUMP1_C)))))</f>
        <v>0</v>
      </c>
      <c r="I682">
        <f>IMPRODUCT("2",IMDIV("1",IMSUM(IMDIV("1",COMPLEX(LDM2_DCR,B682*LDM2_L)),COMPLEX(0,B682*LDM2_CPA))))</f>
        <v>0</v>
      </c>
      <c r="J682">
        <f>IMSUM(IMDIV("1",COMPLEX(CX2_ESR,B682*CX2_ESL-1/(B682*CX2_C))),IMDIV("1",IMSUM(COMPLEX(DUMP2_R,0),COMPLEX(DUMP2_ESR,B682*DUMP2_ESL-1/(B682*DUMP2_C)))))</f>
        <v>0</v>
      </c>
      <c r="K682">
        <f>IMPRODUCT("2",IMDIV("1",IMSUM(IMDIV("1",COMPLEX(CMC_DCR,B682*CMC_L*(1-CMC_K))),COMPLEX(0,B682*CMC_CPA))))</f>
        <v>0</v>
      </c>
      <c r="L682">
        <f>IMSUM(COMPLEX(0,B682*CMC_CLINE),IMDIV("1",IMPRODUCT("2",COMPLEX(CY_ESR,B682*CY_ESL-1/(B682*CY_C)))),COMPLEX(1/DUMMY_R,0))</f>
        <v>0</v>
      </c>
      <c r="M682">
        <f>IMSUM(D682,IMDIV("1",C682))</f>
        <v>0</v>
      </c>
      <c r="N682">
        <f>IMDIV("1",IMSUM(E682,IMDIV("1",M682)))</f>
        <v>0</v>
      </c>
      <c r="O682">
        <f>IMSUM(F682,N682)</f>
        <v>0</v>
      </c>
      <c r="P682">
        <f>IMDIV("1",IMSUM(G682,IMDIV("1",O682)))</f>
        <v>0</v>
      </c>
      <c r="Q682">
        <f>IMSUM(H682,P682)</f>
        <v>0</v>
      </c>
      <c r="R682">
        <f>IMDIV("1",IMSUM(I682,IMDIV("1",Q682)))</f>
        <v>0</v>
      </c>
      <c r="S682">
        <f>IMSUM(J682,R682)</f>
        <v>0</v>
      </c>
      <c r="T682">
        <f>IMDIV("1",IMSUM(K682,IMDIV("1",S682)))</f>
        <v>0</v>
      </c>
      <c r="U682">
        <f>IMSUM(L682,T682)</f>
        <v>0</v>
      </c>
      <c r="V682">
        <f>IMDIV(COMPLEX(I_DM_SOURCE,0),U682)</f>
        <v>0</v>
      </c>
      <c r="W682">
        <f>IMPRODUCT(V682,T682)</f>
        <v>0</v>
      </c>
      <c r="X682">
        <f>IMDIV(W682,S682)</f>
        <v>0</v>
      </c>
      <c r="Y682">
        <f>IMPRODUCT(X682,R682)</f>
        <v>0</v>
      </c>
      <c r="Z682">
        <f>IMDIV(Y682,Q682)</f>
        <v>0</v>
      </c>
      <c r="AA682">
        <f>IMPRODUCT(Z682,P682)</f>
        <v>0</v>
      </c>
      <c r="AB682">
        <f>AA682</f>
        <v>0</v>
      </c>
      <c r="AC682">
        <f>IMPRODUCT("-1",AB682)</f>
        <v>0</v>
      </c>
      <c r="AD682">
        <f>IMDIV(IMSUB(AB682,AC682),"2")</f>
        <v>0</v>
      </c>
      <c r="AE682" s="6">
        <f>IMABS(AB682)</f>
        <v>0</v>
      </c>
      <c r="AF682" s="6">
        <f>IMABS(AC682)</f>
        <v>0</v>
      </c>
      <c r="AG682" s="6">
        <f>IMABS(AD682)</f>
        <v>0</v>
      </c>
      <c r="AH682" s="7">
        <f>20*LOG10(MAX(AE682,1E-300)*1E6)</f>
        <v>0</v>
      </c>
      <c r="AI682" s="7">
        <f>20*LOG10(MAX(AF682,1E-300)*1E6)</f>
        <v>0</v>
      </c>
      <c r="AJ682" s="7">
        <f>20*LOG10(MAX(AG682,1E-300)*1E6)</f>
        <v>0</v>
      </c>
      <c r="AK682" s="7">
        <f>DEGREES(IMARGUMENT(AB682))</f>
        <v>0</v>
      </c>
      <c r="AL682" s="7">
        <f>DEGREES(IMARGUMENT(AC682))</f>
        <v>0</v>
      </c>
      <c r="AM682" s="7">
        <f>DEGREES(IMARGUMENT(AD682))</f>
        <v>0</v>
      </c>
    </row>
    <row r="683" spans="1:39">
      <c r="A683" s="6">
        <f>10^(LOG10(F_START)+(ROW()-ROW($A$2))*(LOG10(F_STOP)-LOG10(F_START))/(N_POINTS-1))</f>
        <v>0</v>
      </c>
      <c r="B683" s="6">
        <f>2*PI()*A683</f>
        <v>0</v>
      </c>
      <c r="C683">
        <f>COMPLEX(2*LINE_PS_DCR,2*B683*LINE_PS_L)</f>
        <v>0</v>
      </c>
      <c r="D683">
        <f>IMSUM(COMPLEX(0,B683*(LINE_PS_CLINE+LINE_PS_CCHA/2)),IMDIV("1",IMPRODUCT("2",COMPLEX(C_THROUGH_ESR,B683*C_THROUGH_ESL-1/(B683*C_THROUGH_C)))))</f>
        <v>0</v>
      </c>
      <c r="E683">
        <f>COMPLEX(2*LINE_INPUT_DCR,2*B683*LINE_INPUT_L)</f>
        <v>0</v>
      </c>
      <c r="F683">
        <f>COMPLEX(0,B683*(LINE_INPUT_CLINE+LINE_INPUT_CCHA/2))</f>
        <v>0</v>
      </c>
      <c r="G683">
        <f>IMPRODUCT("2",IMDIV("1",IMSUM(IMDIV("1",COMPLEX(LDM1_DCR,B683*LDM1_L)),COMPLEX(0,B683*LDM1_CPA))))</f>
        <v>0</v>
      </c>
      <c r="H683">
        <f>IMSUM(IMDIV("1",COMPLEX(CX1_ESR,B683*CX1_ESL-1/(B683*CX1_C))),IMDIV("1",IMSUM(COMPLEX(DUMP1_R,0),COMPLEX(DUMP1_ESR,B683*DUMP1_ESL-1/(B683*DUMP1_C)))))</f>
        <v>0</v>
      </c>
      <c r="I683">
        <f>IMPRODUCT("2",IMDIV("1",IMSUM(IMDIV("1",COMPLEX(LDM2_DCR,B683*LDM2_L)),COMPLEX(0,B683*LDM2_CPA))))</f>
        <v>0</v>
      </c>
      <c r="J683">
        <f>IMSUM(IMDIV("1",COMPLEX(CX2_ESR,B683*CX2_ESL-1/(B683*CX2_C))),IMDIV("1",IMSUM(COMPLEX(DUMP2_R,0),COMPLEX(DUMP2_ESR,B683*DUMP2_ESL-1/(B683*DUMP2_C)))))</f>
        <v>0</v>
      </c>
      <c r="K683">
        <f>IMPRODUCT("2",IMDIV("1",IMSUM(IMDIV("1",COMPLEX(CMC_DCR,B683*CMC_L*(1-CMC_K))),COMPLEX(0,B683*CMC_CPA))))</f>
        <v>0</v>
      </c>
      <c r="L683">
        <f>IMSUM(COMPLEX(0,B683*CMC_CLINE),IMDIV("1",IMPRODUCT("2",COMPLEX(CY_ESR,B683*CY_ESL-1/(B683*CY_C)))),COMPLEX(1/DUMMY_R,0))</f>
        <v>0</v>
      </c>
      <c r="M683">
        <f>IMSUM(D683,IMDIV("1",C683))</f>
        <v>0</v>
      </c>
      <c r="N683">
        <f>IMDIV("1",IMSUM(E683,IMDIV("1",M683)))</f>
        <v>0</v>
      </c>
      <c r="O683">
        <f>IMSUM(F683,N683)</f>
        <v>0</v>
      </c>
      <c r="P683">
        <f>IMDIV("1",IMSUM(G683,IMDIV("1",O683)))</f>
        <v>0</v>
      </c>
      <c r="Q683">
        <f>IMSUM(H683,P683)</f>
        <v>0</v>
      </c>
      <c r="R683">
        <f>IMDIV("1",IMSUM(I683,IMDIV("1",Q683)))</f>
        <v>0</v>
      </c>
      <c r="S683">
        <f>IMSUM(J683,R683)</f>
        <v>0</v>
      </c>
      <c r="T683">
        <f>IMDIV("1",IMSUM(K683,IMDIV("1",S683)))</f>
        <v>0</v>
      </c>
      <c r="U683">
        <f>IMSUM(L683,T683)</f>
        <v>0</v>
      </c>
      <c r="V683">
        <f>IMDIV(COMPLEX(I_DM_SOURCE,0),U683)</f>
        <v>0</v>
      </c>
      <c r="W683">
        <f>IMPRODUCT(V683,T683)</f>
        <v>0</v>
      </c>
      <c r="X683">
        <f>IMDIV(W683,S683)</f>
        <v>0</v>
      </c>
      <c r="Y683">
        <f>IMPRODUCT(X683,R683)</f>
        <v>0</v>
      </c>
      <c r="Z683">
        <f>IMDIV(Y683,Q683)</f>
        <v>0</v>
      </c>
      <c r="AA683">
        <f>IMPRODUCT(Z683,P683)</f>
        <v>0</v>
      </c>
      <c r="AB683">
        <f>AA683</f>
        <v>0</v>
      </c>
      <c r="AC683">
        <f>IMPRODUCT("-1",AB683)</f>
        <v>0</v>
      </c>
      <c r="AD683">
        <f>IMDIV(IMSUB(AB683,AC683),"2")</f>
        <v>0</v>
      </c>
      <c r="AE683" s="6">
        <f>IMABS(AB683)</f>
        <v>0</v>
      </c>
      <c r="AF683" s="6">
        <f>IMABS(AC683)</f>
        <v>0</v>
      </c>
      <c r="AG683" s="6">
        <f>IMABS(AD683)</f>
        <v>0</v>
      </c>
      <c r="AH683" s="7">
        <f>20*LOG10(MAX(AE683,1E-300)*1E6)</f>
        <v>0</v>
      </c>
      <c r="AI683" s="7">
        <f>20*LOG10(MAX(AF683,1E-300)*1E6)</f>
        <v>0</v>
      </c>
      <c r="AJ683" s="7">
        <f>20*LOG10(MAX(AG683,1E-300)*1E6)</f>
        <v>0</v>
      </c>
      <c r="AK683" s="7">
        <f>DEGREES(IMARGUMENT(AB683))</f>
        <v>0</v>
      </c>
      <c r="AL683" s="7">
        <f>DEGREES(IMARGUMENT(AC683))</f>
        <v>0</v>
      </c>
      <c r="AM683" s="7">
        <f>DEGREES(IMARGUMENT(AD683))</f>
        <v>0</v>
      </c>
    </row>
    <row r="684" spans="1:39">
      <c r="A684" s="6">
        <f>10^(LOG10(F_START)+(ROW()-ROW($A$2))*(LOG10(F_STOP)-LOG10(F_START))/(N_POINTS-1))</f>
        <v>0</v>
      </c>
      <c r="B684" s="6">
        <f>2*PI()*A684</f>
        <v>0</v>
      </c>
      <c r="C684">
        <f>COMPLEX(2*LINE_PS_DCR,2*B684*LINE_PS_L)</f>
        <v>0</v>
      </c>
      <c r="D684">
        <f>IMSUM(COMPLEX(0,B684*(LINE_PS_CLINE+LINE_PS_CCHA/2)),IMDIV("1",IMPRODUCT("2",COMPLEX(C_THROUGH_ESR,B684*C_THROUGH_ESL-1/(B684*C_THROUGH_C)))))</f>
        <v>0</v>
      </c>
      <c r="E684">
        <f>COMPLEX(2*LINE_INPUT_DCR,2*B684*LINE_INPUT_L)</f>
        <v>0</v>
      </c>
      <c r="F684">
        <f>COMPLEX(0,B684*(LINE_INPUT_CLINE+LINE_INPUT_CCHA/2))</f>
        <v>0</v>
      </c>
      <c r="G684">
        <f>IMPRODUCT("2",IMDIV("1",IMSUM(IMDIV("1",COMPLEX(LDM1_DCR,B684*LDM1_L)),COMPLEX(0,B684*LDM1_CPA))))</f>
        <v>0</v>
      </c>
      <c r="H684">
        <f>IMSUM(IMDIV("1",COMPLEX(CX1_ESR,B684*CX1_ESL-1/(B684*CX1_C))),IMDIV("1",IMSUM(COMPLEX(DUMP1_R,0),COMPLEX(DUMP1_ESR,B684*DUMP1_ESL-1/(B684*DUMP1_C)))))</f>
        <v>0</v>
      </c>
      <c r="I684">
        <f>IMPRODUCT("2",IMDIV("1",IMSUM(IMDIV("1",COMPLEX(LDM2_DCR,B684*LDM2_L)),COMPLEX(0,B684*LDM2_CPA))))</f>
        <v>0</v>
      </c>
      <c r="J684">
        <f>IMSUM(IMDIV("1",COMPLEX(CX2_ESR,B684*CX2_ESL-1/(B684*CX2_C))),IMDIV("1",IMSUM(COMPLEX(DUMP2_R,0),COMPLEX(DUMP2_ESR,B684*DUMP2_ESL-1/(B684*DUMP2_C)))))</f>
        <v>0</v>
      </c>
      <c r="K684">
        <f>IMPRODUCT("2",IMDIV("1",IMSUM(IMDIV("1",COMPLEX(CMC_DCR,B684*CMC_L*(1-CMC_K))),COMPLEX(0,B684*CMC_CPA))))</f>
        <v>0</v>
      </c>
      <c r="L684">
        <f>IMSUM(COMPLEX(0,B684*CMC_CLINE),IMDIV("1",IMPRODUCT("2",COMPLEX(CY_ESR,B684*CY_ESL-1/(B684*CY_C)))),COMPLEX(1/DUMMY_R,0))</f>
        <v>0</v>
      </c>
      <c r="M684">
        <f>IMSUM(D684,IMDIV("1",C684))</f>
        <v>0</v>
      </c>
      <c r="N684">
        <f>IMDIV("1",IMSUM(E684,IMDIV("1",M684)))</f>
        <v>0</v>
      </c>
      <c r="O684">
        <f>IMSUM(F684,N684)</f>
        <v>0</v>
      </c>
      <c r="P684">
        <f>IMDIV("1",IMSUM(G684,IMDIV("1",O684)))</f>
        <v>0</v>
      </c>
      <c r="Q684">
        <f>IMSUM(H684,P684)</f>
        <v>0</v>
      </c>
      <c r="R684">
        <f>IMDIV("1",IMSUM(I684,IMDIV("1",Q684)))</f>
        <v>0</v>
      </c>
      <c r="S684">
        <f>IMSUM(J684,R684)</f>
        <v>0</v>
      </c>
      <c r="T684">
        <f>IMDIV("1",IMSUM(K684,IMDIV("1",S684)))</f>
        <v>0</v>
      </c>
      <c r="U684">
        <f>IMSUM(L684,T684)</f>
        <v>0</v>
      </c>
      <c r="V684">
        <f>IMDIV(COMPLEX(I_DM_SOURCE,0),U684)</f>
        <v>0</v>
      </c>
      <c r="W684">
        <f>IMPRODUCT(V684,T684)</f>
        <v>0</v>
      </c>
      <c r="X684">
        <f>IMDIV(W684,S684)</f>
        <v>0</v>
      </c>
      <c r="Y684">
        <f>IMPRODUCT(X684,R684)</f>
        <v>0</v>
      </c>
      <c r="Z684">
        <f>IMDIV(Y684,Q684)</f>
        <v>0</v>
      </c>
      <c r="AA684">
        <f>IMPRODUCT(Z684,P684)</f>
        <v>0</v>
      </c>
      <c r="AB684">
        <f>AA684</f>
        <v>0</v>
      </c>
      <c r="AC684">
        <f>IMPRODUCT("-1",AB684)</f>
        <v>0</v>
      </c>
      <c r="AD684">
        <f>IMDIV(IMSUB(AB684,AC684),"2")</f>
        <v>0</v>
      </c>
      <c r="AE684" s="6">
        <f>IMABS(AB684)</f>
        <v>0</v>
      </c>
      <c r="AF684" s="6">
        <f>IMABS(AC684)</f>
        <v>0</v>
      </c>
      <c r="AG684" s="6">
        <f>IMABS(AD684)</f>
        <v>0</v>
      </c>
      <c r="AH684" s="7">
        <f>20*LOG10(MAX(AE684,1E-300)*1E6)</f>
        <v>0</v>
      </c>
      <c r="AI684" s="7">
        <f>20*LOG10(MAX(AF684,1E-300)*1E6)</f>
        <v>0</v>
      </c>
      <c r="AJ684" s="7">
        <f>20*LOG10(MAX(AG684,1E-300)*1E6)</f>
        <v>0</v>
      </c>
      <c r="AK684" s="7">
        <f>DEGREES(IMARGUMENT(AB684))</f>
        <v>0</v>
      </c>
      <c r="AL684" s="7">
        <f>DEGREES(IMARGUMENT(AC684))</f>
        <v>0</v>
      </c>
      <c r="AM684" s="7">
        <f>DEGREES(IMARGUMENT(AD684))</f>
        <v>0</v>
      </c>
    </row>
    <row r="685" spans="1:39">
      <c r="A685" s="6">
        <f>10^(LOG10(F_START)+(ROW()-ROW($A$2))*(LOG10(F_STOP)-LOG10(F_START))/(N_POINTS-1))</f>
        <v>0</v>
      </c>
      <c r="B685" s="6">
        <f>2*PI()*A685</f>
        <v>0</v>
      </c>
      <c r="C685">
        <f>COMPLEX(2*LINE_PS_DCR,2*B685*LINE_PS_L)</f>
        <v>0</v>
      </c>
      <c r="D685">
        <f>IMSUM(COMPLEX(0,B685*(LINE_PS_CLINE+LINE_PS_CCHA/2)),IMDIV("1",IMPRODUCT("2",COMPLEX(C_THROUGH_ESR,B685*C_THROUGH_ESL-1/(B685*C_THROUGH_C)))))</f>
        <v>0</v>
      </c>
      <c r="E685">
        <f>COMPLEX(2*LINE_INPUT_DCR,2*B685*LINE_INPUT_L)</f>
        <v>0</v>
      </c>
      <c r="F685">
        <f>COMPLEX(0,B685*(LINE_INPUT_CLINE+LINE_INPUT_CCHA/2))</f>
        <v>0</v>
      </c>
      <c r="G685">
        <f>IMPRODUCT("2",IMDIV("1",IMSUM(IMDIV("1",COMPLEX(LDM1_DCR,B685*LDM1_L)),COMPLEX(0,B685*LDM1_CPA))))</f>
        <v>0</v>
      </c>
      <c r="H685">
        <f>IMSUM(IMDIV("1",COMPLEX(CX1_ESR,B685*CX1_ESL-1/(B685*CX1_C))),IMDIV("1",IMSUM(COMPLEX(DUMP1_R,0),COMPLEX(DUMP1_ESR,B685*DUMP1_ESL-1/(B685*DUMP1_C)))))</f>
        <v>0</v>
      </c>
      <c r="I685">
        <f>IMPRODUCT("2",IMDIV("1",IMSUM(IMDIV("1",COMPLEX(LDM2_DCR,B685*LDM2_L)),COMPLEX(0,B685*LDM2_CPA))))</f>
        <v>0</v>
      </c>
      <c r="J685">
        <f>IMSUM(IMDIV("1",COMPLEX(CX2_ESR,B685*CX2_ESL-1/(B685*CX2_C))),IMDIV("1",IMSUM(COMPLEX(DUMP2_R,0),COMPLEX(DUMP2_ESR,B685*DUMP2_ESL-1/(B685*DUMP2_C)))))</f>
        <v>0</v>
      </c>
      <c r="K685">
        <f>IMPRODUCT("2",IMDIV("1",IMSUM(IMDIV("1",COMPLEX(CMC_DCR,B685*CMC_L*(1-CMC_K))),COMPLEX(0,B685*CMC_CPA))))</f>
        <v>0</v>
      </c>
      <c r="L685">
        <f>IMSUM(COMPLEX(0,B685*CMC_CLINE),IMDIV("1",IMPRODUCT("2",COMPLEX(CY_ESR,B685*CY_ESL-1/(B685*CY_C)))),COMPLEX(1/DUMMY_R,0))</f>
        <v>0</v>
      </c>
      <c r="M685">
        <f>IMSUM(D685,IMDIV("1",C685))</f>
        <v>0</v>
      </c>
      <c r="N685">
        <f>IMDIV("1",IMSUM(E685,IMDIV("1",M685)))</f>
        <v>0</v>
      </c>
      <c r="O685">
        <f>IMSUM(F685,N685)</f>
        <v>0</v>
      </c>
      <c r="P685">
        <f>IMDIV("1",IMSUM(G685,IMDIV("1",O685)))</f>
        <v>0</v>
      </c>
      <c r="Q685">
        <f>IMSUM(H685,P685)</f>
        <v>0</v>
      </c>
      <c r="R685">
        <f>IMDIV("1",IMSUM(I685,IMDIV("1",Q685)))</f>
        <v>0</v>
      </c>
      <c r="S685">
        <f>IMSUM(J685,R685)</f>
        <v>0</v>
      </c>
      <c r="T685">
        <f>IMDIV("1",IMSUM(K685,IMDIV("1",S685)))</f>
        <v>0</v>
      </c>
      <c r="U685">
        <f>IMSUM(L685,T685)</f>
        <v>0</v>
      </c>
      <c r="V685">
        <f>IMDIV(COMPLEX(I_DM_SOURCE,0),U685)</f>
        <v>0</v>
      </c>
      <c r="W685">
        <f>IMPRODUCT(V685,T685)</f>
        <v>0</v>
      </c>
      <c r="X685">
        <f>IMDIV(W685,S685)</f>
        <v>0</v>
      </c>
      <c r="Y685">
        <f>IMPRODUCT(X685,R685)</f>
        <v>0</v>
      </c>
      <c r="Z685">
        <f>IMDIV(Y685,Q685)</f>
        <v>0</v>
      </c>
      <c r="AA685">
        <f>IMPRODUCT(Z685,P685)</f>
        <v>0</v>
      </c>
      <c r="AB685">
        <f>AA685</f>
        <v>0</v>
      </c>
      <c r="AC685">
        <f>IMPRODUCT("-1",AB685)</f>
        <v>0</v>
      </c>
      <c r="AD685">
        <f>IMDIV(IMSUB(AB685,AC685),"2")</f>
        <v>0</v>
      </c>
      <c r="AE685" s="6">
        <f>IMABS(AB685)</f>
        <v>0</v>
      </c>
      <c r="AF685" s="6">
        <f>IMABS(AC685)</f>
        <v>0</v>
      </c>
      <c r="AG685" s="6">
        <f>IMABS(AD685)</f>
        <v>0</v>
      </c>
      <c r="AH685" s="7">
        <f>20*LOG10(MAX(AE685,1E-300)*1E6)</f>
        <v>0</v>
      </c>
      <c r="AI685" s="7">
        <f>20*LOG10(MAX(AF685,1E-300)*1E6)</f>
        <v>0</v>
      </c>
      <c r="AJ685" s="7">
        <f>20*LOG10(MAX(AG685,1E-300)*1E6)</f>
        <v>0</v>
      </c>
      <c r="AK685" s="7">
        <f>DEGREES(IMARGUMENT(AB685))</f>
        <v>0</v>
      </c>
      <c r="AL685" s="7">
        <f>DEGREES(IMARGUMENT(AC685))</f>
        <v>0</v>
      </c>
      <c r="AM685" s="7">
        <f>DEGREES(IMARGUMENT(AD685))</f>
        <v>0</v>
      </c>
    </row>
    <row r="686" spans="1:39">
      <c r="A686" s="6">
        <f>10^(LOG10(F_START)+(ROW()-ROW($A$2))*(LOG10(F_STOP)-LOG10(F_START))/(N_POINTS-1))</f>
        <v>0</v>
      </c>
      <c r="B686" s="6">
        <f>2*PI()*A686</f>
        <v>0</v>
      </c>
      <c r="C686">
        <f>COMPLEX(2*LINE_PS_DCR,2*B686*LINE_PS_L)</f>
        <v>0</v>
      </c>
      <c r="D686">
        <f>IMSUM(COMPLEX(0,B686*(LINE_PS_CLINE+LINE_PS_CCHA/2)),IMDIV("1",IMPRODUCT("2",COMPLEX(C_THROUGH_ESR,B686*C_THROUGH_ESL-1/(B686*C_THROUGH_C)))))</f>
        <v>0</v>
      </c>
      <c r="E686">
        <f>COMPLEX(2*LINE_INPUT_DCR,2*B686*LINE_INPUT_L)</f>
        <v>0</v>
      </c>
      <c r="F686">
        <f>COMPLEX(0,B686*(LINE_INPUT_CLINE+LINE_INPUT_CCHA/2))</f>
        <v>0</v>
      </c>
      <c r="G686">
        <f>IMPRODUCT("2",IMDIV("1",IMSUM(IMDIV("1",COMPLEX(LDM1_DCR,B686*LDM1_L)),COMPLEX(0,B686*LDM1_CPA))))</f>
        <v>0</v>
      </c>
      <c r="H686">
        <f>IMSUM(IMDIV("1",COMPLEX(CX1_ESR,B686*CX1_ESL-1/(B686*CX1_C))),IMDIV("1",IMSUM(COMPLEX(DUMP1_R,0),COMPLEX(DUMP1_ESR,B686*DUMP1_ESL-1/(B686*DUMP1_C)))))</f>
        <v>0</v>
      </c>
      <c r="I686">
        <f>IMPRODUCT("2",IMDIV("1",IMSUM(IMDIV("1",COMPLEX(LDM2_DCR,B686*LDM2_L)),COMPLEX(0,B686*LDM2_CPA))))</f>
        <v>0</v>
      </c>
      <c r="J686">
        <f>IMSUM(IMDIV("1",COMPLEX(CX2_ESR,B686*CX2_ESL-1/(B686*CX2_C))),IMDIV("1",IMSUM(COMPLEX(DUMP2_R,0),COMPLEX(DUMP2_ESR,B686*DUMP2_ESL-1/(B686*DUMP2_C)))))</f>
        <v>0</v>
      </c>
      <c r="K686">
        <f>IMPRODUCT("2",IMDIV("1",IMSUM(IMDIV("1",COMPLEX(CMC_DCR,B686*CMC_L*(1-CMC_K))),COMPLEX(0,B686*CMC_CPA))))</f>
        <v>0</v>
      </c>
      <c r="L686">
        <f>IMSUM(COMPLEX(0,B686*CMC_CLINE),IMDIV("1",IMPRODUCT("2",COMPLEX(CY_ESR,B686*CY_ESL-1/(B686*CY_C)))),COMPLEX(1/DUMMY_R,0))</f>
        <v>0</v>
      </c>
      <c r="M686">
        <f>IMSUM(D686,IMDIV("1",C686))</f>
        <v>0</v>
      </c>
      <c r="N686">
        <f>IMDIV("1",IMSUM(E686,IMDIV("1",M686)))</f>
        <v>0</v>
      </c>
      <c r="O686">
        <f>IMSUM(F686,N686)</f>
        <v>0</v>
      </c>
      <c r="P686">
        <f>IMDIV("1",IMSUM(G686,IMDIV("1",O686)))</f>
        <v>0</v>
      </c>
      <c r="Q686">
        <f>IMSUM(H686,P686)</f>
        <v>0</v>
      </c>
      <c r="R686">
        <f>IMDIV("1",IMSUM(I686,IMDIV("1",Q686)))</f>
        <v>0</v>
      </c>
      <c r="S686">
        <f>IMSUM(J686,R686)</f>
        <v>0</v>
      </c>
      <c r="T686">
        <f>IMDIV("1",IMSUM(K686,IMDIV("1",S686)))</f>
        <v>0</v>
      </c>
      <c r="U686">
        <f>IMSUM(L686,T686)</f>
        <v>0</v>
      </c>
      <c r="V686">
        <f>IMDIV(COMPLEX(I_DM_SOURCE,0),U686)</f>
        <v>0</v>
      </c>
      <c r="W686">
        <f>IMPRODUCT(V686,T686)</f>
        <v>0</v>
      </c>
      <c r="X686">
        <f>IMDIV(W686,S686)</f>
        <v>0</v>
      </c>
      <c r="Y686">
        <f>IMPRODUCT(X686,R686)</f>
        <v>0</v>
      </c>
      <c r="Z686">
        <f>IMDIV(Y686,Q686)</f>
        <v>0</v>
      </c>
      <c r="AA686">
        <f>IMPRODUCT(Z686,P686)</f>
        <v>0</v>
      </c>
      <c r="AB686">
        <f>AA686</f>
        <v>0</v>
      </c>
      <c r="AC686">
        <f>IMPRODUCT("-1",AB686)</f>
        <v>0</v>
      </c>
      <c r="AD686">
        <f>IMDIV(IMSUB(AB686,AC686),"2")</f>
        <v>0</v>
      </c>
      <c r="AE686" s="6">
        <f>IMABS(AB686)</f>
        <v>0</v>
      </c>
      <c r="AF686" s="6">
        <f>IMABS(AC686)</f>
        <v>0</v>
      </c>
      <c r="AG686" s="6">
        <f>IMABS(AD686)</f>
        <v>0</v>
      </c>
      <c r="AH686" s="7">
        <f>20*LOG10(MAX(AE686,1E-300)*1E6)</f>
        <v>0</v>
      </c>
      <c r="AI686" s="7">
        <f>20*LOG10(MAX(AF686,1E-300)*1E6)</f>
        <v>0</v>
      </c>
      <c r="AJ686" s="7">
        <f>20*LOG10(MAX(AG686,1E-300)*1E6)</f>
        <v>0</v>
      </c>
      <c r="AK686" s="7">
        <f>DEGREES(IMARGUMENT(AB686))</f>
        <v>0</v>
      </c>
      <c r="AL686" s="7">
        <f>DEGREES(IMARGUMENT(AC686))</f>
        <v>0</v>
      </c>
      <c r="AM686" s="7">
        <f>DEGREES(IMARGUMENT(AD686))</f>
        <v>0</v>
      </c>
    </row>
    <row r="687" spans="1:39">
      <c r="A687" s="6">
        <f>10^(LOG10(F_START)+(ROW()-ROW($A$2))*(LOG10(F_STOP)-LOG10(F_START))/(N_POINTS-1))</f>
        <v>0</v>
      </c>
      <c r="B687" s="6">
        <f>2*PI()*A687</f>
        <v>0</v>
      </c>
      <c r="C687">
        <f>COMPLEX(2*LINE_PS_DCR,2*B687*LINE_PS_L)</f>
        <v>0</v>
      </c>
      <c r="D687">
        <f>IMSUM(COMPLEX(0,B687*(LINE_PS_CLINE+LINE_PS_CCHA/2)),IMDIV("1",IMPRODUCT("2",COMPLEX(C_THROUGH_ESR,B687*C_THROUGH_ESL-1/(B687*C_THROUGH_C)))))</f>
        <v>0</v>
      </c>
      <c r="E687">
        <f>COMPLEX(2*LINE_INPUT_DCR,2*B687*LINE_INPUT_L)</f>
        <v>0</v>
      </c>
      <c r="F687">
        <f>COMPLEX(0,B687*(LINE_INPUT_CLINE+LINE_INPUT_CCHA/2))</f>
        <v>0</v>
      </c>
      <c r="G687">
        <f>IMPRODUCT("2",IMDIV("1",IMSUM(IMDIV("1",COMPLEX(LDM1_DCR,B687*LDM1_L)),COMPLEX(0,B687*LDM1_CPA))))</f>
        <v>0</v>
      </c>
      <c r="H687">
        <f>IMSUM(IMDIV("1",COMPLEX(CX1_ESR,B687*CX1_ESL-1/(B687*CX1_C))),IMDIV("1",IMSUM(COMPLEX(DUMP1_R,0),COMPLEX(DUMP1_ESR,B687*DUMP1_ESL-1/(B687*DUMP1_C)))))</f>
        <v>0</v>
      </c>
      <c r="I687">
        <f>IMPRODUCT("2",IMDIV("1",IMSUM(IMDIV("1",COMPLEX(LDM2_DCR,B687*LDM2_L)),COMPLEX(0,B687*LDM2_CPA))))</f>
        <v>0</v>
      </c>
      <c r="J687">
        <f>IMSUM(IMDIV("1",COMPLEX(CX2_ESR,B687*CX2_ESL-1/(B687*CX2_C))),IMDIV("1",IMSUM(COMPLEX(DUMP2_R,0),COMPLEX(DUMP2_ESR,B687*DUMP2_ESL-1/(B687*DUMP2_C)))))</f>
        <v>0</v>
      </c>
      <c r="K687">
        <f>IMPRODUCT("2",IMDIV("1",IMSUM(IMDIV("1",COMPLEX(CMC_DCR,B687*CMC_L*(1-CMC_K))),COMPLEX(0,B687*CMC_CPA))))</f>
        <v>0</v>
      </c>
      <c r="L687">
        <f>IMSUM(COMPLEX(0,B687*CMC_CLINE),IMDIV("1",IMPRODUCT("2",COMPLEX(CY_ESR,B687*CY_ESL-1/(B687*CY_C)))),COMPLEX(1/DUMMY_R,0))</f>
        <v>0</v>
      </c>
      <c r="M687">
        <f>IMSUM(D687,IMDIV("1",C687))</f>
        <v>0</v>
      </c>
      <c r="N687">
        <f>IMDIV("1",IMSUM(E687,IMDIV("1",M687)))</f>
        <v>0</v>
      </c>
      <c r="O687">
        <f>IMSUM(F687,N687)</f>
        <v>0</v>
      </c>
      <c r="P687">
        <f>IMDIV("1",IMSUM(G687,IMDIV("1",O687)))</f>
        <v>0</v>
      </c>
      <c r="Q687">
        <f>IMSUM(H687,P687)</f>
        <v>0</v>
      </c>
      <c r="R687">
        <f>IMDIV("1",IMSUM(I687,IMDIV("1",Q687)))</f>
        <v>0</v>
      </c>
      <c r="S687">
        <f>IMSUM(J687,R687)</f>
        <v>0</v>
      </c>
      <c r="T687">
        <f>IMDIV("1",IMSUM(K687,IMDIV("1",S687)))</f>
        <v>0</v>
      </c>
      <c r="U687">
        <f>IMSUM(L687,T687)</f>
        <v>0</v>
      </c>
      <c r="V687">
        <f>IMDIV(COMPLEX(I_DM_SOURCE,0),U687)</f>
        <v>0</v>
      </c>
      <c r="W687">
        <f>IMPRODUCT(V687,T687)</f>
        <v>0</v>
      </c>
      <c r="X687">
        <f>IMDIV(W687,S687)</f>
        <v>0</v>
      </c>
      <c r="Y687">
        <f>IMPRODUCT(X687,R687)</f>
        <v>0</v>
      </c>
      <c r="Z687">
        <f>IMDIV(Y687,Q687)</f>
        <v>0</v>
      </c>
      <c r="AA687">
        <f>IMPRODUCT(Z687,P687)</f>
        <v>0</v>
      </c>
      <c r="AB687">
        <f>AA687</f>
        <v>0</v>
      </c>
      <c r="AC687">
        <f>IMPRODUCT("-1",AB687)</f>
        <v>0</v>
      </c>
      <c r="AD687">
        <f>IMDIV(IMSUB(AB687,AC687),"2")</f>
        <v>0</v>
      </c>
      <c r="AE687" s="6">
        <f>IMABS(AB687)</f>
        <v>0</v>
      </c>
      <c r="AF687" s="6">
        <f>IMABS(AC687)</f>
        <v>0</v>
      </c>
      <c r="AG687" s="6">
        <f>IMABS(AD687)</f>
        <v>0</v>
      </c>
      <c r="AH687" s="7">
        <f>20*LOG10(MAX(AE687,1E-300)*1E6)</f>
        <v>0</v>
      </c>
      <c r="AI687" s="7">
        <f>20*LOG10(MAX(AF687,1E-300)*1E6)</f>
        <v>0</v>
      </c>
      <c r="AJ687" s="7">
        <f>20*LOG10(MAX(AG687,1E-300)*1E6)</f>
        <v>0</v>
      </c>
      <c r="AK687" s="7">
        <f>DEGREES(IMARGUMENT(AB687))</f>
        <v>0</v>
      </c>
      <c r="AL687" s="7">
        <f>DEGREES(IMARGUMENT(AC687))</f>
        <v>0</v>
      </c>
      <c r="AM687" s="7">
        <f>DEGREES(IMARGUMENT(AD687))</f>
        <v>0</v>
      </c>
    </row>
    <row r="688" spans="1:39">
      <c r="A688" s="6">
        <f>10^(LOG10(F_START)+(ROW()-ROW($A$2))*(LOG10(F_STOP)-LOG10(F_START))/(N_POINTS-1))</f>
        <v>0</v>
      </c>
      <c r="B688" s="6">
        <f>2*PI()*A688</f>
        <v>0</v>
      </c>
      <c r="C688">
        <f>COMPLEX(2*LINE_PS_DCR,2*B688*LINE_PS_L)</f>
        <v>0</v>
      </c>
      <c r="D688">
        <f>IMSUM(COMPLEX(0,B688*(LINE_PS_CLINE+LINE_PS_CCHA/2)),IMDIV("1",IMPRODUCT("2",COMPLEX(C_THROUGH_ESR,B688*C_THROUGH_ESL-1/(B688*C_THROUGH_C)))))</f>
        <v>0</v>
      </c>
      <c r="E688">
        <f>COMPLEX(2*LINE_INPUT_DCR,2*B688*LINE_INPUT_L)</f>
        <v>0</v>
      </c>
      <c r="F688">
        <f>COMPLEX(0,B688*(LINE_INPUT_CLINE+LINE_INPUT_CCHA/2))</f>
        <v>0</v>
      </c>
      <c r="G688">
        <f>IMPRODUCT("2",IMDIV("1",IMSUM(IMDIV("1",COMPLEX(LDM1_DCR,B688*LDM1_L)),COMPLEX(0,B688*LDM1_CPA))))</f>
        <v>0</v>
      </c>
      <c r="H688">
        <f>IMSUM(IMDIV("1",COMPLEX(CX1_ESR,B688*CX1_ESL-1/(B688*CX1_C))),IMDIV("1",IMSUM(COMPLEX(DUMP1_R,0),COMPLEX(DUMP1_ESR,B688*DUMP1_ESL-1/(B688*DUMP1_C)))))</f>
        <v>0</v>
      </c>
      <c r="I688">
        <f>IMPRODUCT("2",IMDIV("1",IMSUM(IMDIV("1",COMPLEX(LDM2_DCR,B688*LDM2_L)),COMPLEX(0,B688*LDM2_CPA))))</f>
        <v>0</v>
      </c>
      <c r="J688">
        <f>IMSUM(IMDIV("1",COMPLEX(CX2_ESR,B688*CX2_ESL-1/(B688*CX2_C))),IMDIV("1",IMSUM(COMPLEX(DUMP2_R,0),COMPLEX(DUMP2_ESR,B688*DUMP2_ESL-1/(B688*DUMP2_C)))))</f>
        <v>0</v>
      </c>
      <c r="K688">
        <f>IMPRODUCT("2",IMDIV("1",IMSUM(IMDIV("1",COMPLEX(CMC_DCR,B688*CMC_L*(1-CMC_K))),COMPLEX(0,B688*CMC_CPA))))</f>
        <v>0</v>
      </c>
      <c r="L688">
        <f>IMSUM(COMPLEX(0,B688*CMC_CLINE),IMDIV("1",IMPRODUCT("2",COMPLEX(CY_ESR,B688*CY_ESL-1/(B688*CY_C)))),COMPLEX(1/DUMMY_R,0))</f>
        <v>0</v>
      </c>
      <c r="M688">
        <f>IMSUM(D688,IMDIV("1",C688))</f>
        <v>0</v>
      </c>
      <c r="N688">
        <f>IMDIV("1",IMSUM(E688,IMDIV("1",M688)))</f>
        <v>0</v>
      </c>
      <c r="O688">
        <f>IMSUM(F688,N688)</f>
        <v>0</v>
      </c>
      <c r="P688">
        <f>IMDIV("1",IMSUM(G688,IMDIV("1",O688)))</f>
        <v>0</v>
      </c>
      <c r="Q688">
        <f>IMSUM(H688,P688)</f>
        <v>0</v>
      </c>
      <c r="R688">
        <f>IMDIV("1",IMSUM(I688,IMDIV("1",Q688)))</f>
        <v>0</v>
      </c>
      <c r="S688">
        <f>IMSUM(J688,R688)</f>
        <v>0</v>
      </c>
      <c r="T688">
        <f>IMDIV("1",IMSUM(K688,IMDIV("1",S688)))</f>
        <v>0</v>
      </c>
      <c r="U688">
        <f>IMSUM(L688,T688)</f>
        <v>0</v>
      </c>
      <c r="V688">
        <f>IMDIV(COMPLEX(I_DM_SOURCE,0),U688)</f>
        <v>0</v>
      </c>
      <c r="W688">
        <f>IMPRODUCT(V688,T688)</f>
        <v>0</v>
      </c>
      <c r="X688">
        <f>IMDIV(W688,S688)</f>
        <v>0</v>
      </c>
      <c r="Y688">
        <f>IMPRODUCT(X688,R688)</f>
        <v>0</v>
      </c>
      <c r="Z688">
        <f>IMDIV(Y688,Q688)</f>
        <v>0</v>
      </c>
      <c r="AA688">
        <f>IMPRODUCT(Z688,P688)</f>
        <v>0</v>
      </c>
      <c r="AB688">
        <f>AA688</f>
        <v>0</v>
      </c>
      <c r="AC688">
        <f>IMPRODUCT("-1",AB688)</f>
        <v>0</v>
      </c>
      <c r="AD688">
        <f>IMDIV(IMSUB(AB688,AC688),"2")</f>
        <v>0</v>
      </c>
      <c r="AE688" s="6">
        <f>IMABS(AB688)</f>
        <v>0</v>
      </c>
      <c r="AF688" s="6">
        <f>IMABS(AC688)</f>
        <v>0</v>
      </c>
      <c r="AG688" s="6">
        <f>IMABS(AD688)</f>
        <v>0</v>
      </c>
      <c r="AH688" s="7">
        <f>20*LOG10(MAX(AE688,1E-300)*1E6)</f>
        <v>0</v>
      </c>
      <c r="AI688" s="7">
        <f>20*LOG10(MAX(AF688,1E-300)*1E6)</f>
        <v>0</v>
      </c>
      <c r="AJ688" s="7">
        <f>20*LOG10(MAX(AG688,1E-300)*1E6)</f>
        <v>0</v>
      </c>
      <c r="AK688" s="7">
        <f>DEGREES(IMARGUMENT(AB688))</f>
        <v>0</v>
      </c>
      <c r="AL688" s="7">
        <f>DEGREES(IMARGUMENT(AC688))</f>
        <v>0</v>
      </c>
      <c r="AM688" s="7">
        <f>DEGREES(IMARGUMENT(AD688))</f>
        <v>0</v>
      </c>
    </row>
    <row r="689" spans="1:39">
      <c r="A689" s="6">
        <f>10^(LOG10(F_START)+(ROW()-ROW($A$2))*(LOG10(F_STOP)-LOG10(F_START))/(N_POINTS-1))</f>
        <v>0</v>
      </c>
      <c r="B689" s="6">
        <f>2*PI()*A689</f>
        <v>0</v>
      </c>
      <c r="C689">
        <f>COMPLEX(2*LINE_PS_DCR,2*B689*LINE_PS_L)</f>
        <v>0</v>
      </c>
      <c r="D689">
        <f>IMSUM(COMPLEX(0,B689*(LINE_PS_CLINE+LINE_PS_CCHA/2)),IMDIV("1",IMPRODUCT("2",COMPLEX(C_THROUGH_ESR,B689*C_THROUGH_ESL-1/(B689*C_THROUGH_C)))))</f>
        <v>0</v>
      </c>
      <c r="E689">
        <f>COMPLEX(2*LINE_INPUT_DCR,2*B689*LINE_INPUT_L)</f>
        <v>0</v>
      </c>
      <c r="F689">
        <f>COMPLEX(0,B689*(LINE_INPUT_CLINE+LINE_INPUT_CCHA/2))</f>
        <v>0</v>
      </c>
      <c r="G689">
        <f>IMPRODUCT("2",IMDIV("1",IMSUM(IMDIV("1",COMPLEX(LDM1_DCR,B689*LDM1_L)),COMPLEX(0,B689*LDM1_CPA))))</f>
        <v>0</v>
      </c>
      <c r="H689">
        <f>IMSUM(IMDIV("1",COMPLEX(CX1_ESR,B689*CX1_ESL-1/(B689*CX1_C))),IMDIV("1",IMSUM(COMPLEX(DUMP1_R,0),COMPLEX(DUMP1_ESR,B689*DUMP1_ESL-1/(B689*DUMP1_C)))))</f>
        <v>0</v>
      </c>
      <c r="I689">
        <f>IMPRODUCT("2",IMDIV("1",IMSUM(IMDIV("1",COMPLEX(LDM2_DCR,B689*LDM2_L)),COMPLEX(0,B689*LDM2_CPA))))</f>
        <v>0</v>
      </c>
      <c r="J689">
        <f>IMSUM(IMDIV("1",COMPLEX(CX2_ESR,B689*CX2_ESL-1/(B689*CX2_C))),IMDIV("1",IMSUM(COMPLEX(DUMP2_R,0),COMPLEX(DUMP2_ESR,B689*DUMP2_ESL-1/(B689*DUMP2_C)))))</f>
        <v>0</v>
      </c>
      <c r="K689">
        <f>IMPRODUCT("2",IMDIV("1",IMSUM(IMDIV("1",COMPLEX(CMC_DCR,B689*CMC_L*(1-CMC_K))),COMPLEX(0,B689*CMC_CPA))))</f>
        <v>0</v>
      </c>
      <c r="L689">
        <f>IMSUM(COMPLEX(0,B689*CMC_CLINE),IMDIV("1",IMPRODUCT("2",COMPLEX(CY_ESR,B689*CY_ESL-1/(B689*CY_C)))),COMPLEX(1/DUMMY_R,0))</f>
        <v>0</v>
      </c>
      <c r="M689">
        <f>IMSUM(D689,IMDIV("1",C689))</f>
        <v>0</v>
      </c>
      <c r="N689">
        <f>IMDIV("1",IMSUM(E689,IMDIV("1",M689)))</f>
        <v>0</v>
      </c>
      <c r="O689">
        <f>IMSUM(F689,N689)</f>
        <v>0</v>
      </c>
      <c r="P689">
        <f>IMDIV("1",IMSUM(G689,IMDIV("1",O689)))</f>
        <v>0</v>
      </c>
      <c r="Q689">
        <f>IMSUM(H689,P689)</f>
        <v>0</v>
      </c>
      <c r="R689">
        <f>IMDIV("1",IMSUM(I689,IMDIV("1",Q689)))</f>
        <v>0</v>
      </c>
      <c r="S689">
        <f>IMSUM(J689,R689)</f>
        <v>0</v>
      </c>
      <c r="T689">
        <f>IMDIV("1",IMSUM(K689,IMDIV("1",S689)))</f>
        <v>0</v>
      </c>
      <c r="U689">
        <f>IMSUM(L689,T689)</f>
        <v>0</v>
      </c>
      <c r="V689">
        <f>IMDIV(COMPLEX(I_DM_SOURCE,0),U689)</f>
        <v>0</v>
      </c>
      <c r="W689">
        <f>IMPRODUCT(V689,T689)</f>
        <v>0</v>
      </c>
      <c r="X689">
        <f>IMDIV(W689,S689)</f>
        <v>0</v>
      </c>
      <c r="Y689">
        <f>IMPRODUCT(X689,R689)</f>
        <v>0</v>
      </c>
      <c r="Z689">
        <f>IMDIV(Y689,Q689)</f>
        <v>0</v>
      </c>
      <c r="AA689">
        <f>IMPRODUCT(Z689,P689)</f>
        <v>0</v>
      </c>
      <c r="AB689">
        <f>AA689</f>
        <v>0</v>
      </c>
      <c r="AC689">
        <f>IMPRODUCT("-1",AB689)</f>
        <v>0</v>
      </c>
      <c r="AD689">
        <f>IMDIV(IMSUB(AB689,AC689),"2")</f>
        <v>0</v>
      </c>
      <c r="AE689" s="6">
        <f>IMABS(AB689)</f>
        <v>0</v>
      </c>
      <c r="AF689" s="6">
        <f>IMABS(AC689)</f>
        <v>0</v>
      </c>
      <c r="AG689" s="6">
        <f>IMABS(AD689)</f>
        <v>0</v>
      </c>
      <c r="AH689" s="7">
        <f>20*LOG10(MAX(AE689,1E-300)*1E6)</f>
        <v>0</v>
      </c>
      <c r="AI689" s="7">
        <f>20*LOG10(MAX(AF689,1E-300)*1E6)</f>
        <v>0</v>
      </c>
      <c r="AJ689" s="7">
        <f>20*LOG10(MAX(AG689,1E-300)*1E6)</f>
        <v>0</v>
      </c>
      <c r="AK689" s="7">
        <f>DEGREES(IMARGUMENT(AB689))</f>
        <v>0</v>
      </c>
      <c r="AL689" s="7">
        <f>DEGREES(IMARGUMENT(AC689))</f>
        <v>0</v>
      </c>
      <c r="AM689" s="7">
        <f>DEGREES(IMARGUMENT(AD689))</f>
        <v>0</v>
      </c>
    </row>
    <row r="690" spans="1:39">
      <c r="A690" s="6">
        <f>10^(LOG10(F_START)+(ROW()-ROW($A$2))*(LOG10(F_STOP)-LOG10(F_START))/(N_POINTS-1))</f>
        <v>0</v>
      </c>
      <c r="B690" s="6">
        <f>2*PI()*A690</f>
        <v>0</v>
      </c>
      <c r="C690">
        <f>COMPLEX(2*LINE_PS_DCR,2*B690*LINE_PS_L)</f>
        <v>0</v>
      </c>
      <c r="D690">
        <f>IMSUM(COMPLEX(0,B690*(LINE_PS_CLINE+LINE_PS_CCHA/2)),IMDIV("1",IMPRODUCT("2",COMPLEX(C_THROUGH_ESR,B690*C_THROUGH_ESL-1/(B690*C_THROUGH_C)))))</f>
        <v>0</v>
      </c>
      <c r="E690">
        <f>COMPLEX(2*LINE_INPUT_DCR,2*B690*LINE_INPUT_L)</f>
        <v>0</v>
      </c>
      <c r="F690">
        <f>COMPLEX(0,B690*(LINE_INPUT_CLINE+LINE_INPUT_CCHA/2))</f>
        <v>0</v>
      </c>
      <c r="G690">
        <f>IMPRODUCT("2",IMDIV("1",IMSUM(IMDIV("1",COMPLEX(LDM1_DCR,B690*LDM1_L)),COMPLEX(0,B690*LDM1_CPA))))</f>
        <v>0</v>
      </c>
      <c r="H690">
        <f>IMSUM(IMDIV("1",COMPLEX(CX1_ESR,B690*CX1_ESL-1/(B690*CX1_C))),IMDIV("1",IMSUM(COMPLEX(DUMP1_R,0),COMPLEX(DUMP1_ESR,B690*DUMP1_ESL-1/(B690*DUMP1_C)))))</f>
        <v>0</v>
      </c>
      <c r="I690">
        <f>IMPRODUCT("2",IMDIV("1",IMSUM(IMDIV("1",COMPLEX(LDM2_DCR,B690*LDM2_L)),COMPLEX(0,B690*LDM2_CPA))))</f>
        <v>0</v>
      </c>
      <c r="J690">
        <f>IMSUM(IMDIV("1",COMPLEX(CX2_ESR,B690*CX2_ESL-1/(B690*CX2_C))),IMDIV("1",IMSUM(COMPLEX(DUMP2_R,0),COMPLEX(DUMP2_ESR,B690*DUMP2_ESL-1/(B690*DUMP2_C)))))</f>
        <v>0</v>
      </c>
      <c r="K690">
        <f>IMPRODUCT("2",IMDIV("1",IMSUM(IMDIV("1",COMPLEX(CMC_DCR,B690*CMC_L*(1-CMC_K))),COMPLEX(0,B690*CMC_CPA))))</f>
        <v>0</v>
      </c>
      <c r="L690">
        <f>IMSUM(COMPLEX(0,B690*CMC_CLINE),IMDIV("1",IMPRODUCT("2",COMPLEX(CY_ESR,B690*CY_ESL-1/(B690*CY_C)))),COMPLEX(1/DUMMY_R,0))</f>
        <v>0</v>
      </c>
      <c r="M690">
        <f>IMSUM(D690,IMDIV("1",C690))</f>
        <v>0</v>
      </c>
      <c r="N690">
        <f>IMDIV("1",IMSUM(E690,IMDIV("1",M690)))</f>
        <v>0</v>
      </c>
      <c r="O690">
        <f>IMSUM(F690,N690)</f>
        <v>0</v>
      </c>
      <c r="P690">
        <f>IMDIV("1",IMSUM(G690,IMDIV("1",O690)))</f>
        <v>0</v>
      </c>
      <c r="Q690">
        <f>IMSUM(H690,P690)</f>
        <v>0</v>
      </c>
      <c r="R690">
        <f>IMDIV("1",IMSUM(I690,IMDIV("1",Q690)))</f>
        <v>0</v>
      </c>
      <c r="S690">
        <f>IMSUM(J690,R690)</f>
        <v>0</v>
      </c>
      <c r="T690">
        <f>IMDIV("1",IMSUM(K690,IMDIV("1",S690)))</f>
        <v>0</v>
      </c>
      <c r="U690">
        <f>IMSUM(L690,T690)</f>
        <v>0</v>
      </c>
      <c r="V690">
        <f>IMDIV(COMPLEX(I_DM_SOURCE,0),U690)</f>
        <v>0</v>
      </c>
      <c r="W690">
        <f>IMPRODUCT(V690,T690)</f>
        <v>0</v>
      </c>
      <c r="X690">
        <f>IMDIV(W690,S690)</f>
        <v>0</v>
      </c>
      <c r="Y690">
        <f>IMPRODUCT(X690,R690)</f>
        <v>0</v>
      </c>
      <c r="Z690">
        <f>IMDIV(Y690,Q690)</f>
        <v>0</v>
      </c>
      <c r="AA690">
        <f>IMPRODUCT(Z690,P690)</f>
        <v>0</v>
      </c>
      <c r="AB690">
        <f>AA690</f>
        <v>0</v>
      </c>
      <c r="AC690">
        <f>IMPRODUCT("-1",AB690)</f>
        <v>0</v>
      </c>
      <c r="AD690">
        <f>IMDIV(IMSUB(AB690,AC690),"2")</f>
        <v>0</v>
      </c>
      <c r="AE690" s="6">
        <f>IMABS(AB690)</f>
        <v>0</v>
      </c>
      <c r="AF690" s="6">
        <f>IMABS(AC690)</f>
        <v>0</v>
      </c>
      <c r="AG690" s="6">
        <f>IMABS(AD690)</f>
        <v>0</v>
      </c>
      <c r="AH690" s="7">
        <f>20*LOG10(MAX(AE690,1E-300)*1E6)</f>
        <v>0</v>
      </c>
      <c r="AI690" s="7">
        <f>20*LOG10(MAX(AF690,1E-300)*1E6)</f>
        <v>0</v>
      </c>
      <c r="AJ690" s="7">
        <f>20*LOG10(MAX(AG690,1E-300)*1E6)</f>
        <v>0</v>
      </c>
      <c r="AK690" s="7">
        <f>DEGREES(IMARGUMENT(AB690))</f>
        <v>0</v>
      </c>
      <c r="AL690" s="7">
        <f>DEGREES(IMARGUMENT(AC690))</f>
        <v>0</v>
      </c>
      <c r="AM690" s="7">
        <f>DEGREES(IMARGUMENT(AD690))</f>
        <v>0</v>
      </c>
    </row>
    <row r="691" spans="1:39">
      <c r="A691" s="6">
        <f>10^(LOG10(F_START)+(ROW()-ROW($A$2))*(LOG10(F_STOP)-LOG10(F_START))/(N_POINTS-1))</f>
        <v>0</v>
      </c>
      <c r="B691" s="6">
        <f>2*PI()*A691</f>
        <v>0</v>
      </c>
      <c r="C691">
        <f>COMPLEX(2*LINE_PS_DCR,2*B691*LINE_PS_L)</f>
        <v>0</v>
      </c>
      <c r="D691">
        <f>IMSUM(COMPLEX(0,B691*(LINE_PS_CLINE+LINE_PS_CCHA/2)),IMDIV("1",IMPRODUCT("2",COMPLEX(C_THROUGH_ESR,B691*C_THROUGH_ESL-1/(B691*C_THROUGH_C)))))</f>
        <v>0</v>
      </c>
      <c r="E691">
        <f>COMPLEX(2*LINE_INPUT_DCR,2*B691*LINE_INPUT_L)</f>
        <v>0</v>
      </c>
      <c r="F691">
        <f>COMPLEX(0,B691*(LINE_INPUT_CLINE+LINE_INPUT_CCHA/2))</f>
        <v>0</v>
      </c>
      <c r="G691">
        <f>IMPRODUCT("2",IMDIV("1",IMSUM(IMDIV("1",COMPLEX(LDM1_DCR,B691*LDM1_L)),COMPLEX(0,B691*LDM1_CPA))))</f>
        <v>0</v>
      </c>
      <c r="H691">
        <f>IMSUM(IMDIV("1",COMPLEX(CX1_ESR,B691*CX1_ESL-1/(B691*CX1_C))),IMDIV("1",IMSUM(COMPLEX(DUMP1_R,0),COMPLEX(DUMP1_ESR,B691*DUMP1_ESL-1/(B691*DUMP1_C)))))</f>
        <v>0</v>
      </c>
      <c r="I691">
        <f>IMPRODUCT("2",IMDIV("1",IMSUM(IMDIV("1",COMPLEX(LDM2_DCR,B691*LDM2_L)),COMPLEX(0,B691*LDM2_CPA))))</f>
        <v>0</v>
      </c>
      <c r="J691">
        <f>IMSUM(IMDIV("1",COMPLEX(CX2_ESR,B691*CX2_ESL-1/(B691*CX2_C))),IMDIV("1",IMSUM(COMPLEX(DUMP2_R,0),COMPLEX(DUMP2_ESR,B691*DUMP2_ESL-1/(B691*DUMP2_C)))))</f>
        <v>0</v>
      </c>
      <c r="K691">
        <f>IMPRODUCT("2",IMDIV("1",IMSUM(IMDIV("1",COMPLEX(CMC_DCR,B691*CMC_L*(1-CMC_K))),COMPLEX(0,B691*CMC_CPA))))</f>
        <v>0</v>
      </c>
      <c r="L691">
        <f>IMSUM(COMPLEX(0,B691*CMC_CLINE),IMDIV("1",IMPRODUCT("2",COMPLEX(CY_ESR,B691*CY_ESL-1/(B691*CY_C)))),COMPLEX(1/DUMMY_R,0))</f>
        <v>0</v>
      </c>
      <c r="M691">
        <f>IMSUM(D691,IMDIV("1",C691))</f>
        <v>0</v>
      </c>
      <c r="N691">
        <f>IMDIV("1",IMSUM(E691,IMDIV("1",M691)))</f>
        <v>0</v>
      </c>
      <c r="O691">
        <f>IMSUM(F691,N691)</f>
        <v>0</v>
      </c>
      <c r="P691">
        <f>IMDIV("1",IMSUM(G691,IMDIV("1",O691)))</f>
        <v>0</v>
      </c>
      <c r="Q691">
        <f>IMSUM(H691,P691)</f>
        <v>0</v>
      </c>
      <c r="R691">
        <f>IMDIV("1",IMSUM(I691,IMDIV("1",Q691)))</f>
        <v>0</v>
      </c>
      <c r="S691">
        <f>IMSUM(J691,R691)</f>
        <v>0</v>
      </c>
      <c r="T691">
        <f>IMDIV("1",IMSUM(K691,IMDIV("1",S691)))</f>
        <v>0</v>
      </c>
      <c r="U691">
        <f>IMSUM(L691,T691)</f>
        <v>0</v>
      </c>
      <c r="V691">
        <f>IMDIV(COMPLEX(I_DM_SOURCE,0),U691)</f>
        <v>0</v>
      </c>
      <c r="W691">
        <f>IMPRODUCT(V691,T691)</f>
        <v>0</v>
      </c>
      <c r="X691">
        <f>IMDIV(W691,S691)</f>
        <v>0</v>
      </c>
      <c r="Y691">
        <f>IMPRODUCT(X691,R691)</f>
        <v>0</v>
      </c>
      <c r="Z691">
        <f>IMDIV(Y691,Q691)</f>
        <v>0</v>
      </c>
      <c r="AA691">
        <f>IMPRODUCT(Z691,P691)</f>
        <v>0</v>
      </c>
      <c r="AB691">
        <f>AA691</f>
        <v>0</v>
      </c>
      <c r="AC691">
        <f>IMPRODUCT("-1",AB691)</f>
        <v>0</v>
      </c>
      <c r="AD691">
        <f>IMDIV(IMSUB(AB691,AC691),"2")</f>
        <v>0</v>
      </c>
      <c r="AE691" s="6">
        <f>IMABS(AB691)</f>
        <v>0</v>
      </c>
      <c r="AF691" s="6">
        <f>IMABS(AC691)</f>
        <v>0</v>
      </c>
      <c r="AG691" s="6">
        <f>IMABS(AD691)</f>
        <v>0</v>
      </c>
      <c r="AH691" s="7">
        <f>20*LOG10(MAX(AE691,1E-300)*1E6)</f>
        <v>0</v>
      </c>
      <c r="AI691" s="7">
        <f>20*LOG10(MAX(AF691,1E-300)*1E6)</f>
        <v>0</v>
      </c>
      <c r="AJ691" s="7">
        <f>20*LOG10(MAX(AG691,1E-300)*1E6)</f>
        <v>0</v>
      </c>
      <c r="AK691" s="7">
        <f>DEGREES(IMARGUMENT(AB691))</f>
        <v>0</v>
      </c>
      <c r="AL691" s="7">
        <f>DEGREES(IMARGUMENT(AC691))</f>
        <v>0</v>
      </c>
      <c r="AM691" s="7">
        <f>DEGREES(IMARGUMENT(AD691))</f>
        <v>0</v>
      </c>
    </row>
    <row r="692" spans="1:39">
      <c r="A692" s="6">
        <f>10^(LOG10(F_START)+(ROW()-ROW($A$2))*(LOG10(F_STOP)-LOG10(F_START))/(N_POINTS-1))</f>
        <v>0</v>
      </c>
      <c r="B692" s="6">
        <f>2*PI()*A692</f>
        <v>0</v>
      </c>
      <c r="C692">
        <f>COMPLEX(2*LINE_PS_DCR,2*B692*LINE_PS_L)</f>
        <v>0</v>
      </c>
      <c r="D692">
        <f>IMSUM(COMPLEX(0,B692*(LINE_PS_CLINE+LINE_PS_CCHA/2)),IMDIV("1",IMPRODUCT("2",COMPLEX(C_THROUGH_ESR,B692*C_THROUGH_ESL-1/(B692*C_THROUGH_C)))))</f>
        <v>0</v>
      </c>
      <c r="E692">
        <f>COMPLEX(2*LINE_INPUT_DCR,2*B692*LINE_INPUT_L)</f>
        <v>0</v>
      </c>
      <c r="F692">
        <f>COMPLEX(0,B692*(LINE_INPUT_CLINE+LINE_INPUT_CCHA/2))</f>
        <v>0</v>
      </c>
      <c r="G692">
        <f>IMPRODUCT("2",IMDIV("1",IMSUM(IMDIV("1",COMPLEX(LDM1_DCR,B692*LDM1_L)),COMPLEX(0,B692*LDM1_CPA))))</f>
        <v>0</v>
      </c>
      <c r="H692">
        <f>IMSUM(IMDIV("1",COMPLEX(CX1_ESR,B692*CX1_ESL-1/(B692*CX1_C))),IMDIV("1",IMSUM(COMPLEX(DUMP1_R,0),COMPLEX(DUMP1_ESR,B692*DUMP1_ESL-1/(B692*DUMP1_C)))))</f>
        <v>0</v>
      </c>
      <c r="I692">
        <f>IMPRODUCT("2",IMDIV("1",IMSUM(IMDIV("1",COMPLEX(LDM2_DCR,B692*LDM2_L)),COMPLEX(0,B692*LDM2_CPA))))</f>
        <v>0</v>
      </c>
      <c r="J692">
        <f>IMSUM(IMDIV("1",COMPLEX(CX2_ESR,B692*CX2_ESL-1/(B692*CX2_C))),IMDIV("1",IMSUM(COMPLEX(DUMP2_R,0),COMPLEX(DUMP2_ESR,B692*DUMP2_ESL-1/(B692*DUMP2_C)))))</f>
        <v>0</v>
      </c>
      <c r="K692">
        <f>IMPRODUCT("2",IMDIV("1",IMSUM(IMDIV("1",COMPLEX(CMC_DCR,B692*CMC_L*(1-CMC_K))),COMPLEX(0,B692*CMC_CPA))))</f>
        <v>0</v>
      </c>
      <c r="L692">
        <f>IMSUM(COMPLEX(0,B692*CMC_CLINE),IMDIV("1",IMPRODUCT("2",COMPLEX(CY_ESR,B692*CY_ESL-1/(B692*CY_C)))),COMPLEX(1/DUMMY_R,0))</f>
        <v>0</v>
      </c>
      <c r="M692">
        <f>IMSUM(D692,IMDIV("1",C692))</f>
        <v>0</v>
      </c>
      <c r="N692">
        <f>IMDIV("1",IMSUM(E692,IMDIV("1",M692)))</f>
        <v>0</v>
      </c>
      <c r="O692">
        <f>IMSUM(F692,N692)</f>
        <v>0</v>
      </c>
      <c r="P692">
        <f>IMDIV("1",IMSUM(G692,IMDIV("1",O692)))</f>
        <v>0</v>
      </c>
      <c r="Q692">
        <f>IMSUM(H692,P692)</f>
        <v>0</v>
      </c>
      <c r="R692">
        <f>IMDIV("1",IMSUM(I692,IMDIV("1",Q692)))</f>
        <v>0</v>
      </c>
      <c r="S692">
        <f>IMSUM(J692,R692)</f>
        <v>0</v>
      </c>
      <c r="T692">
        <f>IMDIV("1",IMSUM(K692,IMDIV("1",S692)))</f>
        <v>0</v>
      </c>
      <c r="U692">
        <f>IMSUM(L692,T692)</f>
        <v>0</v>
      </c>
      <c r="V692">
        <f>IMDIV(COMPLEX(I_DM_SOURCE,0),U692)</f>
        <v>0</v>
      </c>
      <c r="W692">
        <f>IMPRODUCT(V692,T692)</f>
        <v>0</v>
      </c>
      <c r="X692">
        <f>IMDIV(W692,S692)</f>
        <v>0</v>
      </c>
      <c r="Y692">
        <f>IMPRODUCT(X692,R692)</f>
        <v>0</v>
      </c>
      <c r="Z692">
        <f>IMDIV(Y692,Q692)</f>
        <v>0</v>
      </c>
      <c r="AA692">
        <f>IMPRODUCT(Z692,P692)</f>
        <v>0</v>
      </c>
      <c r="AB692">
        <f>AA692</f>
        <v>0</v>
      </c>
      <c r="AC692">
        <f>IMPRODUCT("-1",AB692)</f>
        <v>0</v>
      </c>
      <c r="AD692">
        <f>IMDIV(IMSUB(AB692,AC692),"2")</f>
        <v>0</v>
      </c>
      <c r="AE692" s="6">
        <f>IMABS(AB692)</f>
        <v>0</v>
      </c>
      <c r="AF692" s="6">
        <f>IMABS(AC692)</f>
        <v>0</v>
      </c>
      <c r="AG692" s="6">
        <f>IMABS(AD692)</f>
        <v>0</v>
      </c>
      <c r="AH692" s="7">
        <f>20*LOG10(MAX(AE692,1E-300)*1E6)</f>
        <v>0</v>
      </c>
      <c r="AI692" s="7">
        <f>20*LOG10(MAX(AF692,1E-300)*1E6)</f>
        <v>0</v>
      </c>
      <c r="AJ692" s="7">
        <f>20*LOG10(MAX(AG692,1E-300)*1E6)</f>
        <v>0</v>
      </c>
      <c r="AK692" s="7">
        <f>DEGREES(IMARGUMENT(AB692))</f>
        <v>0</v>
      </c>
      <c r="AL692" s="7">
        <f>DEGREES(IMARGUMENT(AC692))</f>
        <v>0</v>
      </c>
      <c r="AM692" s="7">
        <f>DEGREES(IMARGUMENT(AD692))</f>
        <v>0</v>
      </c>
    </row>
    <row r="693" spans="1:39">
      <c r="A693" s="6">
        <f>10^(LOG10(F_START)+(ROW()-ROW($A$2))*(LOG10(F_STOP)-LOG10(F_START))/(N_POINTS-1))</f>
        <v>0</v>
      </c>
      <c r="B693" s="6">
        <f>2*PI()*A693</f>
        <v>0</v>
      </c>
      <c r="C693">
        <f>COMPLEX(2*LINE_PS_DCR,2*B693*LINE_PS_L)</f>
        <v>0</v>
      </c>
      <c r="D693">
        <f>IMSUM(COMPLEX(0,B693*(LINE_PS_CLINE+LINE_PS_CCHA/2)),IMDIV("1",IMPRODUCT("2",COMPLEX(C_THROUGH_ESR,B693*C_THROUGH_ESL-1/(B693*C_THROUGH_C)))))</f>
        <v>0</v>
      </c>
      <c r="E693">
        <f>COMPLEX(2*LINE_INPUT_DCR,2*B693*LINE_INPUT_L)</f>
        <v>0</v>
      </c>
      <c r="F693">
        <f>COMPLEX(0,B693*(LINE_INPUT_CLINE+LINE_INPUT_CCHA/2))</f>
        <v>0</v>
      </c>
      <c r="G693">
        <f>IMPRODUCT("2",IMDIV("1",IMSUM(IMDIV("1",COMPLEX(LDM1_DCR,B693*LDM1_L)),COMPLEX(0,B693*LDM1_CPA))))</f>
        <v>0</v>
      </c>
      <c r="H693">
        <f>IMSUM(IMDIV("1",COMPLEX(CX1_ESR,B693*CX1_ESL-1/(B693*CX1_C))),IMDIV("1",IMSUM(COMPLEX(DUMP1_R,0),COMPLEX(DUMP1_ESR,B693*DUMP1_ESL-1/(B693*DUMP1_C)))))</f>
        <v>0</v>
      </c>
      <c r="I693">
        <f>IMPRODUCT("2",IMDIV("1",IMSUM(IMDIV("1",COMPLEX(LDM2_DCR,B693*LDM2_L)),COMPLEX(0,B693*LDM2_CPA))))</f>
        <v>0</v>
      </c>
      <c r="J693">
        <f>IMSUM(IMDIV("1",COMPLEX(CX2_ESR,B693*CX2_ESL-1/(B693*CX2_C))),IMDIV("1",IMSUM(COMPLEX(DUMP2_R,0),COMPLEX(DUMP2_ESR,B693*DUMP2_ESL-1/(B693*DUMP2_C)))))</f>
        <v>0</v>
      </c>
      <c r="K693">
        <f>IMPRODUCT("2",IMDIV("1",IMSUM(IMDIV("1",COMPLEX(CMC_DCR,B693*CMC_L*(1-CMC_K))),COMPLEX(0,B693*CMC_CPA))))</f>
        <v>0</v>
      </c>
      <c r="L693">
        <f>IMSUM(COMPLEX(0,B693*CMC_CLINE),IMDIV("1",IMPRODUCT("2",COMPLEX(CY_ESR,B693*CY_ESL-1/(B693*CY_C)))),COMPLEX(1/DUMMY_R,0))</f>
        <v>0</v>
      </c>
      <c r="M693">
        <f>IMSUM(D693,IMDIV("1",C693))</f>
        <v>0</v>
      </c>
      <c r="N693">
        <f>IMDIV("1",IMSUM(E693,IMDIV("1",M693)))</f>
        <v>0</v>
      </c>
      <c r="O693">
        <f>IMSUM(F693,N693)</f>
        <v>0</v>
      </c>
      <c r="P693">
        <f>IMDIV("1",IMSUM(G693,IMDIV("1",O693)))</f>
        <v>0</v>
      </c>
      <c r="Q693">
        <f>IMSUM(H693,P693)</f>
        <v>0</v>
      </c>
      <c r="R693">
        <f>IMDIV("1",IMSUM(I693,IMDIV("1",Q693)))</f>
        <v>0</v>
      </c>
      <c r="S693">
        <f>IMSUM(J693,R693)</f>
        <v>0</v>
      </c>
      <c r="T693">
        <f>IMDIV("1",IMSUM(K693,IMDIV("1",S693)))</f>
        <v>0</v>
      </c>
      <c r="U693">
        <f>IMSUM(L693,T693)</f>
        <v>0</v>
      </c>
      <c r="V693">
        <f>IMDIV(COMPLEX(I_DM_SOURCE,0),U693)</f>
        <v>0</v>
      </c>
      <c r="W693">
        <f>IMPRODUCT(V693,T693)</f>
        <v>0</v>
      </c>
      <c r="X693">
        <f>IMDIV(W693,S693)</f>
        <v>0</v>
      </c>
      <c r="Y693">
        <f>IMPRODUCT(X693,R693)</f>
        <v>0</v>
      </c>
      <c r="Z693">
        <f>IMDIV(Y693,Q693)</f>
        <v>0</v>
      </c>
      <c r="AA693">
        <f>IMPRODUCT(Z693,P693)</f>
        <v>0</v>
      </c>
      <c r="AB693">
        <f>AA693</f>
        <v>0</v>
      </c>
      <c r="AC693">
        <f>IMPRODUCT("-1",AB693)</f>
        <v>0</v>
      </c>
      <c r="AD693">
        <f>IMDIV(IMSUB(AB693,AC693),"2")</f>
        <v>0</v>
      </c>
      <c r="AE693" s="6">
        <f>IMABS(AB693)</f>
        <v>0</v>
      </c>
      <c r="AF693" s="6">
        <f>IMABS(AC693)</f>
        <v>0</v>
      </c>
      <c r="AG693" s="6">
        <f>IMABS(AD693)</f>
        <v>0</v>
      </c>
      <c r="AH693" s="7">
        <f>20*LOG10(MAX(AE693,1E-300)*1E6)</f>
        <v>0</v>
      </c>
      <c r="AI693" s="7">
        <f>20*LOG10(MAX(AF693,1E-300)*1E6)</f>
        <v>0</v>
      </c>
      <c r="AJ693" s="7">
        <f>20*LOG10(MAX(AG693,1E-300)*1E6)</f>
        <v>0</v>
      </c>
      <c r="AK693" s="7">
        <f>DEGREES(IMARGUMENT(AB693))</f>
        <v>0</v>
      </c>
      <c r="AL693" s="7">
        <f>DEGREES(IMARGUMENT(AC693))</f>
        <v>0</v>
      </c>
      <c r="AM693" s="7">
        <f>DEGREES(IMARGUMENT(AD693))</f>
        <v>0</v>
      </c>
    </row>
    <row r="694" spans="1:39">
      <c r="A694" s="6">
        <f>10^(LOG10(F_START)+(ROW()-ROW($A$2))*(LOG10(F_STOP)-LOG10(F_START))/(N_POINTS-1))</f>
        <v>0</v>
      </c>
      <c r="B694" s="6">
        <f>2*PI()*A694</f>
        <v>0</v>
      </c>
      <c r="C694">
        <f>COMPLEX(2*LINE_PS_DCR,2*B694*LINE_PS_L)</f>
        <v>0</v>
      </c>
      <c r="D694">
        <f>IMSUM(COMPLEX(0,B694*(LINE_PS_CLINE+LINE_PS_CCHA/2)),IMDIV("1",IMPRODUCT("2",COMPLEX(C_THROUGH_ESR,B694*C_THROUGH_ESL-1/(B694*C_THROUGH_C)))))</f>
        <v>0</v>
      </c>
      <c r="E694">
        <f>COMPLEX(2*LINE_INPUT_DCR,2*B694*LINE_INPUT_L)</f>
        <v>0</v>
      </c>
      <c r="F694">
        <f>COMPLEX(0,B694*(LINE_INPUT_CLINE+LINE_INPUT_CCHA/2))</f>
        <v>0</v>
      </c>
      <c r="G694">
        <f>IMPRODUCT("2",IMDIV("1",IMSUM(IMDIV("1",COMPLEX(LDM1_DCR,B694*LDM1_L)),COMPLEX(0,B694*LDM1_CPA))))</f>
        <v>0</v>
      </c>
      <c r="H694">
        <f>IMSUM(IMDIV("1",COMPLEX(CX1_ESR,B694*CX1_ESL-1/(B694*CX1_C))),IMDIV("1",IMSUM(COMPLEX(DUMP1_R,0),COMPLEX(DUMP1_ESR,B694*DUMP1_ESL-1/(B694*DUMP1_C)))))</f>
        <v>0</v>
      </c>
      <c r="I694">
        <f>IMPRODUCT("2",IMDIV("1",IMSUM(IMDIV("1",COMPLEX(LDM2_DCR,B694*LDM2_L)),COMPLEX(0,B694*LDM2_CPA))))</f>
        <v>0</v>
      </c>
      <c r="J694">
        <f>IMSUM(IMDIV("1",COMPLEX(CX2_ESR,B694*CX2_ESL-1/(B694*CX2_C))),IMDIV("1",IMSUM(COMPLEX(DUMP2_R,0),COMPLEX(DUMP2_ESR,B694*DUMP2_ESL-1/(B694*DUMP2_C)))))</f>
        <v>0</v>
      </c>
      <c r="K694">
        <f>IMPRODUCT("2",IMDIV("1",IMSUM(IMDIV("1",COMPLEX(CMC_DCR,B694*CMC_L*(1-CMC_K))),COMPLEX(0,B694*CMC_CPA))))</f>
        <v>0</v>
      </c>
      <c r="L694">
        <f>IMSUM(COMPLEX(0,B694*CMC_CLINE),IMDIV("1",IMPRODUCT("2",COMPLEX(CY_ESR,B694*CY_ESL-1/(B694*CY_C)))),COMPLEX(1/DUMMY_R,0))</f>
        <v>0</v>
      </c>
      <c r="M694">
        <f>IMSUM(D694,IMDIV("1",C694))</f>
        <v>0</v>
      </c>
      <c r="N694">
        <f>IMDIV("1",IMSUM(E694,IMDIV("1",M694)))</f>
        <v>0</v>
      </c>
      <c r="O694">
        <f>IMSUM(F694,N694)</f>
        <v>0</v>
      </c>
      <c r="P694">
        <f>IMDIV("1",IMSUM(G694,IMDIV("1",O694)))</f>
        <v>0</v>
      </c>
      <c r="Q694">
        <f>IMSUM(H694,P694)</f>
        <v>0</v>
      </c>
      <c r="R694">
        <f>IMDIV("1",IMSUM(I694,IMDIV("1",Q694)))</f>
        <v>0</v>
      </c>
      <c r="S694">
        <f>IMSUM(J694,R694)</f>
        <v>0</v>
      </c>
      <c r="T694">
        <f>IMDIV("1",IMSUM(K694,IMDIV("1",S694)))</f>
        <v>0</v>
      </c>
      <c r="U694">
        <f>IMSUM(L694,T694)</f>
        <v>0</v>
      </c>
      <c r="V694">
        <f>IMDIV(COMPLEX(I_DM_SOURCE,0),U694)</f>
        <v>0</v>
      </c>
      <c r="W694">
        <f>IMPRODUCT(V694,T694)</f>
        <v>0</v>
      </c>
      <c r="X694">
        <f>IMDIV(W694,S694)</f>
        <v>0</v>
      </c>
      <c r="Y694">
        <f>IMPRODUCT(X694,R694)</f>
        <v>0</v>
      </c>
      <c r="Z694">
        <f>IMDIV(Y694,Q694)</f>
        <v>0</v>
      </c>
      <c r="AA694">
        <f>IMPRODUCT(Z694,P694)</f>
        <v>0</v>
      </c>
      <c r="AB694">
        <f>AA694</f>
        <v>0</v>
      </c>
      <c r="AC694">
        <f>IMPRODUCT("-1",AB694)</f>
        <v>0</v>
      </c>
      <c r="AD694">
        <f>IMDIV(IMSUB(AB694,AC694),"2")</f>
        <v>0</v>
      </c>
      <c r="AE694" s="6">
        <f>IMABS(AB694)</f>
        <v>0</v>
      </c>
      <c r="AF694" s="6">
        <f>IMABS(AC694)</f>
        <v>0</v>
      </c>
      <c r="AG694" s="6">
        <f>IMABS(AD694)</f>
        <v>0</v>
      </c>
      <c r="AH694" s="7">
        <f>20*LOG10(MAX(AE694,1E-300)*1E6)</f>
        <v>0</v>
      </c>
      <c r="AI694" s="7">
        <f>20*LOG10(MAX(AF694,1E-300)*1E6)</f>
        <v>0</v>
      </c>
      <c r="AJ694" s="7">
        <f>20*LOG10(MAX(AG694,1E-300)*1E6)</f>
        <v>0</v>
      </c>
      <c r="AK694" s="7">
        <f>DEGREES(IMARGUMENT(AB694))</f>
        <v>0</v>
      </c>
      <c r="AL694" s="7">
        <f>DEGREES(IMARGUMENT(AC694))</f>
        <v>0</v>
      </c>
      <c r="AM694" s="7">
        <f>DEGREES(IMARGUMENT(AD694))</f>
        <v>0</v>
      </c>
    </row>
    <row r="695" spans="1:39">
      <c r="A695" s="6">
        <f>10^(LOG10(F_START)+(ROW()-ROW($A$2))*(LOG10(F_STOP)-LOG10(F_START))/(N_POINTS-1))</f>
        <v>0</v>
      </c>
      <c r="B695" s="6">
        <f>2*PI()*A695</f>
        <v>0</v>
      </c>
      <c r="C695">
        <f>COMPLEX(2*LINE_PS_DCR,2*B695*LINE_PS_L)</f>
        <v>0</v>
      </c>
      <c r="D695">
        <f>IMSUM(COMPLEX(0,B695*(LINE_PS_CLINE+LINE_PS_CCHA/2)),IMDIV("1",IMPRODUCT("2",COMPLEX(C_THROUGH_ESR,B695*C_THROUGH_ESL-1/(B695*C_THROUGH_C)))))</f>
        <v>0</v>
      </c>
      <c r="E695">
        <f>COMPLEX(2*LINE_INPUT_DCR,2*B695*LINE_INPUT_L)</f>
        <v>0</v>
      </c>
      <c r="F695">
        <f>COMPLEX(0,B695*(LINE_INPUT_CLINE+LINE_INPUT_CCHA/2))</f>
        <v>0</v>
      </c>
      <c r="G695">
        <f>IMPRODUCT("2",IMDIV("1",IMSUM(IMDIV("1",COMPLEX(LDM1_DCR,B695*LDM1_L)),COMPLEX(0,B695*LDM1_CPA))))</f>
        <v>0</v>
      </c>
      <c r="H695">
        <f>IMSUM(IMDIV("1",COMPLEX(CX1_ESR,B695*CX1_ESL-1/(B695*CX1_C))),IMDIV("1",IMSUM(COMPLEX(DUMP1_R,0),COMPLEX(DUMP1_ESR,B695*DUMP1_ESL-1/(B695*DUMP1_C)))))</f>
        <v>0</v>
      </c>
      <c r="I695">
        <f>IMPRODUCT("2",IMDIV("1",IMSUM(IMDIV("1",COMPLEX(LDM2_DCR,B695*LDM2_L)),COMPLEX(0,B695*LDM2_CPA))))</f>
        <v>0</v>
      </c>
      <c r="J695">
        <f>IMSUM(IMDIV("1",COMPLEX(CX2_ESR,B695*CX2_ESL-1/(B695*CX2_C))),IMDIV("1",IMSUM(COMPLEX(DUMP2_R,0),COMPLEX(DUMP2_ESR,B695*DUMP2_ESL-1/(B695*DUMP2_C)))))</f>
        <v>0</v>
      </c>
      <c r="K695">
        <f>IMPRODUCT("2",IMDIV("1",IMSUM(IMDIV("1",COMPLEX(CMC_DCR,B695*CMC_L*(1-CMC_K))),COMPLEX(0,B695*CMC_CPA))))</f>
        <v>0</v>
      </c>
      <c r="L695">
        <f>IMSUM(COMPLEX(0,B695*CMC_CLINE),IMDIV("1",IMPRODUCT("2",COMPLEX(CY_ESR,B695*CY_ESL-1/(B695*CY_C)))),COMPLEX(1/DUMMY_R,0))</f>
        <v>0</v>
      </c>
      <c r="M695">
        <f>IMSUM(D695,IMDIV("1",C695))</f>
        <v>0</v>
      </c>
      <c r="N695">
        <f>IMDIV("1",IMSUM(E695,IMDIV("1",M695)))</f>
        <v>0</v>
      </c>
      <c r="O695">
        <f>IMSUM(F695,N695)</f>
        <v>0</v>
      </c>
      <c r="P695">
        <f>IMDIV("1",IMSUM(G695,IMDIV("1",O695)))</f>
        <v>0</v>
      </c>
      <c r="Q695">
        <f>IMSUM(H695,P695)</f>
        <v>0</v>
      </c>
      <c r="R695">
        <f>IMDIV("1",IMSUM(I695,IMDIV("1",Q695)))</f>
        <v>0</v>
      </c>
      <c r="S695">
        <f>IMSUM(J695,R695)</f>
        <v>0</v>
      </c>
      <c r="T695">
        <f>IMDIV("1",IMSUM(K695,IMDIV("1",S695)))</f>
        <v>0</v>
      </c>
      <c r="U695">
        <f>IMSUM(L695,T695)</f>
        <v>0</v>
      </c>
      <c r="V695">
        <f>IMDIV(COMPLEX(I_DM_SOURCE,0),U695)</f>
        <v>0</v>
      </c>
      <c r="W695">
        <f>IMPRODUCT(V695,T695)</f>
        <v>0</v>
      </c>
      <c r="X695">
        <f>IMDIV(W695,S695)</f>
        <v>0</v>
      </c>
      <c r="Y695">
        <f>IMPRODUCT(X695,R695)</f>
        <v>0</v>
      </c>
      <c r="Z695">
        <f>IMDIV(Y695,Q695)</f>
        <v>0</v>
      </c>
      <c r="AA695">
        <f>IMPRODUCT(Z695,P695)</f>
        <v>0</v>
      </c>
      <c r="AB695">
        <f>AA695</f>
        <v>0</v>
      </c>
      <c r="AC695">
        <f>IMPRODUCT("-1",AB695)</f>
        <v>0</v>
      </c>
      <c r="AD695">
        <f>IMDIV(IMSUB(AB695,AC695),"2")</f>
        <v>0</v>
      </c>
      <c r="AE695" s="6">
        <f>IMABS(AB695)</f>
        <v>0</v>
      </c>
      <c r="AF695" s="6">
        <f>IMABS(AC695)</f>
        <v>0</v>
      </c>
      <c r="AG695" s="6">
        <f>IMABS(AD695)</f>
        <v>0</v>
      </c>
      <c r="AH695" s="7">
        <f>20*LOG10(MAX(AE695,1E-300)*1E6)</f>
        <v>0</v>
      </c>
      <c r="AI695" s="7">
        <f>20*LOG10(MAX(AF695,1E-300)*1E6)</f>
        <v>0</v>
      </c>
      <c r="AJ695" s="7">
        <f>20*LOG10(MAX(AG695,1E-300)*1E6)</f>
        <v>0</v>
      </c>
      <c r="AK695" s="7">
        <f>DEGREES(IMARGUMENT(AB695))</f>
        <v>0</v>
      </c>
      <c r="AL695" s="7">
        <f>DEGREES(IMARGUMENT(AC695))</f>
        <v>0</v>
      </c>
      <c r="AM695" s="7">
        <f>DEGREES(IMARGUMENT(AD695))</f>
        <v>0</v>
      </c>
    </row>
    <row r="696" spans="1:39">
      <c r="A696" s="6">
        <f>10^(LOG10(F_START)+(ROW()-ROW($A$2))*(LOG10(F_STOP)-LOG10(F_START))/(N_POINTS-1))</f>
        <v>0</v>
      </c>
      <c r="B696" s="6">
        <f>2*PI()*A696</f>
        <v>0</v>
      </c>
      <c r="C696">
        <f>COMPLEX(2*LINE_PS_DCR,2*B696*LINE_PS_L)</f>
        <v>0</v>
      </c>
      <c r="D696">
        <f>IMSUM(COMPLEX(0,B696*(LINE_PS_CLINE+LINE_PS_CCHA/2)),IMDIV("1",IMPRODUCT("2",COMPLEX(C_THROUGH_ESR,B696*C_THROUGH_ESL-1/(B696*C_THROUGH_C)))))</f>
        <v>0</v>
      </c>
      <c r="E696">
        <f>COMPLEX(2*LINE_INPUT_DCR,2*B696*LINE_INPUT_L)</f>
        <v>0</v>
      </c>
      <c r="F696">
        <f>COMPLEX(0,B696*(LINE_INPUT_CLINE+LINE_INPUT_CCHA/2))</f>
        <v>0</v>
      </c>
      <c r="G696">
        <f>IMPRODUCT("2",IMDIV("1",IMSUM(IMDIV("1",COMPLEX(LDM1_DCR,B696*LDM1_L)),COMPLEX(0,B696*LDM1_CPA))))</f>
        <v>0</v>
      </c>
      <c r="H696">
        <f>IMSUM(IMDIV("1",COMPLEX(CX1_ESR,B696*CX1_ESL-1/(B696*CX1_C))),IMDIV("1",IMSUM(COMPLEX(DUMP1_R,0),COMPLEX(DUMP1_ESR,B696*DUMP1_ESL-1/(B696*DUMP1_C)))))</f>
        <v>0</v>
      </c>
      <c r="I696">
        <f>IMPRODUCT("2",IMDIV("1",IMSUM(IMDIV("1",COMPLEX(LDM2_DCR,B696*LDM2_L)),COMPLEX(0,B696*LDM2_CPA))))</f>
        <v>0</v>
      </c>
      <c r="J696">
        <f>IMSUM(IMDIV("1",COMPLEX(CX2_ESR,B696*CX2_ESL-1/(B696*CX2_C))),IMDIV("1",IMSUM(COMPLEX(DUMP2_R,0),COMPLEX(DUMP2_ESR,B696*DUMP2_ESL-1/(B696*DUMP2_C)))))</f>
        <v>0</v>
      </c>
      <c r="K696">
        <f>IMPRODUCT("2",IMDIV("1",IMSUM(IMDIV("1",COMPLEX(CMC_DCR,B696*CMC_L*(1-CMC_K))),COMPLEX(0,B696*CMC_CPA))))</f>
        <v>0</v>
      </c>
      <c r="L696">
        <f>IMSUM(COMPLEX(0,B696*CMC_CLINE),IMDIV("1",IMPRODUCT("2",COMPLEX(CY_ESR,B696*CY_ESL-1/(B696*CY_C)))),COMPLEX(1/DUMMY_R,0))</f>
        <v>0</v>
      </c>
      <c r="M696">
        <f>IMSUM(D696,IMDIV("1",C696))</f>
        <v>0</v>
      </c>
      <c r="N696">
        <f>IMDIV("1",IMSUM(E696,IMDIV("1",M696)))</f>
        <v>0</v>
      </c>
      <c r="O696">
        <f>IMSUM(F696,N696)</f>
        <v>0</v>
      </c>
      <c r="P696">
        <f>IMDIV("1",IMSUM(G696,IMDIV("1",O696)))</f>
        <v>0</v>
      </c>
      <c r="Q696">
        <f>IMSUM(H696,P696)</f>
        <v>0</v>
      </c>
      <c r="R696">
        <f>IMDIV("1",IMSUM(I696,IMDIV("1",Q696)))</f>
        <v>0</v>
      </c>
      <c r="S696">
        <f>IMSUM(J696,R696)</f>
        <v>0</v>
      </c>
      <c r="T696">
        <f>IMDIV("1",IMSUM(K696,IMDIV("1",S696)))</f>
        <v>0</v>
      </c>
      <c r="U696">
        <f>IMSUM(L696,T696)</f>
        <v>0</v>
      </c>
      <c r="V696">
        <f>IMDIV(COMPLEX(I_DM_SOURCE,0),U696)</f>
        <v>0</v>
      </c>
      <c r="W696">
        <f>IMPRODUCT(V696,T696)</f>
        <v>0</v>
      </c>
      <c r="X696">
        <f>IMDIV(W696,S696)</f>
        <v>0</v>
      </c>
      <c r="Y696">
        <f>IMPRODUCT(X696,R696)</f>
        <v>0</v>
      </c>
      <c r="Z696">
        <f>IMDIV(Y696,Q696)</f>
        <v>0</v>
      </c>
      <c r="AA696">
        <f>IMPRODUCT(Z696,P696)</f>
        <v>0</v>
      </c>
      <c r="AB696">
        <f>AA696</f>
        <v>0</v>
      </c>
      <c r="AC696">
        <f>IMPRODUCT("-1",AB696)</f>
        <v>0</v>
      </c>
      <c r="AD696">
        <f>IMDIV(IMSUB(AB696,AC696),"2")</f>
        <v>0</v>
      </c>
      <c r="AE696" s="6">
        <f>IMABS(AB696)</f>
        <v>0</v>
      </c>
      <c r="AF696" s="6">
        <f>IMABS(AC696)</f>
        <v>0</v>
      </c>
      <c r="AG696" s="6">
        <f>IMABS(AD696)</f>
        <v>0</v>
      </c>
      <c r="AH696" s="7">
        <f>20*LOG10(MAX(AE696,1E-300)*1E6)</f>
        <v>0</v>
      </c>
      <c r="AI696" s="7">
        <f>20*LOG10(MAX(AF696,1E-300)*1E6)</f>
        <v>0</v>
      </c>
      <c r="AJ696" s="7">
        <f>20*LOG10(MAX(AG696,1E-300)*1E6)</f>
        <v>0</v>
      </c>
      <c r="AK696" s="7">
        <f>DEGREES(IMARGUMENT(AB696))</f>
        <v>0</v>
      </c>
      <c r="AL696" s="7">
        <f>DEGREES(IMARGUMENT(AC696))</f>
        <v>0</v>
      </c>
      <c r="AM696" s="7">
        <f>DEGREES(IMARGUMENT(AD696))</f>
        <v>0</v>
      </c>
    </row>
    <row r="697" spans="1:39">
      <c r="A697" s="6">
        <f>10^(LOG10(F_START)+(ROW()-ROW($A$2))*(LOG10(F_STOP)-LOG10(F_START))/(N_POINTS-1))</f>
        <v>0</v>
      </c>
      <c r="B697" s="6">
        <f>2*PI()*A697</f>
        <v>0</v>
      </c>
      <c r="C697">
        <f>COMPLEX(2*LINE_PS_DCR,2*B697*LINE_PS_L)</f>
        <v>0</v>
      </c>
      <c r="D697">
        <f>IMSUM(COMPLEX(0,B697*(LINE_PS_CLINE+LINE_PS_CCHA/2)),IMDIV("1",IMPRODUCT("2",COMPLEX(C_THROUGH_ESR,B697*C_THROUGH_ESL-1/(B697*C_THROUGH_C)))))</f>
        <v>0</v>
      </c>
      <c r="E697">
        <f>COMPLEX(2*LINE_INPUT_DCR,2*B697*LINE_INPUT_L)</f>
        <v>0</v>
      </c>
      <c r="F697">
        <f>COMPLEX(0,B697*(LINE_INPUT_CLINE+LINE_INPUT_CCHA/2))</f>
        <v>0</v>
      </c>
      <c r="G697">
        <f>IMPRODUCT("2",IMDIV("1",IMSUM(IMDIV("1",COMPLEX(LDM1_DCR,B697*LDM1_L)),COMPLEX(0,B697*LDM1_CPA))))</f>
        <v>0</v>
      </c>
      <c r="H697">
        <f>IMSUM(IMDIV("1",COMPLEX(CX1_ESR,B697*CX1_ESL-1/(B697*CX1_C))),IMDIV("1",IMSUM(COMPLEX(DUMP1_R,0),COMPLEX(DUMP1_ESR,B697*DUMP1_ESL-1/(B697*DUMP1_C)))))</f>
        <v>0</v>
      </c>
      <c r="I697">
        <f>IMPRODUCT("2",IMDIV("1",IMSUM(IMDIV("1",COMPLEX(LDM2_DCR,B697*LDM2_L)),COMPLEX(0,B697*LDM2_CPA))))</f>
        <v>0</v>
      </c>
      <c r="J697">
        <f>IMSUM(IMDIV("1",COMPLEX(CX2_ESR,B697*CX2_ESL-1/(B697*CX2_C))),IMDIV("1",IMSUM(COMPLEX(DUMP2_R,0),COMPLEX(DUMP2_ESR,B697*DUMP2_ESL-1/(B697*DUMP2_C)))))</f>
        <v>0</v>
      </c>
      <c r="K697">
        <f>IMPRODUCT("2",IMDIV("1",IMSUM(IMDIV("1",COMPLEX(CMC_DCR,B697*CMC_L*(1-CMC_K))),COMPLEX(0,B697*CMC_CPA))))</f>
        <v>0</v>
      </c>
      <c r="L697">
        <f>IMSUM(COMPLEX(0,B697*CMC_CLINE),IMDIV("1",IMPRODUCT("2",COMPLEX(CY_ESR,B697*CY_ESL-1/(B697*CY_C)))),COMPLEX(1/DUMMY_R,0))</f>
        <v>0</v>
      </c>
      <c r="M697">
        <f>IMSUM(D697,IMDIV("1",C697))</f>
        <v>0</v>
      </c>
      <c r="N697">
        <f>IMDIV("1",IMSUM(E697,IMDIV("1",M697)))</f>
        <v>0</v>
      </c>
      <c r="O697">
        <f>IMSUM(F697,N697)</f>
        <v>0</v>
      </c>
      <c r="P697">
        <f>IMDIV("1",IMSUM(G697,IMDIV("1",O697)))</f>
        <v>0</v>
      </c>
      <c r="Q697">
        <f>IMSUM(H697,P697)</f>
        <v>0</v>
      </c>
      <c r="R697">
        <f>IMDIV("1",IMSUM(I697,IMDIV("1",Q697)))</f>
        <v>0</v>
      </c>
      <c r="S697">
        <f>IMSUM(J697,R697)</f>
        <v>0</v>
      </c>
      <c r="T697">
        <f>IMDIV("1",IMSUM(K697,IMDIV("1",S697)))</f>
        <v>0</v>
      </c>
      <c r="U697">
        <f>IMSUM(L697,T697)</f>
        <v>0</v>
      </c>
      <c r="V697">
        <f>IMDIV(COMPLEX(I_DM_SOURCE,0),U697)</f>
        <v>0</v>
      </c>
      <c r="W697">
        <f>IMPRODUCT(V697,T697)</f>
        <v>0</v>
      </c>
      <c r="X697">
        <f>IMDIV(W697,S697)</f>
        <v>0</v>
      </c>
      <c r="Y697">
        <f>IMPRODUCT(X697,R697)</f>
        <v>0</v>
      </c>
      <c r="Z697">
        <f>IMDIV(Y697,Q697)</f>
        <v>0</v>
      </c>
      <c r="AA697">
        <f>IMPRODUCT(Z697,P697)</f>
        <v>0</v>
      </c>
      <c r="AB697">
        <f>AA697</f>
        <v>0</v>
      </c>
      <c r="AC697">
        <f>IMPRODUCT("-1",AB697)</f>
        <v>0</v>
      </c>
      <c r="AD697">
        <f>IMDIV(IMSUB(AB697,AC697),"2")</f>
        <v>0</v>
      </c>
      <c r="AE697" s="6">
        <f>IMABS(AB697)</f>
        <v>0</v>
      </c>
      <c r="AF697" s="6">
        <f>IMABS(AC697)</f>
        <v>0</v>
      </c>
      <c r="AG697" s="6">
        <f>IMABS(AD697)</f>
        <v>0</v>
      </c>
      <c r="AH697" s="7">
        <f>20*LOG10(MAX(AE697,1E-300)*1E6)</f>
        <v>0</v>
      </c>
      <c r="AI697" s="7">
        <f>20*LOG10(MAX(AF697,1E-300)*1E6)</f>
        <v>0</v>
      </c>
      <c r="AJ697" s="7">
        <f>20*LOG10(MAX(AG697,1E-300)*1E6)</f>
        <v>0</v>
      </c>
      <c r="AK697" s="7">
        <f>DEGREES(IMARGUMENT(AB697))</f>
        <v>0</v>
      </c>
      <c r="AL697" s="7">
        <f>DEGREES(IMARGUMENT(AC697))</f>
        <v>0</v>
      </c>
      <c r="AM697" s="7">
        <f>DEGREES(IMARGUMENT(AD697))</f>
        <v>0</v>
      </c>
    </row>
    <row r="698" spans="1:39">
      <c r="A698" s="6">
        <f>10^(LOG10(F_START)+(ROW()-ROW($A$2))*(LOG10(F_STOP)-LOG10(F_START))/(N_POINTS-1))</f>
        <v>0</v>
      </c>
      <c r="B698" s="6">
        <f>2*PI()*A698</f>
        <v>0</v>
      </c>
      <c r="C698">
        <f>COMPLEX(2*LINE_PS_DCR,2*B698*LINE_PS_L)</f>
        <v>0</v>
      </c>
      <c r="D698">
        <f>IMSUM(COMPLEX(0,B698*(LINE_PS_CLINE+LINE_PS_CCHA/2)),IMDIV("1",IMPRODUCT("2",COMPLEX(C_THROUGH_ESR,B698*C_THROUGH_ESL-1/(B698*C_THROUGH_C)))))</f>
        <v>0</v>
      </c>
      <c r="E698">
        <f>COMPLEX(2*LINE_INPUT_DCR,2*B698*LINE_INPUT_L)</f>
        <v>0</v>
      </c>
      <c r="F698">
        <f>COMPLEX(0,B698*(LINE_INPUT_CLINE+LINE_INPUT_CCHA/2))</f>
        <v>0</v>
      </c>
      <c r="G698">
        <f>IMPRODUCT("2",IMDIV("1",IMSUM(IMDIV("1",COMPLEX(LDM1_DCR,B698*LDM1_L)),COMPLEX(0,B698*LDM1_CPA))))</f>
        <v>0</v>
      </c>
      <c r="H698">
        <f>IMSUM(IMDIV("1",COMPLEX(CX1_ESR,B698*CX1_ESL-1/(B698*CX1_C))),IMDIV("1",IMSUM(COMPLEX(DUMP1_R,0),COMPLEX(DUMP1_ESR,B698*DUMP1_ESL-1/(B698*DUMP1_C)))))</f>
        <v>0</v>
      </c>
      <c r="I698">
        <f>IMPRODUCT("2",IMDIV("1",IMSUM(IMDIV("1",COMPLEX(LDM2_DCR,B698*LDM2_L)),COMPLEX(0,B698*LDM2_CPA))))</f>
        <v>0</v>
      </c>
      <c r="J698">
        <f>IMSUM(IMDIV("1",COMPLEX(CX2_ESR,B698*CX2_ESL-1/(B698*CX2_C))),IMDIV("1",IMSUM(COMPLEX(DUMP2_R,0),COMPLEX(DUMP2_ESR,B698*DUMP2_ESL-1/(B698*DUMP2_C)))))</f>
        <v>0</v>
      </c>
      <c r="K698">
        <f>IMPRODUCT("2",IMDIV("1",IMSUM(IMDIV("1",COMPLEX(CMC_DCR,B698*CMC_L*(1-CMC_K))),COMPLEX(0,B698*CMC_CPA))))</f>
        <v>0</v>
      </c>
      <c r="L698">
        <f>IMSUM(COMPLEX(0,B698*CMC_CLINE),IMDIV("1",IMPRODUCT("2",COMPLEX(CY_ESR,B698*CY_ESL-1/(B698*CY_C)))),COMPLEX(1/DUMMY_R,0))</f>
        <v>0</v>
      </c>
      <c r="M698">
        <f>IMSUM(D698,IMDIV("1",C698))</f>
        <v>0</v>
      </c>
      <c r="N698">
        <f>IMDIV("1",IMSUM(E698,IMDIV("1",M698)))</f>
        <v>0</v>
      </c>
      <c r="O698">
        <f>IMSUM(F698,N698)</f>
        <v>0</v>
      </c>
      <c r="P698">
        <f>IMDIV("1",IMSUM(G698,IMDIV("1",O698)))</f>
        <v>0</v>
      </c>
      <c r="Q698">
        <f>IMSUM(H698,P698)</f>
        <v>0</v>
      </c>
      <c r="R698">
        <f>IMDIV("1",IMSUM(I698,IMDIV("1",Q698)))</f>
        <v>0</v>
      </c>
      <c r="S698">
        <f>IMSUM(J698,R698)</f>
        <v>0</v>
      </c>
      <c r="T698">
        <f>IMDIV("1",IMSUM(K698,IMDIV("1",S698)))</f>
        <v>0</v>
      </c>
      <c r="U698">
        <f>IMSUM(L698,T698)</f>
        <v>0</v>
      </c>
      <c r="V698">
        <f>IMDIV(COMPLEX(I_DM_SOURCE,0),U698)</f>
        <v>0</v>
      </c>
      <c r="W698">
        <f>IMPRODUCT(V698,T698)</f>
        <v>0</v>
      </c>
      <c r="X698">
        <f>IMDIV(W698,S698)</f>
        <v>0</v>
      </c>
      <c r="Y698">
        <f>IMPRODUCT(X698,R698)</f>
        <v>0</v>
      </c>
      <c r="Z698">
        <f>IMDIV(Y698,Q698)</f>
        <v>0</v>
      </c>
      <c r="AA698">
        <f>IMPRODUCT(Z698,P698)</f>
        <v>0</v>
      </c>
      <c r="AB698">
        <f>AA698</f>
        <v>0</v>
      </c>
      <c r="AC698">
        <f>IMPRODUCT("-1",AB698)</f>
        <v>0</v>
      </c>
      <c r="AD698">
        <f>IMDIV(IMSUB(AB698,AC698),"2")</f>
        <v>0</v>
      </c>
      <c r="AE698" s="6">
        <f>IMABS(AB698)</f>
        <v>0</v>
      </c>
      <c r="AF698" s="6">
        <f>IMABS(AC698)</f>
        <v>0</v>
      </c>
      <c r="AG698" s="6">
        <f>IMABS(AD698)</f>
        <v>0</v>
      </c>
      <c r="AH698" s="7">
        <f>20*LOG10(MAX(AE698,1E-300)*1E6)</f>
        <v>0</v>
      </c>
      <c r="AI698" s="7">
        <f>20*LOG10(MAX(AF698,1E-300)*1E6)</f>
        <v>0</v>
      </c>
      <c r="AJ698" s="7">
        <f>20*LOG10(MAX(AG698,1E-300)*1E6)</f>
        <v>0</v>
      </c>
      <c r="AK698" s="7">
        <f>DEGREES(IMARGUMENT(AB698))</f>
        <v>0</v>
      </c>
      <c r="AL698" s="7">
        <f>DEGREES(IMARGUMENT(AC698))</f>
        <v>0</v>
      </c>
      <c r="AM698" s="7">
        <f>DEGREES(IMARGUMENT(AD698))</f>
        <v>0</v>
      </c>
    </row>
    <row r="699" spans="1:39">
      <c r="A699" s="6">
        <f>10^(LOG10(F_START)+(ROW()-ROW($A$2))*(LOG10(F_STOP)-LOG10(F_START))/(N_POINTS-1))</f>
        <v>0</v>
      </c>
      <c r="B699" s="6">
        <f>2*PI()*A699</f>
        <v>0</v>
      </c>
      <c r="C699">
        <f>COMPLEX(2*LINE_PS_DCR,2*B699*LINE_PS_L)</f>
        <v>0</v>
      </c>
      <c r="D699">
        <f>IMSUM(COMPLEX(0,B699*(LINE_PS_CLINE+LINE_PS_CCHA/2)),IMDIV("1",IMPRODUCT("2",COMPLEX(C_THROUGH_ESR,B699*C_THROUGH_ESL-1/(B699*C_THROUGH_C)))))</f>
        <v>0</v>
      </c>
      <c r="E699">
        <f>COMPLEX(2*LINE_INPUT_DCR,2*B699*LINE_INPUT_L)</f>
        <v>0</v>
      </c>
      <c r="F699">
        <f>COMPLEX(0,B699*(LINE_INPUT_CLINE+LINE_INPUT_CCHA/2))</f>
        <v>0</v>
      </c>
      <c r="G699">
        <f>IMPRODUCT("2",IMDIV("1",IMSUM(IMDIV("1",COMPLEX(LDM1_DCR,B699*LDM1_L)),COMPLEX(0,B699*LDM1_CPA))))</f>
        <v>0</v>
      </c>
      <c r="H699">
        <f>IMSUM(IMDIV("1",COMPLEX(CX1_ESR,B699*CX1_ESL-1/(B699*CX1_C))),IMDIV("1",IMSUM(COMPLEX(DUMP1_R,0),COMPLEX(DUMP1_ESR,B699*DUMP1_ESL-1/(B699*DUMP1_C)))))</f>
        <v>0</v>
      </c>
      <c r="I699">
        <f>IMPRODUCT("2",IMDIV("1",IMSUM(IMDIV("1",COMPLEX(LDM2_DCR,B699*LDM2_L)),COMPLEX(0,B699*LDM2_CPA))))</f>
        <v>0</v>
      </c>
      <c r="J699">
        <f>IMSUM(IMDIV("1",COMPLEX(CX2_ESR,B699*CX2_ESL-1/(B699*CX2_C))),IMDIV("1",IMSUM(COMPLEX(DUMP2_R,0),COMPLEX(DUMP2_ESR,B699*DUMP2_ESL-1/(B699*DUMP2_C)))))</f>
        <v>0</v>
      </c>
      <c r="K699">
        <f>IMPRODUCT("2",IMDIV("1",IMSUM(IMDIV("1",COMPLEX(CMC_DCR,B699*CMC_L*(1-CMC_K))),COMPLEX(0,B699*CMC_CPA))))</f>
        <v>0</v>
      </c>
      <c r="L699">
        <f>IMSUM(COMPLEX(0,B699*CMC_CLINE),IMDIV("1",IMPRODUCT("2",COMPLEX(CY_ESR,B699*CY_ESL-1/(B699*CY_C)))),COMPLEX(1/DUMMY_R,0))</f>
        <v>0</v>
      </c>
      <c r="M699">
        <f>IMSUM(D699,IMDIV("1",C699))</f>
        <v>0</v>
      </c>
      <c r="N699">
        <f>IMDIV("1",IMSUM(E699,IMDIV("1",M699)))</f>
        <v>0</v>
      </c>
      <c r="O699">
        <f>IMSUM(F699,N699)</f>
        <v>0</v>
      </c>
      <c r="P699">
        <f>IMDIV("1",IMSUM(G699,IMDIV("1",O699)))</f>
        <v>0</v>
      </c>
      <c r="Q699">
        <f>IMSUM(H699,P699)</f>
        <v>0</v>
      </c>
      <c r="R699">
        <f>IMDIV("1",IMSUM(I699,IMDIV("1",Q699)))</f>
        <v>0</v>
      </c>
      <c r="S699">
        <f>IMSUM(J699,R699)</f>
        <v>0</v>
      </c>
      <c r="T699">
        <f>IMDIV("1",IMSUM(K699,IMDIV("1",S699)))</f>
        <v>0</v>
      </c>
      <c r="U699">
        <f>IMSUM(L699,T699)</f>
        <v>0</v>
      </c>
      <c r="V699">
        <f>IMDIV(COMPLEX(I_DM_SOURCE,0),U699)</f>
        <v>0</v>
      </c>
      <c r="W699">
        <f>IMPRODUCT(V699,T699)</f>
        <v>0</v>
      </c>
      <c r="X699">
        <f>IMDIV(W699,S699)</f>
        <v>0</v>
      </c>
      <c r="Y699">
        <f>IMPRODUCT(X699,R699)</f>
        <v>0</v>
      </c>
      <c r="Z699">
        <f>IMDIV(Y699,Q699)</f>
        <v>0</v>
      </c>
      <c r="AA699">
        <f>IMPRODUCT(Z699,P699)</f>
        <v>0</v>
      </c>
      <c r="AB699">
        <f>AA699</f>
        <v>0</v>
      </c>
      <c r="AC699">
        <f>IMPRODUCT("-1",AB699)</f>
        <v>0</v>
      </c>
      <c r="AD699">
        <f>IMDIV(IMSUB(AB699,AC699),"2")</f>
        <v>0</v>
      </c>
      <c r="AE699" s="6">
        <f>IMABS(AB699)</f>
        <v>0</v>
      </c>
      <c r="AF699" s="6">
        <f>IMABS(AC699)</f>
        <v>0</v>
      </c>
      <c r="AG699" s="6">
        <f>IMABS(AD699)</f>
        <v>0</v>
      </c>
      <c r="AH699" s="7">
        <f>20*LOG10(MAX(AE699,1E-300)*1E6)</f>
        <v>0</v>
      </c>
      <c r="AI699" s="7">
        <f>20*LOG10(MAX(AF699,1E-300)*1E6)</f>
        <v>0</v>
      </c>
      <c r="AJ699" s="7">
        <f>20*LOG10(MAX(AG699,1E-300)*1E6)</f>
        <v>0</v>
      </c>
      <c r="AK699" s="7">
        <f>DEGREES(IMARGUMENT(AB699))</f>
        <v>0</v>
      </c>
      <c r="AL699" s="7">
        <f>DEGREES(IMARGUMENT(AC699))</f>
        <v>0</v>
      </c>
      <c r="AM699" s="7">
        <f>DEGREES(IMARGUMENT(AD699))</f>
        <v>0</v>
      </c>
    </row>
    <row r="700" spans="1:39">
      <c r="A700" s="6">
        <f>10^(LOG10(F_START)+(ROW()-ROW($A$2))*(LOG10(F_STOP)-LOG10(F_START))/(N_POINTS-1))</f>
        <v>0</v>
      </c>
      <c r="B700" s="6">
        <f>2*PI()*A700</f>
        <v>0</v>
      </c>
      <c r="C700">
        <f>COMPLEX(2*LINE_PS_DCR,2*B700*LINE_PS_L)</f>
        <v>0</v>
      </c>
      <c r="D700">
        <f>IMSUM(COMPLEX(0,B700*(LINE_PS_CLINE+LINE_PS_CCHA/2)),IMDIV("1",IMPRODUCT("2",COMPLEX(C_THROUGH_ESR,B700*C_THROUGH_ESL-1/(B700*C_THROUGH_C)))))</f>
        <v>0</v>
      </c>
      <c r="E700">
        <f>COMPLEX(2*LINE_INPUT_DCR,2*B700*LINE_INPUT_L)</f>
        <v>0</v>
      </c>
      <c r="F700">
        <f>COMPLEX(0,B700*(LINE_INPUT_CLINE+LINE_INPUT_CCHA/2))</f>
        <v>0</v>
      </c>
      <c r="G700">
        <f>IMPRODUCT("2",IMDIV("1",IMSUM(IMDIV("1",COMPLEX(LDM1_DCR,B700*LDM1_L)),COMPLEX(0,B700*LDM1_CPA))))</f>
        <v>0</v>
      </c>
      <c r="H700">
        <f>IMSUM(IMDIV("1",COMPLEX(CX1_ESR,B700*CX1_ESL-1/(B700*CX1_C))),IMDIV("1",IMSUM(COMPLEX(DUMP1_R,0),COMPLEX(DUMP1_ESR,B700*DUMP1_ESL-1/(B700*DUMP1_C)))))</f>
        <v>0</v>
      </c>
      <c r="I700">
        <f>IMPRODUCT("2",IMDIV("1",IMSUM(IMDIV("1",COMPLEX(LDM2_DCR,B700*LDM2_L)),COMPLEX(0,B700*LDM2_CPA))))</f>
        <v>0</v>
      </c>
      <c r="J700">
        <f>IMSUM(IMDIV("1",COMPLEX(CX2_ESR,B700*CX2_ESL-1/(B700*CX2_C))),IMDIV("1",IMSUM(COMPLEX(DUMP2_R,0),COMPLEX(DUMP2_ESR,B700*DUMP2_ESL-1/(B700*DUMP2_C)))))</f>
        <v>0</v>
      </c>
      <c r="K700">
        <f>IMPRODUCT("2",IMDIV("1",IMSUM(IMDIV("1",COMPLEX(CMC_DCR,B700*CMC_L*(1-CMC_K))),COMPLEX(0,B700*CMC_CPA))))</f>
        <v>0</v>
      </c>
      <c r="L700">
        <f>IMSUM(COMPLEX(0,B700*CMC_CLINE),IMDIV("1",IMPRODUCT("2",COMPLEX(CY_ESR,B700*CY_ESL-1/(B700*CY_C)))),COMPLEX(1/DUMMY_R,0))</f>
        <v>0</v>
      </c>
      <c r="M700">
        <f>IMSUM(D700,IMDIV("1",C700))</f>
        <v>0</v>
      </c>
      <c r="N700">
        <f>IMDIV("1",IMSUM(E700,IMDIV("1",M700)))</f>
        <v>0</v>
      </c>
      <c r="O700">
        <f>IMSUM(F700,N700)</f>
        <v>0</v>
      </c>
      <c r="P700">
        <f>IMDIV("1",IMSUM(G700,IMDIV("1",O700)))</f>
        <v>0</v>
      </c>
      <c r="Q700">
        <f>IMSUM(H700,P700)</f>
        <v>0</v>
      </c>
      <c r="R700">
        <f>IMDIV("1",IMSUM(I700,IMDIV("1",Q700)))</f>
        <v>0</v>
      </c>
      <c r="S700">
        <f>IMSUM(J700,R700)</f>
        <v>0</v>
      </c>
      <c r="T700">
        <f>IMDIV("1",IMSUM(K700,IMDIV("1",S700)))</f>
        <v>0</v>
      </c>
      <c r="U700">
        <f>IMSUM(L700,T700)</f>
        <v>0</v>
      </c>
      <c r="V700">
        <f>IMDIV(COMPLEX(I_DM_SOURCE,0),U700)</f>
        <v>0</v>
      </c>
      <c r="W700">
        <f>IMPRODUCT(V700,T700)</f>
        <v>0</v>
      </c>
      <c r="X700">
        <f>IMDIV(W700,S700)</f>
        <v>0</v>
      </c>
      <c r="Y700">
        <f>IMPRODUCT(X700,R700)</f>
        <v>0</v>
      </c>
      <c r="Z700">
        <f>IMDIV(Y700,Q700)</f>
        <v>0</v>
      </c>
      <c r="AA700">
        <f>IMPRODUCT(Z700,P700)</f>
        <v>0</v>
      </c>
      <c r="AB700">
        <f>AA700</f>
        <v>0</v>
      </c>
      <c r="AC700">
        <f>IMPRODUCT("-1",AB700)</f>
        <v>0</v>
      </c>
      <c r="AD700">
        <f>IMDIV(IMSUB(AB700,AC700),"2")</f>
        <v>0</v>
      </c>
      <c r="AE700" s="6">
        <f>IMABS(AB700)</f>
        <v>0</v>
      </c>
      <c r="AF700" s="6">
        <f>IMABS(AC700)</f>
        <v>0</v>
      </c>
      <c r="AG700" s="6">
        <f>IMABS(AD700)</f>
        <v>0</v>
      </c>
      <c r="AH700" s="7">
        <f>20*LOG10(MAX(AE700,1E-300)*1E6)</f>
        <v>0</v>
      </c>
      <c r="AI700" s="7">
        <f>20*LOG10(MAX(AF700,1E-300)*1E6)</f>
        <v>0</v>
      </c>
      <c r="AJ700" s="7">
        <f>20*LOG10(MAX(AG700,1E-300)*1E6)</f>
        <v>0</v>
      </c>
      <c r="AK700" s="7">
        <f>DEGREES(IMARGUMENT(AB700))</f>
        <v>0</v>
      </c>
      <c r="AL700" s="7">
        <f>DEGREES(IMARGUMENT(AC700))</f>
        <v>0</v>
      </c>
      <c r="AM700" s="7">
        <f>DEGREES(IMARGUMENT(AD700))</f>
        <v>0</v>
      </c>
    </row>
    <row r="701" spans="1:39">
      <c r="A701" s="6">
        <f>10^(LOG10(F_START)+(ROW()-ROW($A$2))*(LOG10(F_STOP)-LOG10(F_START))/(N_POINTS-1))</f>
        <v>0</v>
      </c>
      <c r="B701" s="6">
        <f>2*PI()*A701</f>
        <v>0</v>
      </c>
      <c r="C701">
        <f>COMPLEX(2*LINE_PS_DCR,2*B701*LINE_PS_L)</f>
        <v>0</v>
      </c>
      <c r="D701">
        <f>IMSUM(COMPLEX(0,B701*(LINE_PS_CLINE+LINE_PS_CCHA/2)),IMDIV("1",IMPRODUCT("2",COMPLEX(C_THROUGH_ESR,B701*C_THROUGH_ESL-1/(B701*C_THROUGH_C)))))</f>
        <v>0</v>
      </c>
      <c r="E701">
        <f>COMPLEX(2*LINE_INPUT_DCR,2*B701*LINE_INPUT_L)</f>
        <v>0</v>
      </c>
      <c r="F701">
        <f>COMPLEX(0,B701*(LINE_INPUT_CLINE+LINE_INPUT_CCHA/2))</f>
        <v>0</v>
      </c>
      <c r="G701">
        <f>IMPRODUCT("2",IMDIV("1",IMSUM(IMDIV("1",COMPLEX(LDM1_DCR,B701*LDM1_L)),COMPLEX(0,B701*LDM1_CPA))))</f>
        <v>0</v>
      </c>
      <c r="H701">
        <f>IMSUM(IMDIV("1",COMPLEX(CX1_ESR,B701*CX1_ESL-1/(B701*CX1_C))),IMDIV("1",IMSUM(COMPLEX(DUMP1_R,0),COMPLEX(DUMP1_ESR,B701*DUMP1_ESL-1/(B701*DUMP1_C)))))</f>
        <v>0</v>
      </c>
      <c r="I701">
        <f>IMPRODUCT("2",IMDIV("1",IMSUM(IMDIV("1",COMPLEX(LDM2_DCR,B701*LDM2_L)),COMPLEX(0,B701*LDM2_CPA))))</f>
        <v>0</v>
      </c>
      <c r="J701">
        <f>IMSUM(IMDIV("1",COMPLEX(CX2_ESR,B701*CX2_ESL-1/(B701*CX2_C))),IMDIV("1",IMSUM(COMPLEX(DUMP2_R,0),COMPLEX(DUMP2_ESR,B701*DUMP2_ESL-1/(B701*DUMP2_C)))))</f>
        <v>0</v>
      </c>
      <c r="K701">
        <f>IMPRODUCT("2",IMDIV("1",IMSUM(IMDIV("1",COMPLEX(CMC_DCR,B701*CMC_L*(1-CMC_K))),COMPLEX(0,B701*CMC_CPA))))</f>
        <v>0</v>
      </c>
      <c r="L701">
        <f>IMSUM(COMPLEX(0,B701*CMC_CLINE),IMDIV("1",IMPRODUCT("2",COMPLEX(CY_ESR,B701*CY_ESL-1/(B701*CY_C)))),COMPLEX(1/DUMMY_R,0))</f>
        <v>0</v>
      </c>
      <c r="M701">
        <f>IMSUM(D701,IMDIV("1",C701))</f>
        <v>0</v>
      </c>
      <c r="N701">
        <f>IMDIV("1",IMSUM(E701,IMDIV("1",M701)))</f>
        <v>0</v>
      </c>
      <c r="O701">
        <f>IMSUM(F701,N701)</f>
        <v>0</v>
      </c>
      <c r="P701">
        <f>IMDIV("1",IMSUM(G701,IMDIV("1",O701)))</f>
        <v>0</v>
      </c>
      <c r="Q701">
        <f>IMSUM(H701,P701)</f>
        <v>0</v>
      </c>
      <c r="R701">
        <f>IMDIV("1",IMSUM(I701,IMDIV("1",Q701)))</f>
        <v>0</v>
      </c>
      <c r="S701">
        <f>IMSUM(J701,R701)</f>
        <v>0</v>
      </c>
      <c r="T701">
        <f>IMDIV("1",IMSUM(K701,IMDIV("1",S701)))</f>
        <v>0</v>
      </c>
      <c r="U701">
        <f>IMSUM(L701,T701)</f>
        <v>0</v>
      </c>
      <c r="V701">
        <f>IMDIV(COMPLEX(I_DM_SOURCE,0),U701)</f>
        <v>0</v>
      </c>
      <c r="W701">
        <f>IMPRODUCT(V701,T701)</f>
        <v>0</v>
      </c>
      <c r="X701">
        <f>IMDIV(W701,S701)</f>
        <v>0</v>
      </c>
      <c r="Y701">
        <f>IMPRODUCT(X701,R701)</f>
        <v>0</v>
      </c>
      <c r="Z701">
        <f>IMDIV(Y701,Q701)</f>
        <v>0</v>
      </c>
      <c r="AA701">
        <f>IMPRODUCT(Z701,P701)</f>
        <v>0</v>
      </c>
      <c r="AB701">
        <f>AA701</f>
        <v>0</v>
      </c>
      <c r="AC701">
        <f>IMPRODUCT("-1",AB701)</f>
        <v>0</v>
      </c>
      <c r="AD701">
        <f>IMDIV(IMSUB(AB701,AC701),"2")</f>
        <v>0</v>
      </c>
      <c r="AE701" s="6">
        <f>IMABS(AB701)</f>
        <v>0</v>
      </c>
      <c r="AF701" s="6">
        <f>IMABS(AC701)</f>
        <v>0</v>
      </c>
      <c r="AG701" s="6">
        <f>IMABS(AD701)</f>
        <v>0</v>
      </c>
      <c r="AH701" s="7">
        <f>20*LOG10(MAX(AE701,1E-300)*1E6)</f>
        <v>0</v>
      </c>
      <c r="AI701" s="7">
        <f>20*LOG10(MAX(AF701,1E-300)*1E6)</f>
        <v>0</v>
      </c>
      <c r="AJ701" s="7">
        <f>20*LOG10(MAX(AG701,1E-300)*1E6)</f>
        <v>0</v>
      </c>
      <c r="AK701" s="7">
        <f>DEGREES(IMARGUMENT(AB701))</f>
        <v>0</v>
      </c>
      <c r="AL701" s="7">
        <f>DEGREES(IMARGUMENT(AC701))</f>
        <v>0</v>
      </c>
      <c r="AM701" s="7">
        <f>DEGREES(IMARGUMENT(AD701))</f>
        <v>0</v>
      </c>
    </row>
    <row r="702" spans="1:39">
      <c r="A702" s="6">
        <f>10^(LOG10(F_START)+(ROW()-ROW($A$2))*(LOG10(F_STOP)-LOG10(F_START))/(N_POINTS-1))</f>
        <v>0</v>
      </c>
      <c r="B702" s="6">
        <f>2*PI()*A702</f>
        <v>0</v>
      </c>
      <c r="C702">
        <f>COMPLEX(2*LINE_PS_DCR,2*B702*LINE_PS_L)</f>
        <v>0</v>
      </c>
      <c r="D702">
        <f>IMSUM(COMPLEX(0,B702*(LINE_PS_CLINE+LINE_PS_CCHA/2)),IMDIV("1",IMPRODUCT("2",COMPLEX(C_THROUGH_ESR,B702*C_THROUGH_ESL-1/(B702*C_THROUGH_C)))))</f>
        <v>0</v>
      </c>
      <c r="E702">
        <f>COMPLEX(2*LINE_INPUT_DCR,2*B702*LINE_INPUT_L)</f>
        <v>0</v>
      </c>
      <c r="F702">
        <f>COMPLEX(0,B702*(LINE_INPUT_CLINE+LINE_INPUT_CCHA/2))</f>
        <v>0</v>
      </c>
      <c r="G702">
        <f>IMPRODUCT("2",IMDIV("1",IMSUM(IMDIV("1",COMPLEX(LDM1_DCR,B702*LDM1_L)),COMPLEX(0,B702*LDM1_CPA))))</f>
        <v>0</v>
      </c>
      <c r="H702">
        <f>IMSUM(IMDIV("1",COMPLEX(CX1_ESR,B702*CX1_ESL-1/(B702*CX1_C))),IMDIV("1",IMSUM(COMPLEX(DUMP1_R,0),COMPLEX(DUMP1_ESR,B702*DUMP1_ESL-1/(B702*DUMP1_C)))))</f>
        <v>0</v>
      </c>
      <c r="I702">
        <f>IMPRODUCT("2",IMDIV("1",IMSUM(IMDIV("1",COMPLEX(LDM2_DCR,B702*LDM2_L)),COMPLEX(0,B702*LDM2_CPA))))</f>
        <v>0</v>
      </c>
      <c r="J702">
        <f>IMSUM(IMDIV("1",COMPLEX(CX2_ESR,B702*CX2_ESL-1/(B702*CX2_C))),IMDIV("1",IMSUM(COMPLEX(DUMP2_R,0),COMPLEX(DUMP2_ESR,B702*DUMP2_ESL-1/(B702*DUMP2_C)))))</f>
        <v>0</v>
      </c>
      <c r="K702">
        <f>IMPRODUCT("2",IMDIV("1",IMSUM(IMDIV("1",COMPLEX(CMC_DCR,B702*CMC_L*(1-CMC_K))),COMPLEX(0,B702*CMC_CPA))))</f>
        <v>0</v>
      </c>
      <c r="L702">
        <f>IMSUM(COMPLEX(0,B702*CMC_CLINE),IMDIV("1",IMPRODUCT("2",COMPLEX(CY_ESR,B702*CY_ESL-1/(B702*CY_C)))),COMPLEX(1/DUMMY_R,0))</f>
        <v>0</v>
      </c>
      <c r="M702">
        <f>IMSUM(D702,IMDIV("1",C702))</f>
        <v>0</v>
      </c>
      <c r="N702">
        <f>IMDIV("1",IMSUM(E702,IMDIV("1",M702)))</f>
        <v>0</v>
      </c>
      <c r="O702">
        <f>IMSUM(F702,N702)</f>
        <v>0</v>
      </c>
      <c r="P702">
        <f>IMDIV("1",IMSUM(G702,IMDIV("1",O702)))</f>
        <v>0</v>
      </c>
      <c r="Q702">
        <f>IMSUM(H702,P702)</f>
        <v>0</v>
      </c>
      <c r="R702">
        <f>IMDIV("1",IMSUM(I702,IMDIV("1",Q702)))</f>
        <v>0</v>
      </c>
      <c r="S702">
        <f>IMSUM(J702,R702)</f>
        <v>0</v>
      </c>
      <c r="T702">
        <f>IMDIV("1",IMSUM(K702,IMDIV("1",S702)))</f>
        <v>0</v>
      </c>
      <c r="U702">
        <f>IMSUM(L702,T702)</f>
        <v>0</v>
      </c>
      <c r="V702">
        <f>IMDIV(COMPLEX(I_DM_SOURCE,0),U702)</f>
        <v>0</v>
      </c>
      <c r="W702">
        <f>IMPRODUCT(V702,T702)</f>
        <v>0</v>
      </c>
      <c r="X702">
        <f>IMDIV(W702,S702)</f>
        <v>0</v>
      </c>
      <c r="Y702">
        <f>IMPRODUCT(X702,R702)</f>
        <v>0</v>
      </c>
      <c r="Z702">
        <f>IMDIV(Y702,Q702)</f>
        <v>0</v>
      </c>
      <c r="AA702">
        <f>IMPRODUCT(Z702,P702)</f>
        <v>0</v>
      </c>
      <c r="AB702">
        <f>AA702</f>
        <v>0</v>
      </c>
      <c r="AC702">
        <f>IMPRODUCT("-1",AB702)</f>
        <v>0</v>
      </c>
      <c r="AD702">
        <f>IMDIV(IMSUB(AB702,AC702),"2")</f>
        <v>0</v>
      </c>
      <c r="AE702" s="6">
        <f>IMABS(AB702)</f>
        <v>0</v>
      </c>
      <c r="AF702" s="6">
        <f>IMABS(AC702)</f>
        <v>0</v>
      </c>
      <c r="AG702" s="6">
        <f>IMABS(AD702)</f>
        <v>0</v>
      </c>
      <c r="AH702" s="7">
        <f>20*LOG10(MAX(AE702,1E-300)*1E6)</f>
        <v>0</v>
      </c>
      <c r="AI702" s="7">
        <f>20*LOG10(MAX(AF702,1E-300)*1E6)</f>
        <v>0</v>
      </c>
      <c r="AJ702" s="7">
        <f>20*LOG10(MAX(AG702,1E-300)*1E6)</f>
        <v>0</v>
      </c>
      <c r="AK702" s="7">
        <f>DEGREES(IMARGUMENT(AB702))</f>
        <v>0</v>
      </c>
      <c r="AL702" s="7">
        <f>DEGREES(IMARGUMENT(AC702))</f>
        <v>0</v>
      </c>
      <c r="AM702" s="7">
        <f>DEGREES(IMARGUMENT(AD702))</f>
        <v>0</v>
      </c>
    </row>
    <row r="703" spans="1:39">
      <c r="A703" s="6">
        <f>10^(LOG10(F_START)+(ROW()-ROW($A$2))*(LOG10(F_STOP)-LOG10(F_START))/(N_POINTS-1))</f>
        <v>0</v>
      </c>
      <c r="B703" s="6">
        <f>2*PI()*A703</f>
        <v>0</v>
      </c>
      <c r="C703">
        <f>COMPLEX(2*LINE_PS_DCR,2*B703*LINE_PS_L)</f>
        <v>0</v>
      </c>
      <c r="D703">
        <f>IMSUM(COMPLEX(0,B703*(LINE_PS_CLINE+LINE_PS_CCHA/2)),IMDIV("1",IMPRODUCT("2",COMPLEX(C_THROUGH_ESR,B703*C_THROUGH_ESL-1/(B703*C_THROUGH_C)))))</f>
        <v>0</v>
      </c>
      <c r="E703">
        <f>COMPLEX(2*LINE_INPUT_DCR,2*B703*LINE_INPUT_L)</f>
        <v>0</v>
      </c>
      <c r="F703">
        <f>COMPLEX(0,B703*(LINE_INPUT_CLINE+LINE_INPUT_CCHA/2))</f>
        <v>0</v>
      </c>
      <c r="G703">
        <f>IMPRODUCT("2",IMDIV("1",IMSUM(IMDIV("1",COMPLEX(LDM1_DCR,B703*LDM1_L)),COMPLEX(0,B703*LDM1_CPA))))</f>
        <v>0</v>
      </c>
      <c r="H703">
        <f>IMSUM(IMDIV("1",COMPLEX(CX1_ESR,B703*CX1_ESL-1/(B703*CX1_C))),IMDIV("1",IMSUM(COMPLEX(DUMP1_R,0),COMPLEX(DUMP1_ESR,B703*DUMP1_ESL-1/(B703*DUMP1_C)))))</f>
        <v>0</v>
      </c>
      <c r="I703">
        <f>IMPRODUCT("2",IMDIV("1",IMSUM(IMDIV("1",COMPLEX(LDM2_DCR,B703*LDM2_L)),COMPLEX(0,B703*LDM2_CPA))))</f>
        <v>0</v>
      </c>
      <c r="J703">
        <f>IMSUM(IMDIV("1",COMPLEX(CX2_ESR,B703*CX2_ESL-1/(B703*CX2_C))),IMDIV("1",IMSUM(COMPLEX(DUMP2_R,0),COMPLEX(DUMP2_ESR,B703*DUMP2_ESL-1/(B703*DUMP2_C)))))</f>
        <v>0</v>
      </c>
      <c r="K703">
        <f>IMPRODUCT("2",IMDIV("1",IMSUM(IMDIV("1",COMPLEX(CMC_DCR,B703*CMC_L*(1-CMC_K))),COMPLEX(0,B703*CMC_CPA))))</f>
        <v>0</v>
      </c>
      <c r="L703">
        <f>IMSUM(COMPLEX(0,B703*CMC_CLINE),IMDIV("1",IMPRODUCT("2",COMPLEX(CY_ESR,B703*CY_ESL-1/(B703*CY_C)))),COMPLEX(1/DUMMY_R,0))</f>
        <v>0</v>
      </c>
      <c r="M703">
        <f>IMSUM(D703,IMDIV("1",C703))</f>
        <v>0</v>
      </c>
      <c r="N703">
        <f>IMDIV("1",IMSUM(E703,IMDIV("1",M703)))</f>
        <v>0</v>
      </c>
      <c r="O703">
        <f>IMSUM(F703,N703)</f>
        <v>0</v>
      </c>
      <c r="P703">
        <f>IMDIV("1",IMSUM(G703,IMDIV("1",O703)))</f>
        <v>0</v>
      </c>
      <c r="Q703">
        <f>IMSUM(H703,P703)</f>
        <v>0</v>
      </c>
      <c r="R703">
        <f>IMDIV("1",IMSUM(I703,IMDIV("1",Q703)))</f>
        <v>0</v>
      </c>
      <c r="S703">
        <f>IMSUM(J703,R703)</f>
        <v>0</v>
      </c>
      <c r="T703">
        <f>IMDIV("1",IMSUM(K703,IMDIV("1",S703)))</f>
        <v>0</v>
      </c>
      <c r="U703">
        <f>IMSUM(L703,T703)</f>
        <v>0</v>
      </c>
      <c r="V703">
        <f>IMDIV(COMPLEX(I_DM_SOURCE,0),U703)</f>
        <v>0</v>
      </c>
      <c r="W703">
        <f>IMPRODUCT(V703,T703)</f>
        <v>0</v>
      </c>
      <c r="X703">
        <f>IMDIV(W703,S703)</f>
        <v>0</v>
      </c>
      <c r="Y703">
        <f>IMPRODUCT(X703,R703)</f>
        <v>0</v>
      </c>
      <c r="Z703">
        <f>IMDIV(Y703,Q703)</f>
        <v>0</v>
      </c>
      <c r="AA703">
        <f>IMPRODUCT(Z703,P703)</f>
        <v>0</v>
      </c>
      <c r="AB703">
        <f>AA703</f>
        <v>0</v>
      </c>
      <c r="AC703">
        <f>IMPRODUCT("-1",AB703)</f>
        <v>0</v>
      </c>
      <c r="AD703">
        <f>IMDIV(IMSUB(AB703,AC703),"2")</f>
        <v>0</v>
      </c>
      <c r="AE703" s="6">
        <f>IMABS(AB703)</f>
        <v>0</v>
      </c>
      <c r="AF703" s="6">
        <f>IMABS(AC703)</f>
        <v>0</v>
      </c>
      <c r="AG703" s="6">
        <f>IMABS(AD703)</f>
        <v>0</v>
      </c>
      <c r="AH703" s="7">
        <f>20*LOG10(MAX(AE703,1E-300)*1E6)</f>
        <v>0</v>
      </c>
      <c r="AI703" s="7">
        <f>20*LOG10(MAX(AF703,1E-300)*1E6)</f>
        <v>0</v>
      </c>
      <c r="AJ703" s="7">
        <f>20*LOG10(MAX(AG703,1E-300)*1E6)</f>
        <v>0</v>
      </c>
      <c r="AK703" s="7">
        <f>DEGREES(IMARGUMENT(AB703))</f>
        <v>0</v>
      </c>
      <c r="AL703" s="7">
        <f>DEGREES(IMARGUMENT(AC703))</f>
        <v>0</v>
      </c>
      <c r="AM703" s="7">
        <f>DEGREES(IMARGUMENT(AD703))</f>
        <v>0</v>
      </c>
    </row>
    <row r="704" spans="1:39">
      <c r="A704" s="6">
        <f>10^(LOG10(F_START)+(ROW()-ROW($A$2))*(LOG10(F_STOP)-LOG10(F_START))/(N_POINTS-1))</f>
        <v>0</v>
      </c>
      <c r="B704" s="6">
        <f>2*PI()*A704</f>
        <v>0</v>
      </c>
      <c r="C704">
        <f>COMPLEX(2*LINE_PS_DCR,2*B704*LINE_PS_L)</f>
        <v>0</v>
      </c>
      <c r="D704">
        <f>IMSUM(COMPLEX(0,B704*(LINE_PS_CLINE+LINE_PS_CCHA/2)),IMDIV("1",IMPRODUCT("2",COMPLEX(C_THROUGH_ESR,B704*C_THROUGH_ESL-1/(B704*C_THROUGH_C)))))</f>
        <v>0</v>
      </c>
      <c r="E704">
        <f>COMPLEX(2*LINE_INPUT_DCR,2*B704*LINE_INPUT_L)</f>
        <v>0</v>
      </c>
      <c r="F704">
        <f>COMPLEX(0,B704*(LINE_INPUT_CLINE+LINE_INPUT_CCHA/2))</f>
        <v>0</v>
      </c>
      <c r="G704">
        <f>IMPRODUCT("2",IMDIV("1",IMSUM(IMDIV("1",COMPLEX(LDM1_DCR,B704*LDM1_L)),COMPLEX(0,B704*LDM1_CPA))))</f>
        <v>0</v>
      </c>
      <c r="H704">
        <f>IMSUM(IMDIV("1",COMPLEX(CX1_ESR,B704*CX1_ESL-1/(B704*CX1_C))),IMDIV("1",IMSUM(COMPLEX(DUMP1_R,0),COMPLEX(DUMP1_ESR,B704*DUMP1_ESL-1/(B704*DUMP1_C)))))</f>
        <v>0</v>
      </c>
      <c r="I704">
        <f>IMPRODUCT("2",IMDIV("1",IMSUM(IMDIV("1",COMPLEX(LDM2_DCR,B704*LDM2_L)),COMPLEX(0,B704*LDM2_CPA))))</f>
        <v>0</v>
      </c>
      <c r="J704">
        <f>IMSUM(IMDIV("1",COMPLEX(CX2_ESR,B704*CX2_ESL-1/(B704*CX2_C))),IMDIV("1",IMSUM(COMPLEX(DUMP2_R,0),COMPLEX(DUMP2_ESR,B704*DUMP2_ESL-1/(B704*DUMP2_C)))))</f>
        <v>0</v>
      </c>
      <c r="K704">
        <f>IMPRODUCT("2",IMDIV("1",IMSUM(IMDIV("1",COMPLEX(CMC_DCR,B704*CMC_L*(1-CMC_K))),COMPLEX(0,B704*CMC_CPA))))</f>
        <v>0</v>
      </c>
      <c r="L704">
        <f>IMSUM(COMPLEX(0,B704*CMC_CLINE),IMDIV("1",IMPRODUCT("2",COMPLEX(CY_ESR,B704*CY_ESL-1/(B704*CY_C)))),COMPLEX(1/DUMMY_R,0))</f>
        <v>0</v>
      </c>
      <c r="M704">
        <f>IMSUM(D704,IMDIV("1",C704))</f>
        <v>0</v>
      </c>
      <c r="N704">
        <f>IMDIV("1",IMSUM(E704,IMDIV("1",M704)))</f>
        <v>0</v>
      </c>
      <c r="O704">
        <f>IMSUM(F704,N704)</f>
        <v>0</v>
      </c>
      <c r="P704">
        <f>IMDIV("1",IMSUM(G704,IMDIV("1",O704)))</f>
        <v>0</v>
      </c>
      <c r="Q704">
        <f>IMSUM(H704,P704)</f>
        <v>0</v>
      </c>
      <c r="R704">
        <f>IMDIV("1",IMSUM(I704,IMDIV("1",Q704)))</f>
        <v>0</v>
      </c>
      <c r="S704">
        <f>IMSUM(J704,R704)</f>
        <v>0</v>
      </c>
      <c r="T704">
        <f>IMDIV("1",IMSUM(K704,IMDIV("1",S704)))</f>
        <v>0</v>
      </c>
      <c r="U704">
        <f>IMSUM(L704,T704)</f>
        <v>0</v>
      </c>
      <c r="V704">
        <f>IMDIV(COMPLEX(I_DM_SOURCE,0),U704)</f>
        <v>0</v>
      </c>
      <c r="W704">
        <f>IMPRODUCT(V704,T704)</f>
        <v>0</v>
      </c>
      <c r="X704">
        <f>IMDIV(W704,S704)</f>
        <v>0</v>
      </c>
      <c r="Y704">
        <f>IMPRODUCT(X704,R704)</f>
        <v>0</v>
      </c>
      <c r="Z704">
        <f>IMDIV(Y704,Q704)</f>
        <v>0</v>
      </c>
      <c r="AA704">
        <f>IMPRODUCT(Z704,P704)</f>
        <v>0</v>
      </c>
      <c r="AB704">
        <f>AA704</f>
        <v>0</v>
      </c>
      <c r="AC704">
        <f>IMPRODUCT("-1",AB704)</f>
        <v>0</v>
      </c>
      <c r="AD704">
        <f>IMDIV(IMSUB(AB704,AC704),"2")</f>
        <v>0</v>
      </c>
      <c r="AE704" s="6">
        <f>IMABS(AB704)</f>
        <v>0</v>
      </c>
      <c r="AF704" s="6">
        <f>IMABS(AC704)</f>
        <v>0</v>
      </c>
      <c r="AG704" s="6">
        <f>IMABS(AD704)</f>
        <v>0</v>
      </c>
      <c r="AH704" s="7">
        <f>20*LOG10(MAX(AE704,1E-300)*1E6)</f>
        <v>0</v>
      </c>
      <c r="AI704" s="7">
        <f>20*LOG10(MAX(AF704,1E-300)*1E6)</f>
        <v>0</v>
      </c>
      <c r="AJ704" s="7">
        <f>20*LOG10(MAX(AG704,1E-300)*1E6)</f>
        <v>0</v>
      </c>
      <c r="AK704" s="7">
        <f>DEGREES(IMARGUMENT(AB704))</f>
        <v>0</v>
      </c>
      <c r="AL704" s="7">
        <f>DEGREES(IMARGUMENT(AC704))</f>
        <v>0</v>
      </c>
      <c r="AM704" s="7">
        <f>DEGREES(IMARGUMENT(AD704))</f>
        <v>0</v>
      </c>
    </row>
    <row r="705" spans="1:39">
      <c r="A705" s="6">
        <f>10^(LOG10(F_START)+(ROW()-ROW($A$2))*(LOG10(F_STOP)-LOG10(F_START))/(N_POINTS-1))</f>
        <v>0</v>
      </c>
      <c r="B705" s="6">
        <f>2*PI()*A705</f>
        <v>0</v>
      </c>
      <c r="C705">
        <f>COMPLEX(2*LINE_PS_DCR,2*B705*LINE_PS_L)</f>
        <v>0</v>
      </c>
      <c r="D705">
        <f>IMSUM(COMPLEX(0,B705*(LINE_PS_CLINE+LINE_PS_CCHA/2)),IMDIV("1",IMPRODUCT("2",COMPLEX(C_THROUGH_ESR,B705*C_THROUGH_ESL-1/(B705*C_THROUGH_C)))))</f>
        <v>0</v>
      </c>
      <c r="E705">
        <f>COMPLEX(2*LINE_INPUT_DCR,2*B705*LINE_INPUT_L)</f>
        <v>0</v>
      </c>
      <c r="F705">
        <f>COMPLEX(0,B705*(LINE_INPUT_CLINE+LINE_INPUT_CCHA/2))</f>
        <v>0</v>
      </c>
      <c r="G705">
        <f>IMPRODUCT("2",IMDIV("1",IMSUM(IMDIV("1",COMPLEX(LDM1_DCR,B705*LDM1_L)),COMPLEX(0,B705*LDM1_CPA))))</f>
        <v>0</v>
      </c>
      <c r="H705">
        <f>IMSUM(IMDIV("1",COMPLEX(CX1_ESR,B705*CX1_ESL-1/(B705*CX1_C))),IMDIV("1",IMSUM(COMPLEX(DUMP1_R,0),COMPLEX(DUMP1_ESR,B705*DUMP1_ESL-1/(B705*DUMP1_C)))))</f>
        <v>0</v>
      </c>
      <c r="I705">
        <f>IMPRODUCT("2",IMDIV("1",IMSUM(IMDIV("1",COMPLEX(LDM2_DCR,B705*LDM2_L)),COMPLEX(0,B705*LDM2_CPA))))</f>
        <v>0</v>
      </c>
      <c r="J705">
        <f>IMSUM(IMDIV("1",COMPLEX(CX2_ESR,B705*CX2_ESL-1/(B705*CX2_C))),IMDIV("1",IMSUM(COMPLEX(DUMP2_R,0),COMPLEX(DUMP2_ESR,B705*DUMP2_ESL-1/(B705*DUMP2_C)))))</f>
        <v>0</v>
      </c>
      <c r="K705">
        <f>IMPRODUCT("2",IMDIV("1",IMSUM(IMDIV("1",COMPLEX(CMC_DCR,B705*CMC_L*(1-CMC_K))),COMPLEX(0,B705*CMC_CPA))))</f>
        <v>0</v>
      </c>
      <c r="L705">
        <f>IMSUM(COMPLEX(0,B705*CMC_CLINE),IMDIV("1",IMPRODUCT("2",COMPLEX(CY_ESR,B705*CY_ESL-1/(B705*CY_C)))),COMPLEX(1/DUMMY_R,0))</f>
        <v>0</v>
      </c>
      <c r="M705">
        <f>IMSUM(D705,IMDIV("1",C705))</f>
        <v>0</v>
      </c>
      <c r="N705">
        <f>IMDIV("1",IMSUM(E705,IMDIV("1",M705)))</f>
        <v>0</v>
      </c>
      <c r="O705">
        <f>IMSUM(F705,N705)</f>
        <v>0</v>
      </c>
      <c r="P705">
        <f>IMDIV("1",IMSUM(G705,IMDIV("1",O705)))</f>
        <v>0</v>
      </c>
      <c r="Q705">
        <f>IMSUM(H705,P705)</f>
        <v>0</v>
      </c>
      <c r="R705">
        <f>IMDIV("1",IMSUM(I705,IMDIV("1",Q705)))</f>
        <v>0</v>
      </c>
      <c r="S705">
        <f>IMSUM(J705,R705)</f>
        <v>0</v>
      </c>
      <c r="T705">
        <f>IMDIV("1",IMSUM(K705,IMDIV("1",S705)))</f>
        <v>0</v>
      </c>
      <c r="U705">
        <f>IMSUM(L705,T705)</f>
        <v>0</v>
      </c>
      <c r="V705">
        <f>IMDIV(COMPLEX(I_DM_SOURCE,0),U705)</f>
        <v>0</v>
      </c>
      <c r="W705">
        <f>IMPRODUCT(V705,T705)</f>
        <v>0</v>
      </c>
      <c r="X705">
        <f>IMDIV(W705,S705)</f>
        <v>0</v>
      </c>
      <c r="Y705">
        <f>IMPRODUCT(X705,R705)</f>
        <v>0</v>
      </c>
      <c r="Z705">
        <f>IMDIV(Y705,Q705)</f>
        <v>0</v>
      </c>
      <c r="AA705">
        <f>IMPRODUCT(Z705,P705)</f>
        <v>0</v>
      </c>
      <c r="AB705">
        <f>AA705</f>
        <v>0</v>
      </c>
      <c r="AC705">
        <f>IMPRODUCT("-1",AB705)</f>
        <v>0</v>
      </c>
      <c r="AD705">
        <f>IMDIV(IMSUB(AB705,AC705),"2")</f>
        <v>0</v>
      </c>
      <c r="AE705" s="6">
        <f>IMABS(AB705)</f>
        <v>0</v>
      </c>
      <c r="AF705" s="6">
        <f>IMABS(AC705)</f>
        <v>0</v>
      </c>
      <c r="AG705" s="6">
        <f>IMABS(AD705)</f>
        <v>0</v>
      </c>
      <c r="AH705" s="7">
        <f>20*LOG10(MAX(AE705,1E-300)*1E6)</f>
        <v>0</v>
      </c>
      <c r="AI705" s="7">
        <f>20*LOG10(MAX(AF705,1E-300)*1E6)</f>
        <v>0</v>
      </c>
      <c r="AJ705" s="7">
        <f>20*LOG10(MAX(AG705,1E-300)*1E6)</f>
        <v>0</v>
      </c>
      <c r="AK705" s="7">
        <f>DEGREES(IMARGUMENT(AB705))</f>
        <v>0</v>
      </c>
      <c r="AL705" s="7">
        <f>DEGREES(IMARGUMENT(AC705))</f>
        <v>0</v>
      </c>
      <c r="AM705" s="7">
        <f>DEGREES(IMARGUMENT(AD705))</f>
        <v>0</v>
      </c>
    </row>
    <row r="706" spans="1:39">
      <c r="A706" s="6">
        <f>10^(LOG10(F_START)+(ROW()-ROW($A$2))*(LOG10(F_STOP)-LOG10(F_START))/(N_POINTS-1))</f>
        <v>0</v>
      </c>
      <c r="B706" s="6">
        <f>2*PI()*A706</f>
        <v>0</v>
      </c>
      <c r="C706">
        <f>COMPLEX(2*LINE_PS_DCR,2*B706*LINE_PS_L)</f>
        <v>0</v>
      </c>
      <c r="D706">
        <f>IMSUM(COMPLEX(0,B706*(LINE_PS_CLINE+LINE_PS_CCHA/2)),IMDIV("1",IMPRODUCT("2",COMPLEX(C_THROUGH_ESR,B706*C_THROUGH_ESL-1/(B706*C_THROUGH_C)))))</f>
        <v>0</v>
      </c>
      <c r="E706">
        <f>COMPLEX(2*LINE_INPUT_DCR,2*B706*LINE_INPUT_L)</f>
        <v>0</v>
      </c>
      <c r="F706">
        <f>COMPLEX(0,B706*(LINE_INPUT_CLINE+LINE_INPUT_CCHA/2))</f>
        <v>0</v>
      </c>
      <c r="G706">
        <f>IMPRODUCT("2",IMDIV("1",IMSUM(IMDIV("1",COMPLEX(LDM1_DCR,B706*LDM1_L)),COMPLEX(0,B706*LDM1_CPA))))</f>
        <v>0</v>
      </c>
      <c r="H706">
        <f>IMSUM(IMDIV("1",COMPLEX(CX1_ESR,B706*CX1_ESL-1/(B706*CX1_C))),IMDIV("1",IMSUM(COMPLEX(DUMP1_R,0),COMPLEX(DUMP1_ESR,B706*DUMP1_ESL-1/(B706*DUMP1_C)))))</f>
        <v>0</v>
      </c>
      <c r="I706">
        <f>IMPRODUCT("2",IMDIV("1",IMSUM(IMDIV("1",COMPLEX(LDM2_DCR,B706*LDM2_L)),COMPLEX(0,B706*LDM2_CPA))))</f>
        <v>0</v>
      </c>
      <c r="J706">
        <f>IMSUM(IMDIV("1",COMPLEX(CX2_ESR,B706*CX2_ESL-1/(B706*CX2_C))),IMDIV("1",IMSUM(COMPLEX(DUMP2_R,0),COMPLEX(DUMP2_ESR,B706*DUMP2_ESL-1/(B706*DUMP2_C)))))</f>
        <v>0</v>
      </c>
      <c r="K706">
        <f>IMPRODUCT("2",IMDIV("1",IMSUM(IMDIV("1",COMPLEX(CMC_DCR,B706*CMC_L*(1-CMC_K))),COMPLEX(0,B706*CMC_CPA))))</f>
        <v>0</v>
      </c>
      <c r="L706">
        <f>IMSUM(COMPLEX(0,B706*CMC_CLINE),IMDIV("1",IMPRODUCT("2",COMPLEX(CY_ESR,B706*CY_ESL-1/(B706*CY_C)))),COMPLEX(1/DUMMY_R,0))</f>
        <v>0</v>
      </c>
      <c r="M706">
        <f>IMSUM(D706,IMDIV("1",C706))</f>
        <v>0</v>
      </c>
      <c r="N706">
        <f>IMDIV("1",IMSUM(E706,IMDIV("1",M706)))</f>
        <v>0</v>
      </c>
      <c r="O706">
        <f>IMSUM(F706,N706)</f>
        <v>0</v>
      </c>
      <c r="P706">
        <f>IMDIV("1",IMSUM(G706,IMDIV("1",O706)))</f>
        <v>0</v>
      </c>
      <c r="Q706">
        <f>IMSUM(H706,P706)</f>
        <v>0</v>
      </c>
      <c r="R706">
        <f>IMDIV("1",IMSUM(I706,IMDIV("1",Q706)))</f>
        <v>0</v>
      </c>
      <c r="S706">
        <f>IMSUM(J706,R706)</f>
        <v>0</v>
      </c>
      <c r="T706">
        <f>IMDIV("1",IMSUM(K706,IMDIV("1",S706)))</f>
        <v>0</v>
      </c>
      <c r="U706">
        <f>IMSUM(L706,T706)</f>
        <v>0</v>
      </c>
      <c r="V706">
        <f>IMDIV(COMPLEX(I_DM_SOURCE,0),U706)</f>
        <v>0</v>
      </c>
      <c r="W706">
        <f>IMPRODUCT(V706,T706)</f>
        <v>0</v>
      </c>
      <c r="X706">
        <f>IMDIV(W706,S706)</f>
        <v>0</v>
      </c>
      <c r="Y706">
        <f>IMPRODUCT(X706,R706)</f>
        <v>0</v>
      </c>
      <c r="Z706">
        <f>IMDIV(Y706,Q706)</f>
        <v>0</v>
      </c>
      <c r="AA706">
        <f>IMPRODUCT(Z706,P706)</f>
        <v>0</v>
      </c>
      <c r="AB706">
        <f>AA706</f>
        <v>0</v>
      </c>
      <c r="AC706">
        <f>IMPRODUCT("-1",AB706)</f>
        <v>0</v>
      </c>
      <c r="AD706">
        <f>IMDIV(IMSUB(AB706,AC706),"2")</f>
        <v>0</v>
      </c>
      <c r="AE706" s="6">
        <f>IMABS(AB706)</f>
        <v>0</v>
      </c>
      <c r="AF706" s="6">
        <f>IMABS(AC706)</f>
        <v>0</v>
      </c>
      <c r="AG706" s="6">
        <f>IMABS(AD706)</f>
        <v>0</v>
      </c>
      <c r="AH706" s="7">
        <f>20*LOG10(MAX(AE706,1E-300)*1E6)</f>
        <v>0</v>
      </c>
      <c r="AI706" s="7">
        <f>20*LOG10(MAX(AF706,1E-300)*1E6)</f>
        <v>0</v>
      </c>
      <c r="AJ706" s="7">
        <f>20*LOG10(MAX(AG706,1E-300)*1E6)</f>
        <v>0</v>
      </c>
      <c r="AK706" s="7">
        <f>DEGREES(IMARGUMENT(AB706))</f>
        <v>0</v>
      </c>
      <c r="AL706" s="7">
        <f>DEGREES(IMARGUMENT(AC706))</f>
        <v>0</v>
      </c>
      <c r="AM706" s="7">
        <f>DEGREES(IMARGUMENT(AD706))</f>
        <v>0</v>
      </c>
    </row>
    <row r="707" spans="1:39">
      <c r="A707" s="6">
        <f>10^(LOG10(F_START)+(ROW()-ROW($A$2))*(LOG10(F_STOP)-LOG10(F_START))/(N_POINTS-1))</f>
        <v>0</v>
      </c>
      <c r="B707" s="6">
        <f>2*PI()*A707</f>
        <v>0</v>
      </c>
      <c r="C707">
        <f>COMPLEX(2*LINE_PS_DCR,2*B707*LINE_PS_L)</f>
        <v>0</v>
      </c>
      <c r="D707">
        <f>IMSUM(COMPLEX(0,B707*(LINE_PS_CLINE+LINE_PS_CCHA/2)),IMDIV("1",IMPRODUCT("2",COMPLEX(C_THROUGH_ESR,B707*C_THROUGH_ESL-1/(B707*C_THROUGH_C)))))</f>
        <v>0</v>
      </c>
      <c r="E707">
        <f>COMPLEX(2*LINE_INPUT_DCR,2*B707*LINE_INPUT_L)</f>
        <v>0</v>
      </c>
      <c r="F707">
        <f>COMPLEX(0,B707*(LINE_INPUT_CLINE+LINE_INPUT_CCHA/2))</f>
        <v>0</v>
      </c>
      <c r="G707">
        <f>IMPRODUCT("2",IMDIV("1",IMSUM(IMDIV("1",COMPLEX(LDM1_DCR,B707*LDM1_L)),COMPLEX(0,B707*LDM1_CPA))))</f>
        <v>0</v>
      </c>
      <c r="H707">
        <f>IMSUM(IMDIV("1",COMPLEX(CX1_ESR,B707*CX1_ESL-1/(B707*CX1_C))),IMDIV("1",IMSUM(COMPLEX(DUMP1_R,0),COMPLEX(DUMP1_ESR,B707*DUMP1_ESL-1/(B707*DUMP1_C)))))</f>
        <v>0</v>
      </c>
      <c r="I707">
        <f>IMPRODUCT("2",IMDIV("1",IMSUM(IMDIV("1",COMPLEX(LDM2_DCR,B707*LDM2_L)),COMPLEX(0,B707*LDM2_CPA))))</f>
        <v>0</v>
      </c>
      <c r="J707">
        <f>IMSUM(IMDIV("1",COMPLEX(CX2_ESR,B707*CX2_ESL-1/(B707*CX2_C))),IMDIV("1",IMSUM(COMPLEX(DUMP2_R,0),COMPLEX(DUMP2_ESR,B707*DUMP2_ESL-1/(B707*DUMP2_C)))))</f>
        <v>0</v>
      </c>
      <c r="K707">
        <f>IMPRODUCT("2",IMDIV("1",IMSUM(IMDIV("1",COMPLEX(CMC_DCR,B707*CMC_L*(1-CMC_K))),COMPLEX(0,B707*CMC_CPA))))</f>
        <v>0</v>
      </c>
      <c r="L707">
        <f>IMSUM(COMPLEX(0,B707*CMC_CLINE),IMDIV("1",IMPRODUCT("2",COMPLEX(CY_ESR,B707*CY_ESL-1/(B707*CY_C)))),COMPLEX(1/DUMMY_R,0))</f>
        <v>0</v>
      </c>
      <c r="M707">
        <f>IMSUM(D707,IMDIV("1",C707))</f>
        <v>0</v>
      </c>
      <c r="N707">
        <f>IMDIV("1",IMSUM(E707,IMDIV("1",M707)))</f>
        <v>0</v>
      </c>
      <c r="O707">
        <f>IMSUM(F707,N707)</f>
        <v>0</v>
      </c>
      <c r="P707">
        <f>IMDIV("1",IMSUM(G707,IMDIV("1",O707)))</f>
        <v>0</v>
      </c>
      <c r="Q707">
        <f>IMSUM(H707,P707)</f>
        <v>0</v>
      </c>
      <c r="R707">
        <f>IMDIV("1",IMSUM(I707,IMDIV("1",Q707)))</f>
        <v>0</v>
      </c>
      <c r="S707">
        <f>IMSUM(J707,R707)</f>
        <v>0</v>
      </c>
      <c r="T707">
        <f>IMDIV("1",IMSUM(K707,IMDIV("1",S707)))</f>
        <v>0</v>
      </c>
      <c r="U707">
        <f>IMSUM(L707,T707)</f>
        <v>0</v>
      </c>
      <c r="V707">
        <f>IMDIV(COMPLEX(I_DM_SOURCE,0),U707)</f>
        <v>0</v>
      </c>
      <c r="W707">
        <f>IMPRODUCT(V707,T707)</f>
        <v>0</v>
      </c>
      <c r="X707">
        <f>IMDIV(W707,S707)</f>
        <v>0</v>
      </c>
      <c r="Y707">
        <f>IMPRODUCT(X707,R707)</f>
        <v>0</v>
      </c>
      <c r="Z707">
        <f>IMDIV(Y707,Q707)</f>
        <v>0</v>
      </c>
      <c r="AA707">
        <f>IMPRODUCT(Z707,P707)</f>
        <v>0</v>
      </c>
      <c r="AB707">
        <f>AA707</f>
        <v>0</v>
      </c>
      <c r="AC707">
        <f>IMPRODUCT("-1",AB707)</f>
        <v>0</v>
      </c>
      <c r="AD707">
        <f>IMDIV(IMSUB(AB707,AC707),"2")</f>
        <v>0</v>
      </c>
      <c r="AE707" s="6">
        <f>IMABS(AB707)</f>
        <v>0</v>
      </c>
      <c r="AF707" s="6">
        <f>IMABS(AC707)</f>
        <v>0</v>
      </c>
      <c r="AG707" s="6">
        <f>IMABS(AD707)</f>
        <v>0</v>
      </c>
      <c r="AH707" s="7">
        <f>20*LOG10(MAX(AE707,1E-300)*1E6)</f>
        <v>0</v>
      </c>
      <c r="AI707" s="7">
        <f>20*LOG10(MAX(AF707,1E-300)*1E6)</f>
        <v>0</v>
      </c>
      <c r="AJ707" s="7">
        <f>20*LOG10(MAX(AG707,1E-300)*1E6)</f>
        <v>0</v>
      </c>
      <c r="AK707" s="7">
        <f>DEGREES(IMARGUMENT(AB707))</f>
        <v>0</v>
      </c>
      <c r="AL707" s="7">
        <f>DEGREES(IMARGUMENT(AC707))</f>
        <v>0</v>
      </c>
      <c r="AM707" s="7">
        <f>DEGREES(IMARGUMENT(AD707))</f>
        <v>0</v>
      </c>
    </row>
    <row r="708" spans="1:39">
      <c r="A708" s="6">
        <f>10^(LOG10(F_START)+(ROW()-ROW($A$2))*(LOG10(F_STOP)-LOG10(F_START))/(N_POINTS-1))</f>
        <v>0</v>
      </c>
      <c r="B708" s="6">
        <f>2*PI()*A708</f>
        <v>0</v>
      </c>
      <c r="C708">
        <f>COMPLEX(2*LINE_PS_DCR,2*B708*LINE_PS_L)</f>
        <v>0</v>
      </c>
      <c r="D708">
        <f>IMSUM(COMPLEX(0,B708*(LINE_PS_CLINE+LINE_PS_CCHA/2)),IMDIV("1",IMPRODUCT("2",COMPLEX(C_THROUGH_ESR,B708*C_THROUGH_ESL-1/(B708*C_THROUGH_C)))))</f>
        <v>0</v>
      </c>
      <c r="E708">
        <f>COMPLEX(2*LINE_INPUT_DCR,2*B708*LINE_INPUT_L)</f>
        <v>0</v>
      </c>
      <c r="F708">
        <f>COMPLEX(0,B708*(LINE_INPUT_CLINE+LINE_INPUT_CCHA/2))</f>
        <v>0</v>
      </c>
      <c r="G708">
        <f>IMPRODUCT("2",IMDIV("1",IMSUM(IMDIV("1",COMPLEX(LDM1_DCR,B708*LDM1_L)),COMPLEX(0,B708*LDM1_CPA))))</f>
        <v>0</v>
      </c>
      <c r="H708">
        <f>IMSUM(IMDIV("1",COMPLEX(CX1_ESR,B708*CX1_ESL-1/(B708*CX1_C))),IMDIV("1",IMSUM(COMPLEX(DUMP1_R,0),COMPLEX(DUMP1_ESR,B708*DUMP1_ESL-1/(B708*DUMP1_C)))))</f>
        <v>0</v>
      </c>
      <c r="I708">
        <f>IMPRODUCT("2",IMDIV("1",IMSUM(IMDIV("1",COMPLEX(LDM2_DCR,B708*LDM2_L)),COMPLEX(0,B708*LDM2_CPA))))</f>
        <v>0</v>
      </c>
      <c r="J708">
        <f>IMSUM(IMDIV("1",COMPLEX(CX2_ESR,B708*CX2_ESL-1/(B708*CX2_C))),IMDIV("1",IMSUM(COMPLEX(DUMP2_R,0),COMPLEX(DUMP2_ESR,B708*DUMP2_ESL-1/(B708*DUMP2_C)))))</f>
        <v>0</v>
      </c>
      <c r="K708">
        <f>IMPRODUCT("2",IMDIV("1",IMSUM(IMDIV("1",COMPLEX(CMC_DCR,B708*CMC_L*(1-CMC_K))),COMPLEX(0,B708*CMC_CPA))))</f>
        <v>0</v>
      </c>
      <c r="L708">
        <f>IMSUM(COMPLEX(0,B708*CMC_CLINE),IMDIV("1",IMPRODUCT("2",COMPLEX(CY_ESR,B708*CY_ESL-1/(B708*CY_C)))),COMPLEX(1/DUMMY_R,0))</f>
        <v>0</v>
      </c>
      <c r="M708">
        <f>IMSUM(D708,IMDIV("1",C708))</f>
        <v>0</v>
      </c>
      <c r="N708">
        <f>IMDIV("1",IMSUM(E708,IMDIV("1",M708)))</f>
        <v>0</v>
      </c>
      <c r="O708">
        <f>IMSUM(F708,N708)</f>
        <v>0</v>
      </c>
      <c r="P708">
        <f>IMDIV("1",IMSUM(G708,IMDIV("1",O708)))</f>
        <v>0</v>
      </c>
      <c r="Q708">
        <f>IMSUM(H708,P708)</f>
        <v>0</v>
      </c>
      <c r="R708">
        <f>IMDIV("1",IMSUM(I708,IMDIV("1",Q708)))</f>
        <v>0</v>
      </c>
      <c r="S708">
        <f>IMSUM(J708,R708)</f>
        <v>0</v>
      </c>
      <c r="T708">
        <f>IMDIV("1",IMSUM(K708,IMDIV("1",S708)))</f>
        <v>0</v>
      </c>
      <c r="U708">
        <f>IMSUM(L708,T708)</f>
        <v>0</v>
      </c>
      <c r="V708">
        <f>IMDIV(COMPLEX(I_DM_SOURCE,0),U708)</f>
        <v>0</v>
      </c>
      <c r="W708">
        <f>IMPRODUCT(V708,T708)</f>
        <v>0</v>
      </c>
      <c r="X708">
        <f>IMDIV(W708,S708)</f>
        <v>0</v>
      </c>
      <c r="Y708">
        <f>IMPRODUCT(X708,R708)</f>
        <v>0</v>
      </c>
      <c r="Z708">
        <f>IMDIV(Y708,Q708)</f>
        <v>0</v>
      </c>
      <c r="AA708">
        <f>IMPRODUCT(Z708,P708)</f>
        <v>0</v>
      </c>
      <c r="AB708">
        <f>AA708</f>
        <v>0</v>
      </c>
      <c r="AC708">
        <f>IMPRODUCT("-1",AB708)</f>
        <v>0</v>
      </c>
      <c r="AD708">
        <f>IMDIV(IMSUB(AB708,AC708),"2")</f>
        <v>0</v>
      </c>
      <c r="AE708" s="6">
        <f>IMABS(AB708)</f>
        <v>0</v>
      </c>
      <c r="AF708" s="6">
        <f>IMABS(AC708)</f>
        <v>0</v>
      </c>
      <c r="AG708" s="6">
        <f>IMABS(AD708)</f>
        <v>0</v>
      </c>
      <c r="AH708" s="7">
        <f>20*LOG10(MAX(AE708,1E-300)*1E6)</f>
        <v>0</v>
      </c>
      <c r="AI708" s="7">
        <f>20*LOG10(MAX(AF708,1E-300)*1E6)</f>
        <v>0</v>
      </c>
      <c r="AJ708" s="7">
        <f>20*LOG10(MAX(AG708,1E-300)*1E6)</f>
        <v>0</v>
      </c>
      <c r="AK708" s="7">
        <f>DEGREES(IMARGUMENT(AB708))</f>
        <v>0</v>
      </c>
      <c r="AL708" s="7">
        <f>DEGREES(IMARGUMENT(AC708))</f>
        <v>0</v>
      </c>
      <c r="AM708" s="7">
        <f>DEGREES(IMARGUMENT(AD708))</f>
        <v>0</v>
      </c>
    </row>
    <row r="709" spans="1:39">
      <c r="A709" s="6">
        <f>10^(LOG10(F_START)+(ROW()-ROW($A$2))*(LOG10(F_STOP)-LOG10(F_START))/(N_POINTS-1))</f>
        <v>0</v>
      </c>
      <c r="B709" s="6">
        <f>2*PI()*A709</f>
        <v>0</v>
      </c>
      <c r="C709">
        <f>COMPLEX(2*LINE_PS_DCR,2*B709*LINE_PS_L)</f>
        <v>0</v>
      </c>
      <c r="D709">
        <f>IMSUM(COMPLEX(0,B709*(LINE_PS_CLINE+LINE_PS_CCHA/2)),IMDIV("1",IMPRODUCT("2",COMPLEX(C_THROUGH_ESR,B709*C_THROUGH_ESL-1/(B709*C_THROUGH_C)))))</f>
        <v>0</v>
      </c>
      <c r="E709">
        <f>COMPLEX(2*LINE_INPUT_DCR,2*B709*LINE_INPUT_L)</f>
        <v>0</v>
      </c>
      <c r="F709">
        <f>COMPLEX(0,B709*(LINE_INPUT_CLINE+LINE_INPUT_CCHA/2))</f>
        <v>0</v>
      </c>
      <c r="G709">
        <f>IMPRODUCT("2",IMDIV("1",IMSUM(IMDIV("1",COMPLEX(LDM1_DCR,B709*LDM1_L)),COMPLEX(0,B709*LDM1_CPA))))</f>
        <v>0</v>
      </c>
      <c r="H709">
        <f>IMSUM(IMDIV("1",COMPLEX(CX1_ESR,B709*CX1_ESL-1/(B709*CX1_C))),IMDIV("1",IMSUM(COMPLEX(DUMP1_R,0),COMPLEX(DUMP1_ESR,B709*DUMP1_ESL-1/(B709*DUMP1_C)))))</f>
        <v>0</v>
      </c>
      <c r="I709">
        <f>IMPRODUCT("2",IMDIV("1",IMSUM(IMDIV("1",COMPLEX(LDM2_DCR,B709*LDM2_L)),COMPLEX(0,B709*LDM2_CPA))))</f>
        <v>0</v>
      </c>
      <c r="J709">
        <f>IMSUM(IMDIV("1",COMPLEX(CX2_ESR,B709*CX2_ESL-1/(B709*CX2_C))),IMDIV("1",IMSUM(COMPLEX(DUMP2_R,0),COMPLEX(DUMP2_ESR,B709*DUMP2_ESL-1/(B709*DUMP2_C)))))</f>
        <v>0</v>
      </c>
      <c r="K709">
        <f>IMPRODUCT("2",IMDIV("1",IMSUM(IMDIV("1",COMPLEX(CMC_DCR,B709*CMC_L*(1-CMC_K))),COMPLEX(0,B709*CMC_CPA))))</f>
        <v>0</v>
      </c>
      <c r="L709">
        <f>IMSUM(COMPLEX(0,B709*CMC_CLINE),IMDIV("1",IMPRODUCT("2",COMPLEX(CY_ESR,B709*CY_ESL-1/(B709*CY_C)))),COMPLEX(1/DUMMY_R,0))</f>
        <v>0</v>
      </c>
      <c r="M709">
        <f>IMSUM(D709,IMDIV("1",C709))</f>
        <v>0</v>
      </c>
      <c r="N709">
        <f>IMDIV("1",IMSUM(E709,IMDIV("1",M709)))</f>
        <v>0</v>
      </c>
      <c r="O709">
        <f>IMSUM(F709,N709)</f>
        <v>0</v>
      </c>
      <c r="P709">
        <f>IMDIV("1",IMSUM(G709,IMDIV("1",O709)))</f>
        <v>0</v>
      </c>
      <c r="Q709">
        <f>IMSUM(H709,P709)</f>
        <v>0</v>
      </c>
      <c r="R709">
        <f>IMDIV("1",IMSUM(I709,IMDIV("1",Q709)))</f>
        <v>0</v>
      </c>
      <c r="S709">
        <f>IMSUM(J709,R709)</f>
        <v>0</v>
      </c>
      <c r="T709">
        <f>IMDIV("1",IMSUM(K709,IMDIV("1",S709)))</f>
        <v>0</v>
      </c>
      <c r="U709">
        <f>IMSUM(L709,T709)</f>
        <v>0</v>
      </c>
      <c r="V709">
        <f>IMDIV(COMPLEX(I_DM_SOURCE,0),U709)</f>
        <v>0</v>
      </c>
      <c r="W709">
        <f>IMPRODUCT(V709,T709)</f>
        <v>0</v>
      </c>
      <c r="X709">
        <f>IMDIV(W709,S709)</f>
        <v>0</v>
      </c>
      <c r="Y709">
        <f>IMPRODUCT(X709,R709)</f>
        <v>0</v>
      </c>
      <c r="Z709">
        <f>IMDIV(Y709,Q709)</f>
        <v>0</v>
      </c>
      <c r="AA709">
        <f>IMPRODUCT(Z709,P709)</f>
        <v>0</v>
      </c>
      <c r="AB709">
        <f>AA709</f>
        <v>0</v>
      </c>
      <c r="AC709">
        <f>IMPRODUCT("-1",AB709)</f>
        <v>0</v>
      </c>
      <c r="AD709">
        <f>IMDIV(IMSUB(AB709,AC709),"2")</f>
        <v>0</v>
      </c>
      <c r="AE709" s="6">
        <f>IMABS(AB709)</f>
        <v>0</v>
      </c>
      <c r="AF709" s="6">
        <f>IMABS(AC709)</f>
        <v>0</v>
      </c>
      <c r="AG709" s="6">
        <f>IMABS(AD709)</f>
        <v>0</v>
      </c>
      <c r="AH709" s="7">
        <f>20*LOG10(MAX(AE709,1E-300)*1E6)</f>
        <v>0</v>
      </c>
      <c r="AI709" s="7">
        <f>20*LOG10(MAX(AF709,1E-300)*1E6)</f>
        <v>0</v>
      </c>
      <c r="AJ709" s="7">
        <f>20*LOG10(MAX(AG709,1E-300)*1E6)</f>
        <v>0</v>
      </c>
      <c r="AK709" s="7">
        <f>DEGREES(IMARGUMENT(AB709))</f>
        <v>0</v>
      </c>
      <c r="AL709" s="7">
        <f>DEGREES(IMARGUMENT(AC709))</f>
        <v>0</v>
      </c>
      <c r="AM709" s="7">
        <f>DEGREES(IMARGUMENT(AD709))</f>
        <v>0</v>
      </c>
    </row>
    <row r="710" spans="1:39">
      <c r="A710" s="6">
        <f>10^(LOG10(F_START)+(ROW()-ROW($A$2))*(LOG10(F_STOP)-LOG10(F_START))/(N_POINTS-1))</f>
        <v>0</v>
      </c>
      <c r="B710" s="6">
        <f>2*PI()*A710</f>
        <v>0</v>
      </c>
      <c r="C710">
        <f>COMPLEX(2*LINE_PS_DCR,2*B710*LINE_PS_L)</f>
        <v>0</v>
      </c>
      <c r="D710">
        <f>IMSUM(COMPLEX(0,B710*(LINE_PS_CLINE+LINE_PS_CCHA/2)),IMDIV("1",IMPRODUCT("2",COMPLEX(C_THROUGH_ESR,B710*C_THROUGH_ESL-1/(B710*C_THROUGH_C)))))</f>
        <v>0</v>
      </c>
      <c r="E710">
        <f>COMPLEX(2*LINE_INPUT_DCR,2*B710*LINE_INPUT_L)</f>
        <v>0</v>
      </c>
      <c r="F710">
        <f>COMPLEX(0,B710*(LINE_INPUT_CLINE+LINE_INPUT_CCHA/2))</f>
        <v>0</v>
      </c>
      <c r="G710">
        <f>IMPRODUCT("2",IMDIV("1",IMSUM(IMDIV("1",COMPLEX(LDM1_DCR,B710*LDM1_L)),COMPLEX(0,B710*LDM1_CPA))))</f>
        <v>0</v>
      </c>
      <c r="H710">
        <f>IMSUM(IMDIV("1",COMPLEX(CX1_ESR,B710*CX1_ESL-1/(B710*CX1_C))),IMDIV("1",IMSUM(COMPLEX(DUMP1_R,0),COMPLEX(DUMP1_ESR,B710*DUMP1_ESL-1/(B710*DUMP1_C)))))</f>
        <v>0</v>
      </c>
      <c r="I710">
        <f>IMPRODUCT("2",IMDIV("1",IMSUM(IMDIV("1",COMPLEX(LDM2_DCR,B710*LDM2_L)),COMPLEX(0,B710*LDM2_CPA))))</f>
        <v>0</v>
      </c>
      <c r="J710">
        <f>IMSUM(IMDIV("1",COMPLEX(CX2_ESR,B710*CX2_ESL-1/(B710*CX2_C))),IMDIV("1",IMSUM(COMPLEX(DUMP2_R,0),COMPLEX(DUMP2_ESR,B710*DUMP2_ESL-1/(B710*DUMP2_C)))))</f>
        <v>0</v>
      </c>
      <c r="K710">
        <f>IMPRODUCT("2",IMDIV("1",IMSUM(IMDIV("1",COMPLEX(CMC_DCR,B710*CMC_L*(1-CMC_K))),COMPLEX(0,B710*CMC_CPA))))</f>
        <v>0</v>
      </c>
      <c r="L710">
        <f>IMSUM(COMPLEX(0,B710*CMC_CLINE),IMDIV("1",IMPRODUCT("2",COMPLEX(CY_ESR,B710*CY_ESL-1/(B710*CY_C)))),COMPLEX(1/DUMMY_R,0))</f>
        <v>0</v>
      </c>
      <c r="M710">
        <f>IMSUM(D710,IMDIV("1",C710))</f>
        <v>0</v>
      </c>
      <c r="N710">
        <f>IMDIV("1",IMSUM(E710,IMDIV("1",M710)))</f>
        <v>0</v>
      </c>
      <c r="O710">
        <f>IMSUM(F710,N710)</f>
        <v>0</v>
      </c>
      <c r="P710">
        <f>IMDIV("1",IMSUM(G710,IMDIV("1",O710)))</f>
        <v>0</v>
      </c>
      <c r="Q710">
        <f>IMSUM(H710,P710)</f>
        <v>0</v>
      </c>
      <c r="R710">
        <f>IMDIV("1",IMSUM(I710,IMDIV("1",Q710)))</f>
        <v>0</v>
      </c>
      <c r="S710">
        <f>IMSUM(J710,R710)</f>
        <v>0</v>
      </c>
      <c r="T710">
        <f>IMDIV("1",IMSUM(K710,IMDIV("1",S710)))</f>
        <v>0</v>
      </c>
      <c r="U710">
        <f>IMSUM(L710,T710)</f>
        <v>0</v>
      </c>
      <c r="V710">
        <f>IMDIV(COMPLEX(I_DM_SOURCE,0),U710)</f>
        <v>0</v>
      </c>
      <c r="W710">
        <f>IMPRODUCT(V710,T710)</f>
        <v>0</v>
      </c>
      <c r="X710">
        <f>IMDIV(W710,S710)</f>
        <v>0</v>
      </c>
      <c r="Y710">
        <f>IMPRODUCT(X710,R710)</f>
        <v>0</v>
      </c>
      <c r="Z710">
        <f>IMDIV(Y710,Q710)</f>
        <v>0</v>
      </c>
      <c r="AA710">
        <f>IMPRODUCT(Z710,P710)</f>
        <v>0</v>
      </c>
      <c r="AB710">
        <f>AA710</f>
        <v>0</v>
      </c>
      <c r="AC710">
        <f>IMPRODUCT("-1",AB710)</f>
        <v>0</v>
      </c>
      <c r="AD710">
        <f>IMDIV(IMSUB(AB710,AC710),"2")</f>
        <v>0</v>
      </c>
      <c r="AE710" s="6">
        <f>IMABS(AB710)</f>
        <v>0</v>
      </c>
      <c r="AF710" s="6">
        <f>IMABS(AC710)</f>
        <v>0</v>
      </c>
      <c r="AG710" s="6">
        <f>IMABS(AD710)</f>
        <v>0</v>
      </c>
      <c r="AH710" s="7">
        <f>20*LOG10(MAX(AE710,1E-300)*1E6)</f>
        <v>0</v>
      </c>
      <c r="AI710" s="7">
        <f>20*LOG10(MAX(AF710,1E-300)*1E6)</f>
        <v>0</v>
      </c>
      <c r="AJ710" s="7">
        <f>20*LOG10(MAX(AG710,1E-300)*1E6)</f>
        <v>0</v>
      </c>
      <c r="AK710" s="7">
        <f>DEGREES(IMARGUMENT(AB710))</f>
        <v>0</v>
      </c>
      <c r="AL710" s="7">
        <f>DEGREES(IMARGUMENT(AC710))</f>
        <v>0</v>
      </c>
      <c r="AM710" s="7">
        <f>DEGREES(IMARGUMENT(AD710))</f>
        <v>0</v>
      </c>
    </row>
    <row r="711" spans="1:39">
      <c r="A711" s="6">
        <f>10^(LOG10(F_START)+(ROW()-ROW($A$2))*(LOG10(F_STOP)-LOG10(F_START))/(N_POINTS-1))</f>
        <v>0</v>
      </c>
      <c r="B711" s="6">
        <f>2*PI()*A711</f>
        <v>0</v>
      </c>
      <c r="C711">
        <f>COMPLEX(2*LINE_PS_DCR,2*B711*LINE_PS_L)</f>
        <v>0</v>
      </c>
      <c r="D711">
        <f>IMSUM(COMPLEX(0,B711*(LINE_PS_CLINE+LINE_PS_CCHA/2)),IMDIV("1",IMPRODUCT("2",COMPLEX(C_THROUGH_ESR,B711*C_THROUGH_ESL-1/(B711*C_THROUGH_C)))))</f>
        <v>0</v>
      </c>
      <c r="E711">
        <f>COMPLEX(2*LINE_INPUT_DCR,2*B711*LINE_INPUT_L)</f>
        <v>0</v>
      </c>
      <c r="F711">
        <f>COMPLEX(0,B711*(LINE_INPUT_CLINE+LINE_INPUT_CCHA/2))</f>
        <v>0</v>
      </c>
      <c r="G711">
        <f>IMPRODUCT("2",IMDIV("1",IMSUM(IMDIV("1",COMPLEX(LDM1_DCR,B711*LDM1_L)),COMPLEX(0,B711*LDM1_CPA))))</f>
        <v>0</v>
      </c>
      <c r="H711">
        <f>IMSUM(IMDIV("1",COMPLEX(CX1_ESR,B711*CX1_ESL-1/(B711*CX1_C))),IMDIV("1",IMSUM(COMPLEX(DUMP1_R,0),COMPLEX(DUMP1_ESR,B711*DUMP1_ESL-1/(B711*DUMP1_C)))))</f>
        <v>0</v>
      </c>
      <c r="I711">
        <f>IMPRODUCT("2",IMDIV("1",IMSUM(IMDIV("1",COMPLEX(LDM2_DCR,B711*LDM2_L)),COMPLEX(0,B711*LDM2_CPA))))</f>
        <v>0</v>
      </c>
      <c r="J711">
        <f>IMSUM(IMDIV("1",COMPLEX(CX2_ESR,B711*CX2_ESL-1/(B711*CX2_C))),IMDIV("1",IMSUM(COMPLEX(DUMP2_R,0),COMPLEX(DUMP2_ESR,B711*DUMP2_ESL-1/(B711*DUMP2_C)))))</f>
        <v>0</v>
      </c>
      <c r="K711">
        <f>IMPRODUCT("2",IMDIV("1",IMSUM(IMDIV("1",COMPLEX(CMC_DCR,B711*CMC_L*(1-CMC_K))),COMPLEX(0,B711*CMC_CPA))))</f>
        <v>0</v>
      </c>
      <c r="L711">
        <f>IMSUM(COMPLEX(0,B711*CMC_CLINE),IMDIV("1",IMPRODUCT("2",COMPLEX(CY_ESR,B711*CY_ESL-1/(B711*CY_C)))),COMPLEX(1/DUMMY_R,0))</f>
        <v>0</v>
      </c>
      <c r="M711">
        <f>IMSUM(D711,IMDIV("1",C711))</f>
        <v>0</v>
      </c>
      <c r="N711">
        <f>IMDIV("1",IMSUM(E711,IMDIV("1",M711)))</f>
        <v>0</v>
      </c>
      <c r="O711">
        <f>IMSUM(F711,N711)</f>
        <v>0</v>
      </c>
      <c r="P711">
        <f>IMDIV("1",IMSUM(G711,IMDIV("1",O711)))</f>
        <v>0</v>
      </c>
      <c r="Q711">
        <f>IMSUM(H711,P711)</f>
        <v>0</v>
      </c>
      <c r="R711">
        <f>IMDIV("1",IMSUM(I711,IMDIV("1",Q711)))</f>
        <v>0</v>
      </c>
      <c r="S711">
        <f>IMSUM(J711,R711)</f>
        <v>0</v>
      </c>
      <c r="T711">
        <f>IMDIV("1",IMSUM(K711,IMDIV("1",S711)))</f>
        <v>0</v>
      </c>
      <c r="U711">
        <f>IMSUM(L711,T711)</f>
        <v>0</v>
      </c>
      <c r="V711">
        <f>IMDIV(COMPLEX(I_DM_SOURCE,0),U711)</f>
        <v>0</v>
      </c>
      <c r="W711">
        <f>IMPRODUCT(V711,T711)</f>
        <v>0</v>
      </c>
      <c r="X711">
        <f>IMDIV(W711,S711)</f>
        <v>0</v>
      </c>
      <c r="Y711">
        <f>IMPRODUCT(X711,R711)</f>
        <v>0</v>
      </c>
      <c r="Z711">
        <f>IMDIV(Y711,Q711)</f>
        <v>0</v>
      </c>
      <c r="AA711">
        <f>IMPRODUCT(Z711,P711)</f>
        <v>0</v>
      </c>
      <c r="AB711">
        <f>AA711</f>
        <v>0</v>
      </c>
      <c r="AC711">
        <f>IMPRODUCT("-1",AB711)</f>
        <v>0</v>
      </c>
      <c r="AD711">
        <f>IMDIV(IMSUB(AB711,AC711),"2")</f>
        <v>0</v>
      </c>
      <c r="AE711" s="6">
        <f>IMABS(AB711)</f>
        <v>0</v>
      </c>
      <c r="AF711" s="6">
        <f>IMABS(AC711)</f>
        <v>0</v>
      </c>
      <c r="AG711" s="6">
        <f>IMABS(AD711)</f>
        <v>0</v>
      </c>
      <c r="AH711" s="7">
        <f>20*LOG10(MAX(AE711,1E-300)*1E6)</f>
        <v>0</v>
      </c>
      <c r="AI711" s="7">
        <f>20*LOG10(MAX(AF711,1E-300)*1E6)</f>
        <v>0</v>
      </c>
      <c r="AJ711" s="7">
        <f>20*LOG10(MAX(AG711,1E-300)*1E6)</f>
        <v>0</v>
      </c>
      <c r="AK711" s="7">
        <f>DEGREES(IMARGUMENT(AB711))</f>
        <v>0</v>
      </c>
      <c r="AL711" s="7">
        <f>DEGREES(IMARGUMENT(AC711))</f>
        <v>0</v>
      </c>
      <c r="AM711" s="7">
        <f>DEGREES(IMARGUMENT(AD711))</f>
        <v>0</v>
      </c>
    </row>
    <row r="712" spans="1:39">
      <c r="A712" s="6">
        <f>10^(LOG10(F_START)+(ROW()-ROW($A$2))*(LOG10(F_STOP)-LOG10(F_START))/(N_POINTS-1))</f>
        <v>0</v>
      </c>
      <c r="B712" s="6">
        <f>2*PI()*A712</f>
        <v>0</v>
      </c>
      <c r="C712">
        <f>COMPLEX(2*LINE_PS_DCR,2*B712*LINE_PS_L)</f>
        <v>0</v>
      </c>
      <c r="D712">
        <f>IMSUM(COMPLEX(0,B712*(LINE_PS_CLINE+LINE_PS_CCHA/2)),IMDIV("1",IMPRODUCT("2",COMPLEX(C_THROUGH_ESR,B712*C_THROUGH_ESL-1/(B712*C_THROUGH_C)))))</f>
        <v>0</v>
      </c>
      <c r="E712">
        <f>COMPLEX(2*LINE_INPUT_DCR,2*B712*LINE_INPUT_L)</f>
        <v>0</v>
      </c>
      <c r="F712">
        <f>COMPLEX(0,B712*(LINE_INPUT_CLINE+LINE_INPUT_CCHA/2))</f>
        <v>0</v>
      </c>
      <c r="G712">
        <f>IMPRODUCT("2",IMDIV("1",IMSUM(IMDIV("1",COMPLEX(LDM1_DCR,B712*LDM1_L)),COMPLEX(0,B712*LDM1_CPA))))</f>
        <v>0</v>
      </c>
      <c r="H712">
        <f>IMSUM(IMDIV("1",COMPLEX(CX1_ESR,B712*CX1_ESL-1/(B712*CX1_C))),IMDIV("1",IMSUM(COMPLEX(DUMP1_R,0),COMPLEX(DUMP1_ESR,B712*DUMP1_ESL-1/(B712*DUMP1_C)))))</f>
        <v>0</v>
      </c>
      <c r="I712">
        <f>IMPRODUCT("2",IMDIV("1",IMSUM(IMDIV("1",COMPLEX(LDM2_DCR,B712*LDM2_L)),COMPLEX(0,B712*LDM2_CPA))))</f>
        <v>0</v>
      </c>
      <c r="J712">
        <f>IMSUM(IMDIV("1",COMPLEX(CX2_ESR,B712*CX2_ESL-1/(B712*CX2_C))),IMDIV("1",IMSUM(COMPLEX(DUMP2_R,0),COMPLEX(DUMP2_ESR,B712*DUMP2_ESL-1/(B712*DUMP2_C)))))</f>
        <v>0</v>
      </c>
      <c r="K712">
        <f>IMPRODUCT("2",IMDIV("1",IMSUM(IMDIV("1",COMPLEX(CMC_DCR,B712*CMC_L*(1-CMC_K))),COMPLEX(0,B712*CMC_CPA))))</f>
        <v>0</v>
      </c>
      <c r="L712">
        <f>IMSUM(COMPLEX(0,B712*CMC_CLINE),IMDIV("1",IMPRODUCT("2",COMPLEX(CY_ESR,B712*CY_ESL-1/(B712*CY_C)))),COMPLEX(1/DUMMY_R,0))</f>
        <v>0</v>
      </c>
      <c r="M712">
        <f>IMSUM(D712,IMDIV("1",C712))</f>
        <v>0</v>
      </c>
      <c r="N712">
        <f>IMDIV("1",IMSUM(E712,IMDIV("1",M712)))</f>
        <v>0</v>
      </c>
      <c r="O712">
        <f>IMSUM(F712,N712)</f>
        <v>0</v>
      </c>
      <c r="P712">
        <f>IMDIV("1",IMSUM(G712,IMDIV("1",O712)))</f>
        <v>0</v>
      </c>
      <c r="Q712">
        <f>IMSUM(H712,P712)</f>
        <v>0</v>
      </c>
      <c r="R712">
        <f>IMDIV("1",IMSUM(I712,IMDIV("1",Q712)))</f>
        <v>0</v>
      </c>
      <c r="S712">
        <f>IMSUM(J712,R712)</f>
        <v>0</v>
      </c>
      <c r="T712">
        <f>IMDIV("1",IMSUM(K712,IMDIV("1",S712)))</f>
        <v>0</v>
      </c>
      <c r="U712">
        <f>IMSUM(L712,T712)</f>
        <v>0</v>
      </c>
      <c r="V712">
        <f>IMDIV(COMPLEX(I_DM_SOURCE,0),U712)</f>
        <v>0</v>
      </c>
      <c r="W712">
        <f>IMPRODUCT(V712,T712)</f>
        <v>0</v>
      </c>
      <c r="X712">
        <f>IMDIV(W712,S712)</f>
        <v>0</v>
      </c>
      <c r="Y712">
        <f>IMPRODUCT(X712,R712)</f>
        <v>0</v>
      </c>
      <c r="Z712">
        <f>IMDIV(Y712,Q712)</f>
        <v>0</v>
      </c>
      <c r="AA712">
        <f>IMPRODUCT(Z712,P712)</f>
        <v>0</v>
      </c>
      <c r="AB712">
        <f>AA712</f>
        <v>0</v>
      </c>
      <c r="AC712">
        <f>IMPRODUCT("-1",AB712)</f>
        <v>0</v>
      </c>
      <c r="AD712">
        <f>IMDIV(IMSUB(AB712,AC712),"2")</f>
        <v>0</v>
      </c>
      <c r="AE712" s="6">
        <f>IMABS(AB712)</f>
        <v>0</v>
      </c>
      <c r="AF712" s="6">
        <f>IMABS(AC712)</f>
        <v>0</v>
      </c>
      <c r="AG712" s="6">
        <f>IMABS(AD712)</f>
        <v>0</v>
      </c>
      <c r="AH712" s="7">
        <f>20*LOG10(MAX(AE712,1E-300)*1E6)</f>
        <v>0</v>
      </c>
      <c r="AI712" s="7">
        <f>20*LOG10(MAX(AF712,1E-300)*1E6)</f>
        <v>0</v>
      </c>
      <c r="AJ712" s="7">
        <f>20*LOG10(MAX(AG712,1E-300)*1E6)</f>
        <v>0</v>
      </c>
      <c r="AK712" s="7">
        <f>DEGREES(IMARGUMENT(AB712))</f>
        <v>0</v>
      </c>
      <c r="AL712" s="7">
        <f>DEGREES(IMARGUMENT(AC712))</f>
        <v>0</v>
      </c>
      <c r="AM712" s="7">
        <f>DEGREES(IMARGUMENT(AD712))</f>
        <v>0</v>
      </c>
    </row>
    <row r="713" spans="1:39">
      <c r="A713" s="6">
        <f>10^(LOG10(F_START)+(ROW()-ROW($A$2))*(LOG10(F_STOP)-LOG10(F_START))/(N_POINTS-1))</f>
        <v>0</v>
      </c>
      <c r="B713" s="6">
        <f>2*PI()*A713</f>
        <v>0</v>
      </c>
      <c r="C713">
        <f>COMPLEX(2*LINE_PS_DCR,2*B713*LINE_PS_L)</f>
        <v>0</v>
      </c>
      <c r="D713">
        <f>IMSUM(COMPLEX(0,B713*(LINE_PS_CLINE+LINE_PS_CCHA/2)),IMDIV("1",IMPRODUCT("2",COMPLEX(C_THROUGH_ESR,B713*C_THROUGH_ESL-1/(B713*C_THROUGH_C)))))</f>
        <v>0</v>
      </c>
      <c r="E713">
        <f>COMPLEX(2*LINE_INPUT_DCR,2*B713*LINE_INPUT_L)</f>
        <v>0</v>
      </c>
      <c r="F713">
        <f>COMPLEX(0,B713*(LINE_INPUT_CLINE+LINE_INPUT_CCHA/2))</f>
        <v>0</v>
      </c>
      <c r="G713">
        <f>IMPRODUCT("2",IMDIV("1",IMSUM(IMDIV("1",COMPLEX(LDM1_DCR,B713*LDM1_L)),COMPLEX(0,B713*LDM1_CPA))))</f>
        <v>0</v>
      </c>
      <c r="H713">
        <f>IMSUM(IMDIV("1",COMPLEX(CX1_ESR,B713*CX1_ESL-1/(B713*CX1_C))),IMDIV("1",IMSUM(COMPLEX(DUMP1_R,0),COMPLEX(DUMP1_ESR,B713*DUMP1_ESL-1/(B713*DUMP1_C)))))</f>
        <v>0</v>
      </c>
      <c r="I713">
        <f>IMPRODUCT("2",IMDIV("1",IMSUM(IMDIV("1",COMPLEX(LDM2_DCR,B713*LDM2_L)),COMPLEX(0,B713*LDM2_CPA))))</f>
        <v>0</v>
      </c>
      <c r="J713">
        <f>IMSUM(IMDIV("1",COMPLEX(CX2_ESR,B713*CX2_ESL-1/(B713*CX2_C))),IMDIV("1",IMSUM(COMPLEX(DUMP2_R,0),COMPLEX(DUMP2_ESR,B713*DUMP2_ESL-1/(B713*DUMP2_C)))))</f>
        <v>0</v>
      </c>
      <c r="K713">
        <f>IMPRODUCT("2",IMDIV("1",IMSUM(IMDIV("1",COMPLEX(CMC_DCR,B713*CMC_L*(1-CMC_K))),COMPLEX(0,B713*CMC_CPA))))</f>
        <v>0</v>
      </c>
      <c r="L713">
        <f>IMSUM(COMPLEX(0,B713*CMC_CLINE),IMDIV("1",IMPRODUCT("2",COMPLEX(CY_ESR,B713*CY_ESL-1/(B713*CY_C)))),COMPLEX(1/DUMMY_R,0))</f>
        <v>0</v>
      </c>
      <c r="M713">
        <f>IMSUM(D713,IMDIV("1",C713))</f>
        <v>0</v>
      </c>
      <c r="N713">
        <f>IMDIV("1",IMSUM(E713,IMDIV("1",M713)))</f>
        <v>0</v>
      </c>
      <c r="O713">
        <f>IMSUM(F713,N713)</f>
        <v>0</v>
      </c>
      <c r="P713">
        <f>IMDIV("1",IMSUM(G713,IMDIV("1",O713)))</f>
        <v>0</v>
      </c>
      <c r="Q713">
        <f>IMSUM(H713,P713)</f>
        <v>0</v>
      </c>
      <c r="R713">
        <f>IMDIV("1",IMSUM(I713,IMDIV("1",Q713)))</f>
        <v>0</v>
      </c>
      <c r="S713">
        <f>IMSUM(J713,R713)</f>
        <v>0</v>
      </c>
      <c r="T713">
        <f>IMDIV("1",IMSUM(K713,IMDIV("1",S713)))</f>
        <v>0</v>
      </c>
      <c r="U713">
        <f>IMSUM(L713,T713)</f>
        <v>0</v>
      </c>
      <c r="V713">
        <f>IMDIV(COMPLEX(I_DM_SOURCE,0),U713)</f>
        <v>0</v>
      </c>
      <c r="W713">
        <f>IMPRODUCT(V713,T713)</f>
        <v>0</v>
      </c>
      <c r="X713">
        <f>IMDIV(W713,S713)</f>
        <v>0</v>
      </c>
      <c r="Y713">
        <f>IMPRODUCT(X713,R713)</f>
        <v>0</v>
      </c>
      <c r="Z713">
        <f>IMDIV(Y713,Q713)</f>
        <v>0</v>
      </c>
      <c r="AA713">
        <f>IMPRODUCT(Z713,P713)</f>
        <v>0</v>
      </c>
      <c r="AB713">
        <f>AA713</f>
        <v>0</v>
      </c>
      <c r="AC713">
        <f>IMPRODUCT("-1",AB713)</f>
        <v>0</v>
      </c>
      <c r="AD713">
        <f>IMDIV(IMSUB(AB713,AC713),"2")</f>
        <v>0</v>
      </c>
      <c r="AE713" s="6">
        <f>IMABS(AB713)</f>
        <v>0</v>
      </c>
      <c r="AF713" s="6">
        <f>IMABS(AC713)</f>
        <v>0</v>
      </c>
      <c r="AG713" s="6">
        <f>IMABS(AD713)</f>
        <v>0</v>
      </c>
      <c r="AH713" s="7">
        <f>20*LOG10(MAX(AE713,1E-300)*1E6)</f>
        <v>0</v>
      </c>
      <c r="AI713" s="7">
        <f>20*LOG10(MAX(AF713,1E-300)*1E6)</f>
        <v>0</v>
      </c>
      <c r="AJ713" s="7">
        <f>20*LOG10(MAX(AG713,1E-300)*1E6)</f>
        <v>0</v>
      </c>
      <c r="AK713" s="7">
        <f>DEGREES(IMARGUMENT(AB713))</f>
        <v>0</v>
      </c>
      <c r="AL713" s="7">
        <f>DEGREES(IMARGUMENT(AC713))</f>
        <v>0</v>
      </c>
      <c r="AM713" s="7">
        <f>DEGREES(IMARGUMENT(AD713))</f>
        <v>0</v>
      </c>
    </row>
    <row r="714" spans="1:39">
      <c r="A714" s="6">
        <f>10^(LOG10(F_START)+(ROW()-ROW($A$2))*(LOG10(F_STOP)-LOG10(F_START))/(N_POINTS-1))</f>
        <v>0</v>
      </c>
      <c r="B714" s="6">
        <f>2*PI()*A714</f>
        <v>0</v>
      </c>
      <c r="C714">
        <f>COMPLEX(2*LINE_PS_DCR,2*B714*LINE_PS_L)</f>
        <v>0</v>
      </c>
      <c r="D714">
        <f>IMSUM(COMPLEX(0,B714*(LINE_PS_CLINE+LINE_PS_CCHA/2)),IMDIV("1",IMPRODUCT("2",COMPLEX(C_THROUGH_ESR,B714*C_THROUGH_ESL-1/(B714*C_THROUGH_C)))))</f>
        <v>0</v>
      </c>
      <c r="E714">
        <f>COMPLEX(2*LINE_INPUT_DCR,2*B714*LINE_INPUT_L)</f>
        <v>0</v>
      </c>
      <c r="F714">
        <f>COMPLEX(0,B714*(LINE_INPUT_CLINE+LINE_INPUT_CCHA/2))</f>
        <v>0</v>
      </c>
      <c r="G714">
        <f>IMPRODUCT("2",IMDIV("1",IMSUM(IMDIV("1",COMPLEX(LDM1_DCR,B714*LDM1_L)),COMPLEX(0,B714*LDM1_CPA))))</f>
        <v>0</v>
      </c>
      <c r="H714">
        <f>IMSUM(IMDIV("1",COMPLEX(CX1_ESR,B714*CX1_ESL-1/(B714*CX1_C))),IMDIV("1",IMSUM(COMPLEX(DUMP1_R,0),COMPLEX(DUMP1_ESR,B714*DUMP1_ESL-1/(B714*DUMP1_C)))))</f>
        <v>0</v>
      </c>
      <c r="I714">
        <f>IMPRODUCT("2",IMDIV("1",IMSUM(IMDIV("1",COMPLEX(LDM2_DCR,B714*LDM2_L)),COMPLEX(0,B714*LDM2_CPA))))</f>
        <v>0</v>
      </c>
      <c r="J714">
        <f>IMSUM(IMDIV("1",COMPLEX(CX2_ESR,B714*CX2_ESL-1/(B714*CX2_C))),IMDIV("1",IMSUM(COMPLEX(DUMP2_R,0),COMPLEX(DUMP2_ESR,B714*DUMP2_ESL-1/(B714*DUMP2_C)))))</f>
        <v>0</v>
      </c>
      <c r="K714">
        <f>IMPRODUCT("2",IMDIV("1",IMSUM(IMDIV("1",COMPLEX(CMC_DCR,B714*CMC_L*(1-CMC_K))),COMPLEX(0,B714*CMC_CPA))))</f>
        <v>0</v>
      </c>
      <c r="L714">
        <f>IMSUM(COMPLEX(0,B714*CMC_CLINE),IMDIV("1",IMPRODUCT("2",COMPLEX(CY_ESR,B714*CY_ESL-1/(B714*CY_C)))),COMPLEX(1/DUMMY_R,0))</f>
        <v>0</v>
      </c>
      <c r="M714">
        <f>IMSUM(D714,IMDIV("1",C714))</f>
        <v>0</v>
      </c>
      <c r="N714">
        <f>IMDIV("1",IMSUM(E714,IMDIV("1",M714)))</f>
        <v>0</v>
      </c>
      <c r="O714">
        <f>IMSUM(F714,N714)</f>
        <v>0</v>
      </c>
      <c r="P714">
        <f>IMDIV("1",IMSUM(G714,IMDIV("1",O714)))</f>
        <v>0</v>
      </c>
      <c r="Q714">
        <f>IMSUM(H714,P714)</f>
        <v>0</v>
      </c>
      <c r="R714">
        <f>IMDIV("1",IMSUM(I714,IMDIV("1",Q714)))</f>
        <v>0</v>
      </c>
      <c r="S714">
        <f>IMSUM(J714,R714)</f>
        <v>0</v>
      </c>
      <c r="T714">
        <f>IMDIV("1",IMSUM(K714,IMDIV("1",S714)))</f>
        <v>0</v>
      </c>
      <c r="U714">
        <f>IMSUM(L714,T714)</f>
        <v>0</v>
      </c>
      <c r="V714">
        <f>IMDIV(COMPLEX(I_DM_SOURCE,0),U714)</f>
        <v>0</v>
      </c>
      <c r="W714">
        <f>IMPRODUCT(V714,T714)</f>
        <v>0</v>
      </c>
      <c r="X714">
        <f>IMDIV(W714,S714)</f>
        <v>0</v>
      </c>
      <c r="Y714">
        <f>IMPRODUCT(X714,R714)</f>
        <v>0</v>
      </c>
      <c r="Z714">
        <f>IMDIV(Y714,Q714)</f>
        <v>0</v>
      </c>
      <c r="AA714">
        <f>IMPRODUCT(Z714,P714)</f>
        <v>0</v>
      </c>
      <c r="AB714">
        <f>AA714</f>
        <v>0</v>
      </c>
      <c r="AC714">
        <f>IMPRODUCT("-1",AB714)</f>
        <v>0</v>
      </c>
      <c r="AD714">
        <f>IMDIV(IMSUB(AB714,AC714),"2")</f>
        <v>0</v>
      </c>
      <c r="AE714" s="6">
        <f>IMABS(AB714)</f>
        <v>0</v>
      </c>
      <c r="AF714" s="6">
        <f>IMABS(AC714)</f>
        <v>0</v>
      </c>
      <c r="AG714" s="6">
        <f>IMABS(AD714)</f>
        <v>0</v>
      </c>
      <c r="AH714" s="7">
        <f>20*LOG10(MAX(AE714,1E-300)*1E6)</f>
        <v>0</v>
      </c>
      <c r="AI714" s="7">
        <f>20*LOG10(MAX(AF714,1E-300)*1E6)</f>
        <v>0</v>
      </c>
      <c r="AJ714" s="7">
        <f>20*LOG10(MAX(AG714,1E-300)*1E6)</f>
        <v>0</v>
      </c>
      <c r="AK714" s="7">
        <f>DEGREES(IMARGUMENT(AB714))</f>
        <v>0</v>
      </c>
      <c r="AL714" s="7">
        <f>DEGREES(IMARGUMENT(AC714))</f>
        <v>0</v>
      </c>
      <c r="AM714" s="7">
        <f>DEGREES(IMARGUMENT(AD714))</f>
        <v>0</v>
      </c>
    </row>
    <row r="715" spans="1:39">
      <c r="A715" s="6">
        <f>10^(LOG10(F_START)+(ROW()-ROW($A$2))*(LOG10(F_STOP)-LOG10(F_START))/(N_POINTS-1))</f>
        <v>0</v>
      </c>
      <c r="B715" s="6">
        <f>2*PI()*A715</f>
        <v>0</v>
      </c>
      <c r="C715">
        <f>COMPLEX(2*LINE_PS_DCR,2*B715*LINE_PS_L)</f>
        <v>0</v>
      </c>
      <c r="D715">
        <f>IMSUM(COMPLEX(0,B715*(LINE_PS_CLINE+LINE_PS_CCHA/2)),IMDIV("1",IMPRODUCT("2",COMPLEX(C_THROUGH_ESR,B715*C_THROUGH_ESL-1/(B715*C_THROUGH_C)))))</f>
        <v>0</v>
      </c>
      <c r="E715">
        <f>COMPLEX(2*LINE_INPUT_DCR,2*B715*LINE_INPUT_L)</f>
        <v>0</v>
      </c>
      <c r="F715">
        <f>COMPLEX(0,B715*(LINE_INPUT_CLINE+LINE_INPUT_CCHA/2))</f>
        <v>0</v>
      </c>
      <c r="G715">
        <f>IMPRODUCT("2",IMDIV("1",IMSUM(IMDIV("1",COMPLEX(LDM1_DCR,B715*LDM1_L)),COMPLEX(0,B715*LDM1_CPA))))</f>
        <v>0</v>
      </c>
      <c r="H715">
        <f>IMSUM(IMDIV("1",COMPLEX(CX1_ESR,B715*CX1_ESL-1/(B715*CX1_C))),IMDIV("1",IMSUM(COMPLEX(DUMP1_R,0),COMPLEX(DUMP1_ESR,B715*DUMP1_ESL-1/(B715*DUMP1_C)))))</f>
        <v>0</v>
      </c>
      <c r="I715">
        <f>IMPRODUCT("2",IMDIV("1",IMSUM(IMDIV("1",COMPLEX(LDM2_DCR,B715*LDM2_L)),COMPLEX(0,B715*LDM2_CPA))))</f>
        <v>0</v>
      </c>
      <c r="J715">
        <f>IMSUM(IMDIV("1",COMPLEX(CX2_ESR,B715*CX2_ESL-1/(B715*CX2_C))),IMDIV("1",IMSUM(COMPLEX(DUMP2_R,0),COMPLEX(DUMP2_ESR,B715*DUMP2_ESL-1/(B715*DUMP2_C)))))</f>
        <v>0</v>
      </c>
      <c r="K715">
        <f>IMPRODUCT("2",IMDIV("1",IMSUM(IMDIV("1",COMPLEX(CMC_DCR,B715*CMC_L*(1-CMC_K))),COMPLEX(0,B715*CMC_CPA))))</f>
        <v>0</v>
      </c>
      <c r="L715">
        <f>IMSUM(COMPLEX(0,B715*CMC_CLINE),IMDIV("1",IMPRODUCT("2",COMPLEX(CY_ESR,B715*CY_ESL-1/(B715*CY_C)))),COMPLEX(1/DUMMY_R,0))</f>
        <v>0</v>
      </c>
      <c r="M715">
        <f>IMSUM(D715,IMDIV("1",C715))</f>
        <v>0</v>
      </c>
      <c r="N715">
        <f>IMDIV("1",IMSUM(E715,IMDIV("1",M715)))</f>
        <v>0</v>
      </c>
      <c r="O715">
        <f>IMSUM(F715,N715)</f>
        <v>0</v>
      </c>
      <c r="P715">
        <f>IMDIV("1",IMSUM(G715,IMDIV("1",O715)))</f>
        <v>0</v>
      </c>
      <c r="Q715">
        <f>IMSUM(H715,P715)</f>
        <v>0</v>
      </c>
      <c r="R715">
        <f>IMDIV("1",IMSUM(I715,IMDIV("1",Q715)))</f>
        <v>0</v>
      </c>
      <c r="S715">
        <f>IMSUM(J715,R715)</f>
        <v>0</v>
      </c>
      <c r="T715">
        <f>IMDIV("1",IMSUM(K715,IMDIV("1",S715)))</f>
        <v>0</v>
      </c>
      <c r="U715">
        <f>IMSUM(L715,T715)</f>
        <v>0</v>
      </c>
      <c r="V715">
        <f>IMDIV(COMPLEX(I_DM_SOURCE,0),U715)</f>
        <v>0</v>
      </c>
      <c r="W715">
        <f>IMPRODUCT(V715,T715)</f>
        <v>0</v>
      </c>
      <c r="X715">
        <f>IMDIV(W715,S715)</f>
        <v>0</v>
      </c>
      <c r="Y715">
        <f>IMPRODUCT(X715,R715)</f>
        <v>0</v>
      </c>
      <c r="Z715">
        <f>IMDIV(Y715,Q715)</f>
        <v>0</v>
      </c>
      <c r="AA715">
        <f>IMPRODUCT(Z715,P715)</f>
        <v>0</v>
      </c>
      <c r="AB715">
        <f>AA715</f>
        <v>0</v>
      </c>
      <c r="AC715">
        <f>IMPRODUCT("-1",AB715)</f>
        <v>0</v>
      </c>
      <c r="AD715">
        <f>IMDIV(IMSUB(AB715,AC715),"2")</f>
        <v>0</v>
      </c>
      <c r="AE715" s="6">
        <f>IMABS(AB715)</f>
        <v>0</v>
      </c>
      <c r="AF715" s="6">
        <f>IMABS(AC715)</f>
        <v>0</v>
      </c>
      <c r="AG715" s="6">
        <f>IMABS(AD715)</f>
        <v>0</v>
      </c>
      <c r="AH715" s="7">
        <f>20*LOG10(MAX(AE715,1E-300)*1E6)</f>
        <v>0</v>
      </c>
      <c r="AI715" s="7">
        <f>20*LOG10(MAX(AF715,1E-300)*1E6)</f>
        <v>0</v>
      </c>
      <c r="AJ715" s="7">
        <f>20*LOG10(MAX(AG715,1E-300)*1E6)</f>
        <v>0</v>
      </c>
      <c r="AK715" s="7">
        <f>DEGREES(IMARGUMENT(AB715))</f>
        <v>0</v>
      </c>
      <c r="AL715" s="7">
        <f>DEGREES(IMARGUMENT(AC715))</f>
        <v>0</v>
      </c>
      <c r="AM715" s="7">
        <f>DEGREES(IMARGUMENT(AD715))</f>
        <v>0</v>
      </c>
    </row>
    <row r="716" spans="1:39">
      <c r="A716" s="6">
        <f>10^(LOG10(F_START)+(ROW()-ROW($A$2))*(LOG10(F_STOP)-LOG10(F_START))/(N_POINTS-1))</f>
        <v>0</v>
      </c>
      <c r="B716" s="6">
        <f>2*PI()*A716</f>
        <v>0</v>
      </c>
      <c r="C716">
        <f>COMPLEX(2*LINE_PS_DCR,2*B716*LINE_PS_L)</f>
        <v>0</v>
      </c>
      <c r="D716">
        <f>IMSUM(COMPLEX(0,B716*(LINE_PS_CLINE+LINE_PS_CCHA/2)),IMDIV("1",IMPRODUCT("2",COMPLEX(C_THROUGH_ESR,B716*C_THROUGH_ESL-1/(B716*C_THROUGH_C)))))</f>
        <v>0</v>
      </c>
      <c r="E716">
        <f>COMPLEX(2*LINE_INPUT_DCR,2*B716*LINE_INPUT_L)</f>
        <v>0</v>
      </c>
      <c r="F716">
        <f>COMPLEX(0,B716*(LINE_INPUT_CLINE+LINE_INPUT_CCHA/2))</f>
        <v>0</v>
      </c>
      <c r="G716">
        <f>IMPRODUCT("2",IMDIV("1",IMSUM(IMDIV("1",COMPLEX(LDM1_DCR,B716*LDM1_L)),COMPLEX(0,B716*LDM1_CPA))))</f>
        <v>0</v>
      </c>
      <c r="H716">
        <f>IMSUM(IMDIV("1",COMPLEX(CX1_ESR,B716*CX1_ESL-1/(B716*CX1_C))),IMDIV("1",IMSUM(COMPLEX(DUMP1_R,0),COMPLEX(DUMP1_ESR,B716*DUMP1_ESL-1/(B716*DUMP1_C)))))</f>
        <v>0</v>
      </c>
      <c r="I716">
        <f>IMPRODUCT("2",IMDIV("1",IMSUM(IMDIV("1",COMPLEX(LDM2_DCR,B716*LDM2_L)),COMPLEX(0,B716*LDM2_CPA))))</f>
        <v>0</v>
      </c>
      <c r="J716">
        <f>IMSUM(IMDIV("1",COMPLEX(CX2_ESR,B716*CX2_ESL-1/(B716*CX2_C))),IMDIV("1",IMSUM(COMPLEX(DUMP2_R,0),COMPLEX(DUMP2_ESR,B716*DUMP2_ESL-1/(B716*DUMP2_C)))))</f>
        <v>0</v>
      </c>
      <c r="K716">
        <f>IMPRODUCT("2",IMDIV("1",IMSUM(IMDIV("1",COMPLEX(CMC_DCR,B716*CMC_L*(1-CMC_K))),COMPLEX(0,B716*CMC_CPA))))</f>
        <v>0</v>
      </c>
      <c r="L716">
        <f>IMSUM(COMPLEX(0,B716*CMC_CLINE),IMDIV("1",IMPRODUCT("2",COMPLEX(CY_ESR,B716*CY_ESL-1/(B716*CY_C)))),COMPLEX(1/DUMMY_R,0))</f>
        <v>0</v>
      </c>
      <c r="M716">
        <f>IMSUM(D716,IMDIV("1",C716))</f>
        <v>0</v>
      </c>
      <c r="N716">
        <f>IMDIV("1",IMSUM(E716,IMDIV("1",M716)))</f>
        <v>0</v>
      </c>
      <c r="O716">
        <f>IMSUM(F716,N716)</f>
        <v>0</v>
      </c>
      <c r="P716">
        <f>IMDIV("1",IMSUM(G716,IMDIV("1",O716)))</f>
        <v>0</v>
      </c>
      <c r="Q716">
        <f>IMSUM(H716,P716)</f>
        <v>0</v>
      </c>
      <c r="R716">
        <f>IMDIV("1",IMSUM(I716,IMDIV("1",Q716)))</f>
        <v>0</v>
      </c>
      <c r="S716">
        <f>IMSUM(J716,R716)</f>
        <v>0</v>
      </c>
      <c r="T716">
        <f>IMDIV("1",IMSUM(K716,IMDIV("1",S716)))</f>
        <v>0</v>
      </c>
      <c r="U716">
        <f>IMSUM(L716,T716)</f>
        <v>0</v>
      </c>
      <c r="V716">
        <f>IMDIV(COMPLEX(I_DM_SOURCE,0),U716)</f>
        <v>0</v>
      </c>
      <c r="W716">
        <f>IMPRODUCT(V716,T716)</f>
        <v>0</v>
      </c>
      <c r="X716">
        <f>IMDIV(W716,S716)</f>
        <v>0</v>
      </c>
      <c r="Y716">
        <f>IMPRODUCT(X716,R716)</f>
        <v>0</v>
      </c>
      <c r="Z716">
        <f>IMDIV(Y716,Q716)</f>
        <v>0</v>
      </c>
      <c r="AA716">
        <f>IMPRODUCT(Z716,P716)</f>
        <v>0</v>
      </c>
      <c r="AB716">
        <f>AA716</f>
        <v>0</v>
      </c>
      <c r="AC716">
        <f>IMPRODUCT("-1",AB716)</f>
        <v>0</v>
      </c>
      <c r="AD716">
        <f>IMDIV(IMSUB(AB716,AC716),"2")</f>
        <v>0</v>
      </c>
      <c r="AE716" s="6">
        <f>IMABS(AB716)</f>
        <v>0</v>
      </c>
      <c r="AF716" s="6">
        <f>IMABS(AC716)</f>
        <v>0</v>
      </c>
      <c r="AG716" s="6">
        <f>IMABS(AD716)</f>
        <v>0</v>
      </c>
      <c r="AH716" s="7">
        <f>20*LOG10(MAX(AE716,1E-300)*1E6)</f>
        <v>0</v>
      </c>
      <c r="AI716" s="7">
        <f>20*LOG10(MAX(AF716,1E-300)*1E6)</f>
        <v>0</v>
      </c>
      <c r="AJ716" s="7">
        <f>20*LOG10(MAX(AG716,1E-300)*1E6)</f>
        <v>0</v>
      </c>
      <c r="AK716" s="7">
        <f>DEGREES(IMARGUMENT(AB716))</f>
        <v>0</v>
      </c>
      <c r="AL716" s="7">
        <f>DEGREES(IMARGUMENT(AC716))</f>
        <v>0</v>
      </c>
      <c r="AM716" s="7">
        <f>DEGREES(IMARGUMENT(AD716))</f>
        <v>0</v>
      </c>
    </row>
    <row r="717" spans="1:39">
      <c r="A717" s="6">
        <f>10^(LOG10(F_START)+(ROW()-ROW($A$2))*(LOG10(F_STOP)-LOG10(F_START))/(N_POINTS-1))</f>
        <v>0</v>
      </c>
      <c r="B717" s="6">
        <f>2*PI()*A717</f>
        <v>0</v>
      </c>
      <c r="C717">
        <f>COMPLEX(2*LINE_PS_DCR,2*B717*LINE_PS_L)</f>
        <v>0</v>
      </c>
      <c r="D717">
        <f>IMSUM(COMPLEX(0,B717*(LINE_PS_CLINE+LINE_PS_CCHA/2)),IMDIV("1",IMPRODUCT("2",COMPLEX(C_THROUGH_ESR,B717*C_THROUGH_ESL-1/(B717*C_THROUGH_C)))))</f>
        <v>0</v>
      </c>
      <c r="E717">
        <f>COMPLEX(2*LINE_INPUT_DCR,2*B717*LINE_INPUT_L)</f>
        <v>0</v>
      </c>
      <c r="F717">
        <f>COMPLEX(0,B717*(LINE_INPUT_CLINE+LINE_INPUT_CCHA/2))</f>
        <v>0</v>
      </c>
      <c r="G717">
        <f>IMPRODUCT("2",IMDIV("1",IMSUM(IMDIV("1",COMPLEX(LDM1_DCR,B717*LDM1_L)),COMPLEX(0,B717*LDM1_CPA))))</f>
        <v>0</v>
      </c>
      <c r="H717">
        <f>IMSUM(IMDIV("1",COMPLEX(CX1_ESR,B717*CX1_ESL-1/(B717*CX1_C))),IMDIV("1",IMSUM(COMPLEX(DUMP1_R,0),COMPLEX(DUMP1_ESR,B717*DUMP1_ESL-1/(B717*DUMP1_C)))))</f>
        <v>0</v>
      </c>
      <c r="I717">
        <f>IMPRODUCT("2",IMDIV("1",IMSUM(IMDIV("1",COMPLEX(LDM2_DCR,B717*LDM2_L)),COMPLEX(0,B717*LDM2_CPA))))</f>
        <v>0</v>
      </c>
      <c r="J717">
        <f>IMSUM(IMDIV("1",COMPLEX(CX2_ESR,B717*CX2_ESL-1/(B717*CX2_C))),IMDIV("1",IMSUM(COMPLEX(DUMP2_R,0),COMPLEX(DUMP2_ESR,B717*DUMP2_ESL-1/(B717*DUMP2_C)))))</f>
        <v>0</v>
      </c>
      <c r="K717">
        <f>IMPRODUCT("2",IMDIV("1",IMSUM(IMDIV("1",COMPLEX(CMC_DCR,B717*CMC_L*(1-CMC_K))),COMPLEX(0,B717*CMC_CPA))))</f>
        <v>0</v>
      </c>
      <c r="L717">
        <f>IMSUM(COMPLEX(0,B717*CMC_CLINE),IMDIV("1",IMPRODUCT("2",COMPLEX(CY_ESR,B717*CY_ESL-1/(B717*CY_C)))),COMPLEX(1/DUMMY_R,0))</f>
        <v>0</v>
      </c>
      <c r="M717">
        <f>IMSUM(D717,IMDIV("1",C717))</f>
        <v>0</v>
      </c>
      <c r="N717">
        <f>IMDIV("1",IMSUM(E717,IMDIV("1",M717)))</f>
        <v>0</v>
      </c>
      <c r="O717">
        <f>IMSUM(F717,N717)</f>
        <v>0</v>
      </c>
      <c r="P717">
        <f>IMDIV("1",IMSUM(G717,IMDIV("1",O717)))</f>
        <v>0</v>
      </c>
      <c r="Q717">
        <f>IMSUM(H717,P717)</f>
        <v>0</v>
      </c>
      <c r="R717">
        <f>IMDIV("1",IMSUM(I717,IMDIV("1",Q717)))</f>
        <v>0</v>
      </c>
      <c r="S717">
        <f>IMSUM(J717,R717)</f>
        <v>0</v>
      </c>
      <c r="T717">
        <f>IMDIV("1",IMSUM(K717,IMDIV("1",S717)))</f>
        <v>0</v>
      </c>
      <c r="U717">
        <f>IMSUM(L717,T717)</f>
        <v>0</v>
      </c>
      <c r="V717">
        <f>IMDIV(COMPLEX(I_DM_SOURCE,0),U717)</f>
        <v>0</v>
      </c>
      <c r="W717">
        <f>IMPRODUCT(V717,T717)</f>
        <v>0</v>
      </c>
      <c r="X717">
        <f>IMDIV(W717,S717)</f>
        <v>0</v>
      </c>
      <c r="Y717">
        <f>IMPRODUCT(X717,R717)</f>
        <v>0</v>
      </c>
      <c r="Z717">
        <f>IMDIV(Y717,Q717)</f>
        <v>0</v>
      </c>
      <c r="AA717">
        <f>IMPRODUCT(Z717,P717)</f>
        <v>0</v>
      </c>
      <c r="AB717">
        <f>AA717</f>
        <v>0</v>
      </c>
      <c r="AC717">
        <f>IMPRODUCT("-1",AB717)</f>
        <v>0</v>
      </c>
      <c r="AD717">
        <f>IMDIV(IMSUB(AB717,AC717),"2")</f>
        <v>0</v>
      </c>
      <c r="AE717" s="6">
        <f>IMABS(AB717)</f>
        <v>0</v>
      </c>
      <c r="AF717" s="6">
        <f>IMABS(AC717)</f>
        <v>0</v>
      </c>
      <c r="AG717" s="6">
        <f>IMABS(AD717)</f>
        <v>0</v>
      </c>
      <c r="AH717" s="7">
        <f>20*LOG10(MAX(AE717,1E-300)*1E6)</f>
        <v>0</v>
      </c>
      <c r="AI717" s="7">
        <f>20*LOG10(MAX(AF717,1E-300)*1E6)</f>
        <v>0</v>
      </c>
      <c r="AJ717" s="7">
        <f>20*LOG10(MAX(AG717,1E-300)*1E6)</f>
        <v>0</v>
      </c>
      <c r="AK717" s="7">
        <f>DEGREES(IMARGUMENT(AB717))</f>
        <v>0</v>
      </c>
      <c r="AL717" s="7">
        <f>DEGREES(IMARGUMENT(AC717))</f>
        <v>0</v>
      </c>
      <c r="AM717" s="7">
        <f>DEGREES(IMARGUMENT(AD717))</f>
        <v>0</v>
      </c>
    </row>
    <row r="718" spans="1:39">
      <c r="A718" s="6">
        <f>10^(LOG10(F_START)+(ROW()-ROW($A$2))*(LOG10(F_STOP)-LOG10(F_START))/(N_POINTS-1))</f>
        <v>0</v>
      </c>
      <c r="B718" s="6">
        <f>2*PI()*A718</f>
        <v>0</v>
      </c>
      <c r="C718">
        <f>COMPLEX(2*LINE_PS_DCR,2*B718*LINE_PS_L)</f>
        <v>0</v>
      </c>
      <c r="D718">
        <f>IMSUM(COMPLEX(0,B718*(LINE_PS_CLINE+LINE_PS_CCHA/2)),IMDIV("1",IMPRODUCT("2",COMPLEX(C_THROUGH_ESR,B718*C_THROUGH_ESL-1/(B718*C_THROUGH_C)))))</f>
        <v>0</v>
      </c>
      <c r="E718">
        <f>COMPLEX(2*LINE_INPUT_DCR,2*B718*LINE_INPUT_L)</f>
        <v>0</v>
      </c>
      <c r="F718">
        <f>COMPLEX(0,B718*(LINE_INPUT_CLINE+LINE_INPUT_CCHA/2))</f>
        <v>0</v>
      </c>
      <c r="G718">
        <f>IMPRODUCT("2",IMDIV("1",IMSUM(IMDIV("1",COMPLEX(LDM1_DCR,B718*LDM1_L)),COMPLEX(0,B718*LDM1_CPA))))</f>
        <v>0</v>
      </c>
      <c r="H718">
        <f>IMSUM(IMDIV("1",COMPLEX(CX1_ESR,B718*CX1_ESL-1/(B718*CX1_C))),IMDIV("1",IMSUM(COMPLEX(DUMP1_R,0),COMPLEX(DUMP1_ESR,B718*DUMP1_ESL-1/(B718*DUMP1_C)))))</f>
        <v>0</v>
      </c>
      <c r="I718">
        <f>IMPRODUCT("2",IMDIV("1",IMSUM(IMDIV("1",COMPLEX(LDM2_DCR,B718*LDM2_L)),COMPLEX(0,B718*LDM2_CPA))))</f>
        <v>0</v>
      </c>
      <c r="J718">
        <f>IMSUM(IMDIV("1",COMPLEX(CX2_ESR,B718*CX2_ESL-1/(B718*CX2_C))),IMDIV("1",IMSUM(COMPLEX(DUMP2_R,0),COMPLEX(DUMP2_ESR,B718*DUMP2_ESL-1/(B718*DUMP2_C)))))</f>
        <v>0</v>
      </c>
      <c r="K718">
        <f>IMPRODUCT("2",IMDIV("1",IMSUM(IMDIV("1",COMPLEX(CMC_DCR,B718*CMC_L*(1-CMC_K))),COMPLEX(0,B718*CMC_CPA))))</f>
        <v>0</v>
      </c>
      <c r="L718">
        <f>IMSUM(COMPLEX(0,B718*CMC_CLINE),IMDIV("1",IMPRODUCT("2",COMPLEX(CY_ESR,B718*CY_ESL-1/(B718*CY_C)))),COMPLEX(1/DUMMY_R,0))</f>
        <v>0</v>
      </c>
      <c r="M718">
        <f>IMSUM(D718,IMDIV("1",C718))</f>
        <v>0</v>
      </c>
      <c r="N718">
        <f>IMDIV("1",IMSUM(E718,IMDIV("1",M718)))</f>
        <v>0</v>
      </c>
      <c r="O718">
        <f>IMSUM(F718,N718)</f>
        <v>0</v>
      </c>
      <c r="P718">
        <f>IMDIV("1",IMSUM(G718,IMDIV("1",O718)))</f>
        <v>0</v>
      </c>
      <c r="Q718">
        <f>IMSUM(H718,P718)</f>
        <v>0</v>
      </c>
      <c r="R718">
        <f>IMDIV("1",IMSUM(I718,IMDIV("1",Q718)))</f>
        <v>0</v>
      </c>
      <c r="S718">
        <f>IMSUM(J718,R718)</f>
        <v>0</v>
      </c>
      <c r="T718">
        <f>IMDIV("1",IMSUM(K718,IMDIV("1",S718)))</f>
        <v>0</v>
      </c>
      <c r="U718">
        <f>IMSUM(L718,T718)</f>
        <v>0</v>
      </c>
      <c r="V718">
        <f>IMDIV(COMPLEX(I_DM_SOURCE,0),U718)</f>
        <v>0</v>
      </c>
      <c r="W718">
        <f>IMPRODUCT(V718,T718)</f>
        <v>0</v>
      </c>
      <c r="X718">
        <f>IMDIV(W718,S718)</f>
        <v>0</v>
      </c>
      <c r="Y718">
        <f>IMPRODUCT(X718,R718)</f>
        <v>0</v>
      </c>
      <c r="Z718">
        <f>IMDIV(Y718,Q718)</f>
        <v>0</v>
      </c>
      <c r="AA718">
        <f>IMPRODUCT(Z718,P718)</f>
        <v>0</v>
      </c>
      <c r="AB718">
        <f>AA718</f>
        <v>0</v>
      </c>
      <c r="AC718">
        <f>IMPRODUCT("-1",AB718)</f>
        <v>0</v>
      </c>
      <c r="AD718">
        <f>IMDIV(IMSUB(AB718,AC718),"2")</f>
        <v>0</v>
      </c>
      <c r="AE718" s="6">
        <f>IMABS(AB718)</f>
        <v>0</v>
      </c>
      <c r="AF718" s="6">
        <f>IMABS(AC718)</f>
        <v>0</v>
      </c>
      <c r="AG718" s="6">
        <f>IMABS(AD718)</f>
        <v>0</v>
      </c>
      <c r="AH718" s="7">
        <f>20*LOG10(MAX(AE718,1E-300)*1E6)</f>
        <v>0</v>
      </c>
      <c r="AI718" s="7">
        <f>20*LOG10(MAX(AF718,1E-300)*1E6)</f>
        <v>0</v>
      </c>
      <c r="AJ718" s="7">
        <f>20*LOG10(MAX(AG718,1E-300)*1E6)</f>
        <v>0</v>
      </c>
      <c r="AK718" s="7">
        <f>DEGREES(IMARGUMENT(AB718))</f>
        <v>0</v>
      </c>
      <c r="AL718" s="7">
        <f>DEGREES(IMARGUMENT(AC718))</f>
        <v>0</v>
      </c>
      <c r="AM718" s="7">
        <f>DEGREES(IMARGUMENT(AD718))</f>
        <v>0</v>
      </c>
    </row>
    <row r="719" spans="1:39">
      <c r="A719" s="6">
        <f>10^(LOG10(F_START)+(ROW()-ROW($A$2))*(LOG10(F_STOP)-LOG10(F_START))/(N_POINTS-1))</f>
        <v>0</v>
      </c>
      <c r="B719" s="6">
        <f>2*PI()*A719</f>
        <v>0</v>
      </c>
      <c r="C719">
        <f>COMPLEX(2*LINE_PS_DCR,2*B719*LINE_PS_L)</f>
        <v>0</v>
      </c>
      <c r="D719">
        <f>IMSUM(COMPLEX(0,B719*(LINE_PS_CLINE+LINE_PS_CCHA/2)),IMDIV("1",IMPRODUCT("2",COMPLEX(C_THROUGH_ESR,B719*C_THROUGH_ESL-1/(B719*C_THROUGH_C)))))</f>
        <v>0</v>
      </c>
      <c r="E719">
        <f>COMPLEX(2*LINE_INPUT_DCR,2*B719*LINE_INPUT_L)</f>
        <v>0</v>
      </c>
      <c r="F719">
        <f>COMPLEX(0,B719*(LINE_INPUT_CLINE+LINE_INPUT_CCHA/2))</f>
        <v>0</v>
      </c>
      <c r="G719">
        <f>IMPRODUCT("2",IMDIV("1",IMSUM(IMDIV("1",COMPLEX(LDM1_DCR,B719*LDM1_L)),COMPLEX(0,B719*LDM1_CPA))))</f>
        <v>0</v>
      </c>
      <c r="H719">
        <f>IMSUM(IMDIV("1",COMPLEX(CX1_ESR,B719*CX1_ESL-1/(B719*CX1_C))),IMDIV("1",IMSUM(COMPLEX(DUMP1_R,0),COMPLEX(DUMP1_ESR,B719*DUMP1_ESL-1/(B719*DUMP1_C)))))</f>
        <v>0</v>
      </c>
      <c r="I719">
        <f>IMPRODUCT("2",IMDIV("1",IMSUM(IMDIV("1",COMPLEX(LDM2_DCR,B719*LDM2_L)),COMPLEX(0,B719*LDM2_CPA))))</f>
        <v>0</v>
      </c>
      <c r="J719">
        <f>IMSUM(IMDIV("1",COMPLEX(CX2_ESR,B719*CX2_ESL-1/(B719*CX2_C))),IMDIV("1",IMSUM(COMPLEX(DUMP2_R,0),COMPLEX(DUMP2_ESR,B719*DUMP2_ESL-1/(B719*DUMP2_C)))))</f>
        <v>0</v>
      </c>
      <c r="K719">
        <f>IMPRODUCT("2",IMDIV("1",IMSUM(IMDIV("1",COMPLEX(CMC_DCR,B719*CMC_L*(1-CMC_K))),COMPLEX(0,B719*CMC_CPA))))</f>
        <v>0</v>
      </c>
      <c r="L719">
        <f>IMSUM(COMPLEX(0,B719*CMC_CLINE),IMDIV("1",IMPRODUCT("2",COMPLEX(CY_ESR,B719*CY_ESL-1/(B719*CY_C)))),COMPLEX(1/DUMMY_R,0))</f>
        <v>0</v>
      </c>
      <c r="M719">
        <f>IMSUM(D719,IMDIV("1",C719))</f>
        <v>0</v>
      </c>
      <c r="N719">
        <f>IMDIV("1",IMSUM(E719,IMDIV("1",M719)))</f>
        <v>0</v>
      </c>
      <c r="O719">
        <f>IMSUM(F719,N719)</f>
        <v>0</v>
      </c>
      <c r="P719">
        <f>IMDIV("1",IMSUM(G719,IMDIV("1",O719)))</f>
        <v>0</v>
      </c>
      <c r="Q719">
        <f>IMSUM(H719,P719)</f>
        <v>0</v>
      </c>
      <c r="R719">
        <f>IMDIV("1",IMSUM(I719,IMDIV("1",Q719)))</f>
        <v>0</v>
      </c>
      <c r="S719">
        <f>IMSUM(J719,R719)</f>
        <v>0</v>
      </c>
      <c r="T719">
        <f>IMDIV("1",IMSUM(K719,IMDIV("1",S719)))</f>
        <v>0</v>
      </c>
      <c r="U719">
        <f>IMSUM(L719,T719)</f>
        <v>0</v>
      </c>
      <c r="V719">
        <f>IMDIV(COMPLEX(I_DM_SOURCE,0),U719)</f>
        <v>0</v>
      </c>
      <c r="W719">
        <f>IMPRODUCT(V719,T719)</f>
        <v>0</v>
      </c>
      <c r="X719">
        <f>IMDIV(W719,S719)</f>
        <v>0</v>
      </c>
      <c r="Y719">
        <f>IMPRODUCT(X719,R719)</f>
        <v>0</v>
      </c>
      <c r="Z719">
        <f>IMDIV(Y719,Q719)</f>
        <v>0</v>
      </c>
      <c r="AA719">
        <f>IMPRODUCT(Z719,P719)</f>
        <v>0</v>
      </c>
      <c r="AB719">
        <f>AA719</f>
        <v>0</v>
      </c>
      <c r="AC719">
        <f>IMPRODUCT("-1",AB719)</f>
        <v>0</v>
      </c>
      <c r="AD719">
        <f>IMDIV(IMSUB(AB719,AC719),"2")</f>
        <v>0</v>
      </c>
      <c r="AE719" s="6">
        <f>IMABS(AB719)</f>
        <v>0</v>
      </c>
      <c r="AF719" s="6">
        <f>IMABS(AC719)</f>
        <v>0</v>
      </c>
      <c r="AG719" s="6">
        <f>IMABS(AD719)</f>
        <v>0</v>
      </c>
      <c r="AH719" s="7">
        <f>20*LOG10(MAX(AE719,1E-300)*1E6)</f>
        <v>0</v>
      </c>
      <c r="AI719" s="7">
        <f>20*LOG10(MAX(AF719,1E-300)*1E6)</f>
        <v>0</v>
      </c>
      <c r="AJ719" s="7">
        <f>20*LOG10(MAX(AG719,1E-300)*1E6)</f>
        <v>0</v>
      </c>
      <c r="AK719" s="7">
        <f>DEGREES(IMARGUMENT(AB719))</f>
        <v>0</v>
      </c>
      <c r="AL719" s="7">
        <f>DEGREES(IMARGUMENT(AC719))</f>
        <v>0</v>
      </c>
      <c r="AM719" s="7">
        <f>DEGREES(IMARGUMENT(AD719))</f>
        <v>0</v>
      </c>
    </row>
    <row r="720" spans="1:39">
      <c r="A720" s="6">
        <f>10^(LOG10(F_START)+(ROW()-ROW($A$2))*(LOG10(F_STOP)-LOG10(F_START))/(N_POINTS-1))</f>
        <v>0</v>
      </c>
      <c r="B720" s="6">
        <f>2*PI()*A720</f>
        <v>0</v>
      </c>
      <c r="C720">
        <f>COMPLEX(2*LINE_PS_DCR,2*B720*LINE_PS_L)</f>
        <v>0</v>
      </c>
      <c r="D720">
        <f>IMSUM(COMPLEX(0,B720*(LINE_PS_CLINE+LINE_PS_CCHA/2)),IMDIV("1",IMPRODUCT("2",COMPLEX(C_THROUGH_ESR,B720*C_THROUGH_ESL-1/(B720*C_THROUGH_C)))))</f>
        <v>0</v>
      </c>
      <c r="E720">
        <f>COMPLEX(2*LINE_INPUT_DCR,2*B720*LINE_INPUT_L)</f>
        <v>0</v>
      </c>
      <c r="F720">
        <f>COMPLEX(0,B720*(LINE_INPUT_CLINE+LINE_INPUT_CCHA/2))</f>
        <v>0</v>
      </c>
      <c r="G720">
        <f>IMPRODUCT("2",IMDIV("1",IMSUM(IMDIV("1",COMPLEX(LDM1_DCR,B720*LDM1_L)),COMPLEX(0,B720*LDM1_CPA))))</f>
        <v>0</v>
      </c>
      <c r="H720">
        <f>IMSUM(IMDIV("1",COMPLEX(CX1_ESR,B720*CX1_ESL-1/(B720*CX1_C))),IMDIV("1",IMSUM(COMPLEX(DUMP1_R,0),COMPLEX(DUMP1_ESR,B720*DUMP1_ESL-1/(B720*DUMP1_C)))))</f>
        <v>0</v>
      </c>
      <c r="I720">
        <f>IMPRODUCT("2",IMDIV("1",IMSUM(IMDIV("1",COMPLEX(LDM2_DCR,B720*LDM2_L)),COMPLEX(0,B720*LDM2_CPA))))</f>
        <v>0</v>
      </c>
      <c r="J720">
        <f>IMSUM(IMDIV("1",COMPLEX(CX2_ESR,B720*CX2_ESL-1/(B720*CX2_C))),IMDIV("1",IMSUM(COMPLEX(DUMP2_R,0),COMPLEX(DUMP2_ESR,B720*DUMP2_ESL-1/(B720*DUMP2_C)))))</f>
        <v>0</v>
      </c>
      <c r="K720">
        <f>IMPRODUCT("2",IMDIV("1",IMSUM(IMDIV("1",COMPLEX(CMC_DCR,B720*CMC_L*(1-CMC_K))),COMPLEX(0,B720*CMC_CPA))))</f>
        <v>0</v>
      </c>
      <c r="L720">
        <f>IMSUM(COMPLEX(0,B720*CMC_CLINE),IMDIV("1",IMPRODUCT("2",COMPLEX(CY_ESR,B720*CY_ESL-1/(B720*CY_C)))),COMPLEX(1/DUMMY_R,0))</f>
        <v>0</v>
      </c>
      <c r="M720">
        <f>IMSUM(D720,IMDIV("1",C720))</f>
        <v>0</v>
      </c>
      <c r="N720">
        <f>IMDIV("1",IMSUM(E720,IMDIV("1",M720)))</f>
        <v>0</v>
      </c>
      <c r="O720">
        <f>IMSUM(F720,N720)</f>
        <v>0</v>
      </c>
      <c r="P720">
        <f>IMDIV("1",IMSUM(G720,IMDIV("1",O720)))</f>
        <v>0</v>
      </c>
      <c r="Q720">
        <f>IMSUM(H720,P720)</f>
        <v>0</v>
      </c>
      <c r="R720">
        <f>IMDIV("1",IMSUM(I720,IMDIV("1",Q720)))</f>
        <v>0</v>
      </c>
      <c r="S720">
        <f>IMSUM(J720,R720)</f>
        <v>0</v>
      </c>
      <c r="T720">
        <f>IMDIV("1",IMSUM(K720,IMDIV("1",S720)))</f>
        <v>0</v>
      </c>
      <c r="U720">
        <f>IMSUM(L720,T720)</f>
        <v>0</v>
      </c>
      <c r="V720">
        <f>IMDIV(COMPLEX(I_DM_SOURCE,0),U720)</f>
        <v>0</v>
      </c>
      <c r="W720">
        <f>IMPRODUCT(V720,T720)</f>
        <v>0</v>
      </c>
      <c r="X720">
        <f>IMDIV(W720,S720)</f>
        <v>0</v>
      </c>
      <c r="Y720">
        <f>IMPRODUCT(X720,R720)</f>
        <v>0</v>
      </c>
      <c r="Z720">
        <f>IMDIV(Y720,Q720)</f>
        <v>0</v>
      </c>
      <c r="AA720">
        <f>IMPRODUCT(Z720,P720)</f>
        <v>0</v>
      </c>
      <c r="AB720">
        <f>AA720</f>
        <v>0</v>
      </c>
      <c r="AC720">
        <f>IMPRODUCT("-1",AB720)</f>
        <v>0</v>
      </c>
      <c r="AD720">
        <f>IMDIV(IMSUB(AB720,AC720),"2")</f>
        <v>0</v>
      </c>
      <c r="AE720" s="6">
        <f>IMABS(AB720)</f>
        <v>0</v>
      </c>
      <c r="AF720" s="6">
        <f>IMABS(AC720)</f>
        <v>0</v>
      </c>
      <c r="AG720" s="6">
        <f>IMABS(AD720)</f>
        <v>0</v>
      </c>
      <c r="AH720" s="7">
        <f>20*LOG10(MAX(AE720,1E-300)*1E6)</f>
        <v>0</v>
      </c>
      <c r="AI720" s="7">
        <f>20*LOG10(MAX(AF720,1E-300)*1E6)</f>
        <v>0</v>
      </c>
      <c r="AJ720" s="7">
        <f>20*LOG10(MAX(AG720,1E-300)*1E6)</f>
        <v>0</v>
      </c>
      <c r="AK720" s="7">
        <f>DEGREES(IMARGUMENT(AB720))</f>
        <v>0</v>
      </c>
      <c r="AL720" s="7">
        <f>DEGREES(IMARGUMENT(AC720))</f>
        <v>0</v>
      </c>
      <c r="AM720" s="7">
        <f>DEGREES(IMARGUMENT(AD720))</f>
        <v>0</v>
      </c>
    </row>
    <row r="721" spans="1:39">
      <c r="A721" s="6">
        <f>10^(LOG10(F_START)+(ROW()-ROW($A$2))*(LOG10(F_STOP)-LOG10(F_START))/(N_POINTS-1))</f>
        <v>0</v>
      </c>
      <c r="B721" s="6">
        <f>2*PI()*A721</f>
        <v>0</v>
      </c>
      <c r="C721">
        <f>COMPLEX(2*LINE_PS_DCR,2*B721*LINE_PS_L)</f>
        <v>0</v>
      </c>
      <c r="D721">
        <f>IMSUM(COMPLEX(0,B721*(LINE_PS_CLINE+LINE_PS_CCHA/2)),IMDIV("1",IMPRODUCT("2",COMPLEX(C_THROUGH_ESR,B721*C_THROUGH_ESL-1/(B721*C_THROUGH_C)))))</f>
        <v>0</v>
      </c>
      <c r="E721">
        <f>COMPLEX(2*LINE_INPUT_DCR,2*B721*LINE_INPUT_L)</f>
        <v>0</v>
      </c>
      <c r="F721">
        <f>COMPLEX(0,B721*(LINE_INPUT_CLINE+LINE_INPUT_CCHA/2))</f>
        <v>0</v>
      </c>
      <c r="G721">
        <f>IMPRODUCT("2",IMDIV("1",IMSUM(IMDIV("1",COMPLEX(LDM1_DCR,B721*LDM1_L)),COMPLEX(0,B721*LDM1_CPA))))</f>
        <v>0</v>
      </c>
      <c r="H721">
        <f>IMSUM(IMDIV("1",COMPLEX(CX1_ESR,B721*CX1_ESL-1/(B721*CX1_C))),IMDIV("1",IMSUM(COMPLEX(DUMP1_R,0),COMPLEX(DUMP1_ESR,B721*DUMP1_ESL-1/(B721*DUMP1_C)))))</f>
        <v>0</v>
      </c>
      <c r="I721">
        <f>IMPRODUCT("2",IMDIV("1",IMSUM(IMDIV("1",COMPLEX(LDM2_DCR,B721*LDM2_L)),COMPLEX(0,B721*LDM2_CPA))))</f>
        <v>0</v>
      </c>
      <c r="J721">
        <f>IMSUM(IMDIV("1",COMPLEX(CX2_ESR,B721*CX2_ESL-1/(B721*CX2_C))),IMDIV("1",IMSUM(COMPLEX(DUMP2_R,0),COMPLEX(DUMP2_ESR,B721*DUMP2_ESL-1/(B721*DUMP2_C)))))</f>
        <v>0</v>
      </c>
      <c r="K721">
        <f>IMPRODUCT("2",IMDIV("1",IMSUM(IMDIV("1",COMPLEX(CMC_DCR,B721*CMC_L*(1-CMC_K))),COMPLEX(0,B721*CMC_CPA))))</f>
        <v>0</v>
      </c>
      <c r="L721">
        <f>IMSUM(COMPLEX(0,B721*CMC_CLINE),IMDIV("1",IMPRODUCT("2",COMPLEX(CY_ESR,B721*CY_ESL-1/(B721*CY_C)))),COMPLEX(1/DUMMY_R,0))</f>
        <v>0</v>
      </c>
      <c r="M721">
        <f>IMSUM(D721,IMDIV("1",C721))</f>
        <v>0</v>
      </c>
      <c r="N721">
        <f>IMDIV("1",IMSUM(E721,IMDIV("1",M721)))</f>
        <v>0</v>
      </c>
      <c r="O721">
        <f>IMSUM(F721,N721)</f>
        <v>0</v>
      </c>
      <c r="P721">
        <f>IMDIV("1",IMSUM(G721,IMDIV("1",O721)))</f>
        <v>0</v>
      </c>
      <c r="Q721">
        <f>IMSUM(H721,P721)</f>
        <v>0</v>
      </c>
      <c r="R721">
        <f>IMDIV("1",IMSUM(I721,IMDIV("1",Q721)))</f>
        <v>0</v>
      </c>
      <c r="S721">
        <f>IMSUM(J721,R721)</f>
        <v>0</v>
      </c>
      <c r="T721">
        <f>IMDIV("1",IMSUM(K721,IMDIV("1",S721)))</f>
        <v>0</v>
      </c>
      <c r="U721">
        <f>IMSUM(L721,T721)</f>
        <v>0</v>
      </c>
      <c r="V721">
        <f>IMDIV(COMPLEX(I_DM_SOURCE,0),U721)</f>
        <v>0</v>
      </c>
      <c r="W721">
        <f>IMPRODUCT(V721,T721)</f>
        <v>0</v>
      </c>
      <c r="X721">
        <f>IMDIV(W721,S721)</f>
        <v>0</v>
      </c>
      <c r="Y721">
        <f>IMPRODUCT(X721,R721)</f>
        <v>0</v>
      </c>
      <c r="Z721">
        <f>IMDIV(Y721,Q721)</f>
        <v>0</v>
      </c>
      <c r="AA721">
        <f>IMPRODUCT(Z721,P721)</f>
        <v>0</v>
      </c>
      <c r="AB721">
        <f>AA721</f>
        <v>0</v>
      </c>
      <c r="AC721">
        <f>IMPRODUCT("-1",AB721)</f>
        <v>0</v>
      </c>
      <c r="AD721">
        <f>IMDIV(IMSUB(AB721,AC721),"2")</f>
        <v>0</v>
      </c>
      <c r="AE721" s="6">
        <f>IMABS(AB721)</f>
        <v>0</v>
      </c>
      <c r="AF721" s="6">
        <f>IMABS(AC721)</f>
        <v>0</v>
      </c>
      <c r="AG721" s="6">
        <f>IMABS(AD721)</f>
        <v>0</v>
      </c>
      <c r="AH721" s="7">
        <f>20*LOG10(MAX(AE721,1E-300)*1E6)</f>
        <v>0</v>
      </c>
      <c r="AI721" s="7">
        <f>20*LOG10(MAX(AF721,1E-300)*1E6)</f>
        <v>0</v>
      </c>
      <c r="AJ721" s="7">
        <f>20*LOG10(MAX(AG721,1E-300)*1E6)</f>
        <v>0</v>
      </c>
      <c r="AK721" s="7">
        <f>DEGREES(IMARGUMENT(AB721))</f>
        <v>0</v>
      </c>
      <c r="AL721" s="7">
        <f>DEGREES(IMARGUMENT(AC721))</f>
        <v>0</v>
      </c>
      <c r="AM721" s="7">
        <f>DEGREES(IMARGUMENT(AD721))</f>
        <v>0</v>
      </c>
    </row>
    <row r="722" spans="1:39">
      <c r="A722" s="6">
        <f>10^(LOG10(F_START)+(ROW()-ROW($A$2))*(LOG10(F_STOP)-LOG10(F_START))/(N_POINTS-1))</f>
        <v>0</v>
      </c>
      <c r="B722" s="6">
        <f>2*PI()*A722</f>
        <v>0</v>
      </c>
      <c r="C722">
        <f>COMPLEX(2*LINE_PS_DCR,2*B722*LINE_PS_L)</f>
        <v>0</v>
      </c>
      <c r="D722">
        <f>IMSUM(COMPLEX(0,B722*(LINE_PS_CLINE+LINE_PS_CCHA/2)),IMDIV("1",IMPRODUCT("2",COMPLEX(C_THROUGH_ESR,B722*C_THROUGH_ESL-1/(B722*C_THROUGH_C)))))</f>
        <v>0</v>
      </c>
      <c r="E722">
        <f>COMPLEX(2*LINE_INPUT_DCR,2*B722*LINE_INPUT_L)</f>
        <v>0</v>
      </c>
      <c r="F722">
        <f>COMPLEX(0,B722*(LINE_INPUT_CLINE+LINE_INPUT_CCHA/2))</f>
        <v>0</v>
      </c>
      <c r="G722">
        <f>IMPRODUCT("2",IMDIV("1",IMSUM(IMDIV("1",COMPLEX(LDM1_DCR,B722*LDM1_L)),COMPLEX(0,B722*LDM1_CPA))))</f>
        <v>0</v>
      </c>
      <c r="H722">
        <f>IMSUM(IMDIV("1",COMPLEX(CX1_ESR,B722*CX1_ESL-1/(B722*CX1_C))),IMDIV("1",IMSUM(COMPLEX(DUMP1_R,0),COMPLEX(DUMP1_ESR,B722*DUMP1_ESL-1/(B722*DUMP1_C)))))</f>
        <v>0</v>
      </c>
      <c r="I722">
        <f>IMPRODUCT("2",IMDIV("1",IMSUM(IMDIV("1",COMPLEX(LDM2_DCR,B722*LDM2_L)),COMPLEX(0,B722*LDM2_CPA))))</f>
        <v>0</v>
      </c>
      <c r="J722">
        <f>IMSUM(IMDIV("1",COMPLEX(CX2_ESR,B722*CX2_ESL-1/(B722*CX2_C))),IMDIV("1",IMSUM(COMPLEX(DUMP2_R,0),COMPLEX(DUMP2_ESR,B722*DUMP2_ESL-1/(B722*DUMP2_C)))))</f>
        <v>0</v>
      </c>
      <c r="K722">
        <f>IMPRODUCT("2",IMDIV("1",IMSUM(IMDIV("1",COMPLEX(CMC_DCR,B722*CMC_L*(1-CMC_K))),COMPLEX(0,B722*CMC_CPA))))</f>
        <v>0</v>
      </c>
      <c r="L722">
        <f>IMSUM(COMPLEX(0,B722*CMC_CLINE),IMDIV("1",IMPRODUCT("2",COMPLEX(CY_ESR,B722*CY_ESL-1/(B722*CY_C)))),COMPLEX(1/DUMMY_R,0))</f>
        <v>0</v>
      </c>
      <c r="M722">
        <f>IMSUM(D722,IMDIV("1",C722))</f>
        <v>0</v>
      </c>
      <c r="N722">
        <f>IMDIV("1",IMSUM(E722,IMDIV("1",M722)))</f>
        <v>0</v>
      </c>
      <c r="O722">
        <f>IMSUM(F722,N722)</f>
        <v>0</v>
      </c>
      <c r="P722">
        <f>IMDIV("1",IMSUM(G722,IMDIV("1",O722)))</f>
        <v>0</v>
      </c>
      <c r="Q722">
        <f>IMSUM(H722,P722)</f>
        <v>0</v>
      </c>
      <c r="R722">
        <f>IMDIV("1",IMSUM(I722,IMDIV("1",Q722)))</f>
        <v>0</v>
      </c>
      <c r="S722">
        <f>IMSUM(J722,R722)</f>
        <v>0</v>
      </c>
      <c r="T722">
        <f>IMDIV("1",IMSUM(K722,IMDIV("1",S722)))</f>
        <v>0</v>
      </c>
      <c r="U722">
        <f>IMSUM(L722,T722)</f>
        <v>0</v>
      </c>
      <c r="V722">
        <f>IMDIV(COMPLEX(I_DM_SOURCE,0),U722)</f>
        <v>0</v>
      </c>
      <c r="W722">
        <f>IMPRODUCT(V722,T722)</f>
        <v>0</v>
      </c>
      <c r="X722">
        <f>IMDIV(W722,S722)</f>
        <v>0</v>
      </c>
      <c r="Y722">
        <f>IMPRODUCT(X722,R722)</f>
        <v>0</v>
      </c>
      <c r="Z722">
        <f>IMDIV(Y722,Q722)</f>
        <v>0</v>
      </c>
      <c r="AA722">
        <f>IMPRODUCT(Z722,P722)</f>
        <v>0</v>
      </c>
      <c r="AB722">
        <f>AA722</f>
        <v>0</v>
      </c>
      <c r="AC722">
        <f>IMPRODUCT("-1",AB722)</f>
        <v>0</v>
      </c>
      <c r="AD722">
        <f>IMDIV(IMSUB(AB722,AC722),"2")</f>
        <v>0</v>
      </c>
      <c r="AE722" s="6">
        <f>IMABS(AB722)</f>
        <v>0</v>
      </c>
      <c r="AF722" s="6">
        <f>IMABS(AC722)</f>
        <v>0</v>
      </c>
      <c r="AG722" s="6">
        <f>IMABS(AD722)</f>
        <v>0</v>
      </c>
      <c r="AH722" s="7">
        <f>20*LOG10(MAX(AE722,1E-300)*1E6)</f>
        <v>0</v>
      </c>
      <c r="AI722" s="7">
        <f>20*LOG10(MAX(AF722,1E-300)*1E6)</f>
        <v>0</v>
      </c>
      <c r="AJ722" s="7">
        <f>20*LOG10(MAX(AG722,1E-300)*1E6)</f>
        <v>0</v>
      </c>
      <c r="AK722" s="7">
        <f>DEGREES(IMARGUMENT(AB722))</f>
        <v>0</v>
      </c>
      <c r="AL722" s="7">
        <f>DEGREES(IMARGUMENT(AC722))</f>
        <v>0</v>
      </c>
      <c r="AM722" s="7">
        <f>DEGREES(IMARGUMENT(AD722))</f>
        <v>0</v>
      </c>
    </row>
    <row r="723" spans="1:39">
      <c r="A723" s="6">
        <f>10^(LOG10(F_START)+(ROW()-ROW($A$2))*(LOG10(F_STOP)-LOG10(F_START))/(N_POINTS-1))</f>
        <v>0</v>
      </c>
      <c r="B723" s="6">
        <f>2*PI()*A723</f>
        <v>0</v>
      </c>
      <c r="C723">
        <f>COMPLEX(2*LINE_PS_DCR,2*B723*LINE_PS_L)</f>
        <v>0</v>
      </c>
      <c r="D723">
        <f>IMSUM(COMPLEX(0,B723*(LINE_PS_CLINE+LINE_PS_CCHA/2)),IMDIV("1",IMPRODUCT("2",COMPLEX(C_THROUGH_ESR,B723*C_THROUGH_ESL-1/(B723*C_THROUGH_C)))))</f>
        <v>0</v>
      </c>
      <c r="E723">
        <f>COMPLEX(2*LINE_INPUT_DCR,2*B723*LINE_INPUT_L)</f>
        <v>0</v>
      </c>
      <c r="F723">
        <f>COMPLEX(0,B723*(LINE_INPUT_CLINE+LINE_INPUT_CCHA/2))</f>
        <v>0</v>
      </c>
      <c r="G723">
        <f>IMPRODUCT("2",IMDIV("1",IMSUM(IMDIV("1",COMPLEX(LDM1_DCR,B723*LDM1_L)),COMPLEX(0,B723*LDM1_CPA))))</f>
        <v>0</v>
      </c>
      <c r="H723">
        <f>IMSUM(IMDIV("1",COMPLEX(CX1_ESR,B723*CX1_ESL-1/(B723*CX1_C))),IMDIV("1",IMSUM(COMPLEX(DUMP1_R,0),COMPLEX(DUMP1_ESR,B723*DUMP1_ESL-1/(B723*DUMP1_C)))))</f>
        <v>0</v>
      </c>
      <c r="I723">
        <f>IMPRODUCT("2",IMDIV("1",IMSUM(IMDIV("1",COMPLEX(LDM2_DCR,B723*LDM2_L)),COMPLEX(0,B723*LDM2_CPA))))</f>
        <v>0</v>
      </c>
      <c r="J723">
        <f>IMSUM(IMDIV("1",COMPLEX(CX2_ESR,B723*CX2_ESL-1/(B723*CX2_C))),IMDIV("1",IMSUM(COMPLEX(DUMP2_R,0),COMPLEX(DUMP2_ESR,B723*DUMP2_ESL-1/(B723*DUMP2_C)))))</f>
        <v>0</v>
      </c>
      <c r="K723">
        <f>IMPRODUCT("2",IMDIV("1",IMSUM(IMDIV("1",COMPLEX(CMC_DCR,B723*CMC_L*(1-CMC_K))),COMPLEX(0,B723*CMC_CPA))))</f>
        <v>0</v>
      </c>
      <c r="L723">
        <f>IMSUM(COMPLEX(0,B723*CMC_CLINE),IMDIV("1",IMPRODUCT("2",COMPLEX(CY_ESR,B723*CY_ESL-1/(B723*CY_C)))),COMPLEX(1/DUMMY_R,0))</f>
        <v>0</v>
      </c>
      <c r="M723">
        <f>IMSUM(D723,IMDIV("1",C723))</f>
        <v>0</v>
      </c>
      <c r="N723">
        <f>IMDIV("1",IMSUM(E723,IMDIV("1",M723)))</f>
        <v>0</v>
      </c>
      <c r="O723">
        <f>IMSUM(F723,N723)</f>
        <v>0</v>
      </c>
      <c r="P723">
        <f>IMDIV("1",IMSUM(G723,IMDIV("1",O723)))</f>
        <v>0</v>
      </c>
      <c r="Q723">
        <f>IMSUM(H723,P723)</f>
        <v>0</v>
      </c>
      <c r="R723">
        <f>IMDIV("1",IMSUM(I723,IMDIV("1",Q723)))</f>
        <v>0</v>
      </c>
      <c r="S723">
        <f>IMSUM(J723,R723)</f>
        <v>0</v>
      </c>
      <c r="T723">
        <f>IMDIV("1",IMSUM(K723,IMDIV("1",S723)))</f>
        <v>0</v>
      </c>
      <c r="U723">
        <f>IMSUM(L723,T723)</f>
        <v>0</v>
      </c>
      <c r="V723">
        <f>IMDIV(COMPLEX(I_DM_SOURCE,0),U723)</f>
        <v>0</v>
      </c>
      <c r="W723">
        <f>IMPRODUCT(V723,T723)</f>
        <v>0</v>
      </c>
      <c r="X723">
        <f>IMDIV(W723,S723)</f>
        <v>0</v>
      </c>
      <c r="Y723">
        <f>IMPRODUCT(X723,R723)</f>
        <v>0</v>
      </c>
      <c r="Z723">
        <f>IMDIV(Y723,Q723)</f>
        <v>0</v>
      </c>
      <c r="AA723">
        <f>IMPRODUCT(Z723,P723)</f>
        <v>0</v>
      </c>
      <c r="AB723">
        <f>AA723</f>
        <v>0</v>
      </c>
      <c r="AC723">
        <f>IMPRODUCT("-1",AB723)</f>
        <v>0</v>
      </c>
      <c r="AD723">
        <f>IMDIV(IMSUB(AB723,AC723),"2")</f>
        <v>0</v>
      </c>
      <c r="AE723" s="6">
        <f>IMABS(AB723)</f>
        <v>0</v>
      </c>
      <c r="AF723" s="6">
        <f>IMABS(AC723)</f>
        <v>0</v>
      </c>
      <c r="AG723" s="6">
        <f>IMABS(AD723)</f>
        <v>0</v>
      </c>
      <c r="AH723" s="7">
        <f>20*LOG10(MAX(AE723,1E-300)*1E6)</f>
        <v>0</v>
      </c>
      <c r="AI723" s="7">
        <f>20*LOG10(MAX(AF723,1E-300)*1E6)</f>
        <v>0</v>
      </c>
      <c r="AJ723" s="7">
        <f>20*LOG10(MAX(AG723,1E-300)*1E6)</f>
        <v>0</v>
      </c>
      <c r="AK723" s="7">
        <f>DEGREES(IMARGUMENT(AB723))</f>
        <v>0</v>
      </c>
      <c r="AL723" s="7">
        <f>DEGREES(IMARGUMENT(AC723))</f>
        <v>0</v>
      </c>
      <c r="AM723" s="7">
        <f>DEGREES(IMARGUMENT(AD723))</f>
        <v>0</v>
      </c>
    </row>
    <row r="724" spans="1:39">
      <c r="A724" s="6">
        <f>10^(LOG10(F_START)+(ROW()-ROW($A$2))*(LOG10(F_STOP)-LOG10(F_START))/(N_POINTS-1))</f>
        <v>0</v>
      </c>
      <c r="B724" s="6">
        <f>2*PI()*A724</f>
        <v>0</v>
      </c>
      <c r="C724">
        <f>COMPLEX(2*LINE_PS_DCR,2*B724*LINE_PS_L)</f>
        <v>0</v>
      </c>
      <c r="D724">
        <f>IMSUM(COMPLEX(0,B724*(LINE_PS_CLINE+LINE_PS_CCHA/2)),IMDIV("1",IMPRODUCT("2",COMPLEX(C_THROUGH_ESR,B724*C_THROUGH_ESL-1/(B724*C_THROUGH_C)))))</f>
        <v>0</v>
      </c>
      <c r="E724">
        <f>COMPLEX(2*LINE_INPUT_DCR,2*B724*LINE_INPUT_L)</f>
        <v>0</v>
      </c>
      <c r="F724">
        <f>COMPLEX(0,B724*(LINE_INPUT_CLINE+LINE_INPUT_CCHA/2))</f>
        <v>0</v>
      </c>
      <c r="G724">
        <f>IMPRODUCT("2",IMDIV("1",IMSUM(IMDIV("1",COMPLEX(LDM1_DCR,B724*LDM1_L)),COMPLEX(0,B724*LDM1_CPA))))</f>
        <v>0</v>
      </c>
      <c r="H724">
        <f>IMSUM(IMDIV("1",COMPLEX(CX1_ESR,B724*CX1_ESL-1/(B724*CX1_C))),IMDIV("1",IMSUM(COMPLEX(DUMP1_R,0),COMPLEX(DUMP1_ESR,B724*DUMP1_ESL-1/(B724*DUMP1_C)))))</f>
        <v>0</v>
      </c>
      <c r="I724">
        <f>IMPRODUCT("2",IMDIV("1",IMSUM(IMDIV("1",COMPLEX(LDM2_DCR,B724*LDM2_L)),COMPLEX(0,B724*LDM2_CPA))))</f>
        <v>0</v>
      </c>
      <c r="J724">
        <f>IMSUM(IMDIV("1",COMPLEX(CX2_ESR,B724*CX2_ESL-1/(B724*CX2_C))),IMDIV("1",IMSUM(COMPLEX(DUMP2_R,0),COMPLEX(DUMP2_ESR,B724*DUMP2_ESL-1/(B724*DUMP2_C)))))</f>
        <v>0</v>
      </c>
      <c r="K724">
        <f>IMPRODUCT("2",IMDIV("1",IMSUM(IMDIV("1",COMPLEX(CMC_DCR,B724*CMC_L*(1-CMC_K))),COMPLEX(0,B724*CMC_CPA))))</f>
        <v>0</v>
      </c>
      <c r="L724">
        <f>IMSUM(COMPLEX(0,B724*CMC_CLINE),IMDIV("1",IMPRODUCT("2",COMPLEX(CY_ESR,B724*CY_ESL-1/(B724*CY_C)))),COMPLEX(1/DUMMY_R,0))</f>
        <v>0</v>
      </c>
      <c r="M724">
        <f>IMSUM(D724,IMDIV("1",C724))</f>
        <v>0</v>
      </c>
      <c r="N724">
        <f>IMDIV("1",IMSUM(E724,IMDIV("1",M724)))</f>
        <v>0</v>
      </c>
      <c r="O724">
        <f>IMSUM(F724,N724)</f>
        <v>0</v>
      </c>
      <c r="P724">
        <f>IMDIV("1",IMSUM(G724,IMDIV("1",O724)))</f>
        <v>0</v>
      </c>
      <c r="Q724">
        <f>IMSUM(H724,P724)</f>
        <v>0</v>
      </c>
      <c r="R724">
        <f>IMDIV("1",IMSUM(I724,IMDIV("1",Q724)))</f>
        <v>0</v>
      </c>
      <c r="S724">
        <f>IMSUM(J724,R724)</f>
        <v>0</v>
      </c>
      <c r="T724">
        <f>IMDIV("1",IMSUM(K724,IMDIV("1",S724)))</f>
        <v>0</v>
      </c>
      <c r="U724">
        <f>IMSUM(L724,T724)</f>
        <v>0</v>
      </c>
      <c r="V724">
        <f>IMDIV(COMPLEX(I_DM_SOURCE,0),U724)</f>
        <v>0</v>
      </c>
      <c r="W724">
        <f>IMPRODUCT(V724,T724)</f>
        <v>0</v>
      </c>
      <c r="X724">
        <f>IMDIV(W724,S724)</f>
        <v>0</v>
      </c>
      <c r="Y724">
        <f>IMPRODUCT(X724,R724)</f>
        <v>0</v>
      </c>
      <c r="Z724">
        <f>IMDIV(Y724,Q724)</f>
        <v>0</v>
      </c>
      <c r="AA724">
        <f>IMPRODUCT(Z724,P724)</f>
        <v>0</v>
      </c>
      <c r="AB724">
        <f>AA724</f>
        <v>0</v>
      </c>
      <c r="AC724">
        <f>IMPRODUCT("-1",AB724)</f>
        <v>0</v>
      </c>
      <c r="AD724">
        <f>IMDIV(IMSUB(AB724,AC724),"2")</f>
        <v>0</v>
      </c>
      <c r="AE724" s="6">
        <f>IMABS(AB724)</f>
        <v>0</v>
      </c>
      <c r="AF724" s="6">
        <f>IMABS(AC724)</f>
        <v>0</v>
      </c>
      <c r="AG724" s="6">
        <f>IMABS(AD724)</f>
        <v>0</v>
      </c>
      <c r="AH724" s="7">
        <f>20*LOG10(MAX(AE724,1E-300)*1E6)</f>
        <v>0</v>
      </c>
      <c r="AI724" s="7">
        <f>20*LOG10(MAX(AF724,1E-300)*1E6)</f>
        <v>0</v>
      </c>
      <c r="AJ724" s="7">
        <f>20*LOG10(MAX(AG724,1E-300)*1E6)</f>
        <v>0</v>
      </c>
      <c r="AK724" s="7">
        <f>DEGREES(IMARGUMENT(AB724))</f>
        <v>0</v>
      </c>
      <c r="AL724" s="7">
        <f>DEGREES(IMARGUMENT(AC724))</f>
        <v>0</v>
      </c>
      <c r="AM724" s="7">
        <f>DEGREES(IMARGUMENT(AD724))</f>
        <v>0</v>
      </c>
    </row>
    <row r="725" spans="1:39">
      <c r="A725" s="6">
        <f>10^(LOG10(F_START)+(ROW()-ROW($A$2))*(LOG10(F_STOP)-LOG10(F_START))/(N_POINTS-1))</f>
        <v>0</v>
      </c>
      <c r="B725" s="6">
        <f>2*PI()*A725</f>
        <v>0</v>
      </c>
      <c r="C725">
        <f>COMPLEX(2*LINE_PS_DCR,2*B725*LINE_PS_L)</f>
        <v>0</v>
      </c>
      <c r="D725">
        <f>IMSUM(COMPLEX(0,B725*(LINE_PS_CLINE+LINE_PS_CCHA/2)),IMDIV("1",IMPRODUCT("2",COMPLEX(C_THROUGH_ESR,B725*C_THROUGH_ESL-1/(B725*C_THROUGH_C)))))</f>
        <v>0</v>
      </c>
      <c r="E725">
        <f>COMPLEX(2*LINE_INPUT_DCR,2*B725*LINE_INPUT_L)</f>
        <v>0</v>
      </c>
      <c r="F725">
        <f>COMPLEX(0,B725*(LINE_INPUT_CLINE+LINE_INPUT_CCHA/2))</f>
        <v>0</v>
      </c>
      <c r="G725">
        <f>IMPRODUCT("2",IMDIV("1",IMSUM(IMDIV("1",COMPLEX(LDM1_DCR,B725*LDM1_L)),COMPLEX(0,B725*LDM1_CPA))))</f>
        <v>0</v>
      </c>
      <c r="H725">
        <f>IMSUM(IMDIV("1",COMPLEX(CX1_ESR,B725*CX1_ESL-1/(B725*CX1_C))),IMDIV("1",IMSUM(COMPLEX(DUMP1_R,0),COMPLEX(DUMP1_ESR,B725*DUMP1_ESL-1/(B725*DUMP1_C)))))</f>
        <v>0</v>
      </c>
      <c r="I725">
        <f>IMPRODUCT("2",IMDIV("1",IMSUM(IMDIV("1",COMPLEX(LDM2_DCR,B725*LDM2_L)),COMPLEX(0,B725*LDM2_CPA))))</f>
        <v>0</v>
      </c>
      <c r="J725">
        <f>IMSUM(IMDIV("1",COMPLEX(CX2_ESR,B725*CX2_ESL-1/(B725*CX2_C))),IMDIV("1",IMSUM(COMPLEX(DUMP2_R,0),COMPLEX(DUMP2_ESR,B725*DUMP2_ESL-1/(B725*DUMP2_C)))))</f>
        <v>0</v>
      </c>
      <c r="K725">
        <f>IMPRODUCT("2",IMDIV("1",IMSUM(IMDIV("1",COMPLEX(CMC_DCR,B725*CMC_L*(1-CMC_K))),COMPLEX(0,B725*CMC_CPA))))</f>
        <v>0</v>
      </c>
      <c r="L725">
        <f>IMSUM(COMPLEX(0,B725*CMC_CLINE),IMDIV("1",IMPRODUCT("2",COMPLEX(CY_ESR,B725*CY_ESL-1/(B725*CY_C)))),COMPLEX(1/DUMMY_R,0))</f>
        <v>0</v>
      </c>
      <c r="M725">
        <f>IMSUM(D725,IMDIV("1",C725))</f>
        <v>0</v>
      </c>
      <c r="N725">
        <f>IMDIV("1",IMSUM(E725,IMDIV("1",M725)))</f>
        <v>0</v>
      </c>
      <c r="O725">
        <f>IMSUM(F725,N725)</f>
        <v>0</v>
      </c>
      <c r="P725">
        <f>IMDIV("1",IMSUM(G725,IMDIV("1",O725)))</f>
        <v>0</v>
      </c>
      <c r="Q725">
        <f>IMSUM(H725,P725)</f>
        <v>0</v>
      </c>
      <c r="R725">
        <f>IMDIV("1",IMSUM(I725,IMDIV("1",Q725)))</f>
        <v>0</v>
      </c>
      <c r="S725">
        <f>IMSUM(J725,R725)</f>
        <v>0</v>
      </c>
      <c r="T725">
        <f>IMDIV("1",IMSUM(K725,IMDIV("1",S725)))</f>
        <v>0</v>
      </c>
      <c r="U725">
        <f>IMSUM(L725,T725)</f>
        <v>0</v>
      </c>
      <c r="V725">
        <f>IMDIV(COMPLEX(I_DM_SOURCE,0),U725)</f>
        <v>0</v>
      </c>
      <c r="W725">
        <f>IMPRODUCT(V725,T725)</f>
        <v>0</v>
      </c>
      <c r="X725">
        <f>IMDIV(W725,S725)</f>
        <v>0</v>
      </c>
      <c r="Y725">
        <f>IMPRODUCT(X725,R725)</f>
        <v>0</v>
      </c>
      <c r="Z725">
        <f>IMDIV(Y725,Q725)</f>
        <v>0</v>
      </c>
      <c r="AA725">
        <f>IMPRODUCT(Z725,P725)</f>
        <v>0</v>
      </c>
      <c r="AB725">
        <f>AA725</f>
        <v>0</v>
      </c>
      <c r="AC725">
        <f>IMPRODUCT("-1",AB725)</f>
        <v>0</v>
      </c>
      <c r="AD725">
        <f>IMDIV(IMSUB(AB725,AC725),"2")</f>
        <v>0</v>
      </c>
      <c r="AE725" s="6">
        <f>IMABS(AB725)</f>
        <v>0</v>
      </c>
      <c r="AF725" s="6">
        <f>IMABS(AC725)</f>
        <v>0</v>
      </c>
      <c r="AG725" s="6">
        <f>IMABS(AD725)</f>
        <v>0</v>
      </c>
      <c r="AH725" s="7">
        <f>20*LOG10(MAX(AE725,1E-300)*1E6)</f>
        <v>0</v>
      </c>
      <c r="AI725" s="7">
        <f>20*LOG10(MAX(AF725,1E-300)*1E6)</f>
        <v>0</v>
      </c>
      <c r="AJ725" s="7">
        <f>20*LOG10(MAX(AG725,1E-300)*1E6)</f>
        <v>0</v>
      </c>
      <c r="AK725" s="7">
        <f>DEGREES(IMARGUMENT(AB725))</f>
        <v>0</v>
      </c>
      <c r="AL725" s="7">
        <f>DEGREES(IMARGUMENT(AC725))</f>
        <v>0</v>
      </c>
      <c r="AM725" s="7">
        <f>DEGREES(IMARGUMENT(AD725))</f>
        <v>0</v>
      </c>
    </row>
    <row r="726" spans="1:39">
      <c r="A726" s="6">
        <f>10^(LOG10(F_START)+(ROW()-ROW($A$2))*(LOG10(F_STOP)-LOG10(F_START))/(N_POINTS-1))</f>
        <v>0</v>
      </c>
      <c r="B726" s="6">
        <f>2*PI()*A726</f>
        <v>0</v>
      </c>
      <c r="C726">
        <f>COMPLEX(2*LINE_PS_DCR,2*B726*LINE_PS_L)</f>
        <v>0</v>
      </c>
      <c r="D726">
        <f>IMSUM(COMPLEX(0,B726*(LINE_PS_CLINE+LINE_PS_CCHA/2)),IMDIV("1",IMPRODUCT("2",COMPLEX(C_THROUGH_ESR,B726*C_THROUGH_ESL-1/(B726*C_THROUGH_C)))))</f>
        <v>0</v>
      </c>
      <c r="E726">
        <f>COMPLEX(2*LINE_INPUT_DCR,2*B726*LINE_INPUT_L)</f>
        <v>0</v>
      </c>
      <c r="F726">
        <f>COMPLEX(0,B726*(LINE_INPUT_CLINE+LINE_INPUT_CCHA/2))</f>
        <v>0</v>
      </c>
      <c r="G726">
        <f>IMPRODUCT("2",IMDIV("1",IMSUM(IMDIV("1",COMPLEX(LDM1_DCR,B726*LDM1_L)),COMPLEX(0,B726*LDM1_CPA))))</f>
        <v>0</v>
      </c>
      <c r="H726">
        <f>IMSUM(IMDIV("1",COMPLEX(CX1_ESR,B726*CX1_ESL-1/(B726*CX1_C))),IMDIV("1",IMSUM(COMPLEX(DUMP1_R,0),COMPLEX(DUMP1_ESR,B726*DUMP1_ESL-1/(B726*DUMP1_C)))))</f>
        <v>0</v>
      </c>
      <c r="I726">
        <f>IMPRODUCT("2",IMDIV("1",IMSUM(IMDIV("1",COMPLEX(LDM2_DCR,B726*LDM2_L)),COMPLEX(0,B726*LDM2_CPA))))</f>
        <v>0</v>
      </c>
      <c r="J726">
        <f>IMSUM(IMDIV("1",COMPLEX(CX2_ESR,B726*CX2_ESL-1/(B726*CX2_C))),IMDIV("1",IMSUM(COMPLEX(DUMP2_R,0),COMPLEX(DUMP2_ESR,B726*DUMP2_ESL-1/(B726*DUMP2_C)))))</f>
        <v>0</v>
      </c>
      <c r="K726">
        <f>IMPRODUCT("2",IMDIV("1",IMSUM(IMDIV("1",COMPLEX(CMC_DCR,B726*CMC_L*(1-CMC_K))),COMPLEX(0,B726*CMC_CPA))))</f>
        <v>0</v>
      </c>
      <c r="L726">
        <f>IMSUM(COMPLEX(0,B726*CMC_CLINE),IMDIV("1",IMPRODUCT("2",COMPLEX(CY_ESR,B726*CY_ESL-1/(B726*CY_C)))),COMPLEX(1/DUMMY_R,0))</f>
        <v>0</v>
      </c>
      <c r="M726">
        <f>IMSUM(D726,IMDIV("1",C726))</f>
        <v>0</v>
      </c>
      <c r="N726">
        <f>IMDIV("1",IMSUM(E726,IMDIV("1",M726)))</f>
        <v>0</v>
      </c>
      <c r="O726">
        <f>IMSUM(F726,N726)</f>
        <v>0</v>
      </c>
      <c r="P726">
        <f>IMDIV("1",IMSUM(G726,IMDIV("1",O726)))</f>
        <v>0</v>
      </c>
      <c r="Q726">
        <f>IMSUM(H726,P726)</f>
        <v>0</v>
      </c>
      <c r="R726">
        <f>IMDIV("1",IMSUM(I726,IMDIV("1",Q726)))</f>
        <v>0</v>
      </c>
      <c r="S726">
        <f>IMSUM(J726,R726)</f>
        <v>0</v>
      </c>
      <c r="T726">
        <f>IMDIV("1",IMSUM(K726,IMDIV("1",S726)))</f>
        <v>0</v>
      </c>
      <c r="U726">
        <f>IMSUM(L726,T726)</f>
        <v>0</v>
      </c>
      <c r="V726">
        <f>IMDIV(COMPLEX(I_DM_SOURCE,0),U726)</f>
        <v>0</v>
      </c>
      <c r="W726">
        <f>IMPRODUCT(V726,T726)</f>
        <v>0</v>
      </c>
      <c r="X726">
        <f>IMDIV(W726,S726)</f>
        <v>0</v>
      </c>
      <c r="Y726">
        <f>IMPRODUCT(X726,R726)</f>
        <v>0</v>
      </c>
      <c r="Z726">
        <f>IMDIV(Y726,Q726)</f>
        <v>0</v>
      </c>
      <c r="AA726">
        <f>IMPRODUCT(Z726,P726)</f>
        <v>0</v>
      </c>
      <c r="AB726">
        <f>AA726</f>
        <v>0</v>
      </c>
      <c r="AC726">
        <f>IMPRODUCT("-1",AB726)</f>
        <v>0</v>
      </c>
      <c r="AD726">
        <f>IMDIV(IMSUB(AB726,AC726),"2")</f>
        <v>0</v>
      </c>
      <c r="AE726" s="6">
        <f>IMABS(AB726)</f>
        <v>0</v>
      </c>
      <c r="AF726" s="6">
        <f>IMABS(AC726)</f>
        <v>0</v>
      </c>
      <c r="AG726" s="6">
        <f>IMABS(AD726)</f>
        <v>0</v>
      </c>
      <c r="AH726" s="7">
        <f>20*LOG10(MAX(AE726,1E-300)*1E6)</f>
        <v>0</v>
      </c>
      <c r="AI726" s="7">
        <f>20*LOG10(MAX(AF726,1E-300)*1E6)</f>
        <v>0</v>
      </c>
      <c r="AJ726" s="7">
        <f>20*LOG10(MAX(AG726,1E-300)*1E6)</f>
        <v>0</v>
      </c>
      <c r="AK726" s="7">
        <f>DEGREES(IMARGUMENT(AB726))</f>
        <v>0</v>
      </c>
      <c r="AL726" s="7">
        <f>DEGREES(IMARGUMENT(AC726))</f>
        <v>0</v>
      </c>
      <c r="AM726" s="7">
        <f>DEGREES(IMARGUMENT(AD726))</f>
        <v>0</v>
      </c>
    </row>
    <row r="727" spans="1:39">
      <c r="A727" s="6">
        <f>10^(LOG10(F_START)+(ROW()-ROW($A$2))*(LOG10(F_STOP)-LOG10(F_START))/(N_POINTS-1))</f>
        <v>0</v>
      </c>
      <c r="B727" s="6">
        <f>2*PI()*A727</f>
        <v>0</v>
      </c>
      <c r="C727">
        <f>COMPLEX(2*LINE_PS_DCR,2*B727*LINE_PS_L)</f>
        <v>0</v>
      </c>
      <c r="D727">
        <f>IMSUM(COMPLEX(0,B727*(LINE_PS_CLINE+LINE_PS_CCHA/2)),IMDIV("1",IMPRODUCT("2",COMPLEX(C_THROUGH_ESR,B727*C_THROUGH_ESL-1/(B727*C_THROUGH_C)))))</f>
        <v>0</v>
      </c>
      <c r="E727">
        <f>COMPLEX(2*LINE_INPUT_DCR,2*B727*LINE_INPUT_L)</f>
        <v>0</v>
      </c>
      <c r="F727">
        <f>COMPLEX(0,B727*(LINE_INPUT_CLINE+LINE_INPUT_CCHA/2))</f>
        <v>0</v>
      </c>
      <c r="G727">
        <f>IMPRODUCT("2",IMDIV("1",IMSUM(IMDIV("1",COMPLEX(LDM1_DCR,B727*LDM1_L)),COMPLEX(0,B727*LDM1_CPA))))</f>
        <v>0</v>
      </c>
      <c r="H727">
        <f>IMSUM(IMDIV("1",COMPLEX(CX1_ESR,B727*CX1_ESL-1/(B727*CX1_C))),IMDIV("1",IMSUM(COMPLEX(DUMP1_R,0),COMPLEX(DUMP1_ESR,B727*DUMP1_ESL-1/(B727*DUMP1_C)))))</f>
        <v>0</v>
      </c>
      <c r="I727">
        <f>IMPRODUCT("2",IMDIV("1",IMSUM(IMDIV("1",COMPLEX(LDM2_DCR,B727*LDM2_L)),COMPLEX(0,B727*LDM2_CPA))))</f>
        <v>0</v>
      </c>
      <c r="J727">
        <f>IMSUM(IMDIV("1",COMPLEX(CX2_ESR,B727*CX2_ESL-1/(B727*CX2_C))),IMDIV("1",IMSUM(COMPLEX(DUMP2_R,0),COMPLEX(DUMP2_ESR,B727*DUMP2_ESL-1/(B727*DUMP2_C)))))</f>
        <v>0</v>
      </c>
      <c r="K727">
        <f>IMPRODUCT("2",IMDIV("1",IMSUM(IMDIV("1",COMPLEX(CMC_DCR,B727*CMC_L*(1-CMC_K))),COMPLEX(0,B727*CMC_CPA))))</f>
        <v>0</v>
      </c>
      <c r="L727">
        <f>IMSUM(COMPLEX(0,B727*CMC_CLINE),IMDIV("1",IMPRODUCT("2",COMPLEX(CY_ESR,B727*CY_ESL-1/(B727*CY_C)))),COMPLEX(1/DUMMY_R,0))</f>
        <v>0</v>
      </c>
      <c r="M727">
        <f>IMSUM(D727,IMDIV("1",C727))</f>
        <v>0</v>
      </c>
      <c r="N727">
        <f>IMDIV("1",IMSUM(E727,IMDIV("1",M727)))</f>
        <v>0</v>
      </c>
      <c r="O727">
        <f>IMSUM(F727,N727)</f>
        <v>0</v>
      </c>
      <c r="P727">
        <f>IMDIV("1",IMSUM(G727,IMDIV("1",O727)))</f>
        <v>0</v>
      </c>
      <c r="Q727">
        <f>IMSUM(H727,P727)</f>
        <v>0</v>
      </c>
      <c r="R727">
        <f>IMDIV("1",IMSUM(I727,IMDIV("1",Q727)))</f>
        <v>0</v>
      </c>
      <c r="S727">
        <f>IMSUM(J727,R727)</f>
        <v>0</v>
      </c>
      <c r="T727">
        <f>IMDIV("1",IMSUM(K727,IMDIV("1",S727)))</f>
        <v>0</v>
      </c>
      <c r="U727">
        <f>IMSUM(L727,T727)</f>
        <v>0</v>
      </c>
      <c r="V727">
        <f>IMDIV(COMPLEX(I_DM_SOURCE,0),U727)</f>
        <v>0</v>
      </c>
      <c r="W727">
        <f>IMPRODUCT(V727,T727)</f>
        <v>0</v>
      </c>
      <c r="X727">
        <f>IMDIV(W727,S727)</f>
        <v>0</v>
      </c>
      <c r="Y727">
        <f>IMPRODUCT(X727,R727)</f>
        <v>0</v>
      </c>
      <c r="Z727">
        <f>IMDIV(Y727,Q727)</f>
        <v>0</v>
      </c>
      <c r="AA727">
        <f>IMPRODUCT(Z727,P727)</f>
        <v>0</v>
      </c>
      <c r="AB727">
        <f>AA727</f>
        <v>0</v>
      </c>
      <c r="AC727">
        <f>IMPRODUCT("-1",AB727)</f>
        <v>0</v>
      </c>
      <c r="AD727">
        <f>IMDIV(IMSUB(AB727,AC727),"2")</f>
        <v>0</v>
      </c>
      <c r="AE727" s="6">
        <f>IMABS(AB727)</f>
        <v>0</v>
      </c>
      <c r="AF727" s="6">
        <f>IMABS(AC727)</f>
        <v>0</v>
      </c>
      <c r="AG727" s="6">
        <f>IMABS(AD727)</f>
        <v>0</v>
      </c>
      <c r="AH727" s="7">
        <f>20*LOG10(MAX(AE727,1E-300)*1E6)</f>
        <v>0</v>
      </c>
      <c r="AI727" s="7">
        <f>20*LOG10(MAX(AF727,1E-300)*1E6)</f>
        <v>0</v>
      </c>
      <c r="AJ727" s="7">
        <f>20*LOG10(MAX(AG727,1E-300)*1E6)</f>
        <v>0</v>
      </c>
      <c r="AK727" s="7">
        <f>DEGREES(IMARGUMENT(AB727))</f>
        <v>0</v>
      </c>
      <c r="AL727" s="7">
        <f>DEGREES(IMARGUMENT(AC727))</f>
        <v>0</v>
      </c>
      <c r="AM727" s="7">
        <f>DEGREES(IMARGUMENT(AD727))</f>
        <v>0</v>
      </c>
    </row>
    <row r="728" spans="1:39">
      <c r="A728" s="6">
        <f>10^(LOG10(F_START)+(ROW()-ROW($A$2))*(LOG10(F_STOP)-LOG10(F_START))/(N_POINTS-1))</f>
        <v>0</v>
      </c>
      <c r="B728" s="6">
        <f>2*PI()*A728</f>
        <v>0</v>
      </c>
      <c r="C728">
        <f>COMPLEX(2*LINE_PS_DCR,2*B728*LINE_PS_L)</f>
        <v>0</v>
      </c>
      <c r="D728">
        <f>IMSUM(COMPLEX(0,B728*(LINE_PS_CLINE+LINE_PS_CCHA/2)),IMDIV("1",IMPRODUCT("2",COMPLEX(C_THROUGH_ESR,B728*C_THROUGH_ESL-1/(B728*C_THROUGH_C)))))</f>
        <v>0</v>
      </c>
      <c r="E728">
        <f>COMPLEX(2*LINE_INPUT_DCR,2*B728*LINE_INPUT_L)</f>
        <v>0</v>
      </c>
      <c r="F728">
        <f>COMPLEX(0,B728*(LINE_INPUT_CLINE+LINE_INPUT_CCHA/2))</f>
        <v>0</v>
      </c>
      <c r="G728">
        <f>IMPRODUCT("2",IMDIV("1",IMSUM(IMDIV("1",COMPLEX(LDM1_DCR,B728*LDM1_L)),COMPLEX(0,B728*LDM1_CPA))))</f>
        <v>0</v>
      </c>
      <c r="H728">
        <f>IMSUM(IMDIV("1",COMPLEX(CX1_ESR,B728*CX1_ESL-1/(B728*CX1_C))),IMDIV("1",IMSUM(COMPLEX(DUMP1_R,0),COMPLEX(DUMP1_ESR,B728*DUMP1_ESL-1/(B728*DUMP1_C)))))</f>
        <v>0</v>
      </c>
      <c r="I728">
        <f>IMPRODUCT("2",IMDIV("1",IMSUM(IMDIV("1",COMPLEX(LDM2_DCR,B728*LDM2_L)),COMPLEX(0,B728*LDM2_CPA))))</f>
        <v>0</v>
      </c>
      <c r="J728">
        <f>IMSUM(IMDIV("1",COMPLEX(CX2_ESR,B728*CX2_ESL-1/(B728*CX2_C))),IMDIV("1",IMSUM(COMPLEX(DUMP2_R,0),COMPLEX(DUMP2_ESR,B728*DUMP2_ESL-1/(B728*DUMP2_C)))))</f>
        <v>0</v>
      </c>
      <c r="K728">
        <f>IMPRODUCT("2",IMDIV("1",IMSUM(IMDIV("1",COMPLEX(CMC_DCR,B728*CMC_L*(1-CMC_K))),COMPLEX(0,B728*CMC_CPA))))</f>
        <v>0</v>
      </c>
      <c r="L728">
        <f>IMSUM(COMPLEX(0,B728*CMC_CLINE),IMDIV("1",IMPRODUCT("2",COMPLEX(CY_ESR,B728*CY_ESL-1/(B728*CY_C)))),COMPLEX(1/DUMMY_R,0))</f>
        <v>0</v>
      </c>
      <c r="M728">
        <f>IMSUM(D728,IMDIV("1",C728))</f>
        <v>0</v>
      </c>
      <c r="N728">
        <f>IMDIV("1",IMSUM(E728,IMDIV("1",M728)))</f>
        <v>0</v>
      </c>
      <c r="O728">
        <f>IMSUM(F728,N728)</f>
        <v>0</v>
      </c>
      <c r="P728">
        <f>IMDIV("1",IMSUM(G728,IMDIV("1",O728)))</f>
        <v>0</v>
      </c>
      <c r="Q728">
        <f>IMSUM(H728,P728)</f>
        <v>0</v>
      </c>
      <c r="R728">
        <f>IMDIV("1",IMSUM(I728,IMDIV("1",Q728)))</f>
        <v>0</v>
      </c>
      <c r="S728">
        <f>IMSUM(J728,R728)</f>
        <v>0</v>
      </c>
      <c r="T728">
        <f>IMDIV("1",IMSUM(K728,IMDIV("1",S728)))</f>
        <v>0</v>
      </c>
      <c r="U728">
        <f>IMSUM(L728,T728)</f>
        <v>0</v>
      </c>
      <c r="V728">
        <f>IMDIV(COMPLEX(I_DM_SOURCE,0),U728)</f>
        <v>0</v>
      </c>
      <c r="W728">
        <f>IMPRODUCT(V728,T728)</f>
        <v>0</v>
      </c>
      <c r="X728">
        <f>IMDIV(W728,S728)</f>
        <v>0</v>
      </c>
      <c r="Y728">
        <f>IMPRODUCT(X728,R728)</f>
        <v>0</v>
      </c>
      <c r="Z728">
        <f>IMDIV(Y728,Q728)</f>
        <v>0</v>
      </c>
      <c r="AA728">
        <f>IMPRODUCT(Z728,P728)</f>
        <v>0</v>
      </c>
      <c r="AB728">
        <f>AA728</f>
        <v>0</v>
      </c>
      <c r="AC728">
        <f>IMPRODUCT("-1",AB728)</f>
        <v>0</v>
      </c>
      <c r="AD728">
        <f>IMDIV(IMSUB(AB728,AC728),"2")</f>
        <v>0</v>
      </c>
      <c r="AE728" s="6">
        <f>IMABS(AB728)</f>
        <v>0</v>
      </c>
      <c r="AF728" s="6">
        <f>IMABS(AC728)</f>
        <v>0</v>
      </c>
      <c r="AG728" s="6">
        <f>IMABS(AD728)</f>
        <v>0</v>
      </c>
      <c r="AH728" s="7">
        <f>20*LOG10(MAX(AE728,1E-300)*1E6)</f>
        <v>0</v>
      </c>
      <c r="AI728" s="7">
        <f>20*LOG10(MAX(AF728,1E-300)*1E6)</f>
        <v>0</v>
      </c>
      <c r="AJ728" s="7">
        <f>20*LOG10(MAX(AG728,1E-300)*1E6)</f>
        <v>0</v>
      </c>
      <c r="AK728" s="7">
        <f>DEGREES(IMARGUMENT(AB728))</f>
        <v>0</v>
      </c>
      <c r="AL728" s="7">
        <f>DEGREES(IMARGUMENT(AC728))</f>
        <v>0</v>
      </c>
      <c r="AM728" s="7">
        <f>DEGREES(IMARGUMENT(AD728))</f>
        <v>0</v>
      </c>
    </row>
    <row r="729" spans="1:39">
      <c r="A729" s="6">
        <f>10^(LOG10(F_START)+(ROW()-ROW($A$2))*(LOG10(F_STOP)-LOG10(F_START))/(N_POINTS-1))</f>
        <v>0</v>
      </c>
      <c r="B729" s="6">
        <f>2*PI()*A729</f>
        <v>0</v>
      </c>
      <c r="C729">
        <f>COMPLEX(2*LINE_PS_DCR,2*B729*LINE_PS_L)</f>
        <v>0</v>
      </c>
      <c r="D729">
        <f>IMSUM(COMPLEX(0,B729*(LINE_PS_CLINE+LINE_PS_CCHA/2)),IMDIV("1",IMPRODUCT("2",COMPLEX(C_THROUGH_ESR,B729*C_THROUGH_ESL-1/(B729*C_THROUGH_C)))))</f>
        <v>0</v>
      </c>
      <c r="E729">
        <f>COMPLEX(2*LINE_INPUT_DCR,2*B729*LINE_INPUT_L)</f>
        <v>0</v>
      </c>
      <c r="F729">
        <f>COMPLEX(0,B729*(LINE_INPUT_CLINE+LINE_INPUT_CCHA/2))</f>
        <v>0</v>
      </c>
      <c r="G729">
        <f>IMPRODUCT("2",IMDIV("1",IMSUM(IMDIV("1",COMPLEX(LDM1_DCR,B729*LDM1_L)),COMPLEX(0,B729*LDM1_CPA))))</f>
        <v>0</v>
      </c>
      <c r="H729">
        <f>IMSUM(IMDIV("1",COMPLEX(CX1_ESR,B729*CX1_ESL-1/(B729*CX1_C))),IMDIV("1",IMSUM(COMPLEX(DUMP1_R,0),COMPLEX(DUMP1_ESR,B729*DUMP1_ESL-1/(B729*DUMP1_C)))))</f>
        <v>0</v>
      </c>
      <c r="I729">
        <f>IMPRODUCT("2",IMDIV("1",IMSUM(IMDIV("1",COMPLEX(LDM2_DCR,B729*LDM2_L)),COMPLEX(0,B729*LDM2_CPA))))</f>
        <v>0</v>
      </c>
      <c r="J729">
        <f>IMSUM(IMDIV("1",COMPLEX(CX2_ESR,B729*CX2_ESL-1/(B729*CX2_C))),IMDIV("1",IMSUM(COMPLEX(DUMP2_R,0),COMPLEX(DUMP2_ESR,B729*DUMP2_ESL-1/(B729*DUMP2_C)))))</f>
        <v>0</v>
      </c>
      <c r="K729">
        <f>IMPRODUCT("2",IMDIV("1",IMSUM(IMDIV("1",COMPLEX(CMC_DCR,B729*CMC_L*(1-CMC_K))),COMPLEX(0,B729*CMC_CPA))))</f>
        <v>0</v>
      </c>
      <c r="L729">
        <f>IMSUM(COMPLEX(0,B729*CMC_CLINE),IMDIV("1",IMPRODUCT("2",COMPLEX(CY_ESR,B729*CY_ESL-1/(B729*CY_C)))),COMPLEX(1/DUMMY_R,0))</f>
        <v>0</v>
      </c>
      <c r="M729">
        <f>IMSUM(D729,IMDIV("1",C729))</f>
        <v>0</v>
      </c>
      <c r="N729">
        <f>IMDIV("1",IMSUM(E729,IMDIV("1",M729)))</f>
        <v>0</v>
      </c>
      <c r="O729">
        <f>IMSUM(F729,N729)</f>
        <v>0</v>
      </c>
      <c r="P729">
        <f>IMDIV("1",IMSUM(G729,IMDIV("1",O729)))</f>
        <v>0</v>
      </c>
      <c r="Q729">
        <f>IMSUM(H729,P729)</f>
        <v>0</v>
      </c>
      <c r="R729">
        <f>IMDIV("1",IMSUM(I729,IMDIV("1",Q729)))</f>
        <v>0</v>
      </c>
      <c r="S729">
        <f>IMSUM(J729,R729)</f>
        <v>0</v>
      </c>
      <c r="T729">
        <f>IMDIV("1",IMSUM(K729,IMDIV("1",S729)))</f>
        <v>0</v>
      </c>
      <c r="U729">
        <f>IMSUM(L729,T729)</f>
        <v>0</v>
      </c>
      <c r="V729">
        <f>IMDIV(COMPLEX(I_DM_SOURCE,0),U729)</f>
        <v>0</v>
      </c>
      <c r="W729">
        <f>IMPRODUCT(V729,T729)</f>
        <v>0</v>
      </c>
      <c r="X729">
        <f>IMDIV(W729,S729)</f>
        <v>0</v>
      </c>
      <c r="Y729">
        <f>IMPRODUCT(X729,R729)</f>
        <v>0</v>
      </c>
      <c r="Z729">
        <f>IMDIV(Y729,Q729)</f>
        <v>0</v>
      </c>
      <c r="AA729">
        <f>IMPRODUCT(Z729,P729)</f>
        <v>0</v>
      </c>
      <c r="AB729">
        <f>AA729</f>
        <v>0</v>
      </c>
      <c r="AC729">
        <f>IMPRODUCT("-1",AB729)</f>
        <v>0</v>
      </c>
      <c r="AD729">
        <f>IMDIV(IMSUB(AB729,AC729),"2")</f>
        <v>0</v>
      </c>
      <c r="AE729" s="6">
        <f>IMABS(AB729)</f>
        <v>0</v>
      </c>
      <c r="AF729" s="6">
        <f>IMABS(AC729)</f>
        <v>0</v>
      </c>
      <c r="AG729" s="6">
        <f>IMABS(AD729)</f>
        <v>0</v>
      </c>
      <c r="AH729" s="7">
        <f>20*LOG10(MAX(AE729,1E-300)*1E6)</f>
        <v>0</v>
      </c>
      <c r="AI729" s="7">
        <f>20*LOG10(MAX(AF729,1E-300)*1E6)</f>
        <v>0</v>
      </c>
      <c r="AJ729" s="7">
        <f>20*LOG10(MAX(AG729,1E-300)*1E6)</f>
        <v>0</v>
      </c>
      <c r="AK729" s="7">
        <f>DEGREES(IMARGUMENT(AB729))</f>
        <v>0</v>
      </c>
      <c r="AL729" s="7">
        <f>DEGREES(IMARGUMENT(AC729))</f>
        <v>0</v>
      </c>
      <c r="AM729" s="7">
        <f>DEGREES(IMARGUMENT(AD729))</f>
        <v>0</v>
      </c>
    </row>
    <row r="730" spans="1:39">
      <c r="A730" s="6">
        <f>10^(LOG10(F_START)+(ROW()-ROW($A$2))*(LOG10(F_STOP)-LOG10(F_START))/(N_POINTS-1))</f>
        <v>0</v>
      </c>
      <c r="B730" s="6">
        <f>2*PI()*A730</f>
        <v>0</v>
      </c>
      <c r="C730">
        <f>COMPLEX(2*LINE_PS_DCR,2*B730*LINE_PS_L)</f>
        <v>0</v>
      </c>
      <c r="D730">
        <f>IMSUM(COMPLEX(0,B730*(LINE_PS_CLINE+LINE_PS_CCHA/2)),IMDIV("1",IMPRODUCT("2",COMPLEX(C_THROUGH_ESR,B730*C_THROUGH_ESL-1/(B730*C_THROUGH_C)))))</f>
        <v>0</v>
      </c>
      <c r="E730">
        <f>COMPLEX(2*LINE_INPUT_DCR,2*B730*LINE_INPUT_L)</f>
        <v>0</v>
      </c>
      <c r="F730">
        <f>COMPLEX(0,B730*(LINE_INPUT_CLINE+LINE_INPUT_CCHA/2))</f>
        <v>0</v>
      </c>
      <c r="G730">
        <f>IMPRODUCT("2",IMDIV("1",IMSUM(IMDIV("1",COMPLEX(LDM1_DCR,B730*LDM1_L)),COMPLEX(0,B730*LDM1_CPA))))</f>
        <v>0</v>
      </c>
      <c r="H730">
        <f>IMSUM(IMDIV("1",COMPLEX(CX1_ESR,B730*CX1_ESL-1/(B730*CX1_C))),IMDIV("1",IMSUM(COMPLEX(DUMP1_R,0),COMPLEX(DUMP1_ESR,B730*DUMP1_ESL-1/(B730*DUMP1_C)))))</f>
        <v>0</v>
      </c>
      <c r="I730">
        <f>IMPRODUCT("2",IMDIV("1",IMSUM(IMDIV("1",COMPLEX(LDM2_DCR,B730*LDM2_L)),COMPLEX(0,B730*LDM2_CPA))))</f>
        <v>0</v>
      </c>
      <c r="J730">
        <f>IMSUM(IMDIV("1",COMPLEX(CX2_ESR,B730*CX2_ESL-1/(B730*CX2_C))),IMDIV("1",IMSUM(COMPLEX(DUMP2_R,0),COMPLEX(DUMP2_ESR,B730*DUMP2_ESL-1/(B730*DUMP2_C)))))</f>
        <v>0</v>
      </c>
      <c r="K730">
        <f>IMPRODUCT("2",IMDIV("1",IMSUM(IMDIV("1",COMPLEX(CMC_DCR,B730*CMC_L*(1-CMC_K))),COMPLEX(0,B730*CMC_CPA))))</f>
        <v>0</v>
      </c>
      <c r="L730">
        <f>IMSUM(COMPLEX(0,B730*CMC_CLINE),IMDIV("1",IMPRODUCT("2",COMPLEX(CY_ESR,B730*CY_ESL-1/(B730*CY_C)))),COMPLEX(1/DUMMY_R,0))</f>
        <v>0</v>
      </c>
      <c r="M730">
        <f>IMSUM(D730,IMDIV("1",C730))</f>
        <v>0</v>
      </c>
      <c r="N730">
        <f>IMDIV("1",IMSUM(E730,IMDIV("1",M730)))</f>
        <v>0</v>
      </c>
      <c r="O730">
        <f>IMSUM(F730,N730)</f>
        <v>0</v>
      </c>
      <c r="P730">
        <f>IMDIV("1",IMSUM(G730,IMDIV("1",O730)))</f>
        <v>0</v>
      </c>
      <c r="Q730">
        <f>IMSUM(H730,P730)</f>
        <v>0</v>
      </c>
      <c r="R730">
        <f>IMDIV("1",IMSUM(I730,IMDIV("1",Q730)))</f>
        <v>0</v>
      </c>
      <c r="S730">
        <f>IMSUM(J730,R730)</f>
        <v>0</v>
      </c>
      <c r="T730">
        <f>IMDIV("1",IMSUM(K730,IMDIV("1",S730)))</f>
        <v>0</v>
      </c>
      <c r="U730">
        <f>IMSUM(L730,T730)</f>
        <v>0</v>
      </c>
      <c r="V730">
        <f>IMDIV(COMPLEX(I_DM_SOURCE,0),U730)</f>
        <v>0</v>
      </c>
      <c r="W730">
        <f>IMPRODUCT(V730,T730)</f>
        <v>0</v>
      </c>
      <c r="X730">
        <f>IMDIV(W730,S730)</f>
        <v>0</v>
      </c>
      <c r="Y730">
        <f>IMPRODUCT(X730,R730)</f>
        <v>0</v>
      </c>
      <c r="Z730">
        <f>IMDIV(Y730,Q730)</f>
        <v>0</v>
      </c>
      <c r="AA730">
        <f>IMPRODUCT(Z730,P730)</f>
        <v>0</v>
      </c>
      <c r="AB730">
        <f>AA730</f>
        <v>0</v>
      </c>
      <c r="AC730">
        <f>IMPRODUCT("-1",AB730)</f>
        <v>0</v>
      </c>
      <c r="AD730">
        <f>IMDIV(IMSUB(AB730,AC730),"2")</f>
        <v>0</v>
      </c>
      <c r="AE730" s="6">
        <f>IMABS(AB730)</f>
        <v>0</v>
      </c>
      <c r="AF730" s="6">
        <f>IMABS(AC730)</f>
        <v>0</v>
      </c>
      <c r="AG730" s="6">
        <f>IMABS(AD730)</f>
        <v>0</v>
      </c>
      <c r="AH730" s="7">
        <f>20*LOG10(MAX(AE730,1E-300)*1E6)</f>
        <v>0</v>
      </c>
      <c r="AI730" s="7">
        <f>20*LOG10(MAX(AF730,1E-300)*1E6)</f>
        <v>0</v>
      </c>
      <c r="AJ730" s="7">
        <f>20*LOG10(MAX(AG730,1E-300)*1E6)</f>
        <v>0</v>
      </c>
      <c r="AK730" s="7">
        <f>DEGREES(IMARGUMENT(AB730))</f>
        <v>0</v>
      </c>
      <c r="AL730" s="7">
        <f>DEGREES(IMARGUMENT(AC730))</f>
        <v>0</v>
      </c>
      <c r="AM730" s="7">
        <f>DEGREES(IMARGUMENT(AD730))</f>
        <v>0</v>
      </c>
    </row>
    <row r="731" spans="1:39">
      <c r="A731" s="6">
        <f>10^(LOG10(F_START)+(ROW()-ROW($A$2))*(LOG10(F_STOP)-LOG10(F_START))/(N_POINTS-1))</f>
        <v>0</v>
      </c>
      <c r="B731" s="6">
        <f>2*PI()*A731</f>
        <v>0</v>
      </c>
      <c r="C731">
        <f>COMPLEX(2*LINE_PS_DCR,2*B731*LINE_PS_L)</f>
        <v>0</v>
      </c>
      <c r="D731">
        <f>IMSUM(COMPLEX(0,B731*(LINE_PS_CLINE+LINE_PS_CCHA/2)),IMDIV("1",IMPRODUCT("2",COMPLEX(C_THROUGH_ESR,B731*C_THROUGH_ESL-1/(B731*C_THROUGH_C)))))</f>
        <v>0</v>
      </c>
      <c r="E731">
        <f>COMPLEX(2*LINE_INPUT_DCR,2*B731*LINE_INPUT_L)</f>
        <v>0</v>
      </c>
      <c r="F731">
        <f>COMPLEX(0,B731*(LINE_INPUT_CLINE+LINE_INPUT_CCHA/2))</f>
        <v>0</v>
      </c>
      <c r="G731">
        <f>IMPRODUCT("2",IMDIV("1",IMSUM(IMDIV("1",COMPLEX(LDM1_DCR,B731*LDM1_L)),COMPLEX(0,B731*LDM1_CPA))))</f>
        <v>0</v>
      </c>
      <c r="H731">
        <f>IMSUM(IMDIV("1",COMPLEX(CX1_ESR,B731*CX1_ESL-1/(B731*CX1_C))),IMDIV("1",IMSUM(COMPLEX(DUMP1_R,0),COMPLEX(DUMP1_ESR,B731*DUMP1_ESL-1/(B731*DUMP1_C)))))</f>
        <v>0</v>
      </c>
      <c r="I731">
        <f>IMPRODUCT("2",IMDIV("1",IMSUM(IMDIV("1",COMPLEX(LDM2_DCR,B731*LDM2_L)),COMPLEX(0,B731*LDM2_CPA))))</f>
        <v>0</v>
      </c>
      <c r="J731">
        <f>IMSUM(IMDIV("1",COMPLEX(CX2_ESR,B731*CX2_ESL-1/(B731*CX2_C))),IMDIV("1",IMSUM(COMPLEX(DUMP2_R,0),COMPLEX(DUMP2_ESR,B731*DUMP2_ESL-1/(B731*DUMP2_C)))))</f>
        <v>0</v>
      </c>
      <c r="K731">
        <f>IMPRODUCT("2",IMDIV("1",IMSUM(IMDIV("1",COMPLEX(CMC_DCR,B731*CMC_L*(1-CMC_K))),COMPLEX(0,B731*CMC_CPA))))</f>
        <v>0</v>
      </c>
      <c r="L731">
        <f>IMSUM(COMPLEX(0,B731*CMC_CLINE),IMDIV("1",IMPRODUCT("2",COMPLEX(CY_ESR,B731*CY_ESL-1/(B731*CY_C)))),COMPLEX(1/DUMMY_R,0))</f>
        <v>0</v>
      </c>
      <c r="M731">
        <f>IMSUM(D731,IMDIV("1",C731))</f>
        <v>0</v>
      </c>
      <c r="N731">
        <f>IMDIV("1",IMSUM(E731,IMDIV("1",M731)))</f>
        <v>0</v>
      </c>
      <c r="O731">
        <f>IMSUM(F731,N731)</f>
        <v>0</v>
      </c>
      <c r="P731">
        <f>IMDIV("1",IMSUM(G731,IMDIV("1",O731)))</f>
        <v>0</v>
      </c>
      <c r="Q731">
        <f>IMSUM(H731,P731)</f>
        <v>0</v>
      </c>
      <c r="R731">
        <f>IMDIV("1",IMSUM(I731,IMDIV("1",Q731)))</f>
        <v>0</v>
      </c>
      <c r="S731">
        <f>IMSUM(J731,R731)</f>
        <v>0</v>
      </c>
      <c r="T731">
        <f>IMDIV("1",IMSUM(K731,IMDIV("1",S731)))</f>
        <v>0</v>
      </c>
      <c r="U731">
        <f>IMSUM(L731,T731)</f>
        <v>0</v>
      </c>
      <c r="V731">
        <f>IMDIV(COMPLEX(I_DM_SOURCE,0),U731)</f>
        <v>0</v>
      </c>
      <c r="W731">
        <f>IMPRODUCT(V731,T731)</f>
        <v>0</v>
      </c>
      <c r="X731">
        <f>IMDIV(W731,S731)</f>
        <v>0</v>
      </c>
      <c r="Y731">
        <f>IMPRODUCT(X731,R731)</f>
        <v>0</v>
      </c>
      <c r="Z731">
        <f>IMDIV(Y731,Q731)</f>
        <v>0</v>
      </c>
      <c r="AA731">
        <f>IMPRODUCT(Z731,P731)</f>
        <v>0</v>
      </c>
      <c r="AB731">
        <f>AA731</f>
        <v>0</v>
      </c>
      <c r="AC731">
        <f>IMPRODUCT("-1",AB731)</f>
        <v>0</v>
      </c>
      <c r="AD731">
        <f>IMDIV(IMSUB(AB731,AC731),"2")</f>
        <v>0</v>
      </c>
      <c r="AE731" s="6">
        <f>IMABS(AB731)</f>
        <v>0</v>
      </c>
      <c r="AF731" s="6">
        <f>IMABS(AC731)</f>
        <v>0</v>
      </c>
      <c r="AG731" s="6">
        <f>IMABS(AD731)</f>
        <v>0</v>
      </c>
      <c r="AH731" s="7">
        <f>20*LOG10(MAX(AE731,1E-300)*1E6)</f>
        <v>0</v>
      </c>
      <c r="AI731" s="7">
        <f>20*LOG10(MAX(AF731,1E-300)*1E6)</f>
        <v>0</v>
      </c>
      <c r="AJ731" s="7">
        <f>20*LOG10(MAX(AG731,1E-300)*1E6)</f>
        <v>0</v>
      </c>
      <c r="AK731" s="7">
        <f>DEGREES(IMARGUMENT(AB731))</f>
        <v>0</v>
      </c>
      <c r="AL731" s="7">
        <f>DEGREES(IMARGUMENT(AC731))</f>
        <v>0</v>
      </c>
      <c r="AM731" s="7">
        <f>DEGREES(IMARGUMENT(AD731))</f>
        <v>0</v>
      </c>
    </row>
    <row r="732" spans="1:39">
      <c r="A732" s="6">
        <f>10^(LOG10(F_START)+(ROW()-ROW($A$2))*(LOG10(F_STOP)-LOG10(F_START))/(N_POINTS-1))</f>
        <v>0</v>
      </c>
      <c r="B732" s="6">
        <f>2*PI()*A732</f>
        <v>0</v>
      </c>
      <c r="C732">
        <f>COMPLEX(2*LINE_PS_DCR,2*B732*LINE_PS_L)</f>
        <v>0</v>
      </c>
      <c r="D732">
        <f>IMSUM(COMPLEX(0,B732*(LINE_PS_CLINE+LINE_PS_CCHA/2)),IMDIV("1",IMPRODUCT("2",COMPLEX(C_THROUGH_ESR,B732*C_THROUGH_ESL-1/(B732*C_THROUGH_C)))))</f>
        <v>0</v>
      </c>
      <c r="E732">
        <f>COMPLEX(2*LINE_INPUT_DCR,2*B732*LINE_INPUT_L)</f>
        <v>0</v>
      </c>
      <c r="F732">
        <f>COMPLEX(0,B732*(LINE_INPUT_CLINE+LINE_INPUT_CCHA/2))</f>
        <v>0</v>
      </c>
      <c r="G732">
        <f>IMPRODUCT("2",IMDIV("1",IMSUM(IMDIV("1",COMPLEX(LDM1_DCR,B732*LDM1_L)),COMPLEX(0,B732*LDM1_CPA))))</f>
        <v>0</v>
      </c>
      <c r="H732">
        <f>IMSUM(IMDIV("1",COMPLEX(CX1_ESR,B732*CX1_ESL-1/(B732*CX1_C))),IMDIV("1",IMSUM(COMPLEX(DUMP1_R,0),COMPLEX(DUMP1_ESR,B732*DUMP1_ESL-1/(B732*DUMP1_C)))))</f>
        <v>0</v>
      </c>
      <c r="I732">
        <f>IMPRODUCT("2",IMDIV("1",IMSUM(IMDIV("1",COMPLEX(LDM2_DCR,B732*LDM2_L)),COMPLEX(0,B732*LDM2_CPA))))</f>
        <v>0</v>
      </c>
      <c r="J732">
        <f>IMSUM(IMDIV("1",COMPLEX(CX2_ESR,B732*CX2_ESL-1/(B732*CX2_C))),IMDIV("1",IMSUM(COMPLEX(DUMP2_R,0),COMPLEX(DUMP2_ESR,B732*DUMP2_ESL-1/(B732*DUMP2_C)))))</f>
        <v>0</v>
      </c>
      <c r="K732">
        <f>IMPRODUCT("2",IMDIV("1",IMSUM(IMDIV("1",COMPLEX(CMC_DCR,B732*CMC_L*(1-CMC_K))),COMPLEX(0,B732*CMC_CPA))))</f>
        <v>0</v>
      </c>
      <c r="L732">
        <f>IMSUM(COMPLEX(0,B732*CMC_CLINE),IMDIV("1",IMPRODUCT("2",COMPLEX(CY_ESR,B732*CY_ESL-1/(B732*CY_C)))),COMPLEX(1/DUMMY_R,0))</f>
        <v>0</v>
      </c>
      <c r="M732">
        <f>IMSUM(D732,IMDIV("1",C732))</f>
        <v>0</v>
      </c>
      <c r="N732">
        <f>IMDIV("1",IMSUM(E732,IMDIV("1",M732)))</f>
        <v>0</v>
      </c>
      <c r="O732">
        <f>IMSUM(F732,N732)</f>
        <v>0</v>
      </c>
      <c r="P732">
        <f>IMDIV("1",IMSUM(G732,IMDIV("1",O732)))</f>
        <v>0</v>
      </c>
      <c r="Q732">
        <f>IMSUM(H732,P732)</f>
        <v>0</v>
      </c>
      <c r="R732">
        <f>IMDIV("1",IMSUM(I732,IMDIV("1",Q732)))</f>
        <v>0</v>
      </c>
      <c r="S732">
        <f>IMSUM(J732,R732)</f>
        <v>0</v>
      </c>
      <c r="T732">
        <f>IMDIV("1",IMSUM(K732,IMDIV("1",S732)))</f>
        <v>0</v>
      </c>
      <c r="U732">
        <f>IMSUM(L732,T732)</f>
        <v>0</v>
      </c>
      <c r="V732">
        <f>IMDIV(COMPLEX(I_DM_SOURCE,0),U732)</f>
        <v>0</v>
      </c>
      <c r="W732">
        <f>IMPRODUCT(V732,T732)</f>
        <v>0</v>
      </c>
      <c r="X732">
        <f>IMDIV(W732,S732)</f>
        <v>0</v>
      </c>
      <c r="Y732">
        <f>IMPRODUCT(X732,R732)</f>
        <v>0</v>
      </c>
      <c r="Z732">
        <f>IMDIV(Y732,Q732)</f>
        <v>0</v>
      </c>
      <c r="AA732">
        <f>IMPRODUCT(Z732,P732)</f>
        <v>0</v>
      </c>
      <c r="AB732">
        <f>AA732</f>
        <v>0</v>
      </c>
      <c r="AC732">
        <f>IMPRODUCT("-1",AB732)</f>
        <v>0</v>
      </c>
      <c r="AD732">
        <f>IMDIV(IMSUB(AB732,AC732),"2")</f>
        <v>0</v>
      </c>
      <c r="AE732" s="6">
        <f>IMABS(AB732)</f>
        <v>0</v>
      </c>
      <c r="AF732" s="6">
        <f>IMABS(AC732)</f>
        <v>0</v>
      </c>
      <c r="AG732" s="6">
        <f>IMABS(AD732)</f>
        <v>0</v>
      </c>
      <c r="AH732" s="7">
        <f>20*LOG10(MAX(AE732,1E-300)*1E6)</f>
        <v>0</v>
      </c>
      <c r="AI732" s="7">
        <f>20*LOG10(MAX(AF732,1E-300)*1E6)</f>
        <v>0</v>
      </c>
      <c r="AJ732" s="7">
        <f>20*LOG10(MAX(AG732,1E-300)*1E6)</f>
        <v>0</v>
      </c>
      <c r="AK732" s="7">
        <f>DEGREES(IMARGUMENT(AB732))</f>
        <v>0</v>
      </c>
      <c r="AL732" s="7">
        <f>DEGREES(IMARGUMENT(AC732))</f>
        <v>0</v>
      </c>
      <c r="AM732" s="7">
        <f>DEGREES(IMARGUMENT(AD732))</f>
        <v>0</v>
      </c>
    </row>
    <row r="733" spans="1:39">
      <c r="A733" s="6">
        <f>10^(LOG10(F_START)+(ROW()-ROW($A$2))*(LOG10(F_STOP)-LOG10(F_START))/(N_POINTS-1))</f>
        <v>0</v>
      </c>
      <c r="B733" s="6">
        <f>2*PI()*A733</f>
        <v>0</v>
      </c>
      <c r="C733">
        <f>COMPLEX(2*LINE_PS_DCR,2*B733*LINE_PS_L)</f>
        <v>0</v>
      </c>
      <c r="D733">
        <f>IMSUM(COMPLEX(0,B733*(LINE_PS_CLINE+LINE_PS_CCHA/2)),IMDIV("1",IMPRODUCT("2",COMPLEX(C_THROUGH_ESR,B733*C_THROUGH_ESL-1/(B733*C_THROUGH_C)))))</f>
        <v>0</v>
      </c>
      <c r="E733">
        <f>COMPLEX(2*LINE_INPUT_DCR,2*B733*LINE_INPUT_L)</f>
        <v>0</v>
      </c>
      <c r="F733">
        <f>COMPLEX(0,B733*(LINE_INPUT_CLINE+LINE_INPUT_CCHA/2))</f>
        <v>0</v>
      </c>
      <c r="G733">
        <f>IMPRODUCT("2",IMDIV("1",IMSUM(IMDIV("1",COMPLEX(LDM1_DCR,B733*LDM1_L)),COMPLEX(0,B733*LDM1_CPA))))</f>
        <v>0</v>
      </c>
      <c r="H733">
        <f>IMSUM(IMDIV("1",COMPLEX(CX1_ESR,B733*CX1_ESL-1/(B733*CX1_C))),IMDIV("1",IMSUM(COMPLEX(DUMP1_R,0),COMPLEX(DUMP1_ESR,B733*DUMP1_ESL-1/(B733*DUMP1_C)))))</f>
        <v>0</v>
      </c>
      <c r="I733">
        <f>IMPRODUCT("2",IMDIV("1",IMSUM(IMDIV("1",COMPLEX(LDM2_DCR,B733*LDM2_L)),COMPLEX(0,B733*LDM2_CPA))))</f>
        <v>0</v>
      </c>
      <c r="J733">
        <f>IMSUM(IMDIV("1",COMPLEX(CX2_ESR,B733*CX2_ESL-1/(B733*CX2_C))),IMDIV("1",IMSUM(COMPLEX(DUMP2_R,0),COMPLEX(DUMP2_ESR,B733*DUMP2_ESL-1/(B733*DUMP2_C)))))</f>
        <v>0</v>
      </c>
      <c r="K733">
        <f>IMPRODUCT("2",IMDIV("1",IMSUM(IMDIV("1",COMPLEX(CMC_DCR,B733*CMC_L*(1-CMC_K))),COMPLEX(0,B733*CMC_CPA))))</f>
        <v>0</v>
      </c>
      <c r="L733">
        <f>IMSUM(COMPLEX(0,B733*CMC_CLINE),IMDIV("1",IMPRODUCT("2",COMPLEX(CY_ESR,B733*CY_ESL-1/(B733*CY_C)))),COMPLEX(1/DUMMY_R,0))</f>
        <v>0</v>
      </c>
      <c r="M733">
        <f>IMSUM(D733,IMDIV("1",C733))</f>
        <v>0</v>
      </c>
      <c r="N733">
        <f>IMDIV("1",IMSUM(E733,IMDIV("1",M733)))</f>
        <v>0</v>
      </c>
      <c r="O733">
        <f>IMSUM(F733,N733)</f>
        <v>0</v>
      </c>
      <c r="P733">
        <f>IMDIV("1",IMSUM(G733,IMDIV("1",O733)))</f>
        <v>0</v>
      </c>
      <c r="Q733">
        <f>IMSUM(H733,P733)</f>
        <v>0</v>
      </c>
      <c r="R733">
        <f>IMDIV("1",IMSUM(I733,IMDIV("1",Q733)))</f>
        <v>0</v>
      </c>
      <c r="S733">
        <f>IMSUM(J733,R733)</f>
        <v>0</v>
      </c>
      <c r="T733">
        <f>IMDIV("1",IMSUM(K733,IMDIV("1",S733)))</f>
        <v>0</v>
      </c>
      <c r="U733">
        <f>IMSUM(L733,T733)</f>
        <v>0</v>
      </c>
      <c r="V733">
        <f>IMDIV(COMPLEX(I_DM_SOURCE,0),U733)</f>
        <v>0</v>
      </c>
      <c r="W733">
        <f>IMPRODUCT(V733,T733)</f>
        <v>0</v>
      </c>
      <c r="X733">
        <f>IMDIV(W733,S733)</f>
        <v>0</v>
      </c>
      <c r="Y733">
        <f>IMPRODUCT(X733,R733)</f>
        <v>0</v>
      </c>
      <c r="Z733">
        <f>IMDIV(Y733,Q733)</f>
        <v>0</v>
      </c>
      <c r="AA733">
        <f>IMPRODUCT(Z733,P733)</f>
        <v>0</v>
      </c>
      <c r="AB733">
        <f>AA733</f>
        <v>0</v>
      </c>
      <c r="AC733">
        <f>IMPRODUCT("-1",AB733)</f>
        <v>0</v>
      </c>
      <c r="AD733">
        <f>IMDIV(IMSUB(AB733,AC733),"2")</f>
        <v>0</v>
      </c>
      <c r="AE733" s="6">
        <f>IMABS(AB733)</f>
        <v>0</v>
      </c>
      <c r="AF733" s="6">
        <f>IMABS(AC733)</f>
        <v>0</v>
      </c>
      <c r="AG733" s="6">
        <f>IMABS(AD733)</f>
        <v>0</v>
      </c>
      <c r="AH733" s="7">
        <f>20*LOG10(MAX(AE733,1E-300)*1E6)</f>
        <v>0</v>
      </c>
      <c r="AI733" s="7">
        <f>20*LOG10(MAX(AF733,1E-300)*1E6)</f>
        <v>0</v>
      </c>
      <c r="AJ733" s="7">
        <f>20*LOG10(MAX(AG733,1E-300)*1E6)</f>
        <v>0</v>
      </c>
      <c r="AK733" s="7">
        <f>DEGREES(IMARGUMENT(AB733))</f>
        <v>0</v>
      </c>
      <c r="AL733" s="7">
        <f>DEGREES(IMARGUMENT(AC733))</f>
        <v>0</v>
      </c>
      <c r="AM733" s="7">
        <f>DEGREES(IMARGUMENT(AD733))</f>
        <v>0</v>
      </c>
    </row>
    <row r="734" spans="1:39">
      <c r="A734" s="6">
        <f>10^(LOG10(F_START)+(ROW()-ROW($A$2))*(LOG10(F_STOP)-LOG10(F_START))/(N_POINTS-1))</f>
        <v>0</v>
      </c>
      <c r="B734" s="6">
        <f>2*PI()*A734</f>
        <v>0</v>
      </c>
      <c r="C734">
        <f>COMPLEX(2*LINE_PS_DCR,2*B734*LINE_PS_L)</f>
        <v>0</v>
      </c>
      <c r="D734">
        <f>IMSUM(COMPLEX(0,B734*(LINE_PS_CLINE+LINE_PS_CCHA/2)),IMDIV("1",IMPRODUCT("2",COMPLEX(C_THROUGH_ESR,B734*C_THROUGH_ESL-1/(B734*C_THROUGH_C)))))</f>
        <v>0</v>
      </c>
      <c r="E734">
        <f>COMPLEX(2*LINE_INPUT_DCR,2*B734*LINE_INPUT_L)</f>
        <v>0</v>
      </c>
      <c r="F734">
        <f>COMPLEX(0,B734*(LINE_INPUT_CLINE+LINE_INPUT_CCHA/2))</f>
        <v>0</v>
      </c>
      <c r="G734">
        <f>IMPRODUCT("2",IMDIV("1",IMSUM(IMDIV("1",COMPLEX(LDM1_DCR,B734*LDM1_L)),COMPLEX(0,B734*LDM1_CPA))))</f>
        <v>0</v>
      </c>
      <c r="H734">
        <f>IMSUM(IMDIV("1",COMPLEX(CX1_ESR,B734*CX1_ESL-1/(B734*CX1_C))),IMDIV("1",IMSUM(COMPLEX(DUMP1_R,0),COMPLEX(DUMP1_ESR,B734*DUMP1_ESL-1/(B734*DUMP1_C)))))</f>
        <v>0</v>
      </c>
      <c r="I734">
        <f>IMPRODUCT("2",IMDIV("1",IMSUM(IMDIV("1",COMPLEX(LDM2_DCR,B734*LDM2_L)),COMPLEX(0,B734*LDM2_CPA))))</f>
        <v>0</v>
      </c>
      <c r="J734">
        <f>IMSUM(IMDIV("1",COMPLEX(CX2_ESR,B734*CX2_ESL-1/(B734*CX2_C))),IMDIV("1",IMSUM(COMPLEX(DUMP2_R,0),COMPLEX(DUMP2_ESR,B734*DUMP2_ESL-1/(B734*DUMP2_C)))))</f>
        <v>0</v>
      </c>
      <c r="K734">
        <f>IMPRODUCT("2",IMDIV("1",IMSUM(IMDIV("1",COMPLEX(CMC_DCR,B734*CMC_L*(1-CMC_K))),COMPLEX(0,B734*CMC_CPA))))</f>
        <v>0</v>
      </c>
      <c r="L734">
        <f>IMSUM(COMPLEX(0,B734*CMC_CLINE),IMDIV("1",IMPRODUCT("2",COMPLEX(CY_ESR,B734*CY_ESL-1/(B734*CY_C)))),COMPLEX(1/DUMMY_R,0))</f>
        <v>0</v>
      </c>
      <c r="M734">
        <f>IMSUM(D734,IMDIV("1",C734))</f>
        <v>0</v>
      </c>
      <c r="N734">
        <f>IMDIV("1",IMSUM(E734,IMDIV("1",M734)))</f>
        <v>0</v>
      </c>
      <c r="O734">
        <f>IMSUM(F734,N734)</f>
        <v>0</v>
      </c>
      <c r="P734">
        <f>IMDIV("1",IMSUM(G734,IMDIV("1",O734)))</f>
        <v>0</v>
      </c>
      <c r="Q734">
        <f>IMSUM(H734,P734)</f>
        <v>0</v>
      </c>
      <c r="R734">
        <f>IMDIV("1",IMSUM(I734,IMDIV("1",Q734)))</f>
        <v>0</v>
      </c>
      <c r="S734">
        <f>IMSUM(J734,R734)</f>
        <v>0</v>
      </c>
      <c r="T734">
        <f>IMDIV("1",IMSUM(K734,IMDIV("1",S734)))</f>
        <v>0</v>
      </c>
      <c r="U734">
        <f>IMSUM(L734,T734)</f>
        <v>0</v>
      </c>
      <c r="V734">
        <f>IMDIV(COMPLEX(I_DM_SOURCE,0),U734)</f>
        <v>0</v>
      </c>
      <c r="W734">
        <f>IMPRODUCT(V734,T734)</f>
        <v>0</v>
      </c>
      <c r="X734">
        <f>IMDIV(W734,S734)</f>
        <v>0</v>
      </c>
      <c r="Y734">
        <f>IMPRODUCT(X734,R734)</f>
        <v>0</v>
      </c>
      <c r="Z734">
        <f>IMDIV(Y734,Q734)</f>
        <v>0</v>
      </c>
      <c r="AA734">
        <f>IMPRODUCT(Z734,P734)</f>
        <v>0</v>
      </c>
      <c r="AB734">
        <f>AA734</f>
        <v>0</v>
      </c>
      <c r="AC734">
        <f>IMPRODUCT("-1",AB734)</f>
        <v>0</v>
      </c>
      <c r="AD734">
        <f>IMDIV(IMSUB(AB734,AC734),"2")</f>
        <v>0</v>
      </c>
      <c r="AE734" s="6">
        <f>IMABS(AB734)</f>
        <v>0</v>
      </c>
      <c r="AF734" s="6">
        <f>IMABS(AC734)</f>
        <v>0</v>
      </c>
      <c r="AG734" s="6">
        <f>IMABS(AD734)</f>
        <v>0</v>
      </c>
      <c r="AH734" s="7">
        <f>20*LOG10(MAX(AE734,1E-300)*1E6)</f>
        <v>0</v>
      </c>
      <c r="AI734" s="7">
        <f>20*LOG10(MAX(AF734,1E-300)*1E6)</f>
        <v>0</v>
      </c>
      <c r="AJ734" s="7">
        <f>20*LOG10(MAX(AG734,1E-300)*1E6)</f>
        <v>0</v>
      </c>
      <c r="AK734" s="7">
        <f>DEGREES(IMARGUMENT(AB734))</f>
        <v>0</v>
      </c>
      <c r="AL734" s="7">
        <f>DEGREES(IMARGUMENT(AC734))</f>
        <v>0</v>
      </c>
      <c r="AM734" s="7">
        <f>DEGREES(IMARGUMENT(AD734))</f>
        <v>0</v>
      </c>
    </row>
    <row r="735" spans="1:39">
      <c r="A735" s="6">
        <f>10^(LOG10(F_START)+(ROW()-ROW($A$2))*(LOG10(F_STOP)-LOG10(F_START))/(N_POINTS-1))</f>
        <v>0</v>
      </c>
      <c r="B735" s="6">
        <f>2*PI()*A735</f>
        <v>0</v>
      </c>
      <c r="C735">
        <f>COMPLEX(2*LINE_PS_DCR,2*B735*LINE_PS_L)</f>
        <v>0</v>
      </c>
      <c r="D735">
        <f>IMSUM(COMPLEX(0,B735*(LINE_PS_CLINE+LINE_PS_CCHA/2)),IMDIV("1",IMPRODUCT("2",COMPLEX(C_THROUGH_ESR,B735*C_THROUGH_ESL-1/(B735*C_THROUGH_C)))))</f>
        <v>0</v>
      </c>
      <c r="E735">
        <f>COMPLEX(2*LINE_INPUT_DCR,2*B735*LINE_INPUT_L)</f>
        <v>0</v>
      </c>
      <c r="F735">
        <f>COMPLEX(0,B735*(LINE_INPUT_CLINE+LINE_INPUT_CCHA/2))</f>
        <v>0</v>
      </c>
      <c r="G735">
        <f>IMPRODUCT("2",IMDIV("1",IMSUM(IMDIV("1",COMPLEX(LDM1_DCR,B735*LDM1_L)),COMPLEX(0,B735*LDM1_CPA))))</f>
        <v>0</v>
      </c>
      <c r="H735">
        <f>IMSUM(IMDIV("1",COMPLEX(CX1_ESR,B735*CX1_ESL-1/(B735*CX1_C))),IMDIV("1",IMSUM(COMPLEX(DUMP1_R,0),COMPLEX(DUMP1_ESR,B735*DUMP1_ESL-1/(B735*DUMP1_C)))))</f>
        <v>0</v>
      </c>
      <c r="I735">
        <f>IMPRODUCT("2",IMDIV("1",IMSUM(IMDIV("1",COMPLEX(LDM2_DCR,B735*LDM2_L)),COMPLEX(0,B735*LDM2_CPA))))</f>
        <v>0</v>
      </c>
      <c r="J735">
        <f>IMSUM(IMDIV("1",COMPLEX(CX2_ESR,B735*CX2_ESL-1/(B735*CX2_C))),IMDIV("1",IMSUM(COMPLEX(DUMP2_R,0),COMPLEX(DUMP2_ESR,B735*DUMP2_ESL-1/(B735*DUMP2_C)))))</f>
        <v>0</v>
      </c>
      <c r="K735">
        <f>IMPRODUCT("2",IMDIV("1",IMSUM(IMDIV("1",COMPLEX(CMC_DCR,B735*CMC_L*(1-CMC_K))),COMPLEX(0,B735*CMC_CPA))))</f>
        <v>0</v>
      </c>
      <c r="L735">
        <f>IMSUM(COMPLEX(0,B735*CMC_CLINE),IMDIV("1",IMPRODUCT("2",COMPLEX(CY_ESR,B735*CY_ESL-1/(B735*CY_C)))),COMPLEX(1/DUMMY_R,0))</f>
        <v>0</v>
      </c>
      <c r="M735">
        <f>IMSUM(D735,IMDIV("1",C735))</f>
        <v>0</v>
      </c>
      <c r="N735">
        <f>IMDIV("1",IMSUM(E735,IMDIV("1",M735)))</f>
        <v>0</v>
      </c>
      <c r="O735">
        <f>IMSUM(F735,N735)</f>
        <v>0</v>
      </c>
      <c r="P735">
        <f>IMDIV("1",IMSUM(G735,IMDIV("1",O735)))</f>
        <v>0</v>
      </c>
      <c r="Q735">
        <f>IMSUM(H735,P735)</f>
        <v>0</v>
      </c>
      <c r="R735">
        <f>IMDIV("1",IMSUM(I735,IMDIV("1",Q735)))</f>
        <v>0</v>
      </c>
      <c r="S735">
        <f>IMSUM(J735,R735)</f>
        <v>0</v>
      </c>
      <c r="T735">
        <f>IMDIV("1",IMSUM(K735,IMDIV("1",S735)))</f>
        <v>0</v>
      </c>
      <c r="U735">
        <f>IMSUM(L735,T735)</f>
        <v>0</v>
      </c>
      <c r="V735">
        <f>IMDIV(COMPLEX(I_DM_SOURCE,0),U735)</f>
        <v>0</v>
      </c>
      <c r="W735">
        <f>IMPRODUCT(V735,T735)</f>
        <v>0</v>
      </c>
      <c r="X735">
        <f>IMDIV(W735,S735)</f>
        <v>0</v>
      </c>
      <c r="Y735">
        <f>IMPRODUCT(X735,R735)</f>
        <v>0</v>
      </c>
      <c r="Z735">
        <f>IMDIV(Y735,Q735)</f>
        <v>0</v>
      </c>
      <c r="AA735">
        <f>IMPRODUCT(Z735,P735)</f>
        <v>0</v>
      </c>
      <c r="AB735">
        <f>AA735</f>
        <v>0</v>
      </c>
      <c r="AC735">
        <f>IMPRODUCT("-1",AB735)</f>
        <v>0</v>
      </c>
      <c r="AD735">
        <f>IMDIV(IMSUB(AB735,AC735),"2")</f>
        <v>0</v>
      </c>
      <c r="AE735" s="6">
        <f>IMABS(AB735)</f>
        <v>0</v>
      </c>
      <c r="AF735" s="6">
        <f>IMABS(AC735)</f>
        <v>0</v>
      </c>
      <c r="AG735" s="6">
        <f>IMABS(AD735)</f>
        <v>0</v>
      </c>
      <c r="AH735" s="7">
        <f>20*LOG10(MAX(AE735,1E-300)*1E6)</f>
        <v>0</v>
      </c>
      <c r="AI735" s="7">
        <f>20*LOG10(MAX(AF735,1E-300)*1E6)</f>
        <v>0</v>
      </c>
      <c r="AJ735" s="7">
        <f>20*LOG10(MAX(AG735,1E-300)*1E6)</f>
        <v>0</v>
      </c>
      <c r="AK735" s="7">
        <f>DEGREES(IMARGUMENT(AB735))</f>
        <v>0</v>
      </c>
      <c r="AL735" s="7">
        <f>DEGREES(IMARGUMENT(AC735))</f>
        <v>0</v>
      </c>
      <c r="AM735" s="7">
        <f>DEGREES(IMARGUMENT(AD735))</f>
        <v>0</v>
      </c>
    </row>
    <row r="736" spans="1:39">
      <c r="A736" s="6">
        <f>10^(LOG10(F_START)+(ROW()-ROW($A$2))*(LOG10(F_STOP)-LOG10(F_START))/(N_POINTS-1))</f>
        <v>0</v>
      </c>
      <c r="B736" s="6">
        <f>2*PI()*A736</f>
        <v>0</v>
      </c>
      <c r="C736">
        <f>COMPLEX(2*LINE_PS_DCR,2*B736*LINE_PS_L)</f>
        <v>0</v>
      </c>
      <c r="D736">
        <f>IMSUM(COMPLEX(0,B736*(LINE_PS_CLINE+LINE_PS_CCHA/2)),IMDIV("1",IMPRODUCT("2",COMPLEX(C_THROUGH_ESR,B736*C_THROUGH_ESL-1/(B736*C_THROUGH_C)))))</f>
        <v>0</v>
      </c>
      <c r="E736">
        <f>COMPLEX(2*LINE_INPUT_DCR,2*B736*LINE_INPUT_L)</f>
        <v>0</v>
      </c>
      <c r="F736">
        <f>COMPLEX(0,B736*(LINE_INPUT_CLINE+LINE_INPUT_CCHA/2))</f>
        <v>0</v>
      </c>
      <c r="G736">
        <f>IMPRODUCT("2",IMDIV("1",IMSUM(IMDIV("1",COMPLEX(LDM1_DCR,B736*LDM1_L)),COMPLEX(0,B736*LDM1_CPA))))</f>
        <v>0</v>
      </c>
      <c r="H736">
        <f>IMSUM(IMDIV("1",COMPLEX(CX1_ESR,B736*CX1_ESL-1/(B736*CX1_C))),IMDIV("1",IMSUM(COMPLEX(DUMP1_R,0),COMPLEX(DUMP1_ESR,B736*DUMP1_ESL-1/(B736*DUMP1_C)))))</f>
        <v>0</v>
      </c>
      <c r="I736">
        <f>IMPRODUCT("2",IMDIV("1",IMSUM(IMDIV("1",COMPLEX(LDM2_DCR,B736*LDM2_L)),COMPLEX(0,B736*LDM2_CPA))))</f>
        <v>0</v>
      </c>
      <c r="J736">
        <f>IMSUM(IMDIV("1",COMPLEX(CX2_ESR,B736*CX2_ESL-1/(B736*CX2_C))),IMDIV("1",IMSUM(COMPLEX(DUMP2_R,0),COMPLEX(DUMP2_ESR,B736*DUMP2_ESL-1/(B736*DUMP2_C)))))</f>
        <v>0</v>
      </c>
      <c r="K736">
        <f>IMPRODUCT("2",IMDIV("1",IMSUM(IMDIV("1",COMPLEX(CMC_DCR,B736*CMC_L*(1-CMC_K))),COMPLEX(0,B736*CMC_CPA))))</f>
        <v>0</v>
      </c>
      <c r="L736">
        <f>IMSUM(COMPLEX(0,B736*CMC_CLINE),IMDIV("1",IMPRODUCT("2",COMPLEX(CY_ESR,B736*CY_ESL-1/(B736*CY_C)))),COMPLEX(1/DUMMY_R,0))</f>
        <v>0</v>
      </c>
      <c r="M736">
        <f>IMSUM(D736,IMDIV("1",C736))</f>
        <v>0</v>
      </c>
      <c r="N736">
        <f>IMDIV("1",IMSUM(E736,IMDIV("1",M736)))</f>
        <v>0</v>
      </c>
      <c r="O736">
        <f>IMSUM(F736,N736)</f>
        <v>0</v>
      </c>
      <c r="P736">
        <f>IMDIV("1",IMSUM(G736,IMDIV("1",O736)))</f>
        <v>0</v>
      </c>
      <c r="Q736">
        <f>IMSUM(H736,P736)</f>
        <v>0</v>
      </c>
      <c r="R736">
        <f>IMDIV("1",IMSUM(I736,IMDIV("1",Q736)))</f>
        <v>0</v>
      </c>
      <c r="S736">
        <f>IMSUM(J736,R736)</f>
        <v>0</v>
      </c>
      <c r="T736">
        <f>IMDIV("1",IMSUM(K736,IMDIV("1",S736)))</f>
        <v>0</v>
      </c>
      <c r="U736">
        <f>IMSUM(L736,T736)</f>
        <v>0</v>
      </c>
      <c r="V736">
        <f>IMDIV(COMPLEX(I_DM_SOURCE,0),U736)</f>
        <v>0</v>
      </c>
      <c r="W736">
        <f>IMPRODUCT(V736,T736)</f>
        <v>0</v>
      </c>
      <c r="X736">
        <f>IMDIV(W736,S736)</f>
        <v>0</v>
      </c>
      <c r="Y736">
        <f>IMPRODUCT(X736,R736)</f>
        <v>0</v>
      </c>
      <c r="Z736">
        <f>IMDIV(Y736,Q736)</f>
        <v>0</v>
      </c>
      <c r="AA736">
        <f>IMPRODUCT(Z736,P736)</f>
        <v>0</v>
      </c>
      <c r="AB736">
        <f>AA736</f>
        <v>0</v>
      </c>
      <c r="AC736">
        <f>IMPRODUCT("-1",AB736)</f>
        <v>0</v>
      </c>
      <c r="AD736">
        <f>IMDIV(IMSUB(AB736,AC736),"2")</f>
        <v>0</v>
      </c>
      <c r="AE736" s="6">
        <f>IMABS(AB736)</f>
        <v>0</v>
      </c>
      <c r="AF736" s="6">
        <f>IMABS(AC736)</f>
        <v>0</v>
      </c>
      <c r="AG736" s="6">
        <f>IMABS(AD736)</f>
        <v>0</v>
      </c>
      <c r="AH736" s="7">
        <f>20*LOG10(MAX(AE736,1E-300)*1E6)</f>
        <v>0</v>
      </c>
      <c r="AI736" s="7">
        <f>20*LOG10(MAX(AF736,1E-300)*1E6)</f>
        <v>0</v>
      </c>
      <c r="AJ736" s="7">
        <f>20*LOG10(MAX(AG736,1E-300)*1E6)</f>
        <v>0</v>
      </c>
      <c r="AK736" s="7">
        <f>DEGREES(IMARGUMENT(AB736))</f>
        <v>0</v>
      </c>
      <c r="AL736" s="7">
        <f>DEGREES(IMARGUMENT(AC736))</f>
        <v>0</v>
      </c>
      <c r="AM736" s="7">
        <f>DEGREES(IMARGUMENT(AD736))</f>
        <v>0</v>
      </c>
    </row>
    <row r="737" spans="1:39">
      <c r="A737" s="6">
        <f>10^(LOG10(F_START)+(ROW()-ROW($A$2))*(LOG10(F_STOP)-LOG10(F_START))/(N_POINTS-1))</f>
        <v>0</v>
      </c>
      <c r="B737" s="6">
        <f>2*PI()*A737</f>
        <v>0</v>
      </c>
      <c r="C737">
        <f>COMPLEX(2*LINE_PS_DCR,2*B737*LINE_PS_L)</f>
        <v>0</v>
      </c>
      <c r="D737">
        <f>IMSUM(COMPLEX(0,B737*(LINE_PS_CLINE+LINE_PS_CCHA/2)),IMDIV("1",IMPRODUCT("2",COMPLEX(C_THROUGH_ESR,B737*C_THROUGH_ESL-1/(B737*C_THROUGH_C)))))</f>
        <v>0</v>
      </c>
      <c r="E737">
        <f>COMPLEX(2*LINE_INPUT_DCR,2*B737*LINE_INPUT_L)</f>
        <v>0</v>
      </c>
      <c r="F737">
        <f>COMPLEX(0,B737*(LINE_INPUT_CLINE+LINE_INPUT_CCHA/2))</f>
        <v>0</v>
      </c>
      <c r="G737">
        <f>IMPRODUCT("2",IMDIV("1",IMSUM(IMDIV("1",COMPLEX(LDM1_DCR,B737*LDM1_L)),COMPLEX(0,B737*LDM1_CPA))))</f>
        <v>0</v>
      </c>
      <c r="H737">
        <f>IMSUM(IMDIV("1",COMPLEX(CX1_ESR,B737*CX1_ESL-1/(B737*CX1_C))),IMDIV("1",IMSUM(COMPLEX(DUMP1_R,0),COMPLEX(DUMP1_ESR,B737*DUMP1_ESL-1/(B737*DUMP1_C)))))</f>
        <v>0</v>
      </c>
      <c r="I737">
        <f>IMPRODUCT("2",IMDIV("1",IMSUM(IMDIV("1",COMPLEX(LDM2_DCR,B737*LDM2_L)),COMPLEX(0,B737*LDM2_CPA))))</f>
        <v>0</v>
      </c>
      <c r="J737">
        <f>IMSUM(IMDIV("1",COMPLEX(CX2_ESR,B737*CX2_ESL-1/(B737*CX2_C))),IMDIV("1",IMSUM(COMPLEX(DUMP2_R,0),COMPLEX(DUMP2_ESR,B737*DUMP2_ESL-1/(B737*DUMP2_C)))))</f>
        <v>0</v>
      </c>
      <c r="K737">
        <f>IMPRODUCT("2",IMDIV("1",IMSUM(IMDIV("1",COMPLEX(CMC_DCR,B737*CMC_L*(1-CMC_K))),COMPLEX(0,B737*CMC_CPA))))</f>
        <v>0</v>
      </c>
      <c r="L737">
        <f>IMSUM(COMPLEX(0,B737*CMC_CLINE),IMDIV("1",IMPRODUCT("2",COMPLEX(CY_ESR,B737*CY_ESL-1/(B737*CY_C)))),COMPLEX(1/DUMMY_R,0))</f>
        <v>0</v>
      </c>
      <c r="M737">
        <f>IMSUM(D737,IMDIV("1",C737))</f>
        <v>0</v>
      </c>
      <c r="N737">
        <f>IMDIV("1",IMSUM(E737,IMDIV("1",M737)))</f>
        <v>0</v>
      </c>
      <c r="O737">
        <f>IMSUM(F737,N737)</f>
        <v>0</v>
      </c>
      <c r="P737">
        <f>IMDIV("1",IMSUM(G737,IMDIV("1",O737)))</f>
        <v>0</v>
      </c>
      <c r="Q737">
        <f>IMSUM(H737,P737)</f>
        <v>0</v>
      </c>
      <c r="R737">
        <f>IMDIV("1",IMSUM(I737,IMDIV("1",Q737)))</f>
        <v>0</v>
      </c>
      <c r="S737">
        <f>IMSUM(J737,R737)</f>
        <v>0</v>
      </c>
      <c r="T737">
        <f>IMDIV("1",IMSUM(K737,IMDIV("1",S737)))</f>
        <v>0</v>
      </c>
      <c r="U737">
        <f>IMSUM(L737,T737)</f>
        <v>0</v>
      </c>
      <c r="V737">
        <f>IMDIV(COMPLEX(I_DM_SOURCE,0),U737)</f>
        <v>0</v>
      </c>
      <c r="W737">
        <f>IMPRODUCT(V737,T737)</f>
        <v>0</v>
      </c>
      <c r="X737">
        <f>IMDIV(W737,S737)</f>
        <v>0</v>
      </c>
      <c r="Y737">
        <f>IMPRODUCT(X737,R737)</f>
        <v>0</v>
      </c>
      <c r="Z737">
        <f>IMDIV(Y737,Q737)</f>
        <v>0</v>
      </c>
      <c r="AA737">
        <f>IMPRODUCT(Z737,P737)</f>
        <v>0</v>
      </c>
      <c r="AB737">
        <f>AA737</f>
        <v>0</v>
      </c>
      <c r="AC737">
        <f>IMPRODUCT("-1",AB737)</f>
        <v>0</v>
      </c>
      <c r="AD737">
        <f>IMDIV(IMSUB(AB737,AC737),"2")</f>
        <v>0</v>
      </c>
      <c r="AE737" s="6">
        <f>IMABS(AB737)</f>
        <v>0</v>
      </c>
      <c r="AF737" s="6">
        <f>IMABS(AC737)</f>
        <v>0</v>
      </c>
      <c r="AG737" s="6">
        <f>IMABS(AD737)</f>
        <v>0</v>
      </c>
      <c r="AH737" s="7">
        <f>20*LOG10(MAX(AE737,1E-300)*1E6)</f>
        <v>0</v>
      </c>
      <c r="AI737" s="7">
        <f>20*LOG10(MAX(AF737,1E-300)*1E6)</f>
        <v>0</v>
      </c>
      <c r="AJ737" s="7">
        <f>20*LOG10(MAX(AG737,1E-300)*1E6)</f>
        <v>0</v>
      </c>
      <c r="AK737" s="7">
        <f>DEGREES(IMARGUMENT(AB737))</f>
        <v>0</v>
      </c>
      <c r="AL737" s="7">
        <f>DEGREES(IMARGUMENT(AC737))</f>
        <v>0</v>
      </c>
      <c r="AM737" s="7">
        <f>DEGREES(IMARGUMENT(AD737))</f>
        <v>0</v>
      </c>
    </row>
    <row r="738" spans="1:39">
      <c r="A738" s="6">
        <f>10^(LOG10(F_START)+(ROW()-ROW($A$2))*(LOG10(F_STOP)-LOG10(F_START))/(N_POINTS-1))</f>
        <v>0</v>
      </c>
      <c r="B738" s="6">
        <f>2*PI()*A738</f>
        <v>0</v>
      </c>
      <c r="C738">
        <f>COMPLEX(2*LINE_PS_DCR,2*B738*LINE_PS_L)</f>
        <v>0</v>
      </c>
      <c r="D738">
        <f>IMSUM(COMPLEX(0,B738*(LINE_PS_CLINE+LINE_PS_CCHA/2)),IMDIV("1",IMPRODUCT("2",COMPLEX(C_THROUGH_ESR,B738*C_THROUGH_ESL-1/(B738*C_THROUGH_C)))))</f>
        <v>0</v>
      </c>
      <c r="E738">
        <f>COMPLEX(2*LINE_INPUT_DCR,2*B738*LINE_INPUT_L)</f>
        <v>0</v>
      </c>
      <c r="F738">
        <f>COMPLEX(0,B738*(LINE_INPUT_CLINE+LINE_INPUT_CCHA/2))</f>
        <v>0</v>
      </c>
      <c r="G738">
        <f>IMPRODUCT("2",IMDIV("1",IMSUM(IMDIV("1",COMPLEX(LDM1_DCR,B738*LDM1_L)),COMPLEX(0,B738*LDM1_CPA))))</f>
        <v>0</v>
      </c>
      <c r="H738">
        <f>IMSUM(IMDIV("1",COMPLEX(CX1_ESR,B738*CX1_ESL-1/(B738*CX1_C))),IMDIV("1",IMSUM(COMPLEX(DUMP1_R,0),COMPLEX(DUMP1_ESR,B738*DUMP1_ESL-1/(B738*DUMP1_C)))))</f>
        <v>0</v>
      </c>
      <c r="I738">
        <f>IMPRODUCT("2",IMDIV("1",IMSUM(IMDIV("1",COMPLEX(LDM2_DCR,B738*LDM2_L)),COMPLEX(0,B738*LDM2_CPA))))</f>
        <v>0</v>
      </c>
      <c r="J738">
        <f>IMSUM(IMDIV("1",COMPLEX(CX2_ESR,B738*CX2_ESL-1/(B738*CX2_C))),IMDIV("1",IMSUM(COMPLEX(DUMP2_R,0),COMPLEX(DUMP2_ESR,B738*DUMP2_ESL-1/(B738*DUMP2_C)))))</f>
        <v>0</v>
      </c>
      <c r="K738">
        <f>IMPRODUCT("2",IMDIV("1",IMSUM(IMDIV("1",COMPLEX(CMC_DCR,B738*CMC_L*(1-CMC_K))),COMPLEX(0,B738*CMC_CPA))))</f>
        <v>0</v>
      </c>
      <c r="L738">
        <f>IMSUM(COMPLEX(0,B738*CMC_CLINE),IMDIV("1",IMPRODUCT("2",COMPLEX(CY_ESR,B738*CY_ESL-1/(B738*CY_C)))),COMPLEX(1/DUMMY_R,0))</f>
        <v>0</v>
      </c>
      <c r="M738">
        <f>IMSUM(D738,IMDIV("1",C738))</f>
        <v>0</v>
      </c>
      <c r="N738">
        <f>IMDIV("1",IMSUM(E738,IMDIV("1",M738)))</f>
        <v>0</v>
      </c>
      <c r="O738">
        <f>IMSUM(F738,N738)</f>
        <v>0</v>
      </c>
      <c r="P738">
        <f>IMDIV("1",IMSUM(G738,IMDIV("1",O738)))</f>
        <v>0</v>
      </c>
      <c r="Q738">
        <f>IMSUM(H738,P738)</f>
        <v>0</v>
      </c>
      <c r="R738">
        <f>IMDIV("1",IMSUM(I738,IMDIV("1",Q738)))</f>
        <v>0</v>
      </c>
      <c r="S738">
        <f>IMSUM(J738,R738)</f>
        <v>0</v>
      </c>
      <c r="T738">
        <f>IMDIV("1",IMSUM(K738,IMDIV("1",S738)))</f>
        <v>0</v>
      </c>
      <c r="U738">
        <f>IMSUM(L738,T738)</f>
        <v>0</v>
      </c>
      <c r="V738">
        <f>IMDIV(COMPLEX(I_DM_SOURCE,0),U738)</f>
        <v>0</v>
      </c>
      <c r="W738">
        <f>IMPRODUCT(V738,T738)</f>
        <v>0</v>
      </c>
      <c r="X738">
        <f>IMDIV(W738,S738)</f>
        <v>0</v>
      </c>
      <c r="Y738">
        <f>IMPRODUCT(X738,R738)</f>
        <v>0</v>
      </c>
      <c r="Z738">
        <f>IMDIV(Y738,Q738)</f>
        <v>0</v>
      </c>
      <c r="AA738">
        <f>IMPRODUCT(Z738,P738)</f>
        <v>0</v>
      </c>
      <c r="AB738">
        <f>AA738</f>
        <v>0</v>
      </c>
      <c r="AC738">
        <f>IMPRODUCT("-1",AB738)</f>
        <v>0</v>
      </c>
      <c r="AD738">
        <f>IMDIV(IMSUB(AB738,AC738),"2")</f>
        <v>0</v>
      </c>
      <c r="AE738" s="6">
        <f>IMABS(AB738)</f>
        <v>0</v>
      </c>
      <c r="AF738" s="6">
        <f>IMABS(AC738)</f>
        <v>0</v>
      </c>
      <c r="AG738" s="6">
        <f>IMABS(AD738)</f>
        <v>0</v>
      </c>
      <c r="AH738" s="7">
        <f>20*LOG10(MAX(AE738,1E-300)*1E6)</f>
        <v>0</v>
      </c>
      <c r="AI738" s="7">
        <f>20*LOG10(MAX(AF738,1E-300)*1E6)</f>
        <v>0</v>
      </c>
      <c r="AJ738" s="7">
        <f>20*LOG10(MAX(AG738,1E-300)*1E6)</f>
        <v>0</v>
      </c>
      <c r="AK738" s="7">
        <f>DEGREES(IMARGUMENT(AB738))</f>
        <v>0</v>
      </c>
      <c r="AL738" s="7">
        <f>DEGREES(IMARGUMENT(AC738))</f>
        <v>0</v>
      </c>
      <c r="AM738" s="7">
        <f>DEGREES(IMARGUMENT(AD738))</f>
        <v>0</v>
      </c>
    </row>
    <row r="739" spans="1:39">
      <c r="A739" s="6">
        <f>10^(LOG10(F_START)+(ROW()-ROW($A$2))*(LOG10(F_STOP)-LOG10(F_START))/(N_POINTS-1))</f>
        <v>0</v>
      </c>
      <c r="B739" s="6">
        <f>2*PI()*A739</f>
        <v>0</v>
      </c>
      <c r="C739">
        <f>COMPLEX(2*LINE_PS_DCR,2*B739*LINE_PS_L)</f>
        <v>0</v>
      </c>
      <c r="D739">
        <f>IMSUM(COMPLEX(0,B739*(LINE_PS_CLINE+LINE_PS_CCHA/2)),IMDIV("1",IMPRODUCT("2",COMPLEX(C_THROUGH_ESR,B739*C_THROUGH_ESL-1/(B739*C_THROUGH_C)))))</f>
        <v>0</v>
      </c>
      <c r="E739">
        <f>COMPLEX(2*LINE_INPUT_DCR,2*B739*LINE_INPUT_L)</f>
        <v>0</v>
      </c>
      <c r="F739">
        <f>COMPLEX(0,B739*(LINE_INPUT_CLINE+LINE_INPUT_CCHA/2))</f>
        <v>0</v>
      </c>
      <c r="G739">
        <f>IMPRODUCT("2",IMDIV("1",IMSUM(IMDIV("1",COMPLEX(LDM1_DCR,B739*LDM1_L)),COMPLEX(0,B739*LDM1_CPA))))</f>
        <v>0</v>
      </c>
      <c r="H739">
        <f>IMSUM(IMDIV("1",COMPLEX(CX1_ESR,B739*CX1_ESL-1/(B739*CX1_C))),IMDIV("1",IMSUM(COMPLEX(DUMP1_R,0),COMPLEX(DUMP1_ESR,B739*DUMP1_ESL-1/(B739*DUMP1_C)))))</f>
        <v>0</v>
      </c>
      <c r="I739">
        <f>IMPRODUCT("2",IMDIV("1",IMSUM(IMDIV("1",COMPLEX(LDM2_DCR,B739*LDM2_L)),COMPLEX(0,B739*LDM2_CPA))))</f>
        <v>0</v>
      </c>
      <c r="J739">
        <f>IMSUM(IMDIV("1",COMPLEX(CX2_ESR,B739*CX2_ESL-1/(B739*CX2_C))),IMDIV("1",IMSUM(COMPLEX(DUMP2_R,0),COMPLEX(DUMP2_ESR,B739*DUMP2_ESL-1/(B739*DUMP2_C)))))</f>
        <v>0</v>
      </c>
      <c r="K739">
        <f>IMPRODUCT("2",IMDIV("1",IMSUM(IMDIV("1",COMPLEX(CMC_DCR,B739*CMC_L*(1-CMC_K))),COMPLEX(0,B739*CMC_CPA))))</f>
        <v>0</v>
      </c>
      <c r="L739">
        <f>IMSUM(COMPLEX(0,B739*CMC_CLINE),IMDIV("1",IMPRODUCT("2",COMPLEX(CY_ESR,B739*CY_ESL-1/(B739*CY_C)))),COMPLEX(1/DUMMY_R,0))</f>
        <v>0</v>
      </c>
      <c r="M739">
        <f>IMSUM(D739,IMDIV("1",C739))</f>
        <v>0</v>
      </c>
      <c r="N739">
        <f>IMDIV("1",IMSUM(E739,IMDIV("1",M739)))</f>
        <v>0</v>
      </c>
      <c r="O739">
        <f>IMSUM(F739,N739)</f>
        <v>0</v>
      </c>
      <c r="P739">
        <f>IMDIV("1",IMSUM(G739,IMDIV("1",O739)))</f>
        <v>0</v>
      </c>
      <c r="Q739">
        <f>IMSUM(H739,P739)</f>
        <v>0</v>
      </c>
      <c r="R739">
        <f>IMDIV("1",IMSUM(I739,IMDIV("1",Q739)))</f>
        <v>0</v>
      </c>
      <c r="S739">
        <f>IMSUM(J739,R739)</f>
        <v>0</v>
      </c>
      <c r="T739">
        <f>IMDIV("1",IMSUM(K739,IMDIV("1",S739)))</f>
        <v>0</v>
      </c>
      <c r="U739">
        <f>IMSUM(L739,T739)</f>
        <v>0</v>
      </c>
      <c r="V739">
        <f>IMDIV(COMPLEX(I_DM_SOURCE,0),U739)</f>
        <v>0</v>
      </c>
      <c r="W739">
        <f>IMPRODUCT(V739,T739)</f>
        <v>0</v>
      </c>
      <c r="X739">
        <f>IMDIV(W739,S739)</f>
        <v>0</v>
      </c>
      <c r="Y739">
        <f>IMPRODUCT(X739,R739)</f>
        <v>0</v>
      </c>
      <c r="Z739">
        <f>IMDIV(Y739,Q739)</f>
        <v>0</v>
      </c>
      <c r="AA739">
        <f>IMPRODUCT(Z739,P739)</f>
        <v>0</v>
      </c>
      <c r="AB739">
        <f>AA739</f>
        <v>0</v>
      </c>
      <c r="AC739">
        <f>IMPRODUCT("-1",AB739)</f>
        <v>0</v>
      </c>
      <c r="AD739">
        <f>IMDIV(IMSUB(AB739,AC739),"2")</f>
        <v>0</v>
      </c>
      <c r="AE739" s="6">
        <f>IMABS(AB739)</f>
        <v>0</v>
      </c>
      <c r="AF739" s="6">
        <f>IMABS(AC739)</f>
        <v>0</v>
      </c>
      <c r="AG739" s="6">
        <f>IMABS(AD739)</f>
        <v>0</v>
      </c>
      <c r="AH739" s="7">
        <f>20*LOG10(MAX(AE739,1E-300)*1E6)</f>
        <v>0</v>
      </c>
      <c r="AI739" s="7">
        <f>20*LOG10(MAX(AF739,1E-300)*1E6)</f>
        <v>0</v>
      </c>
      <c r="AJ739" s="7">
        <f>20*LOG10(MAX(AG739,1E-300)*1E6)</f>
        <v>0</v>
      </c>
      <c r="AK739" s="7">
        <f>DEGREES(IMARGUMENT(AB739))</f>
        <v>0</v>
      </c>
      <c r="AL739" s="7">
        <f>DEGREES(IMARGUMENT(AC739))</f>
        <v>0</v>
      </c>
      <c r="AM739" s="7">
        <f>DEGREES(IMARGUMENT(AD739))</f>
        <v>0</v>
      </c>
    </row>
    <row r="740" spans="1:39">
      <c r="A740" s="6">
        <f>10^(LOG10(F_START)+(ROW()-ROW($A$2))*(LOG10(F_STOP)-LOG10(F_START))/(N_POINTS-1))</f>
        <v>0</v>
      </c>
      <c r="B740" s="6">
        <f>2*PI()*A740</f>
        <v>0</v>
      </c>
      <c r="C740">
        <f>COMPLEX(2*LINE_PS_DCR,2*B740*LINE_PS_L)</f>
        <v>0</v>
      </c>
      <c r="D740">
        <f>IMSUM(COMPLEX(0,B740*(LINE_PS_CLINE+LINE_PS_CCHA/2)),IMDIV("1",IMPRODUCT("2",COMPLEX(C_THROUGH_ESR,B740*C_THROUGH_ESL-1/(B740*C_THROUGH_C)))))</f>
        <v>0</v>
      </c>
      <c r="E740">
        <f>COMPLEX(2*LINE_INPUT_DCR,2*B740*LINE_INPUT_L)</f>
        <v>0</v>
      </c>
      <c r="F740">
        <f>COMPLEX(0,B740*(LINE_INPUT_CLINE+LINE_INPUT_CCHA/2))</f>
        <v>0</v>
      </c>
      <c r="G740">
        <f>IMPRODUCT("2",IMDIV("1",IMSUM(IMDIV("1",COMPLEX(LDM1_DCR,B740*LDM1_L)),COMPLEX(0,B740*LDM1_CPA))))</f>
        <v>0</v>
      </c>
      <c r="H740">
        <f>IMSUM(IMDIV("1",COMPLEX(CX1_ESR,B740*CX1_ESL-1/(B740*CX1_C))),IMDIV("1",IMSUM(COMPLEX(DUMP1_R,0),COMPLEX(DUMP1_ESR,B740*DUMP1_ESL-1/(B740*DUMP1_C)))))</f>
        <v>0</v>
      </c>
      <c r="I740">
        <f>IMPRODUCT("2",IMDIV("1",IMSUM(IMDIV("1",COMPLEX(LDM2_DCR,B740*LDM2_L)),COMPLEX(0,B740*LDM2_CPA))))</f>
        <v>0</v>
      </c>
      <c r="J740">
        <f>IMSUM(IMDIV("1",COMPLEX(CX2_ESR,B740*CX2_ESL-1/(B740*CX2_C))),IMDIV("1",IMSUM(COMPLEX(DUMP2_R,0),COMPLEX(DUMP2_ESR,B740*DUMP2_ESL-1/(B740*DUMP2_C)))))</f>
        <v>0</v>
      </c>
      <c r="K740">
        <f>IMPRODUCT("2",IMDIV("1",IMSUM(IMDIV("1",COMPLEX(CMC_DCR,B740*CMC_L*(1-CMC_K))),COMPLEX(0,B740*CMC_CPA))))</f>
        <v>0</v>
      </c>
      <c r="L740">
        <f>IMSUM(COMPLEX(0,B740*CMC_CLINE),IMDIV("1",IMPRODUCT("2",COMPLEX(CY_ESR,B740*CY_ESL-1/(B740*CY_C)))),COMPLEX(1/DUMMY_R,0))</f>
        <v>0</v>
      </c>
      <c r="M740">
        <f>IMSUM(D740,IMDIV("1",C740))</f>
        <v>0</v>
      </c>
      <c r="N740">
        <f>IMDIV("1",IMSUM(E740,IMDIV("1",M740)))</f>
        <v>0</v>
      </c>
      <c r="O740">
        <f>IMSUM(F740,N740)</f>
        <v>0</v>
      </c>
      <c r="P740">
        <f>IMDIV("1",IMSUM(G740,IMDIV("1",O740)))</f>
        <v>0</v>
      </c>
      <c r="Q740">
        <f>IMSUM(H740,P740)</f>
        <v>0</v>
      </c>
      <c r="R740">
        <f>IMDIV("1",IMSUM(I740,IMDIV("1",Q740)))</f>
        <v>0</v>
      </c>
      <c r="S740">
        <f>IMSUM(J740,R740)</f>
        <v>0</v>
      </c>
      <c r="T740">
        <f>IMDIV("1",IMSUM(K740,IMDIV("1",S740)))</f>
        <v>0</v>
      </c>
      <c r="U740">
        <f>IMSUM(L740,T740)</f>
        <v>0</v>
      </c>
      <c r="V740">
        <f>IMDIV(COMPLEX(I_DM_SOURCE,0),U740)</f>
        <v>0</v>
      </c>
      <c r="W740">
        <f>IMPRODUCT(V740,T740)</f>
        <v>0</v>
      </c>
      <c r="X740">
        <f>IMDIV(W740,S740)</f>
        <v>0</v>
      </c>
      <c r="Y740">
        <f>IMPRODUCT(X740,R740)</f>
        <v>0</v>
      </c>
      <c r="Z740">
        <f>IMDIV(Y740,Q740)</f>
        <v>0</v>
      </c>
      <c r="AA740">
        <f>IMPRODUCT(Z740,P740)</f>
        <v>0</v>
      </c>
      <c r="AB740">
        <f>AA740</f>
        <v>0</v>
      </c>
      <c r="AC740">
        <f>IMPRODUCT("-1",AB740)</f>
        <v>0</v>
      </c>
      <c r="AD740">
        <f>IMDIV(IMSUB(AB740,AC740),"2")</f>
        <v>0</v>
      </c>
      <c r="AE740" s="6">
        <f>IMABS(AB740)</f>
        <v>0</v>
      </c>
      <c r="AF740" s="6">
        <f>IMABS(AC740)</f>
        <v>0</v>
      </c>
      <c r="AG740" s="6">
        <f>IMABS(AD740)</f>
        <v>0</v>
      </c>
      <c r="AH740" s="7">
        <f>20*LOG10(MAX(AE740,1E-300)*1E6)</f>
        <v>0</v>
      </c>
      <c r="AI740" s="7">
        <f>20*LOG10(MAX(AF740,1E-300)*1E6)</f>
        <v>0</v>
      </c>
      <c r="AJ740" s="7">
        <f>20*LOG10(MAX(AG740,1E-300)*1E6)</f>
        <v>0</v>
      </c>
      <c r="AK740" s="7">
        <f>DEGREES(IMARGUMENT(AB740))</f>
        <v>0</v>
      </c>
      <c r="AL740" s="7">
        <f>DEGREES(IMARGUMENT(AC740))</f>
        <v>0</v>
      </c>
      <c r="AM740" s="7">
        <f>DEGREES(IMARGUMENT(AD740))</f>
        <v>0</v>
      </c>
    </row>
    <row r="741" spans="1:39">
      <c r="A741" s="6">
        <f>10^(LOG10(F_START)+(ROW()-ROW($A$2))*(LOG10(F_STOP)-LOG10(F_START))/(N_POINTS-1))</f>
        <v>0</v>
      </c>
      <c r="B741" s="6">
        <f>2*PI()*A741</f>
        <v>0</v>
      </c>
      <c r="C741">
        <f>COMPLEX(2*LINE_PS_DCR,2*B741*LINE_PS_L)</f>
        <v>0</v>
      </c>
      <c r="D741">
        <f>IMSUM(COMPLEX(0,B741*(LINE_PS_CLINE+LINE_PS_CCHA/2)),IMDIV("1",IMPRODUCT("2",COMPLEX(C_THROUGH_ESR,B741*C_THROUGH_ESL-1/(B741*C_THROUGH_C)))))</f>
        <v>0</v>
      </c>
      <c r="E741">
        <f>COMPLEX(2*LINE_INPUT_DCR,2*B741*LINE_INPUT_L)</f>
        <v>0</v>
      </c>
      <c r="F741">
        <f>COMPLEX(0,B741*(LINE_INPUT_CLINE+LINE_INPUT_CCHA/2))</f>
        <v>0</v>
      </c>
      <c r="G741">
        <f>IMPRODUCT("2",IMDIV("1",IMSUM(IMDIV("1",COMPLEX(LDM1_DCR,B741*LDM1_L)),COMPLEX(0,B741*LDM1_CPA))))</f>
        <v>0</v>
      </c>
      <c r="H741">
        <f>IMSUM(IMDIV("1",COMPLEX(CX1_ESR,B741*CX1_ESL-1/(B741*CX1_C))),IMDIV("1",IMSUM(COMPLEX(DUMP1_R,0),COMPLEX(DUMP1_ESR,B741*DUMP1_ESL-1/(B741*DUMP1_C)))))</f>
        <v>0</v>
      </c>
      <c r="I741">
        <f>IMPRODUCT("2",IMDIV("1",IMSUM(IMDIV("1",COMPLEX(LDM2_DCR,B741*LDM2_L)),COMPLEX(0,B741*LDM2_CPA))))</f>
        <v>0</v>
      </c>
      <c r="J741">
        <f>IMSUM(IMDIV("1",COMPLEX(CX2_ESR,B741*CX2_ESL-1/(B741*CX2_C))),IMDIV("1",IMSUM(COMPLEX(DUMP2_R,0),COMPLEX(DUMP2_ESR,B741*DUMP2_ESL-1/(B741*DUMP2_C)))))</f>
        <v>0</v>
      </c>
      <c r="K741">
        <f>IMPRODUCT("2",IMDIV("1",IMSUM(IMDIV("1",COMPLEX(CMC_DCR,B741*CMC_L*(1-CMC_K))),COMPLEX(0,B741*CMC_CPA))))</f>
        <v>0</v>
      </c>
      <c r="L741">
        <f>IMSUM(COMPLEX(0,B741*CMC_CLINE),IMDIV("1",IMPRODUCT("2",COMPLEX(CY_ESR,B741*CY_ESL-1/(B741*CY_C)))),COMPLEX(1/DUMMY_R,0))</f>
        <v>0</v>
      </c>
      <c r="M741">
        <f>IMSUM(D741,IMDIV("1",C741))</f>
        <v>0</v>
      </c>
      <c r="N741">
        <f>IMDIV("1",IMSUM(E741,IMDIV("1",M741)))</f>
        <v>0</v>
      </c>
      <c r="O741">
        <f>IMSUM(F741,N741)</f>
        <v>0</v>
      </c>
      <c r="P741">
        <f>IMDIV("1",IMSUM(G741,IMDIV("1",O741)))</f>
        <v>0</v>
      </c>
      <c r="Q741">
        <f>IMSUM(H741,P741)</f>
        <v>0</v>
      </c>
      <c r="R741">
        <f>IMDIV("1",IMSUM(I741,IMDIV("1",Q741)))</f>
        <v>0</v>
      </c>
      <c r="S741">
        <f>IMSUM(J741,R741)</f>
        <v>0</v>
      </c>
      <c r="T741">
        <f>IMDIV("1",IMSUM(K741,IMDIV("1",S741)))</f>
        <v>0</v>
      </c>
      <c r="U741">
        <f>IMSUM(L741,T741)</f>
        <v>0</v>
      </c>
      <c r="V741">
        <f>IMDIV(COMPLEX(I_DM_SOURCE,0),U741)</f>
        <v>0</v>
      </c>
      <c r="W741">
        <f>IMPRODUCT(V741,T741)</f>
        <v>0</v>
      </c>
      <c r="X741">
        <f>IMDIV(W741,S741)</f>
        <v>0</v>
      </c>
      <c r="Y741">
        <f>IMPRODUCT(X741,R741)</f>
        <v>0</v>
      </c>
      <c r="Z741">
        <f>IMDIV(Y741,Q741)</f>
        <v>0</v>
      </c>
      <c r="AA741">
        <f>IMPRODUCT(Z741,P741)</f>
        <v>0</v>
      </c>
      <c r="AB741">
        <f>AA741</f>
        <v>0</v>
      </c>
      <c r="AC741">
        <f>IMPRODUCT("-1",AB741)</f>
        <v>0</v>
      </c>
      <c r="AD741">
        <f>IMDIV(IMSUB(AB741,AC741),"2")</f>
        <v>0</v>
      </c>
      <c r="AE741" s="6">
        <f>IMABS(AB741)</f>
        <v>0</v>
      </c>
      <c r="AF741" s="6">
        <f>IMABS(AC741)</f>
        <v>0</v>
      </c>
      <c r="AG741" s="6">
        <f>IMABS(AD741)</f>
        <v>0</v>
      </c>
      <c r="AH741" s="7">
        <f>20*LOG10(MAX(AE741,1E-300)*1E6)</f>
        <v>0</v>
      </c>
      <c r="AI741" s="7">
        <f>20*LOG10(MAX(AF741,1E-300)*1E6)</f>
        <v>0</v>
      </c>
      <c r="AJ741" s="7">
        <f>20*LOG10(MAX(AG741,1E-300)*1E6)</f>
        <v>0</v>
      </c>
      <c r="AK741" s="7">
        <f>DEGREES(IMARGUMENT(AB741))</f>
        <v>0</v>
      </c>
      <c r="AL741" s="7">
        <f>DEGREES(IMARGUMENT(AC741))</f>
        <v>0</v>
      </c>
      <c r="AM741" s="7">
        <f>DEGREES(IMARGUMENT(AD741))</f>
        <v>0</v>
      </c>
    </row>
    <row r="742" spans="1:39">
      <c r="A742" s="6">
        <f>10^(LOG10(F_START)+(ROW()-ROW($A$2))*(LOG10(F_STOP)-LOG10(F_START))/(N_POINTS-1))</f>
        <v>0</v>
      </c>
      <c r="B742" s="6">
        <f>2*PI()*A742</f>
        <v>0</v>
      </c>
      <c r="C742">
        <f>COMPLEX(2*LINE_PS_DCR,2*B742*LINE_PS_L)</f>
        <v>0</v>
      </c>
      <c r="D742">
        <f>IMSUM(COMPLEX(0,B742*(LINE_PS_CLINE+LINE_PS_CCHA/2)),IMDIV("1",IMPRODUCT("2",COMPLEX(C_THROUGH_ESR,B742*C_THROUGH_ESL-1/(B742*C_THROUGH_C)))))</f>
        <v>0</v>
      </c>
      <c r="E742">
        <f>COMPLEX(2*LINE_INPUT_DCR,2*B742*LINE_INPUT_L)</f>
        <v>0</v>
      </c>
      <c r="F742">
        <f>COMPLEX(0,B742*(LINE_INPUT_CLINE+LINE_INPUT_CCHA/2))</f>
        <v>0</v>
      </c>
      <c r="G742">
        <f>IMPRODUCT("2",IMDIV("1",IMSUM(IMDIV("1",COMPLEX(LDM1_DCR,B742*LDM1_L)),COMPLEX(0,B742*LDM1_CPA))))</f>
        <v>0</v>
      </c>
      <c r="H742">
        <f>IMSUM(IMDIV("1",COMPLEX(CX1_ESR,B742*CX1_ESL-1/(B742*CX1_C))),IMDIV("1",IMSUM(COMPLEX(DUMP1_R,0),COMPLEX(DUMP1_ESR,B742*DUMP1_ESL-1/(B742*DUMP1_C)))))</f>
        <v>0</v>
      </c>
      <c r="I742">
        <f>IMPRODUCT("2",IMDIV("1",IMSUM(IMDIV("1",COMPLEX(LDM2_DCR,B742*LDM2_L)),COMPLEX(0,B742*LDM2_CPA))))</f>
        <v>0</v>
      </c>
      <c r="J742">
        <f>IMSUM(IMDIV("1",COMPLEX(CX2_ESR,B742*CX2_ESL-1/(B742*CX2_C))),IMDIV("1",IMSUM(COMPLEX(DUMP2_R,0),COMPLEX(DUMP2_ESR,B742*DUMP2_ESL-1/(B742*DUMP2_C)))))</f>
        <v>0</v>
      </c>
      <c r="K742">
        <f>IMPRODUCT("2",IMDIV("1",IMSUM(IMDIV("1",COMPLEX(CMC_DCR,B742*CMC_L*(1-CMC_K))),COMPLEX(0,B742*CMC_CPA))))</f>
        <v>0</v>
      </c>
      <c r="L742">
        <f>IMSUM(COMPLEX(0,B742*CMC_CLINE),IMDIV("1",IMPRODUCT("2",COMPLEX(CY_ESR,B742*CY_ESL-1/(B742*CY_C)))),COMPLEX(1/DUMMY_R,0))</f>
        <v>0</v>
      </c>
      <c r="M742">
        <f>IMSUM(D742,IMDIV("1",C742))</f>
        <v>0</v>
      </c>
      <c r="N742">
        <f>IMDIV("1",IMSUM(E742,IMDIV("1",M742)))</f>
        <v>0</v>
      </c>
      <c r="O742">
        <f>IMSUM(F742,N742)</f>
        <v>0</v>
      </c>
      <c r="P742">
        <f>IMDIV("1",IMSUM(G742,IMDIV("1",O742)))</f>
        <v>0</v>
      </c>
      <c r="Q742">
        <f>IMSUM(H742,P742)</f>
        <v>0</v>
      </c>
      <c r="R742">
        <f>IMDIV("1",IMSUM(I742,IMDIV("1",Q742)))</f>
        <v>0</v>
      </c>
      <c r="S742">
        <f>IMSUM(J742,R742)</f>
        <v>0</v>
      </c>
      <c r="T742">
        <f>IMDIV("1",IMSUM(K742,IMDIV("1",S742)))</f>
        <v>0</v>
      </c>
      <c r="U742">
        <f>IMSUM(L742,T742)</f>
        <v>0</v>
      </c>
      <c r="V742">
        <f>IMDIV(COMPLEX(I_DM_SOURCE,0),U742)</f>
        <v>0</v>
      </c>
      <c r="W742">
        <f>IMPRODUCT(V742,T742)</f>
        <v>0</v>
      </c>
      <c r="X742">
        <f>IMDIV(W742,S742)</f>
        <v>0</v>
      </c>
      <c r="Y742">
        <f>IMPRODUCT(X742,R742)</f>
        <v>0</v>
      </c>
      <c r="Z742">
        <f>IMDIV(Y742,Q742)</f>
        <v>0</v>
      </c>
      <c r="AA742">
        <f>IMPRODUCT(Z742,P742)</f>
        <v>0</v>
      </c>
      <c r="AB742">
        <f>AA742</f>
        <v>0</v>
      </c>
      <c r="AC742">
        <f>IMPRODUCT("-1",AB742)</f>
        <v>0</v>
      </c>
      <c r="AD742">
        <f>IMDIV(IMSUB(AB742,AC742),"2")</f>
        <v>0</v>
      </c>
      <c r="AE742" s="6">
        <f>IMABS(AB742)</f>
        <v>0</v>
      </c>
      <c r="AF742" s="6">
        <f>IMABS(AC742)</f>
        <v>0</v>
      </c>
      <c r="AG742" s="6">
        <f>IMABS(AD742)</f>
        <v>0</v>
      </c>
      <c r="AH742" s="7">
        <f>20*LOG10(MAX(AE742,1E-300)*1E6)</f>
        <v>0</v>
      </c>
      <c r="AI742" s="7">
        <f>20*LOG10(MAX(AF742,1E-300)*1E6)</f>
        <v>0</v>
      </c>
      <c r="AJ742" s="7">
        <f>20*LOG10(MAX(AG742,1E-300)*1E6)</f>
        <v>0</v>
      </c>
      <c r="AK742" s="7">
        <f>DEGREES(IMARGUMENT(AB742))</f>
        <v>0</v>
      </c>
      <c r="AL742" s="7">
        <f>DEGREES(IMARGUMENT(AC742))</f>
        <v>0</v>
      </c>
      <c r="AM742" s="7">
        <f>DEGREES(IMARGUMENT(AD742))</f>
        <v>0</v>
      </c>
    </row>
    <row r="743" spans="1:39">
      <c r="A743" s="6">
        <f>10^(LOG10(F_START)+(ROW()-ROW($A$2))*(LOG10(F_STOP)-LOG10(F_START))/(N_POINTS-1))</f>
        <v>0</v>
      </c>
      <c r="B743" s="6">
        <f>2*PI()*A743</f>
        <v>0</v>
      </c>
      <c r="C743">
        <f>COMPLEX(2*LINE_PS_DCR,2*B743*LINE_PS_L)</f>
        <v>0</v>
      </c>
      <c r="D743">
        <f>IMSUM(COMPLEX(0,B743*(LINE_PS_CLINE+LINE_PS_CCHA/2)),IMDIV("1",IMPRODUCT("2",COMPLEX(C_THROUGH_ESR,B743*C_THROUGH_ESL-1/(B743*C_THROUGH_C)))))</f>
        <v>0</v>
      </c>
      <c r="E743">
        <f>COMPLEX(2*LINE_INPUT_DCR,2*B743*LINE_INPUT_L)</f>
        <v>0</v>
      </c>
      <c r="F743">
        <f>COMPLEX(0,B743*(LINE_INPUT_CLINE+LINE_INPUT_CCHA/2))</f>
        <v>0</v>
      </c>
      <c r="G743">
        <f>IMPRODUCT("2",IMDIV("1",IMSUM(IMDIV("1",COMPLEX(LDM1_DCR,B743*LDM1_L)),COMPLEX(0,B743*LDM1_CPA))))</f>
        <v>0</v>
      </c>
      <c r="H743">
        <f>IMSUM(IMDIV("1",COMPLEX(CX1_ESR,B743*CX1_ESL-1/(B743*CX1_C))),IMDIV("1",IMSUM(COMPLEX(DUMP1_R,0),COMPLEX(DUMP1_ESR,B743*DUMP1_ESL-1/(B743*DUMP1_C)))))</f>
        <v>0</v>
      </c>
      <c r="I743">
        <f>IMPRODUCT("2",IMDIV("1",IMSUM(IMDIV("1",COMPLEX(LDM2_DCR,B743*LDM2_L)),COMPLEX(0,B743*LDM2_CPA))))</f>
        <v>0</v>
      </c>
      <c r="J743">
        <f>IMSUM(IMDIV("1",COMPLEX(CX2_ESR,B743*CX2_ESL-1/(B743*CX2_C))),IMDIV("1",IMSUM(COMPLEX(DUMP2_R,0),COMPLEX(DUMP2_ESR,B743*DUMP2_ESL-1/(B743*DUMP2_C)))))</f>
        <v>0</v>
      </c>
      <c r="K743">
        <f>IMPRODUCT("2",IMDIV("1",IMSUM(IMDIV("1",COMPLEX(CMC_DCR,B743*CMC_L*(1-CMC_K))),COMPLEX(0,B743*CMC_CPA))))</f>
        <v>0</v>
      </c>
      <c r="L743">
        <f>IMSUM(COMPLEX(0,B743*CMC_CLINE),IMDIV("1",IMPRODUCT("2",COMPLEX(CY_ESR,B743*CY_ESL-1/(B743*CY_C)))),COMPLEX(1/DUMMY_R,0))</f>
        <v>0</v>
      </c>
      <c r="M743">
        <f>IMSUM(D743,IMDIV("1",C743))</f>
        <v>0</v>
      </c>
      <c r="N743">
        <f>IMDIV("1",IMSUM(E743,IMDIV("1",M743)))</f>
        <v>0</v>
      </c>
      <c r="O743">
        <f>IMSUM(F743,N743)</f>
        <v>0</v>
      </c>
      <c r="P743">
        <f>IMDIV("1",IMSUM(G743,IMDIV("1",O743)))</f>
        <v>0</v>
      </c>
      <c r="Q743">
        <f>IMSUM(H743,P743)</f>
        <v>0</v>
      </c>
      <c r="R743">
        <f>IMDIV("1",IMSUM(I743,IMDIV("1",Q743)))</f>
        <v>0</v>
      </c>
      <c r="S743">
        <f>IMSUM(J743,R743)</f>
        <v>0</v>
      </c>
      <c r="T743">
        <f>IMDIV("1",IMSUM(K743,IMDIV("1",S743)))</f>
        <v>0</v>
      </c>
      <c r="U743">
        <f>IMSUM(L743,T743)</f>
        <v>0</v>
      </c>
      <c r="V743">
        <f>IMDIV(COMPLEX(I_DM_SOURCE,0),U743)</f>
        <v>0</v>
      </c>
      <c r="W743">
        <f>IMPRODUCT(V743,T743)</f>
        <v>0</v>
      </c>
      <c r="X743">
        <f>IMDIV(W743,S743)</f>
        <v>0</v>
      </c>
      <c r="Y743">
        <f>IMPRODUCT(X743,R743)</f>
        <v>0</v>
      </c>
      <c r="Z743">
        <f>IMDIV(Y743,Q743)</f>
        <v>0</v>
      </c>
      <c r="AA743">
        <f>IMPRODUCT(Z743,P743)</f>
        <v>0</v>
      </c>
      <c r="AB743">
        <f>AA743</f>
        <v>0</v>
      </c>
      <c r="AC743">
        <f>IMPRODUCT("-1",AB743)</f>
        <v>0</v>
      </c>
      <c r="AD743">
        <f>IMDIV(IMSUB(AB743,AC743),"2")</f>
        <v>0</v>
      </c>
      <c r="AE743" s="6">
        <f>IMABS(AB743)</f>
        <v>0</v>
      </c>
      <c r="AF743" s="6">
        <f>IMABS(AC743)</f>
        <v>0</v>
      </c>
      <c r="AG743" s="6">
        <f>IMABS(AD743)</f>
        <v>0</v>
      </c>
      <c r="AH743" s="7">
        <f>20*LOG10(MAX(AE743,1E-300)*1E6)</f>
        <v>0</v>
      </c>
      <c r="AI743" s="7">
        <f>20*LOG10(MAX(AF743,1E-300)*1E6)</f>
        <v>0</v>
      </c>
      <c r="AJ743" s="7">
        <f>20*LOG10(MAX(AG743,1E-300)*1E6)</f>
        <v>0</v>
      </c>
      <c r="AK743" s="7">
        <f>DEGREES(IMARGUMENT(AB743))</f>
        <v>0</v>
      </c>
      <c r="AL743" s="7">
        <f>DEGREES(IMARGUMENT(AC743))</f>
        <v>0</v>
      </c>
      <c r="AM743" s="7">
        <f>DEGREES(IMARGUMENT(AD743))</f>
        <v>0</v>
      </c>
    </row>
    <row r="744" spans="1:39">
      <c r="A744" s="6">
        <f>10^(LOG10(F_START)+(ROW()-ROW($A$2))*(LOG10(F_STOP)-LOG10(F_START))/(N_POINTS-1))</f>
        <v>0</v>
      </c>
      <c r="B744" s="6">
        <f>2*PI()*A744</f>
        <v>0</v>
      </c>
      <c r="C744">
        <f>COMPLEX(2*LINE_PS_DCR,2*B744*LINE_PS_L)</f>
        <v>0</v>
      </c>
      <c r="D744">
        <f>IMSUM(COMPLEX(0,B744*(LINE_PS_CLINE+LINE_PS_CCHA/2)),IMDIV("1",IMPRODUCT("2",COMPLEX(C_THROUGH_ESR,B744*C_THROUGH_ESL-1/(B744*C_THROUGH_C)))))</f>
        <v>0</v>
      </c>
      <c r="E744">
        <f>COMPLEX(2*LINE_INPUT_DCR,2*B744*LINE_INPUT_L)</f>
        <v>0</v>
      </c>
      <c r="F744">
        <f>COMPLEX(0,B744*(LINE_INPUT_CLINE+LINE_INPUT_CCHA/2))</f>
        <v>0</v>
      </c>
      <c r="G744">
        <f>IMPRODUCT("2",IMDIV("1",IMSUM(IMDIV("1",COMPLEX(LDM1_DCR,B744*LDM1_L)),COMPLEX(0,B744*LDM1_CPA))))</f>
        <v>0</v>
      </c>
      <c r="H744">
        <f>IMSUM(IMDIV("1",COMPLEX(CX1_ESR,B744*CX1_ESL-1/(B744*CX1_C))),IMDIV("1",IMSUM(COMPLEX(DUMP1_R,0),COMPLEX(DUMP1_ESR,B744*DUMP1_ESL-1/(B744*DUMP1_C)))))</f>
        <v>0</v>
      </c>
      <c r="I744">
        <f>IMPRODUCT("2",IMDIV("1",IMSUM(IMDIV("1",COMPLEX(LDM2_DCR,B744*LDM2_L)),COMPLEX(0,B744*LDM2_CPA))))</f>
        <v>0</v>
      </c>
      <c r="J744">
        <f>IMSUM(IMDIV("1",COMPLEX(CX2_ESR,B744*CX2_ESL-1/(B744*CX2_C))),IMDIV("1",IMSUM(COMPLEX(DUMP2_R,0),COMPLEX(DUMP2_ESR,B744*DUMP2_ESL-1/(B744*DUMP2_C)))))</f>
        <v>0</v>
      </c>
      <c r="K744">
        <f>IMPRODUCT("2",IMDIV("1",IMSUM(IMDIV("1",COMPLEX(CMC_DCR,B744*CMC_L*(1-CMC_K))),COMPLEX(0,B744*CMC_CPA))))</f>
        <v>0</v>
      </c>
      <c r="L744">
        <f>IMSUM(COMPLEX(0,B744*CMC_CLINE),IMDIV("1",IMPRODUCT("2",COMPLEX(CY_ESR,B744*CY_ESL-1/(B744*CY_C)))),COMPLEX(1/DUMMY_R,0))</f>
        <v>0</v>
      </c>
      <c r="M744">
        <f>IMSUM(D744,IMDIV("1",C744))</f>
        <v>0</v>
      </c>
      <c r="N744">
        <f>IMDIV("1",IMSUM(E744,IMDIV("1",M744)))</f>
        <v>0</v>
      </c>
      <c r="O744">
        <f>IMSUM(F744,N744)</f>
        <v>0</v>
      </c>
      <c r="P744">
        <f>IMDIV("1",IMSUM(G744,IMDIV("1",O744)))</f>
        <v>0</v>
      </c>
      <c r="Q744">
        <f>IMSUM(H744,P744)</f>
        <v>0</v>
      </c>
      <c r="R744">
        <f>IMDIV("1",IMSUM(I744,IMDIV("1",Q744)))</f>
        <v>0</v>
      </c>
      <c r="S744">
        <f>IMSUM(J744,R744)</f>
        <v>0</v>
      </c>
      <c r="T744">
        <f>IMDIV("1",IMSUM(K744,IMDIV("1",S744)))</f>
        <v>0</v>
      </c>
      <c r="U744">
        <f>IMSUM(L744,T744)</f>
        <v>0</v>
      </c>
      <c r="V744">
        <f>IMDIV(COMPLEX(I_DM_SOURCE,0),U744)</f>
        <v>0</v>
      </c>
      <c r="W744">
        <f>IMPRODUCT(V744,T744)</f>
        <v>0</v>
      </c>
      <c r="X744">
        <f>IMDIV(W744,S744)</f>
        <v>0</v>
      </c>
      <c r="Y744">
        <f>IMPRODUCT(X744,R744)</f>
        <v>0</v>
      </c>
      <c r="Z744">
        <f>IMDIV(Y744,Q744)</f>
        <v>0</v>
      </c>
      <c r="AA744">
        <f>IMPRODUCT(Z744,P744)</f>
        <v>0</v>
      </c>
      <c r="AB744">
        <f>AA744</f>
        <v>0</v>
      </c>
      <c r="AC744">
        <f>IMPRODUCT("-1",AB744)</f>
        <v>0</v>
      </c>
      <c r="AD744">
        <f>IMDIV(IMSUB(AB744,AC744),"2")</f>
        <v>0</v>
      </c>
      <c r="AE744" s="6">
        <f>IMABS(AB744)</f>
        <v>0</v>
      </c>
      <c r="AF744" s="6">
        <f>IMABS(AC744)</f>
        <v>0</v>
      </c>
      <c r="AG744" s="6">
        <f>IMABS(AD744)</f>
        <v>0</v>
      </c>
      <c r="AH744" s="7">
        <f>20*LOG10(MAX(AE744,1E-300)*1E6)</f>
        <v>0</v>
      </c>
      <c r="AI744" s="7">
        <f>20*LOG10(MAX(AF744,1E-300)*1E6)</f>
        <v>0</v>
      </c>
      <c r="AJ744" s="7">
        <f>20*LOG10(MAX(AG744,1E-300)*1E6)</f>
        <v>0</v>
      </c>
      <c r="AK744" s="7">
        <f>DEGREES(IMARGUMENT(AB744))</f>
        <v>0</v>
      </c>
      <c r="AL744" s="7">
        <f>DEGREES(IMARGUMENT(AC744))</f>
        <v>0</v>
      </c>
      <c r="AM744" s="7">
        <f>DEGREES(IMARGUMENT(AD744))</f>
        <v>0</v>
      </c>
    </row>
    <row r="745" spans="1:39">
      <c r="A745" s="6">
        <f>10^(LOG10(F_START)+(ROW()-ROW($A$2))*(LOG10(F_STOP)-LOG10(F_START))/(N_POINTS-1))</f>
        <v>0</v>
      </c>
      <c r="B745" s="6">
        <f>2*PI()*A745</f>
        <v>0</v>
      </c>
      <c r="C745">
        <f>COMPLEX(2*LINE_PS_DCR,2*B745*LINE_PS_L)</f>
        <v>0</v>
      </c>
      <c r="D745">
        <f>IMSUM(COMPLEX(0,B745*(LINE_PS_CLINE+LINE_PS_CCHA/2)),IMDIV("1",IMPRODUCT("2",COMPLEX(C_THROUGH_ESR,B745*C_THROUGH_ESL-1/(B745*C_THROUGH_C)))))</f>
        <v>0</v>
      </c>
      <c r="E745">
        <f>COMPLEX(2*LINE_INPUT_DCR,2*B745*LINE_INPUT_L)</f>
        <v>0</v>
      </c>
      <c r="F745">
        <f>COMPLEX(0,B745*(LINE_INPUT_CLINE+LINE_INPUT_CCHA/2))</f>
        <v>0</v>
      </c>
      <c r="G745">
        <f>IMPRODUCT("2",IMDIV("1",IMSUM(IMDIV("1",COMPLEX(LDM1_DCR,B745*LDM1_L)),COMPLEX(0,B745*LDM1_CPA))))</f>
        <v>0</v>
      </c>
      <c r="H745">
        <f>IMSUM(IMDIV("1",COMPLEX(CX1_ESR,B745*CX1_ESL-1/(B745*CX1_C))),IMDIV("1",IMSUM(COMPLEX(DUMP1_R,0),COMPLEX(DUMP1_ESR,B745*DUMP1_ESL-1/(B745*DUMP1_C)))))</f>
        <v>0</v>
      </c>
      <c r="I745">
        <f>IMPRODUCT("2",IMDIV("1",IMSUM(IMDIV("1",COMPLEX(LDM2_DCR,B745*LDM2_L)),COMPLEX(0,B745*LDM2_CPA))))</f>
        <v>0</v>
      </c>
      <c r="J745">
        <f>IMSUM(IMDIV("1",COMPLEX(CX2_ESR,B745*CX2_ESL-1/(B745*CX2_C))),IMDIV("1",IMSUM(COMPLEX(DUMP2_R,0),COMPLEX(DUMP2_ESR,B745*DUMP2_ESL-1/(B745*DUMP2_C)))))</f>
        <v>0</v>
      </c>
      <c r="K745">
        <f>IMPRODUCT("2",IMDIV("1",IMSUM(IMDIV("1",COMPLEX(CMC_DCR,B745*CMC_L*(1-CMC_K))),COMPLEX(0,B745*CMC_CPA))))</f>
        <v>0</v>
      </c>
      <c r="L745">
        <f>IMSUM(COMPLEX(0,B745*CMC_CLINE),IMDIV("1",IMPRODUCT("2",COMPLEX(CY_ESR,B745*CY_ESL-1/(B745*CY_C)))),COMPLEX(1/DUMMY_R,0))</f>
        <v>0</v>
      </c>
      <c r="M745">
        <f>IMSUM(D745,IMDIV("1",C745))</f>
        <v>0</v>
      </c>
      <c r="N745">
        <f>IMDIV("1",IMSUM(E745,IMDIV("1",M745)))</f>
        <v>0</v>
      </c>
      <c r="O745">
        <f>IMSUM(F745,N745)</f>
        <v>0</v>
      </c>
      <c r="P745">
        <f>IMDIV("1",IMSUM(G745,IMDIV("1",O745)))</f>
        <v>0</v>
      </c>
      <c r="Q745">
        <f>IMSUM(H745,P745)</f>
        <v>0</v>
      </c>
      <c r="R745">
        <f>IMDIV("1",IMSUM(I745,IMDIV("1",Q745)))</f>
        <v>0</v>
      </c>
      <c r="S745">
        <f>IMSUM(J745,R745)</f>
        <v>0</v>
      </c>
      <c r="T745">
        <f>IMDIV("1",IMSUM(K745,IMDIV("1",S745)))</f>
        <v>0</v>
      </c>
      <c r="U745">
        <f>IMSUM(L745,T745)</f>
        <v>0</v>
      </c>
      <c r="V745">
        <f>IMDIV(COMPLEX(I_DM_SOURCE,0),U745)</f>
        <v>0</v>
      </c>
      <c r="W745">
        <f>IMPRODUCT(V745,T745)</f>
        <v>0</v>
      </c>
      <c r="X745">
        <f>IMDIV(W745,S745)</f>
        <v>0</v>
      </c>
      <c r="Y745">
        <f>IMPRODUCT(X745,R745)</f>
        <v>0</v>
      </c>
      <c r="Z745">
        <f>IMDIV(Y745,Q745)</f>
        <v>0</v>
      </c>
      <c r="AA745">
        <f>IMPRODUCT(Z745,P745)</f>
        <v>0</v>
      </c>
      <c r="AB745">
        <f>AA745</f>
        <v>0</v>
      </c>
      <c r="AC745">
        <f>IMPRODUCT("-1",AB745)</f>
        <v>0</v>
      </c>
      <c r="AD745">
        <f>IMDIV(IMSUB(AB745,AC745),"2")</f>
        <v>0</v>
      </c>
      <c r="AE745" s="6">
        <f>IMABS(AB745)</f>
        <v>0</v>
      </c>
      <c r="AF745" s="6">
        <f>IMABS(AC745)</f>
        <v>0</v>
      </c>
      <c r="AG745" s="6">
        <f>IMABS(AD745)</f>
        <v>0</v>
      </c>
      <c r="AH745" s="7">
        <f>20*LOG10(MAX(AE745,1E-300)*1E6)</f>
        <v>0</v>
      </c>
      <c r="AI745" s="7">
        <f>20*LOG10(MAX(AF745,1E-300)*1E6)</f>
        <v>0</v>
      </c>
      <c r="AJ745" s="7">
        <f>20*LOG10(MAX(AG745,1E-300)*1E6)</f>
        <v>0</v>
      </c>
      <c r="AK745" s="7">
        <f>DEGREES(IMARGUMENT(AB745))</f>
        <v>0</v>
      </c>
      <c r="AL745" s="7">
        <f>DEGREES(IMARGUMENT(AC745))</f>
        <v>0</v>
      </c>
      <c r="AM745" s="7">
        <f>DEGREES(IMARGUMENT(AD745))</f>
        <v>0</v>
      </c>
    </row>
    <row r="746" spans="1:39">
      <c r="A746" s="6">
        <f>10^(LOG10(F_START)+(ROW()-ROW($A$2))*(LOG10(F_STOP)-LOG10(F_START))/(N_POINTS-1))</f>
        <v>0</v>
      </c>
      <c r="B746" s="6">
        <f>2*PI()*A746</f>
        <v>0</v>
      </c>
      <c r="C746">
        <f>COMPLEX(2*LINE_PS_DCR,2*B746*LINE_PS_L)</f>
        <v>0</v>
      </c>
      <c r="D746">
        <f>IMSUM(COMPLEX(0,B746*(LINE_PS_CLINE+LINE_PS_CCHA/2)),IMDIV("1",IMPRODUCT("2",COMPLEX(C_THROUGH_ESR,B746*C_THROUGH_ESL-1/(B746*C_THROUGH_C)))))</f>
        <v>0</v>
      </c>
      <c r="E746">
        <f>COMPLEX(2*LINE_INPUT_DCR,2*B746*LINE_INPUT_L)</f>
        <v>0</v>
      </c>
      <c r="F746">
        <f>COMPLEX(0,B746*(LINE_INPUT_CLINE+LINE_INPUT_CCHA/2))</f>
        <v>0</v>
      </c>
      <c r="G746">
        <f>IMPRODUCT("2",IMDIV("1",IMSUM(IMDIV("1",COMPLEX(LDM1_DCR,B746*LDM1_L)),COMPLEX(0,B746*LDM1_CPA))))</f>
        <v>0</v>
      </c>
      <c r="H746">
        <f>IMSUM(IMDIV("1",COMPLEX(CX1_ESR,B746*CX1_ESL-1/(B746*CX1_C))),IMDIV("1",IMSUM(COMPLEX(DUMP1_R,0),COMPLEX(DUMP1_ESR,B746*DUMP1_ESL-1/(B746*DUMP1_C)))))</f>
        <v>0</v>
      </c>
      <c r="I746">
        <f>IMPRODUCT("2",IMDIV("1",IMSUM(IMDIV("1",COMPLEX(LDM2_DCR,B746*LDM2_L)),COMPLEX(0,B746*LDM2_CPA))))</f>
        <v>0</v>
      </c>
      <c r="J746">
        <f>IMSUM(IMDIV("1",COMPLEX(CX2_ESR,B746*CX2_ESL-1/(B746*CX2_C))),IMDIV("1",IMSUM(COMPLEX(DUMP2_R,0),COMPLEX(DUMP2_ESR,B746*DUMP2_ESL-1/(B746*DUMP2_C)))))</f>
        <v>0</v>
      </c>
      <c r="K746">
        <f>IMPRODUCT("2",IMDIV("1",IMSUM(IMDIV("1",COMPLEX(CMC_DCR,B746*CMC_L*(1-CMC_K))),COMPLEX(0,B746*CMC_CPA))))</f>
        <v>0</v>
      </c>
      <c r="L746">
        <f>IMSUM(COMPLEX(0,B746*CMC_CLINE),IMDIV("1",IMPRODUCT("2",COMPLEX(CY_ESR,B746*CY_ESL-1/(B746*CY_C)))),COMPLEX(1/DUMMY_R,0))</f>
        <v>0</v>
      </c>
      <c r="M746">
        <f>IMSUM(D746,IMDIV("1",C746))</f>
        <v>0</v>
      </c>
      <c r="N746">
        <f>IMDIV("1",IMSUM(E746,IMDIV("1",M746)))</f>
        <v>0</v>
      </c>
      <c r="O746">
        <f>IMSUM(F746,N746)</f>
        <v>0</v>
      </c>
      <c r="P746">
        <f>IMDIV("1",IMSUM(G746,IMDIV("1",O746)))</f>
        <v>0</v>
      </c>
      <c r="Q746">
        <f>IMSUM(H746,P746)</f>
        <v>0</v>
      </c>
      <c r="R746">
        <f>IMDIV("1",IMSUM(I746,IMDIV("1",Q746)))</f>
        <v>0</v>
      </c>
      <c r="S746">
        <f>IMSUM(J746,R746)</f>
        <v>0</v>
      </c>
      <c r="T746">
        <f>IMDIV("1",IMSUM(K746,IMDIV("1",S746)))</f>
        <v>0</v>
      </c>
      <c r="U746">
        <f>IMSUM(L746,T746)</f>
        <v>0</v>
      </c>
      <c r="V746">
        <f>IMDIV(COMPLEX(I_DM_SOURCE,0),U746)</f>
        <v>0</v>
      </c>
      <c r="W746">
        <f>IMPRODUCT(V746,T746)</f>
        <v>0</v>
      </c>
      <c r="X746">
        <f>IMDIV(W746,S746)</f>
        <v>0</v>
      </c>
      <c r="Y746">
        <f>IMPRODUCT(X746,R746)</f>
        <v>0</v>
      </c>
      <c r="Z746">
        <f>IMDIV(Y746,Q746)</f>
        <v>0</v>
      </c>
      <c r="AA746">
        <f>IMPRODUCT(Z746,P746)</f>
        <v>0</v>
      </c>
      <c r="AB746">
        <f>AA746</f>
        <v>0</v>
      </c>
      <c r="AC746">
        <f>IMPRODUCT("-1",AB746)</f>
        <v>0</v>
      </c>
      <c r="AD746">
        <f>IMDIV(IMSUB(AB746,AC746),"2")</f>
        <v>0</v>
      </c>
      <c r="AE746" s="6">
        <f>IMABS(AB746)</f>
        <v>0</v>
      </c>
      <c r="AF746" s="6">
        <f>IMABS(AC746)</f>
        <v>0</v>
      </c>
      <c r="AG746" s="6">
        <f>IMABS(AD746)</f>
        <v>0</v>
      </c>
      <c r="AH746" s="7">
        <f>20*LOG10(MAX(AE746,1E-300)*1E6)</f>
        <v>0</v>
      </c>
      <c r="AI746" s="7">
        <f>20*LOG10(MAX(AF746,1E-300)*1E6)</f>
        <v>0</v>
      </c>
      <c r="AJ746" s="7">
        <f>20*LOG10(MAX(AG746,1E-300)*1E6)</f>
        <v>0</v>
      </c>
      <c r="AK746" s="7">
        <f>DEGREES(IMARGUMENT(AB746))</f>
        <v>0</v>
      </c>
      <c r="AL746" s="7">
        <f>DEGREES(IMARGUMENT(AC746))</f>
        <v>0</v>
      </c>
      <c r="AM746" s="7">
        <f>DEGREES(IMARGUMENT(AD746))</f>
        <v>0</v>
      </c>
    </row>
    <row r="747" spans="1:39">
      <c r="A747" s="6">
        <f>10^(LOG10(F_START)+(ROW()-ROW($A$2))*(LOG10(F_STOP)-LOG10(F_START))/(N_POINTS-1))</f>
        <v>0</v>
      </c>
      <c r="B747" s="6">
        <f>2*PI()*A747</f>
        <v>0</v>
      </c>
      <c r="C747">
        <f>COMPLEX(2*LINE_PS_DCR,2*B747*LINE_PS_L)</f>
        <v>0</v>
      </c>
      <c r="D747">
        <f>IMSUM(COMPLEX(0,B747*(LINE_PS_CLINE+LINE_PS_CCHA/2)),IMDIV("1",IMPRODUCT("2",COMPLEX(C_THROUGH_ESR,B747*C_THROUGH_ESL-1/(B747*C_THROUGH_C)))))</f>
        <v>0</v>
      </c>
      <c r="E747">
        <f>COMPLEX(2*LINE_INPUT_DCR,2*B747*LINE_INPUT_L)</f>
        <v>0</v>
      </c>
      <c r="F747">
        <f>COMPLEX(0,B747*(LINE_INPUT_CLINE+LINE_INPUT_CCHA/2))</f>
        <v>0</v>
      </c>
      <c r="G747">
        <f>IMPRODUCT("2",IMDIV("1",IMSUM(IMDIV("1",COMPLEX(LDM1_DCR,B747*LDM1_L)),COMPLEX(0,B747*LDM1_CPA))))</f>
        <v>0</v>
      </c>
      <c r="H747">
        <f>IMSUM(IMDIV("1",COMPLEX(CX1_ESR,B747*CX1_ESL-1/(B747*CX1_C))),IMDIV("1",IMSUM(COMPLEX(DUMP1_R,0),COMPLEX(DUMP1_ESR,B747*DUMP1_ESL-1/(B747*DUMP1_C)))))</f>
        <v>0</v>
      </c>
      <c r="I747">
        <f>IMPRODUCT("2",IMDIV("1",IMSUM(IMDIV("1",COMPLEX(LDM2_DCR,B747*LDM2_L)),COMPLEX(0,B747*LDM2_CPA))))</f>
        <v>0</v>
      </c>
      <c r="J747">
        <f>IMSUM(IMDIV("1",COMPLEX(CX2_ESR,B747*CX2_ESL-1/(B747*CX2_C))),IMDIV("1",IMSUM(COMPLEX(DUMP2_R,0),COMPLEX(DUMP2_ESR,B747*DUMP2_ESL-1/(B747*DUMP2_C)))))</f>
        <v>0</v>
      </c>
      <c r="K747">
        <f>IMPRODUCT("2",IMDIV("1",IMSUM(IMDIV("1",COMPLEX(CMC_DCR,B747*CMC_L*(1-CMC_K))),COMPLEX(0,B747*CMC_CPA))))</f>
        <v>0</v>
      </c>
      <c r="L747">
        <f>IMSUM(COMPLEX(0,B747*CMC_CLINE),IMDIV("1",IMPRODUCT("2",COMPLEX(CY_ESR,B747*CY_ESL-1/(B747*CY_C)))),COMPLEX(1/DUMMY_R,0))</f>
        <v>0</v>
      </c>
      <c r="M747">
        <f>IMSUM(D747,IMDIV("1",C747))</f>
        <v>0</v>
      </c>
      <c r="N747">
        <f>IMDIV("1",IMSUM(E747,IMDIV("1",M747)))</f>
        <v>0</v>
      </c>
      <c r="O747">
        <f>IMSUM(F747,N747)</f>
        <v>0</v>
      </c>
      <c r="P747">
        <f>IMDIV("1",IMSUM(G747,IMDIV("1",O747)))</f>
        <v>0</v>
      </c>
      <c r="Q747">
        <f>IMSUM(H747,P747)</f>
        <v>0</v>
      </c>
      <c r="R747">
        <f>IMDIV("1",IMSUM(I747,IMDIV("1",Q747)))</f>
        <v>0</v>
      </c>
      <c r="S747">
        <f>IMSUM(J747,R747)</f>
        <v>0</v>
      </c>
      <c r="T747">
        <f>IMDIV("1",IMSUM(K747,IMDIV("1",S747)))</f>
        <v>0</v>
      </c>
      <c r="U747">
        <f>IMSUM(L747,T747)</f>
        <v>0</v>
      </c>
      <c r="V747">
        <f>IMDIV(COMPLEX(I_DM_SOURCE,0),U747)</f>
        <v>0</v>
      </c>
      <c r="W747">
        <f>IMPRODUCT(V747,T747)</f>
        <v>0</v>
      </c>
      <c r="X747">
        <f>IMDIV(W747,S747)</f>
        <v>0</v>
      </c>
      <c r="Y747">
        <f>IMPRODUCT(X747,R747)</f>
        <v>0</v>
      </c>
      <c r="Z747">
        <f>IMDIV(Y747,Q747)</f>
        <v>0</v>
      </c>
      <c r="AA747">
        <f>IMPRODUCT(Z747,P747)</f>
        <v>0</v>
      </c>
      <c r="AB747">
        <f>AA747</f>
        <v>0</v>
      </c>
      <c r="AC747">
        <f>IMPRODUCT("-1",AB747)</f>
        <v>0</v>
      </c>
      <c r="AD747">
        <f>IMDIV(IMSUB(AB747,AC747),"2")</f>
        <v>0</v>
      </c>
      <c r="AE747" s="6">
        <f>IMABS(AB747)</f>
        <v>0</v>
      </c>
      <c r="AF747" s="6">
        <f>IMABS(AC747)</f>
        <v>0</v>
      </c>
      <c r="AG747" s="6">
        <f>IMABS(AD747)</f>
        <v>0</v>
      </c>
      <c r="AH747" s="7">
        <f>20*LOG10(MAX(AE747,1E-300)*1E6)</f>
        <v>0</v>
      </c>
      <c r="AI747" s="7">
        <f>20*LOG10(MAX(AF747,1E-300)*1E6)</f>
        <v>0</v>
      </c>
      <c r="AJ747" s="7">
        <f>20*LOG10(MAX(AG747,1E-300)*1E6)</f>
        <v>0</v>
      </c>
      <c r="AK747" s="7">
        <f>DEGREES(IMARGUMENT(AB747))</f>
        <v>0</v>
      </c>
      <c r="AL747" s="7">
        <f>DEGREES(IMARGUMENT(AC747))</f>
        <v>0</v>
      </c>
      <c r="AM747" s="7">
        <f>DEGREES(IMARGUMENT(AD747))</f>
        <v>0</v>
      </c>
    </row>
    <row r="748" spans="1:39">
      <c r="A748" s="6">
        <f>10^(LOG10(F_START)+(ROW()-ROW($A$2))*(LOG10(F_STOP)-LOG10(F_START))/(N_POINTS-1))</f>
        <v>0</v>
      </c>
      <c r="B748" s="6">
        <f>2*PI()*A748</f>
        <v>0</v>
      </c>
      <c r="C748">
        <f>COMPLEX(2*LINE_PS_DCR,2*B748*LINE_PS_L)</f>
        <v>0</v>
      </c>
      <c r="D748">
        <f>IMSUM(COMPLEX(0,B748*(LINE_PS_CLINE+LINE_PS_CCHA/2)),IMDIV("1",IMPRODUCT("2",COMPLEX(C_THROUGH_ESR,B748*C_THROUGH_ESL-1/(B748*C_THROUGH_C)))))</f>
        <v>0</v>
      </c>
      <c r="E748">
        <f>COMPLEX(2*LINE_INPUT_DCR,2*B748*LINE_INPUT_L)</f>
        <v>0</v>
      </c>
      <c r="F748">
        <f>COMPLEX(0,B748*(LINE_INPUT_CLINE+LINE_INPUT_CCHA/2))</f>
        <v>0</v>
      </c>
      <c r="G748">
        <f>IMPRODUCT("2",IMDIV("1",IMSUM(IMDIV("1",COMPLEX(LDM1_DCR,B748*LDM1_L)),COMPLEX(0,B748*LDM1_CPA))))</f>
        <v>0</v>
      </c>
      <c r="H748">
        <f>IMSUM(IMDIV("1",COMPLEX(CX1_ESR,B748*CX1_ESL-1/(B748*CX1_C))),IMDIV("1",IMSUM(COMPLEX(DUMP1_R,0),COMPLEX(DUMP1_ESR,B748*DUMP1_ESL-1/(B748*DUMP1_C)))))</f>
        <v>0</v>
      </c>
      <c r="I748">
        <f>IMPRODUCT("2",IMDIV("1",IMSUM(IMDIV("1",COMPLEX(LDM2_DCR,B748*LDM2_L)),COMPLEX(0,B748*LDM2_CPA))))</f>
        <v>0</v>
      </c>
      <c r="J748">
        <f>IMSUM(IMDIV("1",COMPLEX(CX2_ESR,B748*CX2_ESL-1/(B748*CX2_C))),IMDIV("1",IMSUM(COMPLEX(DUMP2_R,0),COMPLEX(DUMP2_ESR,B748*DUMP2_ESL-1/(B748*DUMP2_C)))))</f>
        <v>0</v>
      </c>
      <c r="K748">
        <f>IMPRODUCT("2",IMDIV("1",IMSUM(IMDIV("1",COMPLEX(CMC_DCR,B748*CMC_L*(1-CMC_K))),COMPLEX(0,B748*CMC_CPA))))</f>
        <v>0</v>
      </c>
      <c r="L748">
        <f>IMSUM(COMPLEX(0,B748*CMC_CLINE),IMDIV("1",IMPRODUCT("2",COMPLEX(CY_ESR,B748*CY_ESL-1/(B748*CY_C)))),COMPLEX(1/DUMMY_R,0))</f>
        <v>0</v>
      </c>
      <c r="M748">
        <f>IMSUM(D748,IMDIV("1",C748))</f>
        <v>0</v>
      </c>
      <c r="N748">
        <f>IMDIV("1",IMSUM(E748,IMDIV("1",M748)))</f>
        <v>0</v>
      </c>
      <c r="O748">
        <f>IMSUM(F748,N748)</f>
        <v>0</v>
      </c>
      <c r="P748">
        <f>IMDIV("1",IMSUM(G748,IMDIV("1",O748)))</f>
        <v>0</v>
      </c>
      <c r="Q748">
        <f>IMSUM(H748,P748)</f>
        <v>0</v>
      </c>
      <c r="R748">
        <f>IMDIV("1",IMSUM(I748,IMDIV("1",Q748)))</f>
        <v>0</v>
      </c>
      <c r="S748">
        <f>IMSUM(J748,R748)</f>
        <v>0</v>
      </c>
      <c r="T748">
        <f>IMDIV("1",IMSUM(K748,IMDIV("1",S748)))</f>
        <v>0</v>
      </c>
      <c r="U748">
        <f>IMSUM(L748,T748)</f>
        <v>0</v>
      </c>
      <c r="V748">
        <f>IMDIV(COMPLEX(I_DM_SOURCE,0),U748)</f>
        <v>0</v>
      </c>
      <c r="W748">
        <f>IMPRODUCT(V748,T748)</f>
        <v>0</v>
      </c>
      <c r="X748">
        <f>IMDIV(W748,S748)</f>
        <v>0</v>
      </c>
      <c r="Y748">
        <f>IMPRODUCT(X748,R748)</f>
        <v>0</v>
      </c>
      <c r="Z748">
        <f>IMDIV(Y748,Q748)</f>
        <v>0</v>
      </c>
      <c r="AA748">
        <f>IMPRODUCT(Z748,P748)</f>
        <v>0</v>
      </c>
      <c r="AB748">
        <f>AA748</f>
        <v>0</v>
      </c>
      <c r="AC748">
        <f>IMPRODUCT("-1",AB748)</f>
        <v>0</v>
      </c>
      <c r="AD748">
        <f>IMDIV(IMSUB(AB748,AC748),"2")</f>
        <v>0</v>
      </c>
      <c r="AE748" s="6">
        <f>IMABS(AB748)</f>
        <v>0</v>
      </c>
      <c r="AF748" s="6">
        <f>IMABS(AC748)</f>
        <v>0</v>
      </c>
      <c r="AG748" s="6">
        <f>IMABS(AD748)</f>
        <v>0</v>
      </c>
      <c r="AH748" s="7">
        <f>20*LOG10(MAX(AE748,1E-300)*1E6)</f>
        <v>0</v>
      </c>
      <c r="AI748" s="7">
        <f>20*LOG10(MAX(AF748,1E-300)*1E6)</f>
        <v>0</v>
      </c>
      <c r="AJ748" s="7">
        <f>20*LOG10(MAX(AG748,1E-300)*1E6)</f>
        <v>0</v>
      </c>
      <c r="AK748" s="7">
        <f>DEGREES(IMARGUMENT(AB748))</f>
        <v>0</v>
      </c>
      <c r="AL748" s="7">
        <f>DEGREES(IMARGUMENT(AC748))</f>
        <v>0</v>
      </c>
      <c r="AM748" s="7">
        <f>DEGREES(IMARGUMENT(AD748))</f>
        <v>0</v>
      </c>
    </row>
    <row r="749" spans="1:39">
      <c r="A749" s="6">
        <f>10^(LOG10(F_START)+(ROW()-ROW($A$2))*(LOG10(F_STOP)-LOG10(F_START))/(N_POINTS-1))</f>
        <v>0</v>
      </c>
      <c r="B749" s="6">
        <f>2*PI()*A749</f>
        <v>0</v>
      </c>
      <c r="C749">
        <f>COMPLEX(2*LINE_PS_DCR,2*B749*LINE_PS_L)</f>
        <v>0</v>
      </c>
      <c r="D749">
        <f>IMSUM(COMPLEX(0,B749*(LINE_PS_CLINE+LINE_PS_CCHA/2)),IMDIV("1",IMPRODUCT("2",COMPLEX(C_THROUGH_ESR,B749*C_THROUGH_ESL-1/(B749*C_THROUGH_C)))))</f>
        <v>0</v>
      </c>
      <c r="E749">
        <f>COMPLEX(2*LINE_INPUT_DCR,2*B749*LINE_INPUT_L)</f>
        <v>0</v>
      </c>
      <c r="F749">
        <f>COMPLEX(0,B749*(LINE_INPUT_CLINE+LINE_INPUT_CCHA/2))</f>
        <v>0</v>
      </c>
      <c r="G749">
        <f>IMPRODUCT("2",IMDIV("1",IMSUM(IMDIV("1",COMPLEX(LDM1_DCR,B749*LDM1_L)),COMPLEX(0,B749*LDM1_CPA))))</f>
        <v>0</v>
      </c>
      <c r="H749">
        <f>IMSUM(IMDIV("1",COMPLEX(CX1_ESR,B749*CX1_ESL-1/(B749*CX1_C))),IMDIV("1",IMSUM(COMPLEX(DUMP1_R,0),COMPLEX(DUMP1_ESR,B749*DUMP1_ESL-1/(B749*DUMP1_C)))))</f>
        <v>0</v>
      </c>
      <c r="I749">
        <f>IMPRODUCT("2",IMDIV("1",IMSUM(IMDIV("1",COMPLEX(LDM2_DCR,B749*LDM2_L)),COMPLEX(0,B749*LDM2_CPA))))</f>
        <v>0</v>
      </c>
      <c r="J749">
        <f>IMSUM(IMDIV("1",COMPLEX(CX2_ESR,B749*CX2_ESL-1/(B749*CX2_C))),IMDIV("1",IMSUM(COMPLEX(DUMP2_R,0),COMPLEX(DUMP2_ESR,B749*DUMP2_ESL-1/(B749*DUMP2_C)))))</f>
        <v>0</v>
      </c>
      <c r="K749">
        <f>IMPRODUCT("2",IMDIV("1",IMSUM(IMDIV("1",COMPLEX(CMC_DCR,B749*CMC_L*(1-CMC_K))),COMPLEX(0,B749*CMC_CPA))))</f>
        <v>0</v>
      </c>
      <c r="L749">
        <f>IMSUM(COMPLEX(0,B749*CMC_CLINE),IMDIV("1",IMPRODUCT("2",COMPLEX(CY_ESR,B749*CY_ESL-1/(B749*CY_C)))),COMPLEX(1/DUMMY_R,0))</f>
        <v>0</v>
      </c>
      <c r="M749">
        <f>IMSUM(D749,IMDIV("1",C749))</f>
        <v>0</v>
      </c>
      <c r="N749">
        <f>IMDIV("1",IMSUM(E749,IMDIV("1",M749)))</f>
        <v>0</v>
      </c>
      <c r="O749">
        <f>IMSUM(F749,N749)</f>
        <v>0</v>
      </c>
      <c r="P749">
        <f>IMDIV("1",IMSUM(G749,IMDIV("1",O749)))</f>
        <v>0</v>
      </c>
      <c r="Q749">
        <f>IMSUM(H749,P749)</f>
        <v>0</v>
      </c>
      <c r="R749">
        <f>IMDIV("1",IMSUM(I749,IMDIV("1",Q749)))</f>
        <v>0</v>
      </c>
      <c r="S749">
        <f>IMSUM(J749,R749)</f>
        <v>0</v>
      </c>
      <c r="T749">
        <f>IMDIV("1",IMSUM(K749,IMDIV("1",S749)))</f>
        <v>0</v>
      </c>
      <c r="U749">
        <f>IMSUM(L749,T749)</f>
        <v>0</v>
      </c>
      <c r="V749">
        <f>IMDIV(COMPLEX(I_DM_SOURCE,0),U749)</f>
        <v>0</v>
      </c>
      <c r="W749">
        <f>IMPRODUCT(V749,T749)</f>
        <v>0</v>
      </c>
      <c r="X749">
        <f>IMDIV(W749,S749)</f>
        <v>0</v>
      </c>
      <c r="Y749">
        <f>IMPRODUCT(X749,R749)</f>
        <v>0</v>
      </c>
      <c r="Z749">
        <f>IMDIV(Y749,Q749)</f>
        <v>0</v>
      </c>
      <c r="AA749">
        <f>IMPRODUCT(Z749,P749)</f>
        <v>0</v>
      </c>
      <c r="AB749">
        <f>AA749</f>
        <v>0</v>
      </c>
      <c r="AC749">
        <f>IMPRODUCT("-1",AB749)</f>
        <v>0</v>
      </c>
      <c r="AD749">
        <f>IMDIV(IMSUB(AB749,AC749),"2")</f>
        <v>0</v>
      </c>
      <c r="AE749" s="6">
        <f>IMABS(AB749)</f>
        <v>0</v>
      </c>
      <c r="AF749" s="6">
        <f>IMABS(AC749)</f>
        <v>0</v>
      </c>
      <c r="AG749" s="6">
        <f>IMABS(AD749)</f>
        <v>0</v>
      </c>
      <c r="AH749" s="7">
        <f>20*LOG10(MAX(AE749,1E-300)*1E6)</f>
        <v>0</v>
      </c>
      <c r="AI749" s="7">
        <f>20*LOG10(MAX(AF749,1E-300)*1E6)</f>
        <v>0</v>
      </c>
      <c r="AJ749" s="7">
        <f>20*LOG10(MAX(AG749,1E-300)*1E6)</f>
        <v>0</v>
      </c>
      <c r="AK749" s="7">
        <f>DEGREES(IMARGUMENT(AB749))</f>
        <v>0</v>
      </c>
      <c r="AL749" s="7">
        <f>DEGREES(IMARGUMENT(AC749))</f>
        <v>0</v>
      </c>
      <c r="AM749" s="7">
        <f>DEGREES(IMARGUMENT(AD749))</f>
        <v>0</v>
      </c>
    </row>
    <row r="750" spans="1:39">
      <c r="A750" s="6">
        <f>10^(LOG10(F_START)+(ROW()-ROW($A$2))*(LOG10(F_STOP)-LOG10(F_START))/(N_POINTS-1))</f>
        <v>0</v>
      </c>
      <c r="B750" s="6">
        <f>2*PI()*A750</f>
        <v>0</v>
      </c>
      <c r="C750">
        <f>COMPLEX(2*LINE_PS_DCR,2*B750*LINE_PS_L)</f>
        <v>0</v>
      </c>
      <c r="D750">
        <f>IMSUM(COMPLEX(0,B750*(LINE_PS_CLINE+LINE_PS_CCHA/2)),IMDIV("1",IMPRODUCT("2",COMPLEX(C_THROUGH_ESR,B750*C_THROUGH_ESL-1/(B750*C_THROUGH_C)))))</f>
        <v>0</v>
      </c>
      <c r="E750">
        <f>COMPLEX(2*LINE_INPUT_DCR,2*B750*LINE_INPUT_L)</f>
        <v>0</v>
      </c>
      <c r="F750">
        <f>COMPLEX(0,B750*(LINE_INPUT_CLINE+LINE_INPUT_CCHA/2))</f>
        <v>0</v>
      </c>
      <c r="G750">
        <f>IMPRODUCT("2",IMDIV("1",IMSUM(IMDIV("1",COMPLEX(LDM1_DCR,B750*LDM1_L)),COMPLEX(0,B750*LDM1_CPA))))</f>
        <v>0</v>
      </c>
      <c r="H750">
        <f>IMSUM(IMDIV("1",COMPLEX(CX1_ESR,B750*CX1_ESL-1/(B750*CX1_C))),IMDIV("1",IMSUM(COMPLEX(DUMP1_R,0),COMPLEX(DUMP1_ESR,B750*DUMP1_ESL-1/(B750*DUMP1_C)))))</f>
        <v>0</v>
      </c>
      <c r="I750">
        <f>IMPRODUCT("2",IMDIV("1",IMSUM(IMDIV("1",COMPLEX(LDM2_DCR,B750*LDM2_L)),COMPLEX(0,B750*LDM2_CPA))))</f>
        <v>0</v>
      </c>
      <c r="J750">
        <f>IMSUM(IMDIV("1",COMPLEX(CX2_ESR,B750*CX2_ESL-1/(B750*CX2_C))),IMDIV("1",IMSUM(COMPLEX(DUMP2_R,0),COMPLEX(DUMP2_ESR,B750*DUMP2_ESL-1/(B750*DUMP2_C)))))</f>
        <v>0</v>
      </c>
      <c r="K750">
        <f>IMPRODUCT("2",IMDIV("1",IMSUM(IMDIV("1",COMPLEX(CMC_DCR,B750*CMC_L*(1-CMC_K))),COMPLEX(0,B750*CMC_CPA))))</f>
        <v>0</v>
      </c>
      <c r="L750">
        <f>IMSUM(COMPLEX(0,B750*CMC_CLINE),IMDIV("1",IMPRODUCT("2",COMPLEX(CY_ESR,B750*CY_ESL-1/(B750*CY_C)))),COMPLEX(1/DUMMY_R,0))</f>
        <v>0</v>
      </c>
      <c r="M750">
        <f>IMSUM(D750,IMDIV("1",C750))</f>
        <v>0</v>
      </c>
      <c r="N750">
        <f>IMDIV("1",IMSUM(E750,IMDIV("1",M750)))</f>
        <v>0</v>
      </c>
      <c r="O750">
        <f>IMSUM(F750,N750)</f>
        <v>0</v>
      </c>
      <c r="P750">
        <f>IMDIV("1",IMSUM(G750,IMDIV("1",O750)))</f>
        <v>0</v>
      </c>
      <c r="Q750">
        <f>IMSUM(H750,P750)</f>
        <v>0</v>
      </c>
      <c r="R750">
        <f>IMDIV("1",IMSUM(I750,IMDIV("1",Q750)))</f>
        <v>0</v>
      </c>
      <c r="S750">
        <f>IMSUM(J750,R750)</f>
        <v>0</v>
      </c>
      <c r="T750">
        <f>IMDIV("1",IMSUM(K750,IMDIV("1",S750)))</f>
        <v>0</v>
      </c>
      <c r="U750">
        <f>IMSUM(L750,T750)</f>
        <v>0</v>
      </c>
      <c r="V750">
        <f>IMDIV(COMPLEX(I_DM_SOURCE,0),U750)</f>
        <v>0</v>
      </c>
      <c r="W750">
        <f>IMPRODUCT(V750,T750)</f>
        <v>0</v>
      </c>
      <c r="X750">
        <f>IMDIV(W750,S750)</f>
        <v>0</v>
      </c>
      <c r="Y750">
        <f>IMPRODUCT(X750,R750)</f>
        <v>0</v>
      </c>
      <c r="Z750">
        <f>IMDIV(Y750,Q750)</f>
        <v>0</v>
      </c>
      <c r="AA750">
        <f>IMPRODUCT(Z750,P750)</f>
        <v>0</v>
      </c>
      <c r="AB750">
        <f>AA750</f>
        <v>0</v>
      </c>
      <c r="AC750">
        <f>IMPRODUCT("-1",AB750)</f>
        <v>0</v>
      </c>
      <c r="AD750">
        <f>IMDIV(IMSUB(AB750,AC750),"2")</f>
        <v>0</v>
      </c>
      <c r="AE750" s="6">
        <f>IMABS(AB750)</f>
        <v>0</v>
      </c>
      <c r="AF750" s="6">
        <f>IMABS(AC750)</f>
        <v>0</v>
      </c>
      <c r="AG750" s="6">
        <f>IMABS(AD750)</f>
        <v>0</v>
      </c>
      <c r="AH750" s="7">
        <f>20*LOG10(MAX(AE750,1E-300)*1E6)</f>
        <v>0</v>
      </c>
      <c r="AI750" s="7">
        <f>20*LOG10(MAX(AF750,1E-300)*1E6)</f>
        <v>0</v>
      </c>
      <c r="AJ750" s="7">
        <f>20*LOG10(MAX(AG750,1E-300)*1E6)</f>
        <v>0</v>
      </c>
      <c r="AK750" s="7">
        <f>DEGREES(IMARGUMENT(AB750))</f>
        <v>0</v>
      </c>
      <c r="AL750" s="7">
        <f>DEGREES(IMARGUMENT(AC750))</f>
        <v>0</v>
      </c>
      <c r="AM750" s="7">
        <f>DEGREES(IMARGUMENT(AD750))</f>
        <v>0</v>
      </c>
    </row>
    <row r="751" spans="1:39">
      <c r="A751" s="6">
        <f>10^(LOG10(F_START)+(ROW()-ROW($A$2))*(LOG10(F_STOP)-LOG10(F_START))/(N_POINTS-1))</f>
        <v>0</v>
      </c>
      <c r="B751" s="6">
        <f>2*PI()*A751</f>
        <v>0</v>
      </c>
      <c r="C751">
        <f>COMPLEX(2*LINE_PS_DCR,2*B751*LINE_PS_L)</f>
        <v>0</v>
      </c>
      <c r="D751">
        <f>IMSUM(COMPLEX(0,B751*(LINE_PS_CLINE+LINE_PS_CCHA/2)),IMDIV("1",IMPRODUCT("2",COMPLEX(C_THROUGH_ESR,B751*C_THROUGH_ESL-1/(B751*C_THROUGH_C)))))</f>
        <v>0</v>
      </c>
      <c r="E751">
        <f>COMPLEX(2*LINE_INPUT_DCR,2*B751*LINE_INPUT_L)</f>
        <v>0</v>
      </c>
      <c r="F751">
        <f>COMPLEX(0,B751*(LINE_INPUT_CLINE+LINE_INPUT_CCHA/2))</f>
        <v>0</v>
      </c>
      <c r="G751">
        <f>IMPRODUCT("2",IMDIV("1",IMSUM(IMDIV("1",COMPLEX(LDM1_DCR,B751*LDM1_L)),COMPLEX(0,B751*LDM1_CPA))))</f>
        <v>0</v>
      </c>
      <c r="H751">
        <f>IMSUM(IMDIV("1",COMPLEX(CX1_ESR,B751*CX1_ESL-1/(B751*CX1_C))),IMDIV("1",IMSUM(COMPLEX(DUMP1_R,0),COMPLEX(DUMP1_ESR,B751*DUMP1_ESL-1/(B751*DUMP1_C)))))</f>
        <v>0</v>
      </c>
      <c r="I751">
        <f>IMPRODUCT("2",IMDIV("1",IMSUM(IMDIV("1",COMPLEX(LDM2_DCR,B751*LDM2_L)),COMPLEX(0,B751*LDM2_CPA))))</f>
        <v>0</v>
      </c>
      <c r="J751">
        <f>IMSUM(IMDIV("1",COMPLEX(CX2_ESR,B751*CX2_ESL-1/(B751*CX2_C))),IMDIV("1",IMSUM(COMPLEX(DUMP2_R,0),COMPLEX(DUMP2_ESR,B751*DUMP2_ESL-1/(B751*DUMP2_C)))))</f>
        <v>0</v>
      </c>
      <c r="K751">
        <f>IMPRODUCT("2",IMDIV("1",IMSUM(IMDIV("1",COMPLEX(CMC_DCR,B751*CMC_L*(1-CMC_K))),COMPLEX(0,B751*CMC_CPA))))</f>
        <v>0</v>
      </c>
      <c r="L751">
        <f>IMSUM(COMPLEX(0,B751*CMC_CLINE),IMDIV("1",IMPRODUCT("2",COMPLEX(CY_ESR,B751*CY_ESL-1/(B751*CY_C)))),COMPLEX(1/DUMMY_R,0))</f>
        <v>0</v>
      </c>
      <c r="M751">
        <f>IMSUM(D751,IMDIV("1",C751))</f>
        <v>0</v>
      </c>
      <c r="N751">
        <f>IMDIV("1",IMSUM(E751,IMDIV("1",M751)))</f>
        <v>0</v>
      </c>
      <c r="O751">
        <f>IMSUM(F751,N751)</f>
        <v>0</v>
      </c>
      <c r="P751">
        <f>IMDIV("1",IMSUM(G751,IMDIV("1",O751)))</f>
        <v>0</v>
      </c>
      <c r="Q751">
        <f>IMSUM(H751,P751)</f>
        <v>0</v>
      </c>
      <c r="R751">
        <f>IMDIV("1",IMSUM(I751,IMDIV("1",Q751)))</f>
        <v>0</v>
      </c>
      <c r="S751">
        <f>IMSUM(J751,R751)</f>
        <v>0</v>
      </c>
      <c r="T751">
        <f>IMDIV("1",IMSUM(K751,IMDIV("1",S751)))</f>
        <v>0</v>
      </c>
      <c r="U751">
        <f>IMSUM(L751,T751)</f>
        <v>0</v>
      </c>
      <c r="V751">
        <f>IMDIV(COMPLEX(I_DM_SOURCE,0),U751)</f>
        <v>0</v>
      </c>
      <c r="W751">
        <f>IMPRODUCT(V751,T751)</f>
        <v>0</v>
      </c>
      <c r="X751">
        <f>IMDIV(W751,S751)</f>
        <v>0</v>
      </c>
      <c r="Y751">
        <f>IMPRODUCT(X751,R751)</f>
        <v>0</v>
      </c>
      <c r="Z751">
        <f>IMDIV(Y751,Q751)</f>
        <v>0</v>
      </c>
      <c r="AA751">
        <f>IMPRODUCT(Z751,P751)</f>
        <v>0</v>
      </c>
      <c r="AB751">
        <f>AA751</f>
        <v>0</v>
      </c>
      <c r="AC751">
        <f>IMPRODUCT("-1",AB751)</f>
        <v>0</v>
      </c>
      <c r="AD751">
        <f>IMDIV(IMSUB(AB751,AC751),"2")</f>
        <v>0</v>
      </c>
      <c r="AE751" s="6">
        <f>IMABS(AB751)</f>
        <v>0</v>
      </c>
      <c r="AF751" s="6">
        <f>IMABS(AC751)</f>
        <v>0</v>
      </c>
      <c r="AG751" s="6">
        <f>IMABS(AD751)</f>
        <v>0</v>
      </c>
      <c r="AH751" s="7">
        <f>20*LOG10(MAX(AE751,1E-300)*1E6)</f>
        <v>0</v>
      </c>
      <c r="AI751" s="7">
        <f>20*LOG10(MAX(AF751,1E-300)*1E6)</f>
        <v>0</v>
      </c>
      <c r="AJ751" s="7">
        <f>20*LOG10(MAX(AG751,1E-300)*1E6)</f>
        <v>0</v>
      </c>
      <c r="AK751" s="7">
        <f>DEGREES(IMARGUMENT(AB751))</f>
        <v>0</v>
      </c>
      <c r="AL751" s="7">
        <f>DEGREES(IMARGUMENT(AC751))</f>
        <v>0</v>
      </c>
      <c r="AM751" s="7">
        <f>DEGREES(IMARGUMENT(AD751))</f>
        <v>0</v>
      </c>
    </row>
    <row r="752" spans="1:39">
      <c r="A752" s="6">
        <f>10^(LOG10(F_START)+(ROW()-ROW($A$2))*(LOG10(F_STOP)-LOG10(F_START))/(N_POINTS-1))</f>
        <v>0</v>
      </c>
      <c r="B752" s="6">
        <f>2*PI()*A752</f>
        <v>0</v>
      </c>
      <c r="C752">
        <f>COMPLEX(2*LINE_PS_DCR,2*B752*LINE_PS_L)</f>
        <v>0</v>
      </c>
      <c r="D752">
        <f>IMSUM(COMPLEX(0,B752*(LINE_PS_CLINE+LINE_PS_CCHA/2)),IMDIV("1",IMPRODUCT("2",COMPLEX(C_THROUGH_ESR,B752*C_THROUGH_ESL-1/(B752*C_THROUGH_C)))))</f>
        <v>0</v>
      </c>
      <c r="E752">
        <f>COMPLEX(2*LINE_INPUT_DCR,2*B752*LINE_INPUT_L)</f>
        <v>0</v>
      </c>
      <c r="F752">
        <f>COMPLEX(0,B752*(LINE_INPUT_CLINE+LINE_INPUT_CCHA/2))</f>
        <v>0</v>
      </c>
      <c r="G752">
        <f>IMPRODUCT("2",IMDIV("1",IMSUM(IMDIV("1",COMPLEX(LDM1_DCR,B752*LDM1_L)),COMPLEX(0,B752*LDM1_CPA))))</f>
        <v>0</v>
      </c>
      <c r="H752">
        <f>IMSUM(IMDIV("1",COMPLEX(CX1_ESR,B752*CX1_ESL-1/(B752*CX1_C))),IMDIV("1",IMSUM(COMPLEX(DUMP1_R,0),COMPLEX(DUMP1_ESR,B752*DUMP1_ESL-1/(B752*DUMP1_C)))))</f>
        <v>0</v>
      </c>
      <c r="I752">
        <f>IMPRODUCT("2",IMDIV("1",IMSUM(IMDIV("1",COMPLEX(LDM2_DCR,B752*LDM2_L)),COMPLEX(0,B752*LDM2_CPA))))</f>
        <v>0</v>
      </c>
      <c r="J752">
        <f>IMSUM(IMDIV("1",COMPLEX(CX2_ESR,B752*CX2_ESL-1/(B752*CX2_C))),IMDIV("1",IMSUM(COMPLEX(DUMP2_R,0),COMPLEX(DUMP2_ESR,B752*DUMP2_ESL-1/(B752*DUMP2_C)))))</f>
        <v>0</v>
      </c>
      <c r="K752">
        <f>IMPRODUCT("2",IMDIV("1",IMSUM(IMDIV("1",COMPLEX(CMC_DCR,B752*CMC_L*(1-CMC_K))),COMPLEX(0,B752*CMC_CPA))))</f>
        <v>0</v>
      </c>
      <c r="L752">
        <f>IMSUM(COMPLEX(0,B752*CMC_CLINE),IMDIV("1",IMPRODUCT("2",COMPLEX(CY_ESR,B752*CY_ESL-1/(B752*CY_C)))),COMPLEX(1/DUMMY_R,0))</f>
        <v>0</v>
      </c>
      <c r="M752">
        <f>IMSUM(D752,IMDIV("1",C752))</f>
        <v>0</v>
      </c>
      <c r="N752">
        <f>IMDIV("1",IMSUM(E752,IMDIV("1",M752)))</f>
        <v>0</v>
      </c>
      <c r="O752">
        <f>IMSUM(F752,N752)</f>
        <v>0</v>
      </c>
      <c r="P752">
        <f>IMDIV("1",IMSUM(G752,IMDIV("1",O752)))</f>
        <v>0</v>
      </c>
      <c r="Q752">
        <f>IMSUM(H752,P752)</f>
        <v>0</v>
      </c>
      <c r="R752">
        <f>IMDIV("1",IMSUM(I752,IMDIV("1",Q752)))</f>
        <v>0</v>
      </c>
      <c r="S752">
        <f>IMSUM(J752,R752)</f>
        <v>0</v>
      </c>
      <c r="T752">
        <f>IMDIV("1",IMSUM(K752,IMDIV("1",S752)))</f>
        <v>0</v>
      </c>
      <c r="U752">
        <f>IMSUM(L752,T752)</f>
        <v>0</v>
      </c>
      <c r="V752">
        <f>IMDIV(COMPLEX(I_DM_SOURCE,0),U752)</f>
        <v>0</v>
      </c>
      <c r="W752">
        <f>IMPRODUCT(V752,T752)</f>
        <v>0</v>
      </c>
      <c r="X752">
        <f>IMDIV(W752,S752)</f>
        <v>0</v>
      </c>
      <c r="Y752">
        <f>IMPRODUCT(X752,R752)</f>
        <v>0</v>
      </c>
      <c r="Z752">
        <f>IMDIV(Y752,Q752)</f>
        <v>0</v>
      </c>
      <c r="AA752">
        <f>IMPRODUCT(Z752,P752)</f>
        <v>0</v>
      </c>
      <c r="AB752">
        <f>AA752</f>
        <v>0</v>
      </c>
      <c r="AC752">
        <f>IMPRODUCT("-1",AB752)</f>
        <v>0</v>
      </c>
      <c r="AD752">
        <f>IMDIV(IMSUB(AB752,AC752),"2")</f>
        <v>0</v>
      </c>
      <c r="AE752" s="6">
        <f>IMABS(AB752)</f>
        <v>0</v>
      </c>
      <c r="AF752" s="6">
        <f>IMABS(AC752)</f>
        <v>0</v>
      </c>
      <c r="AG752" s="6">
        <f>IMABS(AD752)</f>
        <v>0</v>
      </c>
      <c r="AH752" s="7">
        <f>20*LOG10(MAX(AE752,1E-300)*1E6)</f>
        <v>0</v>
      </c>
      <c r="AI752" s="7">
        <f>20*LOG10(MAX(AF752,1E-300)*1E6)</f>
        <v>0</v>
      </c>
      <c r="AJ752" s="7">
        <f>20*LOG10(MAX(AG752,1E-300)*1E6)</f>
        <v>0</v>
      </c>
      <c r="AK752" s="7">
        <f>DEGREES(IMARGUMENT(AB752))</f>
        <v>0</v>
      </c>
      <c r="AL752" s="7">
        <f>DEGREES(IMARGUMENT(AC752))</f>
        <v>0</v>
      </c>
      <c r="AM752" s="7">
        <f>DEGREES(IMARGUMENT(AD752))</f>
        <v>0</v>
      </c>
    </row>
    <row r="753" spans="1:39">
      <c r="A753" s="6">
        <f>10^(LOG10(F_START)+(ROW()-ROW($A$2))*(LOG10(F_STOP)-LOG10(F_START))/(N_POINTS-1))</f>
        <v>0</v>
      </c>
      <c r="B753" s="6">
        <f>2*PI()*A753</f>
        <v>0</v>
      </c>
      <c r="C753">
        <f>COMPLEX(2*LINE_PS_DCR,2*B753*LINE_PS_L)</f>
        <v>0</v>
      </c>
      <c r="D753">
        <f>IMSUM(COMPLEX(0,B753*(LINE_PS_CLINE+LINE_PS_CCHA/2)),IMDIV("1",IMPRODUCT("2",COMPLEX(C_THROUGH_ESR,B753*C_THROUGH_ESL-1/(B753*C_THROUGH_C)))))</f>
        <v>0</v>
      </c>
      <c r="E753">
        <f>COMPLEX(2*LINE_INPUT_DCR,2*B753*LINE_INPUT_L)</f>
        <v>0</v>
      </c>
      <c r="F753">
        <f>COMPLEX(0,B753*(LINE_INPUT_CLINE+LINE_INPUT_CCHA/2))</f>
        <v>0</v>
      </c>
      <c r="G753">
        <f>IMPRODUCT("2",IMDIV("1",IMSUM(IMDIV("1",COMPLEX(LDM1_DCR,B753*LDM1_L)),COMPLEX(0,B753*LDM1_CPA))))</f>
        <v>0</v>
      </c>
      <c r="H753">
        <f>IMSUM(IMDIV("1",COMPLEX(CX1_ESR,B753*CX1_ESL-1/(B753*CX1_C))),IMDIV("1",IMSUM(COMPLEX(DUMP1_R,0),COMPLEX(DUMP1_ESR,B753*DUMP1_ESL-1/(B753*DUMP1_C)))))</f>
        <v>0</v>
      </c>
      <c r="I753">
        <f>IMPRODUCT("2",IMDIV("1",IMSUM(IMDIV("1",COMPLEX(LDM2_DCR,B753*LDM2_L)),COMPLEX(0,B753*LDM2_CPA))))</f>
        <v>0</v>
      </c>
      <c r="J753">
        <f>IMSUM(IMDIV("1",COMPLEX(CX2_ESR,B753*CX2_ESL-1/(B753*CX2_C))),IMDIV("1",IMSUM(COMPLEX(DUMP2_R,0),COMPLEX(DUMP2_ESR,B753*DUMP2_ESL-1/(B753*DUMP2_C)))))</f>
        <v>0</v>
      </c>
      <c r="K753">
        <f>IMPRODUCT("2",IMDIV("1",IMSUM(IMDIV("1",COMPLEX(CMC_DCR,B753*CMC_L*(1-CMC_K))),COMPLEX(0,B753*CMC_CPA))))</f>
        <v>0</v>
      </c>
      <c r="L753">
        <f>IMSUM(COMPLEX(0,B753*CMC_CLINE),IMDIV("1",IMPRODUCT("2",COMPLEX(CY_ESR,B753*CY_ESL-1/(B753*CY_C)))),COMPLEX(1/DUMMY_R,0))</f>
        <v>0</v>
      </c>
      <c r="M753">
        <f>IMSUM(D753,IMDIV("1",C753))</f>
        <v>0</v>
      </c>
      <c r="N753">
        <f>IMDIV("1",IMSUM(E753,IMDIV("1",M753)))</f>
        <v>0</v>
      </c>
      <c r="O753">
        <f>IMSUM(F753,N753)</f>
        <v>0</v>
      </c>
      <c r="P753">
        <f>IMDIV("1",IMSUM(G753,IMDIV("1",O753)))</f>
        <v>0</v>
      </c>
      <c r="Q753">
        <f>IMSUM(H753,P753)</f>
        <v>0</v>
      </c>
      <c r="R753">
        <f>IMDIV("1",IMSUM(I753,IMDIV("1",Q753)))</f>
        <v>0</v>
      </c>
      <c r="S753">
        <f>IMSUM(J753,R753)</f>
        <v>0</v>
      </c>
      <c r="T753">
        <f>IMDIV("1",IMSUM(K753,IMDIV("1",S753)))</f>
        <v>0</v>
      </c>
      <c r="U753">
        <f>IMSUM(L753,T753)</f>
        <v>0</v>
      </c>
      <c r="V753">
        <f>IMDIV(COMPLEX(I_DM_SOURCE,0),U753)</f>
        <v>0</v>
      </c>
      <c r="W753">
        <f>IMPRODUCT(V753,T753)</f>
        <v>0</v>
      </c>
      <c r="X753">
        <f>IMDIV(W753,S753)</f>
        <v>0</v>
      </c>
      <c r="Y753">
        <f>IMPRODUCT(X753,R753)</f>
        <v>0</v>
      </c>
      <c r="Z753">
        <f>IMDIV(Y753,Q753)</f>
        <v>0</v>
      </c>
      <c r="AA753">
        <f>IMPRODUCT(Z753,P753)</f>
        <v>0</v>
      </c>
      <c r="AB753">
        <f>AA753</f>
        <v>0</v>
      </c>
      <c r="AC753">
        <f>IMPRODUCT("-1",AB753)</f>
        <v>0</v>
      </c>
      <c r="AD753">
        <f>IMDIV(IMSUB(AB753,AC753),"2")</f>
        <v>0</v>
      </c>
      <c r="AE753" s="6">
        <f>IMABS(AB753)</f>
        <v>0</v>
      </c>
      <c r="AF753" s="6">
        <f>IMABS(AC753)</f>
        <v>0</v>
      </c>
      <c r="AG753" s="6">
        <f>IMABS(AD753)</f>
        <v>0</v>
      </c>
      <c r="AH753" s="7">
        <f>20*LOG10(MAX(AE753,1E-300)*1E6)</f>
        <v>0</v>
      </c>
      <c r="AI753" s="7">
        <f>20*LOG10(MAX(AF753,1E-300)*1E6)</f>
        <v>0</v>
      </c>
      <c r="AJ753" s="7">
        <f>20*LOG10(MAX(AG753,1E-300)*1E6)</f>
        <v>0</v>
      </c>
      <c r="AK753" s="7">
        <f>DEGREES(IMARGUMENT(AB753))</f>
        <v>0</v>
      </c>
      <c r="AL753" s="7">
        <f>DEGREES(IMARGUMENT(AC753))</f>
        <v>0</v>
      </c>
      <c r="AM753" s="7">
        <f>DEGREES(IMARGUMENT(AD753))</f>
        <v>0</v>
      </c>
    </row>
    <row r="754" spans="1:39">
      <c r="A754" s="6">
        <f>10^(LOG10(F_START)+(ROW()-ROW($A$2))*(LOG10(F_STOP)-LOG10(F_START))/(N_POINTS-1))</f>
        <v>0</v>
      </c>
      <c r="B754" s="6">
        <f>2*PI()*A754</f>
        <v>0</v>
      </c>
      <c r="C754">
        <f>COMPLEX(2*LINE_PS_DCR,2*B754*LINE_PS_L)</f>
        <v>0</v>
      </c>
      <c r="D754">
        <f>IMSUM(COMPLEX(0,B754*(LINE_PS_CLINE+LINE_PS_CCHA/2)),IMDIV("1",IMPRODUCT("2",COMPLEX(C_THROUGH_ESR,B754*C_THROUGH_ESL-1/(B754*C_THROUGH_C)))))</f>
        <v>0</v>
      </c>
      <c r="E754">
        <f>COMPLEX(2*LINE_INPUT_DCR,2*B754*LINE_INPUT_L)</f>
        <v>0</v>
      </c>
      <c r="F754">
        <f>COMPLEX(0,B754*(LINE_INPUT_CLINE+LINE_INPUT_CCHA/2))</f>
        <v>0</v>
      </c>
      <c r="G754">
        <f>IMPRODUCT("2",IMDIV("1",IMSUM(IMDIV("1",COMPLEX(LDM1_DCR,B754*LDM1_L)),COMPLEX(0,B754*LDM1_CPA))))</f>
        <v>0</v>
      </c>
      <c r="H754">
        <f>IMSUM(IMDIV("1",COMPLEX(CX1_ESR,B754*CX1_ESL-1/(B754*CX1_C))),IMDIV("1",IMSUM(COMPLEX(DUMP1_R,0),COMPLEX(DUMP1_ESR,B754*DUMP1_ESL-1/(B754*DUMP1_C)))))</f>
        <v>0</v>
      </c>
      <c r="I754">
        <f>IMPRODUCT("2",IMDIV("1",IMSUM(IMDIV("1",COMPLEX(LDM2_DCR,B754*LDM2_L)),COMPLEX(0,B754*LDM2_CPA))))</f>
        <v>0</v>
      </c>
      <c r="J754">
        <f>IMSUM(IMDIV("1",COMPLEX(CX2_ESR,B754*CX2_ESL-1/(B754*CX2_C))),IMDIV("1",IMSUM(COMPLEX(DUMP2_R,0),COMPLEX(DUMP2_ESR,B754*DUMP2_ESL-1/(B754*DUMP2_C)))))</f>
        <v>0</v>
      </c>
      <c r="K754">
        <f>IMPRODUCT("2",IMDIV("1",IMSUM(IMDIV("1",COMPLEX(CMC_DCR,B754*CMC_L*(1-CMC_K))),COMPLEX(0,B754*CMC_CPA))))</f>
        <v>0</v>
      </c>
      <c r="L754">
        <f>IMSUM(COMPLEX(0,B754*CMC_CLINE),IMDIV("1",IMPRODUCT("2",COMPLEX(CY_ESR,B754*CY_ESL-1/(B754*CY_C)))),COMPLEX(1/DUMMY_R,0))</f>
        <v>0</v>
      </c>
      <c r="M754">
        <f>IMSUM(D754,IMDIV("1",C754))</f>
        <v>0</v>
      </c>
      <c r="N754">
        <f>IMDIV("1",IMSUM(E754,IMDIV("1",M754)))</f>
        <v>0</v>
      </c>
      <c r="O754">
        <f>IMSUM(F754,N754)</f>
        <v>0</v>
      </c>
      <c r="P754">
        <f>IMDIV("1",IMSUM(G754,IMDIV("1",O754)))</f>
        <v>0</v>
      </c>
      <c r="Q754">
        <f>IMSUM(H754,P754)</f>
        <v>0</v>
      </c>
      <c r="R754">
        <f>IMDIV("1",IMSUM(I754,IMDIV("1",Q754)))</f>
        <v>0</v>
      </c>
      <c r="S754">
        <f>IMSUM(J754,R754)</f>
        <v>0</v>
      </c>
      <c r="T754">
        <f>IMDIV("1",IMSUM(K754,IMDIV("1",S754)))</f>
        <v>0</v>
      </c>
      <c r="U754">
        <f>IMSUM(L754,T754)</f>
        <v>0</v>
      </c>
      <c r="V754">
        <f>IMDIV(COMPLEX(I_DM_SOURCE,0),U754)</f>
        <v>0</v>
      </c>
      <c r="W754">
        <f>IMPRODUCT(V754,T754)</f>
        <v>0</v>
      </c>
      <c r="X754">
        <f>IMDIV(W754,S754)</f>
        <v>0</v>
      </c>
      <c r="Y754">
        <f>IMPRODUCT(X754,R754)</f>
        <v>0</v>
      </c>
      <c r="Z754">
        <f>IMDIV(Y754,Q754)</f>
        <v>0</v>
      </c>
      <c r="AA754">
        <f>IMPRODUCT(Z754,P754)</f>
        <v>0</v>
      </c>
      <c r="AB754">
        <f>AA754</f>
        <v>0</v>
      </c>
      <c r="AC754">
        <f>IMPRODUCT("-1",AB754)</f>
        <v>0</v>
      </c>
      <c r="AD754">
        <f>IMDIV(IMSUB(AB754,AC754),"2")</f>
        <v>0</v>
      </c>
      <c r="AE754" s="6">
        <f>IMABS(AB754)</f>
        <v>0</v>
      </c>
      <c r="AF754" s="6">
        <f>IMABS(AC754)</f>
        <v>0</v>
      </c>
      <c r="AG754" s="6">
        <f>IMABS(AD754)</f>
        <v>0</v>
      </c>
      <c r="AH754" s="7">
        <f>20*LOG10(MAX(AE754,1E-300)*1E6)</f>
        <v>0</v>
      </c>
      <c r="AI754" s="7">
        <f>20*LOG10(MAX(AF754,1E-300)*1E6)</f>
        <v>0</v>
      </c>
      <c r="AJ754" s="7">
        <f>20*LOG10(MAX(AG754,1E-300)*1E6)</f>
        <v>0</v>
      </c>
      <c r="AK754" s="7">
        <f>DEGREES(IMARGUMENT(AB754))</f>
        <v>0</v>
      </c>
      <c r="AL754" s="7">
        <f>DEGREES(IMARGUMENT(AC754))</f>
        <v>0</v>
      </c>
      <c r="AM754" s="7">
        <f>DEGREES(IMARGUMENT(AD754))</f>
        <v>0</v>
      </c>
    </row>
    <row r="755" spans="1:39">
      <c r="A755" s="6">
        <f>10^(LOG10(F_START)+(ROW()-ROW($A$2))*(LOG10(F_STOP)-LOG10(F_START))/(N_POINTS-1))</f>
        <v>0</v>
      </c>
      <c r="B755" s="6">
        <f>2*PI()*A755</f>
        <v>0</v>
      </c>
      <c r="C755">
        <f>COMPLEX(2*LINE_PS_DCR,2*B755*LINE_PS_L)</f>
        <v>0</v>
      </c>
      <c r="D755">
        <f>IMSUM(COMPLEX(0,B755*(LINE_PS_CLINE+LINE_PS_CCHA/2)),IMDIV("1",IMPRODUCT("2",COMPLEX(C_THROUGH_ESR,B755*C_THROUGH_ESL-1/(B755*C_THROUGH_C)))))</f>
        <v>0</v>
      </c>
      <c r="E755">
        <f>COMPLEX(2*LINE_INPUT_DCR,2*B755*LINE_INPUT_L)</f>
        <v>0</v>
      </c>
      <c r="F755">
        <f>COMPLEX(0,B755*(LINE_INPUT_CLINE+LINE_INPUT_CCHA/2))</f>
        <v>0</v>
      </c>
      <c r="G755">
        <f>IMPRODUCT("2",IMDIV("1",IMSUM(IMDIV("1",COMPLEX(LDM1_DCR,B755*LDM1_L)),COMPLEX(0,B755*LDM1_CPA))))</f>
        <v>0</v>
      </c>
      <c r="H755">
        <f>IMSUM(IMDIV("1",COMPLEX(CX1_ESR,B755*CX1_ESL-1/(B755*CX1_C))),IMDIV("1",IMSUM(COMPLEX(DUMP1_R,0),COMPLEX(DUMP1_ESR,B755*DUMP1_ESL-1/(B755*DUMP1_C)))))</f>
        <v>0</v>
      </c>
      <c r="I755">
        <f>IMPRODUCT("2",IMDIV("1",IMSUM(IMDIV("1",COMPLEX(LDM2_DCR,B755*LDM2_L)),COMPLEX(0,B755*LDM2_CPA))))</f>
        <v>0</v>
      </c>
      <c r="J755">
        <f>IMSUM(IMDIV("1",COMPLEX(CX2_ESR,B755*CX2_ESL-1/(B755*CX2_C))),IMDIV("1",IMSUM(COMPLEX(DUMP2_R,0),COMPLEX(DUMP2_ESR,B755*DUMP2_ESL-1/(B755*DUMP2_C)))))</f>
        <v>0</v>
      </c>
      <c r="K755">
        <f>IMPRODUCT("2",IMDIV("1",IMSUM(IMDIV("1",COMPLEX(CMC_DCR,B755*CMC_L*(1-CMC_K))),COMPLEX(0,B755*CMC_CPA))))</f>
        <v>0</v>
      </c>
      <c r="L755">
        <f>IMSUM(COMPLEX(0,B755*CMC_CLINE),IMDIV("1",IMPRODUCT("2",COMPLEX(CY_ESR,B755*CY_ESL-1/(B755*CY_C)))),COMPLEX(1/DUMMY_R,0))</f>
        <v>0</v>
      </c>
      <c r="M755">
        <f>IMSUM(D755,IMDIV("1",C755))</f>
        <v>0</v>
      </c>
      <c r="N755">
        <f>IMDIV("1",IMSUM(E755,IMDIV("1",M755)))</f>
        <v>0</v>
      </c>
      <c r="O755">
        <f>IMSUM(F755,N755)</f>
        <v>0</v>
      </c>
      <c r="P755">
        <f>IMDIV("1",IMSUM(G755,IMDIV("1",O755)))</f>
        <v>0</v>
      </c>
      <c r="Q755">
        <f>IMSUM(H755,P755)</f>
        <v>0</v>
      </c>
      <c r="R755">
        <f>IMDIV("1",IMSUM(I755,IMDIV("1",Q755)))</f>
        <v>0</v>
      </c>
      <c r="S755">
        <f>IMSUM(J755,R755)</f>
        <v>0</v>
      </c>
      <c r="T755">
        <f>IMDIV("1",IMSUM(K755,IMDIV("1",S755)))</f>
        <v>0</v>
      </c>
      <c r="U755">
        <f>IMSUM(L755,T755)</f>
        <v>0</v>
      </c>
      <c r="V755">
        <f>IMDIV(COMPLEX(I_DM_SOURCE,0),U755)</f>
        <v>0</v>
      </c>
      <c r="W755">
        <f>IMPRODUCT(V755,T755)</f>
        <v>0</v>
      </c>
      <c r="X755">
        <f>IMDIV(W755,S755)</f>
        <v>0</v>
      </c>
      <c r="Y755">
        <f>IMPRODUCT(X755,R755)</f>
        <v>0</v>
      </c>
      <c r="Z755">
        <f>IMDIV(Y755,Q755)</f>
        <v>0</v>
      </c>
      <c r="AA755">
        <f>IMPRODUCT(Z755,P755)</f>
        <v>0</v>
      </c>
      <c r="AB755">
        <f>AA755</f>
        <v>0</v>
      </c>
      <c r="AC755">
        <f>IMPRODUCT("-1",AB755)</f>
        <v>0</v>
      </c>
      <c r="AD755">
        <f>IMDIV(IMSUB(AB755,AC755),"2")</f>
        <v>0</v>
      </c>
      <c r="AE755" s="6">
        <f>IMABS(AB755)</f>
        <v>0</v>
      </c>
      <c r="AF755" s="6">
        <f>IMABS(AC755)</f>
        <v>0</v>
      </c>
      <c r="AG755" s="6">
        <f>IMABS(AD755)</f>
        <v>0</v>
      </c>
      <c r="AH755" s="7">
        <f>20*LOG10(MAX(AE755,1E-300)*1E6)</f>
        <v>0</v>
      </c>
      <c r="AI755" s="7">
        <f>20*LOG10(MAX(AF755,1E-300)*1E6)</f>
        <v>0</v>
      </c>
      <c r="AJ755" s="7">
        <f>20*LOG10(MAX(AG755,1E-300)*1E6)</f>
        <v>0</v>
      </c>
      <c r="AK755" s="7">
        <f>DEGREES(IMARGUMENT(AB755))</f>
        <v>0</v>
      </c>
      <c r="AL755" s="7">
        <f>DEGREES(IMARGUMENT(AC755))</f>
        <v>0</v>
      </c>
      <c r="AM755" s="7">
        <f>DEGREES(IMARGUMENT(AD755))</f>
        <v>0</v>
      </c>
    </row>
    <row r="756" spans="1:39">
      <c r="A756" s="6">
        <f>10^(LOG10(F_START)+(ROW()-ROW($A$2))*(LOG10(F_STOP)-LOG10(F_START))/(N_POINTS-1))</f>
        <v>0</v>
      </c>
      <c r="B756" s="6">
        <f>2*PI()*A756</f>
        <v>0</v>
      </c>
      <c r="C756">
        <f>COMPLEX(2*LINE_PS_DCR,2*B756*LINE_PS_L)</f>
        <v>0</v>
      </c>
      <c r="D756">
        <f>IMSUM(COMPLEX(0,B756*(LINE_PS_CLINE+LINE_PS_CCHA/2)),IMDIV("1",IMPRODUCT("2",COMPLEX(C_THROUGH_ESR,B756*C_THROUGH_ESL-1/(B756*C_THROUGH_C)))))</f>
        <v>0</v>
      </c>
      <c r="E756">
        <f>COMPLEX(2*LINE_INPUT_DCR,2*B756*LINE_INPUT_L)</f>
        <v>0</v>
      </c>
      <c r="F756">
        <f>COMPLEX(0,B756*(LINE_INPUT_CLINE+LINE_INPUT_CCHA/2))</f>
        <v>0</v>
      </c>
      <c r="G756">
        <f>IMPRODUCT("2",IMDIV("1",IMSUM(IMDIV("1",COMPLEX(LDM1_DCR,B756*LDM1_L)),COMPLEX(0,B756*LDM1_CPA))))</f>
        <v>0</v>
      </c>
      <c r="H756">
        <f>IMSUM(IMDIV("1",COMPLEX(CX1_ESR,B756*CX1_ESL-1/(B756*CX1_C))),IMDIV("1",IMSUM(COMPLEX(DUMP1_R,0),COMPLEX(DUMP1_ESR,B756*DUMP1_ESL-1/(B756*DUMP1_C)))))</f>
        <v>0</v>
      </c>
      <c r="I756">
        <f>IMPRODUCT("2",IMDIV("1",IMSUM(IMDIV("1",COMPLEX(LDM2_DCR,B756*LDM2_L)),COMPLEX(0,B756*LDM2_CPA))))</f>
        <v>0</v>
      </c>
      <c r="J756">
        <f>IMSUM(IMDIV("1",COMPLEX(CX2_ESR,B756*CX2_ESL-1/(B756*CX2_C))),IMDIV("1",IMSUM(COMPLEX(DUMP2_R,0),COMPLEX(DUMP2_ESR,B756*DUMP2_ESL-1/(B756*DUMP2_C)))))</f>
        <v>0</v>
      </c>
      <c r="K756">
        <f>IMPRODUCT("2",IMDIV("1",IMSUM(IMDIV("1",COMPLEX(CMC_DCR,B756*CMC_L*(1-CMC_K))),COMPLEX(0,B756*CMC_CPA))))</f>
        <v>0</v>
      </c>
      <c r="L756">
        <f>IMSUM(COMPLEX(0,B756*CMC_CLINE),IMDIV("1",IMPRODUCT("2",COMPLEX(CY_ESR,B756*CY_ESL-1/(B756*CY_C)))),COMPLEX(1/DUMMY_R,0))</f>
        <v>0</v>
      </c>
      <c r="M756">
        <f>IMSUM(D756,IMDIV("1",C756))</f>
        <v>0</v>
      </c>
      <c r="N756">
        <f>IMDIV("1",IMSUM(E756,IMDIV("1",M756)))</f>
        <v>0</v>
      </c>
      <c r="O756">
        <f>IMSUM(F756,N756)</f>
        <v>0</v>
      </c>
      <c r="P756">
        <f>IMDIV("1",IMSUM(G756,IMDIV("1",O756)))</f>
        <v>0</v>
      </c>
      <c r="Q756">
        <f>IMSUM(H756,P756)</f>
        <v>0</v>
      </c>
      <c r="R756">
        <f>IMDIV("1",IMSUM(I756,IMDIV("1",Q756)))</f>
        <v>0</v>
      </c>
      <c r="S756">
        <f>IMSUM(J756,R756)</f>
        <v>0</v>
      </c>
      <c r="T756">
        <f>IMDIV("1",IMSUM(K756,IMDIV("1",S756)))</f>
        <v>0</v>
      </c>
      <c r="U756">
        <f>IMSUM(L756,T756)</f>
        <v>0</v>
      </c>
      <c r="V756">
        <f>IMDIV(COMPLEX(I_DM_SOURCE,0),U756)</f>
        <v>0</v>
      </c>
      <c r="W756">
        <f>IMPRODUCT(V756,T756)</f>
        <v>0</v>
      </c>
      <c r="X756">
        <f>IMDIV(W756,S756)</f>
        <v>0</v>
      </c>
      <c r="Y756">
        <f>IMPRODUCT(X756,R756)</f>
        <v>0</v>
      </c>
      <c r="Z756">
        <f>IMDIV(Y756,Q756)</f>
        <v>0</v>
      </c>
      <c r="AA756">
        <f>IMPRODUCT(Z756,P756)</f>
        <v>0</v>
      </c>
      <c r="AB756">
        <f>AA756</f>
        <v>0</v>
      </c>
      <c r="AC756">
        <f>IMPRODUCT("-1",AB756)</f>
        <v>0</v>
      </c>
      <c r="AD756">
        <f>IMDIV(IMSUB(AB756,AC756),"2")</f>
        <v>0</v>
      </c>
      <c r="AE756" s="6">
        <f>IMABS(AB756)</f>
        <v>0</v>
      </c>
      <c r="AF756" s="6">
        <f>IMABS(AC756)</f>
        <v>0</v>
      </c>
      <c r="AG756" s="6">
        <f>IMABS(AD756)</f>
        <v>0</v>
      </c>
      <c r="AH756" s="7">
        <f>20*LOG10(MAX(AE756,1E-300)*1E6)</f>
        <v>0</v>
      </c>
      <c r="AI756" s="7">
        <f>20*LOG10(MAX(AF756,1E-300)*1E6)</f>
        <v>0</v>
      </c>
      <c r="AJ756" s="7">
        <f>20*LOG10(MAX(AG756,1E-300)*1E6)</f>
        <v>0</v>
      </c>
      <c r="AK756" s="7">
        <f>DEGREES(IMARGUMENT(AB756))</f>
        <v>0</v>
      </c>
      <c r="AL756" s="7">
        <f>DEGREES(IMARGUMENT(AC756))</f>
        <v>0</v>
      </c>
      <c r="AM756" s="7">
        <f>DEGREES(IMARGUMENT(AD756))</f>
        <v>0</v>
      </c>
    </row>
    <row r="757" spans="1:39">
      <c r="A757" s="6">
        <f>10^(LOG10(F_START)+(ROW()-ROW($A$2))*(LOG10(F_STOP)-LOG10(F_START))/(N_POINTS-1))</f>
        <v>0</v>
      </c>
      <c r="B757" s="6">
        <f>2*PI()*A757</f>
        <v>0</v>
      </c>
      <c r="C757">
        <f>COMPLEX(2*LINE_PS_DCR,2*B757*LINE_PS_L)</f>
        <v>0</v>
      </c>
      <c r="D757">
        <f>IMSUM(COMPLEX(0,B757*(LINE_PS_CLINE+LINE_PS_CCHA/2)),IMDIV("1",IMPRODUCT("2",COMPLEX(C_THROUGH_ESR,B757*C_THROUGH_ESL-1/(B757*C_THROUGH_C)))))</f>
        <v>0</v>
      </c>
      <c r="E757">
        <f>COMPLEX(2*LINE_INPUT_DCR,2*B757*LINE_INPUT_L)</f>
        <v>0</v>
      </c>
      <c r="F757">
        <f>COMPLEX(0,B757*(LINE_INPUT_CLINE+LINE_INPUT_CCHA/2))</f>
        <v>0</v>
      </c>
      <c r="G757">
        <f>IMPRODUCT("2",IMDIV("1",IMSUM(IMDIV("1",COMPLEX(LDM1_DCR,B757*LDM1_L)),COMPLEX(0,B757*LDM1_CPA))))</f>
        <v>0</v>
      </c>
      <c r="H757">
        <f>IMSUM(IMDIV("1",COMPLEX(CX1_ESR,B757*CX1_ESL-1/(B757*CX1_C))),IMDIV("1",IMSUM(COMPLEX(DUMP1_R,0),COMPLEX(DUMP1_ESR,B757*DUMP1_ESL-1/(B757*DUMP1_C)))))</f>
        <v>0</v>
      </c>
      <c r="I757">
        <f>IMPRODUCT("2",IMDIV("1",IMSUM(IMDIV("1",COMPLEX(LDM2_DCR,B757*LDM2_L)),COMPLEX(0,B757*LDM2_CPA))))</f>
        <v>0</v>
      </c>
      <c r="J757">
        <f>IMSUM(IMDIV("1",COMPLEX(CX2_ESR,B757*CX2_ESL-1/(B757*CX2_C))),IMDIV("1",IMSUM(COMPLEX(DUMP2_R,0),COMPLEX(DUMP2_ESR,B757*DUMP2_ESL-1/(B757*DUMP2_C)))))</f>
        <v>0</v>
      </c>
      <c r="K757">
        <f>IMPRODUCT("2",IMDIV("1",IMSUM(IMDIV("1",COMPLEX(CMC_DCR,B757*CMC_L*(1-CMC_K))),COMPLEX(0,B757*CMC_CPA))))</f>
        <v>0</v>
      </c>
      <c r="L757">
        <f>IMSUM(COMPLEX(0,B757*CMC_CLINE),IMDIV("1",IMPRODUCT("2",COMPLEX(CY_ESR,B757*CY_ESL-1/(B757*CY_C)))),COMPLEX(1/DUMMY_R,0))</f>
        <v>0</v>
      </c>
      <c r="M757">
        <f>IMSUM(D757,IMDIV("1",C757))</f>
        <v>0</v>
      </c>
      <c r="N757">
        <f>IMDIV("1",IMSUM(E757,IMDIV("1",M757)))</f>
        <v>0</v>
      </c>
      <c r="O757">
        <f>IMSUM(F757,N757)</f>
        <v>0</v>
      </c>
      <c r="P757">
        <f>IMDIV("1",IMSUM(G757,IMDIV("1",O757)))</f>
        <v>0</v>
      </c>
      <c r="Q757">
        <f>IMSUM(H757,P757)</f>
        <v>0</v>
      </c>
      <c r="R757">
        <f>IMDIV("1",IMSUM(I757,IMDIV("1",Q757)))</f>
        <v>0</v>
      </c>
      <c r="S757">
        <f>IMSUM(J757,R757)</f>
        <v>0</v>
      </c>
      <c r="T757">
        <f>IMDIV("1",IMSUM(K757,IMDIV("1",S757)))</f>
        <v>0</v>
      </c>
      <c r="U757">
        <f>IMSUM(L757,T757)</f>
        <v>0</v>
      </c>
      <c r="V757">
        <f>IMDIV(COMPLEX(I_DM_SOURCE,0),U757)</f>
        <v>0</v>
      </c>
      <c r="W757">
        <f>IMPRODUCT(V757,T757)</f>
        <v>0</v>
      </c>
      <c r="X757">
        <f>IMDIV(W757,S757)</f>
        <v>0</v>
      </c>
      <c r="Y757">
        <f>IMPRODUCT(X757,R757)</f>
        <v>0</v>
      </c>
      <c r="Z757">
        <f>IMDIV(Y757,Q757)</f>
        <v>0</v>
      </c>
      <c r="AA757">
        <f>IMPRODUCT(Z757,P757)</f>
        <v>0</v>
      </c>
      <c r="AB757">
        <f>AA757</f>
        <v>0</v>
      </c>
      <c r="AC757">
        <f>IMPRODUCT("-1",AB757)</f>
        <v>0</v>
      </c>
      <c r="AD757">
        <f>IMDIV(IMSUB(AB757,AC757),"2")</f>
        <v>0</v>
      </c>
      <c r="AE757" s="6">
        <f>IMABS(AB757)</f>
        <v>0</v>
      </c>
      <c r="AF757" s="6">
        <f>IMABS(AC757)</f>
        <v>0</v>
      </c>
      <c r="AG757" s="6">
        <f>IMABS(AD757)</f>
        <v>0</v>
      </c>
      <c r="AH757" s="7">
        <f>20*LOG10(MAX(AE757,1E-300)*1E6)</f>
        <v>0</v>
      </c>
      <c r="AI757" s="7">
        <f>20*LOG10(MAX(AF757,1E-300)*1E6)</f>
        <v>0</v>
      </c>
      <c r="AJ757" s="7">
        <f>20*LOG10(MAX(AG757,1E-300)*1E6)</f>
        <v>0</v>
      </c>
      <c r="AK757" s="7">
        <f>DEGREES(IMARGUMENT(AB757))</f>
        <v>0</v>
      </c>
      <c r="AL757" s="7">
        <f>DEGREES(IMARGUMENT(AC757))</f>
        <v>0</v>
      </c>
      <c r="AM757" s="7">
        <f>DEGREES(IMARGUMENT(AD757))</f>
        <v>0</v>
      </c>
    </row>
    <row r="758" spans="1:39">
      <c r="A758" s="6">
        <f>10^(LOG10(F_START)+(ROW()-ROW($A$2))*(LOG10(F_STOP)-LOG10(F_START))/(N_POINTS-1))</f>
        <v>0</v>
      </c>
      <c r="B758" s="6">
        <f>2*PI()*A758</f>
        <v>0</v>
      </c>
      <c r="C758">
        <f>COMPLEX(2*LINE_PS_DCR,2*B758*LINE_PS_L)</f>
        <v>0</v>
      </c>
      <c r="D758">
        <f>IMSUM(COMPLEX(0,B758*(LINE_PS_CLINE+LINE_PS_CCHA/2)),IMDIV("1",IMPRODUCT("2",COMPLEX(C_THROUGH_ESR,B758*C_THROUGH_ESL-1/(B758*C_THROUGH_C)))))</f>
        <v>0</v>
      </c>
      <c r="E758">
        <f>COMPLEX(2*LINE_INPUT_DCR,2*B758*LINE_INPUT_L)</f>
        <v>0</v>
      </c>
      <c r="F758">
        <f>COMPLEX(0,B758*(LINE_INPUT_CLINE+LINE_INPUT_CCHA/2))</f>
        <v>0</v>
      </c>
      <c r="G758">
        <f>IMPRODUCT("2",IMDIV("1",IMSUM(IMDIV("1",COMPLEX(LDM1_DCR,B758*LDM1_L)),COMPLEX(0,B758*LDM1_CPA))))</f>
        <v>0</v>
      </c>
      <c r="H758">
        <f>IMSUM(IMDIV("1",COMPLEX(CX1_ESR,B758*CX1_ESL-1/(B758*CX1_C))),IMDIV("1",IMSUM(COMPLEX(DUMP1_R,0),COMPLEX(DUMP1_ESR,B758*DUMP1_ESL-1/(B758*DUMP1_C)))))</f>
        <v>0</v>
      </c>
      <c r="I758">
        <f>IMPRODUCT("2",IMDIV("1",IMSUM(IMDIV("1",COMPLEX(LDM2_DCR,B758*LDM2_L)),COMPLEX(0,B758*LDM2_CPA))))</f>
        <v>0</v>
      </c>
      <c r="J758">
        <f>IMSUM(IMDIV("1",COMPLEX(CX2_ESR,B758*CX2_ESL-1/(B758*CX2_C))),IMDIV("1",IMSUM(COMPLEX(DUMP2_R,0),COMPLEX(DUMP2_ESR,B758*DUMP2_ESL-1/(B758*DUMP2_C)))))</f>
        <v>0</v>
      </c>
      <c r="K758">
        <f>IMPRODUCT("2",IMDIV("1",IMSUM(IMDIV("1",COMPLEX(CMC_DCR,B758*CMC_L*(1-CMC_K))),COMPLEX(0,B758*CMC_CPA))))</f>
        <v>0</v>
      </c>
      <c r="L758">
        <f>IMSUM(COMPLEX(0,B758*CMC_CLINE),IMDIV("1",IMPRODUCT("2",COMPLEX(CY_ESR,B758*CY_ESL-1/(B758*CY_C)))),COMPLEX(1/DUMMY_R,0))</f>
        <v>0</v>
      </c>
      <c r="M758">
        <f>IMSUM(D758,IMDIV("1",C758))</f>
        <v>0</v>
      </c>
      <c r="N758">
        <f>IMDIV("1",IMSUM(E758,IMDIV("1",M758)))</f>
        <v>0</v>
      </c>
      <c r="O758">
        <f>IMSUM(F758,N758)</f>
        <v>0</v>
      </c>
      <c r="P758">
        <f>IMDIV("1",IMSUM(G758,IMDIV("1",O758)))</f>
        <v>0</v>
      </c>
      <c r="Q758">
        <f>IMSUM(H758,P758)</f>
        <v>0</v>
      </c>
      <c r="R758">
        <f>IMDIV("1",IMSUM(I758,IMDIV("1",Q758)))</f>
        <v>0</v>
      </c>
      <c r="S758">
        <f>IMSUM(J758,R758)</f>
        <v>0</v>
      </c>
      <c r="T758">
        <f>IMDIV("1",IMSUM(K758,IMDIV("1",S758)))</f>
        <v>0</v>
      </c>
      <c r="U758">
        <f>IMSUM(L758,T758)</f>
        <v>0</v>
      </c>
      <c r="V758">
        <f>IMDIV(COMPLEX(I_DM_SOURCE,0),U758)</f>
        <v>0</v>
      </c>
      <c r="W758">
        <f>IMPRODUCT(V758,T758)</f>
        <v>0</v>
      </c>
      <c r="X758">
        <f>IMDIV(W758,S758)</f>
        <v>0</v>
      </c>
      <c r="Y758">
        <f>IMPRODUCT(X758,R758)</f>
        <v>0</v>
      </c>
      <c r="Z758">
        <f>IMDIV(Y758,Q758)</f>
        <v>0</v>
      </c>
      <c r="AA758">
        <f>IMPRODUCT(Z758,P758)</f>
        <v>0</v>
      </c>
      <c r="AB758">
        <f>AA758</f>
        <v>0</v>
      </c>
      <c r="AC758">
        <f>IMPRODUCT("-1",AB758)</f>
        <v>0</v>
      </c>
      <c r="AD758">
        <f>IMDIV(IMSUB(AB758,AC758),"2")</f>
        <v>0</v>
      </c>
      <c r="AE758" s="6">
        <f>IMABS(AB758)</f>
        <v>0</v>
      </c>
      <c r="AF758" s="6">
        <f>IMABS(AC758)</f>
        <v>0</v>
      </c>
      <c r="AG758" s="6">
        <f>IMABS(AD758)</f>
        <v>0</v>
      </c>
      <c r="AH758" s="7">
        <f>20*LOG10(MAX(AE758,1E-300)*1E6)</f>
        <v>0</v>
      </c>
      <c r="AI758" s="7">
        <f>20*LOG10(MAX(AF758,1E-300)*1E6)</f>
        <v>0</v>
      </c>
      <c r="AJ758" s="7">
        <f>20*LOG10(MAX(AG758,1E-300)*1E6)</f>
        <v>0</v>
      </c>
      <c r="AK758" s="7">
        <f>DEGREES(IMARGUMENT(AB758))</f>
        <v>0</v>
      </c>
      <c r="AL758" s="7">
        <f>DEGREES(IMARGUMENT(AC758))</f>
        <v>0</v>
      </c>
      <c r="AM758" s="7">
        <f>DEGREES(IMARGUMENT(AD758))</f>
        <v>0</v>
      </c>
    </row>
    <row r="759" spans="1:39">
      <c r="A759" s="6">
        <f>10^(LOG10(F_START)+(ROW()-ROW($A$2))*(LOG10(F_STOP)-LOG10(F_START))/(N_POINTS-1))</f>
        <v>0</v>
      </c>
      <c r="B759" s="6">
        <f>2*PI()*A759</f>
        <v>0</v>
      </c>
      <c r="C759">
        <f>COMPLEX(2*LINE_PS_DCR,2*B759*LINE_PS_L)</f>
        <v>0</v>
      </c>
      <c r="D759">
        <f>IMSUM(COMPLEX(0,B759*(LINE_PS_CLINE+LINE_PS_CCHA/2)),IMDIV("1",IMPRODUCT("2",COMPLEX(C_THROUGH_ESR,B759*C_THROUGH_ESL-1/(B759*C_THROUGH_C)))))</f>
        <v>0</v>
      </c>
      <c r="E759">
        <f>COMPLEX(2*LINE_INPUT_DCR,2*B759*LINE_INPUT_L)</f>
        <v>0</v>
      </c>
      <c r="F759">
        <f>COMPLEX(0,B759*(LINE_INPUT_CLINE+LINE_INPUT_CCHA/2))</f>
        <v>0</v>
      </c>
      <c r="G759">
        <f>IMPRODUCT("2",IMDIV("1",IMSUM(IMDIV("1",COMPLEX(LDM1_DCR,B759*LDM1_L)),COMPLEX(0,B759*LDM1_CPA))))</f>
        <v>0</v>
      </c>
      <c r="H759">
        <f>IMSUM(IMDIV("1",COMPLEX(CX1_ESR,B759*CX1_ESL-1/(B759*CX1_C))),IMDIV("1",IMSUM(COMPLEX(DUMP1_R,0),COMPLEX(DUMP1_ESR,B759*DUMP1_ESL-1/(B759*DUMP1_C)))))</f>
        <v>0</v>
      </c>
      <c r="I759">
        <f>IMPRODUCT("2",IMDIV("1",IMSUM(IMDIV("1",COMPLEX(LDM2_DCR,B759*LDM2_L)),COMPLEX(0,B759*LDM2_CPA))))</f>
        <v>0</v>
      </c>
      <c r="J759">
        <f>IMSUM(IMDIV("1",COMPLEX(CX2_ESR,B759*CX2_ESL-1/(B759*CX2_C))),IMDIV("1",IMSUM(COMPLEX(DUMP2_R,0),COMPLEX(DUMP2_ESR,B759*DUMP2_ESL-1/(B759*DUMP2_C)))))</f>
        <v>0</v>
      </c>
      <c r="K759">
        <f>IMPRODUCT("2",IMDIV("1",IMSUM(IMDIV("1",COMPLEX(CMC_DCR,B759*CMC_L*(1-CMC_K))),COMPLEX(0,B759*CMC_CPA))))</f>
        <v>0</v>
      </c>
      <c r="L759">
        <f>IMSUM(COMPLEX(0,B759*CMC_CLINE),IMDIV("1",IMPRODUCT("2",COMPLEX(CY_ESR,B759*CY_ESL-1/(B759*CY_C)))),COMPLEX(1/DUMMY_R,0))</f>
        <v>0</v>
      </c>
      <c r="M759">
        <f>IMSUM(D759,IMDIV("1",C759))</f>
        <v>0</v>
      </c>
      <c r="N759">
        <f>IMDIV("1",IMSUM(E759,IMDIV("1",M759)))</f>
        <v>0</v>
      </c>
      <c r="O759">
        <f>IMSUM(F759,N759)</f>
        <v>0</v>
      </c>
      <c r="P759">
        <f>IMDIV("1",IMSUM(G759,IMDIV("1",O759)))</f>
        <v>0</v>
      </c>
      <c r="Q759">
        <f>IMSUM(H759,P759)</f>
        <v>0</v>
      </c>
      <c r="R759">
        <f>IMDIV("1",IMSUM(I759,IMDIV("1",Q759)))</f>
        <v>0</v>
      </c>
      <c r="S759">
        <f>IMSUM(J759,R759)</f>
        <v>0</v>
      </c>
      <c r="T759">
        <f>IMDIV("1",IMSUM(K759,IMDIV("1",S759)))</f>
        <v>0</v>
      </c>
      <c r="U759">
        <f>IMSUM(L759,T759)</f>
        <v>0</v>
      </c>
      <c r="V759">
        <f>IMDIV(COMPLEX(I_DM_SOURCE,0),U759)</f>
        <v>0</v>
      </c>
      <c r="W759">
        <f>IMPRODUCT(V759,T759)</f>
        <v>0</v>
      </c>
      <c r="X759">
        <f>IMDIV(W759,S759)</f>
        <v>0</v>
      </c>
      <c r="Y759">
        <f>IMPRODUCT(X759,R759)</f>
        <v>0</v>
      </c>
      <c r="Z759">
        <f>IMDIV(Y759,Q759)</f>
        <v>0</v>
      </c>
      <c r="AA759">
        <f>IMPRODUCT(Z759,P759)</f>
        <v>0</v>
      </c>
      <c r="AB759">
        <f>AA759</f>
        <v>0</v>
      </c>
      <c r="AC759">
        <f>IMPRODUCT("-1",AB759)</f>
        <v>0</v>
      </c>
      <c r="AD759">
        <f>IMDIV(IMSUB(AB759,AC759),"2")</f>
        <v>0</v>
      </c>
      <c r="AE759" s="6">
        <f>IMABS(AB759)</f>
        <v>0</v>
      </c>
      <c r="AF759" s="6">
        <f>IMABS(AC759)</f>
        <v>0</v>
      </c>
      <c r="AG759" s="6">
        <f>IMABS(AD759)</f>
        <v>0</v>
      </c>
      <c r="AH759" s="7">
        <f>20*LOG10(MAX(AE759,1E-300)*1E6)</f>
        <v>0</v>
      </c>
      <c r="AI759" s="7">
        <f>20*LOG10(MAX(AF759,1E-300)*1E6)</f>
        <v>0</v>
      </c>
      <c r="AJ759" s="7">
        <f>20*LOG10(MAX(AG759,1E-300)*1E6)</f>
        <v>0</v>
      </c>
      <c r="AK759" s="7">
        <f>DEGREES(IMARGUMENT(AB759))</f>
        <v>0</v>
      </c>
      <c r="AL759" s="7">
        <f>DEGREES(IMARGUMENT(AC759))</f>
        <v>0</v>
      </c>
      <c r="AM759" s="7">
        <f>DEGREES(IMARGUMENT(AD759))</f>
        <v>0</v>
      </c>
    </row>
    <row r="760" spans="1:39">
      <c r="A760" s="6">
        <f>10^(LOG10(F_START)+(ROW()-ROW($A$2))*(LOG10(F_STOP)-LOG10(F_START))/(N_POINTS-1))</f>
        <v>0</v>
      </c>
      <c r="B760" s="6">
        <f>2*PI()*A760</f>
        <v>0</v>
      </c>
      <c r="C760">
        <f>COMPLEX(2*LINE_PS_DCR,2*B760*LINE_PS_L)</f>
        <v>0</v>
      </c>
      <c r="D760">
        <f>IMSUM(COMPLEX(0,B760*(LINE_PS_CLINE+LINE_PS_CCHA/2)),IMDIV("1",IMPRODUCT("2",COMPLEX(C_THROUGH_ESR,B760*C_THROUGH_ESL-1/(B760*C_THROUGH_C)))))</f>
        <v>0</v>
      </c>
      <c r="E760">
        <f>COMPLEX(2*LINE_INPUT_DCR,2*B760*LINE_INPUT_L)</f>
        <v>0</v>
      </c>
      <c r="F760">
        <f>COMPLEX(0,B760*(LINE_INPUT_CLINE+LINE_INPUT_CCHA/2))</f>
        <v>0</v>
      </c>
      <c r="G760">
        <f>IMPRODUCT("2",IMDIV("1",IMSUM(IMDIV("1",COMPLEX(LDM1_DCR,B760*LDM1_L)),COMPLEX(0,B760*LDM1_CPA))))</f>
        <v>0</v>
      </c>
      <c r="H760">
        <f>IMSUM(IMDIV("1",COMPLEX(CX1_ESR,B760*CX1_ESL-1/(B760*CX1_C))),IMDIV("1",IMSUM(COMPLEX(DUMP1_R,0),COMPLEX(DUMP1_ESR,B760*DUMP1_ESL-1/(B760*DUMP1_C)))))</f>
        <v>0</v>
      </c>
      <c r="I760">
        <f>IMPRODUCT("2",IMDIV("1",IMSUM(IMDIV("1",COMPLEX(LDM2_DCR,B760*LDM2_L)),COMPLEX(0,B760*LDM2_CPA))))</f>
        <v>0</v>
      </c>
      <c r="J760">
        <f>IMSUM(IMDIV("1",COMPLEX(CX2_ESR,B760*CX2_ESL-1/(B760*CX2_C))),IMDIV("1",IMSUM(COMPLEX(DUMP2_R,0),COMPLEX(DUMP2_ESR,B760*DUMP2_ESL-1/(B760*DUMP2_C)))))</f>
        <v>0</v>
      </c>
      <c r="K760">
        <f>IMPRODUCT("2",IMDIV("1",IMSUM(IMDIV("1",COMPLEX(CMC_DCR,B760*CMC_L*(1-CMC_K))),COMPLEX(0,B760*CMC_CPA))))</f>
        <v>0</v>
      </c>
      <c r="L760">
        <f>IMSUM(COMPLEX(0,B760*CMC_CLINE),IMDIV("1",IMPRODUCT("2",COMPLEX(CY_ESR,B760*CY_ESL-1/(B760*CY_C)))),COMPLEX(1/DUMMY_R,0))</f>
        <v>0</v>
      </c>
      <c r="M760">
        <f>IMSUM(D760,IMDIV("1",C760))</f>
        <v>0</v>
      </c>
      <c r="N760">
        <f>IMDIV("1",IMSUM(E760,IMDIV("1",M760)))</f>
        <v>0</v>
      </c>
      <c r="O760">
        <f>IMSUM(F760,N760)</f>
        <v>0</v>
      </c>
      <c r="P760">
        <f>IMDIV("1",IMSUM(G760,IMDIV("1",O760)))</f>
        <v>0</v>
      </c>
      <c r="Q760">
        <f>IMSUM(H760,P760)</f>
        <v>0</v>
      </c>
      <c r="R760">
        <f>IMDIV("1",IMSUM(I760,IMDIV("1",Q760)))</f>
        <v>0</v>
      </c>
      <c r="S760">
        <f>IMSUM(J760,R760)</f>
        <v>0</v>
      </c>
      <c r="T760">
        <f>IMDIV("1",IMSUM(K760,IMDIV("1",S760)))</f>
        <v>0</v>
      </c>
      <c r="U760">
        <f>IMSUM(L760,T760)</f>
        <v>0</v>
      </c>
      <c r="V760">
        <f>IMDIV(COMPLEX(I_DM_SOURCE,0),U760)</f>
        <v>0</v>
      </c>
      <c r="W760">
        <f>IMPRODUCT(V760,T760)</f>
        <v>0</v>
      </c>
      <c r="X760">
        <f>IMDIV(W760,S760)</f>
        <v>0</v>
      </c>
      <c r="Y760">
        <f>IMPRODUCT(X760,R760)</f>
        <v>0</v>
      </c>
      <c r="Z760">
        <f>IMDIV(Y760,Q760)</f>
        <v>0</v>
      </c>
      <c r="AA760">
        <f>IMPRODUCT(Z760,P760)</f>
        <v>0</v>
      </c>
      <c r="AB760">
        <f>AA760</f>
        <v>0</v>
      </c>
      <c r="AC760">
        <f>IMPRODUCT("-1",AB760)</f>
        <v>0</v>
      </c>
      <c r="AD760">
        <f>IMDIV(IMSUB(AB760,AC760),"2")</f>
        <v>0</v>
      </c>
      <c r="AE760" s="6">
        <f>IMABS(AB760)</f>
        <v>0</v>
      </c>
      <c r="AF760" s="6">
        <f>IMABS(AC760)</f>
        <v>0</v>
      </c>
      <c r="AG760" s="6">
        <f>IMABS(AD760)</f>
        <v>0</v>
      </c>
      <c r="AH760" s="7">
        <f>20*LOG10(MAX(AE760,1E-300)*1E6)</f>
        <v>0</v>
      </c>
      <c r="AI760" s="7">
        <f>20*LOG10(MAX(AF760,1E-300)*1E6)</f>
        <v>0</v>
      </c>
      <c r="AJ760" s="7">
        <f>20*LOG10(MAX(AG760,1E-300)*1E6)</f>
        <v>0</v>
      </c>
      <c r="AK760" s="7">
        <f>DEGREES(IMARGUMENT(AB760))</f>
        <v>0</v>
      </c>
      <c r="AL760" s="7">
        <f>DEGREES(IMARGUMENT(AC760))</f>
        <v>0</v>
      </c>
      <c r="AM760" s="7">
        <f>DEGREES(IMARGUMENT(AD760))</f>
        <v>0</v>
      </c>
    </row>
    <row r="761" spans="1:39">
      <c r="A761" s="6">
        <f>10^(LOG10(F_START)+(ROW()-ROW($A$2))*(LOG10(F_STOP)-LOG10(F_START))/(N_POINTS-1))</f>
        <v>0</v>
      </c>
      <c r="B761" s="6">
        <f>2*PI()*A761</f>
        <v>0</v>
      </c>
      <c r="C761">
        <f>COMPLEX(2*LINE_PS_DCR,2*B761*LINE_PS_L)</f>
        <v>0</v>
      </c>
      <c r="D761">
        <f>IMSUM(COMPLEX(0,B761*(LINE_PS_CLINE+LINE_PS_CCHA/2)),IMDIV("1",IMPRODUCT("2",COMPLEX(C_THROUGH_ESR,B761*C_THROUGH_ESL-1/(B761*C_THROUGH_C)))))</f>
        <v>0</v>
      </c>
      <c r="E761">
        <f>COMPLEX(2*LINE_INPUT_DCR,2*B761*LINE_INPUT_L)</f>
        <v>0</v>
      </c>
      <c r="F761">
        <f>COMPLEX(0,B761*(LINE_INPUT_CLINE+LINE_INPUT_CCHA/2))</f>
        <v>0</v>
      </c>
      <c r="G761">
        <f>IMPRODUCT("2",IMDIV("1",IMSUM(IMDIV("1",COMPLEX(LDM1_DCR,B761*LDM1_L)),COMPLEX(0,B761*LDM1_CPA))))</f>
        <v>0</v>
      </c>
      <c r="H761">
        <f>IMSUM(IMDIV("1",COMPLEX(CX1_ESR,B761*CX1_ESL-1/(B761*CX1_C))),IMDIV("1",IMSUM(COMPLEX(DUMP1_R,0),COMPLEX(DUMP1_ESR,B761*DUMP1_ESL-1/(B761*DUMP1_C)))))</f>
        <v>0</v>
      </c>
      <c r="I761">
        <f>IMPRODUCT("2",IMDIV("1",IMSUM(IMDIV("1",COMPLEX(LDM2_DCR,B761*LDM2_L)),COMPLEX(0,B761*LDM2_CPA))))</f>
        <v>0</v>
      </c>
      <c r="J761">
        <f>IMSUM(IMDIV("1",COMPLEX(CX2_ESR,B761*CX2_ESL-1/(B761*CX2_C))),IMDIV("1",IMSUM(COMPLEX(DUMP2_R,0),COMPLEX(DUMP2_ESR,B761*DUMP2_ESL-1/(B761*DUMP2_C)))))</f>
        <v>0</v>
      </c>
      <c r="K761">
        <f>IMPRODUCT("2",IMDIV("1",IMSUM(IMDIV("1",COMPLEX(CMC_DCR,B761*CMC_L*(1-CMC_K))),COMPLEX(0,B761*CMC_CPA))))</f>
        <v>0</v>
      </c>
      <c r="L761">
        <f>IMSUM(COMPLEX(0,B761*CMC_CLINE),IMDIV("1",IMPRODUCT("2",COMPLEX(CY_ESR,B761*CY_ESL-1/(B761*CY_C)))),COMPLEX(1/DUMMY_R,0))</f>
        <v>0</v>
      </c>
      <c r="M761">
        <f>IMSUM(D761,IMDIV("1",C761))</f>
        <v>0</v>
      </c>
      <c r="N761">
        <f>IMDIV("1",IMSUM(E761,IMDIV("1",M761)))</f>
        <v>0</v>
      </c>
      <c r="O761">
        <f>IMSUM(F761,N761)</f>
        <v>0</v>
      </c>
      <c r="P761">
        <f>IMDIV("1",IMSUM(G761,IMDIV("1",O761)))</f>
        <v>0</v>
      </c>
      <c r="Q761">
        <f>IMSUM(H761,P761)</f>
        <v>0</v>
      </c>
      <c r="R761">
        <f>IMDIV("1",IMSUM(I761,IMDIV("1",Q761)))</f>
        <v>0</v>
      </c>
      <c r="S761">
        <f>IMSUM(J761,R761)</f>
        <v>0</v>
      </c>
      <c r="T761">
        <f>IMDIV("1",IMSUM(K761,IMDIV("1",S761)))</f>
        <v>0</v>
      </c>
      <c r="U761">
        <f>IMSUM(L761,T761)</f>
        <v>0</v>
      </c>
      <c r="V761">
        <f>IMDIV(COMPLEX(I_DM_SOURCE,0),U761)</f>
        <v>0</v>
      </c>
      <c r="W761">
        <f>IMPRODUCT(V761,T761)</f>
        <v>0</v>
      </c>
      <c r="X761">
        <f>IMDIV(W761,S761)</f>
        <v>0</v>
      </c>
      <c r="Y761">
        <f>IMPRODUCT(X761,R761)</f>
        <v>0</v>
      </c>
      <c r="Z761">
        <f>IMDIV(Y761,Q761)</f>
        <v>0</v>
      </c>
      <c r="AA761">
        <f>IMPRODUCT(Z761,P761)</f>
        <v>0</v>
      </c>
      <c r="AB761">
        <f>AA761</f>
        <v>0</v>
      </c>
      <c r="AC761">
        <f>IMPRODUCT("-1",AB761)</f>
        <v>0</v>
      </c>
      <c r="AD761">
        <f>IMDIV(IMSUB(AB761,AC761),"2")</f>
        <v>0</v>
      </c>
      <c r="AE761" s="6">
        <f>IMABS(AB761)</f>
        <v>0</v>
      </c>
      <c r="AF761" s="6">
        <f>IMABS(AC761)</f>
        <v>0</v>
      </c>
      <c r="AG761" s="6">
        <f>IMABS(AD761)</f>
        <v>0</v>
      </c>
      <c r="AH761" s="7">
        <f>20*LOG10(MAX(AE761,1E-300)*1E6)</f>
        <v>0</v>
      </c>
      <c r="AI761" s="7">
        <f>20*LOG10(MAX(AF761,1E-300)*1E6)</f>
        <v>0</v>
      </c>
      <c r="AJ761" s="7">
        <f>20*LOG10(MAX(AG761,1E-300)*1E6)</f>
        <v>0</v>
      </c>
      <c r="AK761" s="7">
        <f>DEGREES(IMARGUMENT(AB761))</f>
        <v>0</v>
      </c>
      <c r="AL761" s="7">
        <f>DEGREES(IMARGUMENT(AC761))</f>
        <v>0</v>
      </c>
      <c r="AM761" s="7">
        <f>DEGREES(IMARGUMENT(AD761))</f>
        <v>0</v>
      </c>
    </row>
    <row r="762" spans="1:39">
      <c r="A762" s="6">
        <f>10^(LOG10(F_START)+(ROW()-ROW($A$2))*(LOG10(F_STOP)-LOG10(F_START))/(N_POINTS-1))</f>
        <v>0</v>
      </c>
      <c r="B762" s="6">
        <f>2*PI()*A762</f>
        <v>0</v>
      </c>
      <c r="C762">
        <f>COMPLEX(2*LINE_PS_DCR,2*B762*LINE_PS_L)</f>
        <v>0</v>
      </c>
      <c r="D762">
        <f>IMSUM(COMPLEX(0,B762*(LINE_PS_CLINE+LINE_PS_CCHA/2)),IMDIV("1",IMPRODUCT("2",COMPLEX(C_THROUGH_ESR,B762*C_THROUGH_ESL-1/(B762*C_THROUGH_C)))))</f>
        <v>0</v>
      </c>
      <c r="E762">
        <f>COMPLEX(2*LINE_INPUT_DCR,2*B762*LINE_INPUT_L)</f>
        <v>0</v>
      </c>
      <c r="F762">
        <f>COMPLEX(0,B762*(LINE_INPUT_CLINE+LINE_INPUT_CCHA/2))</f>
        <v>0</v>
      </c>
      <c r="G762">
        <f>IMPRODUCT("2",IMDIV("1",IMSUM(IMDIV("1",COMPLEX(LDM1_DCR,B762*LDM1_L)),COMPLEX(0,B762*LDM1_CPA))))</f>
        <v>0</v>
      </c>
      <c r="H762">
        <f>IMSUM(IMDIV("1",COMPLEX(CX1_ESR,B762*CX1_ESL-1/(B762*CX1_C))),IMDIV("1",IMSUM(COMPLEX(DUMP1_R,0),COMPLEX(DUMP1_ESR,B762*DUMP1_ESL-1/(B762*DUMP1_C)))))</f>
        <v>0</v>
      </c>
      <c r="I762">
        <f>IMPRODUCT("2",IMDIV("1",IMSUM(IMDIV("1",COMPLEX(LDM2_DCR,B762*LDM2_L)),COMPLEX(0,B762*LDM2_CPA))))</f>
        <v>0</v>
      </c>
      <c r="J762">
        <f>IMSUM(IMDIV("1",COMPLEX(CX2_ESR,B762*CX2_ESL-1/(B762*CX2_C))),IMDIV("1",IMSUM(COMPLEX(DUMP2_R,0),COMPLEX(DUMP2_ESR,B762*DUMP2_ESL-1/(B762*DUMP2_C)))))</f>
        <v>0</v>
      </c>
      <c r="K762">
        <f>IMPRODUCT("2",IMDIV("1",IMSUM(IMDIV("1",COMPLEX(CMC_DCR,B762*CMC_L*(1-CMC_K))),COMPLEX(0,B762*CMC_CPA))))</f>
        <v>0</v>
      </c>
      <c r="L762">
        <f>IMSUM(COMPLEX(0,B762*CMC_CLINE),IMDIV("1",IMPRODUCT("2",COMPLEX(CY_ESR,B762*CY_ESL-1/(B762*CY_C)))),COMPLEX(1/DUMMY_R,0))</f>
        <v>0</v>
      </c>
      <c r="M762">
        <f>IMSUM(D762,IMDIV("1",C762))</f>
        <v>0</v>
      </c>
      <c r="N762">
        <f>IMDIV("1",IMSUM(E762,IMDIV("1",M762)))</f>
        <v>0</v>
      </c>
      <c r="O762">
        <f>IMSUM(F762,N762)</f>
        <v>0</v>
      </c>
      <c r="P762">
        <f>IMDIV("1",IMSUM(G762,IMDIV("1",O762)))</f>
        <v>0</v>
      </c>
      <c r="Q762">
        <f>IMSUM(H762,P762)</f>
        <v>0</v>
      </c>
      <c r="R762">
        <f>IMDIV("1",IMSUM(I762,IMDIV("1",Q762)))</f>
        <v>0</v>
      </c>
      <c r="S762">
        <f>IMSUM(J762,R762)</f>
        <v>0</v>
      </c>
      <c r="T762">
        <f>IMDIV("1",IMSUM(K762,IMDIV("1",S762)))</f>
        <v>0</v>
      </c>
      <c r="U762">
        <f>IMSUM(L762,T762)</f>
        <v>0</v>
      </c>
      <c r="V762">
        <f>IMDIV(COMPLEX(I_DM_SOURCE,0),U762)</f>
        <v>0</v>
      </c>
      <c r="W762">
        <f>IMPRODUCT(V762,T762)</f>
        <v>0</v>
      </c>
      <c r="X762">
        <f>IMDIV(W762,S762)</f>
        <v>0</v>
      </c>
      <c r="Y762">
        <f>IMPRODUCT(X762,R762)</f>
        <v>0</v>
      </c>
      <c r="Z762">
        <f>IMDIV(Y762,Q762)</f>
        <v>0</v>
      </c>
      <c r="AA762">
        <f>IMPRODUCT(Z762,P762)</f>
        <v>0</v>
      </c>
      <c r="AB762">
        <f>AA762</f>
        <v>0</v>
      </c>
      <c r="AC762">
        <f>IMPRODUCT("-1",AB762)</f>
        <v>0</v>
      </c>
      <c r="AD762">
        <f>IMDIV(IMSUB(AB762,AC762),"2")</f>
        <v>0</v>
      </c>
      <c r="AE762" s="6">
        <f>IMABS(AB762)</f>
        <v>0</v>
      </c>
      <c r="AF762" s="6">
        <f>IMABS(AC762)</f>
        <v>0</v>
      </c>
      <c r="AG762" s="6">
        <f>IMABS(AD762)</f>
        <v>0</v>
      </c>
      <c r="AH762" s="7">
        <f>20*LOG10(MAX(AE762,1E-300)*1E6)</f>
        <v>0</v>
      </c>
      <c r="AI762" s="7">
        <f>20*LOG10(MAX(AF762,1E-300)*1E6)</f>
        <v>0</v>
      </c>
      <c r="AJ762" s="7">
        <f>20*LOG10(MAX(AG762,1E-300)*1E6)</f>
        <v>0</v>
      </c>
      <c r="AK762" s="7">
        <f>DEGREES(IMARGUMENT(AB762))</f>
        <v>0</v>
      </c>
      <c r="AL762" s="7">
        <f>DEGREES(IMARGUMENT(AC762))</f>
        <v>0</v>
      </c>
      <c r="AM762" s="7">
        <f>DEGREES(IMARGUMENT(AD762))</f>
        <v>0</v>
      </c>
    </row>
    <row r="763" spans="1:39">
      <c r="A763" s="6">
        <f>10^(LOG10(F_START)+(ROW()-ROW($A$2))*(LOG10(F_STOP)-LOG10(F_START))/(N_POINTS-1))</f>
        <v>0</v>
      </c>
      <c r="B763" s="6">
        <f>2*PI()*A763</f>
        <v>0</v>
      </c>
      <c r="C763">
        <f>COMPLEX(2*LINE_PS_DCR,2*B763*LINE_PS_L)</f>
        <v>0</v>
      </c>
      <c r="D763">
        <f>IMSUM(COMPLEX(0,B763*(LINE_PS_CLINE+LINE_PS_CCHA/2)),IMDIV("1",IMPRODUCT("2",COMPLEX(C_THROUGH_ESR,B763*C_THROUGH_ESL-1/(B763*C_THROUGH_C)))))</f>
        <v>0</v>
      </c>
      <c r="E763">
        <f>COMPLEX(2*LINE_INPUT_DCR,2*B763*LINE_INPUT_L)</f>
        <v>0</v>
      </c>
      <c r="F763">
        <f>COMPLEX(0,B763*(LINE_INPUT_CLINE+LINE_INPUT_CCHA/2))</f>
        <v>0</v>
      </c>
      <c r="G763">
        <f>IMPRODUCT("2",IMDIV("1",IMSUM(IMDIV("1",COMPLEX(LDM1_DCR,B763*LDM1_L)),COMPLEX(0,B763*LDM1_CPA))))</f>
        <v>0</v>
      </c>
      <c r="H763">
        <f>IMSUM(IMDIV("1",COMPLEX(CX1_ESR,B763*CX1_ESL-1/(B763*CX1_C))),IMDIV("1",IMSUM(COMPLEX(DUMP1_R,0),COMPLEX(DUMP1_ESR,B763*DUMP1_ESL-1/(B763*DUMP1_C)))))</f>
        <v>0</v>
      </c>
      <c r="I763">
        <f>IMPRODUCT("2",IMDIV("1",IMSUM(IMDIV("1",COMPLEX(LDM2_DCR,B763*LDM2_L)),COMPLEX(0,B763*LDM2_CPA))))</f>
        <v>0</v>
      </c>
      <c r="J763">
        <f>IMSUM(IMDIV("1",COMPLEX(CX2_ESR,B763*CX2_ESL-1/(B763*CX2_C))),IMDIV("1",IMSUM(COMPLEX(DUMP2_R,0),COMPLEX(DUMP2_ESR,B763*DUMP2_ESL-1/(B763*DUMP2_C)))))</f>
        <v>0</v>
      </c>
      <c r="K763">
        <f>IMPRODUCT("2",IMDIV("1",IMSUM(IMDIV("1",COMPLEX(CMC_DCR,B763*CMC_L*(1-CMC_K))),COMPLEX(0,B763*CMC_CPA))))</f>
        <v>0</v>
      </c>
      <c r="L763">
        <f>IMSUM(COMPLEX(0,B763*CMC_CLINE),IMDIV("1",IMPRODUCT("2",COMPLEX(CY_ESR,B763*CY_ESL-1/(B763*CY_C)))),COMPLEX(1/DUMMY_R,0))</f>
        <v>0</v>
      </c>
      <c r="M763">
        <f>IMSUM(D763,IMDIV("1",C763))</f>
        <v>0</v>
      </c>
      <c r="N763">
        <f>IMDIV("1",IMSUM(E763,IMDIV("1",M763)))</f>
        <v>0</v>
      </c>
      <c r="O763">
        <f>IMSUM(F763,N763)</f>
        <v>0</v>
      </c>
      <c r="P763">
        <f>IMDIV("1",IMSUM(G763,IMDIV("1",O763)))</f>
        <v>0</v>
      </c>
      <c r="Q763">
        <f>IMSUM(H763,P763)</f>
        <v>0</v>
      </c>
      <c r="R763">
        <f>IMDIV("1",IMSUM(I763,IMDIV("1",Q763)))</f>
        <v>0</v>
      </c>
      <c r="S763">
        <f>IMSUM(J763,R763)</f>
        <v>0</v>
      </c>
      <c r="T763">
        <f>IMDIV("1",IMSUM(K763,IMDIV("1",S763)))</f>
        <v>0</v>
      </c>
      <c r="U763">
        <f>IMSUM(L763,T763)</f>
        <v>0</v>
      </c>
      <c r="V763">
        <f>IMDIV(COMPLEX(I_DM_SOURCE,0),U763)</f>
        <v>0</v>
      </c>
      <c r="W763">
        <f>IMPRODUCT(V763,T763)</f>
        <v>0</v>
      </c>
      <c r="X763">
        <f>IMDIV(W763,S763)</f>
        <v>0</v>
      </c>
      <c r="Y763">
        <f>IMPRODUCT(X763,R763)</f>
        <v>0</v>
      </c>
      <c r="Z763">
        <f>IMDIV(Y763,Q763)</f>
        <v>0</v>
      </c>
      <c r="AA763">
        <f>IMPRODUCT(Z763,P763)</f>
        <v>0</v>
      </c>
      <c r="AB763">
        <f>AA763</f>
        <v>0</v>
      </c>
      <c r="AC763">
        <f>IMPRODUCT("-1",AB763)</f>
        <v>0</v>
      </c>
      <c r="AD763">
        <f>IMDIV(IMSUB(AB763,AC763),"2")</f>
        <v>0</v>
      </c>
      <c r="AE763" s="6">
        <f>IMABS(AB763)</f>
        <v>0</v>
      </c>
      <c r="AF763" s="6">
        <f>IMABS(AC763)</f>
        <v>0</v>
      </c>
      <c r="AG763" s="6">
        <f>IMABS(AD763)</f>
        <v>0</v>
      </c>
      <c r="AH763" s="7">
        <f>20*LOG10(MAX(AE763,1E-300)*1E6)</f>
        <v>0</v>
      </c>
      <c r="AI763" s="7">
        <f>20*LOG10(MAX(AF763,1E-300)*1E6)</f>
        <v>0</v>
      </c>
      <c r="AJ763" s="7">
        <f>20*LOG10(MAX(AG763,1E-300)*1E6)</f>
        <v>0</v>
      </c>
      <c r="AK763" s="7">
        <f>DEGREES(IMARGUMENT(AB763))</f>
        <v>0</v>
      </c>
      <c r="AL763" s="7">
        <f>DEGREES(IMARGUMENT(AC763))</f>
        <v>0</v>
      </c>
      <c r="AM763" s="7">
        <f>DEGREES(IMARGUMENT(AD763))</f>
        <v>0</v>
      </c>
    </row>
    <row r="764" spans="1:39">
      <c r="A764" s="6">
        <f>10^(LOG10(F_START)+(ROW()-ROW($A$2))*(LOG10(F_STOP)-LOG10(F_START))/(N_POINTS-1))</f>
        <v>0</v>
      </c>
      <c r="B764" s="6">
        <f>2*PI()*A764</f>
        <v>0</v>
      </c>
      <c r="C764">
        <f>COMPLEX(2*LINE_PS_DCR,2*B764*LINE_PS_L)</f>
        <v>0</v>
      </c>
      <c r="D764">
        <f>IMSUM(COMPLEX(0,B764*(LINE_PS_CLINE+LINE_PS_CCHA/2)),IMDIV("1",IMPRODUCT("2",COMPLEX(C_THROUGH_ESR,B764*C_THROUGH_ESL-1/(B764*C_THROUGH_C)))))</f>
        <v>0</v>
      </c>
      <c r="E764">
        <f>COMPLEX(2*LINE_INPUT_DCR,2*B764*LINE_INPUT_L)</f>
        <v>0</v>
      </c>
      <c r="F764">
        <f>COMPLEX(0,B764*(LINE_INPUT_CLINE+LINE_INPUT_CCHA/2))</f>
        <v>0</v>
      </c>
      <c r="G764">
        <f>IMPRODUCT("2",IMDIV("1",IMSUM(IMDIV("1",COMPLEX(LDM1_DCR,B764*LDM1_L)),COMPLEX(0,B764*LDM1_CPA))))</f>
        <v>0</v>
      </c>
      <c r="H764">
        <f>IMSUM(IMDIV("1",COMPLEX(CX1_ESR,B764*CX1_ESL-1/(B764*CX1_C))),IMDIV("1",IMSUM(COMPLEX(DUMP1_R,0),COMPLEX(DUMP1_ESR,B764*DUMP1_ESL-1/(B764*DUMP1_C)))))</f>
        <v>0</v>
      </c>
      <c r="I764">
        <f>IMPRODUCT("2",IMDIV("1",IMSUM(IMDIV("1",COMPLEX(LDM2_DCR,B764*LDM2_L)),COMPLEX(0,B764*LDM2_CPA))))</f>
        <v>0</v>
      </c>
      <c r="J764">
        <f>IMSUM(IMDIV("1",COMPLEX(CX2_ESR,B764*CX2_ESL-1/(B764*CX2_C))),IMDIV("1",IMSUM(COMPLEX(DUMP2_R,0),COMPLEX(DUMP2_ESR,B764*DUMP2_ESL-1/(B764*DUMP2_C)))))</f>
        <v>0</v>
      </c>
      <c r="K764">
        <f>IMPRODUCT("2",IMDIV("1",IMSUM(IMDIV("1",COMPLEX(CMC_DCR,B764*CMC_L*(1-CMC_K))),COMPLEX(0,B764*CMC_CPA))))</f>
        <v>0</v>
      </c>
      <c r="L764">
        <f>IMSUM(COMPLEX(0,B764*CMC_CLINE),IMDIV("1",IMPRODUCT("2",COMPLEX(CY_ESR,B764*CY_ESL-1/(B764*CY_C)))),COMPLEX(1/DUMMY_R,0))</f>
        <v>0</v>
      </c>
      <c r="M764">
        <f>IMSUM(D764,IMDIV("1",C764))</f>
        <v>0</v>
      </c>
      <c r="N764">
        <f>IMDIV("1",IMSUM(E764,IMDIV("1",M764)))</f>
        <v>0</v>
      </c>
      <c r="O764">
        <f>IMSUM(F764,N764)</f>
        <v>0</v>
      </c>
      <c r="P764">
        <f>IMDIV("1",IMSUM(G764,IMDIV("1",O764)))</f>
        <v>0</v>
      </c>
      <c r="Q764">
        <f>IMSUM(H764,P764)</f>
        <v>0</v>
      </c>
      <c r="R764">
        <f>IMDIV("1",IMSUM(I764,IMDIV("1",Q764)))</f>
        <v>0</v>
      </c>
      <c r="S764">
        <f>IMSUM(J764,R764)</f>
        <v>0</v>
      </c>
      <c r="T764">
        <f>IMDIV("1",IMSUM(K764,IMDIV("1",S764)))</f>
        <v>0</v>
      </c>
      <c r="U764">
        <f>IMSUM(L764,T764)</f>
        <v>0</v>
      </c>
      <c r="V764">
        <f>IMDIV(COMPLEX(I_DM_SOURCE,0),U764)</f>
        <v>0</v>
      </c>
      <c r="W764">
        <f>IMPRODUCT(V764,T764)</f>
        <v>0</v>
      </c>
      <c r="X764">
        <f>IMDIV(W764,S764)</f>
        <v>0</v>
      </c>
      <c r="Y764">
        <f>IMPRODUCT(X764,R764)</f>
        <v>0</v>
      </c>
      <c r="Z764">
        <f>IMDIV(Y764,Q764)</f>
        <v>0</v>
      </c>
      <c r="AA764">
        <f>IMPRODUCT(Z764,P764)</f>
        <v>0</v>
      </c>
      <c r="AB764">
        <f>AA764</f>
        <v>0</v>
      </c>
      <c r="AC764">
        <f>IMPRODUCT("-1",AB764)</f>
        <v>0</v>
      </c>
      <c r="AD764">
        <f>IMDIV(IMSUB(AB764,AC764),"2")</f>
        <v>0</v>
      </c>
      <c r="AE764" s="6">
        <f>IMABS(AB764)</f>
        <v>0</v>
      </c>
      <c r="AF764" s="6">
        <f>IMABS(AC764)</f>
        <v>0</v>
      </c>
      <c r="AG764" s="6">
        <f>IMABS(AD764)</f>
        <v>0</v>
      </c>
      <c r="AH764" s="7">
        <f>20*LOG10(MAX(AE764,1E-300)*1E6)</f>
        <v>0</v>
      </c>
      <c r="AI764" s="7">
        <f>20*LOG10(MAX(AF764,1E-300)*1E6)</f>
        <v>0</v>
      </c>
      <c r="AJ764" s="7">
        <f>20*LOG10(MAX(AG764,1E-300)*1E6)</f>
        <v>0</v>
      </c>
      <c r="AK764" s="7">
        <f>DEGREES(IMARGUMENT(AB764))</f>
        <v>0</v>
      </c>
      <c r="AL764" s="7">
        <f>DEGREES(IMARGUMENT(AC764))</f>
        <v>0</v>
      </c>
      <c r="AM764" s="7">
        <f>DEGREES(IMARGUMENT(AD764))</f>
        <v>0</v>
      </c>
    </row>
    <row r="765" spans="1:39">
      <c r="A765" s="6">
        <f>10^(LOG10(F_START)+(ROW()-ROW($A$2))*(LOG10(F_STOP)-LOG10(F_START))/(N_POINTS-1))</f>
        <v>0</v>
      </c>
      <c r="B765" s="6">
        <f>2*PI()*A765</f>
        <v>0</v>
      </c>
      <c r="C765">
        <f>COMPLEX(2*LINE_PS_DCR,2*B765*LINE_PS_L)</f>
        <v>0</v>
      </c>
      <c r="D765">
        <f>IMSUM(COMPLEX(0,B765*(LINE_PS_CLINE+LINE_PS_CCHA/2)),IMDIV("1",IMPRODUCT("2",COMPLEX(C_THROUGH_ESR,B765*C_THROUGH_ESL-1/(B765*C_THROUGH_C)))))</f>
        <v>0</v>
      </c>
      <c r="E765">
        <f>COMPLEX(2*LINE_INPUT_DCR,2*B765*LINE_INPUT_L)</f>
        <v>0</v>
      </c>
      <c r="F765">
        <f>COMPLEX(0,B765*(LINE_INPUT_CLINE+LINE_INPUT_CCHA/2))</f>
        <v>0</v>
      </c>
      <c r="G765">
        <f>IMPRODUCT("2",IMDIV("1",IMSUM(IMDIV("1",COMPLEX(LDM1_DCR,B765*LDM1_L)),COMPLEX(0,B765*LDM1_CPA))))</f>
        <v>0</v>
      </c>
      <c r="H765">
        <f>IMSUM(IMDIV("1",COMPLEX(CX1_ESR,B765*CX1_ESL-1/(B765*CX1_C))),IMDIV("1",IMSUM(COMPLEX(DUMP1_R,0),COMPLEX(DUMP1_ESR,B765*DUMP1_ESL-1/(B765*DUMP1_C)))))</f>
        <v>0</v>
      </c>
      <c r="I765">
        <f>IMPRODUCT("2",IMDIV("1",IMSUM(IMDIV("1",COMPLEX(LDM2_DCR,B765*LDM2_L)),COMPLEX(0,B765*LDM2_CPA))))</f>
        <v>0</v>
      </c>
      <c r="J765">
        <f>IMSUM(IMDIV("1",COMPLEX(CX2_ESR,B765*CX2_ESL-1/(B765*CX2_C))),IMDIV("1",IMSUM(COMPLEX(DUMP2_R,0),COMPLEX(DUMP2_ESR,B765*DUMP2_ESL-1/(B765*DUMP2_C)))))</f>
        <v>0</v>
      </c>
      <c r="K765">
        <f>IMPRODUCT("2",IMDIV("1",IMSUM(IMDIV("1",COMPLEX(CMC_DCR,B765*CMC_L*(1-CMC_K))),COMPLEX(0,B765*CMC_CPA))))</f>
        <v>0</v>
      </c>
      <c r="L765">
        <f>IMSUM(COMPLEX(0,B765*CMC_CLINE),IMDIV("1",IMPRODUCT("2",COMPLEX(CY_ESR,B765*CY_ESL-1/(B765*CY_C)))),COMPLEX(1/DUMMY_R,0))</f>
        <v>0</v>
      </c>
      <c r="M765">
        <f>IMSUM(D765,IMDIV("1",C765))</f>
        <v>0</v>
      </c>
      <c r="N765">
        <f>IMDIV("1",IMSUM(E765,IMDIV("1",M765)))</f>
        <v>0</v>
      </c>
      <c r="O765">
        <f>IMSUM(F765,N765)</f>
        <v>0</v>
      </c>
      <c r="P765">
        <f>IMDIV("1",IMSUM(G765,IMDIV("1",O765)))</f>
        <v>0</v>
      </c>
      <c r="Q765">
        <f>IMSUM(H765,P765)</f>
        <v>0</v>
      </c>
      <c r="R765">
        <f>IMDIV("1",IMSUM(I765,IMDIV("1",Q765)))</f>
        <v>0</v>
      </c>
      <c r="S765">
        <f>IMSUM(J765,R765)</f>
        <v>0</v>
      </c>
      <c r="T765">
        <f>IMDIV("1",IMSUM(K765,IMDIV("1",S765)))</f>
        <v>0</v>
      </c>
      <c r="U765">
        <f>IMSUM(L765,T765)</f>
        <v>0</v>
      </c>
      <c r="V765">
        <f>IMDIV(COMPLEX(I_DM_SOURCE,0),U765)</f>
        <v>0</v>
      </c>
      <c r="W765">
        <f>IMPRODUCT(V765,T765)</f>
        <v>0</v>
      </c>
      <c r="X765">
        <f>IMDIV(W765,S765)</f>
        <v>0</v>
      </c>
      <c r="Y765">
        <f>IMPRODUCT(X765,R765)</f>
        <v>0</v>
      </c>
      <c r="Z765">
        <f>IMDIV(Y765,Q765)</f>
        <v>0</v>
      </c>
      <c r="AA765">
        <f>IMPRODUCT(Z765,P765)</f>
        <v>0</v>
      </c>
      <c r="AB765">
        <f>AA765</f>
        <v>0</v>
      </c>
      <c r="AC765">
        <f>IMPRODUCT("-1",AB765)</f>
        <v>0</v>
      </c>
      <c r="AD765">
        <f>IMDIV(IMSUB(AB765,AC765),"2")</f>
        <v>0</v>
      </c>
      <c r="AE765" s="6">
        <f>IMABS(AB765)</f>
        <v>0</v>
      </c>
      <c r="AF765" s="6">
        <f>IMABS(AC765)</f>
        <v>0</v>
      </c>
      <c r="AG765" s="6">
        <f>IMABS(AD765)</f>
        <v>0</v>
      </c>
      <c r="AH765" s="7">
        <f>20*LOG10(MAX(AE765,1E-300)*1E6)</f>
        <v>0</v>
      </c>
      <c r="AI765" s="7">
        <f>20*LOG10(MAX(AF765,1E-300)*1E6)</f>
        <v>0</v>
      </c>
      <c r="AJ765" s="7">
        <f>20*LOG10(MAX(AG765,1E-300)*1E6)</f>
        <v>0</v>
      </c>
      <c r="AK765" s="7">
        <f>DEGREES(IMARGUMENT(AB765))</f>
        <v>0</v>
      </c>
      <c r="AL765" s="7">
        <f>DEGREES(IMARGUMENT(AC765))</f>
        <v>0</v>
      </c>
      <c r="AM765" s="7">
        <f>DEGREES(IMARGUMENT(AD765))</f>
        <v>0</v>
      </c>
    </row>
    <row r="766" spans="1:39">
      <c r="A766" s="6">
        <f>10^(LOG10(F_START)+(ROW()-ROW($A$2))*(LOG10(F_STOP)-LOG10(F_START))/(N_POINTS-1))</f>
        <v>0</v>
      </c>
      <c r="B766" s="6">
        <f>2*PI()*A766</f>
        <v>0</v>
      </c>
      <c r="C766">
        <f>COMPLEX(2*LINE_PS_DCR,2*B766*LINE_PS_L)</f>
        <v>0</v>
      </c>
      <c r="D766">
        <f>IMSUM(COMPLEX(0,B766*(LINE_PS_CLINE+LINE_PS_CCHA/2)),IMDIV("1",IMPRODUCT("2",COMPLEX(C_THROUGH_ESR,B766*C_THROUGH_ESL-1/(B766*C_THROUGH_C)))))</f>
        <v>0</v>
      </c>
      <c r="E766">
        <f>COMPLEX(2*LINE_INPUT_DCR,2*B766*LINE_INPUT_L)</f>
        <v>0</v>
      </c>
      <c r="F766">
        <f>COMPLEX(0,B766*(LINE_INPUT_CLINE+LINE_INPUT_CCHA/2))</f>
        <v>0</v>
      </c>
      <c r="G766">
        <f>IMPRODUCT("2",IMDIV("1",IMSUM(IMDIV("1",COMPLEX(LDM1_DCR,B766*LDM1_L)),COMPLEX(0,B766*LDM1_CPA))))</f>
        <v>0</v>
      </c>
      <c r="H766">
        <f>IMSUM(IMDIV("1",COMPLEX(CX1_ESR,B766*CX1_ESL-1/(B766*CX1_C))),IMDIV("1",IMSUM(COMPLEX(DUMP1_R,0),COMPLEX(DUMP1_ESR,B766*DUMP1_ESL-1/(B766*DUMP1_C)))))</f>
        <v>0</v>
      </c>
      <c r="I766">
        <f>IMPRODUCT("2",IMDIV("1",IMSUM(IMDIV("1",COMPLEX(LDM2_DCR,B766*LDM2_L)),COMPLEX(0,B766*LDM2_CPA))))</f>
        <v>0</v>
      </c>
      <c r="J766">
        <f>IMSUM(IMDIV("1",COMPLEX(CX2_ESR,B766*CX2_ESL-1/(B766*CX2_C))),IMDIV("1",IMSUM(COMPLEX(DUMP2_R,0),COMPLEX(DUMP2_ESR,B766*DUMP2_ESL-1/(B766*DUMP2_C)))))</f>
        <v>0</v>
      </c>
      <c r="K766">
        <f>IMPRODUCT("2",IMDIV("1",IMSUM(IMDIV("1",COMPLEX(CMC_DCR,B766*CMC_L*(1-CMC_K))),COMPLEX(0,B766*CMC_CPA))))</f>
        <v>0</v>
      </c>
      <c r="L766">
        <f>IMSUM(COMPLEX(0,B766*CMC_CLINE),IMDIV("1",IMPRODUCT("2",COMPLEX(CY_ESR,B766*CY_ESL-1/(B766*CY_C)))),COMPLEX(1/DUMMY_R,0))</f>
        <v>0</v>
      </c>
      <c r="M766">
        <f>IMSUM(D766,IMDIV("1",C766))</f>
        <v>0</v>
      </c>
      <c r="N766">
        <f>IMDIV("1",IMSUM(E766,IMDIV("1",M766)))</f>
        <v>0</v>
      </c>
      <c r="O766">
        <f>IMSUM(F766,N766)</f>
        <v>0</v>
      </c>
      <c r="P766">
        <f>IMDIV("1",IMSUM(G766,IMDIV("1",O766)))</f>
        <v>0</v>
      </c>
      <c r="Q766">
        <f>IMSUM(H766,P766)</f>
        <v>0</v>
      </c>
      <c r="R766">
        <f>IMDIV("1",IMSUM(I766,IMDIV("1",Q766)))</f>
        <v>0</v>
      </c>
      <c r="S766">
        <f>IMSUM(J766,R766)</f>
        <v>0</v>
      </c>
      <c r="T766">
        <f>IMDIV("1",IMSUM(K766,IMDIV("1",S766)))</f>
        <v>0</v>
      </c>
      <c r="U766">
        <f>IMSUM(L766,T766)</f>
        <v>0</v>
      </c>
      <c r="V766">
        <f>IMDIV(COMPLEX(I_DM_SOURCE,0),U766)</f>
        <v>0</v>
      </c>
      <c r="W766">
        <f>IMPRODUCT(V766,T766)</f>
        <v>0</v>
      </c>
      <c r="X766">
        <f>IMDIV(W766,S766)</f>
        <v>0</v>
      </c>
      <c r="Y766">
        <f>IMPRODUCT(X766,R766)</f>
        <v>0</v>
      </c>
      <c r="Z766">
        <f>IMDIV(Y766,Q766)</f>
        <v>0</v>
      </c>
      <c r="AA766">
        <f>IMPRODUCT(Z766,P766)</f>
        <v>0</v>
      </c>
      <c r="AB766">
        <f>AA766</f>
        <v>0</v>
      </c>
      <c r="AC766">
        <f>IMPRODUCT("-1",AB766)</f>
        <v>0</v>
      </c>
      <c r="AD766">
        <f>IMDIV(IMSUB(AB766,AC766),"2")</f>
        <v>0</v>
      </c>
      <c r="AE766" s="6">
        <f>IMABS(AB766)</f>
        <v>0</v>
      </c>
      <c r="AF766" s="6">
        <f>IMABS(AC766)</f>
        <v>0</v>
      </c>
      <c r="AG766" s="6">
        <f>IMABS(AD766)</f>
        <v>0</v>
      </c>
      <c r="AH766" s="7">
        <f>20*LOG10(MAX(AE766,1E-300)*1E6)</f>
        <v>0</v>
      </c>
      <c r="AI766" s="7">
        <f>20*LOG10(MAX(AF766,1E-300)*1E6)</f>
        <v>0</v>
      </c>
      <c r="AJ766" s="7">
        <f>20*LOG10(MAX(AG766,1E-300)*1E6)</f>
        <v>0</v>
      </c>
      <c r="AK766" s="7">
        <f>DEGREES(IMARGUMENT(AB766))</f>
        <v>0</v>
      </c>
      <c r="AL766" s="7">
        <f>DEGREES(IMARGUMENT(AC766))</f>
        <v>0</v>
      </c>
      <c r="AM766" s="7">
        <f>DEGREES(IMARGUMENT(AD766))</f>
        <v>0</v>
      </c>
    </row>
    <row r="767" spans="1:39">
      <c r="A767" s="6">
        <f>10^(LOG10(F_START)+(ROW()-ROW($A$2))*(LOG10(F_STOP)-LOG10(F_START))/(N_POINTS-1))</f>
        <v>0</v>
      </c>
      <c r="B767" s="6">
        <f>2*PI()*A767</f>
        <v>0</v>
      </c>
      <c r="C767">
        <f>COMPLEX(2*LINE_PS_DCR,2*B767*LINE_PS_L)</f>
        <v>0</v>
      </c>
      <c r="D767">
        <f>IMSUM(COMPLEX(0,B767*(LINE_PS_CLINE+LINE_PS_CCHA/2)),IMDIV("1",IMPRODUCT("2",COMPLEX(C_THROUGH_ESR,B767*C_THROUGH_ESL-1/(B767*C_THROUGH_C)))))</f>
        <v>0</v>
      </c>
      <c r="E767">
        <f>COMPLEX(2*LINE_INPUT_DCR,2*B767*LINE_INPUT_L)</f>
        <v>0</v>
      </c>
      <c r="F767">
        <f>COMPLEX(0,B767*(LINE_INPUT_CLINE+LINE_INPUT_CCHA/2))</f>
        <v>0</v>
      </c>
      <c r="G767">
        <f>IMPRODUCT("2",IMDIV("1",IMSUM(IMDIV("1",COMPLEX(LDM1_DCR,B767*LDM1_L)),COMPLEX(0,B767*LDM1_CPA))))</f>
        <v>0</v>
      </c>
      <c r="H767">
        <f>IMSUM(IMDIV("1",COMPLEX(CX1_ESR,B767*CX1_ESL-1/(B767*CX1_C))),IMDIV("1",IMSUM(COMPLEX(DUMP1_R,0),COMPLEX(DUMP1_ESR,B767*DUMP1_ESL-1/(B767*DUMP1_C)))))</f>
        <v>0</v>
      </c>
      <c r="I767">
        <f>IMPRODUCT("2",IMDIV("1",IMSUM(IMDIV("1",COMPLEX(LDM2_DCR,B767*LDM2_L)),COMPLEX(0,B767*LDM2_CPA))))</f>
        <v>0</v>
      </c>
      <c r="J767">
        <f>IMSUM(IMDIV("1",COMPLEX(CX2_ESR,B767*CX2_ESL-1/(B767*CX2_C))),IMDIV("1",IMSUM(COMPLEX(DUMP2_R,0),COMPLEX(DUMP2_ESR,B767*DUMP2_ESL-1/(B767*DUMP2_C)))))</f>
        <v>0</v>
      </c>
      <c r="K767">
        <f>IMPRODUCT("2",IMDIV("1",IMSUM(IMDIV("1",COMPLEX(CMC_DCR,B767*CMC_L*(1-CMC_K))),COMPLEX(0,B767*CMC_CPA))))</f>
        <v>0</v>
      </c>
      <c r="L767">
        <f>IMSUM(COMPLEX(0,B767*CMC_CLINE),IMDIV("1",IMPRODUCT("2",COMPLEX(CY_ESR,B767*CY_ESL-1/(B767*CY_C)))),COMPLEX(1/DUMMY_R,0))</f>
        <v>0</v>
      </c>
      <c r="M767">
        <f>IMSUM(D767,IMDIV("1",C767))</f>
        <v>0</v>
      </c>
      <c r="N767">
        <f>IMDIV("1",IMSUM(E767,IMDIV("1",M767)))</f>
        <v>0</v>
      </c>
      <c r="O767">
        <f>IMSUM(F767,N767)</f>
        <v>0</v>
      </c>
      <c r="P767">
        <f>IMDIV("1",IMSUM(G767,IMDIV("1",O767)))</f>
        <v>0</v>
      </c>
      <c r="Q767">
        <f>IMSUM(H767,P767)</f>
        <v>0</v>
      </c>
      <c r="R767">
        <f>IMDIV("1",IMSUM(I767,IMDIV("1",Q767)))</f>
        <v>0</v>
      </c>
      <c r="S767">
        <f>IMSUM(J767,R767)</f>
        <v>0</v>
      </c>
      <c r="T767">
        <f>IMDIV("1",IMSUM(K767,IMDIV("1",S767)))</f>
        <v>0</v>
      </c>
      <c r="U767">
        <f>IMSUM(L767,T767)</f>
        <v>0</v>
      </c>
      <c r="V767">
        <f>IMDIV(COMPLEX(I_DM_SOURCE,0),U767)</f>
        <v>0</v>
      </c>
      <c r="W767">
        <f>IMPRODUCT(V767,T767)</f>
        <v>0</v>
      </c>
      <c r="X767">
        <f>IMDIV(W767,S767)</f>
        <v>0</v>
      </c>
      <c r="Y767">
        <f>IMPRODUCT(X767,R767)</f>
        <v>0</v>
      </c>
      <c r="Z767">
        <f>IMDIV(Y767,Q767)</f>
        <v>0</v>
      </c>
      <c r="AA767">
        <f>IMPRODUCT(Z767,P767)</f>
        <v>0</v>
      </c>
      <c r="AB767">
        <f>AA767</f>
        <v>0</v>
      </c>
      <c r="AC767">
        <f>IMPRODUCT("-1",AB767)</f>
        <v>0</v>
      </c>
      <c r="AD767">
        <f>IMDIV(IMSUB(AB767,AC767),"2")</f>
        <v>0</v>
      </c>
      <c r="AE767" s="6">
        <f>IMABS(AB767)</f>
        <v>0</v>
      </c>
      <c r="AF767" s="6">
        <f>IMABS(AC767)</f>
        <v>0</v>
      </c>
      <c r="AG767" s="6">
        <f>IMABS(AD767)</f>
        <v>0</v>
      </c>
      <c r="AH767" s="7">
        <f>20*LOG10(MAX(AE767,1E-300)*1E6)</f>
        <v>0</v>
      </c>
      <c r="AI767" s="7">
        <f>20*LOG10(MAX(AF767,1E-300)*1E6)</f>
        <v>0</v>
      </c>
      <c r="AJ767" s="7">
        <f>20*LOG10(MAX(AG767,1E-300)*1E6)</f>
        <v>0</v>
      </c>
      <c r="AK767" s="7">
        <f>DEGREES(IMARGUMENT(AB767))</f>
        <v>0</v>
      </c>
      <c r="AL767" s="7">
        <f>DEGREES(IMARGUMENT(AC767))</f>
        <v>0</v>
      </c>
      <c r="AM767" s="7">
        <f>DEGREES(IMARGUMENT(AD767))</f>
        <v>0</v>
      </c>
    </row>
    <row r="768" spans="1:39">
      <c r="A768" s="6">
        <f>10^(LOG10(F_START)+(ROW()-ROW($A$2))*(LOG10(F_STOP)-LOG10(F_START))/(N_POINTS-1))</f>
        <v>0</v>
      </c>
      <c r="B768" s="6">
        <f>2*PI()*A768</f>
        <v>0</v>
      </c>
      <c r="C768">
        <f>COMPLEX(2*LINE_PS_DCR,2*B768*LINE_PS_L)</f>
        <v>0</v>
      </c>
      <c r="D768">
        <f>IMSUM(COMPLEX(0,B768*(LINE_PS_CLINE+LINE_PS_CCHA/2)),IMDIV("1",IMPRODUCT("2",COMPLEX(C_THROUGH_ESR,B768*C_THROUGH_ESL-1/(B768*C_THROUGH_C)))))</f>
        <v>0</v>
      </c>
      <c r="E768">
        <f>COMPLEX(2*LINE_INPUT_DCR,2*B768*LINE_INPUT_L)</f>
        <v>0</v>
      </c>
      <c r="F768">
        <f>COMPLEX(0,B768*(LINE_INPUT_CLINE+LINE_INPUT_CCHA/2))</f>
        <v>0</v>
      </c>
      <c r="G768">
        <f>IMPRODUCT("2",IMDIV("1",IMSUM(IMDIV("1",COMPLEX(LDM1_DCR,B768*LDM1_L)),COMPLEX(0,B768*LDM1_CPA))))</f>
        <v>0</v>
      </c>
      <c r="H768">
        <f>IMSUM(IMDIV("1",COMPLEX(CX1_ESR,B768*CX1_ESL-1/(B768*CX1_C))),IMDIV("1",IMSUM(COMPLEX(DUMP1_R,0),COMPLEX(DUMP1_ESR,B768*DUMP1_ESL-1/(B768*DUMP1_C)))))</f>
        <v>0</v>
      </c>
      <c r="I768">
        <f>IMPRODUCT("2",IMDIV("1",IMSUM(IMDIV("1",COMPLEX(LDM2_DCR,B768*LDM2_L)),COMPLEX(0,B768*LDM2_CPA))))</f>
        <v>0</v>
      </c>
      <c r="J768">
        <f>IMSUM(IMDIV("1",COMPLEX(CX2_ESR,B768*CX2_ESL-1/(B768*CX2_C))),IMDIV("1",IMSUM(COMPLEX(DUMP2_R,0),COMPLEX(DUMP2_ESR,B768*DUMP2_ESL-1/(B768*DUMP2_C)))))</f>
        <v>0</v>
      </c>
      <c r="K768">
        <f>IMPRODUCT("2",IMDIV("1",IMSUM(IMDIV("1",COMPLEX(CMC_DCR,B768*CMC_L*(1-CMC_K))),COMPLEX(0,B768*CMC_CPA))))</f>
        <v>0</v>
      </c>
      <c r="L768">
        <f>IMSUM(COMPLEX(0,B768*CMC_CLINE),IMDIV("1",IMPRODUCT("2",COMPLEX(CY_ESR,B768*CY_ESL-1/(B768*CY_C)))),COMPLEX(1/DUMMY_R,0))</f>
        <v>0</v>
      </c>
      <c r="M768">
        <f>IMSUM(D768,IMDIV("1",C768))</f>
        <v>0</v>
      </c>
      <c r="N768">
        <f>IMDIV("1",IMSUM(E768,IMDIV("1",M768)))</f>
        <v>0</v>
      </c>
      <c r="O768">
        <f>IMSUM(F768,N768)</f>
        <v>0</v>
      </c>
      <c r="P768">
        <f>IMDIV("1",IMSUM(G768,IMDIV("1",O768)))</f>
        <v>0</v>
      </c>
      <c r="Q768">
        <f>IMSUM(H768,P768)</f>
        <v>0</v>
      </c>
      <c r="R768">
        <f>IMDIV("1",IMSUM(I768,IMDIV("1",Q768)))</f>
        <v>0</v>
      </c>
      <c r="S768">
        <f>IMSUM(J768,R768)</f>
        <v>0</v>
      </c>
      <c r="T768">
        <f>IMDIV("1",IMSUM(K768,IMDIV("1",S768)))</f>
        <v>0</v>
      </c>
      <c r="U768">
        <f>IMSUM(L768,T768)</f>
        <v>0</v>
      </c>
      <c r="V768">
        <f>IMDIV(COMPLEX(I_DM_SOURCE,0),U768)</f>
        <v>0</v>
      </c>
      <c r="W768">
        <f>IMPRODUCT(V768,T768)</f>
        <v>0</v>
      </c>
      <c r="X768">
        <f>IMDIV(W768,S768)</f>
        <v>0</v>
      </c>
      <c r="Y768">
        <f>IMPRODUCT(X768,R768)</f>
        <v>0</v>
      </c>
      <c r="Z768">
        <f>IMDIV(Y768,Q768)</f>
        <v>0</v>
      </c>
      <c r="AA768">
        <f>IMPRODUCT(Z768,P768)</f>
        <v>0</v>
      </c>
      <c r="AB768">
        <f>AA768</f>
        <v>0</v>
      </c>
      <c r="AC768">
        <f>IMPRODUCT("-1",AB768)</f>
        <v>0</v>
      </c>
      <c r="AD768">
        <f>IMDIV(IMSUB(AB768,AC768),"2")</f>
        <v>0</v>
      </c>
      <c r="AE768" s="6">
        <f>IMABS(AB768)</f>
        <v>0</v>
      </c>
      <c r="AF768" s="6">
        <f>IMABS(AC768)</f>
        <v>0</v>
      </c>
      <c r="AG768" s="6">
        <f>IMABS(AD768)</f>
        <v>0</v>
      </c>
      <c r="AH768" s="7">
        <f>20*LOG10(MAX(AE768,1E-300)*1E6)</f>
        <v>0</v>
      </c>
      <c r="AI768" s="7">
        <f>20*LOG10(MAX(AF768,1E-300)*1E6)</f>
        <v>0</v>
      </c>
      <c r="AJ768" s="7">
        <f>20*LOG10(MAX(AG768,1E-300)*1E6)</f>
        <v>0</v>
      </c>
      <c r="AK768" s="7">
        <f>DEGREES(IMARGUMENT(AB768))</f>
        <v>0</v>
      </c>
      <c r="AL768" s="7">
        <f>DEGREES(IMARGUMENT(AC768))</f>
        <v>0</v>
      </c>
      <c r="AM768" s="7">
        <f>DEGREES(IMARGUMENT(AD768))</f>
        <v>0</v>
      </c>
    </row>
    <row r="769" spans="1:39">
      <c r="A769" s="6">
        <f>10^(LOG10(F_START)+(ROW()-ROW($A$2))*(LOG10(F_STOP)-LOG10(F_START))/(N_POINTS-1))</f>
        <v>0</v>
      </c>
      <c r="B769" s="6">
        <f>2*PI()*A769</f>
        <v>0</v>
      </c>
      <c r="C769">
        <f>COMPLEX(2*LINE_PS_DCR,2*B769*LINE_PS_L)</f>
        <v>0</v>
      </c>
      <c r="D769">
        <f>IMSUM(COMPLEX(0,B769*(LINE_PS_CLINE+LINE_PS_CCHA/2)),IMDIV("1",IMPRODUCT("2",COMPLEX(C_THROUGH_ESR,B769*C_THROUGH_ESL-1/(B769*C_THROUGH_C)))))</f>
        <v>0</v>
      </c>
      <c r="E769">
        <f>COMPLEX(2*LINE_INPUT_DCR,2*B769*LINE_INPUT_L)</f>
        <v>0</v>
      </c>
      <c r="F769">
        <f>COMPLEX(0,B769*(LINE_INPUT_CLINE+LINE_INPUT_CCHA/2))</f>
        <v>0</v>
      </c>
      <c r="G769">
        <f>IMPRODUCT("2",IMDIV("1",IMSUM(IMDIV("1",COMPLEX(LDM1_DCR,B769*LDM1_L)),COMPLEX(0,B769*LDM1_CPA))))</f>
        <v>0</v>
      </c>
      <c r="H769">
        <f>IMSUM(IMDIV("1",COMPLEX(CX1_ESR,B769*CX1_ESL-1/(B769*CX1_C))),IMDIV("1",IMSUM(COMPLEX(DUMP1_R,0),COMPLEX(DUMP1_ESR,B769*DUMP1_ESL-1/(B769*DUMP1_C)))))</f>
        <v>0</v>
      </c>
      <c r="I769">
        <f>IMPRODUCT("2",IMDIV("1",IMSUM(IMDIV("1",COMPLEX(LDM2_DCR,B769*LDM2_L)),COMPLEX(0,B769*LDM2_CPA))))</f>
        <v>0</v>
      </c>
      <c r="J769">
        <f>IMSUM(IMDIV("1",COMPLEX(CX2_ESR,B769*CX2_ESL-1/(B769*CX2_C))),IMDIV("1",IMSUM(COMPLEX(DUMP2_R,0),COMPLEX(DUMP2_ESR,B769*DUMP2_ESL-1/(B769*DUMP2_C)))))</f>
        <v>0</v>
      </c>
      <c r="K769">
        <f>IMPRODUCT("2",IMDIV("1",IMSUM(IMDIV("1",COMPLEX(CMC_DCR,B769*CMC_L*(1-CMC_K))),COMPLEX(0,B769*CMC_CPA))))</f>
        <v>0</v>
      </c>
      <c r="L769">
        <f>IMSUM(COMPLEX(0,B769*CMC_CLINE),IMDIV("1",IMPRODUCT("2",COMPLEX(CY_ESR,B769*CY_ESL-1/(B769*CY_C)))),COMPLEX(1/DUMMY_R,0))</f>
        <v>0</v>
      </c>
      <c r="M769">
        <f>IMSUM(D769,IMDIV("1",C769))</f>
        <v>0</v>
      </c>
      <c r="N769">
        <f>IMDIV("1",IMSUM(E769,IMDIV("1",M769)))</f>
        <v>0</v>
      </c>
      <c r="O769">
        <f>IMSUM(F769,N769)</f>
        <v>0</v>
      </c>
      <c r="P769">
        <f>IMDIV("1",IMSUM(G769,IMDIV("1",O769)))</f>
        <v>0</v>
      </c>
      <c r="Q769">
        <f>IMSUM(H769,P769)</f>
        <v>0</v>
      </c>
      <c r="R769">
        <f>IMDIV("1",IMSUM(I769,IMDIV("1",Q769)))</f>
        <v>0</v>
      </c>
      <c r="S769">
        <f>IMSUM(J769,R769)</f>
        <v>0</v>
      </c>
      <c r="T769">
        <f>IMDIV("1",IMSUM(K769,IMDIV("1",S769)))</f>
        <v>0</v>
      </c>
      <c r="U769">
        <f>IMSUM(L769,T769)</f>
        <v>0</v>
      </c>
      <c r="V769">
        <f>IMDIV(COMPLEX(I_DM_SOURCE,0),U769)</f>
        <v>0</v>
      </c>
      <c r="W769">
        <f>IMPRODUCT(V769,T769)</f>
        <v>0</v>
      </c>
      <c r="X769">
        <f>IMDIV(W769,S769)</f>
        <v>0</v>
      </c>
      <c r="Y769">
        <f>IMPRODUCT(X769,R769)</f>
        <v>0</v>
      </c>
      <c r="Z769">
        <f>IMDIV(Y769,Q769)</f>
        <v>0</v>
      </c>
      <c r="AA769">
        <f>IMPRODUCT(Z769,P769)</f>
        <v>0</v>
      </c>
      <c r="AB769">
        <f>AA769</f>
        <v>0</v>
      </c>
      <c r="AC769">
        <f>IMPRODUCT("-1",AB769)</f>
        <v>0</v>
      </c>
      <c r="AD769">
        <f>IMDIV(IMSUB(AB769,AC769),"2")</f>
        <v>0</v>
      </c>
      <c r="AE769" s="6">
        <f>IMABS(AB769)</f>
        <v>0</v>
      </c>
      <c r="AF769" s="6">
        <f>IMABS(AC769)</f>
        <v>0</v>
      </c>
      <c r="AG769" s="6">
        <f>IMABS(AD769)</f>
        <v>0</v>
      </c>
      <c r="AH769" s="7">
        <f>20*LOG10(MAX(AE769,1E-300)*1E6)</f>
        <v>0</v>
      </c>
      <c r="AI769" s="7">
        <f>20*LOG10(MAX(AF769,1E-300)*1E6)</f>
        <v>0</v>
      </c>
      <c r="AJ769" s="7">
        <f>20*LOG10(MAX(AG769,1E-300)*1E6)</f>
        <v>0</v>
      </c>
      <c r="AK769" s="7">
        <f>DEGREES(IMARGUMENT(AB769))</f>
        <v>0</v>
      </c>
      <c r="AL769" s="7">
        <f>DEGREES(IMARGUMENT(AC769))</f>
        <v>0</v>
      </c>
      <c r="AM769" s="7">
        <f>DEGREES(IMARGUMENT(AD769))</f>
        <v>0</v>
      </c>
    </row>
    <row r="770" spans="1:39">
      <c r="A770" s="6">
        <f>10^(LOG10(F_START)+(ROW()-ROW($A$2))*(LOG10(F_STOP)-LOG10(F_START))/(N_POINTS-1))</f>
        <v>0</v>
      </c>
      <c r="B770" s="6">
        <f>2*PI()*A770</f>
        <v>0</v>
      </c>
      <c r="C770">
        <f>COMPLEX(2*LINE_PS_DCR,2*B770*LINE_PS_L)</f>
        <v>0</v>
      </c>
      <c r="D770">
        <f>IMSUM(COMPLEX(0,B770*(LINE_PS_CLINE+LINE_PS_CCHA/2)),IMDIV("1",IMPRODUCT("2",COMPLEX(C_THROUGH_ESR,B770*C_THROUGH_ESL-1/(B770*C_THROUGH_C)))))</f>
        <v>0</v>
      </c>
      <c r="E770">
        <f>COMPLEX(2*LINE_INPUT_DCR,2*B770*LINE_INPUT_L)</f>
        <v>0</v>
      </c>
      <c r="F770">
        <f>COMPLEX(0,B770*(LINE_INPUT_CLINE+LINE_INPUT_CCHA/2))</f>
        <v>0</v>
      </c>
      <c r="G770">
        <f>IMPRODUCT("2",IMDIV("1",IMSUM(IMDIV("1",COMPLEX(LDM1_DCR,B770*LDM1_L)),COMPLEX(0,B770*LDM1_CPA))))</f>
        <v>0</v>
      </c>
      <c r="H770">
        <f>IMSUM(IMDIV("1",COMPLEX(CX1_ESR,B770*CX1_ESL-1/(B770*CX1_C))),IMDIV("1",IMSUM(COMPLEX(DUMP1_R,0),COMPLEX(DUMP1_ESR,B770*DUMP1_ESL-1/(B770*DUMP1_C)))))</f>
        <v>0</v>
      </c>
      <c r="I770">
        <f>IMPRODUCT("2",IMDIV("1",IMSUM(IMDIV("1",COMPLEX(LDM2_DCR,B770*LDM2_L)),COMPLEX(0,B770*LDM2_CPA))))</f>
        <v>0</v>
      </c>
      <c r="J770">
        <f>IMSUM(IMDIV("1",COMPLEX(CX2_ESR,B770*CX2_ESL-1/(B770*CX2_C))),IMDIV("1",IMSUM(COMPLEX(DUMP2_R,0),COMPLEX(DUMP2_ESR,B770*DUMP2_ESL-1/(B770*DUMP2_C)))))</f>
        <v>0</v>
      </c>
      <c r="K770">
        <f>IMPRODUCT("2",IMDIV("1",IMSUM(IMDIV("1",COMPLEX(CMC_DCR,B770*CMC_L*(1-CMC_K))),COMPLEX(0,B770*CMC_CPA))))</f>
        <v>0</v>
      </c>
      <c r="L770">
        <f>IMSUM(COMPLEX(0,B770*CMC_CLINE),IMDIV("1",IMPRODUCT("2",COMPLEX(CY_ESR,B770*CY_ESL-1/(B770*CY_C)))),COMPLEX(1/DUMMY_R,0))</f>
        <v>0</v>
      </c>
      <c r="M770">
        <f>IMSUM(D770,IMDIV("1",C770))</f>
        <v>0</v>
      </c>
      <c r="N770">
        <f>IMDIV("1",IMSUM(E770,IMDIV("1",M770)))</f>
        <v>0</v>
      </c>
      <c r="O770">
        <f>IMSUM(F770,N770)</f>
        <v>0</v>
      </c>
      <c r="P770">
        <f>IMDIV("1",IMSUM(G770,IMDIV("1",O770)))</f>
        <v>0</v>
      </c>
      <c r="Q770">
        <f>IMSUM(H770,P770)</f>
        <v>0</v>
      </c>
      <c r="R770">
        <f>IMDIV("1",IMSUM(I770,IMDIV("1",Q770)))</f>
        <v>0</v>
      </c>
      <c r="S770">
        <f>IMSUM(J770,R770)</f>
        <v>0</v>
      </c>
      <c r="T770">
        <f>IMDIV("1",IMSUM(K770,IMDIV("1",S770)))</f>
        <v>0</v>
      </c>
      <c r="U770">
        <f>IMSUM(L770,T770)</f>
        <v>0</v>
      </c>
      <c r="V770">
        <f>IMDIV(COMPLEX(I_DM_SOURCE,0),U770)</f>
        <v>0</v>
      </c>
      <c r="W770">
        <f>IMPRODUCT(V770,T770)</f>
        <v>0</v>
      </c>
      <c r="X770">
        <f>IMDIV(W770,S770)</f>
        <v>0</v>
      </c>
      <c r="Y770">
        <f>IMPRODUCT(X770,R770)</f>
        <v>0</v>
      </c>
      <c r="Z770">
        <f>IMDIV(Y770,Q770)</f>
        <v>0</v>
      </c>
      <c r="AA770">
        <f>IMPRODUCT(Z770,P770)</f>
        <v>0</v>
      </c>
      <c r="AB770">
        <f>AA770</f>
        <v>0</v>
      </c>
      <c r="AC770">
        <f>IMPRODUCT("-1",AB770)</f>
        <v>0</v>
      </c>
      <c r="AD770">
        <f>IMDIV(IMSUB(AB770,AC770),"2")</f>
        <v>0</v>
      </c>
      <c r="AE770" s="6">
        <f>IMABS(AB770)</f>
        <v>0</v>
      </c>
      <c r="AF770" s="6">
        <f>IMABS(AC770)</f>
        <v>0</v>
      </c>
      <c r="AG770" s="6">
        <f>IMABS(AD770)</f>
        <v>0</v>
      </c>
      <c r="AH770" s="7">
        <f>20*LOG10(MAX(AE770,1E-300)*1E6)</f>
        <v>0</v>
      </c>
      <c r="AI770" s="7">
        <f>20*LOG10(MAX(AF770,1E-300)*1E6)</f>
        <v>0</v>
      </c>
      <c r="AJ770" s="7">
        <f>20*LOG10(MAX(AG770,1E-300)*1E6)</f>
        <v>0</v>
      </c>
      <c r="AK770" s="7">
        <f>DEGREES(IMARGUMENT(AB770))</f>
        <v>0</v>
      </c>
      <c r="AL770" s="7">
        <f>DEGREES(IMARGUMENT(AC770))</f>
        <v>0</v>
      </c>
      <c r="AM770" s="7">
        <f>DEGREES(IMARGUMENT(AD770))</f>
        <v>0</v>
      </c>
    </row>
    <row r="771" spans="1:39">
      <c r="A771" s="6">
        <f>10^(LOG10(F_START)+(ROW()-ROW($A$2))*(LOG10(F_STOP)-LOG10(F_START))/(N_POINTS-1))</f>
        <v>0</v>
      </c>
      <c r="B771" s="6">
        <f>2*PI()*A771</f>
        <v>0</v>
      </c>
      <c r="C771">
        <f>COMPLEX(2*LINE_PS_DCR,2*B771*LINE_PS_L)</f>
        <v>0</v>
      </c>
      <c r="D771">
        <f>IMSUM(COMPLEX(0,B771*(LINE_PS_CLINE+LINE_PS_CCHA/2)),IMDIV("1",IMPRODUCT("2",COMPLEX(C_THROUGH_ESR,B771*C_THROUGH_ESL-1/(B771*C_THROUGH_C)))))</f>
        <v>0</v>
      </c>
      <c r="E771">
        <f>COMPLEX(2*LINE_INPUT_DCR,2*B771*LINE_INPUT_L)</f>
        <v>0</v>
      </c>
      <c r="F771">
        <f>COMPLEX(0,B771*(LINE_INPUT_CLINE+LINE_INPUT_CCHA/2))</f>
        <v>0</v>
      </c>
      <c r="G771">
        <f>IMPRODUCT("2",IMDIV("1",IMSUM(IMDIV("1",COMPLEX(LDM1_DCR,B771*LDM1_L)),COMPLEX(0,B771*LDM1_CPA))))</f>
        <v>0</v>
      </c>
      <c r="H771">
        <f>IMSUM(IMDIV("1",COMPLEX(CX1_ESR,B771*CX1_ESL-1/(B771*CX1_C))),IMDIV("1",IMSUM(COMPLEX(DUMP1_R,0),COMPLEX(DUMP1_ESR,B771*DUMP1_ESL-1/(B771*DUMP1_C)))))</f>
        <v>0</v>
      </c>
      <c r="I771">
        <f>IMPRODUCT("2",IMDIV("1",IMSUM(IMDIV("1",COMPLEX(LDM2_DCR,B771*LDM2_L)),COMPLEX(0,B771*LDM2_CPA))))</f>
        <v>0</v>
      </c>
      <c r="J771">
        <f>IMSUM(IMDIV("1",COMPLEX(CX2_ESR,B771*CX2_ESL-1/(B771*CX2_C))),IMDIV("1",IMSUM(COMPLEX(DUMP2_R,0),COMPLEX(DUMP2_ESR,B771*DUMP2_ESL-1/(B771*DUMP2_C)))))</f>
        <v>0</v>
      </c>
      <c r="K771">
        <f>IMPRODUCT("2",IMDIV("1",IMSUM(IMDIV("1",COMPLEX(CMC_DCR,B771*CMC_L*(1-CMC_K))),COMPLEX(0,B771*CMC_CPA))))</f>
        <v>0</v>
      </c>
      <c r="L771">
        <f>IMSUM(COMPLEX(0,B771*CMC_CLINE),IMDIV("1",IMPRODUCT("2",COMPLEX(CY_ESR,B771*CY_ESL-1/(B771*CY_C)))),COMPLEX(1/DUMMY_R,0))</f>
        <v>0</v>
      </c>
      <c r="M771">
        <f>IMSUM(D771,IMDIV("1",C771))</f>
        <v>0</v>
      </c>
      <c r="N771">
        <f>IMDIV("1",IMSUM(E771,IMDIV("1",M771)))</f>
        <v>0</v>
      </c>
      <c r="O771">
        <f>IMSUM(F771,N771)</f>
        <v>0</v>
      </c>
      <c r="P771">
        <f>IMDIV("1",IMSUM(G771,IMDIV("1",O771)))</f>
        <v>0</v>
      </c>
      <c r="Q771">
        <f>IMSUM(H771,P771)</f>
        <v>0</v>
      </c>
      <c r="R771">
        <f>IMDIV("1",IMSUM(I771,IMDIV("1",Q771)))</f>
        <v>0</v>
      </c>
      <c r="S771">
        <f>IMSUM(J771,R771)</f>
        <v>0</v>
      </c>
      <c r="T771">
        <f>IMDIV("1",IMSUM(K771,IMDIV("1",S771)))</f>
        <v>0</v>
      </c>
      <c r="U771">
        <f>IMSUM(L771,T771)</f>
        <v>0</v>
      </c>
      <c r="V771">
        <f>IMDIV(COMPLEX(I_DM_SOURCE,0),U771)</f>
        <v>0</v>
      </c>
      <c r="W771">
        <f>IMPRODUCT(V771,T771)</f>
        <v>0</v>
      </c>
      <c r="X771">
        <f>IMDIV(W771,S771)</f>
        <v>0</v>
      </c>
      <c r="Y771">
        <f>IMPRODUCT(X771,R771)</f>
        <v>0</v>
      </c>
      <c r="Z771">
        <f>IMDIV(Y771,Q771)</f>
        <v>0</v>
      </c>
      <c r="AA771">
        <f>IMPRODUCT(Z771,P771)</f>
        <v>0</v>
      </c>
      <c r="AB771">
        <f>AA771</f>
        <v>0</v>
      </c>
      <c r="AC771">
        <f>IMPRODUCT("-1",AB771)</f>
        <v>0</v>
      </c>
      <c r="AD771">
        <f>IMDIV(IMSUB(AB771,AC771),"2")</f>
        <v>0</v>
      </c>
      <c r="AE771" s="6">
        <f>IMABS(AB771)</f>
        <v>0</v>
      </c>
      <c r="AF771" s="6">
        <f>IMABS(AC771)</f>
        <v>0</v>
      </c>
      <c r="AG771" s="6">
        <f>IMABS(AD771)</f>
        <v>0</v>
      </c>
      <c r="AH771" s="7">
        <f>20*LOG10(MAX(AE771,1E-300)*1E6)</f>
        <v>0</v>
      </c>
      <c r="AI771" s="7">
        <f>20*LOG10(MAX(AF771,1E-300)*1E6)</f>
        <v>0</v>
      </c>
      <c r="AJ771" s="7">
        <f>20*LOG10(MAX(AG771,1E-300)*1E6)</f>
        <v>0</v>
      </c>
      <c r="AK771" s="7">
        <f>DEGREES(IMARGUMENT(AB771))</f>
        <v>0</v>
      </c>
      <c r="AL771" s="7">
        <f>DEGREES(IMARGUMENT(AC771))</f>
        <v>0</v>
      </c>
      <c r="AM771" s="7">
        <f>DEGREES(IMARGUMENT(AD771))</f>
        <v>0</v>
      </c>
    </row>
    <row r="772" spans="1:39">
      <c r="A772" s="6">
        <f>10^(LOG10(F_START)+(ROW()-ROW($A$2))*(LOG10(F_STOP)-LOG10(F_START))/(N_POINTS-1))</f>
        <v>0</v>
      </c>
      <c r="B772" s="6">
        <f>2*PI()*A772</f>
        <v>0</v>
      </c>
      <c r="C772">
        <f>COMPLEX(2*LINE_PS_DCR,2*B772*LINE_PS_L)</f>
        <v>0</v>
      </c>
      <c r="D772">
        <f>IMSUM(COMPLEX(0,B772*(LINE_PS_CLINE+LINE_PS_CCHA/2)),IMDIV("1",IMPRODUCT("2",COMPLEX(C_THROUGH_ESR,B772*C_THROUGH_ESL-1/(B772*C_THROUGH_C)))))</f>
        <v>0</v>
      </c>
      <c r="E772">
        <f>COMPLEX(2*LINE_INPUT_DCR,2*B772*LINE_INPUT_L)</f>
        <v>0</v>
      </c>
      <c r="F772">
        <f>COMPLEX(0,B772*(LINE_INPUT_CLINE+LINE_INPUT_CCHA/2))</f>
        <v>0</v>
      </c>
      <c r="G772">
        <f>IMPRODUCT("2",IMDIV("1",IMSUM(IMDIV("1",COMPLEX(LDM1_DCR,B772*LDM1_L)),COMPLEX(0,B772*LDM1_CPA))))</f>
        <v>0</v>
      </c>
      <c r="H772">
        <f>IMSUM(IMDIV("1",COMPLEX(CX1_ESR,B772*CX1_ESL-1/(B772*CX1_C))),IMDIV("1",IMSUM(COMPLEX(DUMP1_R,0),COMPLEX(DUMP1_ESR,B772*DUMP1_ESL-1/(B772*DUMP1_C)))))</f>
        <v>0</v>
      </c>
      <c r="I772">
        <f>IMPRODUCT("2",IMDIV("1",IMSUM(IMDIV("1",COMPLEX(LDM2_DCR,B772*LDM2_L)),COMPLEX(0,B772*LDM2_CPA))))</f>
        <v>0</v>
      </c>
      <c r="J772">
        <f>IMSUM(IMDIV("1",COMPLEX(CX2_ESR,B772*CX2_ESL-1/(B772*CX2_C))),IMDIV("1",IMSUM(COMPLEX(DUMP2_R,0),COMPLEX(DUMP2_ESR,B772*DUMP2_ESL-1/(B772*DUMP2_C)))))</f>
        <v>0</v>
      </c>
      <c r="K772">
        <f>IMPRODUCT("2",IMDIV("1",IMSUM(IMDIV("1",COMPLEX(CMC_DCR,B772*CMC_L*(1-CMC_K))),COMPLEX(0,B772*CMC_CPA))))</f>
        <v>0</v>
      </c>
      <c r="L772">
        <f>IMSUM(COMPLEX(0,B772*CMC_CLINE),IMDIV("1",IMPRODUCT("2",COMPLEX(CY_ESR,B772*CY_ESL-1/(B772*CY_C)))),COMPLEX(1/DUMMY_R,0))</f>
        <v>0</v>
      </c>
      <c r="M772">
        <f>IMSUM(D772,IMDIV("1",C772))</f>
        <v>0</v>
      </c>
      <c r="N772">
        <f>IMDIV("1",IMSUM(E772,IMDIV("1",M772)))</f>
        <v>0</v>
      </c>
      <c r="O772">
        <f>IMSUM(F772,N772)</f>
        <v>0</v>
      </c>
      <c r="P772">
        <f>IMDIV("1",IMSUM(G772,IMDIV("1",O772)))</f>
        <v>0</v>
      </c>
      <c r="Q772">
        <f>IMSUM(H772,P772)</f>
        <v>0</v>
      </c>
      <c r="R772">
        <f>IMDIV("1",IMSUM(I772,IMDIV("1",Q772)))</f>
        <v>0</v>
      </c>
      <c r="S772">
        <f>IMSUM(J772,R772)</f>
        <v>0</v>
      </c>
      <c r="T772">
        <f>IMDIV("1",IMSUM(K772,IMDIV("1",S772)))</f>
        <v>0</v>
      </c>
      <c r="U772">
        <f>IMSUM(L772,T772)</f>
        <v>0</v>
      </c>
      <c r="V772">
        <f>IMDIV(COMPLEX(I_DM_SOURCE,0),U772)</f>
        <v>0</v>
      </c>
      <c r="W772">
        <f>IMPRODUCT(V772,T772)</f>
        <v>0</v>
      </c>
      <c r="X772">
        <f>IMDIV(W772,S772)</f>
        <v>0</v>
      </c>
      <c r="Y772">
        <f>IMPRODUCT(X772,R772)</f>
        <v>0</v>
      </c>
      <c r="Z772">
        <f>IMDIV(Y772,Q772)</f>
        <v>0</v>
      </c>
      <c r="AA772">
        <f>IMPRODUCT(Z772,P772)</f>
        <v>0</v>
      </c>
      <c r="AB772">
        <f>AA772</f>
        <v>0</v>
      </c>
      <c r="AC772">
        <f>IMPRODUCT("-1",AB772)</f>
        <v>0</v>
      </c>
      <c r="AD772">
        <f>IMDIV(IMSUB(AB772,AC772),"2")</f>
        <v>0</v>
      </c>
      <c r="AE772" s="6">
        <f>IMABS(AB772)</f>
        <v>0</v>
      </c>
      <c r="AF772" s="6">
        <f>IMABS(AC772)</f>
        <v>0</v>
      </c>
      <c r="AG772" s="6">
        <f>IMABS(AD772)</f>
        <v>0</v>
      </c>
      <c r="AH772" s="7">
        <f>20*LOG10(MAX(AE772,1E-300)*1E6)</f>
        <v>0</v>
      </c>
      <c r="AI772" s="7">
        <f>20*LOG10(MAX(AF772,1E-300)*1E6)</f>
        <v>0</v>
      </c>
      <c r="AJ772" s="7">
        <f>20*LOG10(MAX(AG772,1E-300)*1E6)</f>
        <v>0</v>
      </c>
      <c r="AK772" s="7">
        <f>DEGREES(IMARGUMENT(AB772))</f>
        <v>0</v>
      </c>
      <c r="AL772" s="7">
        <f>DEGREES(IMARGUMENT(AC772))</f>
        <v>0</v>
      </c>
      <c r="AM772" s="7">
        <f>DEGREES(IMARGUMENT(AD772))</f>
        <v>0</v>
      </c>
    </row>
    <row r="773" spans="1:39">
      <c r="A773" s="6">
        <f>10^(LOG10(F_START)+(ROW()-ROW($A$2))*(LOG10(F_STOP)-LOG10(F_START))/(N_POINTS-1))</f>
        <v>0</v>
      </c>
      <c r="B773" s="6">
        <f>2*PI()*A773</f>
        <v>0</v>
      </c>
      <c r="C773">
        <f>COMPLEX(2*LINE_PS_DCR,2*B773*LINE_PS_L)</f>
        <v>0</v>
      </c>
      <c r="D773">
        <f>IMSUM(COMPLEX(0,B773*(LINE_PS_CLINE+LINE_PS_CCHA/2)),IMDIV("1",IMPRODUCT("2",COMPLEX(C_THROUGH_ESR,B773*C_THROUGH_ESL-1/(B773*C_THROUGH_C)))))</f>
        <v>0</v>
      </c>
      <c r="E773">
        <f>COMPLEX(2*LINE_INPUT_DCR,2*B773*LINE_INPUT_L)</f>
        <v>0</v>
      </c>
      <c r="F773">
        <f>COMPLEX(0,B773*(LINE_INPUT_CLINE+LINE_INPUT_CCHA/2))</f>
        <v>0</v>
      </c>
      <c r="G773">
        <f>IMPRODUCT("2",IMDIV("1",IMSUM(IMDIV("1",COMPLEX(LDM1_DCR,B773*LDM1_L)),COMPLEX(0,B773*LDM1_CPA))))</f>
        <v>0</v>
      </c>
      <c r="H773">
        <f>IMSUM(IMDIV("1",COMPLEX(CX1_ESR,B773*CX1_ESL-1/(B773*CX1_C))),IMDIV("1",IMSUM(COMPLEX(DUMP1_R,0),COMPLEX(DUMP1_ESR,B773*DUMP1_ESL-1/(B773*DUMP1_C)))))</f>
        <v>0</v>
      </c>
      <c r="I773">
        <f>IMPRODUCT("2",IMDIV("1",IMSUM(IMDIV("1",COMPLEX(LDM2_DCR,B773*LDM2_L)),COMPLEX(0,B773*LDM2_CPA))))</f>
        <v>0</v>
      </c>
      <c r="J773">
        <f>IMSUM(IMDIV("1",COMPLEX(CX2_ESR,B773*CX2_ESL-1/(B773*CX2_C))),IMDIV("1",IMSUM(COMPLEX(DUMP2_R,0),COMPLEX(DUMP2_ESR,B773*DUMP2_ESL-1/(B773*DUMP2_C)))))</f>
        <v>0</v>
      </c>
      <c r="K773">
        <f>IMPRODUCT("2",IMDIV("1",IMSUM(IMDIV("1",COMPLEX(CMC_DCR,B773*CMC_L*(1-CMC_K))),COMPLEX(0,B773*CMC_CPA))))</f>
        <v>0</v>
      </c>
      <c r="L773">
        <f>IMSUM(COMPLEX(0,B773*CMC_CLINE),IMDIV("1",IMPRODUCT("2",COMPLEX(CY_ESR,B773*CY_ESL-1/(B773*CY_C)))),COMPLEX(1/DUMMY_R,0))</f>
        <v>0</v>
      </c>
      <c r="M773">
        <f>IMSUM(D773,IMDIV("1",C773))</f>
        <v>0</v>
      </c>
      <c r="N773">
        <f>IMDIV("1",IMSUM(E773,IMDIV("1",M773)))</f>
        <v>0</v>
      </c>
      <c r="O773">
        <f>IMSUM(F773,N773)</f>
        <v>0</v>
      </c>
      <c r="P773">
        <f>IMDIV("1",IMSUM(G773,IMDIV("1",O773)))</f>
        <v>0</v>
      </c>
      <c r="Q773">
        <f>IMSUM(H773,P773)</f>
        <v>0</v>
      </c>
      <c r="R773">
        <f>IMDIV("1",IMSUM(I773,IMDIV("1",Q773)))</f>
        <v>0</v>
      </c>
      <c r="S773">
        <f>IMSUM(J773,R773)</f>
        <v>0</v>
      </c>
      <c r="T773">
        <f>IMDIV("1",IMSUM(K773,IMDIV("1",S773)))</f>
        <v>0</v>
      </c>
      <c r="U773">
        <f>IMSUM(L773,T773)</f>
        <v>0</v>
      </c>
      <c r="V773">
        <f>IMDIV(COMPLEX(I_DM_SOURCE,0),U773)</f>
        <v>0</v>
      </c>
      <c r="W773">
        <f>IMPRODUCT(V773,T773)</f>
        <v>0</v>
      </c>
      <c r="X773">
        <f>IMDIV(W773,S773)</f>
        <v>0</v>
      </c>
      <c r="Y773">
        <f>IMPRODUCT(X773,R773)</f>
        <v>0</v>
      </c>
      <c r="Z773">
        <f>IMDIV(Y773,Q773)</f>
        <v>0</v>
      </c>
      <c r="AA773">
        <f>IMPRODUCT(Z773,P773)</f>
        <v>0</v>
      </c>
      <c r="AB773">
        <f>AA773</f>
        <v>0</v>
      </c>
      <c r="AC773">
        <f>IMPRODUCT("-1",AB773)</f>
        <v>0</v>
      </c>
      <c r="AD773">
        <f>IMDIV(IMSUB(AB773,AC773),"2")</f>
        <v>0</v>
      </c>
      <c r="AE773" s="6">
        <f>IMABS(AB773)</f>
        <v>0</v>
      </c>
      <c r="AF773" s="6">
        <f>IMABS(AC773)</f>
        <v>0</v>
      </c>
      <c r="AG773" s="6">
        <f>IMABS(AD773)</f>
        <v>0</v>
      </c>
      <c r="AH773" s="7">
        <f>20*LOG10(MAX(AE773,1E-300)*1E6)</f>
        <v>0</v>
      </c>
      <c r="AI773" s="7">
        <f>20*LOG10(MAX(AF773,1E-300)*1E6)</f>
        <v>0</v>
      </c>
      <c r="AJ773" s="7">
        <f>20*LOG10(MAX(AG773,1E-300)*1E6)</f>
        <v>0</v>
      </c>
      <c r="AK773" s="7">
        <f>DEGREES(IMARGUMENT(AB773))</f>
        <v>0</v>
      </c>
      <c r="AL773" s="7">
        <f>DEGREES(IMARGUMENT(AC773))</f>
        <v>0</v>
      </c>
      <c r="AM773" s="7">
        <f>DEGREES(IMARGUMENT(AD773))</f>
        <v>0</v>
      </c>
    </row>
    <row r="774" spans="1:39">
      <c r="A774" s="6">
        <f>10^(LOG10(F_START)+(ROW()-ROW($A$2))*(LOG10(F_STOP)-LOG10(F_START))/(N_POINTS-1))</f>
        <v>0</v>
      </c>
      <c r="B774" s="6">
        <f>2*PI()*A774</f>
        <v>0</v>
      </c>
      <c r="C774">
        <f>COMPLEX(2*LINE_PS_DCR,2*B774*LINE_PS_L)</f>
        <v>0</v>
      </c>
      <c r="D774">
        <f>IMSUM(COMPLEX(0,B774*(LINE_PS_CLINE+LINE_PS_CCHA/2)),IMDIV("1",IMPRODUCT("2",COMPLEX(C_THROUGH_ESR,B774*C_THROUGH_ESL-1/(B774*C_THROUGH_C)))))</f>
        <v>0</v>
      </c>
      <c r="E774">
        <f>COMPLEX(2*LINE_INPUT_DCR,2*B774*LINE_INPUT_L)</f>
        <v>0</v>
      </c>
      <c r="F774">
        <f>COMPLEX(0,B774*(LINE_INPUT_CLINE+LINE_INPUT_CCHA/2))</f>
        <v>0</v>
      </c>
      <c r="G774">
        <f>IMPRODUCT("2",IMDIV("1",IMSUM(IMDIV("1",COMPLEX(LDM1_DCR,B774*LDM1_L)),COMPLEX(0,B774*LDM1_CPA))))</f>
        <v>0</v>
      </c>
      <c r="H774">
        <f>IMSUM(IMDIV("1",COMPLEX(CX1_ESR,B774*CX1_ESL-1/(B774*CX1_C))),IMDIV("1",IMSUM(COMPLEX(DUMP1_R,0),COMPLEX(DUMP1_ESR,B774*DUMP1_ESL-1/(B774*DUMP1_C)))))</f>
        <v>0</v>
      </c>
      <c r="I774">
        <f>IMPRODUCT("2",IMDIV("1",IMSUM(IMDIV("1",COMPLEX(LDM2_DCR,B774*LDM2_L)),COMPLEX(0,B774*LDM2_CPA))))</f>
        <v>0</v>
      </c>
      <c r="J774">
        <f>IMSUM(IMDIV("1",COMPLEX(CX2_ESR,B774*CX2_ESL-1/(B774*CX2_C))),IMDIV("1",IMSUM(COMPLEX(DUMP2_R,0),COMPLEX(DUMP2_ESR,B774*DUMP2_ESL-1/(B774*DUMP2_C)))))</f>
        <v>0</v>
      </c>
      <c r="K774">
        <f>IMPRODUCT("2",IMDIV("1",IMSUM(IMDIV("1",COMPLEX(CMC_DCR,B774*CMC_L*(1-CMC_K))),COMPLEX(0,B774*CMC_CPA))))</f>
        <v>0</v>
      </c>
      <c r="L774">
        <f>IMSUM(COMPLEX(0,B774*CMC_CLINE),IMDIV("1",IMPRODUCT("2",COMPLEX(CY_ESR,B774*CY_ESL-1/(B774*CY_C)))),COMPLEX(1/DUMMY_R,0))</f>
        <v>0</v>
      </c>
      <c r="M774">
        <f>IMSUM(D774,IMDIV("1",C774))</f>
        <v>0</v>
      </c>
      <c r="N774">
        <f>IMDIV("1",IMSUM(E774,IMDIV("1",M774)))</f>
        <v>0</v>
      </c>
      <c r="O774">
        <f>IMSUM(F774,N774)</f>
        <v>0</v>
      </c>
      <c r="P774">
        <f>IMDIV("1",IMSUM(G774,IMDIV("1",O774)))</f>
        <v>0</v>
      </c>
      <c r="Q774">
        <f>IMSUM(H774,P774)</f>
        <v>0</v>
      </c>
      <c r="R774">
        <f>IMDIV("1",IMSUM(I774,IMDIV("1",Q774)))</f>
        <v>0</v>
      </c>
      <c r="S774">
        <f>IMSUM(J774,R774)</f>
        <v>0</v>
      </c>
      <c r="T774">
        <f>IMDIV("1",IMSUM(K774,IMDIV("1",S774)))</f>
        <v>0</v>
      </c>
      <c r="U774">
        <f>IMSUM(L774,T774)</f>
        <v>0</v>
      </c>
      <c r="V774">
        <f>IMDIV(COMPLEX(I_DM_SOURCE,0),U774)</f>
        <v>0</v>
      </c>
      <c r="W774">
        <f>IMPRODUCT(V774,T774)</f>
        <v>0</v>
      </c>
      <c r="X774">
        <f>IMDIV(W774,S774)</f>
        <v>0</v>
      </c>
      <c r="Y774">
        <f>IMPRODUCT(X774,R774)</f>
        <v>0</v>
      </c>
      <c r="Z774">
        <f>IMDIV(Y774,Q774)</f>
        <v>0</v>
      </c>
      <c r="AA774">
        <f>IMPRODUCT(Z774,P774)</f>
        <v>0</v>
      </c>
      <c r="AB774">
        <f>AA774</f>
        <v>0</v>
      </c>
      <c r="AC774">
        <f>IMPRODUCT("-1",AB774)</f>
        <v>0</v>
      </c>
      <c r="AD774">
        <f>IMDIV(IMSUB(AB774,AC774),"2")</f>
        <v>0</v>
      </c>
      <c r="AE774" s="6">
        <f>IMABS(AB774)</f>
        <v>0</v>
      </c>
      <c r="AF774" s="6">
        <f>IMABS(AC774)</f>
        <v>0</v>
      </c>
      <c r="AG774" s="6">
        <f>IMABS(AD774)</f>
        <v>0</v>
      </c>
      <c r="AH774" s="7">
        <f>20*LOG10(MAX(AE774,1E-300)*1E6)</f>
        <v>0</v>
      </c>
      <c r="AI774" s="7">
        <f>20*LOG10(MAX(AF774,1E-300)*1E6)</f>
        <v>0</v>
      </c>
      <c r="AJ774" s="7">
        <f>20*LOG10(MAX(AG774,1E-300)*1E6)</f>
        <v>0</v>
      </c>
      <c r="AK774" s="7">
        <f>DEGREES(IMARGUMENT(AB774))</f>
        <v>0</v>
      </c>
      <c r="AL774" s="7">
        <f>DEGREES(IMARGUMENT(AC774))</f>
        <v>0</v>
      </c>
      <c r="AM774" s="7">
        <f>DEGREES(IMARGUMENT(AD774))</f>
        <v>0</v>
      </c>
    </row>
    <row r="775" spans="1:39">
      <c r="A775" s="6">
        <f>10^(LOG10(F_START)+(ROW()-ROW($A$2))*(LOG10(F_STOP)-LOG10(F_START))/(N_POINTS-1))</f>
        <v>0</v>
      </c>
      <c r="B775" s="6">
        <f>2*PI()*A775</f>
        <v>0</v>
      </c>
      <c r="C775">
        <f>COMPLEX(2*LINE_PS_DCR,2*B775*LINE_PS_L)</f>
        <v>0</v>
      </c>
      <c r="D775">
        <f>IMSUM(COMPLEX(0,B775*(LINE_PS_CLINE+LINE_PS_CCHA/2)),IMDIV("1",IMPRODUCT("2",COMPLEX(C_THROUGH_ESR,B775*C_THROUGH_ESL-1/(B775*C_THROUGH_C)))))</f>
        <v>0</v>
      </c>
      <c r="E775">
        <f>COMPLEX(2*LINE_INPUT_DCR,2*B775*LINE_INPUT_L)</f>
        <v>0</v>
      </c>
      <c r="F775">
        <f>COMPLEX(0,B775*(LINE_INPUT_CLINE+LINE_INPUT_CCHA/2))</f>
        <v>0</v>
      </c>
      <c r="G775">
        <f>IMPRODUCT("2",IMDIV("1",IMSUM(IMDIV("1",COMPLEX(LDM1_DCR,B775*LDM1_L)),COMPLEX(0,B775*LDM1_CPA))))</f>
        <v>0</v>
      </c>
      <c r="H775">
        <f>IMSUM(IMDIV("1",COMPLEX(CX1_ESR,B775*CX1_ESL-1/(B775*CX1_C))),IMDIV("1",IMSUM(COMPLEX(DUMP1_R,0),COMPLEX(DUMP1_ESR,B775*DUMP1_ESL-1/(B775*DUMP1_C)))))</f>
        <v>0</v>
      </c>
      <c r="I775">
        <f>IMPRODUCT("2",IMDIV("1",IMSUM(IMDIV("1",COMPLEX(LDM2_DCR,B775*LDM2_L)),COMPLEX(0,B775*LDM2_CPA))))</f>
        <v>0</v>
      </c>
      <c r="J775">
        <f>IMSUM(IMDIV("1",COMPLEX(CX2_ESR,B775*CX2_ESL-1/(B775*CX2_C))),IMDIV("1",IMSUM(COMPLEX(DUMP2_R,0),COMPLEX(DUMP2_ESR,B775*DUMP2_ESL-1/(B775*DUMP2_C)))))</f>
        <v>0</v>
      </c>
      <c r="K775">
        <f>IMPRODUCT("2",IMDIV("1",IMSUM(IMDIV("1",COMPLEX(CMC_DCR,B775*CMC_L*(1-CMC_K))),COMPLEX(0,B775*CMC_CPA))))</f>
        <v>0</v>
      </c>
      <c r="L775">
        <f>IMSUM(COMPLEX(0,B775*CMC_CLINE),IMDIV("1",IMPRODUCT("2",COMPLEX(CY_ESR,B775*CY_ESL-1/(B775*CY_C)))),COMPLEX(1/DUMMY_R,0))</f>
        <v>0</v>
      </c>
      <c r="M775">
        <f>IMSUM(D775,IMDIV("1",C775))</f>
        <v>0</v>
      </c>
      <c r="N775">
        <f>IMDIV("1",IMSUM(E775,IMDIV("1",M775)))</f>
        <v>0</v>
      </c>
      <c r="O775">
        <f>IMSUM(F775,N775)</f>
        <v>0</v>
      </c>
      <c r="P775">
        <f>IMDIV("1",IMSUM(G775,IMDIV("1",O775)))</f>
        <v>0</v>
      </c>
      <c r="Q775">
        <f>IMSUM(H775,P775)</f>
        <v>0</v>
      </c>
      <c r="R775">
        <f>IMDIV("1",IMSUM(I775,IMDIV("1",Q775)))</f>
        <v>0</v>
      </c>
      <c r="S775">
        <f>IMSUM(J775,R775)</f>
        <v>0</v>
      </c>
      <c r="T775">
        <f>IMDIV("1",IMSUM(K775,IMDIV("1",S775)))</f>
        <v>0</v>
      </c>
      <c r="U775">
        <f>IMSUM(L775,T775)</f>
        <v>0</v>
      </c>
      <c r="V775">
        <f>IMDIV(COMPLEX(I_DM_SOURCE,0),U775)</f>
        <v>0</v>
      </c>
      <c r="W775">
        <f>IMPRODUCT(V775,T775)</f>
        <v>0</v>
      </c>
      <c r="X775">
        <f>IMDIV(W775,S775)</f>
        <v>0</v>
      </c>
      <c r="Y775">
        <f>IMPRODUCT(X775,R775)</f>
        <v>0</v>
      </c>
      <c r="Z775">
        <f>IMDIV(Y775,Q775)</f>
        <v>0</v>
      </c>
      <c r="AA775">
        <f>IMPRODUCT(Z775,P775)</f>
        <v>0</v>
      </c>
      <c r="AB775">
        <f>AA775</f>
        <v>0</v>
      </c>
      <c r="AC775">
        <f>IMPRODUCT("-1",AB775)</f>
        <v>0</v>
      </c>
      <c r="AD775">
        <f>IMDIV(IMSUB(AB775,AC775),"2")</f>
        <v>0</v>
      </c>
      <c r="AE775" s="6">
        <f>IMABS(AB775)</f>
        <v>0</v>
      </c>
      <c r="AF775" s="6">
        <f>IMABS(AC775)</f>
        <v>0</v>
      </c>
      <c r="AG775" s="6">
        <f>IMABS(AD775)</f>
        <v>0</v>
      </c>
      <c r="AH775" s="7">
        <f>20*LOG10(MAX(AE775,1E-300)*1E6)</f>
        <v>0</v>
      </c>
      <c r="AI775" s="7">
        <f>20*LOG10(MAX(AF775,1E-300)*1E6)</f>
        <v>0</v>
      </c>
      <c r="AJ775" s="7">
        <f>20*LOG10(MAX(AG775,1E-300)*1E6)</f>
        <v>0</v>
      </c>
      <c r="AK775" s="7">
        <f>DEGREES(IMARGUMENT(AB775))</f>
        <v>0</v>
      </c>
      <c r="AL775" s="7">
        <f>DEGREES(IMARGUMENT(AC775))</f>
        <v>0</v>
      </c>
      <c r="AM775" s="7">
        <f>DEGREES(IMARGUMENT(AD775))</f>
        <v>0</v>
      </c>
    </row>
    <row r="776" spans="1:39">
      <c r="A776" s="6">
        <f>10^(LOG10(F_START)+(ROW()-ROW($A$2))*(LOG10(F_STOP)-LOG10(F_START))/(N_POINTS-1))</f>
        <v>0</v>
      </c>
      <c r="B776" s="6">
        <f>2*PI()*A776</f>
        <v>0</v>
      </c>
      <c r="C776">
        <f>COMPLEX(2*LINE_PS_DCR,2*B776*LINE_PS_L)</f>
        <v>0</v>
      </c>
      <c r="D776">
        <f>IMSUM(COMPLEX(0,B776*(LINE_PS_CLINE+LINE_PS_CCHA/2)),IMDIV("1",IMPRODUCT("2",COMPLEX(C_THROUGH_ESR,B776*C_THROUGH_ESL-1/(B776*C_THROUGH_C)))))</f>
        <v>0</v>
      </c>
      <c r="E776">
        <f>COMPLEX(2*LINE_INPUT_DCR,2*B776*LINE_INPUT_L)</f>
        <v>0</v>
      </c>
      <c r="F776">
        <f>COMPLEX(0,B776*(LINE_INPUT_CLINE+LINE_INPUT_CCHA/2))</f>
        <v>0</v>
      </c>
      <c r="G776">
        <f>IMPRODUCT("2",IMDIV("1",IMSUM(IMDIV("1",COMPLEX(LDM1_DCR,B776*LDM1_L)),COMPLEX(0,B776*LDM1_CPA))))</f>
        <v>0</v>
      </c>
      <c r="H776">
        <f>IMSUM(IMDIV("1",COMPLEX(CX1_ESR,B776*CX1_ESL-1/(B776*CX1_C))),IMDIV("1",IMSUM(COMPLEX(DUMP1_R,0),COMPLEX(DUMP1_ESR,B776*DUMP1_ESL-1/(B776*DUMP1_C)))))</f>
        <v>0</v>
      </c>
      <c r="I776">
        <f>IMPRODUCT("2",IMDIV("1",IMSUM(IMDIV("1",COMPLEX(LDM2_DCR,B776*LDM2_L)),COMPLEX(0,B776*LDM2_CPA))))</f>
        <v>0</v>
      </c>
      <c r="J776">
        <f>IMSUM(IMDIV("1",COMPLEX(CX2_ESR,B776*CX2_ESL-1/(B776*CX2_C))),IMDIV("1",IMSUM(COMPLEX(DUMP2_R,0),COMPLEX(DUMP2_ESR,B776*DUMP2_ESL-1/(B776*DUMP2_C)))))</f>
        <v>0</v>
      </c>
      <c r="K776">
        <f>IMPRODUCT("2",IMDIV("1",IMSUM(IMDIV("1",COMPLEX(CMC_DCR,B776*CMC_L*(1-CMC_K))),COMPLEX(0,B776*CMC_CPA))))</f>
        <v>0</v>
      </c>
      <c r="L776">
        <f>IMSUM(COMPLEX(0,B776*CMC_CLINE),IMDIV("1",IMPRODUCT("2",COMPLEX(CY_ESR,B776*CY_ESL-1/(B776*CY_C)))),COMPLEX(1/DUMMY_R,0))</f>
        <v>0</v>
      </c>
      <c r="M776">
        <f>IMSUM(D776,IMDIV("1",C776))</f>
        <v>0</v>
      </c>
      <c r="N776">
        <f>IMDIV("1",IMSUM(E776,IMDIV("1",M776)))</f>
        <v>0</v>
      </c>
      <c r="O776">
        <f>IMSUM(F776,N776)</f>
        <v>0</v>
      </c>
      <c r="P776">
        <f>IMDIV("1",IMSUM(G776,IMDIV("1",O776)))</f>
        <v>0</v>
      </c>
      <c r="Q776">
        <f>IMSUM(H776,P776)</f>
        <v>0</v>
      </c>
      <c r="R776">
        <f>IMDIV("1",IMSUM(I776,IMDIV("1",Q776)))</f>
        <v>0</v>
      </c>
      <c r="S776">
        <f>IMSUM(J776,R776)</f>
        <v>0</v>
      </c>
      <c r="T776">
        <f>IMDIV("1",IMSUM(K776,IMDIV("1",S776)))</f>
        <v>0</v>
      </c>
      <c r="U776">
        <f>IMSUM(L776,T776)</f>
        <v>0</v>
      </c>
      <c r="V776">
        <f>IMDIV(COMPLEX(I_DM_SOURCE,0),U776)</f>
        <v>0</v>
      </c>
      <c r="W776">
        <f>IMPRODUCT(V776,T776)</f>
        <v>0</v>
      </c>
      <c r="X776">
        <f>IMDIV(W776,S776)</f>
        <v>0</v>
      </c>
      <c r="Y776">
        <f>IMPRODUCT(X776,R776)</f>
        <v>0</v>
      </c>
      <c r="Z776">
        <f>IMDIV(Y776,Q776)</f>
        <v>0</v>
      </c>
      <c r="AA776">
        <f>IMPRODUCT(Z776,P776)</f>
        <v>0</v>
      </c>
      <c r="AB776">
        <f>AA776</f>
        <v>0</v>
      </c>
      <c r="AC776">
        <f>IMPRODUCT("-1",AB776)</f>
        <v>0</v>
      </c>
      <c r="AD776">
        <f>IMDIV(IMSUB(AB776,AC776),"2")</f>
        <v>0</v>
      </c>
      <c r="AE776" s="6">
        <f>IMABS(AB776)</f>
        <v>0</v>
      </c>
      <c r="AF776" s="6">
        <f>IMABS(AC776)</f>
        <v>0</v>
      </c>
      <c r="AG776" s="6">
        <f>IMABS(AD776)</f>
        <v>0</v>
      </c>
      <c r="AH776" s="7">
        <f>20*LOG10(MAX(AE776,1E-300)*1E6)</f>
        <v>0</v>
      </c>
      <c r="AI776" s="7">
        <f>20*LOG10(MAX(AF776,1E-300)*1E6)</f>
        <v>0</v>
      </c>
      <c r="AJ776" s="7">
        <f>20*LOG10(MAX(AG776,1E-300)*1E6)</f>
        <v>0</v>
      </c>
      <c r="AK776" s="7">
        <f>DEGREES(IMARGUMENT(AB776))</f>
        <v>0</v>
      </c>
      <c r="AL776" s="7">
        <f>DEGREES(IMARGUMENT(AC776))</f>
        <v>0</v>
      </c>
      <c r="AM776" s="7">
        <f>DEGREES(IMARGUMENT(AD776))</f>
        <v>0</v>
      </c>
    </row>
    <row r="777" spans="1:39">
      <c r="A777" s="6">
        <f>10^(LOG10(F_START)+(ROW()-ROW($A$2))*(LOG10(F_STOP)-LOG10(F_START))/(N_POINTS-1))</f>
        <v>0</v>
      </c>
      <c r="B777" s="6">
        <f>2*PI()*A777</f>
        <v>0</v>
      </c>
      <c r="C777">
        <f>COMPLEX(2*LINE_PS_DCR,2*B777*LINE_PS_L)</f>
        <v>0</v>
      </c>
      <c r="D777">
        <f>IMSUM(COMPLEX(0,B777*(LINE_PS_CLINE+LINE_PS_CCHA/2)),IMDIV("1",IMPRODUCT("2",COMPLEX(C_THROUGH_ESR,B777*C_THROUGH_ESL-1/(B777*C_THROUGH_C)))))</f>
        <v>0</v>
      </c>
      <c r="E777">
        <f>COMPLEX(2*LINE_INPUT_DCR,2*B777*LINE_INPUT_L)</f>
        <v>0</v>
      </c>
      <c r="F777">
        <f>COMPLEX(0,B777*(LINE_INPUT_CLINE+LINE_INPUT_CCHA/2))</f>
        <v>0</v>
      </c>
      <c r="G777">
        <f>IMPRODUCT("2",IMDIV("1",IMSUM(IMDIV("1",COMPLEX(LDM1_DCR,B777*LDM1_L)),COMPLEX(0,B777*LDM1_CPA))))</f>
        <v>0</v>
      </c>
      <c r="H777">
        <f>IMSUM(IMDIV("1",COMPLEX(CX1_ESR,B777*CX1_ESL-1/(B777*CX1_C))),IMDIV("1",IMSUM(COMPLEX(DUMP1_R,0),COMPLEX(DUMP1_ESR,B777*DUMP1_ESL-1/(B777*DUMP1_C)))))</f>
        <v>0</v>
      </c>
      <c r="I777">
        <f>IMPRODUCT("2",IMDIV("1",IMSUM(IMDIV("1",COMPLEX(LDM2_DCR,B777*LDM2_L)),COMPLEX(0,B777*LDM2_CPA))))</f>
        <v>0</v>
      </c>
      <c r="J777">
        <f>IMSUM(IMDIV("1",COMPLEX(CX2_ESR,B777*CX2_ESL-1/(B777*CX2_C))),IMDIV("1",IMSUM(COMPLEX(DUMP2_R,0),COMPLEX(DUMP2_ESR,B777*DUMP2_ESL-1/(B777*DUMP2_C)))))</f>
        <v>0</v>
      </c>
      <c r="K777">
        <f>IMPRODUCT("2",IMDIV("1",IMSUM(IMDIV("1",COMPLEX(CMC_DCR,B777*CMC_L*(1-CMC_K))),COMPLEX(0,B777*CMC_CPA))))</f>
        <v>0</v>
      </c>
      <c r="L777">
        <f>IMSUM(COMPLEX(0,B777*CMC_CLINE),IMDIV("1",IMPRODUCT("2",COMPLEX(CY_ESR,B777*CY_ESL-1/(B777*CY_C)))),COMPLEX(1/DUMMY_R,0))</f>
        <v>0</v>
      </c>
      <c r="M777">
        <f>IMSUM(D777,IMDIV("1",C777))</f>
        <v>0</v>
      </c>
      <c r="N777">
        <f>IMDIV("1",IMSUM(E777,IMDIV("1",M777)))</f>
        <v>0</v>
      </c>
      <c r="O777">
        <f>IMSUM(F777,N777)</f>
        <v>0</v>
      </c>
      <c r="P777">
        <f>IMDIV("1",IMSUM(G777,IMDIV("1",O777)))</f>
        <v>0</v>
      </c>
      <c r="Q777">
        <f>IMSUM(H777,P777)</f>
        <v>0</v>
      </c>
      <c r="R777">
        <f>IMDIV("1",IMSUM(I777,IMDIV("1",Q777)))</f>
        <v>0</v>
      </c>
      <c r="S777">
        <f>IMSUM(J777,R777)</f>
        <v>0</v>
      </c>
      <c r="T777">
        <f>IMDIV("1",IMSUM(K777,IMDIV("1",S777)))</f>
        <v>0</v>
      </c>
      <c r="U777">
        <f>IMSUM(L777,T777)</f>
        <v>0</v>
      </c>
      <c r="V777">
        <f>IMDIV(COMPLEX(I_DM_SOURCE,0),U777)</f>
        <v>0</v>
      </c>
      <c r="W777">
        <f>IMPRODUCT(V777,T777)</f>
        <v>0</v>
      </c>
      <c r="X777">
        <f>IMDIV(W777,S777)</f>
        <v>0</v>
      </c>
      <c r="Y777">
        <f>IMPRODUCT(X777,R777)</f>
        <v>0</v>
      </c>
      <c r="Z777">
        <f>IMDIV(Y777,Q777)</f>
        <v>0</v>
      </c>
      <c r="AA777">
        <f>IMPRODUCT(Z777,P777)</f>
        <v>0</v>
      </c>
      <c r="AB777">
        <f>AA777</f>
        <v>0</v>
      </c>
      <c r="AC777">
        <f>IMPRODUCT("-1",AB777)</f>
        <v>0</v>
      </c>
      <c r="AD777">
        <f>IMDIV(IMSUB(AB777,AC777),"2")</f>
        <v>0</v>
      </c>
      <c r="AE777" s="6">
        <f>IMABS(AB777)</f>
        <v>0</v>
      </c>
      <c r="AF777" s="6">
        <f>IMABS(AC777)</f>
        <v>0</v>
      </c>
      <c r="AG777" s="6">
        <f>IMABS(AD777)</f>
        <v>0</v>
      </c>
      <c r="AH777" s="7">
        <f>20*LOG10(MAX(AE777,1E-300)*1E6)</f>
        <v>0</v>
      </c>
      <c r="AI777" s="7">
        <f>20*LOG10(MAX(AF777,1E-300)*1E6)</f>
        <v>0</v>
      </c>
      <c r="AJ777" s="7">
        <f>20*LOG10(MAX(AG777,1E-300)*1E6)</f>
        <v>0</v>
      </c>
      <c r="AK777" s="7">
        <f>DEGREES(IMARGUMENT(AB777))</f>
        <v>0</v>
      </c>
      <c r="AL777" s="7">
        <f>DEGREES(IMARGUMENT(AC777))</f>
        <v>0</v>
      </c>
      <c r="AM777" s="7">
        <f>DEGREES(IMARGUMENT(AD777))</f>
        <v>0</v>
      </c>
    </row>
    <row r="778" spans="1:39">
      <c r="A778" s="6">
        <f>10^(LOG10(F_START)+(ROW()-ROW($A$2))*(LOG10(F_STOP)-LOG10(F_START))/(N_POINTS-1))</f>
        <v>0</v>
      </c>
      <c r="B778" s="6">
        <f>2*PI()*A778</f>
        <v>0</v>
      </c>
      <c r="C778">
        <f>COMPLEX(2*LINE_PS_DCR,2*B778*LINE_PS_L)</f>
        <v>0</v>
      </c>
      <c r="D778">
        <f>IMSUM(COMPLEX(0,B778*(LINE_PS_CLINE+LINE_PS_CCHA/2)),IMDIV("1",IMPRODUCT("2",COMPLEX(C_THROUGH_ESR,B778*C_THROUGH_ESL-1/(B778*C_THROUGH_C)))))</f>
        <v>0</v>
      </c>
      <c r="E778">
        <f>COMPLEX(2*LINE_INPUT_DCR,2*B778*LINE_INPUT_L)</f>
        <v>0</v>
      </c>
      <c r="F778">
        <f>COMPLEX(0,B778*(LINE_INPUT_CLINE+LINE_INPUT_CCHA/2))</f>
        <v>0</v>
      </c>
      <c r="G778">
        <f>IMPRODUCT("2",IMDIV("1",IMSUM(IMDIV("1",COMPLEX(LDM1_DCR,B778*LDM1_L)),COMPLEX(0,B778*LDM1_CPA))))</f>
        <v>0</v>
      </c>
      <c r="H778">
        <f>IMSUM(IMDIV("1",COMPLEX(CX1_ESR,B778*CX1_ESL-1/(B778*CX1_C))),IMDIV("1",IMSUM(COMPLEX(DUMP1_R,0),COMPLEX(DUMP1_ESR,B778*DUMP1_ESL-1/(B778*DUMP1_C)))))</f>
        <v>0</v>
      </c>
      <c r="I778">
        <f>IMPRODUCT("2",IMDIV("1",IMSUM(IMDIV("1",COMPLEX(LDM2_DCR,B778*LDM2_L)),COMPLEX(0,B778*LDM2_CPA))))</f>
        <v>0</v>
      </c>
      <c r="J778">
        <f>IMSUM(IMDIV("1",COMPLEX(CX2_ESR,B778*CX2_ESL-1/(B778*CX2_C))),IMDIV("1",IMSUM(COMPLEX(DUMP2_R,0),COMPLEX(DUMP2_ESR,B778*DUMP2_ESL-1/(B778*DUMP2_C)))))</f>
        <v>0</v>
      </c>
      <c r="K778">
        <f>IMPRODUCT("2",IMDIV("1",IMSUM(IMDIV("1",COMPLEX(CMC_DCR,B778*CMC_L*(1-CMC_K))),COMPLEX(0,B778*CMC_CPA))))</f>
        <v>0</v>
      </c>
      <c r="L778">
        <f>IMSUM(COMPLEX(0,B778*CMC_CLINE),IMDIV("1",IMPRODUCT("2",COMPLEX(CY_ESR,B778*CY_ESL-1/(B778*CY_C)))),COMPLEX(1/DUMMY_R,0))</f>
        <v>0</v>
      </c>
      <c r="M778">
        <f>IMSUM(D778,IMDIV("1",C778))</f>
        <v>0</v>
      </c>
      <c r="N778">
        <f>IMDIV("1",IMSUM(E778,IMDIV("1",M778)))</f>
        <v>0</v>
      </c>
      <c r="O778">
        <f>IMSUM(F778,N778)</f>
        <v>0</v>
      </c>
      <c r="P778">
        <f>IMDIV("1",IMSUM(G778,IMDIV("1",O778)))</f>
        <v>0</v>
      </c>
      <c r="Q778">
        <f>IMSUM(H778,P778)</f>
        <v>0</v>
      </c>
      <c r="R778">
        <f>IMDIV("1",IMSUM(I778,IMDIV("1",Q778)))</f>
        <v>0</v>
      </c>
      <c r="S778">
        <f>IMSUM(J778,R778)</f>
        <v>0</v>
      </c>
      <c r="T778">
        <f>IMDIV("1",IMSUM(K778,IMDIV("1",S778)))</f>
        <v>0</v>
      </c>
      <c r="U778">
        <f>IMSUM(L778,T778)</f>
        <v>0</v>
      </c>
      <c r="V778">
        <f>IMDIV(COMPLEX(I_DM_SOURCE,0),U778)</f>
        <v>0</v>
      </c>
      <c r="W778">
        <f>IMPRODUCT(V778,T778)</f>
        <v>0</v>
      </c>
      <c r="X778">
        <f>IMDIV(W778,S778)</f>
        <v>0</v>
      </c>
      <c r="Y778">
        <f>IMPRODUCT(X778,R778)</f>
        <v>0</v>
      </c>
      <c r="Z778">
        <f>IMDIV(Y778,Q778)</f>
        <v>0</v>
      </c>
      <c r="AA778">
        <f>IMPRODUCT(Z778,P778)</f>
        <v>0</v>
      </c>
      <c r="AB778">
        <f>AA778</f>
        <v>0</v>
      </c>
      <c r="AC778">
        <f>IMPRODUCT("-1",AB778)</f>
        <v>0</v>
      </c>
      <c r="AD778">
        <f>IMDIV(IMSUB(AB778,AC778),"2")</f>
        <v>0</v>
      </c>
      <c r="AE778" s="6">
        <f>IMABS(AB778)</f>
        <v>0</v>
      </c>
      <c r="AF778" s="6">
        <f>IMABS(AC778)</f>
        <v>0</v>
      </c>
      <c r="AG778" s="6">
        <f>IMABS(AD778)</f>
        <v>0</v>
      </c>
      <c r="AH778" s="7">
        <f>20*LOG10(MAX(AE778,1E-300)*1E6)</f>
        <v>0</v>
      </c>
      <c r="AI778" s="7">
        <f>20*LOG10(MAX(AF778,1E-300)*1E6)</f>
        <v>0</v>
      </c>
      <c r="AJ778" s="7">
        <f>20*LOG10(MAX(AG778,1E-300)*1E6)</f>
        <v>0</v>
      </c>
      <c r="AK778" s="7">
        <f>DEGREES(IMARGUMENT(AB778))</f>
        <v>0</v>
      </c>
      <c r="AL778" s="7">
        <f>DEGREES(IMARGUMENT(AC778))</f>
        <v>0</v>
      </c>
      <c r="AM778" s="7">
        <f>DEGREES(IMARGUMENT(AD778))</f>
        <v>0</v>
      </c>
    </row>
    <row r="779" spans="1:39">
      <c r="A779" s="6">
        <f>10^(LOG10(F_START)+(ROW()-ROW($A$2))*(LOG10(F_STOP)-LOG10(F_START))/(N_POINTS-1))</f>
        <v>0</v>
      </c>
      <c r="B779" s="6">
        <f>2*PI()*A779</f>
        <v>0</v>
      </c>
      <c r="C779">
        <f>COMPLEX(2*LINE_PS_DCR,2*B779*LINE_PS_L)</f>
        <v>0</v>
      </c>
      <c r="D779">
        <f>IMSUM(COMPLEX(0,B779*(LINE_PS_CLINE+LINE_PS_CCHA/2)),IMDIV("1",IMPRODUCT("2",COMPLEX(C_THROUGH_ESR,B779*C_THROUGH_ESL-1/(B779*C_THROUGH_C)))))</f>
        <v>0</v>
      </c>
      <c r="E779">
        <f>COMPLEX(2*LINE_INPUT_DCR,2*B779*LINE_INPUT_L)</f>
        <v>0</v>
      </c>
      <c r="F779">
        <f>COMPLEX(0,B779*(LINE_INPUT_CLINE+LINE_INPUT_CCHA/2))</f>
        <v>0</v>
      </c>
      <c r="G779">
        <f>IMPRODUCT("2",IMDIV("1",IMSUM(IMDIV("1",COMPLEX(LDM1_DCR,B779*LDM1_L)),COMPLEX(0,B779*LDM1_CPA))))</f>
        <v>0</v>
      </c>
      <c r="H779">
        <f>IMSUM(IMDIV("1",COMPLEX(CX1_ESR,B779*CX1_ESL-1/(B779*CX1_C))),IMDIV("1",IMSUM(COMPLEX(DUMP1_R,0),COMPLEX(DUMP1_ESR,B779*DUMP1_ESL-1/(B779*DUMP1_C)))))</f>
        <v>0</v>
      </c>
      <c r="I779">
        <f>IMPRODUCT("2",IMDIV("1",IMSUM(IMDIV("1",COMPLEX(LDM2_DCR,B779*LDM2_L)),COMPLEX(0,B779*LDM2_CPA))))</f>
        <v>0</v>
      </c>
      <c r="J779">
        <f>IMSUM(IMDIV("1",COMPLEX(CX2_ESR,B779*CX2_ESL-1/(B779*CX2_C))),IMDIV("1",IMSUM(COMPLEX(DUMP2_R,0),COMPLEX(DUMP2_ESR,B779*DUMP2_ESL-1/(B779*DUMP2_C)))))</f>
        <v>0</v>
      </c>
      <c r="K779">
        <f>IMPRODUCT("2",IMDIV("1",IMSUM(IMDIV("1",COMPLEX(CMC_DCR,B779*CMC_L*(1-CMC_K))),COMPLEX(0,B779*CMC_CPA))))</f>
        <v>0</v>
      </c>
      <c r="L779">
        <f>IMSUM(COMPLEX(0,B779*CMC_CLINE),IMDIV("1",IMPRODUCT("2",COMPLEX(CY_ESR,B779*CY_ESL-1/(B779*CY_C)))),COMPLEX(1/DUMMY_R,0))</f>
        <v>0</v>
      </c>
      <c r="M779">
        <f>IMSUM(D779,IMDIV("1",C779))</f>
        <v>0</v>
      </c>
      <c r="N779">
        <f>IMDIV("1",IMSUM(E779,IMDIV("1",M779)))</f>
        <v>0</v>
      </c>
      <c r="O779">
        <f>IMSUM(F779,N779)</f>
        <v>0</v>
      </c>
      <c r="P779">
        <f>IMDIV("1",IMSUM(G779,IMDIV("1",O779)))</f>
        <v>0</v>
      </c>
      <c r="Q779">
        <f>IMSUM(H779,P779)</f>
        <v>0</v>
      </c>
      <c r="R779">
        <f>IMDIV("1",IMSUM(I779,IMDIV("1",Q779)))</f>
        <v>0</v>
      </c>
      <c r="S779">
        <f>IMSUM(J779,R779)</f>
        <v>0</v>
      </c>
      <c r="T779">
        <f>IMDIV("1",IMSUM(K779,IMDIV("1",S779)))</f>
        <v>0</v>
      </c>
      <c r="U779">
        <f>IMSUM(L779,T779)</f>
        <v>0</v>
      </c>
      <c r="V779">
        <f>IMDIV(COMPLEX(I_DM_SOURCE,0),U779)</f>
        <v>0</v>
      </c>
      <c r="W779">
        <f>IMPRODUCT(V779,T779)</f>
        <v>0</v>
      </c>
      <c r="X779">
        <f>IMDIV(W779,S779)</f>
        <v>0</v>
      </c>
      <c r="Y779">
        <f>IMPRODUCT(X779,R779)</f>
        <v>0</v>
      </c>
      <c r="Z779">
        <f>IMDIV(Y779,Q779)</f>
        <v>0</v>
      </c>
      <c r="AA779">
        <f>IMPRODUCT(Z779,P779)</f>
        <v>0</v>
      </c>
      <c r="AB779">
        <f>AA779</f>
        <v>0</v>
      </c>
      <c r="AC779">
        <f>IMPRODUCT("-1",AB779)</f>
        <v>0</v>
      </c>
      <c r="AD779">
        <f>IMDIV(IMSUB(AB779,AC779),"2")</f>
        <v>0</v>
      </c>
      <c r="AE779" s="6">
        <f>IMABS(AB779)</f>
        <v>0</v>
      </c>
      <c r="AF779" s="6">
        <f>IMABS(AC779)</f>
        <v>0</v>
      </c>
      <c r="AG779" s="6">
        <f>IMABS(AD779)</f>
        <v>0</v>
      </c>
      <c r="AH779" s="7">
        <f>20*LOG10(MAX(AE779,1E-300)*1E6)</f>
        <v>0</v>
      </c>
      <c r="AI779" s="7">
        <f>20*LOG10(MAX(AF779,1E-300)*1E6)</f>
        <v>0</v>
      </c>
      <c r="AJ779" s="7">
        <f>20*LOG10(MAX(AG779,1E-300)*1E6)</f>
        <v>0</v>
      </c>
      <c r="AK779" s="7">
        <f>DEGREES(IMARGUMENT(AB779))</f>
        <v>0</v>
      </c>
      <c r="AL779" s="7">
        <f>DEGREES(IMARGUMENT(AC779))</f>
        <v>0</v>
      </c>
      <c r="AM779" s="7">
        <f>DEGREES(IMARGUMENT(AD779))</f>
        <v>0</v>
      </c>
    </row>
    <row r="780" spans="1:39">
      <c r="A780" s="6">
        <f>10^(LOG10(F_START)+(ROW()-ROW($A$2))*(LOG10(F_STOP)-LOG10(F_START))/(N_POINTS-1))</f>
        <v>0</v>
      </c>
      <c r="B780" s="6">
        <f>2*PI()*A780</f>
        <v>0</v>
      </c>
      <c r="C780">
        <f>COMPLEX(2*LINE_PS_DCR,2*B780*LINE_PS_L)</f>
        <v>0</v>
      </c>
      <c r="D780">
        <f>IMSUM(COMPLEX(0,B780*(LINE_PS_CLINE+LINE_PS_CCHA/2)),IMDIV("1",IMPRODUCT("2",COMPLEX(C_THROUGH_ESR,B780*C_THROUGH_ESL-1/(B780*C_THROUGH_C)))))</f>
        <v>0</v>
      </c>
      <c r="E780">
        <f>COMPLEX(2*LINE_INPUT_DCR,2*B780*LINE_INPUT_L)</f>
        <v>0</v>
      </c>
      <c r="F780">
        <f>COMPLEX(0,B780*(LINE_INPUT_CLINE+LINE_INPUT_CCHA/2))</f>
        <v>0</v>
      </c>
      <c r="G780">
        <f>IMPRODUCT("2",IMDIV("1",IMSUM(IMDIV("1",COMPLEX(LDM1_DCR,B780*LDM1_L)),COMPLEX(0,B780*LDM1_CPA))))</f>
        <v>0</v>
      </c>
      <c r="H780">
        <f>IMSUM(IMDIV("1",COMPLEX(CX1_ESR,B780*CX1_ESL-1/(B780*CX1_C))),IMDIV("1",IMSUM(COMPLEX(DUMP1_R,0),COMPLEX(DUMP1_ESR,B780*DUMP1_ESL-1/(B780*DUMP1_C)))))</f>
        <v>0</v>
      </c>
      <c r="I780">
        <f>IMPRODUCT("2",IMDIV("1",IMSUM(IMDIV("1",COMPLEX(LDM2_DCR,B780*LDM2_L)),COMPLEX(0,B780*LDM2_CPA))))</f>
        <v>0</v>
      </c>
      <c r="J780">
        <f>IMSUM(IMDIV("1",COMPLEX(CX2_ESR,B780*CX2_ESL-1/(B780*CX2_C))),IMDIV("1",IMSUM(COMPLEX(DUMP2_R,0),COMPLEX(DUMP2_ESR,B780*DUMP2_ESL-1/(B780*DUMP2_C)))))</f>
        <v>0</v>
      </c>
      <c r="K780">
        <f>IMPRODUCT("2",IMDIV("1",IMSUM(IMDIV("1",COMPLEX(CMC_DCR,B780*CMC_L*(1-CMC_K))),COMPLEX(0,B780*CMC_CPA))))</f>
        <v>0</v>
      </c>
      <c r="L780">
        <f>IMSUM(COMPLEX(0,B780*CMC_CLINE),IMDIV("1",IMPRODUCT("2",COMPLEX(CY_ESR,B780*CY_ESL-1/(B780*CY_C)))),COMPLEX(1/DUMMY_R,0))</f>
        <v>0</v>
      </c>
      <c r="M780">
        <f>IMSUM(D780,IMDIV("1",C780))</f>
        <v>0</v>
      </c>
      <c r="N780">
        <f>IMDIV("1",IMSUM(E780,IMDIV("1",M780)))</f>
        <v>0</v>
      </c>
      <c r="O780">
        <f>IMSUM(F780,N780)</f>
        <v>0</v>
      </c>
      <c r="P780">
        <f>IMDIV("1",IMSUM(G780,IMDIV("1",O780)))</f>
        <v>0</v>
      </c>
      <c r="Q780">
        <f>IMSUM(H780,P780)</f>
        <v>0</v>
      </c>
      <c r="R780">
        <f>IMDIV("1",IMSUM(I780,IMDIV("1",Q780)))</f>
        <v>0</v>
      </c>
      <c r="S780">
        <f>IMSUM(J780,R780)</f>
        <v>0</v>
      </c>
      <c r="T780">
        <f>IMDIV("1",IMSUM(K780,IMDIV("1",S780)))</f>
        <v>0</v>
      </c>
      <c r="U780">
        <f>IMSUM(L780,T780)</f>
        <v>0</v>
      </c>
      <c r="V780">
        <f>IMDIV(COMPLEX(I_DM_SOURCE,0),U780)</f>
        <v>0</v>
      </c>
      <c r="W780">
        <f>IMPRODUCT(V780,T780)</f>
        <v>0</v>
      </c>
      <c r="X780">
        <f>IMDIV(W780,S780)</f>
        <v>0</v>
      </c>
      <c r="Y780">
        <f>IMPRODUCT(X780,R780)</f>
        <v>0</v>
      </c>
      <c r="Z780">
        <f>IMDIV(Y780,Q780)</f>
        <v>0</v>
      </c>
      <c r="AA780">
        <f>IMPRODUCT(Z780,P780)</f>
        <v>0</v>
      </c>
      <c r="AB780">
        <f>AA780</f>
        <v>0</v>
      </c>
      <c r="AC780">
        <f>IMPRODUCT("-1",AB780)</f>
        <v>0</v>
      </c>
      <c r="AD780">
        <f>IMDIV(IMSUB(AB780,AC780),"2")</f>
        <v>0</v>
      </c>
      <c r="AE780" s="6">
        <f>IMABS(AB780)</f>
        <v>0</v>
      </c>
      <c r="AF780" s="6">
        <f>IMABS(AC780)</f>
        <v>0</v>
      </c>
      <c r="AG780" s="6">
        <f>IMABS(AD780)</f>
        <v>0</v>
      </c>
      <c r="AH780" s="7">
        <f>20*LOG10(MAX(AE780,1E-300)*1E6)</f>
        <v>0</v>
      </c>
      <c r="AI780" s="7">
        <f>20*LOG10(MAX(AF780,1E-300)*1E6)</f>
        <v>0</v>
      </c>
      <c r="AJ780" s="7">
        <f>20*LOG10(MAX(AG780,1E-300)*1E6)</f>
        <v>0</v>
      </c>
      <c r="AK780" s="7">
        <f>DEGREES(IMARGUMENT(AB780))</f>
        <v>0</v>
      </c>
      <c r="AL780" s="7">
        <f>DEGREES(IMARGUMENT(AC780))</f>
        <v>0</v>
      </c>
      <c r="AM780" s="7">
        <f>DEGREES(IMARGUMENT(AD780))</f>
        <v>0</v>
      </c>
    </row>
    <row r="781" spans="1:39">
      <c r="A781" s="6">
        <f>10^(LOG10(F_START)+(ROW()-ROW($A$2))*(LOG10(F_STOP)-LOG10(F_START))/(N_POINTS-1))</f>
        <v>0</v>
      </c>
      <c r="B781" s="6">
        <f>2*PI()*A781</f>
        <v>0</v>
      </c>
      <c r="C781">
        <f>COMPLEX(2*LINE_PS_DCR,2*B781*LINE_PS_L)</f>
        <v>0</v>
      </c>
      <c r="D781">
        <f>IMSUM(COMPLEX(0,B781*(LINE_PS_CLINE+LINE_PS_CCHA/2)),IMDIV("1",IMPRODUCT("2",COMPLEX(C_THROUGH_ESR,B781*C_THROUGH_ESL-1/(B781*C_THROUGH_C)))))</f>
        <v>0</v>
      </c>
      <c r="E781">
        <f>COMPLEX(2*LINE_INPUT_DCR,2*B781*LINE_INPUT_L)</f>
        <v>0</v>
      </c>
      <c r="F781">
        <f>COMPLEX(0,B781*(LINE_INPUT_CLINE+LINE_INPUT_CCHA/2))</f>
        <v>0</v>
      </c>
      <c r="G781">
        <f>IMPRODUCT("2",IMDIV("1",IMSUM(IMDIV("1",COMPLEX(LDM1_DCR,B781*LDM1_L)),COMPLEX(0,B781*LDM1_CPA))))</f>
        <v>0</v>
      </c>
      <c r="H781">
        <f>IMSUM(IMDIV("1",COMPLEX(CX1_ESR,B781*CX1_ESL-1/(B781*CX1_C))),IMDIV("1",IMSUM(COMPLEX(DUMP1_R,0),COMPLEX(DUMP1_ESR,B781*DUMP1_ESL-1/(B781*DUMP1_C)))))</f>
        <v>0</v>
      </c>
      <c r="I781">
        <f>IMPRODUCT("2",IMDIV("1",IMSUM(IMDIV("1",COMPLEX(LDM2_DCR,B781*LDM2_L)),COMPLEX(0,B781*LDM2_CPA))))</f>
        <v>0</v>
      </c>
      <c r="J781">
        <f>IMSUM(IMDIV("1",COMPLEX(CX2_ESR,B781*CX2_ESL-1/(B781*CX2_C))),IMDIV("1",IMSUM(COMPLEX(DUMP2_R,0),COMPLEX(DUMP2_ESR,B781*DUMP2_ESL-1/(B781*DUMP2_C)))))</f>
        <v>0</v>
      </c>
      <c r="K781">
        <f>IMPRODUCT("2",IMDIV("1",IMSUM(IMDIV("1",COMPLEX(CMC_DCR,B781*CMC_L*(1-CMC_K))),COMPLEX(0,B781*CMC_CPA))))</f>
        <v>0</v>
      </c>
      <c r="L781">
        <f>IMSUM(COMPLEX(0,B781*CMC_CLINE),IMDIV("1",IMPRODUCT("2",COMPLEX(CY_ESR,B781*CY_ESL-1/(B781*CY_C)))),COMPLEX(1/DUMMY_R,0))</f>
        <v>0</v>
      </c>
      <c r="M781">
        <f>IMSUM(D781,IMDIV("1",C781))</f>
        <v>0</v>
      </c>
      <c r="N781">
        <f>IMDIV("1",IMSUM(E781,IMDIV("1",M781)))</f>
        <v>0</v>
      </c>
      <c r="O781">
        <f>IMSUM(F781,N781)</f>
        <v>0</v>
      </c>
      <c r="P781">
        <f>IMDIV("1",IMSUM(G781,IMDIV("1",O781)))</f>
        <v>0</v>
      </c>
      <c r="Q781">
        <f>IMSUM(H781,P781)</f>
        <v>0</v>
      </c>
      <c r="R781">
        <f>IMDIV("1",IMSUM(I781,IMDIV("1",Q781)))</f>
        <v>0</v>
      </c>
      <c r="S781">
        <f>IMSUM(J781,R781)</f>
        <v>0</v>
      </c>
      <c r="T781">
        <f>IMDIV("1",IMSUM(K781,IMDIV("1",S781)))</f>
        <v>0</v>
      </c>
      <c r="U781">
        <f>IMSUM(L781,T781)</f>
        <v>0</v>
      </c>
      <c r="V781">
        <f>IMDIV(COMPLEX(I_DM_SOURCE,0),U781)</f>
        <v>0</v>
      </c>
      <c r="W781">
        <f>IMPRODUCT(V781,T781)</f>
        <v>0</v>
      </c>
      <c r="X781">
        <f>IMDIV(W781,S781)</f>
        <v>0</v>
      </c>
      <c r="Y781">
        <f>IMPRODUCT(X781,R781)</f>
        <v>0</v>
      </c>
      <c r="Z781">
        <f>IMDIV(Y781,Q781)</f>
        <v>0</v>
      </c>
      <c r="AA781">
        <f>IMPRODUCT(Z781,P781)</f>
        <v>0</v>
      </c>
      <c r="AB781">
        <f>AA781</f>
        <v>0</v>
      </c>
      <c r="AC781">
        <f>IMPRODUCT("-1",AB781)</f>
        <v>0</v>
      </c>
      <c r="AD781">
        <f>IMDIV(IMSUB(AB781,AC781),"2")</f>
        <v>0</v>
      </c>
      <c r="AE781" s="6">
        <f>IMABS(AB781)</f>
        <v>0</v>
      </c>
      <c r="AF781" s="6">
        <f>IMABS(AC781)</f>
        <v>0</v>
      </c>
      <c r="AG781" s="6">
        <f>IMABS(AD781)</f>
        <v>0</v>
      </c>
      <c r="AH781" s="7">
        <f>20*LOG10(MAX(AE781,1E-300)*1E6)</f>
        <v>0</v>
      </c>
      <c r="AI781" s="7">
        <f>20*LOG10(MAX(AF781,1E-300)*1E6)</f>
        <v>0</v>
      </c>
      <c r="AJ781" s="7">
        <f>20*LOG10(MAX(AG781,1E-300)*1E6)</f>
        <v>0</v>
      </c>
      <c r="AK781" s="7">
        <f>DEGREES(IMARGUMENT(AB781))</f>
        <v>0</v>
      </c>
      <c r="AL781" s="7">
        <f>DEGREES(IMARGUMENT(AC781))</f>
        <v>0</v>
      </c>
      <c r="AM781" s="7">
        <f>DEGREES(IMARGUMENT(AD781))</f>
        <v>0</v>
      </c>
    </row>
    <row r="782" spans="1:39">
      <c r="A782" s="6">
        <f>10^(LOG10(F_START)+(ROW()-ROW($A$2))*(LOG10(F_STOP)-LOG10(F_START))/(N_POINTS-1))</f>
        <v>0</v>
      </c>
      <c r="B782" s="6">
        <f>2*PI()*A782</f>
        <v>0</v>
      </c>
      <c r="C782">
        <f>COMPLEX(2*LINE_PS_DCR,2*B782*LINE_PS_L)</f>
        <v>0</v>
      </c>
      <c r="D782">
        <f>IMSUM(COMPLEX(0,B782*(LINE_PS_CLINE+LINE_PS_CCHA/2)),IMDIV("1",IMPRODUCT("2",COMPLEX(C_THROUGH_ESR,B782*C_THROUGH_ESL-1/(B782*C_THROUGH_C)))))</f>
        <v>0</v>
      </c>
      <c r="E782">
        <f>COMPLEX(2*LINE_INPUT_DCR,2*B782*LINE_INPUT_L)</f>
        <v>0</v>
      </c>
      <c r="F782">
        <f>COMPLEX(0,B782*(LINE_INPUT_CLINE+LINE_INPUT_CCHA/2))</f>
        <v>0</v>
      </c>
      <c r="G782">
        <f>IMPRODUCT("2",IMDIV("1",IMSUM(IMDIV("1",COMPLEX(LDM1_DCR,B782*LDM1_L)),COMPLEX(0,B782*LDM1_CPA))))</f>
        <v>0</v>
      </c>
      <c r="H782">
        <f>IMSUM(IMDIV("1",COMPLEX(CX1_ESR,B782*CX1_ESL-1/(B782*CX1_C))),IMDIV("1",IMSUM(COMPLEX(DUMP1_R,0),COMPLEX(DUMP1_ESR,B782*DUMP1_ESL-1/(B782*DUMP1_C)))))</f>
        <v>0</v>
      </c>
      <c r="I782">
        <f>IMPRODUCT("2",IMDIV("1",IMSUM(IMDIV("1",COMPLEX(LDM2_DCR,B782*LDM2_L)),COMPLEX(0,B782*LDM2_CPA))))</f>
        <v>0</v>
      </c>
      <c r="J782">
        <f>IMSUM(IMDIV("1",COMPLEX(CX2_ESR,B782*CX2_ESL-1/(B782*CX2_C))),IMDIV("1",IMSUM(COMPLEX(DUMP2_R,0),COMPLEX(DUMP2_ESR,B782*DUMP2_ESL-1/(B782*DUMP2_C)))))</f>
        <v>0</v>
      </c>
      <c r="K782">
        <f>IMPRODUCT("2",IMDIV("1",IMSUM(IMDIV("1",COMPLEX(CMC_DCR,B782*CMC_L*(1-CMC_K))),COMPLEX(0,B782*CMC_CPA))))</f>
        <v>0</v>
      </c>
      <c r="L782">
        <f>IMSUM(COMPLEX(0,B782*CMC_CLINE),IMDIV("1",IMPRODUCT("2",COMPLEX(CY_ESR,B782*CY_ESL-1/(B782*CY_C)))),COMPLEX(1/DUMMY_R,0))</f>
        <v>0</v>
      </c>
      <c r="M782">
        <f>IMSUM(D782,IMDIV("1",C782))</f>
        <v>0</v>
      </c>
      <c r="N782">
        <f>IMDIV("1",IMSUM(E782,IMDIV("1",M782)))</f>
        <v>0</v>
      </c>
      <c r="O782">
        <f>IMSUM(F782,N782)</f>
        <v>0</v>
      </c>
      <c r="P782">
        <f>IMDIV("1",IMSUM(G782,IMDIV("1",O782)))</f>
        <v>0</v>
      </c>
      <c r="Q782">
        <f>IMSUM(H782,P782)</f>
        <v>0</v>
      </c>
      <c r="R782">
        <f>IMDIV("1",IMSUM(I782,IMDIV("1",Q782)))</f>
        <v>0</v>
      </c>
      <c r="S782">
        <f>IMSUM(J782,R782)</f>
        <v>0</v>
      </c>
      <c r="T782">
        <f>IMDIV("1",IMSUM(K782,IMDIV("1",S782)))</f>
        <v>0</v>
      </c>
      <c r="U782">
        <f>IMSUM(L782,T782)</f>
        <v>0</v>
      </c>
      <c r="V782">
        <f>IMDIV(COMPLEX(I_DM_SOURCE,0),U782)</f>
        <v>0</v>
      </c>
      <c r="W782">
        <f>IMPRODUCT(V782,T782)</f>
        <v>0</v>
      </c>
      <c r="X782">
        <f>IMDIV(W782,S782)</f>
        <v>0</v>
      </c>
      <c r="Y782">
        <f>IMPRODUCT(X782,R782)</f>
        <v>0</v>
      </c>
      <c r="Z782">
        <f>IMDIV(Y782,Q782)</f>
        <v>0</v>
      </c>
      <c r="AA782">
        <f>IMPRODUCT(Z782,P782)</f>
        <v>0</v>
      </c>
      <c r="AB782">
        <f>AA782</f>
        <v>0</v>
      </c>
      <c r="AC782">
        <f>IMPRODUCT("-1",AB782)</f>
        <v>0</v>
      </c>
      <c r="AD782">
        <f>IMDIV(IMSUB(AB782,AC782),"2")</f>
        <v>0</v>
      </c>
      <c r="AE782" s="6">
        <f>IMABS(AB782)</f>
        <v>0</v>
      </c>
      <c r="AF782" s="6">
        <f>IMABS(AC782)</f>
        <v>0</v>
      </c>
      <c r="AG782" s="6">
        <f>IMABS(AD782)</f>
        <v>0</v>
      </c>
      <c r="AH782" s="7">
        <f>20*LOG10(MAX(AE782,1E-300)*1E6)</f>
        <v>0</v>
      </c>
      <c r="AI782" s="7">
        <f>20*LOG10(MAX(AF782,1E-300)*1E6)</f>
        <v>0</v>
      </c>
      <c r="AJ782" s="7">
        <f>20*LOG10(MAX(AG782,1E-300)*1E6)</f>
        <v>0</v>
      </c>
      <c r="AK782" s="7">
        <f>DEGREES(IMARGUMENT(AB782))</f>
        <v>0</v>
      </c>
      <c r="AL782" s="7">
        <f>DEGREES(IMARGUMENT(AC782))</f>
        <v>0</v>
      </c>
      <c r="AM782" s="7">
        <f>DEGREES(IMARGUMENT(AD782))</f>
        <v>0</v>
      </c>
    </row>
    <row r="783" spans="1:39">
      <c r="A783" s="6">
        <f>10^(LOG10(F_START)+(ROW()-ROW($A$2))*(LOG10(F_STOP)-LOG10(F_START))/(N_POINTS-1))</f>
        <v>0</v>
      </c>
      <c r="B783" s="6">
        <f>2*PI()*A783</f>
        <v>0</v>
      </c>
      <c r="C783">
        <f>COMPLEX(2*LINE_PS_DCR,2*B783*LINE_PS_L)</f>
        <v>0</v>
      </c>
      <c r="D783">
        <f>IMSUM(COMPLEX(0,B783*(LINE_PS_CLINE+LINE_PS_CCHA/2)),IMDIV("1",IMPRODUCT("2",COMPLEX(C_THROUGH_ESR,B783*C_THROUGH_ESL-1/(B783*C_THROUGH_C)))))</f>
        <v>0</v>
      </c>
      <c r="E783">
        <f>COMPLEX(2*LINE_INPUT_DCR,2*B783*LINE_INPUT_L)</f>
        <v>0</v>
      </c>
      <c r="F783">
        <f>COMPLEX(0,B783*(LINE_INPUT_CLINE+LINE_INPUT_CCHA/2))</f>
        <v>0</v>
      </c>
      <c r="G783">
        <f>IMPRODUCT("2",IMDIV("1",IMSUM(IMDIV("1",COMPLEX(LDM1_DCR,B783*LDM1_L)),COMPLEX(0,B783*LDM1_CPA))))</f>
        <v>0</v>
      </c>
      <c r="H783">
        <f>IMSUM(IMDIV("1",COMPLEX(CX1_ESR,B783*CX1_ESL-1/(B783*CX1_C))),IMDIV("1",IMSUM(COMPLEX(DUMP1_R,0),COMPLEX(DUMP1_ESR,B783*DUMP1_ESL-1/(B783*DUMP1_C)))))</f>
        <v>0</v>
      </c>
      <c r="I783">
        <f>IMPRODUCT("2",IMDIV("1",IMSUM(IMDIV("1",COMPLEX(LDM2_DCR,B783*LDM2_L)),COMPLEX(0,B783*LDM2_CPA))))</f>
        <v>0</v>
      </c>
      <c r="J783">
        <f>IMSUM(IMDIV("1",COMPLEX(CX2_ESR,B783*CX2_ESL-1/(B783*CX2_C))),IMDIV("1",IMSUM(COMPLEX(DUMP2_R,0),COMPLEX(DUMP2_ESR,B783*DUMP2_ESL-1/(B783*DUMP2_C)))))</f>
        <v>0</v>
      </c>
      <c r="K783">
        <f>IMPRODUCT("2",IMDIV("1",IMSUM(IMDIV("1",COMPLEX(CMC_DCR,B783*CMC_L*(1-CMC_K))),COMPLEX(0,B783*CMC_CPA))))</f>
        <v>0</v>
      </c>
      <c r="L783">
        <f>IMSUM(COMPLEX(0,B783*CMC_CLINE),IMDIV("1",IMPRODUCT("2",COMPLEX(CY_ESR,B783*CY_ESL-1/(B783*CY_C)))),COMPLEX(1/DUMMY_R,0))</f>
        <v>0</v>
      </c>
      <c r="M783">
        <f>IMSUM(D783,IMDIV("1",C783))</f>
        <v>0</v>
      </c>
      <c r="N783">
        <f>IMDIV("1",IMSUM(E783,IMDIV("1",M783)))</f>
        <v>0</v>
      </c>
      <c r="O783">
        <f>IMSUM(F783,N783)</f>
        <v>0</v>
      </c>
      <c r="P783">
        <f>IMDIV("1",IMSUM(G783,IMDIV("1",O783)))</f>
        <v>0</v>
      </c>
      <c r="Q783">
        <f>IMSUM(H783,P783)</f>
        <v>0</v>
      </c>
      <c r="R783">
        <f>IMDIV("1",IMSUM(I783,IMDIV("1",Q783)))</f>
        <v>0</v>
      </c>
      <c r="S783">
        <f>IMSUM(J783,R783)</f>
        <v>0</v>
      </c>
      <c r="T783">
        <f>IMDIV("1",IMSUM(K783,IMDIV("1",S783)))</f>
        <v>0</v>
      </c>
      <c r="U783">
        <f>IMSUM(L783,T783)</f>
        <v>0</v>
      </c>
      <c r="V783">
        <f>IMDIV(COMPLEX(I_DM_SOURCE,0),U783)</f>
        <v>0</v>
      </c>
      <c r="W783">
        <f>IMPRODUCT(V783,T783)</f>
        <v>0</v>
      </c>
      <c r="X783">
        <f>IMDIV(W783,S783)</f>
        <v>0</v>
      </c>
      <c r="Y783">
        <f>IMPRODUCT(X783,R783)</f>
        <v>0</v>
      </c>
      <c r="Z783">
        <f>IMDIV(Y783,Q783)</f>
        <v>0</v>
      </c>
      <c r="AA783">
        <f>IMPRODUCT(Z783,P783)</f>
        <v>0</v>
      </c>
      <c r="AB783">
        <f>AA783</f>
        <v>0</v>
      </c>
      <c r="AC783">
        <f>IMPRODUCT("-1",AB783)</f>
        <v>0</v>
      </c>
      <c r="AD783">
        <f>IMDIV(IMSUB(AB783,AC783),"2")</f>
        <v>0</v>
      </c>
      <c r="AE783" s="6">
        <f>IMABS(AB783)</f>
        <v>0</v>
      </c>
      <c r="AF783" s="6">
        <f>IMABS(AC783)</f>
        <v>0</v>
      </c>
      <c r="AG783" s="6">
        <f>IMABS(AD783)</f>
        <v>0</v>
      </c>
      <c r="AH783" s="7">
        <f>20*LOG10(MAX(AE783,1E-300)*1E6)</f>
        <v>0</v>
      </c>
      <c r="AI783" s="7">
        <f>20*LOG10(MAX(AF783,1E-300)*1E6)</f>
        <v>0</v>
      </c>
      <c r="AJ783" s="7">
        <f>20*LOG10(MAX(AG783,1E-300)*1E6)</f>
        <v>0</v>
      </c>
      <c r="AK783" s="7">
        <f>DEGREES(IMARGUMENT(AB783))</f>
        <v>0</v>
      </c>
      <c r="AL783" s="7">
        <f>DEGREES(IMARGUMENT(AC783))</f>
        <v>0</v>
      </c>
      <c r="AM783" s="7">
        <f>DEGREES(IMARGUMENT(AD783))</f>
        <v>0</v>
      </c>
    </row>
    <row r="784" spans="1:39">
      <c r="A784" s="6">
        <f>10^(LOG10(F_START)+(ROW()-ROW($A$2))*(LOG10(F_STOP)-LOG10(F_START))/(N_POINTS-1))</f>
        <v>0</v>
      </c>
      <c r="B784" s="6">
        <f>2*PI()*A784</f>
        <v>0</v>
      </c>
      <c r="C784">
        <f>COMPLEX(2*LINE_PS_DCR,2*B784*LINE_PS_L)</f>
        <v>0</v>
      </c>
      <c r="D784">
        <f>IMSUM(COMPLEX(0,B784*(LINE_PS_CLINE+LINE_PS_CCHA/2)),IMDIV("1",IMPRODUCT("2",COMPLEX(C_THROUGH_ESR,B784*C_THROUGH_ESL-1/(B784*C_THROUGH_C)))))</f>
        <v>0</v>
      </c>
      <c r="E784">
        <f>COMPLEX(2*LINE_INPUT_DCR,2*B784*LINE_INPUT_L)</f>
        <v>0</v>
      </c>
      <c r="F784">
        <f>COMPLEX(0,B784*(LINE_INPUT_CLINE+LINE_INPUT_CCHA/2))</f>
        <v>0</v>
      </c>
      <c r="G784">
        <f>IMPRODUCT("2",IMDIV("1",IMSUM(IMDIV("1",COMPLEX(LDM1_DCR,B784*LDM1_L)),COMPLEX(0,B784*LDM1_CPA))))</f>
        <v>0</v>
      </c>
      <c r="H784">
        <f>IMSUM(IMDIV("1",COMPLEX(CX1_ESR,B784*CX1_ESL-1/(B784*CX1_C))),IMDIV("1",IMSUM(COMPLEX(DUMP1_R,0),COMPLEX(DUMP1_ESR,B784*DUMP1_ESL-1/(B784*DUMP1_C)))))</f>
        <v>0</v>
      </c>
      <c r="I784">
        <f>IMPRODUCT("2",IMDIV("1",IMSUM(IMDIV("1",COMPLEX(LDM2_DCR,B784*LDM2_L)),COMPLEX(0,B784*LDM2_CPA))))</f>
        <v>0</v>
      </c>
      <c r="J784">
        <f>IMSUM(IMDIV("1",COMPLEX(CX2_ESR,B784*CX2_ESL-1/(B784*CX2_C))),IMDIV("1",IMSUM(COMPLEX(DUMP2_R,0),COMPLEX(DUMP2_ESR,B784*DUMP2_ESL-1/(B784*DUMP2_C)))))</f>
        <v>0</v>
      </c>
      <c r="K784">
        <f>IMPRODUCT("2",IMDIV("1",IMSUM(IMDIV("1",COMPLEX(CMC_DCR,B784*CMC_L*(1-CMC_K))),COMPLEX(0,B784*CMC_CPA))))</f>
        <v>0</v>
      </c>
      <c r="L784">
        <f>IMSUM(COMPLEX(0,B784*CMC_CLINE),IMDIV("1",IMPRODUCT("2",COMPLEX(CY_ESR,B784*CY_ESL-1/(B784*CY_C)))),COMPLEX(1/DUMMY_R,0))</f>
        <v>0</v>
      </c>
      <c r="M784">
        <f>IMSUM(D784,IMDIV("1",C784))</f>
        <v>0</v>
      </c>
      <c r="N784">
        <f>IMDIV("1",IMSUM(E784,IMDIV("1",M784)))</f>
        <v>0</v>
      </c>
      <c r="O784">
        <f>IMSUM(F784,N784)</f>
        <v>0</v>
      </c>
      <c r="P784">
        <f>IMDIV("1",IMSUM(G784,IMDIV("1",O784)))</f>
        <v>0</v>
      </c>
      <c r="Q784">
        <f>IMSUM(H784,P784)</f>
        <v>0</v>
      </c>
      <c r="R784">
        <f>IMDIV("1",IMSUM(I784,IMDIV("1",Q784)))</f>
        <v>0</v>
      </c>
      <c r="S784">
        <f>IMSUM(J784,R784)</f>
        <v>0</v>
      </c>
      <c r="T784">
        <f>IMDIV("1",IMSUM(K784,IMDIV("1",S784)))</f>
        <v>0</v>
      </c>
      <c r="U784">
        <f>IMSUM(L784,T784)</f>
        <v>0</v>
      </c>
      <c r="V784">
        <f>IMDIV(COMPLEX(I_DM_SOURCE,0),U784)</f>
        <v>0</v>
      </c>
      <c r="W784">
        <f>IMPRODUCT(V784,T784)</f>
        <v>0</v>
      </c>
      <c r="X784">
        <f>IMDIV(W784,S784)</f>
        <v>0</v>
      </c>
      <c r="Y784">
        <f>IMPRODUCT(X784,R784)</f>
        <v>0</v>
      </c>
      <c r="Z784">
        <f>IMDIV(Y784,Q784)</f>
        <v>0</v>
      </c>
      <c r="AA784">
        <f>IMPRODUCT(Z784,P784)</f>
        <v>0</v>
      </c>
      <c r="AB784">
        <f>AA784</f>
        <v>0</v>
      </c>
      <c r="AC784">
        <f>IMPRODUCT("-1",AB784)</f>
        <v>0</v>
      </c>
      <c r="AD784">
        <f>IMDIV(IMSUB(AB784,AC784),"2")</f>
        <v>0</v>
      </c>
      <c r="AE784" s="6">
        <f>IMABS(AB784)</f>
        <v>0</v>
      </c>
      <c r="AF784" s="6">
        <f>IMABS(AC784)</f>
        <v>0</v>
      </c>
      <c r="AG784" s="6">
        <f>IMABS(AD784)</f>
        <v>0</v>
      </c>
      <c r="AH784" s="7">
        <f>20*LOG10(MAX(AE784,1E-300)*1E6)</f>
        <v>0</v>
      </c>
      <c r="AI784" s="7">
        <f>20*LOG10(MAX(AF784,1E-300)*1E6)</f>
        <v>0</v>
      </c>
      <c r="AJ784" s="7">
        <f>20*LOG10(MAX(AG784,1E-300)*1E6)</f>
        <v>0</v>
      </c>
      <c r="AK784" s="7">
        <f>DEGREES(IMARGUMENT(AB784))</f>
        <v>0</v>
      </c>
      <c r="AL784" s="7">
        <f>DEGREES(IMARGUMENT(AC784))</f>
        <v>0</v>
      </c>
      <c r="AM784" s="7">
        <f>DEGREES(IMARGUMENT(AD784))</f>
        <v>0</v>
      </c>
    </row>
    <row r="785" spans="1:39">
      <c r="A785" s="6">
        <f>10^(LOG10(F_START)+(ROW()-ROW($A$2))*(LOG10(F_STOP)-LOG10(F_START))/(N_POINTS-1))</f>
        <v>0</v>
      </c>
      <c r="B785" s="6">
        <f>2*PI()*A785</f>
        <v>0</v>
      </c>
      <c r="C785">
        <f>COMPLEX(2*LINE_PS_DCR,2*B785*LINE_PS_L)</f>
        <v>0</v>
      </c>
      <c r="D785">
        <f>IMSUM(COMPLEX(0,B785*(LINE_PS_CLINE+LINE_PS_CCHA/2)),IMDIV("1",IMPRODUCT("2",COMPLEX(C_THROUGH_ESR,B785*C_THROUGH_ESL-1/(B785*C_THROUGH_C)))))</f>
        <v>0</v>
      </c>
      <c r="E785">
        <f>COMPLEX(2*LINE_INPUT_DCR,2*B785*LINE_INPUT_L)</f>
        <v>0</v>
      </c>
      <c r="F785">
        <f>COMPLEX(0,B785*(LINE_INPUT_CLINE+LINE_INPUT_CCHA/2))</f>
        <v>0</v>
      </c>
      <c r="G785">
        <f>IMPRODUCT("2",IMDIV("1",IMSUM(IMDIV("1",COMPLEX(LDM1_DCR,B785*LDM1_L)),COMPLEX(0,B785*LDM1_CPA))))</f>
        <v>0</v>
      </c>
      <c r="H785">
        <f>IMSUM(IMDIV("1",COMPLEX(CX1_ESR,B785*CX1_ESL-1/(B785*CX1_C))),IMDIV("1",IMSUM(COMPLEX(DUMP1_R,0),COMPLEX(DUMP1_ESR,B785*DUMP1_ESL-1/(B785*DUMP1_C)))))</f>
        <v>0</v>
      </c>
      <c r="I785">
        <f>IMPRODUCT("2",IMDIV("1",IMSUM(IMDIV("1",COMPLEX(LDM2_DCR,B785*LDM2_L)),COMPLEX(0,B785*LDM2_CPA))))</f>
        <v>0</v>
      </c>
      <c r="J785">
        <f>IMSUM(IMDIV("1",COMPLEX(CX2_ESR,B785*CX2_ESL-1/(B785*CX2_C))),IMDIV("1",IMSUM(COMPLEX(DUMP2_R,0),COMPLEX(DUMP2_ESR,B785*DUMP2_ESL-1/(B785*DUMP2_C)))))</f>
        <v>0</v>
      </c>
      <c r="K785">
        <f>IMPRODUCT("2",IMDIV("1",IMSUM(IMDIV("1",COMPLEX(CMC_DCR,B785*CMC_L*(1-CMC_K))),COMPLEX(0,B785*CMC_CPA))))</f>
        <v>0</v>
      </c>
      <c r="L785">
        <f>IMSUM(COMPLEX(0,B785*CMC_CLINE),IMDIV("1",IMPRODUCT("2",COMPLEX(CY_ESR,B785*CY_ESL-1/(B785*CY_C)))),COMPLEX(1/DUMMY_R,0))</f>
        <v>0</v>
      </c>
      <c r="M785">
        <f>IMSUM(D785,IMDIV("1",C785))</f>
        <v>0</v>
      </c>
      <c r="N785">
        <f>IMDIV("1",IMSUM(E785,IMDIV("1",M785)))</f>
        <v>0</v>
      </c>
      <c r="O785">
        <f>IMSUM(F785,N785)</f>
        <v>0</v>
      </c>
      <c r="P785">
        <f>IMDIV("1",IMSUM(G785,IMDIV("1",O785)))</f>
        <v>0</v>
      </c>
      <c r="Q785">
        <f>IMSUM(H785,P785)</f>
        <v>0</v>
      </c>
      <c r="R785">
        <f>IMDIV("1",IMSUM(I785,IMDIV("1",Q785)))</f>
        <v>0</v>
      </c>
      <c r="S785">
        <f>IMSUM(J785,R785)</f>
        <v>0</v>
      </c>
      <c r="T785">
        <f>IMDIV("1",IMSUM(K785,IMDIV("1",S785)))</f>
        <v>0</v>
      </c>
      <c r="U785">
        <f>IMSUM(L785,T785)</f>
        <v>0</v>
      </c>
      <c r="V785">
        <f>IMDIV(COMPLEX(I_DM_SOURCE,0),U785)</f>
        <v>0</v>
      </c>
      <c r="W785">
        <f>IMPRODUCT(V785,T785)</f>
        <v>0</v>
      </c>
      <c r="X785">
        <f>IMDIV(W785,S785)</f>
        <v>0</v>
      </c>
      <c r="Y785">
        <f>IMPRODUCT(X785,R785)</f>
        <v>0</v>
      </c>
      <c r="Z785">
        <f>IMDIV(Y785,Q785)</f>
        <v>0</v>
      </c>
      <c r="AA785">
        <f>IMPRODUCT(Z785,P785)</f>
        <v>0</v>
      </c>
      <c r="AB785">
        <f>AA785</f>
        <v>0</v>
      </c>
      <c r="AC785">
        <f>IMPRODUCT("-1",AB785)</f>
        <v>0</v>
      </c>
      <c r="AD785">
        <f>IMDIV(IMSUB(AB785,AC785),"2")</f>
        <v>0</v>
      </c>
      <c r="AE785" s="6">
        <f>IMABS(AB785)</f>
        <v>0</v>
      </c>
      <c r="AF785" s="6">
        <f>IMABS(AC785)</f>
        <v>0</v>
      </c>
      <c r="AG785" s="6">
        <f>IMABS(AD785)</f>
        <v>0</v>
      </c>
      <c r="AH785" s="7">
        <f>20*LOG10(MAX(AE785,1E-300)*1E6)</f>
        <v>0</v>
      </c>
      <c r="AI785" s="7">
        <f>20*LOG10(MAX(AF785,1E-300)*1E6)</f>
        <v>0</v>
      </c>
      <c r="AJ785" s="7">
        <f>20*LOG10(MAX(AG785,1E-300)*1E6)</f>
        <v>0</v>
      </c>
      <c r="AK785" s="7">
        <f>DEGREES(IMARGUMENT(AB785))</f>
        <v>0</v>
      </c>
      <c r="AL785" s="7">
        <f>DEGREES(IMARGUMENT(AC785))</f>
        <v>0</v>
      </c>
      <c r="AM785" s="7">
        <f>DEGREES(IMARGUMENT(AD785))</f>
        <v>0</v>
      </c>
    </row>
    <row r="786" spans="1:39">
      <c r="A786" s="6">
        <f>10^(LOG10(F_START)+(ROW()-ROW($A$2))*(LOG10(F_STOP)-LOG10(F_START))/(N_POINTS-1))</f>
        <v>0</v>
      </c>
      <c r="B786" s="6">
        <f>2*PI()*A786</f>
        <v>0</v>
      </c>
      <c r="C786">
        <f>COMPLEX(2*LINE_PS_DCR,2*B786*LINE_PS_L)</f>
        <v>0</v>
      </c>
      <c r="D786">
        <f>IMSUM(COMPLEX(0,B786*(LINE_PS_CLINE+LINE_PS_CCHA/2)),IMDIV("1",IMPRODUCT("2",COMPLEX(C_THROUGH_ESR,B786*C_THROUGH_ESL-1/(B786*C_THROUGH_C)))))</f>
        <v>0</v>
      </c>
      <c r="E786">
        <f>COMPLEX(2*LINE_INPUT_DCR,2*B786*LINE_INPUT_L)</f>
        <v>0</v>
      </c>
      <c r="F786">
        <f>COMPLEX(0,B786*(LINE_INPUT_CLINE+LINE_INPUT_CCHA/2))</f>
        <v>0</v>
      </c>
      <c r="G786">
        <f>IMPRODUCT("2",IMDIV("1",IMSUM(IMDIV("1",COMPLEX(LDM1_DCR,B786*LDM1_L)),COMPLEX(0,B786*LDM1_CPA))))</f>
        <v>0</v>
      </c>
      <c r="H786">
        <f>IMSUM(IMDIV("1",COMPLEX(CX1_ESR,B786*CX1_ESL-1/(B786*CX1_C))),IMDIV("1",IMSUM(COMPLEX(DUMP1_R,0),COMPLEX(DUMP1_ESR,B786*DUMP1_ESL-1/(B786*DUMP1_C)))))</f>
        <v>0</v>
      </c>
      <c r="I786">
        <f>IMPRODUCT("2",IMDIV("1",IMSUM(IMDIV("1",COMPLEX(LDM2_DCR,B786*LDM2_L)),COMPLEX(0,B786*LDM2_CPA))))</f>
        <v>0</v>
      </c>
      <c r="J786">
        <f>IMSUM(IMDIV("1",COMPLEX(CX2_ESR,B786*CX2_ESL-1/(B786*CX2_C))),IMDIV("1",IMSUM(COMPLEX(DUMP2_R,0),COMPLEX(DUMP2_ESR,B786*DUMP2_ESL-1/(B786*DUMP2_C)))))</f>
        <v>0</v>
      </c>
      <c r="K786">
        <f>IMPRODUCT("2",IMDIV("1",IMSUM(IMDIV("1",COMPLEX(CMC_DCR,B786*CMC_L*(1-CMC_K))),COMPLEX(0,B786*CMC_CPA))))</f>
        <v>0</v>
      </c>
      <c r="L786">
        <f>IMSUM(COMPLEX(0,B786*CMC_CLINE),IMDIV("1",IMPRODUCT("2",COMPLEX(CY_ESR,B786*CY_ESL-1/(B786*CY_C)))),COMPLEX(1/DUMMY_R,0))</f>
        <v>0</v>
      </c>
      <c r="M786">
        <f>IMSUM(D786,IMDIV("1",C786))</f>
        <v>0</v>
      </c>
      <c r="N786">
        <f>IMDIV("1",IMSUM(E786,IMDIV("1",M786)))</f>
        <v>0</v>
      </c>
      <c r="O786">
        <f>IMSUM(F786,N786)</f>
        <v>0</v>
      </c>
      <c r="P786">
        <f>IMDIV("1",IMSUM(G786,IMDIV("1",O786)))</f>
        <v>0</v>
      </c>
      <c r="Q786">
        <f>IMSUM(H786,P786)</f>
        <v>0</v>
      </c>
      <c r="R786">
        <f>IMDIV("1",IMSUM(I786,IMDIV("1",Q786)))</f>
        <v>0</v>
      </c>
      <c r="S786">
        <f>IMSUM(J786,R786)</f>
        <v>0</v>
      </c>
      <c r="T786">
        <f>IMDIV("1",IMSUM(K786,IMDIV("1",S786)))</f>
        <v>0</v>
      </c>
      <c r="U786">
        <f>IMSUM(L786,T786)</f>
        <v>0</v>
      </c>
      <c r="V786">
        <f>IMDIV(COMPLEX(I_DM_SOURCE,0),U786)</f>
        <v>0</v>
      </c>
      <c r="W786">
        <f>IMPRODUCT(V786,T786)</f>
        <v>0</v>
      </c>
      <c r="X786">
        <f>IMDIV(W786,S786)</f>
        <v>0</v>
      </c>
      <c r="Y786">
        <f>IMPRODUCT(X786,R786)</f>
        <v>0</v>
      </c>
      <c r="Z786">
        <f>IMDIV(Y786,Q786)</f>
        <v>0</v>
      </c>
      <c r="AA786">
        <f>IMPRODUCT(Z786,P786)</f>
        <v>0</v>
      </c>
      <c r="AB786">
        <f>AA786</f>
        <v>0</v>
      </c>
      <c r="AC786">
        <f>IMPRODUCT("-1",AB786)</f>
        <v>0</v>
      </c>
      <c r="AD786">
        <f>IMDIV(IMSUB(AB786,AC786),"2")</f>
        <v>0</v>
      </c>
      <c r="AE786" s="6">
        <f>IMABS(AB786)</f>
        <v>0</v>
      </c>
      <c r="AF786" s="6">
        <f>IMABS(AC786)</f>
        <v>0</v>
      </c>
      <c r="AG786" s="6">
        <f>IMABS(AD786)</f>
        <v>0</v>
      </c>
      <c r="AH786" s="7">
        <f>20*LOG10(MAX(AE786,1E-300)*1E6)</f>
        <v>0</v>
      </c>
      <c r="AI786" s="7">
        <f>20*LOG10(MAX(AF786,1E-300)*1E6)</f>
        <v>0</v>
      </c>
      <c r="AJ786" s="7">
        <f>20*LOG10(MAX(AG786,1E-300)*1E6)</f>
        <v>0</v>
      </c>
      <c r="AK786" s="7">
        <f>DEGREES(IMARGUMENT(AB786))</f>
        <v>0</v>
      </c>
      <c r="AL786" s="7">
        <f>DEGREES(IMARGUMENT(AC786))</f>
        <v>0</v>
      </c>
      <c r="AM786" s="7">
        <f>DEGREES(IMARGUMENT(AD786))</f>
        <v>0</v>
      </c>
    </row>
    <row r="787" spans="1:39">
      <c r="A787" s="6">
        <f>10^(LOG10(F_START)+(ROW()-ROW($A$2))*(LOG10(F_STOP)-LOG10(F_START))/(N_POINTS-1))</f>
        <v>0</v>
      </c>
      <c r="B787" s="6">
        <f>2*PI()*A787</f>
        <v>0</v>
      </c>
      <c r="C787">
        <f>COMPLEX(2*LINE_PS_DCR,2*B787*LINE_PS_L)</f>
        <v>0</v>
      </c>
      <c r="D787">
        <f>IMSUM(COMPLEX(0,B787*(LINE_PS_CLINE+LINE_PS_CCHA/2)),IMDIV("1",IMPRODUCT("2",COMPLEX(C_THROUGH_ESR,B787*C_THROUGH_ESL-1/(B787*C_THROUGH_C)))))</f>
        <v>0</v>
      </c>
      <c r="E787">
        <f>COMPLEX(2*LINE_INPUT_DCR,2*B787*LINE_INPUT_L)</f>
        <v>0</v>
      </c>
      <c r="F787">
        <f>COMPLEX(0,B787*(LINE_INPUT_CLINE+LINE_INPUT_CCHA/2))</f>
        <v>0</v>
      </c>
      <c r="G787">
        <f>IMPRODUCT("2",IMDIV("1",IMSUM(IMDIV("1",COMPLEX(LDM1_DCR,B787*LDM1_L)),COMPLEX(0,B787*LDM1_CPA))))</f>
        <v>0</v>
      </c>
      <c r="H787">
        <f>IMSUM(IMDIV("1",COMPLEX(CX1_ESR,B787*CX1_ESL-1/(B787*CX1_C))),IMDIV("1",IMSUM(COMPLEX(DUMP1_R,0),COMPLEX(DUMP1_ESR,B787*DUMP1_ESL-1/(B787*DUMP1_C)))))</f>
        <v>0</v>
      </c>
      <c r="I787">
        <f>IMPRODUCT("2",IMDIV("1",IMSUM(IMDIV("1",COMPLEX(LDM2_DCR,B787*LDM2_L)),COMPLEX(0,B787*LDM2_CPA))))</f>
        <v>0</v>
      </c>
      <c r="J787">
        <f>IMSUM(IMDIV("1",COMPLEX(CX2_ESR,B787*CX2_ESL-1/(B787*CX2_C))),IMDIV("1",IMSUM(COMPLEX(DUMP2_R,0),COMPLEX(DUMP2_ESR,B787*DUMP2_ESL-1/(B787*DUMP2_C)))))</f>
        <v>0</v>
      </c>
      <c r="K787">
        <f>IMPRODUCT("2",IMDIV("1",IMSUM(IMDIV("1",COMPLEX(CMC_DCR,B787*CMC_L*(1-CMC_K))),COMPLEX(0,B787*CMC_CPA))))</f>
        <v>0</v>
      </c>
      <c r="L787">
        <f>IMSUM(COMPLEX(0,B787*CMC_CLINE),IMDIV("1",IMPRODUCT("2",COMPLEX(CY_ESR,B787*CY_ESL-1/(B787*CY_C)))),COMPLEX(1/DUMMY_R,0))</f>
        <v>0</v>
      </c>
      <c r="M787">
        <f>IMSUM(D787,IMDIV("1",C787))</f>
        <v>0</v>
      </c>
      <c r="N787">
        <f>IMDIV("1",IMSUM(E787,IMDIV("1",M787)))</f>
        <v>0</v>
      </c>
      <c r="O787">
        <f>IMSUM(F787,N787)</f>
        <v>0</v>
      </c>
      <c r="P787">
        <f>IMDIV("1",IMSUM(G787,IMDIV("1",O787)))</f>
        <v>0</v>
      </c>
      <c r="Q787">
        <f>IMSUM(H787,P787)</f>
        <v>0</v>
      </c>
      <c r="R787">
        <f>IMDIV("1",IMSUM(I787,IMDIV("1",Q787)))</f>
        <v>0</v>
      </c>
      <c r="S787">
        <f>IMSUM(J787,R787)</f>
        <v>0</v>
      </c>
      <c r="T787">
        <f>IMDIV("1",IMSUM(K787,IMDIV("1",S787)))</f>
        <v>0</v>
      </c>
      <c r="U787">
        <f>IMSUM(L787,T787)</f>
        <v>0</v>
      </c>
      <c r="V787">
        <f>IMDIV(COMPLEX(I_DM_SOURCE,0),U787)</f>
        <v>0</v>
      </c>
      <c r="W787">
        <f>IMPRODUCT(V787,T787)</f>
        <v>0</v>
      </c>
      <c r="X787">
        <f>IMDIV(W787,S787)</f>
        <v>0</v>
      </c>
      <c r="Y787">
        <f>IMPRODUCT(X787,R787)</f>
        <v>0</v>
      </c>
      <c r="Z787">
        <f>IMDIV(Y787,Q787)</f>
        <v>0</v>
      </c>
      <c r="AA787">
        <f>IMPRODUCT(Z787,P787)</f>
        <v>0</v>
      </c>
      <c r="AB787">
        <f>AA787</f>
        <v>0</v>
      </c>
      <c r="AC787">
        <f>IMPRODUCT("-1",AB787)</f>
        <v>0</v>
      </c>
      <c r="AD787">
        <f>IMDIV(IMSUB(AB787,AC787),"2")</f>
        <v>0</v>
      </c>
      <c r="AE787" s="6">
        <f>IMABS(AB787)</f>
        <v>0</v>
      </c>
      <c r="AF787" s="6">
        <f>IMABS(AC787)</f>
        <v>0</v>
      </c>
      <c r="AG787" s="6">
        <f>IMABS(AD787)</f>
        <v>0</v>
      </c>
      <c r="AH787" s="7">
        <f>20*LOG10(MAX(AE787,1E-300)*1E6)</f>
        <v>0</v>
      </c>
      <c r="AI787" s="7">
        <f>20*LOG10(MAX(AF787,1E-300)*1E6)</f>
        <v>0</v>
      </c>
      <c r="AJ787" s="7">
        <f>20*LOG10(MAX(AG787,1E-300)*1E6)</f>
        <v>0</v>
      </c>
      <c r="AK787" s="7">
        <f>DEGREES(IMARGUMENT(AB787))</f>
        <v>0</v>
      </c>
      <c r="AL787" s="7">
        <f>DEGREES(IMARGUMENT(AC787))</f>
        <v>0</v>
      </c>
      <c r="AM787" s="7">
        <f>DEGREES(IMARGUMENT(AD787))</f>
        <v>0</v>
      </c>
    </row>
    <row r="788" spans="1:39">
      <c r="A788" s="6">
        <f>10^(LOG10(F_START)+(ROW()-ROW($A$2))*(LOG10(F_STOP)-LOG10(F_START))/(N_POINTS-1))</f>
        <v>0</v>
      </c>
      <c r="B788" s="6">
        <f>2*PI()*A788</f>
        <v>0</v>
      </c>
      <c r="C788">
        <f>COMPLEX(2*LINE_PS_DCR,2*B788*LINE_PS_L)</f>
        <v>0</v>
      </c>
      <c r="D788">
        <f>IMSUM(COMPLEX(0,B788*(LINE_PS_CLINE+LINE_PS_CCHA/2)),IMDIV("1",IMPRODUCT("2",COMPLEX(C_THROUGH_ESR,B788*C_THROUGH_ESL-1/(B788*C_THROUGH_C)))))</f>
        <v>0</v>
      </c>
      <c r="E788">
        <f>COMPLEX(2*LINE_INPUT_DCR,2*B788*LINE_INPUT_L)</f>
        <v>0</v>
      </c>
      <c r="F788">
        <f>COMPLEX(0,B788*(LINE_INPUT_CLINE+LINE_INPUT_CCHA/2))</f>
        <v>0</v>
      </c>
      <c r="G788">
        <f>IMPRODUCT("2",IMDIV("1",IMSUM(IMDIV("1",COMPLEX(LDM1_DCR,B788*LDM1_L)),COMPLEX(0,B788*LDM1_CPA))))</f>
        <v>0</v>
      </c>
      <c r="H788">
        <f>IMSUM(IMDIV("1",COMPLEX(CX1_ESR,B788*CX1_ESL-1/(B788*CX1_C))),IMDIV("1",IMSUM(COMPLEX(DUMP1_R,0),COMPLEX(DUMP1_ESR,B788*DUMP1_ESL-1/(B788*DUMP1_C)))))</f>
        <v>0</v>
      </c>
      <c r="I788">
        <f>IMPRODUCT("2",IMDIV("1",IMSUM(IMDIV("1",COMPLEX(LDM2_DCR,B788*LDM2_L)),COMPLEX(0,B788*LDM2_CPA))))</f>
        <v>0</v>
      </c>
      <c r="J788">
        <f>IMSUM(IMDIV("1",COMPLEX(CX2_ESR,B788*CX2_ESL-1/(B788*CX2_C))),IMDIV("1",IMSUM(COMPLEX(DUMP2_R,0),COMPLEX(DUMP2_ESR,B788*DUMP2_ESL-1/(B788*DUMP2_C)))))</f>
        <v>0</v>
      </c>
      <c r="K788">
        <f>IMPRODUCT("2",IMDIV("1",IMSUM(IMDIV("1",COMPLEX(CMC_DCR,B788*CMC_L*(1-CMC_K))),COMPLEX(0,B788*CMC_CPA))))</f>
        <v>0</v>
      </c>
      <c r="L788">
        <f>IMSUM(COMPLEX(0,B788*CMC_CLINE),IMDIV("1",IMPRODUCT("2",COMPLEX(CY_ESR,B788*CY_ESL-1/(B788*CY_C)))),COMPLEX(1/DUMMY_R,0))</f>
        <v>0</v>
      </c>
      <c r="M788">
        <f>IMSUM(D788,IMDIV("1",C788))</f>
        <v>0</v>
      </c>
      <c r="N788">
        <f>IMDIV("1",IMSUM(E788,IMDIV("1",M788)))</f>
        <v>0</v>
      </c>
      <c r="O788">
        <f>IMSUM(F788,N788)</f>
        <v>0</v>
      </c>
      <c r="P788">
        <f>IMDIV("1",IMSUM(G788,IMDIV("1",O788)))</f>
        <v>0</v>
      </c>
      <c r="Q788">
        <f>IMSUM(H788,P788)</f>
        <v>0</v>
      </c>
      <c r="R788">
        <f>IMDIV("1",IMSUM(I788,IMDIV("1",Q788)))</f>
        <v>0</v>
      </c>
      <c r="S788">
        <f>IMSUM(J788,R788)</f>
        <v>0</v>
      </c>
      <c r="T788">
        <f>IMDIV("1",IMSUM(K788,IMDIV("1",S788)))</f>
        <v>0</v>
      </c>
      <c r="U788">
        <f>IMSUM(L788,T788)</f>
        <v>0</v>
      </c>
      <c r="V788">
        <f>IMDIV(COMPLEX(I_DM_SOURCE,0),U788)</f>
        <v>0</v>
      </c>
      <c r="W788">
        <f>IMPRODUCT(V788,T788)</f>
        <v>0</v>
      </c>
      <c r="X788">
        <f>IMDIV(W788,S788)</f>
        <v>0</v>
      </c>
      <c r="Y788">
        <f>IMPRODUCT(X788,R788)</f>
        <v>0</v>
      </c>
      <c r="Z788">
        <f>IMDIV(Y788,Q788)</f>
        <v>0</v>
      </c>
      <c r="AA788">
        <f>IMPRODUCT(Z788,P788)</f>
        <v>0</v>
      </c>
      <c r="AB788">
        <f>AA788</f>
        <v>0</v>
      </c>
      <c r="AC788">
        <f>IMPRODUCT("-1",AB788)</f>
        <v>0</v>
      </c>
      <c r="AD788">
        <f>IMDIV(IMSUB(AB788,AC788),"2")</f>
        <v>0</v>
      </c>
      <c r="AE788" s="6">
        <f>IMABS(AB788)</f>
        <v>0</v>
      </c>
      <c r="AF788" s="6">
        <f>IMABS(AC788)</f>
        <v>0</v>
      </c>
      <c r="AG788" s="6">
        <f>IMABS(AD788)</f>
        <v>0</v>
      </c>
      <c r="AH788" s="7">
        <f>20*LOG10(MAX(AE788,1E-300)*1E6)</f>
        <v>0</v>
      </c>
      <c r="AI788" s="7">
        <f>20*LOG10(MAX(AF788,1E-300)*1E6)</f>
        <v>0</v>
      </c>
      <c r="AJ788" s="7">
        <f>20*LOG10(MAX(AG788,1E-300)*1E6)</f>
        <v>0</v>
      </c>
      <c r="AK788" s="7">
        <f>DEGREES(IMARGUMENT(AB788))</f>
        <v>0</v>
      </c>
      <c r="AL788" s="7">
        <f>DEGREES(IMARGUMENT(AC788))</f>
        <v>0</v>
      </c>
      <c r="AM788" s="7">
        <f>DEGREES(IMARGUMENT(AD788))</f>
        <v>0</v>
      </c>
    </row>
    <row r="789" spans="1:39">
      <c r="A789" s="6">
        <f>10^(LOG10(F_START)+(ROW()-ROW($A$2))*(LOG10(F_STOP)-LOG10(F_START))/(N_POINTS-1))</f>
        <v>0</v>
      </c>
      <c r="B789" s="6">
        <f>2*PI()*A789</f>
        <v>0</v>
      </c>
      <c r="C789">
        <f>COMPLEX(2*LINE_PS_DCR,2*B789*LINE_PS_L)</f>
        <v>0</v>
      </c>
      <c r="D789">
        <f>IMSUM(COMPLEX(0,B789*(LINE_PS_CLINE+LINE_PS_CCHA/2)),IMDIV("1",IMPRODUCT("2",COMPLEX(C_THROUGH_ESR,B789*C_THROUGH_ESL-1/(B789*C_THROUGH_C)))))</f>
        <v>0</v>
      </c>
      <c r="E789">
        <f>COMPLEX(2*LINE_INPUT_DCR,2*B789*LINE_INPUT_L)</f>
        <v>0</v>
      </c>
      <c r="F789">
        <f>COMPLEX(0,B789*(LINE_INPUT_CLINE+LINE_INPUT_CCHA/2))</f>
        <v>0</v>
      </c>
      <c r="G789">
        <f>IMPRODUCT("2",IMDIV("1",IMSUM(IMDIV("1",COMPLEX(LDM1_DCR,B789*LDM1_L)),COMPLEX(0,B789*LDM1_CPA))))</f>
        <v>0</v>
      </c>
      <c r="H789">
        <f>IMSUM(IMDIV("1",COMPLEX(CX1_ESR,B789*CX1_ESL-1/(B789*CX1_C))),IMDIV("1",IMSUM(COMPLEX(DUMP1_R,0),COMPLEX(DUMP1_ESR,B789*DUMP1_ESL-1/(B789*DUMP1_C)))))</f>
        <v>0</v>
      </c>
      <c r="I789">
        <f>IMPRODUCT("2",IMDIV("1",IMSUM(IMDIV("1",COMPLEX(LDM2_DCR,B789*LDM2_L)),COMPLEX(0,B789*LDM2_CPA))))</f>
        <v>0</v>
      </c>
      <c r="J789">
        <f>IMSUM(IMDIV("1",COMPLEX(CX2_ESR,B789*CX2_ESL-1/(B789*CX2_C))),IMDIV("1",IMSUM(COMPLEX(DUMP2_R,0),COMPLEX(DUMP2_ESR,B789*DUMP2_ESL-1/(B789*DUMP2_C)))))</f>
        <v>0</v>
      </c>
      <c r="K789">
        <f>IMPRODUCT("2",IMDIV("1",IMSUM(IMDIV("1",COMPLEX(CMC_DCR,B789*CMC_L*(1-CMC_K))),COMPLEX(0,B789*CMC_CPA))))</f>
        <v>0</v>
      </c>
      <c r="L789">
        <f>IMSUM(COMPLEX(0,B789*CMC_CLINE),IMDIV("1",IMPRODUCT("2",COMPLEX(CY_ESR,B789*CY_ESL-1/(B789*CY_C)))),COMPLEX(1/DUMMY_R,0))</f>
        <v>0</v>
      </c>
      <c r="M789">
        <f>IMSUM(D789,IMDIV("1",C789))</f>
        <v>0</v>
      </c>
      <c r="N789">
        <f>IMDIV("1",IMSUM(E789,IMDIV("1",M789)))</f>
        <v>0</v>
      </c>
      <c r="O789">
        <f>IMSUM(F789,N789)</f>
        <v>0</v>
      </c>
      <c r="P789">
        <f>IMDIV("1",IMSUM(G789,IMDIV("1",O789)))</f>
        <v>0</v>
      </c>
      <c r="Q789">
        <f>IMSUM(H789,P789)</f>
        <v>0</v>
      </c>
      <c r="R789">
        <f>IMDIV("1",IMSUM(I789,IMDIV("1",Q789)))</f>
        <v>0</v>
      </c>
      <c r="S789">
        <f>IMSUM(J789,R789)</f>
        <v>0</v>
      </c>
      <c r="T789">
        <f>IMDIV("1",IMSUM(K789,IMDIV("1",S789)))</f>
        <v>0</v>
      </c>
      <c r="U789">
        <f>IMSUM(L789,T789)</f>
        <v>0</v>
      </c>
      <c r="V789">
        <f>IMDIV(COMPLEX(I_DM_SOURCE,0),U789)</f>
        <v>0</v>
      </c>
      <c r="W789">
        <f>IMPRODUCT(V789,T789)</f>
        <v>0</v>
      </c>
      <c r="X789">
        <f>IMDIV(W789,S789)</f>
        <v>0</v>
      </c>
      <c r="Y789">
        <f>IMPRODUCT(X789,R789)</f>
        <v>0</v>
      </c>
      <c r="Z789">
        <f>IMDIV(Y789,Q789)</f>
        <v>0</v>
      </c>
      <c r="AA789">
        <f>IMPRODUCT(Z789,P789)</f>
        <v>0</v>
      </c>
      <c r="AB789">
        <f>AA789</f>
        <v>0</v>
      </c>
      <c r="AC789">
        <f>IMPRODUCT("-1",AB789)</f>
        <v>0</v>
      </c>
      <c r="AD789">
        <f>IMDIV(IMSUB(AB789,AC789),"2")</f>
        <v>0</v>
      </c>
      <c r="AE789" s="6">
        <f>IMABS(AB789)</f>
        <v>0</v>
      </c>
      <c r="AF789" s="6">
        <f>IMABS(AC789)</f>
        <v>0</v>
      </c>
      <c r="AG789" s="6">
        <f>IMABS(AD789)</f>
        <v>0</v>
      </c>
      <c r="AH789" s="7">
        <f>20*LOG10(MAX(AE789,1E-300)*1E6)</f>
        <v>0</v>
      </c>
      <c r="AI789" s="7">
        <f>20*LOG10(MAX(AF789,1E-300)*1E6)</f>
        <v>0</v>
      </c>
      <c r="AJ789" s="7">
        <f>20*LOG10(MAX(AG789,1E-300)*1E6)</f>
        <v>0</v>
      </c>
      <c r="AK789" s="7">
        <f>DEGREES(IMARGUMENT(AB789))</f>
        <v>0</v>
      </c>
      <c r="AL789" s="7">
        <f>DEGREES(IMARGUMENT(AC789))</f>
        <v>0</v>
      </c>
      <c r="AM789" s="7">
        <f>DEGREES(IMARGUMENT(AD789))</f>
        <v>0</v>
      </c>
    </row>
    <row r="790" spans="1:39">
      <c r="A790" s="6">
        <f>10^(LOG10(F_START)+(ROW()-ROW($A$2))*(LOG10(F_STOP)-LOG10(F_START))/(N_POINTS-1))</f>
        <v>0</v>
      </c>
      <c r="B790" s="6">
        <f>2*PI()*A790</f>
        <v>0</v>
      </c>
      <c r="C790">
        <f>COMPLEX(2*LINE_PS_DCR,2*B790*LINE_PS_L)</f>
        <v>0</v>
      </c>
      <c r="D790">
        <f>IMSUM(COMPLEX(0,B790*(LINE_PS_CLINE+LINE_PS_CCHA/2)),IMDIV("1",IMPRODUCT("2",COMPLEX(C_THROUGH_ESR,B790*C_THROUGH_ESL-1/(B790*C_THROUGH_C)))))</f>
        <v>0</v>
      </c>
      <c r="E790">
        <f>COMPLEX(2*LINE_INPUT_DCR,2*B790*LINE_INPUT_L)</f>
        <v>0</v>
      </c>
      <c r="F790">
        <f>COMPLEX(0,B790*(LINE_INPUT_CLINE+LINE_INPUT_CCHA/2))</f>
        <v>0</v>
      </c>
      <c r="G790">
        <f>IMPRODUCT("2",IMDIV("1",IMSUM(IMDIV("1",COMPLEX(LDM1_DCR,B790*LDM1_L)),COMPLEX(0,B790*LDM1_CPA))))</f>
        <v>0</v>
      </c>
      <c r="H790">
        <f>IMSUM(IMDIV("1",COMPLEX(CX1_ESR,B790*CX1_ESL-1/(B790*CX1_C))),IMDIV("1",IMSUM(COMPLEX(DUMP1_R,0),COMPLEX(DUMP1_ESR,B790*DUMP1_ESL-1/(B790*DUMP1_C)))))</f>
        <v>0</v>
      </c>
      <c r="I790">
        <f>IMPRODUCT("2",IMDIV("1",IMSUM(IMDIV("1",COMPLEX(LDM2_DCR,B790*LDM2_L)),COMPLEX(0,B790*LDM2_CPA))))</f>
        <v>0</v>
      </c>
      <c r="J790">
        <f>IMSUM(IMDIV("1",COMPLEX(CX2_ESR,B790*CX2_ESL-1/(B790*CX2_C))),IMDIV("1",IMSUM(COMPLEX(DUMP2_R,0),COMPLEX(DUMP2_ESR,B790*DUMP2_ESL-1/(B790*DUMP2_C)))))</f>
        <v>0</v>
      </c>
      <c r="K790">
        <f>IMPRODUCT("2",IMDIV("1",IMSUM(IMDIV("1",COMPLEX(CMC_DCR,B790*CMC_L*(1-CMC_K))),COMPLEX(0,B790*CMC_CPA))))</f>
        <v>0</v>
      </c>
      <c r="L790">
        <f>IMSUM(COMPLEX(0,B790*CMC_CLINE),IMDIV("1",IMPRODUCT("2",COMPLEX(CY_ESR,B790*CY_ESL-1/(B790*CY_C)))),COMPLEX(1/DUMMY_R,0))</f>
        <v>0</v>
      </c>
      <c r="M790">
        <f>IMSUM(D790,IMDIV("1",C790))</f>
        <v>0</v>
      </c>
      <c r="N790">
        <f>IMDIV("1",IMSUM(E790,IMDIV("1",M790)))</f>
        <v>0</v>
      </c>
      <c r="O790">
        <f>IMSUM(F790,N790)</f>
        <v>0</v>
      </c>
      <c r="P790">
        <f>IMDIV("1",IMSUM(G790,IMDIV("1",O790)))</f>
        <v>0</v>
      </c>
      <c r="Q790">
        <f>IMSUM(H790,P790)</f>
        <v>0</v>
      </c>
      <c r="R790">
        <f>IMDIV("1",IMSUM(I790,IMDIV("1",Q790)))</f>
        <v>0</v>
      </c>
      <c r="S790">
        <f>IMSUM(J790,R790)</f>
        <v>0</v>
      </c>
      <c r="T790">
        <f>IMDIV("1",IMSUM(K790,IMDIV("1",S790)))</f>
        <v>0</v>
      </c>
      <c r="U790">
        <f>IMSUM(L790,T790)</f>
        <v>0</v>
      </c>
      <c r="V790">
        <f>IMDIV(COMPLEX(I_DM_SOURCE,0),U790)</f>
        <v>0</v>
      </c>
      <c r="W790">
        <f>IMPRODUCT(V790,T790)</f>
        <v>0</v>
      </c>
      <c r="X790">
        <f>IMDIV(W790,S790)</f>
        <v>0</v>
      </c>
      <c r="Y790">
        <f>IMPRODUCT(X790,R790)</f>
        <v>0</v>
      </c>
      <c r="Z790">
        <f>IMDIV(Y790,Q790)</f>
        <v>0</v>
      </c>
      <c r="AA790">
        <f>IMPRODUCT(Z790,P790)</f>
        <v>0</v>
      </c>
      <c r="AB790">
        <f>AA790</f>
        <v>0</v>
      </c>
      <c r="AC790">
        <f>IMPRODUCT("-1",AB790)</f>
        <v>0</v>
      </c>
      <c r="AD790">
        <f>IMDIV(IMSUB(AB790,AC790),"2")</f>
        <v>0</v>
      </c>
      <c r="AE790" s="6">
        <f>IMABS(AB790)</f>
        <v>0</v>
      </c>
      <c r="AF790" s="6">
        <f>IMABS(AC790)</f>
        <v>0</v>
      </c>
      <c r="AG790" s="6">
        <f>IMABS(AD790)</f>
        <v>0</v>
      </c>
      <c r="AH790" s="7">
        <f>20*LOG10(MAX(AE790,1E-300)*1E6)</f>
        <v>0</v>
      </c>
      <c r="AI790" s="7">
        <f>20*LOG10(MAX(AF790,1E-300)*1E6)</f>
        <v>0</v>
      </c>
      <c r="AJ790" s="7">
        <f>20*LOG10(MAX(AG790,1E-300)*1E6)</f>
        <v>0</v>
      </c>
      <c r="AK790" s="7">
        <f>DEGREES(IMARGUMENT(AB790))</f>
        <v>0</v>
      </c>
      <c r="AL790" s="7">
        <f>DEGREES(IMARGUMENT(AC790))</f>
        <v>0</v>
      </c>
      <c r="AM790" s="7">
        <f>DEGREES(IMARGUMENT(AD790))</f>
        <v>0</v>
      </c>
    </row>
    <row r="791" spans="1:39">
      <c r="A791" s="6">
        <f>10^(LOG10(F_START)+(ROW()-ROW($A$2))*(LOG10(F_STOP)-LOG10(F_START))/(N_POINTS-1))</f>
        <v>0</v>
      </c>
      <c r="B791" s="6">
        <f>2*PI()*A791</f>
        <v>0</v>
      </c>
      <c r="C791">
        <f>COMPLEX(2*LINE_PS_DCR,2*B791*LINE_PS_L)</f>
        <v>0</v>
      </c>
      <c r="D791">
        <f>IMSUM(COMPLEX(0,B791*(LINE_PS_CLINE+LINE_PS_CCHA/2)),IMDIV("1",IMPRODUCT("2",COMPLEX(C_THROUGH_ESR,B791*C_THROUGH_ESL-1/(B791*C_THROUGH_C)))))</f>
        <v>0</v>
      </c>
      <c r="E791">
        <f>COMPLEX(2*LINE_INPUT_DCR,2*B791*LINE_INPUT_L)</f>
        <v>0</v>
      </c>
      <c r="F791">
        <f>COMPLEX(0,B791*(LINE_INPUT_CLINE+LINE_INPUT_CCHA/2))</f>
        <v>0</v>
      </c>
      <c r="G791">
        <f>IMPRODUCT("2",IMDIV("1",IMSUM(IMDIV("1",COMPLEX(LDM1_DCR,B791*LDM1_L)),COMPLEX(0,B791*LDM1_CPA))))</f>
        <v>0</v>
      </c>
      <c r="H791">
        <f>IMSUM(IMDIV("1",COMPLEX(CX1_ESR,B791*CX1_ESL-1/(B791*CX1_C))),IMDIV("1",IMSUM(COMPLEX(DUMP1_R,0),COMPLEX(DUMP1_ESR,B791*DUMP1_ESL-1/(B791*DUMP1_C)))))</f>
        <v>0</v>
      </c>
      <c r="I791">
        <f>IMPRODUCT("2",IMDIV("1",IMSUM(IMDIV("1",COMPLEX(LDM2_DCR,B791*LDM2_L)),COMPLEX(0,B791*LDM2_CPA))))</f>
        <v>0</v>
      </c>
      <c r="J791">
        <f>IMSUM(IMDIV("1",COMPLEX(CX2_ESR,B791*CX2_ESL-1/(B791*CX2_C))),IMDIV("1",IMSUM(COMPLEX(DUMP2_R,0),COMPLEX(DUMP2_ESR,B791*DUMP2_ESL-1/(B791*DUMP2_C)))))</f>
        <v>0</v>
      </c>
      <c r="K791">
        <f>IMPRODUCT("2",IMDIV("1",IMSUM(IMDIV("1",COMPLEX(CMC_DCR,B791*CMC_L*(1-CMC_K))),COMPLEX(0,B791*CMC_CPA))))</f>
        <v>0</v>
      </c>
      <c r="L791">
        <f>IMSUM(COMPLEX(0,B791*CMC_CLINE),IMDIV("1",IMPRODUCT("2",COMPLEX(CY_ESR,B791*CY_ESL-1/(B791*CY_C)))),COMPLEX(1/DUMMY_R,0))</f>
        <v>0</v>
      </c>
      <c r="M791">
        <f>IMSUM(D791,IMDIV("1",C791))</f>
        <v>0</v>
      </c>
      <c r="N791">
        <f>IMDIV("1",IMSUM(E791,IMDIV("1",M791)))</f>
        <v>0</v>
      </c>
      <c r="O791">
        <f>IMSUM(F791,N791)</f>
        <v>0</v>
      </c>
      <c r="P791">
        <f>IMDIV("1",IMSUM(G791,IMDIV("1",O791)))</f>
        <v>0</v>
      </c>
      <c r="Q791">
        <f>IMSUM(H791,P791)</f>
        <v>0</v>
      </c>
      <c r="R791">
        <f>IMDIV("1",IMSUM(I791,IMDIV("1",Q791)))</f>
        <v>0</v>
      </c>
      <c r="S791">
        <f>IMSUM(J791,R791)</f>
        <v>0</v>
      </c>
      <c r="T791">
        <f>IMDIV("1",IMSUM(K791,IMDIV("1",S791)))</f>
        <v>0</v>
      </c>
      <c r="U791">
        <f>IMSUM(L791,T791)</f>
        <v>0</v>
      </c>
      <c r="V791">
        <f>IMDIV(COMPLEX(I_DM_SOURCE,0),U791)</f>
        <v>0</v>
      </c>
      <c r="W791">
        <f>IMPRODUCT(V791,T791)</f>
        <v>0</v>
      </c>
      <c r="X791">
        <f>IMDIV(W791,S791)</f>
        <v>0</v>
      </c>
      <c r="Y791">
        <f>IMPRODUCT(X791,R791)</f>
        <v>0</v>
      </c>
      <c r="Z791">
        <f>IMDIV(Y791,Q791)</f>
        <v>0</v>
      </c>
      <c r="AA791">
        <f>IMPRODUCT(Z791,P791)</f>
        <v>0</v>
      </c>
      <c r="AB791">
        <f>AA791</f>
        <v>0</v>
      </c>
      <c r="AC791">
        <f>IMPRODUCT("-1",AB791)</f>
        <v>0</v>
      </c>
      <c r="AD791">
        <f>IMDIV(IMSUB(AB791,AC791),"2")</f>
        <v>0</v>
      </c>
      <c r="AE791" s="6">
        <f>IMABS(AB791)</f>
        <v>0</v>
      </c>
      <c r="AF791" s="6">
        <f>IMABS(AC791)</f>
        <v>0</v>
      </c>
      <c r="AG791" s="6">
        <f>IMABS(AD791)</f>
        <v>0</v>
      </c>
      <c r="AH791" s="7">
        <f>20*LOG10(MAX(AE791,1E-300)*1E6)</f>
        <v>0</v>
      </c>
      <c r="AI791" s="7">
        <f>20*LOG10(MAX(AF791,1E-300)*1E6)</f>
        <v>0</v>
      </c>
      <c r="AJ791" s="7">
        <f>20*LOG10(MAX(AG791,1E-300)*1E6)</f>
        <v>0</v>
      </c>
      <c r="AK791" s="7">
        <f>DEGREES(IMARGUMENT(AB791))</f>
        <v>0</v>
      </c>
      <c r="AL791" s="7">
        <f>DEGREES(IMARGUMENT(AC791))</f>
        <v>0</v>
      </c>
      <c r="AM791" s="7">
        <f>DEGREES(IMARGUMENT(AD791))</f>
        <v>0</v>
      </c>
    </row>
    <row r="792" spans="1:39">
      <c r="A792" s="6">
        <f>10^(LOG10(F_START)+(ROW()-ROW($A$2))*(LOG10(F_STOP)-LOG10(F_START))/(N_POINTS-1))</f>
        <v>0</v>
      </c>
      <c r="B792" s="6">
        <f>2*PI()*A792</f>
        <v>0</v>
      </c>
      <c r="C792">
        <f>COMPLEX(2*LINE_PS_DCR,2*B792*LINE_PS_L)</f>
        <v>0</v>
      </c>
      <c r="D792">
        <f>IMSUM(COMPLEX(0,B792*(LINE_PS_CLINE+LINE_PS_CCHA/2)),IMDIV("1",IMPRODUCT("2",COMPLEX(C_THROUGH_ESR,B792*C_THROUGH_ESL-1/(B792*C_THROUGH_C)))))</f>
        <v>0</v>
      </c>
      <c r="E792">
        <f>COMPLEX(2*LINE_INPUT_DCR,2*B792*LINE_INPUT_L)</f>
        <v>0</v>
      </c>
      <c r="F792">
        <f>COMPLEX(0,B792*(LINE_INPUT_CLINE+LINE_INPUT_CCHA/2))</f>
        <v>0</v>
      </c>
      <c r="G792">
        <f>IMPRODUCT("2",IMDIV("1",IMSUM(IMDIV("1",COMPLEX(LDM1_DCR,B792*LDM1_L)),COMPLEX(0,B792*LDM1_CPA))))</f>
        <v>0</v>
      </c>
      <c r="H792">
        <f>IMSUM(IMDIV("1",COMPLEX(CX1_ESR,B792*CX1_ESL-1/(B792*CX1_C))),IMDIV("1",IMSUM(COMPLEX(DUMP1_R,0),COMPLEX(DUMP1_ESR,B792*DUMP1_ESL-1/(B792*DUMP1_C)))))</f>
        <v>0</v>
      </c>
      <c r="I792">
        <f>IMPRODUCT("2",IMDIV("1",IMSUM(IMDIV("1",COMPLEX(LDM2_DCR,B792*LDM2_L)),COMPLEX(0,B792*LDM2_CPA))))</f>
        <v>0</v>
      </c>
      <c r="J792">
        <f>IMSUM(IMDIV("1",COMPLEX(CX2_ESR,B792*CX2_ESL-1/(B792*CX2_C))),IMDIV("1",IMSUM(COMPLEX(DUMP2_R,0),COMPLEX(DUMP2_ESR,B792*DUMP2_ESL-1/(B792*DUMP2_C)))))</f>
        <v>0</v>
      </c>
      <c r="K792">
        <f>IMPRODUCT("2",IMDIV("1",IMSUM(IMDIV("1",COMPLEX(CMC_DCR,B792*CMC_L*(1-CMC_K))),COMPLEX(0,B792*CMC_CPA))))</f>
        <v>0</v>
      </c>
      <c r="L792">
        <f>IMSUM(COMPLEX(0,B792*CMC_CLINE),IMDIV("1",IMPRODUCT("2",COMPLEX(CY_ESR,B792*CY_ESL-1/(B792*CY_C)))),COMPLEX(1/DUMMY_R,0))</f>
        <v>0</v>
      </c>
      <c r="M792">
        <f>IMSUM(D792,IMDIV("1",C792))</f>
        <v>0</v>
      </c>
      <c r="N792">
        <f>IMDIV("1",IMSUM(E792,IMDIV("1",M792)))</f>
        <v>0</v>
      </c>
      <c r="O792">
        <f>IMSUM(F792,N792)</f>
        <v>0</v>
      </c>
      <c r="P792">
        <f>IMDIV("1",IMSUM(G792,IMDIV("1",O792)))</f>
        <v>0</v>
      </c>
      <c r="Q792">
        <f>IMSUM(H792,P792)</f>
        <v>0</v>
      </c>
      <c r="R792">
        <f>IMDIV("1",IMSUM(I792,IMDIV("1",Q792)))</f>
        <v>0</v>
      </c>
      <c r="S792">
        <f>IMSUM(J792,R792)</f>
        <v>0</v>
      </c>
      <c r="T792">
        <f>IMDIV("1",IMSUM(K792,IMDIV("1",S792)))</f>
        <v>0</v>
      </c>
      <c r="U792">
        <f>IMSUM(L792,T792)</f>
        <v>0</v>
      </c>
      <c r="V792">
        <f>IMDIV(COMPLEX(I_DM_SOURCE,0),U792)</f>
        <v>0</v>
      </c>
      <c r="W792">
        <f>IMPRODUCT(V792,T792)</f>
        <v>0</v>
      </c>
      <c r="X792">
        <f>IMDIV(W792,S792)</f>
        <v>0</v>
      </c>
      <c r="Y792">
        <f>IMPRODUCT(X792,R792)</f>
        <v>0</v>
      </c>
      <c r="Z792">
        <f>IMDIV(Y792,Q792)</f>
        <v>0</v>
      </c>
      <c r="AA792">
        <f>IMPRODUCT(Z792,P792)</f>
        <v>0</v>
      </c>
      <c r="AB792">
        <f>AA792</f>
        <v>0</v>
      </c>
      <c r="AC792">
        <f>IMPRODUCT("-1",AB792)</f>
        <v>0</v>
      </c>
      <c r="AD792">
        <f>IMDIV(IMSUB(AB792,AC792),"2")</f>
        <v>0</v>
      </c>
      <c r="AE792" s="6">
        <f>IMABS(AB792)</f>
        <v>0</v>
      </c>
      <c r="AF792" s="6">
        <f>IMABS(AC792)</f>
        <v>0</v>
      </c>
      <c r="AG792" s="6">
        <f>IMABS(AD792)</f>
        <v>0</v>
      </c>
      <c r="AH792" s="7">
        <f>20*LOG10(MAX(AE792,1E-300)*1E6)</f>
        <v>0</v>
      </c>
      <c r="AI792" s="7">
        <f>20*LOG10(MAX(AF792,1E-300)*1E6)</f>
        <v>0</v>
      </c>
      <c r="AJ792" s="7">
        <f>20*LOG10(MAX(AG792,1E-300)*1E6)</f>
        <v>0</v>
      </c>
      <c r="AK792" s="7">
        <f>DEGREES(IMARGUMENT(AB792))</f>
        <v>0</v>
      </c>
      <c r="AL792" s="7">
        <f>DEGREES(IMARGUMENT(AC792))</f>
        <v>0</v>
      </c>
      <c r="AM792" s="7">
        <f>DEGREES(IMARGUMENT(AD792))</f>
        <v>0</v>
      </c>
    </row>
    <row r="793" spans="1:39">
      <c r="A793" s="6">
        <f>10^(LOG10(F_START)+(ROW()-ROW($A$2))*(LOG10(F_STOP)-LOG10(F_START))/(N_POINTS-1))</f>
        <v>0</v>
      </c>
      <c r="B793" s="6">
        <f>2*PI()*A793</f>
        <v>0</v>
      </c>
      <c r="C793">
        <f>COMPLEX(2*LINE_PS_DCR,2*B793*LINE_PS_L)</f>
        <v>0</v>
      </c>
      <c r="D793">
        <f>IMSUM(COMPLEX(0,B793*(LINE_PS_CLINE+LINE_PS_CCHA/2)),IMDIV("1",IMPRODUCT("2",COMPLEX(C_THROUGH_ESR,B793*C_THROUGH_ESL-1/(B793*C_THROUGH_C)))))</f>
        <v>0</v>
      </c>
      <c r="E793">
        <f>COMPLEX(2*LINE_INPUT_DCR,2*B793*LINE_INPUT_L)</f>
        <v>0</v>
      </c>
      <c r="F793">
        <f>COMPLEX(0,B793*(LINE_INPUT_CLINE+LINE_INPUT_CCHA/2))</f>
        <v>0</v>
      </c>
      <c r="G793">
        <f>IMPRODUCT("2",IMDIV("1",IMSUM(IMDIV("1",COMPLEX(LDM1_DCR,B793*LDM1_L)),COMPLEX(0,B793*LDM1_CPA))))</f>
        <v>0</v>
      </c>
      <c r="H793">
        <f>IMSUM(IMDIV("1",COMPLEX(CX1_ESR,B793*CX1_ESL-1/(B793*CX1_C))),IMDIV("1",IMSUM(COMPLEX(DUMP1_R,0),COMPLEX(DUMP1_ESR,B793*DUMP1_ESL-1/(B793*DUMP1_C)))))</f>
        <v>0</v>
      </c>
      <c r="I793">
        <f>IMPRODUCT("2",IMDIV("1",IMSUM(IMDIV("1",COMPLEX(LDM2_DCR,B793*LDM2_L)),COMPLEX(0,B793*LDM2_CPA))))</f>
        <v>0</v>
      </c>
      <c r="J793">
        <f>IMSUM(IMDIV("1",COMPLEX(CX2_ESR,B793*CX2_ESL-1/(B793*CX2_C))),IMDIV("1",IMSUM(COMPLEX(DUMP2_R,0),COMPLEX(DUMP2_ESR,B793*DUMP2_ESL-1/(B793*DUMP2_C)))))</f>
        <v>0</v>
      </c>
      <c r="K793">
        <f>IMPRODUCT("2",IMDIV("1",IMSUM(IMDIV("1",COMPLEX(CMC_DCR,B793*CMC_L*(1-CMC_K))),COMPLEX(0,B793*CMC_CPA))))</f>
        <v>0</v>
      </c>
      <c r="L793">
        <f>IMSUM(COMPLEX(0,B793*CMC_CLINE),IMDIV("1",IMPRODUCT("2",COMPLEX(CY_ESR,B793*CY_ESL-1/(B793*CY_C)))),COMPLEX(1/DUMMY_R,0))</f>
        <v>0</v>
      </c>
      <c r="M793">
        <f>IMSUM(D793,IMDIV("1",C793))</f>
        <v>0</v>
      </c>
      <c r="N793">
        <f>IMDIV("1",IMSUM(E793,IMDIV("1",M793)))</f>
        <v>0</v>
      </c>
      <c r="O793">
        <f>IMSUM(F793,N793)</f>
        <v>0</v>
      </c>
      <c r="P793">
        <f>IMDIV("1",IMSUM(G793,IMDIV("1",O793)))</f>
        <v>0</v>
      </c>
      <c r="Q793">
        <f>IMSUM(H793,P793)</f>
        <v>0</v>
      </c>
      <c r="R793">
        <f>IMDIV("1",IMSUM(I793,IMDIV("1",Q793)))</f>
        <v>0</v>
      </c>
      <c r="S793">
        <f>IMSUM(J793,R793)</f>
        <v>0</v>
      </c>
      <c r="T793">
        <f>IMDIV("1",IMSUM(K793,IMDIV("1",S793)))</f>
        <v>0</v>
      </c>
      <c r="U793">
        <f>IMSUM(L793,T793)</f>
        <v>0</v>
      </c>
      <c r="V793">
        <f>IMDIV(COMPLEX(I_DM_SOURCE,0),U793)</f>
        <v>0</v>
      </c>
      <c r="W793">
        <f>IMPRODUCT(V793,T793)</f>
        <v>0</v>
      </c>
      <c r="X793">
        <f>IMDIV(W793,S793)</f>
        <v>0</v>
      </c>
      <c r="Y793">
        <f>IMPRODUCT(X793,R793)</f>
        <v>0</v>
      </c>
      <c r="Z793">
        <f>IMDIV(Y793,Q793)</f>
        <v>0</v>
      </c>
      <c r="AA793">
        <f>IMPRODUCT(Z793,P793)</f>
        <v>0</v>
      </c>
      <c r="AB793">
        <f>AA793</f>
        <v>0</v>
      </c>
      <c r="AC793">
        <f>IMPRODUCT("-1",AB793)</f>
        <v>0</v>
      </c>
      <c r="AD793">
        <f>IMDIV(IMSUB(AB793,AC793),"2")</f>
        <v>0</v>
      </c>
      <c r="AE793" s="6">
        <f>IMABS(AB793)</f>
        <v>0</v>
      </c>
      <c r="AF793" s="6">
        <f>IMABS(AC793)</f>
        <v>0</v>
      </c>
      <c r="AG793" s="6">
        <f>IMABS(AD793)</f>
        <v>0</v>
      </c>
      <c r="AH793" s="7">
        <f>20*LOG10(MAX(AE793,1E-300)*1E6)</f>
        <v>0</v>
      </c>
      <c r="AI793" s="7">
        <f>20*LOG10(MAX(AF793,1E-300)*1E6)</f>
        <v>0</v>
      </c>
      <c r="AJ793" s="7">
        <f>20*LOG10(MAX(AG793,1E-300)*1E6)</f>
        <v>0</v>
      </c>
      <c r="AK793" s="7">
        <f>DEGREES(IMARGUMENT(AB793))</f>
        <v>0</v>
      </c>
      <c r="AL793" s="7">
        <f>DEGREES(IMARGUMENT(AC793))</f>
        <v>0</v>
      </c>
      <c r="AM793" s="7">
        <f>DEGREES(IMARGUMENT(AD793))</f>
        <v>0</v>
      </c>
    </row>
    <row r="794" spans="1:39">
      <c r="A794" s="6">
        <f>10^(LOG10(F_START)+(ROW()-ROW($A$2))*(LOG10(F_STOP)-LOG10(F_START))/(N_POINTS-1))</f>
        <v>0</v>
      </c>
      <c r="B794" s="6">
        <f>2*PI()*A794</f>
        <v>0</v>
      </c>
      <c r="C794">
        <f>COMPLEX(2*LINE_PS_DCR,2*B794*LINE_PS_L)</f>
        <v>0</v>
      </c>
      <c r="D794">
        <f>IMSUM(COMPLEX(0,B794*(LINE_PS_CLINE+LINE_PS_CCHA/2)),IMDIV("1",IMPRODUCT("2",COMPLEX(C_THROUGH_ESR,B794*C_THROUGH_ESL-1/(B794*C_THROUGH_C)))))</f>
        <v>0</v>
      </c>
      <c r="E794">
        <f>COMPLEX(2*LINE_INPUT_DCR,2*B794*LINE_INPUT_L)</f>
        <v>0</v>
      </c>
      <c r="F794">
        <f>COMPLEX(0,B794*(LINE_INPUT_CLINE+LINE_INPUT_CCHA/2))</f>
        <v>0</v>
      </c>
      <c r="G794">
        <f>IMPRODUCT("2",IMDIV("1",IMSUM(IMDIV("1",COMPLEX(LDM1_DCR,B794*LDM1_L)),COMPLEX(0,B794*LDM1_CPA))))</f>
        <v>0</v>
      </c>
      <c r="H794">
        <f>IMSUM(IMDIV("1",COMPLEX(CX1_ESR,B794*CX1_ESL-1/(B794*CX1_C))),IMDIV("1",IMSUM(COMPLEX(DUMP1_R,0),COMPLEX(DUMP1_ESR,B794*DUMP1_ESL-1/(B794*DUMP1_C)))))</f>
        <v>0</v>
      </c>
      <c r="I794">
        <f>IMPRODUCT("2",IMDIV("1",IMSUM(IMDIV("1",COMPLEX(LDM2_DCR,B794*LDM2_L)),COMPLEX(0,B794*LDM2_CPA))))</f>
        <v>0</v>
      </c>
      <c r="J794">
        <f>IMSUM(IMDIV("1",COMPLEX(CX2_ESR,B794*CX2_ESL-1/(B794*CX2_C))),IMDIV("1",IMSUM(COMPLEX(DUMP2_R,0),COMPLEX(DUMP2_ESR,B794*DUMP2_ESL-1/(B794*DUMP2_C)))))</f>
        <v>0</v>
      </c>
      <c r="K794">
        <f>IMPRODUCT("2",IMDIV("1",IMSUM(IMDIV("1",COMPLEX(CMC_DCR,B794*CMC_L*(1-CMC_K))),COMPLEX(0,B794*CMC_CPA))))</f>
        <v>0</v>
      </c>
      <c r="L794">
        <f>IMSUM(COMPLEX(0,B794*CMC_CLINE),IMDIV("1",IMPRODUCT("2",COMPLEX(CY_ESR,B794*CY_ESL-1/(B794*CY_C)))),COMPLEX(1/DUMMY_R,0))</f>
        <v>0</v>
      </c>
      <c r="M794">
        <f>IMSUM(D794,IMDIV("1",C794))</f>
        <v>0</v>
      </c>
      <c r="N794">
        <f>IMDIV("1",IMSUM(E794,IMDIV("1",M794)))</f>
        <v>0</v>
      </c>
      <c r="O794">
        <f>IMSUM(F794,N794)</f>
        <v>0</v>
      </c>
      <c r="P794">
        <f>IMDIV("1",IMSUM(G794,IMDIV("1",O794)))</f>
        <v>0</v>
      </c>
      <c r="Q794">
        <f>IMSUM(H794,P794)</f>
        <v>0</v>
      </c>
      <c r="R794">
        <f>IMDIV("1",IMSUM(I794,IMDIV("1",Q794)))</f>
        <v>0</v>
      </c>
      <c r="S794">
        <f>IMSUM(J794,R794)</f>
        <v>0</v>
      </c>
      <c r="T794">
        <f>IMDIV("1",IMSUM(K794,IMDIV("1",S794)))</f>
        <v>0</v>
      </c>
      <c r="U794">
        <f>IMSUM(L794,T794)</f>
        <v>0</v>
      </c>
      <c r="V794">
        <f>IMDIV(COMPLEX(I_DM_SOURCE,0),U794)</f>
        <v>0</v>
      </c>
      <c r="W794">
        <f>IMPRODUCT(V794,T794)</f>
        <v>0</v>
      </c>
      <c r="X794">
        <f>IMDIV(W794,S794)</f>
        <v>0</v>
      </c>
      <c r="Y794">
        <f>IMPRODUCT(X794,R794)</f>
        <v>0</v>
      </c>
      <c r="Z794">
        <f>IMDIV(Y794,Q794)</f>
        <v>0</v>
      </c>
      <c r="AA794">
        <f>IMPRODUCT(Z794,P794)</f>
        <v>0</v>
      </c>
      <c r="AB794">
        <f>AA794</f>
        <v>0</v>
      </c>
      <c r="AC794">
        <f>IMPRODUCT("-1",AB794)</f>
        <v>0</v>
      </c>
      <c r="AD794">
        <f>IMDIV(IMSUB(AB794,AC794),"2")</f>
        <v>0</v>
      </c>
      <c r="AE794" s="6">
        <f>IMABS(AB794)</f>
        <v>0</v>
      </c>
      <c r="AF794" s="6">
        <f>IMABS(AC794)</f>
        <v>0</v>
      </c>
      <c r="AG794" s="6">
        <f>IMABS(AD794)</f>
        <v>0</v>
      </c>
      <c r="AH794" s="7">
        <f>20*LOG10(MAX(AE794,1E-300)*1E6)</f>
        <v>0</v>
      </c>
      <c r="AI794" s="7">
        <f>20*LOG10(MAX(AF794,1E-300)*1E6)</f>
        <v>0</v>
      </c>
      <c r="AJ794" s="7">
        <f>20*LOG10(MAX(AG794,1E-300)*1E6)</f>
        <v>0</v>
      </c>
      <c r="AK794" s="7">
        <f>DEGREES(IMARGUMENT(AB794))</f>
        <v>0</v>
      </c>
      <c r="AL794" s="7">
        <f>DEGREES(IMARGUMENT(AC794))</f>
        <v>0</v>
      </c>
      <c r="AM794" s="7">
        <f>DEGREES(IMARGUMENT(AD794))</f>
        <v>0</v>
      </c>
    </row>
    <row r="795" spans="1:39">
      <c r="A795" s="6">
        <f>10^(LOG10(F_START)+(ROW()-ROW($A$2))*(LOG10(F_STOP)-LOG10(F_START))/(N_POINTS-1))</f>
        <v>0</v>
      </c>
      <c r="B795" s="6">
        <f>2*PI()*A795</f>
        <v>0</v>
      </c>
      <c r="C795">
        <f>COMPLEX(2*LINE_PS_DCR,2*B795*LINE_PS_L)</f>
        <v>0</v>
      </c>
      <c r="D795">
        <f>IMSUM(COMPLEX(0,B795*(LINE_PS_CLINE+LINE_PS_CCHA/2)),IMDIV("1",IMPRODUCT("2",COMPLEX(C_THROUGH_ESR,B795*C_THROUGH_ESL-1/(B795*C_THROUGH_C)))))</f>
        <v>0</v>
      </c>
      <c r="E795">
        <f>COMPLEX(2*LINE_INPUT_DCR,2*B795*LINE_INPUT_L)</f>
        <v>0</v>
      </c>
      <c r="F795">
        <f>COMPLEX(0,B795*(LINE_INPUT_CLINE+LINE_INPUT_CCHA/2))</f>
        <v>0</v>
      </c>
      <c r="G795">
        <f>IMPRODUCT("2",IMDIV("1",IMSUM(IMDIV("1",COMPLEX(LDM1_DCR,B795*LDM1_L)),COMPLEX(0,B795*LDM1_CPA))))</f>
        <v>0</v>
      </c>
      <c r="H795">
        <f>IMSUM(IMDIV("1",COMPLEX(CX1_ESR,B795*CX1_ESL-1/(B795*CX1_C))),IMDIV("1",IMSUM(COMPLEX(DUMP1_R,0),COMPLEX(DUMP1_ESR,B795*DUMP1_ESL-1/(B795*DUMP1_C)))))</f>
        <v>0</v>
      </c>
      <c r="I795">
        <f>IMPRODUCT("2",IMDIV("1",IMSUM(IMDIV("1",COMPLEX(LDM2_DCR,B795*LDM2_L)),COMPLEX(0,B795*LDM2_CPA))))</f>
        <v>0</v>
      </c>
      <c r="J795">
        <f>IMSUM(IMDIV("1",COMPLEX(CX2_ESR,B795*CX2_ESL-1/(B795*CX2_C))),IMDIV("1",IMSUM(COMPLEX(DUMP2_R,0),COMPLEX(DUMP2_ESR,B795*DUMP2_ESL-1/(B795*DUMP2_C)))))</f>
        <v>0</v>
      </c>
      <c r="K795">
        <f>IMPRODUCT("2",IMDIV("1",IMSUM(IMDIV("1",COMPLEX(CMC_DCR,B795*CMC_L*(1-CMC_K))),COMPLEX(0,B795*CMC_CPA))))</f>
        <v>0</v>
      </c>
      <c r="L795">
        <f>IMSUM(COMPLEX(0,B795*CMC_CLINE),IMDIV("1",IMPRODUCT("2",COMPLEX(CY_ESR,B795*CY_ESL-1/(B795*CY_C)))),COMPLEX(1/DUMMY_R,0))</f>
        <v>0</v>
      </c>
      <c r="M795">
        <f>IMSUM(D795,IMDIV("1",C795))</f>
        <v>0</v>
      </c>
      <c r="N795">
        <f>IMDIV("1",IMSUM(E795,IMDIV("1",M795)))</f>
        <v>0</v>
      </c>
      <c r="O795">
        <f>IMSUM(F795,N795)</f>
        <v>0</v>
      </c>
      <c r="P795">
        <f>IMDIV("1",IMSUM(G795,IMDIV("1",O795)))</f>
        <v>0</v>
      </c>
      <c r="Q795">
        <f>IMSUM(H795,P795)</f>
        <v>0</v>
      </c>
      <c r="R795">
        <f>IMDIV("1",IMSUM(I795,IMDIV("1",Q795)))</f>
        <v>0</v>
      </c>
      <c r="S795">
        <f>IMSUM(J795,R795)</f>
        <v>0</v>
      </c>
      <c r="T795">
        <f>IMDIV("1",IMSUM(K795,IMDIV("1",S795)))</f>
        <v>0</v>
      </c>
      <c r="U795">
        <f>IMSUM(L795,T795)</f>
        <v>0</v>
      </c>
      <c r="V795">
        <f>IMDIV(COMPLEX(I_DM_SOURCE,0),U795)</f>
        <v>0</v>
      </c>
      <c r="W795">
        <f>IMPRODUCT(V795,T795)</f>
        <v>0</v>
      </c>
      <c r="X795">
        <f>IMDIV(W795,S795)</f>
        <v>0</v>
      </c>
      <c r="Y795">
        <f>IMPRODUCT(X795,R795)</f>
        <v>0</v>
      </c>
      <c r="Z795">
        <f>IMDIV(Y795,Q795)</f>
        <v>0</v>
      </c>
      <c r="AA795">
        <f>IMPRODUCT(Z795,P795)</f>
        <v>0</v>
      </c>
      <c r="AB795">
        <f>AA795</f>
        <v>0</v>
      </c>
      <c r="AC795">
        <f>IMPRODUCT("-1",AB795)</f>
        <v>0</v>
      </c>
      <c r="AD795">
        <f>IMDIV(IMSUB(AB795,AC795),"2")</f>
        <v>0</v>
      </c>
      <c r="AE795" s="6">
        <f>IMABS(AB795)</f>
        <v>0</v>
      </c>
      <c r="AF795" s="6">
        <f>IMABS(AC795)</f>
        <v>0</v>
      </c>
      <c r="AG795" s="6">
        <f>IMABS(AD795)</f>
        <v>0</v>
      </c>
      <c r="AH795" s="7">
        <f>20*LOG10(MAX(AE795,1E-300)*1E6)</f>
        <v>0</v>
      </c>
      <c r="AI795" s="7">
        <f>20*LOG10(MAX(AF795,1E-300)*1E6)</f>
        <v>0</v>
      </c>
      <c r="AJ795" s="7">
        <f>20*LOG10(MAX(AG795,1E-300)*1E6)</f>
        <v>0</v>
      </c>
      <c r="AK795" s="7">
        <f>DEGREES(IMARGUMENT(AB795))</f>
        <v>0</v>
      </c>
      <c r="AL795" s="7">
        <f>DEGREES(IMARGUMENT(AC795))</f>
        <v>0</v>
      </c>
      <c r="AM795" s="7">
        <f>DEGREES(IMARGUMENT(AD795))</f>
        <v>0</v>
      </c>
    </row>
    <row r="796" spans="1:39">
      <c r="A796" s="6">
        <f>10^(LOG10(F_START)+(ROW()-ROW($A$2))*(LOG10(F_STOP)-LOG10(F_START))/(N_POINTS-1))</f>
        <v>0</v>
      </c>
      <c r="B796" s="6">
        <f>2*PI()*A796</f>
        <v>0</v>
      </c>
      <c r="C796">
        <f>COMPLEX(2*LINE_PS_DCR,2*B796*LINE_PS_L)</f>
        <v>0</v>
      </c>
      <c r="D796">
        <f>IMSUM(COMPLEX(0,B796*(LINE_PS_CLINE+LINE_PS_CCHA/2)),IMDIV("1",IMPRODUCT("2",COMPLEX(C_THROUGH_ESR,B796*C_THROUGH_ESL-1/(B796*C_THROUGH_C)))))</f>
        <v>0</v>
      </c>
      <c r="E796">
        <f>COMPLEX(2*LINE_INPUT_DCR,2*B796*LINE_INPUT_L)</f>
        <v>0</v>
      </c>
      <c r="F796">
        <f>COMPLEX(0,B796*(LINE_INPUT_CLINE+LINE_INPUT_CCHA/2))</f>
        <v>0</v>
      </c>
      <c r="G796">
        <f>IMPRODUCT("2",IMDIV("1",IMSUM(IMDIV("1",COMPLEX(LDM1_DCR,B796*LDM1_L)),COMPLEX(0,B796*LDM1_CPA))))</f>
        <v>0</v>
      </c>
      <c r="H796">
        <f>IMSUM(IMDIV("1",COMPLEX(CX1_ESR,B796*CX1_ESL-1/(B796*CX1_C))),IMDIV("1",IMSUM(COMPLEX(DUMP1_R,0),COMPLEX(DUMP1_ESR,B796*DUMP1_ESL-1/(B796*DUMP1_C)))))</f>
        <v>0</v>
      </c>
      <c r="I796">
        <f>IMPRODUCT("2",IMDIV("1",IMSUM(IMDIV("1",COMPLEX(LDM2_DCR,B796*LDM2_L)),COMPLEX(0,B796*LDM2_CPA))))</f>
        <v>0</v>
      </c>
      <c r="J796">
        <f>IMSUM(IMDIV("1",COMPLEX(CX2_ESR,B796*CX2_ESL-1/(B796*CX2_C))),IMDIV("1",IMSUM(COMPLEX(DUMP2_R,0),COMPLEX(DUMP2_ESR,B796*DUMP2_ESL-1/(B796*DUMP2_C)))))</f>
        <v>0</v>
      </c>
      <c r="K796">
        <f>IMPRODUCT("2",IMDIV("1",IMSUM(IMDIV("1",COMPLEX(CMC_DCR,B796*CMC_L*(1-CMC_K))),COMPLEX(0,B796*CMC_CPA))))</f>
        <v>0</v>
      </c>
      <c r="L796">
        <f>IMSUM(COMPLEX(0,B796*CMC_CLINE),IMDIV("1",IMPRODUCT("2",COMPLEX(CY_ESR,B796*CY_ESL-1/(B796*CY_C)))),COMPLEX(1/DUMMY_R,0))</f>
        <v>0</v>
      </c>
      <c r="M796">
        <f>IMSUM(D796,IMDIV("1",C796))</f>
        <v>0</v>
      </c>
      <c r="N796">
        <f>IMDIV("1",IMSUM(E796,IMDIV("1",M796)))</f>
        <v>0</v>
      </c>
      <c r="O796">
        <f>IMSUM(F796,N796)</f>
        <v>0</v>
      </c>
      <c r="P796">
        <f>IMDIV("1",IMSUM(G796,IMDIV("1",O796)))</f>
        <v>0</v>
      </c>
      <c r="Q796">
        <f>IMSUM(H796,P796)</f>
        <v>0</v>
      </c>
      <c r="R796">
        <f>IMDIV("1",IMSUM(I796,IMDIV("1",Q796)))</f>
        <v>0</v>
      </c>
      <c r="S796">
        <f>IMSUM(J796,R796)</f>
        <v>0</v>
      </c>
      <c r="T796">
        <f>IMDIV("1",IMSUM(K796,IMDIV("1",S796)))</f>
        <v>0</v>
      </c>
      <c r="U796">
        <f>IMSUM(L796,T796)</f>
        <v>0</v>
      </c>
      <c r="V796">
        <f>IMDIV(COMPLEX(I_DM_SOURCE,0),U796)</f>
        <v>0</v>
      </c>
      <c r="W796">
        <f>IMPRODUCT(V796,T796)</f>
        <v>0</v>
      </c>
      <c r="X796">
        <f>IMDIV(W796,S796)</f>
        <v>0</v>
      </c>
      <c r="Y796">
        <f>IMPRODUCT(X796,R796)</f>
        <v>0</v>
      </c>
      <c r="Z796">
        <f>IMDIV(Y796,Q796)</f>
        <v>0</v>
      </c>
      <c r="AA796">
        <f>IMPRODUCT(Z796,P796)</f>
        <v>0</v>
      </c>
      <c r="AB796">
        <f>AA796</f>
        <v>0</v>
      </c>
      <c r="AC796">
        <f>IMPRODUCT("-1",AB796)</f>
        <v>0</v>
      </c>
      <c r="AD796">
        <f>IMDIV(IMSUB(AB796,AC796),"2")</f>
        <v>0</v>
      </c>
      <c r="AE796" s="6">
        <f>IMABS(AB796)</f>
        <v>0</v>
      </c>
      <c r="AF796" s="6">
        <f>IMABS(AC796)</f>
        <v>0</v>
      </c>
      <c r="AG796" s="6">
        <f>IMABS(AD796)</f>
        <v>0</v>
      </c>
      <c r="AH796" s="7">
        <f>20*LOG10(MAX(AE796,1E-300)*1E6)</f>
        <v>0</v>
      </c>
      <c r="AI796" s="7">
        <f>20*LOG10(MAX(AF796,1E-300)*1E6)</f>
        <v>0</v>
      </c>
      <c r="AJ796" s="7">
        <f>20*LOG10(MAX(AG796,1E-300)*1E6)</f>
        <v>0</v>
      </c>
      <c r="AK796" s="7">
        <f>DEGREES(IMARGUMENT(AB796))</f>
        <v>0</v>
      </c>
      <c r="AL796" s="7">
        <f>DEGREES(IMARGUMENT(AC796))</f>
        <v>0</v>
      </c>
      <c r="AM796" s="7">
        <f>DEGREES(IMARGUMENT(AD796))</f>
        <v>0</v>
      </c>
    </row>
    <row r="797" spans="1:39">
      <c r="A797" s="6">
        <f>10^(LOG10(F_START)+(ROW()-ROW($A$2))*(LOG10(F_STOP)-LOG10(F_START))/(N_POINTS-1))</f>
        <v>0</v>
      </c>
      <c r="B797" s="6">
        <f>2*PI()*A797</f>
        <v>0</v>
      </c>
      <c r="C797">
        <f>COMPLEX(2*LINE_PS_DCR,2*B797*LINE_PS_L)</f>
        <v>0</v>
      </c>
      <c r="D797">
        <f>IMSUM(COMPLEX(0,B797*(LINE_PS_CLINE+LINE_PS_CCHA/2)),IMDIV("1",IMPRODUCT("2",COMPLEX(C_THROUGH_ESR,B797*C_THROUGH_ESL-1/(B797*C_THROUGH_C)))))</f>
        <v>0</v>
      </c>
      <c r="E797">
        <f>COMPLEX(2*LINE_INPUT_DCR,2*B797*LINE_INPUT_L)</f>
        <v>0</v>
      </c>
      <c r="F797">
        <f>COMPLEX(0,B797*(LINE_INPUT_CLINE+LINE_INPUT_CCHA/2))</f>
        <v>0</v>
      </c>
      <c r="G797">
        <f>IMPRODUCT("2",IMDIV("1",IMSUM(IMDIV("1",COMPLEX(LDM1_DCR,B797*LDM1_L)),COMPLEX(0,B797*LDM1_CPA))))</f>
        <v>0</v>
      </c>
      <c r="H797">
        <f>IMSUM(IMDIV("1",COMPLEX(CX1_ESR,B797*CX1_ESL-1/(B797*CX1_C))),IMDIV("1",IMSUM(COMPLEX(DUMP1_R,0),COMPLEX(DUMP1_ESR,B797*DUMP1_ESL-1/(B797*DUMP1_C)))))</f>
        <v>0</v>
      </c>
      <c r="I797">
        <f>IMPRODUCT("2",IMDIV("1",IMSUM(IMDIV("1",COMPLEX(LDM2_DCR,B797*LDM2_L)),COMPLEX(0,B797*LDM2_CPA))))</f>
        <v>0</v>
      </c>
      <c r="J797">
        <f>IMSUM(IMDIV("1",COMPLEX(CX2_ESR,B797*CX2_ESL-1/(B797*CX2_C))),IMDIV("1",IMSUM(COMPLEX(DUMP2_R,0),COMPLEX(DUMP2_ESR,B797*DUMP2_ESL-1/(B797*DUMP2_C)))))</f>
        <v>0</v>
      </c>
      <c r="K797">
        <f>IMPRODUCT("2",IMDIV("1",IMSUM(IMDIV("1",COMPLEX(CMC_DCR,B797*CMC_L*(1-CMC_K))),COMPLEX(0,B797*CMC_CPA))))</f>
        <v>0</v>
      </c>
      <c r="L797">
        <f>IMSUM(COMPLEX(0,B797*CMC_CLINE),IMDIV("1",IMPRODUCT("2",COMPLEX(CY_ESR,B797*CY_ESL-1/(B797*CY_C)))),COMPLEX(1/DUMMY_R,0))</f>
        <v>0</v>
      </c>
      <c r="M797">
        <f>IMSUM(D797,IMDIV("1",C797))</f>
        <v>0</v>
      </c>
      <c r="N797">
        <f>IMDIV("1",IMSUM(E797,IMDIV("1",M797)))</f>
        <v>0</v>
      </c>
      <c r="O797">
        <f>IMSUM(F797,N797)</f>
        <v>0</v>
      </c>
      <c r="P797">
        <f>IMDIV("1",IMSUM(G797,IMDIV("1",O797)))</f>
        <v>0</v>
      </c>
      <c r="Q797">
        <f>IMSUM(H797,P797)</f>
        <v>0</v>
      </c>
      <c r="R797">
        <f>IMDIV("1",IMSUM(I797,IMDIV("1",Q797)))</f>
        <v>0</v>
      </c>
      <c r="S797">
        <f>IMSUM(J797,R797)</f>
        <v>0</v>
      </c>
      <c r="T797">
        <f>IMDIV("1",IMSUM(K797,IMDIV("1",S797)))</f>
        <v>0</v>
      </c>
      <c r="U797">
        <f>IMSUM(L797,T797)</f>
        <v>0</v>
      </c>
      <c r="V797">
        <f>IMDIV(COMPLEX(I_DM_SOURCE,0),U797)</f>
        <v>0</v>
      </c>
      <c r="W797">
        <f>IMPRODUCT(V797,T797)</f>
        <v>0</v>
      </c>
      <c r="X797">
        <f>IMDIV(W797,S797)</f>
        <v>0</v>
      </c>
      <c r="Y797">
        <f>IMPRODUCT(X797,R797)</f>
        <v>0</v>
      </c>
      <c r="Z797">
        <f>IMDIV(Y797,Q797)</f>
        <v>0</v>
      </c>
      <c r="AA797">
        <f>IMPRODUCT(Z797,P797)</f>
        <v>0</v>
      </c>
      <c r="AB797">
        <f>AA797</f>
        <v>0</v>
      </c>
      <c r="AC797">
        <f>IMPRODUCT("-1",AB797)</f>
        <v>0</v>
      </c>
      <c r="AD797">
        <f>IMDIV(IMSUB(AB797,AC797),"2")</f>
        <v>0</v>
      </c>
      <c r="AE797" s="6">
        <f>IMABS(AB797)</f>
        <v>0</v>
      </c>
      <c r="AF797" s="6">
        <f>IMABS(AC797)</f>
        <v>0</v>
      </c>
      <c r="AG797" s="6">
        <f>IMABS(AD797)</f>
        <v>0</v>
      </c>
      <c r="AH797" s="7">
        <f>20*LOG10(MAX(AE797,1E-300)*1E6)</f>
        <v>0</v>
      </c>
      <c r="AI797" s="7">
        <f>20*LOG10(MAX(AF797,1E-300)*1E6)</f>
        <v>0</v>
      </c>
      <c r="AJ797" s="7">
        <f>20*LOG10(MAX(AG797,1E-300)*1E6)</f>
        <v>0</v>
      </c>
      <c r="AK797" s="7">
        <f>DEGREES(IMARGUMENT(AB797))</f>
        <v>0</v>
      </c>
      <c r="AL797" s="7">
        <f>DEGREES(IMARGUMENT(AC797))</f>
        <v>0</v>
      </c>
      <c r="AM797" s="7">
        <f>DEGREES(IMARGUMENT(AD797))</f>
        <v>0</v>
      </c>
    </row>
    <row r="798" spans="1:39">
      <c r="A798" s="6">
        <f>10^(LOG10(F_START)+(ROW()-ROW($A$2))*(LOG10(F_STOP)-LOG10(F_START))/(N_POINTS-1))</f>
        <v>0</v>
      </c>
      <c r="B798" s="6">
        <f>2*PI()*A798</f>
        <v>0</v>
      </c>
      <c r="C798">
        <f>COMPLEX(2*LINE_PS_DCR,2*B798*LINE_PS_L)</f>
        <v>0</v>
      </c>
      <c r="D798">
        <f>IMSUM(COMPLEX(0,B798*(LINE_PS_CLINE+LINE_PS_CCHA/2)),IMDIV("1",IMPRODUCT("2",COMPLEX(C_THROUGH_ESR,B798*C_THROUGH_ESL-1/(B798*C_THROUGH_C)))))</f>
        <v>0</v>
      </c>
      <c r="E798">
        <f>COMPLEX(2*LINE_INPUT_DCR,2*B798*LINE_INPUT_L)</f>
        <v>0</v>
      </c>
      <c r="F798">
        <f>COMPLEX(0,B798*(LINE_INPUT_CLINE+LINE_INPUT_CCHA/2))</f>
        <v>0</v>
      </c>
      <c r="G798">
        <f>IMPRODUCT("2",IMDIV("1",IMSUM(IMDIV("1",COMPLEX(LDM1_DCR,B798*LDM1_L)),COMPLEX(0,B798*LDM1_CPA))))</f>
        <v>0</v>
      </c>
      <c r="H798">
        <f>IMSUM(IMDIV("1",COMPLEX(CX1_ESR,B798*CX1_ESL-1/(B798*CX1_C))),IMDIV("1",IMSUM(COMPLEX(DUMP1_R,0),COMPLEX(DUMP1_ESR,B798*DUMP1_ESL-1/(B798*DUMP1_C)))))</f>
        <v>0</v>
      </c>
      <c r="I798">
        <f>IMPRODUCT("2",IMDIV("1",IMSUM(IMDIV("1",COMPLEX(LDM2_DCR,B798*LDM2_L)),COMPLEX(0,B798*LDM2_CPA))))</f>
        <v>0</v>
      </c>
      <c r="J798">
        <f>IMSUM(IMDIV("1",COMPLEX(CX2_ESR,B798*CX2_ESL-1/(B798*CX2_C))),IMDIV("1",IMSUM(COMPLEX(DUMP2_R,0),COMPLEX(DUMP2_ESR,B798*DUMP2_ESL-1/(B798*DUMP2_C)))))</f>
        <v>0</v>
      </c>
      <c r="K798">
        <f>IMPRODUCT("2",IMDIV("1",IMSUM(IMDIV("1",COMPLEX(CMC_DCR,B798*CMC_L*(1-CMC_K))),COMPLEX(0,B798*CMC_CPA))))</f>
        <v>0</v>
      </c>
      <c r="L798">
        <f>IMSUM(COMPLEX(0,B798*CMC_CLINE),IMDIV("1",IMPRODUCT("2",COMPLEX(CY_ESR,B798*CY_ESL-1/(B798*CY_C)))),COMPLEX(1/DUMMY_R,0))</f>
        <v>0</v>
      </c>
      <c r="M798">
        <f>IMSUM(D798,IMDIV("1",C798))</f>
        <v>0</v>
      </c>
      <c r="N798">
        <f>IMDIV("1",IMSUM(E798,IMDIV("1",M798)))</f>
        <v>0</v>
      </c>
      <c r="O798">
        <f>IMSUM(F798,N798)</f>
        <v>0</v>
      </c>
      <c r="P798">
        <f>IMDIV("1",IMSUM(G798,IMDIV("1",O798)))</f>
        <v>0</v>
      </c>
      <c r="Q798">
        <f>IMSUM(H798,P798)</f>
        <v>0</v>
      </c>
      <c r="R798">
        <f>IMDIV("1",IMSUM(I798,IMDIV("1",Q798)))</f>
        <v>0</v>
      </c>
      <c r="S798">
        <f>IMSUM(J798,R798)</f>
        <v>0</v>
      </c>
      <c r="T798">
        <f>IMDIV("1",IMSUM(K798,IMDIV("1",S798)))</f>
        <v>0</v>
      </c>
      <c r="U798">
        <f>IMSUM(L798,T798)</f>
        <v>0</v>
      </c>
      <c r="V798">
        <f>IMDIV(COMPLEX(I_DM_SOURCE,0),U798)</f>
        <v>0</v>
      </c>
      <c r="W798">
        <f>IMPRODUCT(V798,T798)</f>
        <v>0</v>
      </c>
      <c r="X798">
        <f>IMDIV(W798,S798)</f>
        <v>0</v>
      </c>
      <c r="Y798">
        <f>IMPRODUCT(X798,R798)</f>
        <v>0</v>
      </c>
      <c r="Z798">
        <f>IMDIV(Y798,Q798)</f>
        <v>0</v>
      </c>
      <c r="AA798">
        <f>IMPRODUCT(Z798,P798)</f>
        <v>0</v>
      </c>
      <c r="AB798">
        <f>AA798</f>
        <v>0</v>
      </c>
      <c r="AC798">
        <f>IMPRODUCT("-1",AB798)</f>
        <v>0</v>
      </c>
      <c r="AD798">
        <f>IMDIV(IMSUB(AB798,AC798),"2")</f>
        <v>0</v>
      </c>
      <c r="AE798" s="6">
        <f>IMABS(AB798)</f>
        <v>0</v>
      </c>
      <c r="AF798" s="6">
        <f>IMABS(AC798)</f>
        <v>0</v>
      </c>
      <c r="AG798" s="6">
        <f>IMABS(AD798)</f>
        <v>0</v>
      </c>
      <c r="AH798" s="7">
        <f>20*LOG10(MAX(AE798,1E-300)*1E6)</f>
        <v>0</v>
      </c>
      <c r="AI798" s="7">
        <f>20*LOG10(MAX(AF798,1E-300)*1E6)</f>
        <v>0</v>
      </c>
      <c r="AJ798" s="7">
        <f>20*LOG10(MAX(AG798,1E-300)*1E6)</f>
        <v>0</v>
      </c>
      <c r="AK798" s="7">
        <f>DEGREES(IMARGUMENT(AB798))</f>
        <v>0</v>
      </c>
      <c r="AL798" s="7">
        <f>DEGREES(IMARGUMENT(AC798))</f>
        <v>0</v>
      </c>
      <c r="AM798" s="7">
        <f>DEGREES(IMARGUMENT(AD798))</f>
        <v>0</v>
      </c>
    </row>
    <row r="799" spans="1:39">
      <c r="A799" s="6">
        <f>10^(LOG10(F_START)+(ROW()-ROW($A$2))*(LOG10(F_STOP)-LOG10(F_START))/(N_POINTS-1))</f>
        <v>0</v>
      </c>
      <c r="B799" s="6">
        <f>2*PI()*A799</f>
        <v>0</v>
      </c>
      <c r="C799">
        <f>COMPLEX(2*LINE_PS_DCR,2*B799*LINE_PS_L)</f>
        <v>0</v>
      </c>
      <c r="D799">
        <f>IMSUM(COMPLEX(0,B799*(LINE_PS_CLINE+LINE_PS_CCHA/2)),IMDIV("1",IMPRODUCT("2",COMPLEX(C_THROUGH_ESR,B799*C_THROUGH_ESL-1/(B799*C_THROUGH_C)))))</f>
        <v>0</v>
      </c>
      <c r="E799">
        <f>COMPLEX(2*LINE_INPUT_DCR,2*B799*LINE_INPUT_L)</f>
        <v>0</v>
      </c>
      <c r="F799">
        <f>COMPLEX(0,B799*(LINE_INPUT_CLINE+LINE_INPUT_CCHA/2))</f>
        <v>0</v>
      </c>
      <c r="G799">
        <f>IMPRODUCT("2",IMDIV("1",IMSUM(IMDIV("1",COMPLEX(LDM1_DCR,B799*LDM1_L)),COMPLEX(0,B799*LDM1_CPA))))</f>
        <v>0</v>
      </c>
      <c r="H799">
        <f>IMSUM(IMDIV("1",COMPLEX(CX1_ESR,B799*CX1_ESL-1/(B799*CX1_C))),IMDIV("1",IMSUM(COMPLEX(DUMP1_R,0),COMPLEX(DUMP1_ESR,B799*DUMP1_ESL-1/(B799*DUMP1_C)))))</f>
        <v>0</v>
      </c>
      <c r="I799">
        <f>IMPRODUCT("2",IMDIV("1",IMSUM(IMDIV("1",COMPLEX(LDM2_DCR,B799*LDM2_L)),COMPLEX(0,B799*LDM2_CPA))))</f>
        <v>0</v>
      </c>
      <c r="J799">
        <f>IMSUM(IMDIV("1",COMPLEX(CX2_ESR,B799*CX2_ESL-1/(B799*CX2_C))),IMDIV("1",IMSUM(COMPLEX(DUMP2_R,0),COMPLEX(DUMP2_ESR,B799*DUMP2_ESL-1/(B799*DUMP2_C)))))</f>
        <v>0</v>
      </c>
      <c r="K799">
        <f>IMPRODUCT("2",IMDIV("1",IMSUM(IMDIV("1",COMPLEX(CMC_DCR,B799*CMC_L*(1-CMC_K))),COMPLEX(0,B799*CMC_CPA))))</f>
        <v>0</v>
      </c>
      <c r="L799">
        <f>IMSUM(COMPLEX(0,B799*CMC_CLINE),IMDIV("1",IMPRODUCT("2",COMPLEX(CY_ESR,B799*CY_ESL-1/(B799*CY_C)))),COMPLEX(1/DUMMY_R,0))</f>
        <v>0</v>
      </c>
      <c r="M799">
        <f>IMSUM(D799,IMDIV("1",C799))</f>
        <v>0</v>
      </c>
      <c r="N799">
        <f>IMDIV("1",IMSUM(E799,IMDIV("1",M799)))</f>
        <v>0</v>
      </c>
      <c r="O799">
        <f>IMSUM(F799,N799)</f>
        <v>0</v>
      </c>
      <c r="P799">
        <f>IMDIV("1",IMSUM(G799,IMDIV("1",O799)))</f>
        <v>0</v>
      </c>
      <c r="Q799">
        <f>IMSUM(H799,P799)</f>
        <v>0</v>
      </c>
      <c r="R799">
        <f>IMDIV("1",IMSUM(I799,IMDIV("1",Q799)))</f>
        <v>0</v>
      </c>
      <c r="S799">
        <f>IMSUM(J799,R799)</f>
        <v>0</v>
      </c>
      <c r="T799">
        <f>IMDIV("1",IMSUM(K799,IMDIV("1",S799)))</f>
        <v>0</v>
      </c>
      <c r="U799">
        <f>IMSUM(L799,T799)</f>
        <v>0</v>
      </c>
      <c r="V799">
        <f>IMDIV(COMPLEX(I_DM_SOURCE,0),U799)</f>
        <v>0</v>
      </c>
      <c r="W799">
        <f>IMPRODUCT(V799,T799)</f>
        <v>0</v>
      </c>
      <c r="X799">
        <f>IMDIV(W799,S799)</f>
        <v>0</v>
      </c>
      <c r="Y799">
        <f>IMPRODUCT(X799,R799)</f>
        <v>0</v>
      </c>
      <c r="Z799">
        <f>IMDIV(Y799,Q799)</f>
        <v>0</v>
      </c>
      <c r="AA799">
        <f>IMPRODUCT(Z799,P799)</f>
        <v>0</v>
      </c>
      <c r="AB799">
        <f>AA799</f>
        <v>0</v>
      </c>
      <c r="AC799">
        <f>IMPRODUCT("-1",AB799)</f>
        <v>0</v>
      </c>
      <c r="AD799">
        <f>IMDIV(IMSUB(AB799,AC799),"2")</f>
        <v>0</v>
      </c>
      <c r="AE799" s="6">
        <f>IMABS(AB799)</f>
        <v>0</v>
      </c>
      <c r="AF799" s="6">
        <f>IMABS(AC799)</f>
        <v>0</v>
      </c>
      <c r="AG799" s="6">
        <f>IMABS(AD799)</f>
        <v>0</v>
      </c>
      <c r="AH799" s="7">
        <f>20*LOG10(MAX(AE799,1E-300)*1E6)</f>
        <v>0</v>
      </c>
      <c r="AI799" s="7">
        <f>20*LOG10(MAX(AF799,1E-300)*1E6)</f>
        <v>0</v>
      </c>
      <c r="AJ799" s="7">
        <f>20*LOG10(MAX(AG799,1E-300)*1E6)</f>
        <v>0</v>
      </c>
      <c r="AK799" s="7">
        <f>DEGREES(IMARGUMENT(AB799))</f>
        <v>0</v>
      </c>
      <c r="AL799" s="7">
        <f>DEGREES(IMARGUMENT(AC799))</f>
        <v>0</v>
      </c>
      <c r="AM799" s="7">
        <f>DEGREES(IMARGUMENT(AD799))</f>
        <v>0</v>
      </c>
    </row>
    <row r="800" spans="1:39">
      <c r="A800" s="6">
        <f>10^(LOG10(F_START)+(ROW()-ROW($A$2))*(LOG10(F_STOP)-LOG10(F_START))/(N_POINTS-1))</f>
        <v>0</v>
      </c>
      <c r="B800" s="6">
        <f>2*PI()*A800</f>
        <v>0</v>
      </c>
      <c r="C800">
        <f>COMPLEX(2*LINE_PS_DCR,2*B800*LINE_PS_L)</f>
        <v>0</v>
      </c>
      <c r="D800">
        <f>IMSUM(COMPLEX(0,B800*(LINE_PS_CLINE+LINE_PS_CCHA/2)),IMDIV("1",IMPRODUCT("2",COMPLEX(C_THROUGH_ESR,B800*C_THROUGH_ESL-1/(B800*C_THROUGH_C)))))</f>
        <v>0</v>
      </c>
      <c r="E800">
        <f>COMPLEX(2*LINE_INPUT_DCR,2*B800*LINE_INPUT_L)</f>
        <v>0</v>
      </c>
      <c r="F800">
        <f>COMPLEX(0,B800*(LINE_INPUT_CLINE+LINE_INPUT_CCHA/2))</f>
        <v>0</v>
      </c>
      <c r="G800">
        <f>IMPRODUCT("2",IMDIV("1",IMSUM(IMDIV("1",COMPLEX(LDM1_DCR,B800*LDM1_L)),COMPLEX(0,B800*LDM1_CPA))))</f>
        <v>0</v>
      </c>
      <c r="H800">
        <f>IMSUM(IMDIV("1",COMPLEX(CX1_ESR,B800*CX1_ESL-1/(B800*CX1_C))),IMDIV("1",IMSUM(COMPLEX(DUMP1_R,0),COMPLEX(DUMP1_ESR,B800*DUMP1_ESL-1/(B800*DUMP1_C)))))</f>
        <v>0</v>
      </c>
      <c r="I800">
        <f>IMPRODUCT("2",IMDIV("1",IMSUM(IMDIV("1",COMPLEX(LDM2_DCR,B800*LDM2_L)),COMPLEX(0,B800*LDM2_CPA))))</f>
        <v>0</v>
      </c>
      <c r="J800">
        <f>IMSUM(IMDIV("1",COMPLEX(CX2_ESR,B800*CX2_ESL-1/(B800*CX2_C))),IMDIV("1",IMSUM(COMPLEX(DUMP2_R,0),COMPLEX(DUMP2_ESR,B800*DUMP2_ESL-1/(B800*DUMP2_C)))))</f>
        <v>0</v>
      </c>
      <c r="K800">
        <f>IMPRODUCT("2",IMDIV("1",IMSUM(IMDIV("1",COMPLEX(CMC_DCR,B800*CMC_L*(1-CMC_K))),COMPLEX(0,B800*CMC_CPA))))</f>
        <v>0</v>
      </c>
      <c r="L800">
        <f>IMSUM(COMPLEX(0,B800*CMC_CLINE),IMDIV("1",IMPRODUCT("2",COMPLEX(CY_ESR,B800*CY_ESL-1/(B800*CY_C)))),COMPLEX(1/DUMMY_R,0))</f>
        <v>0</v>
      </c>
      <c r="M800">
        <f>IMSUM(D800,IMDIV("1",C800))</f>
        <v>0</v>
      </c>
      <c r="N800">
        <f>IMDIV("1",IMSUM(E800,IMDIV("1",M800)))</f>
        <v>0</v>
      </c>
      <c r="O800">
        <f>IMSUM(F800,N800)</f>
        <v>0</v>
      </c>
      <c r="P800">
        <f>IMDIV("1",IMSUM(G800,IMDIV("1",O800)))</f>
        <v>0</v>
      </c>
      <c r="Q800">
        <f>IMSUM(H800,P800)</f>
        <v>0</v>
      </c>
      <c r="R800">
        <f>IMDIV("1",IMSUM(I800,IMDIV("1",Q800)))</f>
        <v>0</v>
      </c>
      <c r="S800">
        <f>IMSUM(J800,R800)</f>
        <v>0</v>
      </c>
      <c r="T800">
        <f>IMDIV("1",IMSUM(K800,IMDIV("1",S800)))</f>
        <v>0</v>
      </c>
      <c r="U800">
        <f>IMSUM(L800,T800)</f>
        <v>0</v>
      </c>
      <c r="V800">
        <f>IMDIV(COMPLEX(I_DM_SOURCE,0),U800)</f>
        <v>0</v>
      </c>
      <c r="W800">
        <f>IMPRODUCT(V800,T800)</f>
        <v>0</v>
      </c>
      <c r="X800">
        <f>IMDIV(W800,S800)</f>
        <v>0</v>
      </c>
      <c r="Y800">
        <f>IMPRODUCT(X800,R800)</f>
        <v>0</v>
      </c>
      <c r="Z800">
        <f>IMDIV(Y800,Q800)</f>
        <v>0</v>
      </c>
      <c r="AA800">
        <f>IMPRODUCT(Z800,P800)</f>
        <v>0</v>
      </c>
      <c r="AB800">
        <f>AA800</f>
        <v>0</v>
      </c>
      <c r="AC800">
        <f>IMPRODUCT("-1",AB800)</f>
        <v>0</v>
      </c>
      <c r="AD800">
        <f>IMDIV(IMSUB(AB800,AC800),"2")</f>
        <v>0</v>
      </c>
      <c r="AE800" s="6">
        <f>IMABS(AB800)</f>
        <v>0</v>
      </c>
      <c r="AF800" s="6">
        <f>IMABS(AC800)</f>
        <v>0</v>
      </c>
      <c r="AG800" s="6">
        <f>IMABS(AD800)</f>
        <v>0</v>
      </c>
      <c r="AH800" s="7">
        <f>20*LOG10(MAX(AE800,1E-300)*1E6)</f>
        <v>0</v>
      </c>
      <c r="AI800" s="7">
        <f>20*LOG10(MAX(AF800,1E-300)*1E6)</f>
        <v>0</v>
      </c>
      <c r="AJ800" s="7">
        <f>20*LOG10(MAX(AG800,1E-300)*1E6)</f>
        <v>0</v>
      </c>
      <c r="AK800" s="7">
        <f>DEGREES(IMARGUMENT(AB800))</f>
        <v>0</v>
      </c>
      <c r="AL800" s="7">
        <f>DEGREES(IMARGUMENT(AC800))</f>
        <v>0</v>
      </c>
      <c r="AM800" s="7">
        <f>DEGREES(IMARGUMENT(AD800))</f>
        <v>0</v>
      </c>
    </row>
    <row r="801" spans="1:39">
      <c r="A801" s="6">
        <f>10^(LOG10(F_START)+(ROW()-ROW($A$2))*(LOG10(F_STOP)-LOG10(F_START))/(N_POINTS-1))</f>
        <v>0</v>
      </c>
      <c r="B801" s="6">
        <f>2*PI()*A801</f>
        <v>0</v>
      </c>
      <c r="C801">
        <f>COMPLEX(2*LINE_PS_DCR,2*B801*LINE_PS_L)</f>
        <v>0</v>
      </c>
      <c r="D801">
        <f>IMSUM(COMPLEX(0,B801*(LINE_PS_CLINE+LINE_PS_CCHA/2)),IMDIV("1",IMPRODUCT("2",COMPLEX(C_THROUGH_ESR,B801*C_THROUGH_ESL-1/(B801*C_THROUGH_C)))))</f>
        <v>0</v>
      </c>
      <c r="E801">
        <f>COMPLEX(2*LINE_INPUT_DCR,2*B801*LINE_INPUT_L)</f>
        <v>0</v>
      </c>
      <c r="F801">
        <f>COMPLEX(0,B801*(LINE_INPUT_CLINE+LINE_INPUT_CCHA/2))</f>
        <v>0</v>
      </c>
      <c r="G801">
        <f>IMPRODUCT("2",IMDIV("1",IMSUM(IMDIV("1",COMPLEX(LDM1_DCR,B801*LDM1_L)),COMPLEX(0,B801*LDM1_CPA))))</f>
        <v>0</v>
      </c>
      <c r="H801">
        <f>IMSUM(IMDIV("1",COMPLEX(CX1_ESR,B801*CX1_ESL-1/(B801*CX1_C))),IMDIV("1",IMSUM(COMPLEX(DUMP1_R,0),COMPLEX(DUMP1_ESR,B801*DUMP1_ESL-1/(B801*DUMP1_C)))))</f>
        <v>0</v>
      </c>
      <c r="I801">
        <f>IMPRODUCT("2",IMDIV("1",IMSUM(IMDIV("1",COMPLEX(LDM2_DCR,B801*LDM2_L)),COMPLEX(0,B801*LDM2_CPA))))</f>
        <v>0</v>
      </c>
      <c r="J801">
        <f>IMSUM(IMDIV("1",COMPLEX(CX2_ESR,B801*CX2_ESL-1/(B801*CX2_C))),IMDIV("1",IMSUM(COMPLEX(DUMP2_R,0),COMPLEX(DUMP2_ESR,B801*DUMP2_ESL-1/(B801*DUMP2_C)))))</f>
        <v>0</v>
      </c>
      <c r="K801">
        <f>IMPRODUCT("2",IMDIV("1",IMSUM(IMDIV("1",COMPLEX(CMC_DCR,B801*CMC_L*(1-CMC_K))),COMPLEX(0,B801*CMC_CPA))))</f>
        <v>0</v>
      </c>
      <c r="L801">
        <f>IMSUM(COMPLEX(0,B801*CMC_CLINE),IMDIV("1",IMPRODUCT("2",COMPLEX(CY_ESR,B801*CY_ESL-1/(B801*CY_C)))),COMPLEX(1/DUMMY_R,0))</f>
        <v>0</v>
      </c>
      <c r="M801">
        <f>IMSUM(D801,IMDIV("1",C801))</f>
        <v>0</v>
      </c>
      <c r="N801">
        <f>IMDIV("1",IMSUM(E801,IMDIV("1",M801)))</f>
        <v>0</v>
      </c>
      <c r="O801">
        <f>IMSUM(F801,N801)</f>
        <v>0</v>
      </c>
      <c r="P801">
        <f>IMDIV("1",IMSUM(G801,IMDIV("1",O801)))</f>
        <v>0</v>
      </c>
      <c r="Q801">
        <f>IMSUM(H801,P801)</f>
        <v>0</v>
      </c>
      <c r="R801">
        <f>IMDIV("1",IMSUM(I801,IMDIV("1",Q801)))</f>
        <v>0</v>
      </c>
      <c r="S801">
        <f>IMSUM(J801,R801)</f>
        <v>0</v>
      </c>
      <c r="T801">
        <f>IMDIV("1",IMSUM(K801,IMDIV("1",S801)))</f>
        <v>0</v>
      </c>
      <c r="U801">
        <f>IMSUM(L801,T801)</f>
        <v>0</v>
      </c>
      <c r="V801">
        <f>IMDIV(COMPLEX(I_DM_SOURCE,0),U801)</f>
        <v>0</v>
      </c>
      <c r="W801">
        <f>IMPRODUCT(V801,T801)</f>
        <v>0</v>
      </c>
      <c r="X801">
        <f>IMDIV(W801,S801)</f>
        <v>0</v>
      </c>
      <c r="Y801">
        <f>IMPRODUCT(X801,R801)</f>
        <v>0</v>
      </c>
      <c r="Z801">
        <f>IMDIV(Y801,Q801)</f>
        <v>0</v>
      </c>
      <c r="AA801">
        <f>IMPRODUCT(Z801,P801)</f>
        <v>0</v>
      </c>
      <c r="AB801">
        <f>AA801</f>
        <v>0</v>
      </c>
      <c r="AC801">
        <f>IMPRODUCT("-1",AB801)</f>
        <v>0</v>
      </c>
      <c r="AD801">
        <f>IMDIV(IMSUB(AB801,AC801),"2")</f>
        <v>0</v>
      </c>
      <c r="AE801" s="6">
        <f>IMABS(AB801)</f>
        <v>0</v>
      </c>
      <c r="AF801" s="6">
        <f>IMABS(AC801)</f>
        <v>0</v>
      </c>
      <c r="AG801" s="6">
        <f>IMABS(AD801)</f>
        <v>0</v>
      </c>
      <c r="AH801" s="7">
        <f>20*LOG10(MAX(AE801,1E-300)*1E6)</f>
        <v>0</v>
      </c>
      <c r="AI801" s="7">
        <f>20*LOG10(MAX(AF801,1E-300)*1E6)</f>
        <v>0</v>
      </c>
      <c r="AJ801" s="7">
        <f>20*LOG10(MAX(AG801,1E-300)*1E6)</f>
        <v>0</v>
      </c>
      <c r="AK801" s="7">
        <f>DEGREES(IMARGUMENT(AB801))</f>
        <v>0</v>
      </c>
      <c r="AL801" s="7">
        <f>DEGREES(IMARGUMENT(AC801))</f>
        <v>0</v>
      </c>
      <c r="AM801" s="7">
        <f>DEGREES(IMARGUMENT(AD801))</f>
        <v>0</v>
      </c>
    </row>
    <row r="802" spans="1:39">
      <c r="A802" s="6">
        <f>10^(LOG10(F_START)+(ROW()-ROW($A$2))*(LOG10(F_STOP)-LOG10(F_START))/(N_POINTS-1))</f>
        <v>0</v>
      </c>
      <c r="B802" s="6">
        <f>2*PI()*A802</f>
        <v>0</v>
      </c>
      <c r="C802">
        <f>COMPLEX(2*LINE_PS_DCR,2*B802*LINE_PS_L)</f>
        <v>0</v>
      </c>
      <c r="D802">
        <f>IMSUM(COMPLEX(0,B802*(LINE_PS_CLINE+LINE_PS_CCHA/2)),IMDIV("1",IMPRODUCT("2",COMPLEX(C_THROUGH_ESR,B802*C_THROUGH_ESL-1/(B802*C_THROUGH_C)))))</f>
        <v>0</v>
      </c>
      <c r="E802">
        <f>COMPLEX(2*LINE_INPUT_DCR,2*B802*LINE_INPUT_L)</f>
        <v>0</v>
      </c>
      <c r="F802">
        <f>COMPLEX(0,B802*(LINE_INPUT_CLINE+LINE_INPUT_CCHA/2))</f>
        <v>0</v>
      </c>
      <c r="G802">
        <f>IMPRODUCT("2",IMDIV("1",IMSUM(IMDIV("1",COMPLEX(LDM1_DCR,B802*LDM1_L)),COMPLEX(0,B802*LDM1_CPA))))</f>
        <v>0</v>
      </c>
      <c r="H802">
        <f>IMSUM(IMDIV("1",COMPLEX(CX1_ESR,B802*CX1_ESL-1/(B802*CX1_C))),IMDIV("1",IMSUM(COMPLEX(DUMP1_R,0),COMPLEX(DUMP1_ESR,B802*DUMP1_ESL-1/(B802*DUMP1_C)))))</f>
        <v>0</v>
      </c>
      <c r="I802">
        <f>IMPRODUCT("2",IMDIV("1",IMSUM(IMDIV("1",COMPLEX(LDM2_DCR,B802*LDM2_L)),COMPLEX(0,B802*LDM2_CPA))))</f>
        <v>0</v>
      </c>
      <c r="J802">
        <f>IMSUM(IMDIV("1",COMPLEX(CX2_ESR,B802*CX2_ESL-1/(B802*CX2_C))),IMDIV("1",IMSUM(COMPLEX(DUMP2_R,0),COMPLEX(DUMP2_ESR,B802*DUMP2_ESL-1/(B802*DUMP2_C)))))</f>
        <v>0</v>
      </c>
      <c r="K802">
        <f>IMPRODUCT("2",IMDIV("1",IMSUM(IMDIV("1",COMPLEX(CMC_DCR,B802*CMC_L*(1-CMC_K))),COMPLEX(0,B802*CMC_CPA))))</f>
        <v>0</v>
      </c>
      <c r="L802">
        <f>IMSUM(COMPLEX(0,B802*CMC_CLINE),IMDIV("1",IMPRODUCT("2",COMPLEX(CY_ESR,B802*CY_ESL-1/(B802*CY_C)))),COMPLEX(1/DUMMY_R,0))</f>
        <v>0</v>
      </c>
      <c r="M802">
        <f>IMSUM(D802,IMDIV("1",C802))</f>
        <v>0</v>
      </c>
      <c r="N802">
        <f>IMDIV("1",IMSUM(E802,IMDIV("1",M802)))</f>
        <v>0</v>
      </c>
      <c r="O802">
        <f>IMSUM(F802,N802)</f>
        <v>0</v>
      </c>
      <c r="P802">
        <f>IMDIV("1",IMSUM(G802,IMDIV("1",O802)))</f>
        <v>0</v>
      </c>
      <c r="Q802">
        <f>IMSUM(H802,P802)</f>
        <v>0</v>
      </c>
      <c r="R802">
        <f>IMDIV("1",IMSUM(I802,IMDIV("1",Q802)))</f>
        <v>0</v>
      </c>
      <c r="S802">
        <f>IMSUM(J802,R802)</f>
        <v>0</v>
      </c>
      <c r="T802">
        <f>IMDIV("1",IMSUM(K802,IMDIV("1",S802)))</f>
        <v>0</v>
      </c>
      <c r="U802">
        <f>IMSUM(L802,T802)</f>
        <v>0</v>
      </c>
      <c r="V802">
        <f>IMDIV(COMPLEX(I_DM_SOURCE,0),U802)</f>
        <v>0</v>
      </c>
      <c r="W802">
        <f>IMPRODUCT(V802,T802)</f>
        <v>0</v>
      </c>
      <c r="X802">
        <f>IMDIV(W802,S802)</f>
        <v>0</v>
      </c>
      <c r="Y802">
        <f>IMPRODUCT(X802,R802)</f>
        <v>0</v>
      </c>
      <c r="Z802">
        <f>IMDIV(Y802,Q802)</f>
        <v>0</v>
      </c>
      <c r="AA802">
        <f>IMPRODUCT(Z802,P802)</f>
        <v>0</v>
      </c>
      <c r="AB802">
        <f>AA802</f>
        <v>0</v>
      </c>
      <c r="AC802">
        <f>IMPRODUCT("-1",AB802)</f>
        <v>0</v>
      </c>
      <c r="AD802">
        <f>IMDIV(IMSUB(AB802,AC802),"2")</f>
        <v>0</v>
      </c>
      <c r="AE802" s="6">
        <f>IMABS(AB802)</f>
        <v>0</v>
      </c>
      <c r="AF802" s="6">
        <f>IMABS(AC802)</f>
        <v>0</v>
      </c>
      <c r="AG802" s="6">
        <f>IMABS(AD802)</f>
        <v>0</v>
      </c>
      <c r="AH802" s="7">
        <f>20*LOG10(MAX(AE802,1E-300)*1E6)</f>
        <v>0</v>
      </c>
      <c r="AI802" s="7">
        <f>20*LOG10(MAX(AF802,1E-300)*1E6)</f>
        <v>0</v>
      </c>
      <c r="AJ802" s="7">
        <f>20*LOG10(MAX(AG802,1E-300)*1E6)</f>
        <v>0</v>
      </c>
      <c r="AK802" s="7">
        <f>DEGREES(IMARGUMENT(AB802))</f>
        <v>0</v>
      </c>
      <c r="AL802" s="7">
        <f>DEGREES(IMARGUMENT(AC802))</f>
        <v>0</v>
      </c>
      <c r="AM802" s="7">
        <f>DEGREES(IMARGUMENT(AD802))</f>
        <v>0</v>
      </c>
    </row>
    <row r="803" spans="1:39">
      <c r="A803" s="6">
        <f>10^(LOG10(F_START)+(ROW()-ROW($A$2))*(LOG10(F_STOP)-LOG10(F_START))/(N_POINTS-1))</f>
        <v>0</v>
      </c>
      <c r="B803" s="6">
        <f>2*PI()*A803</f>
        <v>0</v>
      </c>
      <c r="C803">
        <f>COMPLEX(2*LINE_PS_DCR,2*B803*LINE_PS_L)</f>
        <v>0</v>
      </c>
      <c r="D803">
        <f>IMSUM(COMPLEX(0,B803*(LINE_PS_CLINE+LINE_PS_CCHA/2)),IMDIV("1",IMPRODUCT("2",COMPLEX(C_THROUGH_ESR,B803*C_THROUGH_ESL-1/(B803*C_THROUGH_C)))))</f>
        <v>0</v>
      </c>
      <c r="E803">
        <f>COMPLEX(2*LINE_INPUT_DCR,2*B803*LINE_INPUT_L)</f>
        <v>0</v>
      </c>
      <c r="F803">
        <f>COMPLEX(0,B803*(LINE_INPUT_CLINE+LINE_INPUT_CCHA/2))</f>
        <v>0</v>
      </c>
      <c r="G803">
        <f>IMPRODUCT("2",IMDIV("1",IMSUM(IMDIV("1",COMPLEX(LDM1_DCR,B803*LDM1_L)),COMPLEX(0,B803*LDM1_CPA))))</f>
        <v>0</v>
      </c>
      <c r="H803">
        <f>IMSUM(IMDIV("1",COMPLEX(CX1_ESR,B803*CX1_ESL-1/(B803*CX1_C))),IMDIV("1",IMSUM(COMPLEX(DUMP1_R,0),COMPLEX(DUMP1_ESR,B803*DUMP1_ESL-1/(B803*DUMP1_C)))))</f>
        <v>0</v>
      </c>
      <c r="I803">
        <f>IMPRODUCT("2",IMDIV("1",IMSUM(IMDIV("1",COMPLEX(LDM2_DCR,B803*LDM2_L)),COMPLEX(0,B803*LDM2_CPA))))</f>
        <v>0</v>
      </c>
      <c r="J803">
        <f>IMSUM(IMDIV("1",COMPLEX(CX2_ESR,B803*CX2_ESL-1/(B803*CX2_C))),IMDIV("1",IMSUM(COMPLEX(DUMP2_R,0),COMPLEX(DUMP2_ESR,B803*DUMP2_ESL-1/(B803*DUMP2_C)))))</f>
        <v>0</v>
      </c>
      <c r="K803">
        <f>IMPRODUCT("2",IMDIV("1",IMSUM(IMDIV("1",COMPLEX(CMC_DCR,B803*CMC_L*(1-CMC_K))),COMPLEX(0,B803*CMC_CPA))))</f>
        <v>0</v>
      </c>
      <c r="L803">
        <f>IMSUM(COMPLEX(0,B803*CMC_CLINE),IMDIV("1",IMPRODUCT("2",COMPLEX(CY_ESR,B803*CY_ESL-1/(B803*CY_C)))),COMPLEX(1/DUMMY_R,0))</f>
        <v>0</v>
      </c>
      <c r="M803">
        <f>IMSUM(D803,IMDIV("1",C803))</f>
        <v>0</v>
      </c>
      <c r="N803">
        <f>IMDIV("1",IMSUM(E803,IMDIV("1",M803)))</f>
        <v>0</v>
      </c>
      <c r="O803">
        <f>IMSUM(F803,N803)</f>
        <v>0</v>
      </c>
      <c r="P803">
        <f>IMDIV("1",IMSUM(G803,IMDIV("1",O803)))</f>
        <v>0</v>
      </c>
      <c r="Q803">
        <f>IMSUM(H803,P803)</f>
        <v>0</v>
      </c>
      <c r="R803">
        <f>IMDIV("1",IMSUM(I803,IMDIV("1",Q803)))</f>
        <v>0</v>
      </c>
      <c r="S803">
        <f>IMSUM(J803,R803)</f>
        <v>0</v>
      </c>
      <c r="T803">
        <f>IMDIV("1",IMSUM(K803,IMDIV("1",S803)))</f>
        <v>0</v>
      </c>
      <c r="U803">
        <f>IMSUM(L803,T803)</f>
        <v>0</v>
      </c>
      <c r="V803">
        <f>IMDIV(COMPLEX(I_DM_SOURCE,0),U803)</f>
        <v>0</v>
      </c>
      <c r="W803">
        <f>IMPRODUCT(V803,T803)</f>
        <v>0</v>
      </c>
      <c r="X803">
        <f>IMDIV(W803,S803)</f>
        <v>0</v>
      </c>
      <c r="Y803">
        <f>IMPRODUCT(X803,R803)</f>
        <v>0</v>
      </c>
      <c r="Z803">
        <f>IMDIV(Y803,Q803)</f>
        <v>0</v>
      </c>
      <c r="AA803">
        <f>IMPRODUCT(Z803,P803)</f>
        <v>0</v>
      </c>
      <c r="AB803">
        <f>AA803</f>
        <v>0</v>
      </c>
      <c r="AC803">
        <f>IMPRODUCT("-1",AB803)</f>
        <v>0</v>
      </c>
      <c r="AD803">
        <f>IMDIV(IMSUB(AB803,AC803),"2")</f>
        <v>0</v>
      </c>
      <c r="AE803" s="6">
        <f>IMABS(AB803)</f>
        <v>0</v>
      </c>
      <c r="AF803" s="6">
        <f>IMABS(AC803)</f>
        <v>0</v>
      </c>
      <c r="AG803" s="6">
        <f>IMABS(AD803)</f>
        <v>0</v>
      </c>
      <c r="AH803" s="7">
        <f>20*LOG10(MAX(AE803,1E-300)*1E6)</f>
        <v>0</v>
      </c>
      <c r="AI803" s="7">
        <f>20*LOG10(MAX(AF803,1E-300)*1E6)</f>
        <v>0</v>
      </c>
      <c r="AJ803" s="7">
        <f>20*LOG10(MAX(AG803,1E-300)*1E6)</f>
        <v>0</v>
      </c>
      <c r="AK803" s="7">
        <f>DEGREES(IMARGUMENT(AB803))</f>
        <v>0</v>
      </c>
      <c r="AL803" s="7">
        <f>DEGREES(IMARGUMENT(AC803))</f>
        <v>0</v>
      </c>
      <c r="AM803" s="7">
        <f>DEGREES(IMARGUMENT(AD803))</f>
        <v>0</v>
      </c>
    </row>
    <row r="804" spans="1:39">
      <c r="A804" s="6">
        <f>10^(LOG10(F_START)+(ROW()-ROW($A$2))*(LOG10(F_STOP)-LOG10(F_START))/(N_POINTS-1))</f>
        <v>0</v>
      </c>
      <c r="B804" s="6">
        <f>2*PI()*A804</f>
        <v>0</v>
      </c>
      <c r="C804">
        <f>COMPLEX(2*LINE_PS_DCR,2*B804*LINE_PS_L)</f>
        <v>0</v>
      </c>
      <c r="D804">
        <f>IMSUM(COMPLEX(0,B804*(LINE_PS_CLINE+LINE_PS_CCHA/2)),IMDIV("1",IMPRODUCT("2",COMPLEX(C_THROUGH_ESR,B804*C_THROUGH_ESL-1/(B804*C_THROUGH_C)))))</f>
        <v>0</v>
      </c>
      <c r="E804">
        <f>COMPLEX(2*LINE_INPUT_DCR,2*B804*LINE_INPUT_L)</f>
        <v>0</v>
      </c>
      <c r="F804">
        <f>COMPLEX(0,B804*(LINE_INPUT_CLINE+LINE_INPUT_CCHA/2))</f>
        <v>0</v>
      </c>
      <c r="G804">
        <f>IMPRODUCT("2",IMDIV("1",IMSUM(IMDIV("1",COMPLEX(LDM1_DCR,B804*LDM1_L)),COMPLEX(0,B804*LDM1_CPA))))</f>
        <v>0</v>
      </c>
      <c r="H804">
        <f>IMSUM(IMDIV("1",COMPLEX(CX1_ESR,B804*CX1_ESL-1/(B804*CX1_C))),IMDIV("1",IMSUM(COMPLEX(DUMP1_R,0),COMPLEX(DUMP1_ESR,B804*DUMP1_ESL-1/(B804*DUMP1_C)))))</f>
        <v>0</v>
      </c>
      <c r="I804">
        <f>IMPRODUCT("2",IMDIV("1",IMSUM(IMDIV("1",COMPLEX(LDM2_DCR,B804*LDM2_L)),COMPLEX(0,B804*LDM2_CPA))))</f>
        <v>0</v>
      </c>
      <c r="J804">
        <f>IMSUM(IMDIV("1",COMPLEX(CX2_ESR,B804*CX2_ESL-1/(B804*CX2_C))),IMDIV("1",IMSUM(COMPLEX(DUMP2_R,0),COMPLEX(DUMP2_ESR,B804*DUMP2_ESL-1/(B804*DUMP2_C)))))</f>
        <v>0</v>
      </c>
      <c r="K804">
        <f>IMPRODUCT("2",IMDIV("1",IMSUM(IMDIV("1",COMPLEX(CMC_DCR,B804*CMC_L*(1-CMC_K))),COMPLEX(0,B804*CMC_CPA))))</f>
        <v>0</v>
      </c>
      <c r="L804">
        <f>IMSUM(COMPLEX(0,B804*CMC_CLINE),IMDIV("1",IMPRODUCT("2",COMPLEX(CY_ESR,B804*CY_ESL-1/(B804*CY_C)))),COMPLEX(1/DUMMY_R,0))</f>
        <v>0</v>
      </c>
      <c r="M804">
        <f>IMSUM(D804,IMDIV("1",C804))</f>
        <v>0</v>
      </c>
      <c r="N804">
        <f>IMDIV("1",IMSUM(E804,IMDIV("1",M804)))</f>
        <v>0</v>
      </c>
      <c r="O804">
        <f>IMSUM(F804,N804)</f>
        <v>0</v>
      </c>
      <c r="P804">
        <f>IMDIV("1",IMSUM(G804,IMDIV("1",O804)))</f>
        <v>0</v>
      </c>
      <c r="Q804">
        <f>IMSUM(H804,P804)</f>
        <v>0</v>
      </c>
      <c r="R804">
        <f>IMDIV("1",IMSUM(I804,IMDIV("1",Q804)))</f>
        <v>0</v>
      </c>
      <c r="S804">
        <f>IMSUM(J804,R804)</f>
        <v>0</v>
      </c>
      <c r="T804">
        <f>IMDIV("1",IMSUM(K804,IMDIV("1",S804)))</f>
        <v>0</v>
      </c>
      <c r="U804">
        <f>IMSUM(L804,T804)</f>
        <v>0</v>
      </c>
      <c r="V804">
        <f>IMDIV(COMPLEX(I_DM_SOURCE,0),U804)</f>
        <v>0</v>
      </c>
      <c r="W804">
        <f>IMPRODUCT(V804,T804)</f>
        <v>0</v>
      </c>
      <c r="X804">
        <f>IMDIV(W804,S804)</f>
        <v>0</v>
      </c>
      <c r="Y804">
        <f>IMPRODUCT(X804,R804)</f>
        <v>0</v>
      </c>
      <c r="Z804">
        <f>IMDIV(Y804,Q804)</f>
        <v>0</v>
      </c>
      <c r="AA804">
        <f>IMPRODUCT(Z804,P804)</f>
        <v>0</v>
      </c>
      <c r="AB804">
        <f>AA804</f>
        <v>0</v>
      </c>
      <c r="AC804">
        <f>IMPRODUCT("-1",AB804)</f>
        <v>0</v>
      </c>
      <c r="AD804">
        <f>IMDIV(IMSUB(AB804,AC804),"2")</f>
        <v>0</v>
      </c>
      <c r="AE804" s="6">
        <f>IMABS(AB804)</f>
        <v>0</v>
      </c>
      <c r="AF804" s="6">
        <f>IMABS(AC804)</f>
        <v>0</v>
      </c>
      <c r="AG804" s="6">
        <f>IMABS(AD804)</f>
        <v>0</v>
      </c>
      <c r="AH804" s="7">
        <f>20*LOG10(MAX(AE804,1E-300)*1E6)</f>
        <v>0</v>
      </c>
      <c r="AI804" s="7">
        <f>20*LOG10(MAX(AF804,1E-300)*1E6)</f>
        <v>0</v>
      </c>
      <c r="AJ804" s="7">
        <f>20*LOG10(MAX(AG804,1E-300)*1E6)</f>
        <v>0</v>
      </c>
      <c r="AK804" s="7">
        <f>DEGREES(IMARGUMENT(AB804))</f>
        <v>0</v>
      </c>
      <c r="AL804" s="7">
        <f>DEGREES(IMARGUMENT(AC804))</f>
        <v>0</v>
      </c>
      <c r="AM804" s="7">
        <f>DEGREES(IMARGUMENT(AD804))</f>
        <v>0</v>
      </c>
    </row>
    <row r="805" spans="1:39">
      <c r="A805" s="6">
        <f>10^(LOG10(F_START)+(ROW()-ROW($A$2))*(LOG10(F_STOP)-LOG10(F_START))/(N_POINTS-1))</f>
        <v>0</v>
      </c>
      <c r="B805" s="6">
        <f>2*PI()*A805</f>
        <v>0</v>
      </c>
      <c r="C805">
        <f>COMPLEX(2*LINE_PS_DCR,2*B805*LINE_PS_L)</f>
        <v>0</v>
      </c>
      <c r="D805">
        <f>IMSUM(COMPLEX(0,B805*(LINE_PS_CLINE+LINE_PS_CCHA/2)),IMDIV("1",IMPRODUCT("2",COMPLEX(C_THROUGH_ESR,B805*C_THROUGH_ESL-1/(B805*C_THROUGH_C)))))</f>
        <v>0</v>
      </c>
      <c r="E805">
        <f>COMPLEX(2*LINE_INPUT_DCR,2*B805*LINE_INPUT_L)</f>
        <v>0</v>
      </c>
      <c r="F805">
        <f>COMPLEX(0,B805*(LINE_INPUT_CLINE+LINE_INPUT_CCHA/2))</f>
        <v>0</v>
      </c>
      <c r="G805">
        <f>IMPRODUCT("2",IMDIV("1",IMSUM(IMDIV("1",COMPLEX(LDM1_DCR,B805*LDM1_L)),COMPLEX(0,B805*LDM1_CPA))))</f>
        <v>0</v>
      </c>
      <c r="H805">
        <f>IMSUM(IMDIV("1",COMPLEX(CX1_ESR,B805*CX1_ESL-1/(B805*CX1_C))),IMDIV("1",IMSUM(COMPLEX(DUMP1_R,0),COMPLEX(DUMP1_ESR,B805*DUMP1_ESL-1/(B805*DUMP1_C)))))</f>
        <v>0</v>
      </c>
      <c r="I805">
        <f>IMPRODUCT("2",IMDIV("1",IMSUM(IMDIV("1",COMPLEX(LDM2_DCR,B805*LDM2_L)),COMPLEX(0,B805*LDM2_CPA))))</f>
        <v>0</v>
      </c>
      <c r="J805">
        <f>IMSUM(IMDIV("1",COMPLEX(CX2_ESR,B805*CX2_ESL-1/(B805*CX2_C))),IMDIV("1",IMSUM(COMPLEX(DUMP2_R,0),COMPLEX(DUMP2_ESR,B805*DUMP2_ESL-1/(B805*DUMP2_C)))))</f>
        <v>0</v>
      </c>
      <c r="K805">
        <f>IMPRODUCT("2",IMDIV("1",IMSUM(IMDIV("1",COMPLEX(CMC_DCR,B805*CMC_L*(1-CMC_K))),COMPLEX(0,B805*CMC_CPA))))</f>
        <v>0</v>
      </c>
      <c r="L805">
        <f>IMSUM(COMPLEX(0,B805*CMC_CLINE),IMDIV("1",IMPRODUCT("2",COMPLEX(CY_ESR,B805*CY_ESL-1/(B805*CY_C)))),COMPLEX(1/DUMMY_R,0))</f>
        <v>0</v>
      </c>
      <c r="M805">
        <f>IMSUM(D805,IMDIV("1",C805))</f>
        <v>0</v>
      </c>
      <c r="N805">
        <f>IMDIV("1",IMSUM(E805,IMDIV("1",M805)))</f>
        <v>0</v>
      </c>
      <c r="O805">
        <f>IMSUM(F805,N805)</f>
        <v>0</v>
      </c>
      <c r="P805">
        <f>IMDIV("1",IMSUM(G805,IMDIV("1",O805)))</f>
        <v>0</v>
      </c>
      <c r="Q805">
        <f>IMSUM(H805,P805)</f>
        <v>0</v>
      </c>
      <c r="R805">
        <f>IMDIV("1",IMSUM(I805,IMDIV("1",Q805)))</f>
        <v>0</v>
      </c>
      <c r="S805">
        <f>IMSUM(J805,R805)</f>
        <v>0</v>
      </c>
      <c r="T805">
        <f>IMDIV("1",IMSUM(K805,IMDIV("1",S805)))</f>
        <v>0</v>
      </c>
      <c r="U805">
        <f>IMSUM(L805,T805)</f>
        <v>0</v>
      </c>
      <c r="V805">
        <f>IMDIV(COMPLEX(I_DM_SOURCE,0),U805)</f>
        <v>0</v>
      </c>
      <c r="W805">
        <f>IMPRODUCT(V805,T805)</f>
        <v>0</v>
      </c>
      <c r="X805">
        <f>IMDIV(W805,S805)</f>
        <v>0</v>
      </c>
      <c r="Y805">
        <f>IMPRODUCT(X805,R805)</f>
        <v>0</v>
      </c>
      <c r="Z805">
        <f>IMDIV(Y805,Q805)</f>
        <v>0</v>
      </c>
      <c r="AA805">
        <f>IMPRODUCT(Z805,P805)</f>
        <v>0</v>
      </c>
      <c r="AB805">
        <f>AA805</f>
        <v>0</v>
      </c>
      <c r="AC805">
        <f>IMPRODUCT("-1",AB805)</f>
        <v>0</v>
      </c>
      <c r="AD805">
        <f>IMDIV(IMSUB(AB805,AC805),"2")</f>
        <v>0</v>
      </c>
      <c r="AE805" s="6">
        <f>IMABS(AB805)</f>
        <v>0</v>
      </c>
      <c r="AF805" s="6">
        <f>IMABS(AC805)</f>
        <v>0</v>
      </c>
      <c r="AG805" s="6">
        <f>IMABS(AD805)</f>
        <v>0</v>
      </c>
      <c r="AH805" s="7">
        <f>20*LOG10(MAX(AE805,1E-300)*1E6)</f>
        <v>0</v>
      </c>
      <c r="AI805" s="7">
        <f>20*LOG10(MAX(AF805,1E-300)*1E6)</f>
        <v>0</v>
      </c>
      <c r="AJ805" s="7">
        <f>20*LOG10(MAX(AG805,1E-300)*1E6)</f>
        <v>0</v>
      </c>
      <c r="AK805" s="7">
        <f>DEGREES(IMARGUMENT(AB805))</f>
        <v>0</v>
      </c>
      <c r="AL805" s="7">
        <f>DEGREES(IMARGUMENT(AC805))</f>
        <v>0</v>
      </c>
      <c r="AM805" s="7">
        <f>DEGREES(IMARGUMENT(AD805))</f>
        <v>0</v>
      </c>
    </row>
    <row r="806" spans="1:39">
      <c r="A806" s="6">
        <f>10^(LOG10(F_START)+(ROW()-ROW($A$2))*(LOG10(F_STOP)-LOG10(F_START))/(N_POINTS-1))</f>
        <v>0</v>
      </c>
      <c r="B806" s="6">
        <f>2*PI()*A806</f>
        <v>0</v>
      </c>
      <c r="C806">
        <f>COMPLEX(2*LINE_PS_DCR,2*B806*LINE_PS_L)</f>
        <v>0</v>
      </c>
      <c r="D806">
        <f>IMSUM(COMPLEX(0,B806*(LINE_PS_CLINE+LINE_PS_CCHA/2)),IMDIV("1",IMPRODUCT("2",COMPLEX(C_THROUGH_ESR,B806*C_THROUGH_ESL-1/(B806*C_THROUGH_C)))))</f>
        <v>0</v>
      </c>
      <c r="E806">
        <f>COMPLEX(2*LINE_INPUT_DCR,2*B806*LINE_INPUT_L)</f>
        <v>0</v>
      </c>
      <c r="F806">
        <f>COMPLEX(0,B806*(LINE_INPUT_CLINE+LINE_INPUT_CCHA/2))</f>
        <v>0</v>
      </c>
      <c r="G806">
        <f>IMPRODUCT("2",IMDIV("1",IMSUM(IMDIV("1",COMPLEX(LDM1_DCR,B806*LDM1_L)),COMPLEX(0,B806*LDM1_CPA))))</f>
        <v>0</v>
      </c>
      <c r="H806">
        <f>IMSUM(IMDIV("1",COMPLEX(CX1_ESR,B806*CX1_ESL-1/(B806*CX1_C))),IMDIV("1",IMSUM(COMPLEX(DUMP1_R,0),COMPLEX(DUMP1_ESR,B806*DUMP1_ESL-1/(B806*DUMP1_C)))))</f>
        <v>0</v>
      </c>
      <c r="I806">
        <f>IMPRODUCT("2",IMDIV("1",IMSUM(IMDIV("1",COMPLEX(LDM2_DCR,B806*LDM2_L)),COMPLEX(0,B806*LDM2_CPA))))</f>
        <v>0</v>
      </c>
      <c r="J806">
        <f>IMSUM(IMDIV("1",COMPLEX(CX2_ESR,B806*CX2_ESL-1/(B806*CX2_C))),IMDIV("1",IMSUM(COMPLEX(DUMP2_R,0),COMPLEX(DUMP2_ESR,B806*DUMP2_ESL-1/(B806*DUMP2_C)))))</f>
        <v>0</v>
      </c>
      <c r="K806">
        <f>IMPRODUCT("2",IMDIV("1",IMSUM(IMDIV("1",COMPLEX(CMC_DCR,B806*CMC_L*(1-CMC_K))),COMPLEX(0,B806*CMC_CPA))))</f>
        <v>0</v>
      </c>
      <c r="L806">
        <f>IMSUM(COMPLEX(0,B806*CMC_CLINE),IMDIV("1",IMPRODUCT("2",COMPLEX(CY_ESR,B806*CY_ESL-1/(B806*CY_C)))),COMPLEX(1/DUMMY_R,0))</f>
        <v>0</v>
      </c>
      <c r="M806">
        <f>IMSUM(D806,IMDIV("1",C806))</f>
        <v>0</v>
      </c>
      <c r="N806">
        <f>IMDIV("1",IMSUM(E806,IMDIV("1",M806)))</f>
        <v>0</v>
      </c>
      <c r="O806">
        <f>IMSUM(F806,N806)</f>
        <v>0</v>
      </c>
      <c r="P806">
        <f>IMDIV("1",IMSUM(G806,IMDIV("1",O806)))</f>
        <v>0</v>
      </c>
      <c r="Q806">
        <f>IMSUM(H806,P806)</f>
        <v>0</v>
      </c>
      <c r="R806">
        <f>IMDIV("1",IMSUM(I806,IMDIV("1",Q806)))</f>
        <v>0</v>
      </c>
      <c r="S806">
        <f>IMSUM(J806,R806)</f>
        <v>0</v>
      </c>
      <c r="T806">
        <f>IMDIV("1",IMSUM(K806,IMDIV("1",S806)))</f>
        <v>0</v>
      </c>
      <c r="U806">
        <f>IMSUM(L806,T806)</f>
        <v>0</v>
      </c>
      <c r="V806">
        <f>IMDIV(COMPLEX(I_DM_SOURCE,0),U806)</f>
        <v>0</v>
      </c>
      <c r="W806">
        <f>IMPRODUCT(V806,T806)</f>
        <v>0</v>
      </c>
      <c r="X806">
        <f>IMDIV(W806,S806)</f>
        <v>0</v>
      </c>
      <c r="Y806">
        <f>IMPRODUCT(X806,R806)</f>
        <v>0</v>
      </c>
      <c r="Z806">
        <f>IMDIV(Y806,Q806)</f>
        <v>0</v>
      </c>
      <c r="AA806">
        <f>IMPRODUCT(Z806,P806)</f>
        <v>0</v>
      </c>
      <c r="AB806">
        <f>AA806</f>
        <v>0</v>
      </c>
      <c r="AC806">
        <f>IMPRODUCT("-1",AB806)</f>
        <v>0</v>
      </c>
      <c r="AD806">
        <f>IMDIV(IMSUB(AB806,AC806),"2")</f>
        <v>0</v>
      </c>
      <c r="AE806" s="6">
        <f>IMABS(AB806)</f>
        <v>0</v>
      </c>
      <c r="AF806" s="6">
        <f>IMABS(AC806)</f>
        <v>0</v>
      </c>
      <c r="AG806" s="6">
        <f>IMABS(AD806)</f>
        <v>0</v>
      </c>
      <c r="AH806" s="7">
        <f>20*LOG10(MAX(AE806,1E-300)*1E6)</f>
        <v>0</v>
      </c>
      <c r="AI806" s="7">
        <f>20*LOG10(MAX(AF806,1E-300)*1E6)</f>
        <v>0</v>
      </c>
      <c r="AJ806" s="7">
        <f>20*LOG10(MAX(AG806,1E-300)*1E6)</f>
        <v>0</v>
      </c>
      <c r="AK806" s="7">
        <f>DEGREES(IMARGUMENT(AB806))</f>
        <v>0</v>
      </c>
      <c r="AL806" s="7">
        <f>DEGREES(IMARGUMENT(AC806))</f>
        <v>0</v>
      </c>
      <c r="AM806" s="7">
        <f>DEGREES(IMARGUMENT(AD806))</f>
        <v>0</v>
      </c>
    </row>
    <row r="807" spans="1:39">
      <c r="A807" s="6">
        <f>10^(LOG10(F_START)+(ROW()-ROW($A$2))*(LOG10(F_STOP)-LOG10(F_START))/(N_POINTS-1))</f>
        <v>0</v>
      </c>
      <c r="B807" s="6">
        <f>2*PI()*A807</f>
        <v>0</v>
      </c>
      <c r="C807">
        <f>COMPLEX(2*LINE_PS_DCR,2*B807*LINE_PS_L)</f>
        <v>0</v>
      </c>
      <c r="D807">
        <f>IMSUM(COMPLEX(0,B807*(LINE_PS_CLINE+LINE_PS_CCHA/2)),IMDIV("1",IMPRODUCT("2",COMPLEX(C_THROUGH_ESR,B807*C_THROUGH_ESL-1/(B807*C_THROUGH_C)))))</f>
        <v>0</v>
      </c>
      <c r="E807">
        <f>COMPLEX(2*LINE_INPUT_DCR,2*B807*LINE_INPUT_L)</f>
        <v>0</v>
      </c>
      <c r="F807">
        <f>COMPLEX(0,B807*(LINE_INPUT_CLINE+LINE_INPUT_CCHA/2))</f>
        <v>0</v>
      </c>
      <c r="G807">
        <f>IMPRODUCT("2",IMDIV("1",IMSUM(IMDIV("1",COMPLEX(LDM1_DCR,B807*LDM1_L)),COMPLEX(0,B807*LDM1_CPA))))</f>
        <v>0</v>
      </c>
      <c r="H807">
        <f>IMSUM(IMDIV("1",COMPLEX(CX1_ESR,B807*CX1_ESL-1/(B807*CX1_C))),IMDIV("1",IMSUM(COMPLEX(DUMP1_R,0),COMPLEX(DUMP1_ESR,B807*DUMP1_ESL-1/(B807*DUMP1_C)))))</f>
        <v>0</v>
      </c>
      <c r="I807">
        <f>IMPRODUCT("2",IMDIV("1",IMSUM(IMDIV("1",COMPLEX(LDM2_DCR,B807*LDM2_L)),COMPLEX(0,B807*LDM2_CPA))))</f>
        <v>0</v>
      </c>
      <c r="J807">
        <f>IMSUM(IMDIV("1",COMPLEX(CX2_ESR,B807*CX2_ESL-1/(B807*CX2_C))),IMDIV("1",IMSUM(COMPLEX(DUMP2_R,0),COMPLEX(DUMP2_ESR,B807*DUMP2_ESL-1/(B807*DUMP2_C)))))</f>
        <v>0</v>
      </c>
      <c r="K807">
        <f>IMPRODUCT("2",IMDIV("1",IMSUM(IMDIV("1",COMPLEX(CMC_DCR,B807*CMC_L*(1-CMC_K))),COMPLEX(0,B807*CMC_CPA))))</f>
        <v>0</v>
      </c>
      <c r="L807">
        <f>IMSUM(COMPLEX(0,B807*CMC_CLINE),IMDIV("1",IMPRODUCT("2",COMPLEX(CY_ESR,B807*CY_ESL-1/(B807*CY_C)))),COMPLEX(1/DUMMY_R,0))</f>
        <v>0</v>
      </c>
      <c r="M807">
        <f>IMSUM(D807,IMDIV("1",C807))</f>
        <v>0</v>
      </c>
      <c r="N807">
        <f>IMDIV("1",IMSUM(E807,IMDIV("1",M807)))</f>
        <v>0</v>
      </c>
      <c r="O807">
        <f>IMSUM(F807,N807)</f>
        <v>0</v>
      </c>
      <c r="P807">
        <f>IMDIV("1",IMSUM(G807,IMDIV("1",O807)))</f>
        <v>0</v>
      </c>
      <c r="Q807">
        <f>IMSUM(H807,P807)</f>
        <v>0</v>
      </c>
      <c r="R807">
        <f>IMDIV("1",IMSUM(I807,IMDIV("1",Q807)))</f>
        <v>0</v>
      </c>
      <c r="S807">
        <f>IMSUM(J807,R807)</f>
        <v>0</v>
      </c>
      <c r="T807">
        <f>IMDIV("1",IMSUM(K807,IMDIV("1",S807)))</f>
        <v>0</v>
      </c>
      <c r="U807">
        <f>IMSUM(L807,T807)</f>
        <v>0</v>
      </c>
      <c r="V807">
        <f>IMDIV(COMPLEX(I_DM_SOURCE,0),U807)</f>
        <v>0</v>
      </c>
      <c r="W807">
        <f>IMPRODUCT(V807,T807)</f>
        <v>0</v>
      </c>
      <c r="X807">
        <f>IMDIV(W807,S807)</f>
        <v>0</v>
      </c>
      <c r="Y807">
        <f>IMPRODUCT(X807,R807)</f>
        <v>0</v>
      </c>
      <c r="Z807">
        <f>IMDIV(Y807,Q807)</f>
        <v>0</v>
      </c>
      <c r="AA807">
        <f>IMPRODUCT(Z807,P807)</f>
        <v>0</v>
      </c>
      <c r="AB807">
        <f>AA807</f>
        <v>0</v>
      </c>
      <c r="AC807">
        <f>IMPRODUCT("-1",AB807)</f>
        <v>0</v>
      </c>
      <c r="AD807">
        <f>IMDIV(IMSUB(AB807,AC807),"2")</f>
        <v>0</v>
      </c>
      <c r="AE807" s="6">
        <f>IMABS(AB807)</f>
        <v>0</v>
      </c>
      <c r="AF807" s="6">
        <f>IMABS(AC807)</f>
        <v>0</v>
      </c>
      <c r="AG807" s="6">
        <f>IMABS(AD807)</f>
        <v>0</v>
      </c>
      <c r="AH807" s="7">
        <f>20*LOG10(MAX(AE807,1E-300)*1E6)</f>
        <v>0</v>
      </c>
      <c r="AI807" s="7">
        <f>20*LOG10(MAX(AF807,1E-300)*1E6)</f>
        <v>0</v>
      </c>
      <c r="AJ807" s="7">
        <f>20*LOG10(MAX(AG807,1E-300)*1E6)</f>
        <v>0</v>
      </c>
      <c r="AK807" s="7">
        <f>DEGREES(IMARGUMENT(AB807))</f>
        <v>0</v>
      </c>
      <c r="AL807" s="7">
        <f>DEGREES(IMARGUMENT(AC807))</f>
        <v>0</v>
      </c>
      <c r="AM807" s="7">
        <f>DEGREES(IMARGUMENT(AD807))</f>
        <v>0</v>
      </c>
    </row>
    <row r="808" spans="1:39">
      <c r="A808" s="6">
        <f>10^(LOG10(F_START)+(ROW()-ROW($A$2))*(LOG10(F_STOP)-LOG10(F_START))/(N_POINTS-1))</f>
        <v>0</v>
      </c>
      <c r="B808" s="6">
        <f>2*PI()*A808</f>
        <v>0</v>
      </c>
      <c r="C808">
        <f>COMPLEX(2*LINE_PS_DCR,2*B808*LINE_PS_L)</f>
        <v>0</v>
      </c>
      <c r="D808">
        <f>IMSUM(COMPLEX(0,B808*(LINE_PS_CLINE+LINE_PS_CCHA/2)),IMDIV("1",IMPRODUCT("2",COMPLEX(C_THROUGH_ESR,B808*C_THROUGH_ESL-1/(B808*C_THROUGH_C)))))</f>
        <v>0</v>
      </c>
      <c r="E808">
        <f>COMPLEX(2*LINE_INPUT_DCR,2*B808*LINE_INPUT_L)</f>
        <v>0</v>
      </c>
      <c r="F808">
        <f>COMPLEX(0,B808*(LINE_INPUT_CLINE+LINE_INPUT_CCHA/2))</f>
        <v>0</v>
      </c>
      <c r="G808">
        <f>IMPRODUCT("2",IMDIV("1",IMSUM(IMDIV("1",COMPLEX(LDM1_DCR,B808*LDM1_L)),COMPLEX(0,B808*LDM1_CPA))))</f>
        <v>0</v>
      </c>
      <c r="H808">
        <f>IMSUM(IMDIV("1",COMPLEX(CX1_ESR,B808*CX1_ESL-1/(B808*CX1_C))),IMDIV("1",IMSUM(COMPLEX(DUMP1_R,0),COMPLEX(DUMP1_ESR,B808*DUMP1_ESL-1/(B808*DUMP1_C)))))</f>
        <v>0</v>
      </c>
      <c r="I808">
        <f>IMPRODUCT("2",IMDIV("1",IMSUM(IMDIV("1",COMPLEX(LDM2_DCR,B808*LDM2_L)),COMPLEX(0,B808*LDM2_CPA))))</f>
        <v>0</v>
      </c>
      <c r="J808">
        <f>IMSUM(IMDIV("1",COMPLEX(CX2_ESR,B808*CX2_ESL-1/(B808*CX2_C))),IMDIV("1",IMSUM(COMPLEX(DUMP2_R,0),COMPLEX(DUMP2_ESR,B808*DUMP2_ESL-1/(B808*DUMP2_C)))))</f>
        <v>0</v>
      </c>
      <c r="K808">
        <f>IMPRODUCT("2",IMDIV("1",IMSUM(IMDIV("1",COMPLEX(CMC_DCR,B808*CMC_L*(1-CMC_K))),COMPLEX(0,B808*CMC_CPA))))</f>
        <v>0</v>
      </c>
      <c r="L808">
        <f>IMSUM(COMPLEX(0,B808*CMC_CLINE),IMDIV("1",IMPRODUCT("2",COMPLEX(CY_ESR,B808*CY_ESL-1/(B808*CY_C)))),COMPLEX(1/DUMMY_R,0))</f>
        <v>0</v>
      </c>
      <c r="M808">
        <f>IMSUM(D808,IMDIV("1",C808))</f>
        <v>0</v>
      </c>
      <c r="N808">
        <f>IMDIV("1",IMSUM(E808,IMDIV("1",M808)))</f>
        <v>0</v>
      </c>
      <c r="O808">
        <f>IMSUM(F808,N808)</f>
        <v>0</v>
      </c>
      <c r="P808">
        <f>IMDIV("1",IMSUM(G808,IMDIV("1",O808)))</f>
        <v>0</v>
      </c>
      <c r="Q808">
        <f>IMSUM(H808,P808)</f>
        <v>0</v>
      </c>
      <c r="R808">
        <f>IMDIV("1",IMSUM(I808,IMDIV("1",Q808)))</f>
        <v>0</v>
      </c>
      <c r="S808">
        <f>IMSUM(J808,R808)</f>
        <v>0</v>
      </c>
      <c r="T808">
        <f>IMDIV("1",IMSUM(K808,IMDIV("1",S808)))</f>
        <v>0</v>
      </c>
      <c r="U808">
        <f>IMSUM(L808,T808)</f>
        <v>0</v>
      </c>
      <c r="V808">
        <f>IMDIV(COMPLEX(I_DM_SOURCE,0),U808)</f>
        <v>0</v>
      </c>
      <c r="W808">
        <f>IMPRODUCT(V808,T808)</f>
        <v>0</v>
      </c>
      <c r="X808">
        <f>IMDIV(W808,S808)</f>
        <v>0</v>
      </c>
      <c r="Y808">
        <f>IMPRODUCT(X808,R808)</f>
        <v>0</v>
      </c>
      <c r="Z808">
        <f>IMDIV(Y808,Q808)</f>
        <v>0</v>
      </c>
      <c r="AA808">
        <f>IMPRODUCT(Z808,P808)</f>
        <v>0</v>
      </c>
      <c r="AB808">
        <f>AA808</f>
        <v>0</v>
      </c>
      <c r="AC808">
        <f>IMPRODUCT("-1",AB808)</f>
        <v>0</v>
      </c>
      <c r="AD808">
        <f>IMDIV(IMSUB(AB808,AC808),"2")</f>
        <v>0</v>
      </c>
      <c r="AE808" s="6">
        <f>IMABS(AB808)</f>
        <v>0</v>
      </c>
      <c r="AF808" s="6">
        <f>IMABS(AC808)</f>
        <v>0</v>
      </c>
      <c r="AG808" s="6">
        <f>IMABS(AD808)</f>
        <v>0</v>
      </c>
      <c r="AH808" s="7">
        <f>20*LOG10(MAX(AE808,1E-300)*1E6)</f>
        <v>0</v>
      </c>
      <c r="AI808" s="7">
        <f>20*LOG10(MAX(AF808,1E-300)*1E6)</f>
        <v>0</v>
      </c>
      <c r="AJ808" s="7">
        <f>20*LOG10(MAX(AG808,1E-300)*1E6)</f>
        <v>0</v>
      </c>
      <c r="AK808" s="7">
        <f>DEGREES(IMARGUMENT(AB808))</f>
        <v>0</v>
      </c>
      <c r="AL808" s="7">
        <f>DEGREES(IMARGUMENT(AC808))</f>
        <v>0</v>
      </c>
      <c r="AM808" s="7">
        <f>DEGREES(IMARGUMENT(AD808))</f>
        <v>0</v>
      </c>
    </row>
    <row r="809" spans="1:39">
      <c r="A809" s="6">
        <f>10^(LOG10(F_START)+(ROW()-ROW($A$2))*(LOG10(F_STOP)-LOG10(F_START))/(N_POINTS-1))</f>
        <v>0</v>
      </c>
      <c r="B809" s="6">
        <f>2*PI()*A809</f>
        <v>0</v>
      </c>
      <c r="C809">
        <f>COMPLEX(2*LINE_PS_DCR,2*B809*LINE_PS_L)</f>
        <v>0</v>
      </c>
      <c r="D809">
        <f>IMSUM(COMPLEX(0,B809*(LINE_PS_CLINE+LINE_PS_CCHA/2)),IMDIV("1",IMPRODUCT("2",COMPLEX(C_THROUGH_ESR,B809*C_THROUGH_ESL-1/(B809*C_THROUGH_C)))))</f>
        <v>0</v>
      </c>
      <c r="E809">
        <f>COMPLEX(2*LINE_INPUT_DCR,2*B809*LINE_INPUT_L)</f>
        <v>0</v>
      </c>
      <c r="F809">
        <f>COMPLEX(0,B809*(LINE_INPUT_CLINE+LINE_INPUT_CCHA/2))</f>
        <v>0</v>
      </c>
      <c r="G809">
        <f>IMPRODUCT("2",IMDIV("1",IMSUM(IMDIV("1",COMPLEX(LDM1_DCR,B809*LDM1_L)),COMPLEX(0,B809*LDM1_CPA))))</f>
        <v>0</v>
      </c>
      <c r="H809">
        <f>IMSUM(IMDIV("1",COMPLEX(CX1_ESR,B809*CX1_ESL-1/(B809*CX1_C))),IMDIV("1",IMSUM(COMPLEX(DUMP1_R,0),COMPLEX(DUMP1_ESR,B809*DUMP1_ESL-1/(B809*DUMP1_C)))))</f>
        <v>0</v>
      </c>
      <c r="I809">
        <f>IMPRODUCT("2",IMDIV("1",IMSUM(IMDIV("1",COMPLEX(LDM2_DCR,B809*LDM2_L)),COMPLEX(0,B809*LDM2_CPA))))</f>
        <v>0</v>
      </c>
      <c r="J809">
        <f>IMSUM(IMDIV("1",COMPLEX(CX2_ESR,B809*CX2_ESL-1/(B809*CX2_C))),IMDIV("1",IMSUM(COMPLEX(DUMP2_R,0),COMPLEX(DUMP2_ESR,B809*DUMP2_ESL-1/(B809*DUMP2_C)))))</f>
        <v>0</v>
      </c>
      <c r="K809">
        <f>IMPRODUCT("2",IMDIV("1",IMSUM(IMDIV("1",COMPLEX(CMC_DCR,B809*CMC_L*(1-CMC_K))),COMPLEX(0,B809*CMC_CPA))))</f>
        <v>0</v>
      </c>
      <c r="L809">
        <f>IMSUM(COMPLEX(0,B809*CMC_CLINE),IMDIV("1",IMPRODUCT("2",COMPLEX(CY_ESR,B809*CY_ESL-1/(B809*CY_C)))),COMPLEX(1/DUMMY_R,0))</f>
        <v>0</v>
      </c>
      <c r="M809">
        <f>IMSUM(D809,IMDIV("1",C809))</f>
        <v>0</v>
      </c>
      <c r="N809">
        <f>IMDIV("1",IMSUM(E809,IMDIV("1",M809)))</f>
        <v>0</v>
      </c>
      <c r="O809">
        <f>IMSUM(F809,N809)</f>
        <v>0</v>
      </c>
      <c r="P809">
        <f>IMDIV("1",IMSUM(G809,IMDIV("1",O809)))</f>
        <v>0</v>
      </c>
      <c r="Q809">
        <f>IMSUM(H809,P809)</f>
        <v>0</v>
      </c>
      <c r="R809">
        <f>IMDIV("1",IMSUM(I809,IMDIV("1",Q809)))</f>
        <v>0</v>
      </c>
      <c r="S809">
        <f>IMSUM(J809,R809)</f>
        <v>0</v>
      </c>
      <c r="T809">
        <f>IMDIV("1",IMSUM(K809,IMDIV("1",S809)))</f>
        <v>0</v>
      </c>
      <c r="U809">
        <f>IMSUM(L809,T809)</f>
        <v>0</v>
      </c>
      <c r="V809">
        <f>IMDIV(COMPLEX(I_DM_SOURCE,0),U809)</f>
        <v>0</v>
      </c>
      <c r="W809">
        <f>IMPRODUCT(V809,T809)</f>
        <v>0</v>
      </c>
      <c r="X809">
        <f>IMDIV(W809,S809)</f>
        <v>0</v>
      </c>
      <c r="Y809">
        <f>IMPRODUCT(X809,R809)</f>
        <v>0</v>
      </c>
      <c r="Z809">
        <f>IMDIV(Y809,Q809)</f>
        <v>0</v>
      </c>
      <c r="AA809">
        <f>IMPRODUCT(Z809,P809)</f>
        <v>0</v>
      </c>
      <c r="AB809">
        <f>AA809</f>
        <v>0</v>
      </c>
      <c r="AC809">
        <f>IMPRODUCT("-1",AB809)</f>
        <v>0</v>
      </c>
      <c r="AD809">
        <f>IMDIV(IMSUB(AB809,AC809),"2")</f>
        <v>0</v>
      </c>
      <c r="AE809" s="6">
        <f>IMABS(AB809)</f>
        <v>0</v>
      </c>
      <c r="AF809" s="6">
        <f>IMABS(AC809)</f>
        <v>0</v>
      </c>
      <c r="AG809" s="6">
        <f>IMABS(AD809)</f>
        <v>0</v>
      </c>
      <c r="AH809" s="7">
        <f>20*LOG10(MAX(AE809,1E-300)*1E6)</f>
        <v>0</v>
      </c>
      <c r="AI809" s="7">
        <f>20*LOG10(MAX(AF809,1E-300)*1E6)</f>
        <v>0</v>
      </c>
      <c r="AJ809" s="7">
        <f>20*LOG10(MAX(AG809,1E-300)*1E6)</f>
        <v>0</v>
      </c>
      <c r="AK809" s="7">
        <f>DEGREES(IMARGUMENT(AB809))</f>
        <v>0</v>
      </c>
      <c r="AL809" s="7">
        <f>DEGREES(IMARGUMENT(AC809))</f>
        <v>0</v>
      </c>
      <c r="AM809" s="7">
        <f>DEGREES(IMARGUMENT(AD809))</f>
        <v>0</v>
      </c>
    </row>
    <row r="810" spans="1:39">
      <c r="A810" s="6">
        <f>10^(LOG10(F_START)+(ROW()-ROW($A$2))*(LOG10(F_STOP)-LOG10(F_START))/(N_POINTS-1))</f>
        <v>0</v>
      </c>
      <c r="B810" s="6">
        <f>2*PI()*A810</f>
        <v>0</v>
      </c>
      <c r="C810">
        <f>COMPLEX(2*LINE_PS_DCR,2*B810*LINE_PS_L)</f>
        <v>0</v>
      </c>
      <c r="D810">
        <f>IMSUM(COMPLEX(0,B810*(LINE_PS_CLINE+LINE_PS_CCHA/2)),IMDIV("1",IMPRODUCT("2",COMPLEX(C_THROUGH_ESR,B810*C_THROUGH_ESL-1/(B810*C_THROUGH_C)))))</f>
        <v>0</v>
      </c>
      <c r="E810">
        <f>COMPLEX(2*LINE_INPUT_DCR,2*B810*LINE_INPUT_L)</f>
        <v>0</v>
      </c>
      <c r="F810">
        <f>COMPLEX(0,B810*(LINE_INPUT_CLINE+LINE_INPUT_CCHA/2))</f>
        <v>0</v>
      </c>
      <c r="G810">
        <f>IMPRODUCT("2",IMDIV("1",IMSUM(IMDIV("1",COMPLEX(LDM1_DCR,B810*LDM1_L)),COMPLEX(0,B810*LDM1_CPA))))</f>
        <v>0</v>
      </c>
      <c r="H810">
        <f>IMSUM(IMDIV("1",COMPLEX(CX1_ESR,B810*CX1_ESL-1/(B810*CX1_C))),IMDIV("1",IMSUM(COMPLEX(DUMP1_R,0),COMPLEX(DUMP1_ESR,B810*DUMP1_ESL-1/(B810*DUMP1_C)))))</f>
        <v>0</v>
      </c>
      <c r="I810">
        <f>IMPRODUCT("2",IMDIV("1",IMSUM(IMDIV("1",COMPLEX(LDM2_DCR,B810*LDM2_L)),COMPLEX(0,B810*LDM2_CPA))))</f>
        <v>0</v>
      </c>
      <c r="J810">
        <f>IMSUM(IMDIV("1",COMPLEX(CX2_ESR,B810*CX2_ESL-1/(B810*CX2_C))),IMDIV("1",IMSUM(COMPLEX(DUMP2_R,0),COMPLEX(DUMP2_ESR,B810*DUMP2_ESL-1/(B810*DUMP2_C)))))</f>
        <v>0</v>
      </c>
      <c r="K810">
        <f>IMPRODUCT("2",IMDIV("1",IMSUM(IMDIV("1",COMPLEX(CMC_DCR,B810*CMC_L*(1-CMC_K))),COMPLEX(0,B810*CMC_CPA))))</f>
        <v>0</v>
      </c>
      <c r="L810">
        <f>IMSUM(COMPLEX(0,B810*CMC_CLINE),IMDIV("1",IMPRODUCT("2",COMPLEX(CY_ESR,B810*CY_ESL-1/(B810*CY_C)))),COMPLEX(1/DUMMY_R,0))</f>
        <v>0</v>
      </c>
      <c r="M810">
        <f>IMSUM(D810,IMDIV("1",C810))</f>
        <v>0</v>
      </c>
      <c r="N810">
        <f>IMDIV("1",IMSUM(E810,IMDIV("1",M810)))</f>
        <v>0</v>
      </c>
      <c r="O810">
        <f>IMSUM(F810,N810)</f>
        <v>0</v>
      </c>
      <c r="P810">
        <f>IMDIV("1",IMSUM(G810,IMDIV("1",O810)))</f>
        <v>0</v>
      </c>
      <c r="Q810">
        <f>IMSUM(H810,P810)</f>
        <v>0</v>
      </c>
      <c r="R810">
        <f>IMDIV("1",IMSUM(I810,IMDIV("1",Q810)))</f>
        <v>0</v>
      </c>
      <c r="S810">
        <f>IMSUM(J810,R810)</f>
        <v>0</v>
      </c>
      <c r="T810">
        <f>IMDIV("1",IMSUM(K810,IMDIV("1",S810)))</f>
        <v>0</v>
      </c>
      <c r="U810">
        <f>IMSUM(L810,T810)</f>
        <v>0</v>
      </c>
      <c r="V810">
        <f>IMDIV(COMPLEX(I_DM_SOURCE,0),U810)</f>
        <v>0</v>
      </c>
      <c r="W810">
        <f>IMPRODUCT(V810,T810)</f>
        <v>0</v>
      </c>
      <c r="X810">
        <f>IMDIV(W810,S810)</f>
        <v>0</v>
      </c>
      <c r="Y810">
        <f>IMPRODUCT(X810,R810)</f>
        <v>0</v>
      </c>
      <c r="Z810">
        <f>IMDIV(Y810,Q810)</f>
        <v>0</v>
      </c>
      <c r="AA810">
        <f>IMPRODUCT(Z810,P810)</f>
        <v>0</v>
      </c>
      <c r="AB810">
        <f>AA810</f>
        <v>0</v>
      </c>
      <c r="AC810">
        <f>IMPRODUCT("-1",AB810)</f>
        <v>0</v>
      </c>
      <c r="AD810">
        <f>IMDIV(IMSUB(AB810,AC810),"2")</f>
        <v>0</v>
      </c>
      <c r="AE810" s="6">
        <f>IMABS(AB810)</f>
        <v>0</v>
      </c>
      <c r="AF810" s="6">
        <f>IMABS(AC810)</f>
        <v>0</v>
      </c>
      <c r="AG810" s="6">
        <f>IMABS(AD810)</f>
        <v>0</v>
      </c>
      <c r="AH810" s="7">
        <f>20*LOG10(MAX(AE810,1E-300)*1E6)</f>
        <v>0</v>
      </c>
      <c r="AI810" s="7">
        <f>20*LOG10(MAX(AF810,1E-300)*1E6)</f>
        <v>0</v>
      </c>
      <c r="AJ810" s="7">
        <f>20*LOG10(MAX(AG810,1E-300)*1E6)</f>
        <v>0</v>
      </c>
      <c r="AK810" s="7">
        <f>DEGREES(IMARGUMENT(AB810))</f>
        <v>0</v>
      </c>
      <c r="AL810" s="7">
        <f>DEGREES(IMARGUMENT(AC810))</f>
        <v>0</v>
      </c>
      <c r="AM810" s="7">
        <f>DEGREES(IMARGUMENT(AD810))</f>
        <v>0</v>
      </c>
    </row>
    <row r="811" spans="1:39">
      <c r="A811" s="6">
        <f>10^(LOG10(F_START)+(ROW()-ROW($A$2))*(LOG10(F_STOP)-LOG10(F_START))/(N_POINTS-1))</f>
        <v>0</v>
      </c>
      <c r="B811" s="6">
        <f>2*PI()*A811</f>
        <v>0</v>
      </c>
      <c r="C811">
        <f>COMPLEX(2*LINE_PS_DCR,2*B811*LINE_PS_L)</f>
        <v>0</v>
      </c>
      <c r="D811">
        <f>IMSUM(COMPLEX(0,B811*(LINE_PS_CLINE+LINE_PS_CCHA/2)),IMDIV("1",IMPRODUCT("2",COMPLEX(C_THROUGH_ESR,B811*C_THROUGH_ESL-1/(B811*C_THROUGH_C)))))</f>
        <v>0</v>
      </c>
      <c r="E811">
        <f>COMPLEX(2*LINE_INPUT_DCR,2*B811*LINE_INPUT_L)</f>
        <v>0</v>
      </c>
      <c r="F811">
        <f>COMPLEX(0,B811*(LINE_INPUT_CLINE+LINE_INPUT_CCHA/2))</f>
        <v>0</v>
      </c>
      <c r="G811">
        <f>IMPRODUCT("2",IMDIV("1",IMSUM(IMDIV("1",COMPLEX(LDM1_DCR,B811*LDM1_L)),COMPLEX(0,B811*LDM1_CPA))))</f>
        <v>0</v>
      </c>
      <c r="H811">
        <f>IMSUM(IMDIV("1",COMPLEX(CX1_ESR,B811*CX1_ESL-1/(B811*CX1_C))),IMDIV("1",IMSUM(COMPLEX(DUMP1_R,0),COMPLEX(DUMP1_ESR,B811*DUMP1_ESL-1/(B811*DUMP1_C)))))</f>
        <v>0</v>
      </c>
      <c r="I811">
        <f>IMPRODUCT("2",IMDIV("1",IMSUM(IMDIV("1",COMPLEX(LDM2_DCR,B811*LDM2_L)),COMPLEX(0,B811*LDM2_CPA))))</f>
        <v>0</v>
      </c>
      <c r="J811">
        <f>IMSUM(IMDIV("1",COMPLEX(CX2_ESR,B811*CX2_ESL-1/(B811*CX2_C))),IMDIV("1",IMSUM(COMPLEX(DUMP2_R,0),COMPLEX(DUMP2_ESR,B811*DUMP2_ESL-1/(B811*DUMP2_C)))))</f>
        <v>0</v>
      </c>
      <c r="K811">
        <f>IMPRODUCT("2",IMDIV("1",IMSUM(IMDIV("1",COMPLEX(CMC_DCR,B811*CMC_L*(1-CMC_K))),COMPLEX(0,B811*CMC_CPA))))</f>
        <v>0</v>
      </c>
      <c r="L811">
        <f>IMSUM(COMPLEX(0,B811*CMC_CLINE),IMDIV("1",IMPRODUCT("2",COMPLEX(CY_ESR,B811*CY_ESL-1/(B811*CY_C)))),COMPLEX(1/DUMMY_R,0))</f>
        <v>0</v>
      </c>
      <c r="M811">
        <f>IMSUM(D811,IMDIV("1",C811))</f>
        <v>0</v>
      </c>
      <c r="N811">
        <f>IMDIV("1",IMSUM(E811,IMDIV("1",M811)))</f>
        <v>0</v>
      </c>
      <c r="O811">
        <f>IMSUM(F811,N811)</f>
        <v>0</v>
      </c>
      <c r="P811">
        <f>IMDIV("1",IMSUM(G811,IMDIV("1",O811)))</f>
        <v>0</v>
      </c>
      <c r="Q811">
        <f>IMSUM(H811,P811)</f>
        <v>0</v>
      </c>
      <c r="R811">
        <f>IMDIV("1",IMSUM(I811,IMDIV("1",Q811)))</f>
        <v>0</v>
      </c>
      <c r="S811">
        <f>IMSUM(J811,R811)</f>
        <v>0</v>
      </c>
      <c r="T811">
        <f>IMDIV("1",IMSUM(K811,IMDIV("1",S811)))</f>
        <v>0</v>
      </c>
      <c r="U811">
        <f>IMSUM(L811,T811)</f>
        <v>0</v>
      </c>
      <c r="V811">
        <f>IMDIV(COMPLEX(I_DM_SOURCE,0),U811)</f>
        <v>0</v>
      </c>
      <c r="W811">
        <f>IMPRODUCT(V811,T811)</f>
        <v>0</v>
      </c>
      <c r="X811">
        <f>IMDIV(W811,S811)</f>
        <v>0</v>
      </c>
      <c r="Y811">
        <f>IMPRODUCT(X811,R811)</f>
        <v>0</v>
      </c>
      <c r="Z811">
        <f>IMDIV(Y811,Q811)</f>
        <v>0</v>
      </c>
      <c r="AA811">
        <f>IMPRODUCT(Z811,P811)</f>
        <v>0</v>
      </c>
      <c r="AB811">
        <f>AA811</f>
        <v>0</v>
      </c>
      <c r="AC811">
        <f>IMPRODUCT("-1",AB811)</f>
        <v>0</v>
      </c>
      <c r="AD811">
        <f>IMDIV(IMSUB(AB811,AC811),"2")</f>
        <v>0</v>
      </c>
      <c r="AE811" s="6">
        <f>IMABS(AB811)</f>
        <v>0</v>
      </c>
      <c r="AF811" s="6">
        <f>IMABS(AC811)</f>
        <v>0</v>
      </c>
      <c r="AG811" s="6">
        <f>IMABS(AD811)</f>
        <v>0</v>
      </c>
      <c r="AH811" s="7">
        <f>20*LOG10(MAX(AE811,1E-300)*1E6)</f>
        <v>0</v>
      </c>
      <c r="AI811" s="7">
        <f>20*LOG10(MAX(AF811,1E-300)*1E6)</f>
        <v>0</v>
      </c>
      <c r="AJ811" s="7">
        <f>20*LOG10(MAX(AG811,1E-300)*1E6)</f>
        <v>0</v>
      </c>
      <c r="AK811" s="7">
        <f>DEGREES(IMARGUMENT(AB811))</f>
        <v>0</v>
      </c>
      <c r="AL811" s="7">
        <f>DEGREES(IMARGUMENT(AC811))</f>
        <v>0</v>
      </c>
      <c r="AM811" s="7">
        <f>DEGREES(IMARGUMENT(AD811))</f>
        <v>0</v>
      </c>
    </row>
    <row r="812" spans="1:39">
      <c r="A812" s="6">
        <f>10^(LOG10(F_START)+(ROW()-ROW($A$2))*(LOG10(F_STOP)-LOG10(F_START))/(N_POINTS-1))</f>
        <v>0</v>
      </c>
      <c r="B812" s="6">
        <f>2*PI()*A812</f>
        <v>0</v>
      </c>
      <c r="C812">
        <f>COMPLEX(2*LINE_PS_DCR,2*B812*LINE_PS_L)</f>
        <v>0</v>
      </c>
      <c r="D812">
        <f>IMSUM(COMPLEX(0,B812*(LINE_PS_CLINE+LINE_PS_CCHA/2)),IMDIV("1",IMPRODUCT("2",COMPLEX(C_THROUGH_ESR,B812*C_THROUGH_ESL-1/(B812*C_THROUGH_C)))))</f>
        <v>0</v>
      </c>
      <c r="E812">
        <f>COMPLEX(2*LINE_INPUT_DCR,2*B812*LINE_INPUT_L)</f>
        <v>0</v>
      </c>
      <c r="F812">
        <f>COMPLEX(0,B812*(LINE_INPUT_CLINE+LINE_INPUT_CCHA/2))</f>
        <v>0</v>
      </c>
      <c r="G812">
        <f>IMPRODUCT("2",IMDIV("1",IMSUM(IMDIV("1",COMPLEX(LDM1_DCR,B812*LDM1_L)),COMPLEX(0,B812*LDM1_CPA))))</f>
        <v>0</v>
      </c>
      <c r="H812">
        <f>IMSUM(IMDIV("1",COMPLEX(CX1_ESR,B812*CX1_ESL-1/(B812*CX1_C))),IMDIV("1",IMSUM(COMPLEX(DUMP1_R,0),COMPLEX(DUMP1_ESR,B812*DUMP1_ESL-1/(B812*DUMP1_C)))))</f>
        <v>0</v>
      </c>
      <c r="I812">
        <f>IMPRODUCT("2",IMDIV("1",IMSUM(IMDIV("1",COMPLEX(LDM2_DCR,B812*LDM2_L)),COMPLEX(0,B812*LDM2_CPA))))</f>
        <v>0</v>
      </c>
      <c r="J812">
        <f>IMSUM(IMDIV("1",COMPLEX(CX2_ESR,B812*CX2_ESL-1/(B812*CX2_C))),IMDIV("1",IMSUM(COMPLEX(DUMP2_R,0),COMPLEX(DUMP2_ESR,B812*DUMP2_ESL-1/(B812*DUMP2_C)))))</f>
        <v>0</v>
      </c>
      <c r="K812">
        <f>IMPRODUCT("2",IMDIV("1",IMSUM(IMDIV("1",COMPLEX(CMC_DCR,B812*CMC_L*(1-CMC_K))),COMPLEX(0,B812*CMC_CPA))))</f>
        <v>0</v>
      </c>
      <c r="L812">
        <f>IMSUM(COMPLEX(0,B812*CMC_CLINE),IMDIV("1",IMPRODUCT("2",COMPLEX(CY_ESR,B812*CY_ESL-1/(B812*CY_C)))),COMPLEX(1/DUMMY_R,0))</f>
        <v>0</v>
      </c>
      <c r="M812">
        <f>IMSUM(D812,IMDIV("1",C812))</f>
        <v>0</v>
      </c>
      <c r="N812">
        <f>IMDIV("1",IMSUM(E812,IMDIV("1",M812)))</f>
        <v>0</v>
      </c>
      <c r="O812">
        <f>IMSUM(F812,N812)</f>
        <v>0</v>
      </c>
      <c r="P812">
        <f>IMDIV("1",IMSUM(G812,IMDIV("1",O812)))</f>
        <v>0</v>
      </c>
      <c r="Q812">
        <f>IMSUM(H812,P812)</f>
        <v>0</v>
      </c>
      <c r="R812">
        <f>IMDIV("1",IMSUM(I812,IMDIV("1",Q812)))</f>
        <v>0</v>
      </c>
      <c r="S812">
        <f>IMSUM(J812,R812)</f>
        <v>0</v>
      </c>
      <c r="T812">
        <f>IMDIV("1",IMSUM(K812,IMDIV("1",S812)))</f>
        <v>0</v>
      </c>
      <c r="U812">
        <f>IMSUM(L812,T812)</f>
        <v>0</v>
      </c>
      <c r="V812">
        <f>IMDIV(COMPLEX(I_DM_SOURCE,0),U812)</f>
        <v>0</v>
      </c>
      <c r="W812">
        <f>IMPRODUCT(V812,T812)</f>
        <v>0</v>
      </c>
      <c r="X812">
        <f>IMDIV(W812,S812)</f>
        <v>0</v>
      </c>
      <c r="Y812">
        <f>IMPRODUCT(X812,R812)</f>
        <v>0</v>
      </c>
      <c r="Z812">
        <f>IMDIV(Y812,Q812)</f>
        <v>0</v>
      </c>
      <c r="AA812">
        <f>IMPRODUCT(Z812,P812)</f>
        <v>0</v>
      </c>
      <c r="AB812">
        <f>AA812</f>
        <v>0</v>
      </c>
      <c r="AC812">
        <f>IMPRODUCT("-1",AB812)</f>
        <v>0</v>
      </c>
      <c r="AD812">
        <f>IMDIV(IMSUB(AB812,AC812),"2")</f>
        <v>0</v>
      </c>
      <c r="AE812" s="6">
        <f>IMABS(AB812)</f>
        <v>0</v>
      </c>
      <c r="AF812" s="6">
        <f>IMABS(AC812)</f>
        <v>0</v>
      </c>
      <c r="AG812" s="6">
        <f>IMABS(AD812)</f>
        <v>0</v>
      </c>
      <c r="AH812" s="7">
        <f>20*LOG10(MAX(AE812,1E-300)*1E6)</f>
        <v>0</v>
      </c>
      <c r="AI812" s="7">
        <f>20*LOG10(MAX(AF812,1E-300)*1E6)</f>
        <v>0</v>
      </c>
      <c r="AJ812" s="7">
        <f>20*LOG10(MAX(AG812,1E-300)*1E6)</f>
        <v>0</v>
      </c>
      <c r="AK812" s="7">
        <f>DEGREES(IMARGUMENT(AB812))</f>
        <v>0</v>
      </c>
      <c r="AL812" s="7">
        <f>DEGREES(IMARGUMENT(AC812))</f>
        <v>0</v>
      </c>
      <c r="AM812" s="7">
        <f>DEGREES(IMARGUMENT(AD812))</f>
        <v>0</v>
      </c>
    </row>
    <row r="813" spans="1:39">
      <c r="A813" s="6">
        <f>10^(LOG10(F_START)+(ROW()-ROW($A$2))*(LOG10(F_STOP)-LOG10(F_START))/(N_POINTS-1))</f>
        <v>0</v>
      </c>
      <c r="B813" s="6">
        <f>2*PI()*A813</f>
        <v>0</v>
      </c>
      <c r="C813">
        <f>COMPLEX(2*LINE_PS_DCR,2*B813*LINE_PS_L)</f>
        <v>0</v>
      </c>
      <c r="D813">
        <f>IMSUM(COMPLEX(0,B813*(LINE_PS_CLINE+LINE_PS_CCHA/2)),IMDIV("1",IMPRODUCT("2",COMPLEX(C_THROUGH_ESR,B813*C_THROUGH_ESL-1/(B813*C_THROUGH_C)))))</f>
        <v>0</v>
      </c>
      <c r="E813">
        <f>COMPLEX(2*LINE_INPUT_DCR,2*B813*LINE_INPUT_L)</f>
        <v>0</v>
      </c>
      <c r="F813">
        <f>COMPLEX(0,B813*(LINE_INPUT_CLINE+LINE_INPUT_CCHA/2))</f>
        <v>0</v>
      </c>
      <c r="G813">
        <f>IMPRODUCT("2",IMDIV("1",IMSUM(IMDIV("1",COMPLEX(LDM1_DCR,B813*LDM1_L)),COMPLEX(0,B813*LDM1_CPA))))</f>
        <v>0</v>
      </c>
      <c r="H813">
        <f>IMSUM(IMDIV("1",COMPLEX(CX1_ESR,B813*CX1_ESL-1/(B813*CX1_C))),IMDIV("1",IMSUM(COMPLEX(DUMP1_R,0),COMPLEX(DUMP1_ESR,B813*DUMP1_ESL-1/(B813*DUMP1_C)))))</f>
        <v>0</v>
      </c>
      <c r="I813">
        <f>IMPRODUCT("2",IMDIV("1",IMSUM(IMDIV("1",COMPLEX(LDM2_DCR,B813*LDM2_L)),COMPLEX(0,B813*LDM2_CPA))))</f>
        <v>0</v>
      </c>
      <c r="J813">
        <f>IMSUM(IMDIV("1",COMPLEX(CX2_ESR,B813*CX2_ESL-1/(B813*CX2_C))),IMDIV("1",IMSUM(COMPLEX(DUMP2_R,0),COMPLEX(DUMP2_ESR,B813*DUMP2_ESL-1/(B813*DUMP2_C)))))</f>
        <v>0</v>
      </c>
      <c r="K813">
        <f>IMPRODUCT("2",IMDIV("1",IMSUM(IMDIV("1",COMPLEX(CMC_DCR,B813*CMC_L*(1-CMC_K))),COMPLEX(0,B813*CMC_CPA))))</f>
        <v>0</v>
      </c>
      <c r="L813">
        <f>IMSUM(COMPLEX(0,B813*CMC_CLINE),IMDIV("1",IMPRODUCT("2",COMPLEX(CY_ESR,B813*CY_ESL-1/(B813*CY_C)))),COMPLEX(1/DUMMY_R,0))</f>
        <v>0</v>
      </c>
      <c r="M813">
        <f>IMSUM(D813,IMDIV("1",C813))</f>
        <v>0</v>
      </c>
      <c r="N813">
        <f>IMDIV("1",IMSUM(E813,IMDIV("1",M813)))</f>
        <v>0</v>
      </c>
      <c r="O813">
        <f>IMSUM(F813,N813)</f>
        <v>0</v>
      </c>
      <c r="P813">
        <f>IMDIV("1",IMSUM(G813,IMDIV("1",O813)))</f>
        <v>0</v>
      </c>
      <c r="Q813">
        <f>IMSUM(H813,P813)</f>
        <v>0</v>
      </c>
      <c r="R813">
        <f>IMDIV("1",IMSUM(I813,IMDIV("1",Q813)))</f>
        <v>0</v>
      </c>
      <c r="S813">
        <f>IMSUM(J813,R813)</f>
        <v>0</v>
      </c>
      <c r="T813">
        <f>IMDIV("1",IMSUM(K813,IMDIV("1",S813)))</f>
        <v>0</v>
      </c>
      <c r="U813">
        <f>IMSUM(L813,T813)</f>
        <v>0</v>
      </c>
      <c r="V813">
        <f>IMDIV(COMPLEX(I_DM_SOURCE,0),U813)</f>
        <v>0</v>
      </c>
      <c r="W813">
        <f>IMPRODUCT(V813,T813)</f>
        <v>0</v>
      </c>
      <c r="X813">
        <f>IMDIV(W813,S813)</f>
        <v>0</v>
      </c>
      <c r="Y813">
        <f>IMPRODUCT(X813,R813)</f>
        <v>0</v>
      </c>
      <c r="Z813">
        <f>IMDIV(Y813,Q813)</f>
        <v>0</v>
      </c>
      <c r="AA813">
        <f>IMPRODUCT(Z813,P813)</f>
        <v>0</v>
      </c>
      <c r="AB813">
        <f>AA813</f>
        <v>0</v>
      </c>
      <c r="AC813">
        <f>IMPRODUCT("-1",AB813)</f>
        <v>0</v>
      </c>
      <c r="AD813">
        <f>IMDIV(IMSUB(AB813,AC813),"2")</f>
        <v>0</v>
      </c>
      <c r="AE813" s="6">
        <f>IMABS(AB813)</f>
        <v>0</v>
      </c>
      <c r="AF813" s="6">
        <f>IMABS(AC813)</f>
        <v>0</v>
      </c>
      <c r="AG813" s="6">
        <f>IMABS(AD813)</f>
        <v>0</v>
      </c>
      <c r="AH813" s="7">
        <f>20*LOG10(MAX(AE813,1E-300)*1E6)</f>
        <v>0</v>
      </c>
      <c r="AI813" s="7">
        <f>20*LOG10(MAX(AF813,1E-300)*1E6)</f>
        <v>0</v>
      </c>
      <c r="AJ813" s="7">
        <f>20*LOG10(MAX(AG813,1E-300)*1E6)</f>
        <v>0</v>
      </c>
      <c r="AK813" s="7">
        <f>DEGREES(IMARGUMENT(AB813))</f>
        <v>0</v>
      </c>
      <c r="AL813" s="7">
        <f>DEGREES(IMARGUMENT(AC813))</f>
        <v>0</v>
      </c>
      <c r="AM813" s="7">
        <f>DEGREES(IMARGUMENT(AD813))</f>
        <v>0</v>
      </c>
    </row>
    <row r="814" spans="1:39">
      <c r="A814" s="6">
        <f>10^(LOG10(F_START)+(ROW()-ROW($A$2))*(LOG10(F_STOP)-LOG10(F_START))/(N_POINTS-1))</f>
        <v>0</v>
      </c>
      <c r="B814" s="6">
        <f>2*PI()*A814</f>
        <v>0</v>
      </c>
      <c r="C814">
        <f>COMPLEX(2*LINE_PS_DCR,2*B814*LINE_PS_L)</f>
        <v>0</v>
      </c>
      <c r="D814">
        <f>IMSUM(COMPLEX(0,B814*(LINE_PS_CLINE+LINE_PS_CCHA/2)),IMDIV("1",IMPRODUCT("2",COMPLEX(C_THROUGH_ESR,B814*C_THROUGH_ESL-1/(B814*C_THROUGH_C)))))</f>
        <v>0</v>
      </c>
      <c r="E814">
        <f>COMPLEX(2*LINE_INPUT_DCR,2*B814*LINE_INPUT_L)</f>
        <v>0</v>
      </c>
      <c r="F814">
        <f>COMPLEX(0,B814*(LINE_INPUT_CLINE+LINE_INPUT_CCHA/2))</f>
        <v>0</v>
      </c>
      <c r="G814">
        <f>IMPRODUCT("2",IMDIV("1",IMSUM(IMDIV("1",COMPLEX(LDM1_DCR,B814*LDM1_L)),COMPLEX(0,B814*LDM1_CPA))))</f>
        <v>0</v>
      </c>
      <c r="H814">
        <f>IMSUM(IMDIV("1",COMPLEX(CX1_ESR,B814*CX1_ESL-1/(B814*CX1_C))),IMDIV("1",IMSUM(COMPLEX(DUMP1_R,0),COMPLEX(DUMP1_ESR,B814*DUMP1_ESL-1/(B814*DUMP1_C)))))</f>
        <v>0</v>
      </c>
      <c r="I814">
        <f>IMPRODUCT("2",IMDIV("1",IMSUM(IMDIV("1",COMPLEX(LDM2_DCR,B814*LDM2_L)),COMPLEX(0,B814*LDM2_CPA))))</f>
        <v>0</v>
      </c>
      <c r="J814">
        <f>IMSUM(IMDIV("1",COMPLEX(CX2_ESR,B814*CX2_ESL-1/(B814*CX2_C))),IMDIV("1",IMSUM(COMPLEX(DUMP2_R,0),COMPLEX(DUMP2_ESR,B814*DUMP2_ESL-1/(B814*DUMP2_C)))))</f>
        <v>0</v>
      </c>
      <c r="K814">
        <f>IMPRODUCT("2",IMDIV("1",IMSUM(IMDIV("1",COMPLEX(CMC_DCR,B814*CMC_L*(1-CMC_K))),COMPLEX(0,B814*CMC_CPA))))</f>
        <v>0</v>
      </c>
      <c r="L814">
        <f>IMSUM(COMPLEX(0,B814*CMC_CLINE),IMDIV("1",IMPRODUCT("2",COMPLEX(CY_ESR,B814*CY_ESL-1/(B814*CY_C)))),COMPLEX(1/DUMMY_R,0))</f>
        <v>0</v>
      </c>
      <c r="M814">
        <f>IMSUM(D814,IMDIV("1",C814))</f>
        <v>0</v>
      </c>
      <c r="N814">
        <f>IMDIV("1",IMSUM(E814,IMDIV("1",M814)))</f>
        <v>0</v>
      </c>
      <c r="O814">
        <f>IMSUM(F814,N814)</f>
        <v>0</v>
      </c>
      <c r="P814">
        <f>IMDIV("1",IMSUM(G814,IMDIV("1",O814)))</f>
        <v>0</v>
      </c>
      <c r="Q814">
        <f>IMSUM(H814,P814)</f>
        <v>0</v>
      </c>
      <c r="R814">
        <f>IMDIV("1",IMSUM(I814,IMDIV("1",Q814)))</f>
        <v>0</v>
      </c>
      <c r="S814">
        <f>IMSUM(J814,R814)</f>
        <v>0</v>
      </c>
      <c r="T814">
        <f>IMDIV("1",IMSUM(K814,IMDIV("1",S814)))</f>
        <v>0</v>
      </c>
      <c r="U814">
        <f>IMSUM(L814,T814)</f>
        <v>0</v>
      </c>
      <c r="V814">
        <f>IMDIV(COMPLEX(I_DM_SOURCE,0),U814)</f>
        <v>0</v>
      </c>
      <c r="W814">
        <f>IMPRODUCT(V814,T814)</f>
        <v>0</v>
      </c>
      <c r="X814">
        <f>IMDIV(W814,S814)</f>
        <v>0</v>
      </c>
      <c r="Y814">
        <f>IMPRODUCT(X814,R814)</f>
        <v>0</v>
      </c>
      <c r="Z814">
        <f>IMDIV(Y814,Q814)</f>
        <v>0</v>
      </c>
      <c r="AA814">
        <f>IMPRODUCT(Z814,P814)</f>
        <v>0</v>
      </c>
      <c r="AB814">
        <f>AA814</f>
        <v>0</v>
      </c>
      <c r="AC814">
        <f>IMPRODUCT("-1",AB814)</f>
        <v>0</v>
      </c>
      <c r="AD814">
        <f>IMDIV(IMSUB(AB814,AC814),"2")</f>
        <v>0</v>
      </c>
      <c r="AE814" s="6">
        <f>IMABS(AB814)</f>
        <v>0</v>
      </c>
      <c r="AF814" s="6">
        <f>IMABS(AC814)</f>
        <v>0</v>
      </c>
      <c r="AG814" s="6">
        <f>IMABS(AD814)</f>
        <v>0</v>
      </c>
      <c r="AH814" s="7">
        <f>20*LOG10(MAX(AE814,1E-300)*1E6)</f>
        <v>0</v>
      </c>
      <c r="AI814" s="7">
        <f>20*LOG10(MAX(AF814,1E-300)*1E6)</f>
        <v>0</v>
      </c>
      <c r="AJ814" s="7">
        <f>20*LOG10(MAX(AG814,1E-300)*1E6)</f>
        <v>0</v>
      </c>
      <c r="AK814" s="7">
        <f>DEGREES(IMARGUMENT(AB814))</f>
        <v>0</v>
      </c>
      <c r="AL814" s="7">
        <f>DEGREES(IMARGUMENT(AC814))</f>
        <v>0</v>
      </c>
      <c r="AM814" s="7">
        <f>DEGREES(IMARGUMENT(AD814))</f>
        <v>0</v>
      </c>
    </row>
    <row r="815" spans="1:39">
      <c r="A815" s="6">
        <f>10^(LOG10(F_START)+(ROW()-ROW($A$2))*(LOG10(F_STOP)-LOG10(F_START))/(N_POINTS-1))</f>
        <v>0</v>
      </c>
      <c r="B815" s="6">
        <f>2*PI()*A815</f>
        <v>0</v>
      </c>
      <c r="C815">
        <f>COMPLEX(2*LINE_PS_DCR,2*B815*LINE_PS_L)</f>
        <v>0</v>
      </c>
      <c r="D815">
        <f>IMSUM(COMPLEX(0,B815*(LINE_PS_CLINE+LINE_PS_CCHA/2)),IMDIV("1",IMPRODUCT("2",COMPLEX(C_THROUGH_ESR,B815*C_THROUGH_ESL-1/(B815*C_THROUGH_C)))))</f>
        <v>0</v>
      </c>
      <c r="E815">
        <f>COMPLEX(2*LINE_INPUT_DCR,2*B815*LINE_INPUT_L)</f>
        <v>0</v>
      </c>
      <c r="F815">
        <f>COMPLEX(0,B815*(LINE_INPUT_CLINE+LINE_INPUT_CCHA/2))</f>
        <v>0</v>
      </c>
      <c r="G815">
        <f>IMPRODUCT("2",IMDIV("1",IMSUM(IMDIV("1",COMPLEX(LDM1_DCR,B815*LDM1_L)),COMPLEX(0,B815*LDM1_CPA))))</f>
        <v>0</v>
      </c>
      <c r="H815">
        <f>IMSUM(IMDIV("1",COMPLEX(CX1_ESR,B815*CX1_ESL-1/(B815*CX1_C))),IMDIV("1",IMSUM(COMPLEX(DUMP1_R,0),COMPLEX(DUMP1_ESR,B815*DUMP1_ESL-1/(B815*DUMP1_C)))))</f>
        <v>0</v>
      </c>
      <c r="I815">
        <f>IMPRODUCT("2",IMDIV("1",IMSUM(IMDIV("1",COMPLEX(LDM2_DCR,B815*LDM2_L)),COMPLEX(0,B815*LDM2_CPA))))</f>
        <v>0</v>
      </c>
      <c r="J815">
        <f>IMSUM(IMDIV("1",COMPLEX(CX2_ESR,B815*CX2_ESL-1/(B815*CX2_C))),IMDIV("1",IMSUM(COMPLEX(DUMP2_R,0),COMPLEX(DUMP2_ESR,B815*DUMP2_ESL-1/(B815*DUMP2_C)))))</f>
        <v>0</v>
      </c>
      <c r="K815">
        <f>IMPRODUCT("2",IMDIV("1",IMSUM(IMDIV("1",COMPLEX(CMC_DCR,B815*CMC_L*(1-CMC_K))),COMPLEX(0,B815*CMC_CPA))))</f>
        <v>0</v>
      </c>
      <c r="L815">
        <f>IMSUM(COMPLEX(0,B815*CMC_CLINE),IMDIV("1",IMPRODUCT("2",COMPLEX(CY_ESR,B815*CY_ESL-1/(B815*CY_C)))),COMPLEX(1/DUMMY_R,0))</f>
        <v>0</v>
      </c>
      <c r="M815">
        <f>IMSUM(D815,IMDIV("1",C815))</f>
        <v>0</v>
      </c>
      <c r="N815">
        <f>IMDIV("1",IMSUM(E815,IMDIV("1",M815)))</f>
        <v>0</v>
      </c>
      <c r="O815">
        <f>IMSUM(F815,N815)</f>
        <v>0</v>
      </c>
      <c r="P815">
        <f>IMDIV("1",IMSUM(G815,IMDIV("1",O815)))</f>
        <v>0</v>
      </c>
      <c r="Q815">
        <f>IMSUM(H815,P815)</f>
        <v>0</v>
      </c>
      <c r="R815">
        <f>IMDIV("1",IMSUM(I815,IMDIV("1",Q815)))</f>
        <v>0</v>
      </c>
      <c r="S815">
        <f>IMSUM(J815,R815)</f>
        <v>0</v>
      </c>
      <c r="T815">
        <f>IMDIV("1",IMSUM(K815,IMDIV("1",S815)))</f>
        <v>0</v>
      </c>
      <c r="U815">
        <f>IMSUM(L815,T815)</f>
        <v>0</v>
      </c>
      <c r="V815">
        <f>IMDIV(COMPLEX(I_DM_SOURCE,0),U815)</f>
        <v>0</v>
      </c>
      <c r="W815">
        <f>IMPRODUCT(V815,T815)</f>
        <v>0</v>
      </c>
      <c r="X815">
        <f>IMDIV(W815,S815)</f>
        <v>0</v>
      </c>
      <c r="Y815">
        <f>IMPRODUCT(X815,R815)</f>
        <v>0</v>
      </c>
      <c r="Z815">
        <f>IMDIV(Y815,Q815)</f>
        <v>0</v>
      </c>
      <c r="AA815">
        <f>IMPRODUCT(Z815,P815)</f>
        <v>0</v>
      </c>
      <c r="AB815">
        <f>AA815</f>
        <v>0</v>
      </c>
      <c r="AC815">
        <f>IMPRODUCT("-1",AB815)</f>
        <v>0</v>
      </c>
      <c r="AD815">
        <f>IMDIV(IMSUB(AB815,AC815),"2")</f>
        <v>0</v>
      </c>
      <c r="AE815" s="6">
        <f>IMABS(AB815)</f>
        <v>0</v>
      </c>
      <c r="AF815" s="6">
        <f>IMABS(AC815)</f>
        <v>0</v>
      </c>
      <c r="AG815" s="6">
        <f>IMABS(AD815)</f>
        <v>0</v>
      </c>
      <c r="AH815" s="7">
        <f>20*LOG10(MAX(AE815,1E-300)*1E6)</f>
        <v>0</v>
      </c>
      <c r="AI815" s="7">
        <f>20*LOG10(MAX(AF815,1E-300)*1E6)</f>
        <v>0</v>
      </c>
      <c r="AJ815" s="7">
        <f>20*LOG10(MAX(AG815,1E-300)*1E6)</f>
        <v>0</v>
      </c>
      <c r="AK815" s="7">
        <f>DEGREES(IMARGUMENT(AB815))</f>
        <v>0</v>
      </c>
      <c r="AL815" s="7">
        <f>DEGREES(IMARGUMENT(AC815))</f>
        <v>0</v>
      </c>
      <c r="AM815" s="7">
        <f>DEGREES(IMARGUMENT(AD815))</f>
        <v>0</v>
      </c>
    </row>
    <row r="816" spans="1:39">
      <c r="A816" s="6">
        <f>10^(LOG10(F_START)+(ROW()-ROW($A$2))*(LOG10(F_STOP)-LOG10(F_START))/(N_POINTS-1))</f>
        <v>0</v>
      </c>
      <c r="B816" s="6">
        <f>2*PI()*A816</f>
        <v>0</v>
      </c>
      <c r="C816">
        <f>COMPLEX(2*LINE_PS_DCR,2*B816*LINE_PS_L)</f>
        <v>0</v>
      </c>
      <c r="D816">
        <f>IMSUM(COMPLEX(0,B816*(LINE_PS_CLINE+LINE_PS_CCHA/2)),IMDIV("1",IMPRODUCT("2",COMPLEX(C_THROUGH_ESR,B816*C_THROUGH_ESL-1/(B816*C_THROUGH_C)))))</f>
        <v>0</v>
      </c>
      <c r="E816">
        <f>COMPLEX(2*LINE_INPUT_DCR,2*B816*LINE_INPUT_L)</f>
        <v>0</v>
      </c>
      <c r="F816">
        <f>COMPLEX(0,B816*(LINE_INPUT_CLINE+LINE_INPUT_CCHA/2))</f>
        <v>0</v>
      </c>
      <c r="G816">
        <f>IMPRODUCT("2",IMDIV("1",IMSUM(IMDIV("1",COMPLEX(LDM1_DCR,B816*LDM1_L)),COMPLEX(0,B816*LDM1_CPA))))</f>
        <v>0</v>
      </c>
      <c r="H816">
        <f>IMSUM(IMDIV("1",COMPLEX(CX1_ESR,B816*CX1_ESL-1/(B816*CX1_C))),IMDIV("1",IMSUM(COMPLEX(DUMP1_R,0),COMPLEX(DUMP1_ESR,B816*DUMP1_ESL-1/(B816*DUMP1_C)))))</f>
        <v>0</v>
      </c>
      <c r="I816">
        <f>IMPRODUCT("2",IMDIV("1",IMSUM(IMDIV("1",COMPLEX(LDM2_DCR,B816*LDM2_L)),COMPLEX(0,B816*LDM2_CPA))))</f>
        <v>0</v>
      </c>
      <c r="J816">
        <f>IMSUM(IMDIV("1",COMPLEX(CX2_ESR,B816*CX2_ESL-1/(B816*CX2_C))),IMDIV("1",IMSUM(COMPLEX(DUMP2_R,0),COMPLEX(DUMP2_ESR,B816*DUMP2_ESL-1/(B816*DUMP2_C)))))</f>
        <v>0</v>
      </c>
      <c r="K816">
        <f>IMPRODUCT("2",IMDIV("1",IMSUM(IMDIV("1",COMPLEX(CMC_DCR,B816*CMC_L*(1-CMC_K))),COMPLEX(0,B816*CMC_CPA))))</f>
        <v>0</v>
      </c>
      <c r="L816">
        <f>IMSUM(COMPLEX(0,B816*CMC_CLINE),IMDIV("1",IMPRODUCT("2",COMPLEX(CY_ESR,B816*CY_ESL-1/(B816*CY_C)))),COMPLEX(1/DUMMY_R,0))</f>
        <v>0</v>
      </c>
      <c r="M816">
        <f>IMSUM(D816,IMDIV("1",C816))</f>
        <v>0</v>
      </c>
      <c r="N816">
        <f>IMDIV("1",IMSUM(E816,IMDIV("1",M816)))</f>
        <v>0</v>
      </c>
      <c r="O816">
        <f>IMSUM(F816,N816)</f>
        <v>0</v>
      </c>
      <c r="P816">
        <f>IMDIV("1",IMSUM(G816,IMDIV("1",O816)))</f>
        <v>0</v>
      </c>
      <c r="Q816">
        <f>IMSUM(H816,P816)</f>
        <v>0</v>
      </c>
      <c r="R816">
        <f>IMDIV("1",IMSUM(I816,IMDIV("1",Q816)))</f>
        <v>0</v>
      </c>
      <c r="S816">
        <f>IMSUM(J816,R816)</f>
        <v>0</v>
      </c>
      <c r="T816">
        <f>IMDIV("1",IMSUM(K816,IMDIV("1",S816)))</f>
        <v>0</v>
      </c>
      <c r="U816">
        <f>IMSUM(L816,T816)</f>
        <v>0</v>
      </c>
      <c r="V816">
        <f>IMDIV(COMPLEX(I_DM_SOURCE,0),U816)</f>
        <v>0</v>
      </c>
      <c r="W816">
        <f>IMPRODUCT(V816,T816)</f>
        <v>0</v>
      </c>
      <c r="X816">
        <f>IMDIV(W816,S816)</f>
        <v>0</v>
      </c>
      <c r="Y816">
        <f>IMPRODUCT(X816,R816)</f>
        <v>0</v>
      </c>
      <c r="Z816">
        <f>IMDIV(Y816,Q816)</f>
        <v>0</v>
      </c>
      <c r="AA816">
        <f>IMPRODUCT(Z816,P816)</f>
        <v>0</v>
      </c>
      <c r="AB816">
        <f>AA816</f>
        <v>0</v>
      </c>
      <c r="AC816">
        <f>IMPRODUCT("-1",AB816)</f>
        <v>0</v>
      </c>
      <c r="AD816">
        <f>IMDIV(IMSUB(AB816,AC816),"2")</f>
        <v>0</v>
      </c>
      <c r="AE816" s="6">
        <f>IMABS(AB816)</f>
        <v>0</v>
      </c>
      <c r="AF816" s="6">
        <f>IMABS(AC816)</f>
        <v>0</v>
      </c>
      <c r="AG816" s="6">
        <f>IMABS(AD816)</f>
        <v>0</v>
      </c>
      <c r="AH816" s="7">
        <f>20*LOG10(MAX(AE816,1E-300)*1E6)</f>
        <v>0</v>
      </c>
      <c r="AI816" s="7">
        <f>20*LOG10(MAX(AF816,1E-300)*1E6)</f>
        <v>0</v>
      </c>
      <c r="AJ816" s="7">
        <f>20*LOG10(MAX(AG816,1E-300)*1E6)</f>
        <v>0</v>
      </c>
      <c r="AK816" s="7">
        <f>DEGREES(IMARGUMENT(AB816))</f>
        <v>0</v>
      </c>
      <c r="AL816" s="7">
        <f>DEGREES(IMARGUMENT(AC816))</f>
        <v>0</v>
      </c>
      <c r="AM816" s="7">
        <f>DEGREES(IMARGUMENT(AD816))</f>
        <v>0</v>
      </c>
    </row>
    <row r="817" spans="1:39">
      <c r="A817" s="6">
        <f>10^(LOG10(F_START)+(ROW()-ROW($A$2))*(LOG10(F_STOP)-LOG10(F_START))/(N_POINTS-1))</f>
        <v>0</v>
      </c>
      <c r="B817" s="6">
        <f>2*PI()*A817</f>
        <v>0</v>
      </c>
      <c r="C817">
        <f>COMPLEX(2*LINE_PS_DCR,2*B817*LINE_PS_L)</f>
        <v>0</v>
      </c>
      <c r="D817">
        <f>IMSUM(COMPLEX(0,B817*(LINE_PS_CLINE+LINE_PS_CCHA/2)),IMDIV("1",IMPRODUCT("2",COMPLEX(C_THROUGH_ESR,B817*C_THROUGH_ESL-1/(B817*C_THROUGH_C)))))</f>
        <v>0</v>
      </c>
      <c r="E817">
        <f>COMPLEX(2*LINE_INPUT_DCR,2*B817*LINE_INPUT_L)</f>
        <v>0</v>
      </c>
      <c r="F817">
        <f>COMPLEX(0,B817*(LINE_INPUT_CLINE+LINE_INPUT_CCHA/2))</f>
        <v>0</v>
      </c>
      <c r="G817">
        <f>IMPRODUCT("2",IMDIV("1",IMSUM(IMDIV("1",COMPLEX(LDM1_DCR,B817*LDM1_L)),COMPLEX(0,B817*LDM1_CPA))))</f>
        <v>0</v>
      </c>
      <c r="H817">
        <f>IMSUM(IMDIV("1",COMPLEX(CX1_ESR,B817*CX1_ESL-1/(B817*CX1_C))),IMDIV("1",IMSUM(COMPLEX(DUMP1_R,0),COMPLEX(DUMP1_ESR,B817*DUMP1_ESL-1/(B817*DUMP1_C)))))</f>
        <v>0</v>
      </c>
      <c r="I817">
        <f>IMPRODUCT("2",IMDIV("1",IMSUM(IMDIV("1",COMPLEX(LDM2_DCR,B817*LDM2_L)),COMPLEX(0,B817*LDM2_CPA))))</f>
        <v>0</v>
      </c>
      <c r="J817">
        <f>IMSUM(IMDIV("1",COMPLEX(CX2_ESR,B817*CX2_ESL-1/(B817*CX2_C))),IMDIV("1",IMSUM(COMPLEX(DUMP2_R,0),COMPLEX(DUMP2_ESR,B817*DUMP2_ESL-1/(B817*DUMP2_C)))))</f>
        <v>0</v>
      </c>
      <c r="K817">
        <f>IMPRODUCT("2",IMDIV("1",IMSUM(IMDIV("1",COMPLEX(CMC_DCR,B817*CMC_L*(1-CMC_K))),COMPLEX(0,B817*CMC_CPA))))</f>
        <v>0</v>
      </c>
      <c r="L817">
        <f>IMSUM(COMPLEX(0,B817*CMC_CLINE),IMDIV("1",IMPRODUCT("2",COMPLEX(CY_ESR,B817*CY_ESL-1/(B817*CY_C)))),COMPLEX(1/DUMMY_R,0))</f>
        <v>0</v>
      </c>
      <c r="M817">
        <f>IMSUM(D817,IMDIV("1",C817))</f>
        <v>0</v>
      </c>
      <c r="N817">
        <f>IMDIV("1",IMSUM(E817,IMDIV("1",M817)))</f>
        <v>0</v>
      </c>
      <c r="O817">
        <f>IMSUM(F817,N817)</f>
        <v>0</v>
      </c>
      <c r="P817">
        <f>IMDIV("1",IMSUM(G817,IMDIV("1",O817)))</f>
        <v>0</v>
      </c>
      <c r="Q817">
        <f>IMSUM(H817,P817)</f>
        <v>0</v>
      </c>
      <c r="R817">
        <f>IMDIV("1",IMSUM(I817,IMDIV("1",Q817)))</f>
        <v>0</v>
      </c>
      <c r="S817">
        <f>IMSUM(J817,R817)</f>
        <v>0</v>
      </c>
      <c r="T817">
        <f>IMDIV("1",IMSUM(K817,IMDIV("1",S817)))</f>
        <v>0</v>
      </c>
      <c r="U817">
        <f>IMSUM(L817,T817)</f>
        <v>0</v>
      </c>
      <c r="V817">
        <f>IMDIV(COMPLEX(I_DM_SOURCE,0),U817)</f>
        <v>0</v>
      </c>
      <c r="W817">
        <f>IMPRODUCT(V817,T817)</f>
        <v>0</v>
      </c>
      <c r="X817">
        <f>IMDIV(W817,S817)</f>
        <v>0</v>
      </c>
      <c r="Y817">
        <f>IMPRODUCT(X817,R817)</f>
        <v>0</v>
      </c>
      <c r="Z817">
        <f>IMDIV(Y817,Q817)</f>
        <v>0</v>
      </c>
      <c r="AA817">
        <f>IMPRODUCT(Z817,P817)</f>
        <v>0</v>
      </c>
      <c r="AB817">
        <f>AA817</f>
        <v>0</v>
      </c>
      <c r="AC817">
        <f>IMPRODUCT("-1",AB817)</f>
        <v>0</v>
      </c>
      <c r="AD817">
        <f>IMDIV(IMSUB(AB817,AC817),"2")</f>
        <v>0</v>
      </c>
      <c r="AE817" s="6">
        <f>IMABS(AB817)</f>
        <v>0</v>
      </c>
      <c r="AF817" s="6">
        <f>IMABS(AC817)</f>
        <v>0</v>
      </c>
      <c r="AG817" s="6">
        <f>IMABS(AD817)</f>
        <v>0</v>
      </c>
      <c r="AH817" s="7">
        <f>20*LOG10(MAX(AE817,1E-300)*1E6)</f>
        <v>0</v>
      </c>
      <c r="AI817" s="7">
        <f>20*LOG10(MAX(AF817,1E-300)*1E6)</f>
        <v>0</v>
      </c>
      <c r="AJ817" s="7">
        <f>20*LOG10(MAX(AG817,1E-300)*1E6)</f>
        <v>0</v>
      </c>
      <c r="AK817" s="7">
        <f>DEGREES(IMARGUMENT(AB817))</f>
        <v>0</v>
      </c>
      <c r="AL817" s="7">
        <f>DEGREES(IMARGUMENT(AC817))</f>
        <v>0</v>
      </c>
      <c r="AM817" s="7">
        <f>DEGREES(IMARGUMENT(AD817))</f>
        <v>0</v>
      </c>
    </row>
    <row r="818" spans="1:39">
      <c r="A818" s="6">
        <f>10^(LOG10(F_START)+(ROW()-ROW($A$2))*(LOG10(F_STOP)-LOG10(F_START))/(N_POINTS-1))</f>
        <v>0</v>
      </c>
      <c r="B818" s="6">
        <f>2*PI()*A818</f>
        <v>0</v>
      </c>
      <c r="C818">
        <f>COMPLEX(2*LINE_PS_DCR,2*B818*LINE_PS_L)</f>
        <v>0</v>
      </c>
      <c r="D818">
        <f>IMSUM(COMPLEX(0,B818*(LINE_PS_CLINE+LINE_PS_CCHA/2)),IMDIV("1",IMPRODUCT("2",COMPLEX(C_THROUGH_ESR,B818*C_THROUGH_ESL-1/(B818*C_THROUGH_C)))))</f>
        <v>0</v>
      </c>
      <c r="E818">
        <f>COMPLEX(2*LINE_INPUT_DCR,2*B818*LINE_INPUT_L)</f>
        <v>0</v>
      </c>
      <c r="F818">
        <f>COMPLEX(0,B818*(LINE_INPUT_CLINE+LINE_INPUT_CCHA/2))</f>
        <v>0</v>
      </c>
      <c r="G818">
        <f>IMPRODUCT("2",IMDIV("1",IMSUM(IMDIV("1",COMPLEX(LDM1_DCR,B818*LDM1_L)),COMPLEX(0,B818*LDM1_CPA))))</f>
        <v>0</v>
      </c>
      <c r="H818">
        <f>IMSUM(IMDIV("1",COMPLEX(CX1_ESR,B818*CX1_ESL-1/(B818*CX1_C))),IMDIV("1",IMSUM(COMPLEX(DUMP1_R,0),COMPLEX(DUMP1_ESR,B818*DUMP1_ESL-1/(B818*DUMP1_C)))))</f>
        <v>0</v>
      </c>
      <c r="I818">
        <f>IMPRODUCT("2",IMDIV("1",IMSUM(IMDIV("1",COMPLEX(LDM2_DCR,B818*LDM2_L)),COMPLEX(0,B818*LDM2_CPA))))</f>
        <v>0</v>
      </c>
      <c r="J818">
        <f>IMSUM(IMDIV("1",COMPLEX(CX2_ESR,B818*CX2_ESL-1/(B818*CX2_C))),IMDIV("1",IMSUM(COMPLEX(DUMP2_R,0),COMPLEX(DUMP2_ESR,B818*DUMP2_ESL-1/(B818*DUMP2_C)))))</f>
        <v>0</v>
      </c>
      <c r="K818">
        <f>IMPRODUCT("2",IMDIV("1",IMSUM(IMDIV("1",COMPLEX(CMC_DCR,B818*CMC_L*(1-CMC_K))),COMPLEX(0,B818*CMC_CPA))))</f>
        <v>0</v>
      </c>
      <c r="L818">
        <f>IMSUM(COMPLEX(0,B818*CMC_CLINE),IMDIV("1",IMPRODUCT("2",COMPLEX(CY_ESR,B818*CY_ESL-1/(B818*CY_C)))),COMPLEX(1/DUMMY_R,0))</f>
        <v>0</v>
      </c>
      <c r="M818">
        <f>IMSUM(D818,IMDIV("1",C818))</f>
        <v>0</v>
      </c>
      <c r="N818">
        <f>IMDIV("1",IMSUM(E818,IMDIV("1",M818)))</f>
        <v>0</v>
      </c>
      <c r="O818">
        <f>IMSUM(F818,N818)</f>
        <v>0</v>
      </c>
      <c r="P818">
        <f>IMDIV("1",IMSUM(G818,IMDIV("1",O818)))</f>
        <v>0</v>
      </c>
      <c r="Q818">
        <f>IMSUM(H818,P818)</f>
        <v>0</v>
      </c>
      <c r="R818">
        <f>IMDIV("1",IMSUM(I818,IMDIV("1",Q818)))</f>
        <v>0</v>
      </c>
      <c r="S818">
        <f>IMSUM(J818,R818)</f>
        <v>0</v>
      </c>
      <c r="T818">
        <f>IMDIV("1",IMSUM(K818,IMDIV("1",S818)))</f>
        <v>0</v>
      </c>
      <c r="U818">
        <f>IMSUM(L818,T818)</f>
        <v>0</v>
      </c>
      <c r="V818">
        <f>IMDIV(COMPLEX(I_DM_SOURCE,0),U818)</f>
        <v>0</v>
      </c>
      <c r="W818">
        <f>IMPRODUCT(V818,T818)</f>
        <v>0</v>
      </c>
      <c r="X818">
        <f>IMDIV(W818,S818)</f>
        <v>0</v>
      </c>
      <c r="Y818">
        <f>IMPRODUCT(X818,R818)</f>
        <v>0</v>
      </c>
      <c r="Z818">
        <f>IMDIV(Y818,Q818)</f>
        <v>0</v>
      </c>
      <c r="AA818">
        <f>IMPRODUCT(Z818,P818)</f>
        <v>0</v>
      </c>
      <c r="AB818">
        <f>AA818</f>
        <v>0</v>
      </c>
      <c r="AC818">
        <f>IMPRODUCT("-1",AB818)</f>
        <v>0</v>
      </c>
      <c r="AD818">
        <f>IMDIV(IMSUB(AB818,AC818),"2")</f>
        <v>0</v>
      </c>
      <c r="AE818" s="6">
        <f>IMABS(AB818)</f>
        <v>0</v>
      </c>
      <c r="AF818" s="6">
        <f>IMABS(AC818)</f>
        <v>0</v>
      </c>
      <c r="AG818" s="6">
        <f>IMABS(AD818)</f>
        <v>0</v>
      </c>
      <c r="AH818" s="7">
        <f>20*LOG10(MAX(AE818,1E-300)*1E6)</f>
        <v>0</v>
      </c>
      <c r="AI818" s="7">
        <f>20*LOG10(MAX(AF818,1E-300)*1E6)</f>
        <v>0</v>
      </c>
      <c r="AJ818" s="7">
        <f>20*LOG10(MAX(AG818,1E-300)*1E6)</f>
        <v>0</v>
      </c>
      <c r="AK818" s="7">
        <f>DEGREES(IMARGUMENT(AB818))</f>
        <v>0</v>
      </c>
      <c r="AL818" s="7">
        <f>DEGREES(IMARGUMENT(AC818))</f>
        <v>0</v>
      </c>
      <c r="AM818" s="7">
        <f>DEGREES(IMARGUMENT(AD818))</f>
        <v>0</v>
      </c>
    </row>
    <row r="819" spans="1:39">
      <c r="A819" s="6">
        <f>10^(LOG10(F_START)+(ROW()-ROW($A$2))*(LOG10(F_STOP)-LOG10(F_START))/(N_POINTS-1))</f>
        <v>0</v>
      </c>
      <c r="B819" s="6">
        <f>2*PI()*A819</f>
        <v>0</v>
      </c>
      <c r="C819">
        <f>COMPLEX(2*LINE_PS_DCR,2*B819*LINE_PS_L)</f>
        <v>0</v>
      </c>
      <c r="D819">
        <f>IMSUM(COMPLEX(0,B819*(LINE_PS_CLINE+LINE_PS_CCHA/2)),IMDIV("1",IMPRODUCT("2",COMPLEX(C_THROUGH_ESR,B819*C_THROUGH_ESL-1/(B819*C_THROUGH_C)))))</f>
        <v>0</v>
      </c>
      <c r="E819">
        <f>COMPLEX(2*LINE_INPUT_DCR,2*B819*LINE_INPUT_L)</f>
        <v>0</v>
      </c>
      <c r="F819">
        <f>COMPLEX(0,B819*(LINE_INPUT_CLINE+LINE_INPUT_CCHA/2))</f>
        <v>0</v>
      </c>
      <c r="G819">
        <f>IMPRODUCT("2",IMDIV("1",IMSUM(IMDIV("1",COMPLEX(LDM1_DCR,B819*LDM1_L)),COMPLEX(0,B819*LDM1_CPA))))</f>
        <v>0</v>
      </c>
      <c r="H819">
        <f>IMSUM(IMDIV("1",COMPLEX(CX1_ESR,B819*CX1_ESL-1/(B819*CX1_C))),IMDIV("1",IMSUM(COMPLEX(DUMP1_R,0),COMPLEX(DUMP1_ESR,B819*DUMP1_ESL-1/(B819*DUMP1_C)))))</f>
        <v>0</v>
      </c>
      <c r="I819">
        <f>IMPRODUCT("2",IMDIV("1",IMSUM(IMDIV("1",COMPLEX(LDM2_DCR,B819*LDM2_L)),COMPLEX(0,B819*LDM2_CPA))))</f>
        <v>0</v>
      </c>
      <c r="J819">
        <f>IMSUM(IMDIV("1",COMPLEX(CX2_ESR,B819*CX2_ESL-1/(B819*CX2_C))),IMDIV("1",IMSUM(COMPLEX(DUMP2_R,0),COMPLEX(DUMP2_ESR,B819*DUMP2_ESL-1/(B819*DUMP2_C)))))</f>
        <v>0</v>
      </c>
      <c r="K819">
        <f>IMPRODUCT("2",IMDIV("1",IMSUM(IMDIV("1",COMPLEX(CMC_DCR,B819*CMC_L*(1-CMC_K))),COMPLEX(0,B819*CMC_CPA))))</f>
        <v>0</v>
      </c>
      <c r="L819">
        <f>IMSUM(COMPLEX(0,B819*CMC_CLINE),IMDIV("1",IMPRODUCT("2",COMPLEX(CY_ESR,B819*CY_ESL-1/(B819*CY_C)))),COMPLEX(1/DUMMY_R,0))</f>
        <v>0</v>
      </c>
      <c r="M819">
        <f>IMSUM(D819,IMDIV("1",C819))</f>
        <v>0</v>
      </c>
      <c r="N819">
        <f>IMDIV("1",IMSUM(E819,IMDIV("1",M819)))</f>
        <v>0</v>
      </c>
      <c r="O819">
        <f>IMSUM(F819,N819)</f>
        <v>0</v>
      </c>
      <c r="P819">
        <f>IMDIV("1",IMSUM(G819,IMDIV("1",O819)))</f>
        <v>0</v>
      </c>
      <c r="Q819">
        <f>IMSUM(H819,P819)</f>
        <v>0</v>
      </c>
      <c r="R819">
        <f>IMDIV("1",IMSUM(I819,IMDIV("1",Q819)))</f>
        <v>0</v>
      </c>
      <c r="S819">
        <f>IMSUM(J819,R819)</f>
        <v>0</v>
      </c>
      <c r="T819">
        <f>IMDIV("1",IMSUM(K819,IMDIV("1",S819)))</f>
        <v>0</v>
      </c>
      <c r="U819">
        <f>IMSUM(L819,T819)</f>
        <v>0</v>
      </c>
      <c r="V819">
        <f>IMDIV(COMPLEX(I_DM_SOURCE,0),U819)</f>
        <v>0</v>
      </c>
      <c r="W819">
        <f>IMPRODUCT(V819,T819)</f>
        <v>0</v>
      </c>
      <c r="X819">
        <f>IMDIV(W819,S819)</f>
        <v>0</v>
      </c>
      <c r="Y819">
        <f>IMPRODUCT(X819,R819)</f>
        <v>0</v>
      </c>
      <c r="Z819">
        <f>IMDIV(Y819,Q819)</f>
        <v>0</v>
      </c>
      <c r="AA819">
        <f>IMPRODUCT(Z819,P819)</f>
        <v>0</v>
      </c>
      <c r="AB819">
        <f>AA819</f>
        <v>0</v>
      </c>
      <c r="AC819">
        <f>IMPRODUCT("-1",AB819)</f>
        <v>0</v>
      </c>
      <c r="AD819">
        <f>IMDIV(IMSUB(AB819,AC819),"2")</f>
        <v>0</v>
      </c>
      <c r="AE819" s="6">
        <f>IMABS(AB819)</f>
        <v>0</v>
      </c>
      <c r="AF819" s="6">
        <f>IMABS(AC819)</f>
        <v>0</v>
      </c>
      <c r="AG819" s="6">
        <f>IMABS(AD819)</f>
        <v>0</v>
      </c>
      <c r="AH819" s="7">
        <f>20*LOG10(MAX(AE819,1E-300)*1E6)</f>
        <v>0</v>
      </c>
      <c r="AI819" s="7">
        <f>20*LOG10(MAX(AF819,1E-300)*1E6)</f>
        <v>0</v>
      </c>
      <c r="AJ819" s="7">
        <f>20*LOG10(MAX(AG819,1E-300)*1E6)</f>
        <v>0</v>
      </c>
      <c r="AK819" s="7">
        <f>DEGREES(IMARGUMENT(AB819))</f>
        <v>0</v>
      </c>
      <c r="AL819" s="7">
        <f>DEGREES(IMARGUMENT(AC819))</f>
        <v>0</v>
      </c>
      <c r="AM819" s="7">
        <f>DEGREES(IMARGUMENT(AD819))</f>
        <v>0</v>
      </c>
    </row>
    <row r="820" spans="1:39">
      <c r="A820" s="6">
        <f>10^(LOG10(F_START)+(ROW()-ROW($A$2))*(LOG10(F_STOP)-LOG10(F_START))/(N_POINTS-1))</f>
        <v>0</v>
      </c>
      <c r="B820" s="6">
        <f>2*PI()*A820</f>
        <v>0</v>
      </c>
      <c r="C820">
        <f>COMPLEX(2*LINE_PS_DCR,2*B820*LINE_PS_L)</f>
        <v>0</v>
      </c>
      <c r="D820">
        <f>IMSUM(COMPLEX(0,B820*(LINE_PS_CLINE+LINE_PS_CCHA/2)),IMDIV("1",IMPRODUCT("2",COMPLEX(C_THROUGH_ESR,B820*C_THROUGH_ESL-1/(B820*C_THROUGH_C)))))</f>
        <v>0</v>
      </c>
      <c r="E820">
        <f>COMPLEX(2*LINE_INPUT_DCR,2*B820*LINE_INPUT_L)</f>
        <v>0</v>
      </c>
      <c r="F820">
        <f>COMPLEX(0,B820*(LINE_INPUT_CLINE+LINE_INPUT_CCHA/2))</f>
        <v>0</v>
      </c>
      <c r="G820">
        <f>IMPRODUCT("2",IMDIV("1",IMSUM(IMDIV("1",COMPLEX(LDM1_DCR,B820*LDM1_L)),COMPLEX(0,B820*LDM1_CPA))))</f>
        <v>0</v>
      </c>
      <c r="H820">
        <f>IMSUM(IMDIV("1",COMPLEX(CX1_ESR,B820*CX1_ESL-1/(B820*CX1_C))),IMDIV("1",IMSUM(COMPLEX(DUMP1_R,0),COMPLEX(DUMP1_ESR,B820*DUMP1_ESL-1/(B820*DUMP1_C)))))</f>
        <v>0</v>
      </c>
      <c r="I820">
        <f>IMPRODUCT("2",IMDIV("1",IMSUM(IMDIV("1",COMPLEX(LDM2_DCR,B820*LDM2_L)),COMPLEX(0,B820*LDM2_CPA))))</f>
        <v>0</v>
      </c>
      <c r="J820">
        <f>IMSUM(IMDIV("1",COMPLEX(CX2_ESR,B820*CX2_ESL-1/(B820*CX2_C))),IMDIV("1",IMSUM(COMPLEX(DUMP2_R,0),COMPLEX(DUMP2_ESR,B820*DUMP2_ESL-1/(B820*DUMP2_C)))))</f>
        <v>0</v>
      </c>
      <c r="K820">
        <f>IMPRODUCT("2",IMDIV("1",IMSUM(IMDIV("1",COMPLEX(CMC_DCR,B820*CMC_L*(1-CMC_K))),COMPLEX(0,B820*CMC_CPA))))</f>
        <v>0</v>
      </c>
      <c r="L820">
        <f>IMSUM(COMPLEX(0,B820*CMC_CLINE),IMDIV("1",IMPRODUCT("2",COMPLEX(CY_ESR,B820*CY_ESL-1/(B820*CY_C)))),COMPLEX(1/DUMMY_R,0))</f>
        <v>0</v>
      </c>
      <c r="M820">
        <f>IMSUM(D820,IMDIV("1",C820))</f>
        <v>0</v>
      </c>
      <c r="N820">
        <f>IMDIV("1",IMSUM(E820,IMDIV("1",M820)))</f>
        <v>0</v>
      </c>
      <c r="O820">
        <f>IMSUM(F820,N820)</f>
        <v>0</v>
      </c>
      <c r="P820">
        <f>IMDIV("1",IMSUM(G820,IMDIV("1",O820)))</f>
        <v>0</v>
      </c>
      <c r="Q820">
        <f>IMSUM(H820,P820)</f>
        <v>0</v>
      </c>
      <c r="R820">
        <f>IMDIV("1",IMSUM(I820,IMDIV("1",Q820)))</f>
        <v>0</v>
      </c>
      <c r="S820">
        <f>IMSUM(J820,R820)</f>
        <v>0</v>
      </c>
      <c r="T820">
        <f>IMDIV("1",IMSUM(K820,IMDIV("1",S820)))</f>
        <v>0</v>
      </c>
      <c r="U820">
        <f>IMSUM(L820,T820)</f>
        <v>0</v>
      </c>
      <c r="V820">
        <f>IMDIV(COMPLEX(I_DM_SOURCE,0),U820)</f>
        <v>0</v>
      </c>
      <c r="W820">
        <f>IMPRODUCT(V820,T820)</f>
        <v>0</v>
      </c>
      <c r="X820">
        <f>IMDIV(W820,S820)</f>
        <v>0</v>
      </c>
      <c r="Y820">
        <f>IMPRODUCT(X820,R820)</f>
        <v>0</v>
      </c>
      <c r="Z820">
        <f>IMDIV(Y820,Q820)</f>
        <v>0</v>
      </c>
      <c r="AA820">
        <f>IMPRODUCT(Z820,P820)</f>
        <v>0</v>
      </c>
      <c r="AB820">
        <f>AA820</f>
        <v>0</v>
      </c>
      <c r="AC820">
        <f>IMPRODUCT("-1",AB820)</f>
        <v>0</v>
      </c>
      <c r="AD820">
        <f>IMDIV(IMSUB(AB820,AC820),"2")</f>
        <v>0</v>
      </c>
      <c r="AE820" s="6">
        <f>IMABS(AB820)</f>
        <v>0</v>
      </c>
      <c r="AF820" s="6">
        <f>IMABS(AC820)</f>
        <v>0</v>
      </c>
      <c r="AG820" s="6">
        <f>IMABS(AD820)</f>
        <v>0</v>
      </c>
      <c r="AH820" s="7">
        <f>20*LOG10(MAX(AE820,1E-300)*1E6)</f>
        <v>0</v>
      </c>
      <c r="AI820" s="7">
        <f>20*LOG10(MAX(AF820,1E-300)*1E6)</f>
        <v>0</v>
      </c>
      <c r="AJ820" s="7">
        <f>20*LOG10(MAX(AG820,1E-300)*1E6)</f>
        <v>0</v>
      </c>
      <c r="AK820" s="7">
        <f>DEGREES(IMARGUMENT(AB820))</f>
        <v>0</v>
      </c>
      <c r="AL820" s="7">
        <f>DEGREES(IMARGUMENT(AC820))</f>
        <v>0</v>
      </c>
      <c r="AM820" s="7">
        <f>DEGREES(IMARGUMENT(AD820))</f>
        <v>0</v>
      </c>
    </row>
    <row r="821" spans="1:39">
      <c r="A821" s="6">
        <f>10^(LOG10(F_START)+(ROW()-ROW($A$2))*(LOG10(F_STOP)-LOG10(F_START))/(N_POINTS-1))</f>
        <v>0</v>
      </c>
      <c r="B821" s="6">
        <f>2*PI()*A821</f>
        <v>0</v>
      </c>
      <c r="C821">
        <f>COMPLEX(2*LINE_PS_DCR,2*B821*LINE_PS_L)</f>
        <v>0</v>
      </c>
      <c r="D821">
        <f>IMSUM(COMPLEX(0,B821*(LINE_PS_CLINE+LINE_PS_CCHA/2)),IMDIV("1",IMPRODUCT("2",COMPLEX(C_THROUGH_ESR,B821*C_THROUGH_ESL-1/(B821*C_THROUGH_C)))))</f>
        <v>0</v>
      </c>
      <c r="E821">
        <f>COMPLEX(2*LINE_INPUT_DCR,2*B821*LINE_INPUT_L)</f>
        <v>0</v>
      </c>
      <c r="F821">
        <f>COMPLEX(0,B821*(LINE_INPUT_CLINE+LINE_INPUT_CCHA/2))</f>
        <v>0</v>
      </c>
      <c r="G821">
        <f>IMPRODUCT("2",IMDIV("1",IMSUM(IMDIV("1",COMPLEX(LDM1_DCR,B821*LDM1_L)),COMPLEX(0,B821*LDM1_CPA))))</f>
        <v>0</v>
      </c>
      <c r="H821">
        <f>IMSUM(IMDIV("1",COMPLEX(CX1_ESR,B821*CX1_ESL-1/(B821*CX1_C))),IMDIV("1",IMSUM(COMPLEX(DUMP1_R,0),COMPLEX(DUMP1_ESR,B821*DUMP1_ESL-1/(B821*DUMP1_C)))))</f>
        <v>0</v>
      </c>
      <c r="I821">
        <f>IMPRODUCT("2",IMDIV("1",IMSUM(IMDIV("1",COMPLEX(LDM2_DCR,B821*LDM2_L)),COMPLEX(0,B821*LDM2_CPA))))</f>
        <v>0</v>
      </c>
      <c r="J821">
        <f>IMSUM(IMDIV("1",COMPLEX(CX2_ESR,B821*CX2_ESL-1/(B821*CX2_C))),IMDIV("1",IMSUM(COMPLEX(DUMP2_R,0),COMPLEX(DUMP2_ESR,B821*DUMP2_ESL-1/(B821*DUMP2_C)))))</f>
        <v>0</v>
      </c>
      <c r="K821">
        <f>IMPRODUCT("2",IMDIV("1",IMSUM(IMDIV("1",COMPLEX(CMC_DCR,B821*CMC_L*(1-CMC_K))),COMPLEX(0,B821*CMC_CPA))))</f>
        <v>0</v>
      </c>
      <c r="L821">
        <f>IMSUM(COMPLEX(0,B821*CMC_CLINE),IMDIV("1",IMPRODUCT("2",COMPLEX(CY_ESR,B821*CY_ESL-1/(B821*CY_C)))),COMPLEX(1/DUMMY_R,0))</f>
        <v>0</v>
      </c>
      <c r="M821">
        <f>IMSUM(D821,IMDIV("1",C821))</f>
        <v>0</v>
      </c>
      <c r="N821">
        <f>IMDIV("1",IMSUM(E821,IMDIV("1",M821)))</f>
        <v>0</v>
      </c>
      <c r="O821">
        <f>IMSUM(F821,N821)</f>
        <v>0</v>
      </c>
      <c r="P821">
        <f>IMDIV("1",IMSUM(G821,IMDIV("1",O821)))</f>
        <v>0</v>
      </c>
      <c r="Q821">
        <f>IMSUM(H821,P821)</f>
        <v>0</v>
      </c>
      <c r="R821">
        <f>IMDIV("1",IMSUM(I821,IMDIV("1",Q821)))</f>
        <v>0</v>
      </c>
      <c r="S821">
        <f>IMSUM(J821,R821)</f>
        <v>0</v>
      </c>
      <c r="T821">
        <f>IMDIV("1",IMSUM(K821,IMDIV("1",S821)))</f>
        <v>0</v>
      </c>
      <c r="U821">
        <f>IMSUM(L821,T821)</f>
        <v>0</v>
      </c>
      <c r="V821">
        <f>IMDIV(COMPLEX(I_DM_SOURCE,0),U821)</f>
        <v>0</v>
      </c>
      <c r="W821">
        <f>IMPRODUCT(V821,T821)</f>
        <v>0</v>
      </c>
      <c r="X821">
        <f>IMDIV(W821,S821)</f>
        <v>0</v>
      </c>
      <c r="Y821">
        <f>IMPRODUCT(X821,R821)</f>
        <v>0</v>
      </c>
      <c r="Z821">
        <f>IMDIV(Y821,Q821)</f>
        <v>0</v>
      </c>
      <c r="AA821">
        <f>IMPRODUCT(Z821,P821)</f>
        <v>0</v>
      </c>
      <c r="AB821">
        <f>AA821</f>
        <v>0</v>
      </c>
      <c r="AC821">
        <f>IMPRODUCT("-1",AB821)</f>
        <v>0</v>
      </c>
      <c r="AD821">
        <f>IMDIV(IMSUB(AB821,AC821),"2")</f>
        <v>0</v>
      </c>
      <c r="AE821" s="6">
        <f>IMABS(AB821)</f>
        <v>0</v>
      </c>
      <c r="AF821" s="6">
        <f>IMABS(AC821)</f>
        <v>0</v>
      </c>
      <c r="AG821" s="6">
        <f>IMABS(AD821)</f>
        <v>0</v>
      </c>
      <c r="AH821" s="7">
        <f>20*LOG10(MAX(AE821,1E-300)*1E6)</f>
        <v>0</v>
      </c>
      <c r="AI821" s="7">
        <f>20*LOG10(MAX(AF821,1E-300)*1E6)</f>
        <v>0</v>
      </c>
      <c r="AJ821" s="7">
        <f>20*LOG10(MAX(AG821,1E-300)*1E6)</f>
        <v>0</v>
      </c>
      <c r="AK821" s="7">
        <f>DEGREES(IMARGUMENT(AB821))</f>
        <v>0</v>
      </c>
      <c r="AL821" s="7">
        <f>DEGREES(IMARGUMENT(AC821))</f>
        <v>0</v>
      </c>
      <c r="AM821" s="7">
        <f>DEGREES(IMARGUMENT(AD821))</f>
        <v>0</v>
      </c>
    </row>
    <row r="822" spans="1:39">
      <c r="A822" s="6">
        <f>10^(LOG10(F_START)+(ROW()-ROW($A$2))*(LOG10(F_STOP)-LOG10(F_START))/(N_POINTS-1))</f>
        <v>0</v>
      </c>
      <c r="B822" s="6">
        <f>2*PI()*A822</f>
        <v>0</v>
      </c>
      <c r="C822">
        <f>COMPLEX(2*LINE_PS_DCR,2*B822*LINE_PS_L)</f>
        <v>0</v>
      </c>
      <c r="D822">
        <f>IMSUM(COMPLEX(0,B822*(LINE_PS_CLINE+LINE_PS_CCHA/2)),IMDIV("1",IMPRODUCT("2",COMPLEX(C_THROUGH_ESR,B822*C_THROUGH_ESL-1/(B822*C_THROUGH_C)))))</f>
        <v>0</v>
      </c>
      <c r="E822">
        <f>COMPLEX(2*LINE_INPUT_DCR,2*B822*LINE_INPUT_L)</f>
        <v>0</v>
      </c>
      <c r="F822">
        <f>COMPLEX(0,B822*(LINE_INPUT_CLINE+LINE_INPUT_CCHA/2))</f>
        <v>0</v>
      </c>
      <c r="G822">
        <f>IMPRODUCT("2",IMDIV("1",IMSUM(IMDIV("1",COMPLEX(LDM1_DCR,B822*LDM1_L)),COMPLEX(0,B822*LDM1_CPA))))</f>
        <v>0</v>
      </c>
      <c r="H822">
        <f>IMSUM(IMDIV("1",COMPLEX(CX1_ESR,B822*CX1_ESL-1/(B822*CX1_C))),IMDIV("1",IMSUM(COMPLEX(DUMP1_R,0),COMPLEX(DUMP1_ESR,B822*DUMP1_ESL-1/(B822*DUMP1_C)))))</f>
        <v>0</v>
      </c>
      <c r="I822">
        <f>IMPRODUCT("2",IMDIV("1",IMSUM(IMDIV("1",COMPLEX(LDM2_DCR,B822*LDM2_L)),COMPLEX(0,B822*LDM2_CPA))))</f>
        <v>0</v>
      </c>
      <c r="J822">
        <f>IMSUM(IMDIV("1",COMPLEX(CX2_ESR,B822*CX2_ESL-1/(B822*CX2_C))),IMDIV("1",IMSUM(COMPLEX(DUMP2_R,0),COMPLEX(DUMP2_ESR,B822*DUMP2_ESL-1/(B822*DUMP2_C)))))</f>
        <v>0</v>
      </c>
      <c r="K822">
        <f>IMPRODUCT("2",IMDIV("1",IMSUM(IMDIV("1",COMPLEX(CMC_DCR,B822*CMC_L*(1-CMC_K))),COMPLEX(0,B822*CMC_CPA))))</f>
        <v>0</v>
      </c>
      <c r="L822">
        <f>IMSUM(COMPLEX(0,B822*CMC_CLINE),IMDIV("1",IMPRODUCT("2",COMPLEX(CY_ESR,B822*CY_ESL-1/(B822*CY_C)))),COMPLEX(1/DUMMY_R,0))</f>
        <v>0</v>
      </c>
      <c r="M822">
        <f>IMSUM(D822,IMDIV("1",C822))</f>
        <v>0</v>
      </c>
      <c r="N822">
        <f>IMDIV("1",IMSUM(E822,IMDIV("1",M822)))</f>
        <v>0</v>
      </c>
      <c r="O822">
        <f>IMSUM(F822,N822)</f>
        <v>0</v>
      </c>
      <c r="P822">
        <f>IMDIV("1",IMSUM(G822,IMDIV("1",O822)))</f>
        <v>0</v>
      </c>
      <c r="Q822">
        <f>IMSUM(H822,P822)</f>
        <v>0</v>
      </c>
      <c r="R822">
        <f>IMDIV("1",IMSUM(I822,IMDIV("1",Q822)))</f>
        <v>0</v>
      </c>
      <c r="S822">
        <f>IMSUM(J822,R822)</f>
        <v>0</v>
      </c>
      <c r="T822">
        <f>IMDIV("1",IMSUM(K822,IMDIV("1",S822)))</f>
        <v>0</v>
      </c>
      <c r="U822">
        <f>IMSUM(L822,T822)</f>
        <v>0</v>
      </c>
      <c r="V822">
        <f>IMDIV(COMPLEX(I_DM_SOURCE,0),U822)</f>
        <v>0</v>
      </c>
      <c r="W822">
        <f>IMPRODUCT(V822,T822)</f>
        <v>0</v>
      </c>
      <c r="X822">
        <f>IMDIV(W822,S822)</f>
        <v>0</v>
      </c>
      <c r="Y822">
        <f>IMPRODUCT(X822,R822)</f>
        <v>0</v>
      </c>
      <c r="Z822">
        <f>IMDIV(Y822,Q822)</f>
        <v>0</v>
      </c>
      <c r="AA822">
        <f>IMPRODUCT(Z822,P822)</f>
        <v>0</v>
      </c>
      <c r="AB822">
        <f>AA822</f>
        <v>0</v>
      </c>
      <c r="AC822">
        <f>IMPRODUCT("-1",AB822)</f>
        <v>0</v>
      </c>
      <c r="AD822">
        <f>IMDIV(IMSUB(AB822,AC822),"2")</f>
        <v>0</v>
      </c>
      <c r="AE822" s="6">
        <f>IMABS(AB822)</f>
        <v>0</v>
      </c>
      <c r="AF822" s="6">
        <f>IMABS(AC822)</f>
        <v>0</v>
      </c>
      <c r="AG822" s="6">
        <f>IMABS(AD822)</f>
        <v>0</v>
      </c>
      <c r="AH822" s="7">
        <f>20*LOG10(MAX(AE822,1E-300)*1E6)</f>
        <v>0</v>
      </c>
      <c r="AI822" s="7">
        <f>20*LOG10(MAX(AF822,1E-300)*1E6)</f>
        <v>0</v>
      </c>
      <c r="AJ822" s="7">
        <f>20*LOG10(MAX(AG822,1E-300)*1E6)</f>
        <v>0</v>
      </c>
      <c r="AK822" s="7">
        <f>DEGREES(IMARGUMENT(AB822))</f>
        <v>0</v>
      </c>
      <c r="AL822" s="7">
        <f>DEGREES(IMARGUMENT(AC822))</f>
        <v>0</v>
      </c>
      <c r="AM822" s="7">
        <f>DEGREES(IMARGUMENT(AD822))</f>
        <v>0</v>
      </c>
    </row>
    <row r="823" spans="1:39">
      <c r="A823" s="6">
        <f>10^(LOG10(F_START)+(ROW()-ROW($A$2))*(LOG10(F_STOP)-LOG10(F_START))/(N_POINTS-1))</f>
        <v>0</v>
      </c>
      <c r="B823" s="6">
        <f>2*PI()*A823</f>
        <v>0</v>
      </c>
      <c r="C823">
        <f>COMPLEX(2*LINE_PS_DCR,2*B823*LINE_PS_L)</f>
        <v>0</v>
      </c>
      <c r="D823">
        <f>IMSUM(COMPLEX(0,B823*(LINE_PS_CLINE+LINE_PS_CCHA/2)),IMDIV("1",IMPRODUCT("2",COMPLEX(C_THROUGH_ESR,B823*C_THROUGH_ESL-1/(B823*C_THROUGH_C)))))</f>
        <v>0</v>
      </c>
      <c r="E823">
        <f>COMPLEX(2*LINE_INPUT_DCR,2*B823*LINE_INPUT_L)</f>
        <v>0</v>
      </c>
      <c r="F823">
        <f>COMPLEX(0,B823*(LINE_INPUT_CLINE+LINE_INPUT_CCHA/2))</f>
        <v>0</v>
      </c>
      <c r="G823">
        <f>IMPRODUCT("2",IMDIV("1",IMSUM(IMDIV("1",COMPLEX(LDM1_DCR,B823*LDM1_L)),COMPLEX(0,B823*LDM1_CPA))))</f>
        <v>0</v>
      </c>
      <c r="H823">
        <f>IMSUM(IMDIV("1",COMPLEX(CX1_ESR,B823*CX1_ESL-1/(B823*CX1_C))),IMDIV("1",IMSUM(COMPLEX(DUMP1_R,0),COMPLEX(DUMP1_ESR,B823*DUMP1_ESL-1/(B823*DUMP1_C)))))</f>
        <v>0</v>
      </c>
      <c r="I823">
        <f>IMPRODUCT("2",IMDIV("1",IMSUM(IMDIV("1",COMPLEX(LDM2_DCR,B823*LDM2_L)),COMPLEX(0,B823*LDM2_CPA))))</f>
        <v>0</v>
      </c>
      <c r="J823">
        <f>IMSUM(IMDIV("1",COMPLEX(CX2_ESR,B823*CX2_ESL-1/(B823*CX2_C))),IMDIV("1",IMSUM(COMPLEX(DUMP2_R,0),COMPLEX(DUMP2_ESR,B823*DUMP2_ESL-1/(B823*DUMP2_C)))))</f>
        <v>0</v>
      </c>
      <c r="K823">
        <f>IMPRODUCT("2",IMDIV("1",IMSUM(IMDIV("1",COMPLEX(CMC_DCR,B823*CMC_L*(1-CMC_K))),COMPLEX(0,B823*CMC_CPA))))</f>
        <v>0</v>
      </c>
      <c r="L823">
        <f>IMSUM(COMPLEX(0,B823*CMC_CLINE),IMDIV("1",IMPRODUCT("2",COMPLEX(CY_ESR,B823*CY_ESL-1/(B823*CY_C)))),COMPLEX(1/DUMMY_R,0))</f>
        <v>0</v>
      </c>
      <c r="M823">
        <f>IMSUM(D823,IMDIV("1",C823))</f>
        <v>0</v>
      </c>
      <c r="N823">
        <f>IMDIV("1",IMSUM(E823,IMDIV("1",M823)))</f>
        <v>0</v>
      </c>
      <c r="O823">
        <f>IMSUM(F823,N823)</f>
        <v>0</v>
      </c>
      <c r="P823">
        <f>IMDIV("1",IMSUM(G823,IMDIV("1",O823)))</f>
        <v>0</v>
      </c>
      <c r="Q823">
        <f>IMSUM(H823,P823)</f>
        <v>0</v>
      </c>
      <c r="R823">
        <f>IMDIV("1",IMSUM(I823,IMDIV("1",Q823)))</f>
        <v>0</v>
      </c>
      <c r="S823">
        <f>IMSUM(J823,R823)</f>
        <v>0</v>
      </c>
      <c r="T823">
        <f>IMDIV("1",IMSUM(K823,IMDIV("1",S823)))</f>
        <v>0</v>
      </c>
      <c r="U823">
        <f>IMSUM(L823,T823)</f>
        <v>0</v>
      </c>
      <c r="V823">
        <f>IMDIV(COMPLEX(I_DM_SOURCE,0),U823)</f>
        <v>0</v>
      </c>
      <c r="W823">
        <f>IMPRODUCT(V823,T823)</f>
        <v>0</v>
      </c>
      <c r="X823">
        <f>IMDIV(W823,S823)</f>
        <v>0</v>
      </c>
      <c r="Y823">
        <f>IMPRODUCT(X823,R823)</f>
        <v>0</v>
      </c>
      <c r="Z823">
        <f>IMDIV(Y823,Q823)</f>
        <v>0</v>
      </c>
      <c r="AA823">
        <f>IMPRODUCT(Z823,P823)</f>
        <v>0</v>
      </c>
      <c r="AB823">
        <f>AA823</f>
        <v>0</v>
      </c>
      <c r="AC823">
        <f>IMPRODUCT("-1",AB823)</f>
        <v>0</v>
      </c>
      <c r="AD823">
        <f>IMDIV(IMSUB(AB823,AC823),"2")</f>
        <v>0</v>
      </c>
      <c r="AE823" s="6">
        <f>IMABS(AB823)</f>
        <v>0</v>
      </c>
      <c r="AF823" s="6">
        <f>IMABS(AC823)</f>
        <v>0</v>
      </c>
      <c r="AG823" s="6">
        <f>IMABS(AD823)</f>
        <v>0</v>
      </c>
      <c r="AH823" s="7">
        <f>20*LOG10(MAX(AE823,1E-300)*1E6)</f>
        <v>0</v>
      </c>
      <c r="AI823" s="7">
        <f>20*LOG10(MAX(AF823,1E-300)*1E6)</f>
        <v>0</v>
      </c>
      <c r="AJ823" s="7">
        <f>20*LOG10(MAX(AG823,1E-300)*1E6)</f>
        <v>0</v>
      </c>
      <c r="AK823" s="7">
        <f>DEGREES(IMARGUMENT(AB823))</f>
        <v>0</v>
      </c>
      <c r="AL823" s="7">
        <f>DEGREES(IMARGUMENT(AC823))</f>
        <v>0</v>
      </c>
      <c r="AM823" s="7">
        <f>DEGREES(IMARGUMENT(AD823))</f>
        <v>0</v>
      </c>
    </row>
    <row r="824" spans="1:39">
      <c r="A824" s="6">
        <f>10^(LOG10(F_START)+(ROW()-ROW($A$2))*(LOG10(F_STOP)-LOG10(F_START))/(N_POINTS-1))</f>
        <v>0</v>
      </c>
      <c r="B824" s="6">
        <f>2*PI()*A824</f>
        <v>0</v>
      </c>
      <c r="C824">
        <f>COMPLEX(2*LINE_PS_DCR,2*B824*LINE_PS_L)</f>
        <v>0</v>
      </c>
      <c r="D824">
        <f>IMSUM(COMPLEX(0,B824*(LINE_PS_CLINE+LINE_PS_CCHA/2)),IMDIV("1",IMPRODUCT("2",COMPLEX(C_THROUGH_ESR,B824*C_THROUGH_ESL-1/(B824*C_THROUGH_C)))))</f>
        <v>0</v>
      </c>
      <c r="E824">
        <f>COMPLEX(2*LINE_INPUT_DCR,2*B824*LINE_INPUT_L)</f>
        <v>0</v>
      </c>
      <c r="F824">
        <f>COMPLEX(0,B824*(LINE_INPUT_CLINE+LINE_INPUT_CCHA/2))</f>
        <v>0</v>
      </c>
      <c r="G824">
        <f>IMPRODUCT("2",IMDIV("1",IMSUM(IMDIV("1",COMPLEX(LDM1_DCR,B824*LDM1_L)),COMPLEX(0,B824*LDM1_CPA))))</f>
        <v>0</v>
      </c>
      <c r="H824">
        <f>IMSUM(IMDIV("1",COMPLEX(CX1_ESR,B824*CX1_ESL-1/(B824*CX1_C))),IMDIV("1",IMSUM(COMPLEX(DUMP1_R,0),COMPLEX(DUMP1_ESR,B824*DUMP1_ESL-1/(B824*DUMP1_C)))))</f>
        <v>0</v>
      </c>
      <c r="I824">
        <f>IMPRODUCT("2",IMDIV("1",IMSUM(IMDIV("1",COMPLEX(LDM2_DCR,B824*LDM2_L)),COMPLEX(0,B824*LDM2_CPA))))</f>
        <v>0</v>
      </c>
      <c r="J824">
        <f>IMSUM(IMDIV("1",COMPLEX(CX2_ESR,B824*CX2_ESL-1/(B824*CX2_C))),IMDIV("1",IMSUM(COMPLEX(DUMP2_R,0),COMPLEX(DUMP2_ESR,B824*DUMP2_ESL-1/(B824*DUMP2_C)))))</f>
        <v>0</v>
      </c>
      <c r="K824">
        <f>IMPRODUCT("2",IMDIV("1",IMSUM(IMDIV("1",COMPLEX(CMC_DCR,B824*CMC_L*(1-CMC_K))),COMPLEX(0,B824*CMC_CPA))))</f>
        <v>0</v>
      </c>
      <c r="L824">
        <f>IMSUM(COMPLEX(0,B824*CMC_CLINE),IMDIV("1",IMPRODUCT("2",COMPLEX(CY_ESR,B824*CY_ESL-1/(B824*CY_C)))),COMPLEX(1/DUMMY_R,0))</f>
        <v>0</v>
      </c>
      <c r="M824">
        <f>IMSUM(D824,IMDIV("1",C824))</f>
        <v>0</v>
      </c>
      <c r="N824">
        <f>IMDIV("1",IMSUM(E824,IMDIV("1",M824)))</f>
        <v>0</v>
      </c>
      <c r="O824">
        <f>IMSUM(F824,N824)</f>
        <v>0</v>
      </c>
      <c r="P824">
        <f>IMDIV("1",IMSUM(G824,IMDIV("1",O824)))</f>
        <v>0</v>
      </c>
      <c r="Q824">
        <f>IMSUM(H824,P824)</f>
        <v>0</v>
      </c>
      <c r="R824">
        <f>IMDIV("1",IMSUM(I824,IMDIV("1",Q824)))</f>
        <v>0</v>
      </c>
      <c r="S824">
        <f>IMSUM(J824,R824)</f>
        <v>0</v>
      </c>
      <c r="T824">
        <f>IMDIV("1",IMSUM(K824,IMDIV("1",S824)))</f>
        <v>0</v>
      </c>
      <c r="U824">
        <f>IMSUM(L824,T824)</f>
        <v>0</v>
      </c>
      <c r="V824">
        <f>IMDIV(COMPLEX(I_DM_SOURCE,0),U824)</f>
        <v>0</v>
      </c>
      <c r="W824">
        <f>IMPRODUCT(V824,T824)</f>
        <v>0</v>
      </c>
      <c r="X824">
        <f>IMDIV(W824,S824)</f>
        <v>0</v>
      </c>
      <c r="Y824">
        <f>IMPRODUCT(X824,R824)</f>
        <v>0</v>
      </c>
      <c r="Z824">
        <f>IMDIV(Y824,Q824)</f>
        <v>0</v>
      </c>
      <c r="AA824">
        <f>IMPRODUCT(Z824,P824)</f>
        <v>0</v>
      </c>
      <c r="AB824">
        <f>AA824</f>
        <v>0</v>
      </c>
      <c r="AC824">
        <f>IMPRODUCT("-1",AB824)</f>
        <v>0</v>
      </c>
      <c r="AD824">
        <f>IMDIV(IMSUB(AB824,AC824),"2")</f>
        <v>0</v>
      </c>
      <c r="AE824" s="6">
        <f>IMABS(AB824)</f>
        <v>0</v>
      </c>
      <c r="AF824" s="6">
        <f>IMABS(AC824)</f>
        <v>0</v>
      </c>
      <c r="AG824" s="6">
        <f>IMABS(AD824)</f>
        <v>0</v>
      </c>
      <c r="AH824" s="7">
        <f>20*LOG10(MAX(AE824,1E-300)*1E6)</f>
        <v>0</v>
      </c>
      <c r="AI824" s="7">
        <f>20*LOG10(MAX(AF824,1E-300)*1E6)</f>
        <v>0</v>
      </c>
      <c r="AJ824" s="7">
        <f>20*LOG10(MAX(AG824,1E-300)*1E6)</f>
        <v>0</v>
      </c>
      <c r="AK824" s="7">
        <f>DEGREES(IMARGUMENT(AB824))</f>
        <v>0</v>
      </c>
      <c r="AL824" s="7">
        <f>DEGREES(IMARGUMENT(AC824))</f>
        <v>0</v>
      </c>
      <c r="AM824" s="7">
        <f>DEGREES(IMARGUMENT(AD824))</f>
        <v>0</v>
      </c>
    </row>
    <row r="825" spans="1:39">
      <c r="A825" s="6">
        <f>10^(LOG10(F_START)+(ROW()-ROW($A$2))*(LOG10(F_STOP)-LOG10(F_START))/(N_POINTS-1))</f>
        <v>0</v>
      </c>
      <c r="B825" s="6">
        <f>2*PI()*A825</f>
        <v>0</v>
      </c>
      <c r="C825">
        <f>COMPLEX(2*LINE_PS_DCR,2*B825*LINE_PS_L)</f>
        <v>0</v>
      </c>
      <c r="D825">
        <f>IMSUM(COMPLEX(0,B825*(LINE_PS_CLINE+LINE_PS_CCHA/2)),IMDIV("1",IMPRODUCT("2",COMPLEX(C_THROUGH_ESR,B825*C_THROUGH_ESL-1/(B825*C_THROUGH_C)))))</f>
        <v>0</v>
      </c>
      <c r="E825">
        <f>COMPLEX(2*LINE_INPUT_DCR,2*B825*LINE_INPUT_L)</f>
        <v>0</v>
      </c>
      <c r="F825">
        <f>COMPLEX(0,B825*(LINE_INPUT_CLINE+LINE_INPUT_CCHA/2))</f>
        <v>0</v>
      </c>
      <c r="G825">
        <f>IMPRODUCT("2",IMDIV("1",IMSUM(IMDIV("1",COMPLEX(LDM1_DCR,B825*LDM1_L)),COMPLEX(0,B825*LDM1_CPA))))</f>
        <v>0</v>
      </c>
      <c r="H825">
        <f>IMSUM(IMDIV("1",COMPLEX(CX1_ESR,B825*CX1_ESL-1/(B825*CX1_C))),IMDIV("1",IMSUM(COMPLEX(DUMP1_R,0),COMPLEX(DUMP1_ESR,B825*DUMP1_ESL-1/(B825*DUMP1_C)))))</f>
        <v>0</v>
      </c>
      <c r="I825">
        <f>IMPRODUCT("2",IMDIV("1",IMSUM(IMDIV("1",COMPLEX(LDM2_DCR,B825*LDM2_L)),COMPLEX(0,B825*LDM2_CPA))))</f>
        <v>0</v>
      </c>
      <c r="J825">
        <f>IMSUM(IMDIV("1",COMPLEX(CX2_ESR,B825*CX2_ESL-1/(B825*CX2_C))),IMDIV("1",IMSUM(COMPLEX(DUMP2_R,0),COMPLEX(DUMP2_ESR,B825*DUMP2_ESL-1/(B825*DUMP2_C)))))</f>
        <v>0</v>
      </c>
      <c r="K825">
        <f>IMPRODUCT("2",IMDIV("1",IMSUM(IMDIV("1",COMPLEX(CMC_DCR,B825*CMC_L*(1-CMC_K))),COMPLEX(0,B825*CMC_CPA))))</f>
        <v>0</v>
      </c>
      <c r="L825">
        <f>IMSUM(COMPLEX(0,B825*CMC_CLINE),IMDIV("1",IMPRODUCT("2",COMPLEX(CY_ESR,B825*CY_ESL-1/(B825*CY_C)))),COMPLEX(1/DUMMY_R,0))</f>
        <v>0</v>
      </c>
      <c r="M825">
        <f>IMSUM(D825,IMDIV("1",C825))</f>
        <v>0</v>
      </c>
      <c r="N825">
        <f>IMDIV("1",IMSUM(E825,IMDIV("1",M825)))</f>
        <v>0</v>
      </c>
      <c r="O825">
        <f>IMSUM(F825,N825)</f>
        <v>0</v>
      </c>
      <c r="P825">
        <f>IMDIV("1",IMSUM(G825,IMDIV("1",O825)))</f>
        <v>0</v>
      </c>
      <c r="Q825">
        <f>IMSUM(H825,P825)</f>
        <v>0</v>
      </c>
      <c r="R825">
        <f>IMDIV("1",IMSUM(I825,IMDIV("1",Q825)))</f>
        <v>0</v>
      </c>
      <c r="S825">
        <f>IMSUM(J825,R825)</f>
        <v>0</v>
      </c>
      <c r="T825">
        <f>IMDIV("1",IMSUM(K825,IMDIV("1",S825)))</f>
        <v>0</v>
      </c>
      <c r="U825">
        <f>IMSUM(L825,T825)</f>
        <v>0</v>
      </c>
      <c r="V825">
        <f>IMDIV(COMPLEX(I_DM_SOURCE,0),U825)</f>
        <v>0</v>
      </c>
      <c r="W825">
        <f>IMPRODUCT(V825,T825)</f>
        <v>0</v>
      </c>
      <c r="X825">
        <f>IMDIV(W825,S825)</f>
        <v>0</v>
      </c>
      <c r="Y825">
        <f>IMPRODUCT(X825,R825)</f>
        <v>0</v>
      </c>
      <c r="Z825">
        <f>IMDIV(Y825,Q825)</f>
        <v>0</v>
      </c>
      <c r="AA825">
        <f>IMPRODUCT(Z825,P825)</f>
        <v>0</v>
      </c>
      <c r="AB825">
        <f>AA825</f>
        <v>0</v>
      </c>
      <c r="AC825">
        <f>IMPRODUCT("-1",AB825)</f>
        <v>0</v>
      </c>
      <c r="AD825">
        <f>IMDIV(IMSUB(AB825,AC825),"2")</f>
        <v>0</v>
      </c>
      <c r="AE825" s="6">
        <f>IMABS(AB825)</f>
        <v>0</v>
      </c>
      <c r="AF825" s="6">
        <f>IMABS(AC825)</f>
        <v>0</v>
      </c>
      <c r="AG825" s="6">
        <f>IMABS(AD825)</f>
        <v>0</v>
      </c>
      <c r="AH825" s="7">
        <f>20*LOG10(MAX(AE825,1E-300)*1E6)</f>
        <v>0</v>
      </c>
      <c r="AI825" s="7">
        <f>20*LOG10(MAX(AF825,1E-300)*1E6)</f>
        <v>0</v>
      </c>
      <c r="AJ825" s="7">
        <f>20*LOG10(MAX(AG825,1E-300)*1E6)</f>
        <v>0</v>
      </c>
      <c r="AK825" s="7">
        <f>DEGREES(IMARGUMENT(AB825))</f>
        <v>0</v>
      </c>
      <c r="AL825" s="7">
        <f>DEGREES(IMARGUMENT(AC825))</f>
        <v>0</v>
      </c>
      <c r="AM825" s="7">
        <f>DEGREES(IMARGUMENT(AD825))</f>
        <v>0</v>
      </c>
    </row>
    <row r="826" spans="1:39">
      <c r="A826" s="6">
        <f>10^(LOG10(F_START)+(ROW()-ROW($A$2))*(LOG10(F_STOP)-LOG10(F_START))/(N_POINTS-1))</f>
        <v>0</v>
      </c>
      <c r="B826" s="6">
        <f>2*PI()*A826</f>
        <v>0</v>
      </c>
      <c r="C826">
        <f>COMPLEX(2*LINE_PS_DCR,2*B826*LINE_PS_L)</f>
        <v>0</v>
      </c>
      <c r="D826">
        <f>IMSUM(COMPLEX(0,B826*(LINE_PS_CLINE+LINE_PS_CCHA/2)),IMDIV("1",IMPRODUCT("2",COMPLEX(C_THROUGH_ESR,B826*C_THROUGH_ESL-1/(B826*C_THROUGH_C)))))</f>
        <v>0</v>
      </c>
      <c r="E826">
        <f>COMPLEX(2*LINE_INPUT_DCR,2*B826*LINE_INPUT_L)</f>
        <v>0</v>
      </c>
      <c r="F826">
        <f>COMPLEX(0,B826*(LINE_INPUT_CLINE+LINE_INPUT_CCHA/2))</f>
        <v>0</v>
      </c>
      <c r="G826">
        <f>IMPRODUCT("2",IMDIV("1",IMSUM(IMDIV("1",COMPLEX(LDM1_DCR,B826*LDM1_L)),COMPLEX(0,B826*LDM1_CPA))))</f>
        <v>0</v>
      </c>
      <c r="H826">
        <f>IMSUM(IMDIV("1",COMPLEX(CX1_ESR,B826*CX1_ESL-1/(B826*CX1_C))),IMDIV("1",IMSUM(COMPLEX(DUMP1_R,0),COMPLEX(DUMP1_ESR,B826*DUMP1_ESL-1/(B826*DUMP1_C)))))</f>
        <v>0</v>
      </c>
      <c r="I826">
        <f>IMPRODUCT("2",IMDIV("1",IMSUM(IMDIV("1",COMPLEX(LDM2_DCR,B826*LDM2_L)),COMPLEX(0,B826*LDM2_CPA))))</f>
        <v>0</v>
      </c>
      <c r="J826">
        <f>IMSUM(IMDIV("1",COMPLEX(CX2_ESR,B826*CX2_ESL-1/(B826*CX2_C))),IMDIV("1",IMSUM(COMPLEX(DUMP2_R,0),COMPLEX(DUMP2_ESR,B826*DUMP2_ESL-1/(B826*DUMP2_C)))))</f>
        <v>0</v>
      </c>
      <c r="K826">
        <f>IMPRODUCT("2",IMDIV("1",IMSUM(IMDIV("1",COMPLEX(CMC_DCR,B826*CMC_L*(1-CMC_K))),COMPLEX(0,B826*CMC_CPA))))</f>
        <v>0</v>
      </c>
      <c r="L826">
        <f>IMSUM(COMPLEX(0,B826*CMC_CLINE),IMDIV("1",IMPRODUCT("2",COMPLEX(CY_ESR,B826*CY_ESL-1/(B826*CY_C)))),COMPLEX(1/DUMMY_R,0))</f>
        <v>0</v>
      </c>
      <c r="M826">
        <f>IMSUM(D826,IMDIV("1",C826))</f>
        <v>0</v>
      </c>
      <c r="N826">
        <f>IMDIV("1",IMSUM(E826,IMDIV("1",M826)))</f>
        <v>0</v>
      </c>
      <c r="O826">
        <f>IMSUM(F826,N826)</f>
        <v>0</v>
      </c>
      <c r="P826">
        <f>IMDIV("1",IMSUM(G826,IMDIV("1",O826)))</f>
        <v>0</v>
      </c>
      <c r="Q826">
        <f>IMSUM(H826,P826)</f>
        <v>0</v>
      </c>
      <c r="R826">
        <f>IMDIV("1",IMSUM(I826,IMDIV("1",Q826)))</f>
        <v>0</v>
      </c>
      <c r="S826">
        <f>IMSUM(J826,R826)</f>
        <v>0</v>
      </c>
      <c r="T826">
        <f>IMDIV("1",IMSUM(K826,IMDIV("1",S826)))</f>
        <v>0</v>
      </c>
      <c r="U826">
        <f>IMSUM(L826,T826)</f>
        <v>0</v>
      </c>
      <c r="V826">
        <f>IMDIV(COMPLEX(I_DM_SOURCE,0),U826)</f>
        <v>0</v>
      </c>
      <c r="W826">
        <f>IMPRODUCT(V826,T826)</f>
        <v>0</v>
      </c>
      <c r="X826">
        <f>IMDIV(W826,S826)</f>
        <v>0</v>
      </c>
      <c r="Y826">
        <f>IMPRODUCT(X826,R826)</f>
        <v>0</v>
      </c>
      <c r="Z826">
        <f>IMDIV(Y826,Q826)</f>
        <v>0</v>
      </c>
      <c r="AA826">
        <f>IMPRODUCT(Z826,P826)</f>
        <v>0</v>
      </c>
      <c r="AB826">
        <f>AA826</f>
        <v>0</v>
      </c>
      <c r="AC826">
        <f>IMPRODUCT("-1",AB826)</f>
        <v>0</v>
      </c>
      <c r="AD826">
        <f>IMDIV(IMSUB(AB826,AC826),"2")</f>
        <v>0</v>
      </c>
      <c r="AE826" s="6">
        <f>IMABS(AB826)</f>
        <v>0</v>
      </c>
      <c r="AF826" s="6">
        <f>IMABS(AC826)</f>
        <v>0</v>
      </c>
      <c r="AG826" s="6">
        <f>IMABS(AD826)</f>
        <v>0</v>
      </c>
      <c r="AH826" s="7">
        <f>20*LOG10(MAX(AE826,1E-300)*1E6)</f>
        <v>0</v>
      </c>
      <c r="AI826" s="7">
        <f>20*LOG10(MAX(AF826,1E-300)*1E6)</f>
        <v>0</v>
      </c>
      <c r="AJ826" s="7">
        <f>20*LOG10(MAX(AG826,1E-300)*1E6)</f>
        <v>0</v>
      </c>
      <c r="AK826" s="7">
        <f>DEGREES(IMARGUMENT(AB826))</f>
        <v>0</v>
      </c>
      <c r="AL826" s="7">
        <f>DEGREES(IMARGUMENT(AC826))</f>
        <v>0</v>
      </c>
      <c r="AM826" s="7">
        <f>DEGREES(IMARGUMENT(AD826))</f>
        <v>0</v>
      </c>
    </row>
    <row r="827" spans="1:39">
      <c r="A827" s="6">
        <f>10^(LOG10(F_START)+(ROW()-ROW($A$2))*(LOG10(F_STOP)-LOG10(F_START))/(N_POINTS-1))</f>
        <v>0</v>
      </c>
      <c r="B827" s="6">
        <f>2*PI()*A827</f>
        <v>0</v>
      </c>
      <c r="C827">
        <f>COMPLEX(2*LINE_PS_DCR,2*B827*LINE_PS_L)</f>
        <v>0</v>
      </c>
      <c r="D827">
        <f>IMSUM(COMPLEX(0,B827*(LINE_PS_CLINE+LINE_PS_CCHA/2)),IMDIV("1",IMPRODUCT("2",COMPLEX(C_THROUGH_ESR,B827*C_THROUGH_ESL-1/(B827*C_THROUGH_C)))))</f>
        <v>0</v>
      </c>
      <c r="E827">
        <f>COMPLEX(2*LINE_INPUT_DCR,2*B827*LINE_INPUT_L)</f>
        <v>0</v>
      </c>
      <c r="F827">
        <f>COMPLEX(0,B827*(LINE_INPUT_CLINE+LINE_INPUT_CCHA/2))</f>
        <v>0</v>
      </c>
      <c r="G827">
        <f>IMPRODUCT("2",IMDIV("1",IMSUM(IMDIV("1",COMPLEX(LDM1_DCR,B827*LDM1_L)),COMPLEX(0,B827*LDM1_CPA))))</f>
        <v>0</v>
      </c>
      <c r="H827">
        <f>IMSUM(IMDIV("1",COMPLEX(CX1_ESR,B827*CX1_ESL-1/(B827*CX1_C))),IMDIV("1",IMSUM(COMPLEX(DUMP1_R,0),COMPLEX(DUMP1_ESR,B827*DUMP1_ESL-1/(B827*DUMP1_C)))))</f>
        <v>0</v>
      </c>
      <c r="I827">
        <f>IMPRODUCT("2",IMDIV("1",IMSUM(IMDIV("1",COMPLEX(LDM2_DCR,B827*LDM2_L)),COMPLEX(0,B827*LDM2_CPA))))</f>
        <v>0</v>
      </c>
      <c r="J827">
        <f>IMSUM(IMDIV("1",COMPLEX(CX2_ESR,B827*CX2_ESL-1/(B827*CX2_C))),IMDIV("1",IMSUM(COMPLEX(DUMP2_R,0),COMPLEX(DUMP2_ESR,B827*DUMP2_ESL-1/(B827*DUMP2_C)))))</f>
        <v>0</v>
      </c>
      <c r="K827">
        <f>IMPRODUCT("2",IMDIV("1",IMSUM(IMDIV("1",COMPLEX(CMC_DCR,B827*CMC_L*(1-CMC_K))),COMPLEX(0,B827*CMC_CPA))))</f>
        <v>0</v>
      </c>
      <c r="L827">
        <f>IMSUM(COMPLEX(0,B827*CMC_CLINE),IMDIV("1",IMPRODUCT("2",COMPLEX(CY_ESR,B827*CY_ESL-1/(B827*CY_C)))),COMPLEX(1/DUMMY_R,0))</f>
        <v>0</v>
      </c>
      <c r="M827">
        <f>IMSUM(D827,IMDIV("1",C827))</f>
        <v>0</v>
      </c>
      <c r="N827">
        <f>IMDIV("1",IMSUM(E827,IMDIV("1",M827)))</f>
        <v>0</v>
      </c>
      <c r="O827">
        <f>IMSUM(F827,N827)</f>
        <v>0</v>
      </c>
      <c r="P827">
        <f>IMDIV("1",IMSUM(G827,IMDIV("1",O827)))</f>
        <v>0</v>
      </c>
      <c r="Q827">
        <f>IMSUM(H827,P827)</f>
        <v>0</v>
      </c>
      <c r="R827">
        <f>IMDIV("1",IMSUM(I827,IMDIV("1",Q827)))</f>
        <v>0</v>
      </c>
      <c r="S827">
        <f>IMSUM(J827,R827)</f>
        <v>0</v>
      </c>
      <c r="T827">
        <f>IMDIV("1",IMSUM(K827,IMDIV("1",S827)))</f>
        <v>0</v>
      </c>
      <c r="U827">
        <f>IMSUM(L827,T827)</f>
        <v>0</v>
      </c>
      <c r="V827">
        <f>IMDIV(COMPLEX(I_DM_SOURCE,0),U827)</f>
        <v>0</v>
      </c>
      <c r="W827">
        <f>IMPRODUCT(V827,T827)</f>
        <v>0</v>
      </c>
      <c r="X827">
        <f>IMDIV(W827,S827)</f>
        <v>0</v>
      </c>
      <c r="Y827">
        <f>IMPRODUCT(X827,R827)</f>
        <v>0</v>
      </c>
      <c r="Z827">
        <f>IMDIV(Y827,Q827)</f>
        <v>0</v>
      </c>
      <c r="AA827">
        <f>IMPRODUCT(Z827,P827)</f>
        <v>0</v>
      </c>
      <c r="AB827">
        <f>AA827</f>
        <v>0</v>
      </c>
      <c r="AC827">
        <f>IMPRODUCT("-1",AB827)</f>
        <v>0</v>
      </c>
      <c r="AD827">
        <f>IMDIV(IMSUB(AB827,AC827),"2")</f>
        <v>0</v>
      </c>
      <c r="AE827" s="6">
        <f>IMABS(AB827)</f>
        <v>0</v>
      </c>
      <c r="AF827" s="6">
        <f>IMABS(AC827)</f>
        <v>0</v>
      </c>
      <c r="AG827" s="6">
        <f>IMABS(AD827)</f>
        <v>0</v>
      </c>
      <c r="AH827" s="7">
        <f>20*LOG10(MAX(AE827,1E-300)*1E6)</f>
        <v>0</v>
      </c>
      <c r="AI827" s="7">
        <f>20*LOG10(MAX(AF827,1E-300)*1E6)</f>
        <v>0</v>
      </c>
      <c r="AJ827" s="7">
        <f>20*LOG10(MAX(AG827,1E-300)*1E6)</f>
        <v>0</v>
      </c>
      <c r="AK827" s="7">
        <f>DEGREES(IMARGUMENT(AB827))</f>
        <v>0</v>
      </c>
      <c r="AL827" s="7">
        <f>DEGREES(IMARGUMENT(AC827))</f>
        <v>0</v>
      </c>
      <c r="AM827" s="7">
        <f>DEGREES(IMARGUMENT(AD827))</f>
        <v>0</v>
      </c>
    </row>
    <row r="828" spans="1:39">
      <c r="A828" s="6">
        <f>10^(LOG10(F_START)+(ROW()-ROW($A$2))*(LOG10(F_STOP)-LOG10(F_START))/(N_POINTS-1))</f>
        <v>0</v>
      </c>
      <c r="B828" s="6">
        <f>2*PI()*A828</f>
        <v>0</v>
      </c>
      <c r="C828">
        <f>COMPLEX(2*LINE_PS_DCR,2*B828*LINE_PS_L)</f>
        <v>0</v>
      </c>
      <c r="D828">
        <f>IMSUM(COMPLEX(0,B828*(LINE_PS_CLINE+LINE_PS_CCHA/2)),IMDIV("1",IMPRODUCT("2",COMPLEX(C_THROUGH_ESR,B828*C_THROUGH_ESL-1/(B828*C_THROUGH_C)))))</f>
        <v>0</v>
      </c>
      <c r="E828">
        <f>COMPLEX(2*LINE_INPUT_DCR,2*B828*LINE_INPUT_L)</f>
        <v>0</v>
      </c>
      <c r="F828">
        <f>COMPLEX(0,B828*(LINE_INPUT_CLINE+LINE_INPUT_CCHA/2))</f>
        <v>0</v>
      </c>
      <c r="G828">
        <f>IMPRODUCT("2",IMDIV("1",IMSUM(IMDIV("1",COMPLEX(LDM1_DCR,B828*LDM1_L)),COMPLEX(0,B828*LDM1_CPA))))</f>
        <v>0</v>
      </c>
      <c r="H828">
        <f>IMSUM(IMDIV("1",COMPLEX(CX1_ESR,B828*CX1_ESL-1/(B828*CX1_C))),IMDIV("1",IMSUM(COMPLEX(DUMP1_R,0),COMPLEX(DUMP1_ESR,B828*DUMP1_ESL-1/(B828*DUMP1_C)))))</f>
        <v>0</v>
      </c>
      <c r="I828">
        <f>IMPRODUCT("2",IMDIV("1",IMSUM(IMDIV("1",COMPLEX(LDM2_DCR,B828*LDM2_L)),COMPLEX(0,B828*LDM2_CPA))))</f>
        <v>0</v>
      </c>
      <c r="J828">
        <f>IMSUM(IMDIV("1",COMPLEX(CX2_ESR,B828*CX2_ESL-1/(B828*CX2_C))),IMDIV("1",IMSUM(COMPLEX(DUMP2_R,0),COMPLEX(DUMP2_ESR,B828*DUMP2_ESL-1/(B828*DUMP2_C)))))</f>
        <v>0</v>
      </c>
      <c r="K828">
        <f>IMPRODUCT("2",IMDIV("1",IMSUM(IMDIV("1",COMPLEX(CMC_DCR,B828*CMC_L*(1-CMC_K))),COMPLEX(0,B828*CMC_CPA))))</f>
        <v>0</v>
      </c>
      <c r="L828">
        <f>IMSUM(COMPLEX(0,B828*CMC_CLINE),IMDIV("1",IMPRODUCT("2",COMPLEX(CY_ESR,B828*CY_ESL-1/(B828*CY_C)))),COMPLEX(1/DUMMY_R,0))</f>
        <v>0</v>
      </c>
      <c r="M828">
        <f>IMSUM(D828,IMDIV("1",C828))</f>
        <v>0</v>
      </c>
      <c r="N828">
        <f>IMDIV("1",IMSUM(E828,IMDIV("1",M828)))</f>
        <v>0</v>
      </c>
      <c r="O828">
        <f>IMSUM(F828,N828)</f>
        <v>0</v>
      </c>
      <c r="P828">
        <f>IMDIV("1",IMSUM(G828,IMDIV("1",O828)))</f>
        <v>0</v>
      </c>
      <c r="Q828">
        <f>IMSUM(H828,P828)</f>
        <v>0</v>
      </c>
      <c r="R828">
        <f>IMDIV("1",IMSUM(I828,IMDIV("1",Q828)))</f>
        <v>0</v>
      </c>
      <c r="S828">
        <f>IMSUM(J828,R828)</f>
        <v>0</v>
      </c>
      <c r="T828">
        <f>IMDIV("1",IMSUM(K828,IMDIV("1",S828)))</f>
        <v>0</v>
      </c>
      <c r="U828">
        <f>IMSUM(L828,T828)</f>
        <v>0</v>
      </c>
      <c r="V828">
        <f>IMDIV(COMPLEX(I_DM_SOURCE,0),U828)</f>
        <v>0</v>
      </c>
      <c r="W828">
        <f>IMPRODUCT(V828,T828)</f>
        <v>0</v>
      </c>
      <c r="X828">
        <f>IMDIV(W828,S828)</f>
        <v>0</v>
      </c>
      <c r="Y828">
        <f>IMPRODUCT(X828,R828)</f>
        <v>0</v>
      </c>
      <c r="Z828">
        <f>IMDIV(Y828,Q828)</f>
        <v>0</v>
      </c>
      <c r="AA828">
        <f>IMPRODUCT(Z828,P828)</f>
        <v>0</v>
      </c>
      <c r="AB828">
        <f>AA828</f>
        <v>0</v>
      </c>
      <c r="AC828">
        <f>IMPRODUCT("-1",AB828)</f>
        <v>0</v>
      </c>
      <c r="AD828">
        <f>IMDIV(IMSUB(AB828,AC828),"2")</f>
        <v>0</v>
      </c>
      <c r="AE828" s="6">
        <f>IMABS(AB828)</f>
        <v>0</v>
      </c>
      <c r="AF828" s="6">
        <f>IMABS(AC828)</f>
        <v>0</v>
      </c>
      <c r="AG828" s="6">
        <f>IMABS(AD828)</f>
        <v>0</v>
      </c>
      <c r="AH828" s="7">
        <f>20*LOG10(MAX(AE828,1E-300)*1E6)</f>
        <v>0</v>
      </c>
      <c r="AI828" s="7">
        <f>20*LOG10(MAX(AF828,1E-300)*1E6)</f>
        <v>0</v>
      </c>
      <c r="AJ828" s="7">
        <f>20*LOG10(MAX(AG828,1E-300)*1E6)</f>
        <v>0</v>
      </c>
      <c r="AK828" s="7">
        <f>DEGREES(IMARGUMENT(AB828))</f>
        <v>0</v>
      </c>
      <c r="AL828" s="7">
        <f>DEGREES(IMARGUMENT(AC828))</f>
        <v>0</v>
      </c>
      <c r="AM828" s="7">
        <f>DEGREES(IMARGUMENT(AD828))</f>
        <v>0</v>
      </c>
    </row>
    <row r="829" spans="1:39">
      <c r="A829" s="6">
        <f>10^(LOG10(F_START)+(ROW()-ROW($A$2))*(LOG10(F_STOP)-LOG10(F_START))/(N_POINTS-1))</f>
        <v>0</v>
      </c>
      <c r="B829" s="6">
        <f>2*PI()*A829</f>
        <v>0</v>
      </c>
      <c r="C829">
        <f>COMPLEX(2*LINE_PS_DCR,2*B829*LINE_PS_L)</f>
        <v>0</v>
      </c>
      <c r="D829">
        <f>IMSUM(COMPLEX(0,B829*(LINE_PS_CLINE+LINE_PS_CCHA/2)),IMDIV("1",IMPRODUCT("2",COMPLEX(C_THROUGH_ESR,B829*C_THROUGH_ESL-1/(B829*C_THROUGH_C)))))</f>
        <v>0</v>
      </c>
      <c r="E829">
        <f>COMPLEX(2*LINE_INPUT_DCR,2*B829*LINE_INPUT_L)</f>
        <v>0</v>
      </c>
      <c r="F829">
        <f>COMPLEX(0,B829*(LINE_INPUT_CLINE+LINE_INPUT_CCHA/2))</f>
        <v>0</v>
      </c>
      <c r="G829">
        <f>IMPRODUCT("2",IMDIV("1",IMSUM(IMDIV("1",COMPLEX(LDM1_DCR,B829*LDM1_L)),COMPLEX(0,B829*LDM1_CPA))))</f>
        <v>0</v>
      </c>
      <c r="H829">
        <f>IMSUM(IMDIV("1",COMPLEX(CX1_ESR,B829*CX1_ESL-1/(B829*CX1_C))),IMDIV("1",IMSUM(COMPLEX(DUMP1_R,0),COMPLEX(DUMP1_ESR,B829*DUMP1_ESL-1/(B829*DUMP1_C)))))</f>
        <v>0</v>
      </c>
      <c r="I829">
        <f>IMPRODUCT("2",IMDIV("1",IMSUM(IMDIV("1",COMPLEX(LDM2_DCR,B829*LDM2_L)),COMPLEX(0,B829*LDM2_CPA))))</f>
        <v>0</v>
      </c>
      <c r="J829">
        <f>IMSUM(IMDIV("1",COMPLEX(CX2_ESR,B829*CX2_ESL-1/(B829*CX2_C))),IMDIV("1",IMSUM(COMPLEX(DUMP2_R,0),COMPLEX(DUMP2_ESR,B829*DUMP2_ESL-1/(B829*DUMP2_C)))))</f>
        <v>0</v>
      </c>
      <c r="K829">
        <f>IMPRODUCT("2",IMDIV("1",IMSUM(IMDIV("1",COMPLEX(CMC_DCR,B829*CMC_L*(1-CMC_K))),COMPLEX(0,B829*CMC_CPA))))</f>
        <v>0</v>
      </c>
      <c r="L829">
        <f>IMSUM(COMPLEX(0,B829*CMC_CLINE),IMDIV("1",IMPRODUCT("2",COMPLEX(CY_ESR,B829*CY_ESL-1/(B829*CY_C)))),COMPLEX(1/DUMMY_R,0))</f>
        <v>0</v>
      </c>
      <c r="M829">
        <f>IMSUM(D829,IMDIV("1",C829))</f>
        <v>0</v>
      </c>
      <c r="N829">
        <f>IMDIV("1",IMSUM(E829,IMDIV("1",M829)))</f>
        <v>0</v>
      </c>
      <c r="O829">
        <f>IMSUM(F829,N829)</f>
        <v>0</v>
      </c>
      <c r="P829">
        <f>IMDIV("1",IMSUM(G829,IMDIV("1",O829)))</f>
        <v>0</v>
      </c>
      <c r="Q829">
        <f>IMSUM(H829,P829)</f>
        <v>0</v>
      </c>
      <c r="R829">
        <f>IMDIV("1",IMSUM(I829,IMDIV("1",Q829)))</f>
        <v>0</v>
      </c>
      <c r="S829">
        <f>IMSUM(J829,R829)</f>
        <v>0</v>
      </c>
      <c r="T829">
        <f>IMDIV("1",IMSUM(K829,IMDIV("1",S829)))</f>
        <v>0</v>
      </c>
      <c r="U829">
        <f>IMSUM(L829,T829)</f>
        <v>0</v>
      </c>
      <c r="V829">
        <f>IMDIV(COMPLEX(I_DM_SOURCE,0),U829)</f>
        <v>0</v>
      </c>
      <c r="W829">
        <f>IMPRODUCT(V829,T829)</f>
        <v>0</v>
      </c>
      <c r="X829">
        <f>IMDIV(W829,S829)</f>
        <v>0</v>
      </c>
      <c r="Y829">
        <f>IMPRODUCT(X829,R829)</f>
        <v>0</v>
      </c>
      <c r="Z829">
        <f>IMDIV(Y829,Q829)</f>
        <v>0</v>
      </c>
      <c r="AA829">
        <f>IMPRODUCT(Z829,P829)</f>
        <v>0</v>
      </c>
      <c r="AB829">
        <f>AA829</f>
        <v>0</v>
      </c>
      <c r="AC829">
        <f>IMPRODUCT("-1",AB829)</f>
        <v>0</v>
      </c>
      <c r="AD829">
        <f>IMDIV(IMSUB(AB829,AC829),"2")</f>
        <v>0</v>
      </c>
      <c r="AE829" s="6">
        <f>IMABS(AB829)</f>
        <v>0</v>
      </c>
      <c r="AF829" s="6">
        <f>IMABS(AC829)</f>
        <v>0</v>
      </c>
      <c r="AG829" s="6">
        <f>IMABS(AD829)</f>
        <v>0</v>
      </c>
      <c r="AH829" s="7">
        <f>20*LOG10(MAX(AE829,1E-300)*1E6)</f>
        <v>0</v>
      </c>
      <c r="AI829" s="7">
        <f>20*LOG10(MAX(AF829,1E-300)*1E6)</f>
        <v>0</v>
      </c>
      <c r="AJ829" s="7">
        <f>20*LOG10(MAX(AG829,1E-300)*1E6)</f>
        <v>0</v>
      </c>
      <c r="AK829" s="7">
        <f>DEGREES(IMARGUMENT(AB829))</f>
        <v>0</v>
      </c>
      <c r="AL829" s="7">
        <f>DEGREES(IMARGUMENT(AC829))</f>
        <v>0</v>
      </c>
      <c r="AM829" s="7">
        <f>DEGREES(IMARGUMENT(AD829))</f>
        <v>0</v>
      </c>
    </row>
    <row r="830" spans="1:39">
      <c r="A830" s="6">
        <f>10^(LOG10(F_START)+(ROW()-ROW($A$2))*(LOG10(F_STOP)-LOG10(F_START))/(N_POINTS-1))</f>
        <v>0</v>
      </c>
      <c r="B830" s="6">
        <f>2*PI()*A830</f>
        <v>0</v>
      </c>
      <c r="C830">
        <f>COMPLEX(2*LINE_PS_DCR,2*B830*LINE_PS_L)</f>
        <v>0</v>
      </c>
      <c r="D830">
        <f>IMSUM(COMPLEX(0,B830*(LINE_PS_CLINE+LINE_PS_CCHA/2)),IMDIV("1",IMPRODUCT("2",COMPLEX(C_THROUGH_ESR,B830*C_THROUGH_ESL-1/(B830*C_THROUGH_C)))))</f>
        <v>0</v>
      </c>
      <c r="E830">
        <f>COMPLEX(2*LINE_INPUT_DCR,2*B830*LINE_INPUT_L)</f>
        <v>0</v>
      </c>
      <c r="F830">
        <f>COMPLEX(0,B830*(LINE_INPUT_CLINE+LINE_INPUT_CCHA/2))</f>
        <v>0</v>
      </c>
      <c r="G830">
        <f>IMPRODUCT("2",IMDIV("1",IMSUM(IMDIV("1",COMPLEX(LDM1_DCR,B830*LDM1_L)),COMPLEX(0,B830*LDM1_CPA))))</f>
        <v>0</v>
      </c>
      <c r="H830">
        <f>IMSUM(IMDIV("1",COMPLEX(CX1_ESR,B830*CX1_ESL-1/(B830*CX1_C))),IMDIV("1",IMSUM(COMPLEX(DUMP1_R,0),COMPLEX(DUMP1_ESR,B830*DUMP1_ESL-1/(B830*DUMP1_C)))))</f>
        <v>0</v>
      </c>
      <c r="I830">
        <f>IMPRODUCT("2",IMDIV("1",IMSUM(IMDIV("1",COMPLEX(LDM2_DCR,B830*LDM2_L)),COMPLEX(0,B830*LDM2_CPA))))</f>
        <v>0</v>
      </c>
      <c r="J830">
        <f>IMSUM(IMDIV("1",COMPLEX(CX2_ESR,B830*CX2_ESL-1/(B830*CX2_C))),IMDIV("1",IMSUM(COMPLEX(DUMP2_R,0),COMPLEX(DUMP2_ESR,B830*DUMP2_ESL-1/(B830*DUMP2_C)))))</f>
        <v>0</v>
      </c>
      <c r="K830">
        <f>IMPRODUCT("2",IMDIV("1",IMSUM(IMDIV("1",COMPLEX(CMC_DCR,B830*CMC_L*(1-CMC_K))),COMPLEX(0,B830*CMC_CPA))))</f>
        <v>0</v>
      </c>
      <c r="L830">
        <f>IMSUM(COMPLEX(0,B830*CMC_CLINE),IMDIV("1",IMPRODUCT("2",COMPLEX(CY_ESR,B830*CY_ESL-1/(B830*CY_C)))),COMPLEX(1/DUMMY_R,0))</f>
        <v>0</v>
      </c>
      <c r="M830">
        <f>IMSUM(D830,IMDIV("1",C830))</f>
        <v>0</v>
      </c>
      <c r="N830">
        <f>IMDIV("1",IMSUM(E830,IMDIV("1",M830)))</f>
        <v>0</v>
      </c>
      <c r="O830">
        <f>IMSUM(F830,N830)</f>
        <v>0</v>
      </c>
      <c r="P830">
        <f>IMDIV("1",IMSUM(G830,IMDIV("1",O830)))</f>
        <v>0</v>
      </c>
      <c r="Q830">
        <f>IMSUM(H830,P830)</f>
        <v>0</v>
      </c>
      <c r="R830">
        <f>IMDIV("1",IMSUM(I830,IMDIV("1",Q830)))</f>
        <v>0</v>
      </c>
      <c r="S830">
        <f>IMSUM(J830,R830)</f>
        <v>0</v>
      </c>
      <c r="T830">
        <f>IMDIV("1",IMSUM(K830,IMDIV("1",S830)))</f>
        <v>0</v>
      </c>
      <c r="U830">
        <f>IMSUM(L830,T830)</f>
        <v>0</v>
      </c>
      <c r="V830">
        <f>IMDIV(COMPLEX(I_DM_SOURCE,0),U830)</f>
        <v>0</v>
      </c>
      <c r="W830">
        <f>IMPRODUCT(V830,T830)</f>
        <v>0</v>
      </c>
      <c r="X830">
        <f>IMDIV(W830,S830)</f>
        <v>0</v>
      </c>
      <c r="Y830">
        <f>IMPRODUCT(X830,R830)</f>
        <v>0</v>
      </c>
      <c r="Z830">
        <f>IMDIV(Y830,Q830)</f>
        <v>0</v>
      </c>
      <c r="AA830">
        <f>IMPRODUCT(Z830,P830)</f>
        <v>0</v>
      </c>
      <c r="AB830">
        <f>AA830</f>
        <v>0</v>
      </c>
      <c r="AC830">
        <f>IMPRODUCT("-1",AB830)</f>
        <v>0</v>
      </c>
      <c r="AD830">
        <f>IMDIV(IMSUB(AB830,AC830),"2")</f>
        <v>0</v>
      </c>
      <c r="AE830" s="6">
        <f>IMABS(AB830)</f>
        <v>0</v>
      </c>
      <c r="AF830" s="6">
        <f>IMABS(AC830)</f>
        <v>0</v>
      </c>
      <c r="AG830" s="6">
        <f>IMABS(AD830)</f>
        <v>0</v>
      </c>
      <c r="AH830" s="7">
        <f>20*LOG10(MAX(AE830,1E-300)*1E6)</f>
        <v>0</v>
      </c>
      <c r="AI830" s="7">
        <f>20*LOG10(MAX(AF830,1E-300)*1E6)</f>
        <v>0</v>
      </c>
      <c r="AJ830" s="7">
        <f>20*LOG10(MAX(AG830,1E-300)*1E6)</f>
        <v>0</v>
      </c>
      <c r="AK830" s="7">
        <f>DEGREES(IMARGUMENT(AB830))</f>
        <v>0</v>
      </c>
      <c r="AL830" s="7">
        <f>DEGREES(IMARGUMENT(AC830))</f>
        <v>0</v>
      </c>
      <c r="AM830" s="7">
        <f>DEGREES(IMARGUMENT(AD830))</f>
        <v>0</v>
      </c>
    </row>
    <row r="831" spans="1:39">
      <c r="A831" s="6">
        <f>10^(LOG10(F_START)+(ROW()-ROW($A$2))*(LOG10(F_STOP)-LOG10(F_START))/(N_POINTS-1))</f>
        <v>0</v>
      </c>
      <c r="B831" s="6">
        <f>2*PI()*A831</f>
        <v>0</v>
      </c>
      <c r="C831">
        <f>COMPLEX(2*LINE_PS_DCR,2*B831*LINE_PS_L)</f>
        <v>0</v>
      </c>
      <c r="D831">
        <f>IMSUM(COMPLEX(0,B831*(LINE_PS_CLINE+LINE_PS_CCHA/2)),IMDIV("1",IMPRODUCT("2",COMPLEX(C_THROUGH_ESR,B831*C_THROUGH_ESL-1/(B831*C_THROUGH_C)))))</f>
        <v>0</v>
      </c>
      <c r="E831">
        <f>COMPLEX(2*LINE_INPUT_DCR,2*B831*LINE_INPUT_L)</f>
        <v>0</v>
      </c>
      <c r="F831">
        <f>COMPLEX(0,B831*(LINE_INPUT_CLINE+LINE_INPUT_CCHA/2))</f>
        <v>0</v>
      </c>
      <c r="G831">
        <f>IMPRODUCT("2",IMDIV("1",IMSUM(IMDIV("1",COMPLEX(LDM1_DCR,B831*LDM1_L)),COMPLEX(0,B831*LDM1_CPA))))</f>
        <v>0</v>
      </c>
      <c r="H831">
        <f>IMSUM(IMDIV("1",COMPLEX(CX1_ESR,B831*CX1_ESL-1/(B831*CX1_C))),IMDIV("1",IMSUM(COMPLEX(DUMP1_R,0),COMPLEX(DUMP1_ESR,B831*DUMP1_ESL-1/(B831*DUMP1_C)))))</f>
        <v>0</v>
      </c>
      <c r="I831">
        <f>IMPRODUCT("2",IMDIV("1",IMSUM(IMDIV("1",COMPLEX(LDM2_DCR,B831*LDM2_L)),COMPLEX(0,B831*LDM2_CPA))))</f>
        <v>0</v>
      </c>
      <c r="J831">
        <f>IMSUM(IMDIV("1",COMPLEX(CX2_ESR,B831*CX2_ESL-1/(B831*CX2_C))),IMDIV("1",IMSUM(COMPLEX(DUMP2_R,0),COMPLEX(DUMP2_ESR,B831*DUMP2_ESL-1/(B831*DUMP2_C)))))</f>
        <v>0</v>
      </c>
      <c r="K831">
        <f>IMPRODUCT("2",IMDIV("1",IMSUM(IMDIV("1",COMPLEX(CMC_DCR,B831*CMC_L*(1-CMC_K))),COMPLEX(0,B831*CMC_CPA))))</f>
        <v>0</v>
      </c>
      <c r="L831">
        <f>IMSUM(COMPLEX(0,B831*CMC_CLINE),IMDIV("1",IMPRODUCT("2",COMPLEX(CY_ESR,B831*CY_ESL-1/(B831*CY_C)))),COMPLEX(1/DUMMY_R,0))</f>
        <v>0</v>
      </c>
      <c r="M831">
        <f>IMSUM(D831,IMDIV("1",C831))</f>
        <v>0</v>
      </c>
      <c r="N831">
        <f>IMDIV("1",IMSUM(E831,IMDIV("1",M831)))</f>
        <v>0</v>
      </c>
      <c r="O831">
        <f>IMSUM(F831,N831)</f>
        <v>0</v>
      </c>
      <c r="P831">
        <f>IMDIV("1",IMSUM(G831,IMDIV("1",O831)))</f>
        <v>0</v>
      </c>
      <c r="Q831">
        <f>IMSUM(H831,P831)</f>
        <v>0</v>
      </c>
      <c r="R831">
        <f>IMDIV("1",IMSUM(I831,IMDIV("1",Q831)))</f>
        <v>0</v>
      </c>
      <c r="S831">
        <f>IMSUM(J831,R831)</f>
        <v>0</v>
      </c>
      <c r="T831">
        <f>IMDIV("1",IMSUM(K831,IMDIV("1",S831)))</f>
        <v>0</v>
      </c>
      <c r="U831">
        <f>IMSUM(L831,T831)</f>
        <v>0</v>
      </c>
      <c r="V831">
        <f>IMDIV(COMPLEX(I_DM_SOURCE,0),U831)</f>
        <v>0</v>
      </c>
      <c r="W831">
        <f>IMPRODUCT(V831,T831)</f>
        <v>0</v>
      </c>
      <c r="X831">
        <f>IMDIV(W831,S831)</f>
        <v>0</v>
      </c>
      <c r="Y831">
        <f>IMPRODUCT(X831,R831)</f>
        <v>0</v>
      </c>
      <c r="Z831">
        <f>IMDIV(Y831,Q831)</f>
        <v>0</v>
      </c>
      <c r="AA831">
        <f>IMPRODUCT(Z831,P831)</f>
        <v>0</v>
      </c>
      <c r="AB831">
        <f>AA831</f>
        <v>0</v>
      </c>
      <c r="AC831">
        <f>IMPRODUCT("-1",AB831)</f>
        <v>0</v>
      </c>
      <c r="AD831">
        <f>IMDIV(IMSUB(AB831,AC831),"2")</f>
        <v>0</v>
      </c>
      <c r="AE831" s="6">
        <f>IMABS(AB831)</f>
        <v>0</v>
      </c>
      <c r="AF831" s="6">
        <f>IMABS(AC831)</f>
        <v>0</v>
      </c>
      <c r="AG831" s="6">
        <f>IMABS(AD831)</f>
        <v>0</v>
      </c>
      <c r="AH831" s="7">
        <f>20*LOG10(MAX(AE831,1E-300)*1E6)</f>
        <v>0</v>
      </c>
      <c r="AI831" s="7">
        <f>20*LOG10(MAX(AF831,1E-300)*1E6)</f>
        <v>0</v>
      </c>
      <c r="AJ831" s="7">
        <f>20*LOG10(MAX(AG831,1E-300)*1E6)</f>
        <v>0</v>
      </c>
      <c r="AK831" s="7">
        <f>DEGREES(IMARGUMENT(AB831))</f>
        <v>0</v>
      </c>
      <c r="AL831" s="7">
        <f>DEGREES(IMARGUMENT(AC831))</f>
        <v>0</v>
      </c>
      <c r="AM831" s="7">
        <f>DEGREES(IMARGUMENT(AD831))</f>
        <v>0</v>
      </c>
    </row>
    <row r="832" spans="1:39">
      <c r="A832" s="6">
        <f>10^(LOG10(F_START)+(ROW()-ROW($A$2))*(LOG10(F_STOP)-LOG10(F_START))/(N_POINTS-1))</f>
        <v>0</v>
      </c>
      <c r="B832" s="6">
        <f>2*PI()*A832</f>
        <v>0</v>
      </c>
      <c r="C832">
        <f>COMPLEX(2*LINE_PS_DCR,2*B832*LINE_PS_L)</f>
        <v>0</v>
      </c>
      <c r="D832">
        <f>IMSUM(COMPLEX(0,B832*(LINE_PS_CLINE+LINE_PS_CCHA/2)),IMDIV("1",IMPRODUCT("2",COMPLEX(C_THROUGH_ESR,B832*C_THROUGH_ESL-1/(B832*C_THROUGH_C)))))</f>
        <v>0</v>
      </c>
      <c r="E832">
        <f>COMPLEX(2*LINE_INPUT_DCR,2*B832*LINE_INPUT_L)</f>
        <v>0</v>
      </c>
      <c r="F832">
        <f>COMPLEX(0,B832*(LINE_INPUT_CLINE+LINE_INPUT_CCHA/2))</f>
        <v>0</v>
      </c>
      <c r="G832">
        <f>IMPRODUCT("2",IMDIV("1",IMSUM(IMDIV("1",COMPLEX(LDM1_DCR,B832*LDM1_L)),COMPLEX(0,B832*LDM1_CPA))))</f>
        <v>0</v>
      </c>
      <c r="H832">
        <f>IMSUM(IMDIV("1",COMPLEX(CX1_ESR,B832*CX1_ESL-1/(B832*CX1_C))),IMDIV("1",IMSUM(COMPLEX(DUMP1_R,0),COMPLEX(DUMP1_ESR,B832*DUMP1_ESL-1/(B832*DUMP1_C)))))</f>
        <v>0</v>
      </c>
      <c r="I832">
        <f>IMPRODUCT("2",IMDIV("1",IMSUM(IMDIV("1",COMPLEX(LDM2_DCR,B832*LDM2_L)),COMPLEX(0,B832*LDM2_CPA))))</f>
        <v>0</v>
      </c>
      <c r="J832">
        <f>IMSUM(IMDIV("1",COMPLEX(CX2_ESR,B832*CX2_ESL-1/(B832*CX2_C))),IMDIV("1",IMSUM(COMPLEX(DUMP2_R,0),COMPLEX(DUMP2_ESR,B832*DUMP2_ESL-1/(B832*DUMP2_C)))))</f>
        <v>0</v>
      </c>
      <c r="K832">
        <f>IMPRODUCT("2",IMDIV("1",IMSUM(IMDIV("1",COMPLEX(CMC_DCR,B832*CMC_L*(1-CMC_K))),COMPLEX(0,B832*CMC_CPA))))</f>
        <v>0</v>
      </c>
      <c r="L832">
        <f>IMSUM(COMPLEX(0,B832*CMC_CLINE),IMDIV("1",IMPRODUCT("2",COMPLEX(CY_ESR,B832*CY_ESL-1/(B832*CY_C)))),COMPLEX(1/DUMMY_R,0))</f>
        <v>0</v>
      </c>
      <c r="M832">
        <f>IMSUM(D832,IMDIV("1",C832))</f>
        <v>0</v>
      </c>
      <c r="N832">
        <f>IMDIV("1",IMSUM(E832,IMDIV("1",M832)))</f>
        <v>0</v>
      </c>
      <c r="O832">
        <f>IMSUM(F832,N832)</f>
        <v>0</v>
      </c>
      <c r="P832">
        <f>IMDIV("1",IMSUM(G832,IMDIV("1",O832)))</f>
        <v>0</v>
      </c>
      <c r="Q832">
        <f>IMSUM(H832,P832)</f>
        <v>0</v>
      </c>
      <c r="R832">
        <f>IMDIV("1",IMSUM(I832,IMDIV("1",Q832)))</f>
        <v>0</v>
      </c>
      <c r="S832">
        <f>IMSUM(J832,R832)</f>
        <v>0</v>
      </c>
      <c r="T832">
        <f>IMDIV("1",IMSUM(K832,IMDIV("1",S832)))</f>
        <v>0</v>
      </c>
      <c r="U832">
        <f>IMSUM(L832,T832)</f>
        <v>0</v>
      </c>
      <c r="V832">
        <f>IMDIV(COMPLEX(I_DM_SOURCE,0),U832)</f>
        <v>0</v>
      </c>
      <c r="W832">
        <f>IMPRODUCT(V832,T832)</f>
        <v>0</v>
      </c>
      <c r="X832">
        <f>IMDIV(W832,S832)</f>
        <v>0</v>
      </c>
      <c r="Y832">
        <f>IMPRODUCT(X832,R832)</f>
        <v>0</v>
      </c>
      <c r="Z832">
        <f>IMDIV(Y832,Q832)</f>
        <v>0</v>
      </c>
      <c r="AA832">
        <f>IMPRODUCT(Z832,P832)</f>
        <v>0</v>
      </c>
      <c r="AB832">
        <f>AA832</f>
        <v>0</v>
      </c>
      <c r="AC832">
        <f>IMPRODUCT("-1",AB832)</f>
        <v>0</v>
      </c>
      <c r="AD832">
        <f>IMDIV(IMSUB(AB832,AC832),"2")</f>
        <v>0</v>
      </c>
      <c r="AE832" s="6">
        <f>IMABS(AB832)</f>
        <v>0</v>
      </c>
      <c r="AF832" s="6">
        <f>IMABS(AC832)</f>
        <v>0</v>
      </c>
      <c r="AG832" s="6">
        <f>IMABS(AD832)</f>
        <v>0</v>
      </c>
      <c r="AH832" s="7">
        <f>20*LOG10(MAX(AE832,1E-300)*1E6)</f>
        <v>0</v>
      </c>
      <c r="AI832" s="7">
        <f>20*LOG10(MAX(AF832,1E-300)*1E6)</f>
        <v>0</v>
      </c>
      <c r="AJ832" s="7">
        <f>20*LOG10(MAX(AG832,1E-300)*1E6)</f>
        <v>0</v>
      </c>
      <c r="AK832" s="7">
        <f>DEGREES(IMARGUMENT(AB832))</f>
        <v>0</v>
      </c>
      <c r="AL832" s="7">
        <f>DEGREES(IMARGUMENT(AC832))</f>
        <v>0</v>
      </c>
      <c r="AM832" s="7">
        <f>DEGREES(IMARGUMENT(AD832))</f>
        <v>0</v>
      </c>
    </row>
    <row r="833" spans="1:39">
      <c r="A833" s="6">
        <f>10^(LOG10(F_START)+(ROW()-ROW($A$2))*(LOG10(F_STOP)-LOG10(F_START))/(N_POINTS-1))</f>
        <v>0</v>
      </c>
      <c r="B833" s="6">
        <f>2*PI()*A833</f>
        <v>0</v>
      </c>
      <c r="C833">
        <f>COMPLEX(2*LINE_PS_DCR,2*B833*LINE_PS_L)</f>
        <v>0</v>
      </c>
      <c r="D833">
        <f>IMSUM(COMPLEX(0,B833*(LINE_PS_CLINE+LINE_PS_CCHA/2)),IMDIV("1",IMPRODUCT("2",COMPLEX(C_THROUGH_ESR,B833*C_THROUGH_ESL-1/(B833*C_THROUGH_C)))))</f>
        <v>0</v>
      </c>
      <c r="E833">
        <f>COMPLEX(2*LINE_INPUT_DCR,2*B833*LINE_INPUT_L)</f>
        <v>0</v>
      </c>
      <c r="F833">
        <f>COMPLEX(0,B833*(LINE_INPUT_CLINE+LINE_INPUT_CCHA/2))</f>
        <v>0</v>
      </c>
      <c r="G833">
        <f>IMPRODUCT("2",IMDIV("1",IMSUM(IMDIV("1",COMPLEX(LDM1_DCR,B833*LDM1_L)),COMPLEX(0,B833*LDM1_CPA))))</f>
        <v>0</v>
      </c>
      <c r="H833">
        <f>IMSUM(IMDIV("1",COMPLEX(CX1_ESR,B833*CX1_ESL-1/(B833*CX1_C))),IMDIV("1",IMSUM(COMPLEX(DUMP1_R,0),COMPLEX(DUMP1_ESR,B833*DUMP1_ESL-1/(B833*DUMP1_C)))))</f>
        <v>0</v>
      </c>
      <c r="I833">
        <f>IMPRODUCT("2",IMDIV("1",IMSUM(IMDIV("1",COMPLEX(LDM2_DCR,B833*LDM2_L)),COMPLEX(0,B833*LDM2_CPA))))</f>
        <v>0</v>
      </c>
      <c r="J833">
        <f>IMSUM(IMDIV("1",COMPLEX(CX2_ESR,B833*CX2_ESL-1/(B833*CX2_C))),IMDIV("1",IMSUM(COMPLEX(DUMP2_R,0),COMPLEX(DUMP2_ESR,B833*DUMP2_ESL-1/(B833*DUMP2_C)))))</f>
        <v>0</v>
      </c>
      <c r="K833">
        <f>IMPRODUCT("2",IMDIV("1",IMSUM(IMDIV("1",COMPLEX(CMC_DCR,B833*CMC_L*(1-CMC_K))),COMPLEX(0,B833*CMC_CPA))))</f>
        <v>0</v>
      </c>
      <c r="L833">
        <f>IMSUM(COMPLEX(0,B833*CMC_CLINE),IMDIV("1",IMPRODUCT("2",COMPLEX(CY_ESR,B833*CY_ESL-1/(B833*CY_C)))),COMPLEX(1/DUMMY_R,0))</f>
        <v>0</v>
      </c>
      <c r="M833">
        <f>IMSUM(D833,IMDIV("1",C833))</f>
        <v>0</v>
      </c>
      <c r="N833">
        <f>IMDIV("1",IMSUM(E833,IMDIV("1",M833)))</f>
        <v>0</v>
      </c>
      <c r="O833">
        <f>IMSUM(F833,N833)</f>
        <v>0</v>
      </c>
      <c r="P833">
        <f>IMDIV("1",IMSUM(G833,IMDIV("1",O833)))</f>
        <v>0</v>
      </c>
      <c r="Q833">
        <f>IMSUM(H833,P833)</f>
        <v>0</v>
      </c>
      <c r="R833">
        <f>IMDIV("1",IMSUM(I833,IMDIV("1",Q833)))</f>
        <v>0</v>
      </c>
      <c r="S833">
        <f>IMSUM(J833,R833)</f>
        <v>0</v>
      </c>
      <c r="T833">
        <f>IMDIV("1",IMSUM(K833,IMDIV("1",S833)))</f>
        <v>0</v>
      </c>
      <c r="U833">
        <f>IMSUM(L833,T833)</f>
        <v>0</v>
      </c>
      <c r="V833">
        <f>IMDIV(COMPLEX(I_DM_SOURCE,0),U833)</f>
        <v>0</v>
      </c>
      <c r="W833">
        <f>IMPRODUCT(V833,T833)</f>
        <v>0</v>
      </c>
      <c r="X833">
        <f>IMDIV(W833,S833)</f>
        <v>0</v>
      </c>
      <c r="Y833">
        <f>IMPRODUCT(X833,R833)</f>
        <v>0</v>
      </c>
      <c r="Z833">
        <f>IMDIV(Y833,Q833)</f>
        <v>0</v>
      </c>
      <c r="AA833">
        <f>IMPRODUCT(Z833,P833)</f>
        <v>0</v>
      </c>
      <c r="AB833">
        <f>AA833</f>
        <v>0</v>
      </c>
      <c r="AC833">
        <f>IMPRODUCT("-1",AB833)</f>
        <v>0</v>
      </c>
      <c r="AD833">
        <f>IMDIV(IMSUB(AB833,AC833),"2")</f>
        <v>0</v>
      </c>
      <c r="AE833" s="6">
        <f>IMABS(AB833)</f>
        <v>0</v>
      </c>
      <c r="AF833" s="6">
        <f>IMABS(AC833)</f>
        <v>0</v>
      </c>
      <c r="AG833" s="6">
        <f>IMABS(AD833)</f>
        <v>0</v>
      </c>
      <c r="AH833" s="7">
        <f>20*LOG10(MAX(AE833,1E-300)*1E6)</f>
        <v>0</v>
      </c>
      <c r="AI833" s="7">
        <f>20*LOG10(MAX(AF833,1E-300)*1E6)</f>
        <v>0</v>
      </c>
      <c r="AJ833" s="7">
        <f>20*LOG10(MAX(AG833,1E-300)*1E6)</f>
        <v>0</v>
      </c>
      <c r="AK833" s="7">
        <f>DEGREES(IMARGUMENT(AB833))</f>
        <v>0</v>
      </c>
      <c r="AL833" s="7">
        <f>DEGREES(IMARGUMENT(AC833))</f>
        <v>0</v>
      </c>
      <c r="AM833" s="7">
        <f>DEGREES(IMARGUMENT(AD833))</f>
        <v>0</v>
      </c>
    </row>
    <row r="834" spans="1:39">
      <c r="A834" s="6">
        <f>10^(LOG10(F_START)+(ROW()-ROW($A$2))*(LOG10(F_STOP)-LOG10(F_START))/(N_POINTS-1))</f>
        <v>0</v>
      </c>
      <c r="B834" s="6">
        <f>2*PI()*A834</f>
        <v>0</v>
      </c>
      <c r="C834">
        <f>COMPLEX(2*LINE_PS_DCR,2*B834*LINE_PS_L)</f>
        <v>0</v>
      </c>
      <c r="D834">
        <f>IMSUM(COMPLEX(0,B834*(LINE_PS_CLINE+LINE_PS_CCHA/2)),IMDIV("1",IMPRODUCT("2",COMPLEX(C_THROUGH_ESR,B834*C_THROUGH_ESL-1/(B834*C_THROUGH_C)))))</f>
        <v>0</v>
      </c>
      <c r="E834">
        <f>COMPLEX(2*LINE_INPUT_DCR,2*B834*LINE_INPUT_L)</f>
        <v>0</v>
      </c>
      <c r="F834">
        <f>COMPLEX(0,B834*(LINE_INPUT_CLINE+LINE_INPUT_CCHA/2))</f>
        <v>0</v>
      </c>
      <c r="G834">
        <f>IMPRODUCT("2",IMDIV("1",IMSUM(IMDIV("1",COMPLEX(LDM1_DCR,B834*LDM1_L)),COMPLEX(0,B834*LDM1_CPA))))</f>
        <v>0</v>
      </c>
      <c r="H834">
        <f>IMSUM(IMDIV("1",COMPLEX(CX1_ESR,B834*CX1_ESL-1/(B834*CX1_C))),IMDIV("1",IMSUM(COMPLEX(DUMP1_R,0),COMPLEX(DUMP1_ESR,B834*DUMP1_ESL-1/(B834*DUMP1_C)))))</f>
        <v>0</v>
      </c>
      <c r="I834">
        <f>IMPRODUCT("2",IMDIV("1",IMSUM(IMDIV("1",COMPLEX(LDM2_DCR,B834*LDM2_L)),COMPLEX(0,B834*LDM2_CPA))))</f>
        <v>0</v>
      </c>
      <c r="J834">
        <f>IMSUM(IMDIV("1",COMPLEX(CX2_ESR,B834*CX2_ESL-1/(B834*CX2_C))),IMDIV("1",IMSUM(COMPLEX(DUMP2_R,0),COMPLEX(DUMP2_ESR,B834*DUMP2_ESL-1/(B834*DUMP2_C)))))</f>
        <v>0</v>
      </c>
      <c r="K834">
        <f>IMPRODUCT("2",IMDIV("1",IMSUM(IMDIV("1",COMPLEX(CMC_DCR,B834*CMC_L*(1-CMC_K))),COMPLEX(0,B834*CMC_CPA))))</f>
        <v>0</v>
      </c>
      <c r="L834">
        <f>IMSUM(COMPLEX(0,B834*CMC_CLINE),IMDIV("1",IMPRODUCT("2",COMPLEX(CY_ESR,B834*CY_ESL-1/(B834*CY_C)))),COMPLEX(1/DUMMY_R,0))</f>
        <v>0</v>
      </c>
      <c r="M834">
        <f>IMSUM(D834,IMDIV("1",C834))</f>
        <v>0</v>
      </c>
      <c r="N834">
        <f>IMDIV("1",IMSUM(E834,IMDIV("1",M834)))</f>
        <v>0</v>
      </c>
      <c r="O834">
        <f>IMSUM(F834,N834)</f>
        <v>0</v>
      </c>
      <c r="P834">
        <f>IMDIV("1",IMSUM(G834,IMDIV("1",O834)))</f>
        <v>0</v>
      </c>
      <c r="Q834">
        <f>IMSUM(H834,P834)</f>
        <v>0</v>
      </c>
      <c r="R834">
        <f>IMDIV("1",IMSUM(I834,IMDIV("1",Q834)))</f>
        <v>0</v>
      </c>
      <c r="S834">
        <f>IMSUM(J834,R834)</f>
        <v>0</v>
      </c>
      <c r="T834">
        <f>IMDIV("1",IMSUM(K834,IMDIV("1",S834)))</f>
        <v>0</v>
      </c>
      <c r="U834">
        <f>IMSUM(L834,T834)</f>
        <v>0</v>
      </c>
      <c r="V834">
        <f>IMDIV(COMPLEX(I_DM_SOURCE,0),U834)</f>
        <v>0</v>
      </c>
      <c r="W834">
        <f>IMPRODUCT(V834,T834)</f>
        <v>0</v>
      </c>
      <c r="X834">
        <f>IMDIV(W834,S834)</f>
        <v>0</v>
      </c>
      <c r="Y834">
        <f>IMPRODUCT(X834,R834)</f>
        <v>0</v>
      </c>
      <c r="Z834">
        <f>IMDIV(Y834,Q834)</f>
        <v>0</v>
      </c>
      <c r="AA834">
        <f>IMPRODUCT(Z834,P834)</f>
        <v>0</v>
      </c>
      <c r="AB834">
        <f>AA834</f>
        <v>0</v>
      </c>
      <c r="AC834">
        <f>IMPRODUCT("-1",AB834)</f>
        <v>0</v>
      </c>
      <c r="AD834">
        <f>IMDIV(IMSUB(AB834,AC834),"2")</f>
        <v>0</v>
      </c>
      <c r="AE834" s="6">
        <f>IMABS(AB834)</f>
        <v>0</v>
      </c>
      <c r="AF834" s="6">
        <f>IMABS(AC834)</f>
        <v>0</v>
      </c>
      <c r="AG834" s="6">
        <f>IMABS(AD834)</f>
        <v>0</v>
      </c>
      <c r="AH834" s="7">
        <f>20*LOG10(MAX(AE834,1E-300)*1E6)</f>
        <v>0</v>
      </c>
      <c r="AI834" s="7">
        <f>20*LOG10(MAX(AF834,1E-300)*1E6)</f>
        <v>0</v>
      </c>
      <c r="AJ834" s="7">
        <f>20*LOG10(MAX(AG834,1E-300)*1E6)</f>
        <v>0</v>
      </c>
      <c r="AK834" s="7">
        <f>DEGREES(IMARGUMENT(AB834))</f>
        <v>0</v>
      </c>
      <c r="AL834" s="7">
        <f>DEGREES(IMARGUMENT(AC834))</f>
        <v>0</v>
      </c>
      <c r="AM834" s="7">
        <f>DEGREES(IMARGUMENT(AD834))</f>
        <v>0</v>
      </c>
    </row>
    <row r="835" spans="1:39">
      <c r="A835" s="6">
        <f>10^(LOG10(F_START)+(ROW()-ROW($A$2))*(LOG10(F_STOP)-LOG10(F_START))/(N_POINTS-1))</f>
        <v>0</v>
      </c>
      <c r="B835" s="6">
        <f>2*PI()*A835</f>
        <v>0</v>
      </c>
      <c r="C835">
        <f>COMPLEX(2*LINE_PS_DCR,2*B835*LINE_PS_L)</f>
        <v>0</v>
      </c>
      <c r="D835">
        <f>IMSUM(COMPLEX(0,B835*(LINE_PS_CLINE+LINE_PS_CCHA/2)),IMDIV("1",IMPRODUCT("2",COMPLEX(C_THROUGH_ESR,B835*C_THROUGH_ESL-1/(B835*C_THROUGH_C)))))</f>
        <v>0</v>
      </c>
      <c r="E835">
        <f>COMPLEX(2*LINE_INPUT_DCR,2*B835*LINE_INPUT_L)</f>
        <v>0</v>
      </c>
      <c r="F835">
        <f>COMPLEX(0,B835*(LINE_INPUT_CLINE+LINE_INPUT_CCHA/2))</f>
        <v>0</v>
      </c>
      <c r="G835">
        <f>IMPRODUCT("2",IMDIV("1",IMSUM(IMDIV("1",COMPLEX(LDM1_DCR,B835*LDM1_L)),COMPLEX(0,B835*LDM1_CPA))))</f>
        <v>0</v>
      </c>
      <c r="H835">
        <f>IMSUM(IMDIV("1",COMPLEX(CX1_ESR,B835*CX1_ESL-1/(B835*CX1_C))),IMDIV("1",IMSUM(COMPLEX(DUMP1_R,0),COMPLEX(DUMP1_ESR,B835*DUMP1_ESL-1/(B835*DUMP1_C)))))</f>
        <v>0</v>
      </c>
      <c r="I835">
        <f>IMPRODUCT("2",IMDIV("1",IMSUM(IMDIV("1",COMPLEX(LDM2_DCR,B835*LDM2_L)),COMPLEX(0,B835*LDM2_CPA))))</f>
        <v>0</v>
      </c>
      <c r="J835">
        <f>IMSUM(IMDIV("1",COMPLEX(CX2_ESR,B835*CX2_ESL-1/(B835*CX2_C))),IMDIV("1",IMSUM(COMPLEX(DUMP2_R,0),COMPLEX(DUMP2_ESR,B835*DUMP2_ESL-1/(B835*DUMP2_C)))))</f>
        <v>0</v>
      </c>
      <c r="K835">
        <f>IMPRODUCT("2",IMDIV("1",IMSUM(IMDIV("1",COMPLEX(CMC_DCR,B835*CMC_L*(1-CMC_K))),COMPLEX(0,B835*CMC_CPA))))</f>
        <v>0</v>
      </c>
      <c r="L835">
        <f>IMSUM(COMPLEX(0,B835*CMC_CLINE),IMDIV("1",IMPRODUCT("2",COMPLEX(CY_ESR,B835*CY_ESL-1/(B835*CY_C)))),COMPLEX(1/DUMMY_R,0))</f>
        <v>0</v>
      </c>
      <c r="M835">
        <f>IMSUM(D835,IMDIV("1",C835))</f>
        <v>0</v>
      </c>
      <c r="N835">
        <f>IMDIV("1",IMSUM(E835,IMDIV("1",M835)))</f>
        <v>0</v>
      </c>
      <c r="O835">
        <f>IMSUM(F835,N835)</f>
        <v>0</v>
      </c>
      <c r="P835">
        <f>IMDIV("1",IMSUM(G835,IMDIV("1",O835)))</f>
        <v>0</v>
      </c>
      <c r="Q835">
        <f>IMSUM(H835,P835)</f>
        <v>0</v>
      </c>
      <c r="R835">
        <f>IMDIV("1",IMSUM(I835,IMDIV("1",Q835)))</f>
        <v>0</v>
      </c>
      <c r="S835">
        <f>IMSUM(J835,R835)</f>
        <v>0</v>
      </c>
      <c r="T835">
        <f>IMDIV("1",IMSUM(K835,IMDIV("1",S835)))</f>
        <v>0</v>
      </c>
      <c r="U835">
        <f>IMSUM(L835,T835)</f>
        <v>0</v>
      </c>
      <c r="V835">
        <f>IMDIV(COMPLEX(I_DM_SOURCE,0),U835)</f>
        <v>0</v>
      </c>
      <c r="W835">
        <f>IMPRODUCT(V835,T835)</f>
        <v>0</v>
      </c>
      <c r="X835">
        <f>IMDIV(W835,S835)</f>
        <v>0</v>
      </c>
      <c r="Y835">
        <f>IMPRODUCT(X835,R835)</f>
        <v>0</v>
      </c>
      <c r="Z835">
        <f>IMDIV(Y835,Q835)</f>
        <v>0</v>
      </c>
      <c r="AA835">
        <f>IMPRODUCT(Z835,P835)</f>
        <v>0</v>
      </c>
      <c r="AB835">
        <f>AA835</f>
        <v>0</v>
      </c>
      <c r="AC835">
        <f>IMPRODUCT("-1",AB835)</f>
        <v>0</v>
      </c>
      <c r="AD835">
        <f>IMDIV(IMSUB(AB835,AC835),"2")</f>
        <v>0</v>
      </c>
      <c r="AE835" s="6">
        <f>IMABS(AB835)</f>
        <v>0</v>
      </c>
      <c r="AF835" s="6">
        <f>IMABS(AC835)</f>
        <v>0</v>
      </c>
      <c r="AG835" s="6">
        <f>IMABS(AD835)</f>
        <v>0</v>
      </c>
      <c r="AH835" s="7">
        <f>20*LOG10(MAX(AE835,1E-300)*1E6)</f>
        <v>0</v>
      </c>
      <c r="AI835" s="7">
        <f>20*LOG10(MAX(AF835,1E-300)*1E6)</f>
        <v>0</v>
      </c>
      <c r="AJ835" s="7">
        <f>20*LOG10(MAX(AG835,1E-300)*1E6)</f>
        <v>0</v>
      </c>
      <c r="AK835" s="7">
        <f>DEGREES(IMARGUMENT(AB835))</f>
        <v>0</v>
      </c>
      <c r="AL835" s="7">
        <f>DEGREES(IMARGUMENT(AC835))</f>
        <v>0</v>
      </c>
      <c r="AM835" s="7">
        <f>DEGREES(IMARGUMENT(AD835))</f>
        <v>0</v>
      </c>
    </row>
    <row r="836" spans="1:39">
      <c r="A836" s="6">
        <f>10^(LOG10(F_START)+(ROW()-ROW($A$2))*(LOG10(F_STOP)-LOG10(F_START))/(N_POINTS-1))</f>
        <v>0</v>
      </c>
      <c r="B836" s="6">
        <f>2*PI()*A836</f>
        <v>0</v>
      </c>
      <c r="C836">
        <f>COMPLEX(2*LINE_PS_DCR,2*B836*LINE_PS_L)</f>
        <v>0</v>
      </c>
      <c r="D836">
        <f>IMSUM(COMPLEX(0,B836*(LINE_PS_CLINE+LINE_PS_CCHA/2)),IMDIV("1",IMPRODUCT("2",COMPLEX(C_THROUGH_ESR,B836*C_THROUGH_ESL-1/(B836*C_THROUGH_C)))))</f>
        <v>0</v>
      </c>
      <c r="E836">
        <f>COMPLEX(2*LINE_INPUT_DCR,2*B836*LINE_INPUT_L)</f>
        <v>0</v>
      </c>
      <c r="F836">
        <f>COMPLEX(0,B836*(LINE_INPUT_CLINE+LINE_INPUT_CCHA/2))</f>
        <v>0</v>
      </c>
      <c r="G836">
        <f>IMPRODUCT("2",IMDIV("1",IMSUM(IMDIV("1",COMPLEX(LDM1_DCR,B836*LDM1_L)),COMPLEX(0,B836*LDM1_CPA))))</f>
        <v>0</v>
      </c>
      <c r="H836">
        <f>IMSUM(IMDIV("1",COMPLEX(CX1_ESR,B836*CX1_ESL-1/(B836*CX1_C))),IMDIV("1",IMSUM(COMPLEX(DUMP1_R,0),COMPLEX(DUMP1_ESR,B836*DUMP1_ESL-1/(B836*DUMP1_C)))))</f>
        <v>0</v>
      </c>
      <c r="I836">
        <f>IMPRODUCT("2",IMDIV("1",IMSUM(IMDIV("1",COMPLEX(LDM2_DCR,B836*LDM2_L)),COMPLEX(0,B836*LDM2_CPA))))</f>
        <v>0</v>
      </c>
      <c r="J836">
        <f>IMSUM(IMDIV("1",COMPLEX(CX2_ESR,B836*CX2_ESL-1/(B836*CX2_C))),IMDIV("1",IMSUM(COMPLEX(DUMP2_R,0),COMPLEX(DUMP2_ESR,B836*DUMP2_ESL-1/(B836*DUMP2_C)))))</f>
        <v>0</v>
      </c>
      <c r="K836">
        <f>IMPRODUCT("2",IMDIV("1",IMSUM(IMDIV("1",COMPLEX(CMC_DCR,B836*CMC_L*(1-CMC_K))),COMPLEX(0,B836*CMC_CPA))))</f>
        <v>0</v>
      </c>
      <c r="L836">
        <f>IMSUM(COMPLEX(0,B836*CMC_CLINE),IMDIV("1",IMPRODUCT("2",COMPLEX(CY_ESR,B836*CY_ESL-1/(B836*CY_C)))),COMPLEX(1/DUMMY_R,0))</f>
        <v>0</v>
      </c>
      <c r="M836">
        <f>IMSUM(D836,IMDIV("1",C836))</f>
        <v>0</v>
      </c>
      <c r="N836">
        <f>IMDIV("1",IMSUM(E836,IMDIV("1",M836)))</f>
        <v>0</v>
      </c>
      <c r="O836">
        <f>IMSUM(F836,N836)</f>
        <v>0</v>
      </c>
      <c r="P836">
        <f>IMDIV("1",IMSUM(G836,IMDIV("1",O836)))</f>
        <v>0</v>
      </c>
      <c r="Q836">
        <f>IMSUM(H836,P836)</f>
        <v>0</v>
      </c>
      <c r="R836">
        <f>IMDIV("1",IMSUM(I836,IMDIV("1",Q836)))</f>
        <v>0</v>
      </c>
      <c r="S836">
        <f>IMSUM(J836,R836)</f>
        <v>0</v>
      </c>
      <c r="T836">
        <f>IMDIV("1",IMSUM(K836,IMDIV("1",S836)))</f>
        <v>0</v>
      </c>
      <c r="U836">
        <f>IMSUM(L836,T836)</f>
        <v>0</v>
      </c>
      <c r="V836">
        <f>IMDIV(COMPLEX(I_DM_SOURCE,0),U836)</f>
        <v>0</v>
      </c>
      <c r="W836">
        <f>IMPRODUCT(V836,T836)</f>
        <v>0</v>
      </c>
      <c r="X836">
        <f>IMDIV(W836,S836)</f>
        <v>0</v>
      </c>
      <c r="Y836">
        <f>IMPRODUCT(X836,R836)</f>
        <v>0</v>
      </c>
      <c r="Z836">
        <f>IMDIV(Y836,Q836)</f>
        <v>0</v>
      </c>
      <c r="AA836">
        <f>IMPRODUCT(Z836,P836)</f>
        <v>0</v>
      </c>
      <c r="AB836">
        <f>AA836</f>
        <v>0</v>
      </c>
      <c r="AC836">
        <f>IMPRODUCT("-1",AB836)</f>
        <v>0</v>
      </c>
      <c r="AD836">
        <f>IMDIV(IMSUB(AB836,AC836),"2")</f>
        <v>0</v>
      </c>
      <c r="AE836" s="6">
        <f>IMABS(AB836)</f>
        <v>0</v>
      </c>
      <c r="AF836" s="6">
        <f>IMABS(AC836)</f>
        <v>0</v>
      </c>
      <c r="AG836" s="6">
        <f>IMABS(AD836)</f>
        <v>0</v>
      </c>
      <c r="AH836" s="7">
        <f>20*LOG10(MAX(AE836,1E-300)*1E6)</f>
        <v>0</v>
      </c>
      <c r="AI836" s="7">
        <f>20*LOG10(MAX(AF836,1E-300)*1E6)</f>
        <v>0</v>
      </c>
      <c r="AJ836" s="7">
        <f>20*LOG10(MAX(AG836,1E-300)*1E6)</f>
        <v>0</v>
      </c>
      <c r="AK836" s="7">
        <f>DEGREES(IMARGUMENT(AB836))</f>
        <v>0</v>
      </c>
      <c r="AL836" s="7">
        <f>DEGREES(IMARGUMENT(AC836))</f>
        <v>0</v>
      </c>
      <c r="AM836" s="7">
        <f>DEGREES(IMARGUMENT(AD836))</f>
        <v>0</v>
      </c>
    </row>
    <row r="837" spans="1:39">
      <c r="A837" s="6">
        <f>10^(LOG10(F_START)+(ROW()-ROW($A$2))*(LOG10(F_STOP)-LOG10(F_START))/(N_POINTS-1))</f>
        <v>0</v>
      </c>
      <c r="B837" s="6">
        <f>2*PI()*A837</f>
        <v>0</v>
      </c>
      <c r="C837">
        <f>COMPLEX(2*LINE_PS_DCR,2*B837*LINE_PS_L)</f>
        <v>0</v>
      </c>
      <c r="D837">
        <f>IMSUM(COMPLEX(0,B837*(LINE_PS_CLINE+LINE_PS_CCHA/2)),IMDIV("1",IMPRODUCT("2",COMPLEX(C_THROUGH_ESR,B837*C_THROUGH_ESL-1/(B837*C_THROUGH_C)))))</f>
        <v>0</v>
      </c>
      <c r="E837">
        <f>COMPLEX(2*LINE_INPUT_DCR,2*B837*LINE_INPUT_L)</f>
        <v>0</v>
      </c>
      <c r="F837">
        <f>COMPLEX(0,B837*(LINE_INPUT_CLINE+LINE_INPUT_CCHA/2))</f>
        <v>0</v>
      </c>
      <c r="G837">
        <f>IMPRODUCT("2",IMDIV("1",IMSUM(IMDIV("1",COMPLEX(LDM1_DCR,B837*LDM1_L)),COMPLEX(0,B837*LDM1_CPA))))</f>
        <v>0</v>
      </c>
      <c r="H837">
        <f>IMSUM(IMDIV("1",COMPLEX(CX1_ESR,B837*CX1_ESL-1/(B837*CX1_C))),IMDIV("1",IMSUM(COMPLEX(DUMP1_R,0),COMPLEX(DUMP1_ESR,B837*DUMP1_ESL-1/(B837*DUMP1_C)))))</f>
        <v>0</v>
      </c>
      <c r="I837">
        <f>IMPRODUCT("2",IMDIV("1",IMSUM(IMDIV("1",COMPLEX(LDM2_DCR,B837*LDM2_L)),COMPLEX(0,B837*LDM2_CPA))))</f>
        <v>0</v>
      </c>
      <c r="J837">
        <f>IMSUM(IMDIV("1",COMPLEX(CX2_ESR,B837*CX2_ESL-1/(B837*CX2_C))),IMDIV("1",IMSUM(COMPLEX(DUMP2_R,0),COMPLEX(DUMP2_ESR,B837*DUMP2_ESL-1/(B837*DUMP2_C)))))</f>
        <v>0</v>
      </c>
      <c r="K837">
        <f>IMPRODUCT("2",IMDIV("1",IMSUM(IMDIV("1",COMPLEX(CMC_DCR,B837*CMC_L*(1-CMC_K))),COMPLEX(0,B837*CMC_CPA))))</f>
        <v>0</v>
      </c>
      <c r="L837">
        <f>IMSUM(COMPLEX(0,B837*CMC_CLINE),IMDIV("1",IMPRODUCT("2",COMPLEX(CY_ESR,B837*CY_ESL-1/(B837*CY_C)))),COMPLEX(1/DUMMY_R,0))</f>
        <v>0</v>
      </c>
      <c r="M837">
        <f>IMSUM(D837,IMDIV("1",C837))</f>
        <v>0</v>
      </c>
      <c r="N837">
        <f>IMDIV("1",IMSUM(E837,IMDIV("1",M837)))</f>
        <v>0</v>
      </c>
      <c r="O837">
        <f>IMSUM(F837,N837)</f>
        <v>0</v>
      </c>
      <c r="P837">
        <f>IMDIV("1",IMSUM(G837,IMDIV("1",O837)))</f>
        <v>0</v>
      </c>
      <c r="Q837">
        <f>IMSUM(H837,P837)</f>
        <v>0</v>
      </c>
      <c r="R837">
        <f>IMDIV("1",IMSUM(I837,IMDIV("1",Q837)))</f>
        <v>0</v>
      </c>
      <c r="S837">
        <f>IMSUM(J837,R837)</f>
        <v>0</v>
      </c>
      <c r="T837">
        <f>IMDIV("1",IMSUM(K837,IMDIV("1",S837)))</f>
        <v>0</v>
      </c>
      <c r="U837">
        <f>IMSUM(L837,T837)</f>
        <v>0</v>
      </c>
      <c r="V837">
        <f>IMDIV(COMPLEX(I_DM_SOURCE,0),U837)</f>
        <v>0</v>
      </c>
      <c r="W837">
        <f>IMPRODUCT(V837,T837)</f>
        <v>0</v>
      </c>
      <c r="X837">
        <f>IMDIV(W837,S837)</f>
        <v>0</v>
      </c>
      <c r="Y837">
        <f>IMPRODUCT(X837,R837)</f>
        <v>0</v>
      </c>
      <c r="Z837">
        <f>IMDIV(Y837,Q837)</f>
        <v>0</v>
      </c>
      <c r="AA837">
        <f>IMPRODUCT(Z837,P837)</f>
        <v>0</v>
      </c>
      <c r="AB837">
        <f>AA837</f>
        <v>0</v>
      </c>
      <c r="AC837">
        <f>IMPRODUCT("-1",AB837)</f>
        <v>0</v>
      </c>
      <c r="AD837">
        <f>IMDIV(IMSUB(AB837,AC837),"2")</f>
        <v>0</v>
      </c>
      <c r="AE837" s="6">
        <f>IMABS(AB837)</f>
        <v>0</v>
      </c>
      <c r="AF837" s="6">
        <f>IMABS(AC837)</f>
        <v>0</v>
      </c>
      <c r="AG837" s="6">
        <f>IMABS(AD837)</f>
        <v>0</v>
      </c>
      <c r="AH837" s="7">
        <f>20*LOG10(MAX(AE837,1E-300)*1E6)</f>
        <v>0</v>
      </c>
      <c r="AI837" s="7">
        <f>20*LOG10(MAX(AF837,1E-300)*1E6)</f>
        <v>0</v>
      </c>
      <c r="AJ837" s="7">
        <f>20*LOG10(MAX(AG837,1E-300)*1E6)</f>
        <v>0</v>
      </c>
      <c r="AK837" s="7">
        <f>DEGREES(IMARGUMENT(AB837))</f>
        <v>0</v>
      </c>
      <c r="AL837" s="7">
        <f>DEGREES(IMARGUMENT(AC837))</f>
        <v>0</v>
      </c>
      <c r="AM837" s="7">
        <f>DEGREES(IMARGUMENT(AD837))</f>
        <v>0</v>
      </c>
    </row>
    <row r="838" spans="1:39">
      <c r="A838" s="6">
        <f>10^(LOG10(F_START)+(ROW()-ROW($A$2))*(LOG10(F_STOP)-LOG10(F_START))/(N_POINTS-1))</f>
        <v>0</v>
      </c>
      <c r="B838" s="6">
        <f>2*PI()*A838</f>
        <v>0</v>
      </c>
      <c r="C838">
        <f>COMPLEX(2*LINE_PS_DCR,2*B838*LINE_PS_L)</f>
        <v>0</v>
      </c>
      <c r="D838">
        <f>IMSUM(COMPLEX(0,B838*(LINE_PS_CLINE+LINE_PS_CCHA/2)),IMDIV("1",IMPRODUCT("2",COMPLEX(C_THROUGH_ESR,B838*C_THROUGH_ESL-1/(B838*C_THROUGH_C)))))</f>
        <v>0</v>
      </c>
      <c r="E838">
        <f>COMPLEX(2*LINE_INPUT_DCR,2*B838*LINE_INPUT_L)</f>
        <v>0</v>
      </c>
      <c r="F838">
        <f>COMPLEX(0,B838*(LINE_INPUT_CLINE+LINE_INPUT_CCHA/2))</f>
        <v>0</v>
      </c>
      <c r="G838">
        <f>IMPRODUCT("2",IMDIV("1",IMSUM(IMDIV("1",COMPLEX(LDM1_DCR,B838*LDM1_L)),COMPLEX(0,B838*LDM1_CPA))))</f>
        <v>0</v>
      </c>
      <c r="H838">
        <f>IMSUM(IMDIV("1",COMPLEX(CX1_ESR,B838*CX1_ESL-1/(B838*CX1_C))),IMDIV("1",IMSUM(COMPLEX(DUMP1_R,0),COMPLEX(DUMP1_ESR,B838*DUMP1_ESL-1/(B838*DUMP1_C)))))</f>
        <v>0</v>
      </c>
      <c r="I838">
        <f>IMPRODUCT("2",IMDIV("1",IMSUM(IMDIV("1",COMPLEX(LDM2_DCR,B838*LDM2_L)),COMPLEX(0,B838*LDM2_CPA))))</f>
        <v>0</v>
      </c>
      <c r="J838">
        <f>IMSUM(IMDIV("1",COMPLEX(CX2_ESR,B838*CX2_ESL-1/(B838*CX2_C))),IMDIV("1",IMSUM(COMPLEX(DUMP2_R,0),COMPLEX(DUMP2_ESR,B838*DUMP2_ESL-1/(B838*DUMP2_C)))))</f>
        <v>0</v>
      </c>
      <c r="K838">
        <f>IMPRODUCT("2",IMDIV("1",IMSUM(IMDIV("1",COMPLEX(CMC_DCR,B838*CMC_L*(1-CMC_K))),COMPLEX(0,B838*CMC_CPA))))</f>
        <v>0</v>
      </c>
      <c r="L838">
        <f>IMSUM(COMPLEX(0,B838*CMC_CLINE),IMDIV("1",IMPRODUCT("2",COMPLEX(CY_ESR,B838*CY_ESL-1/(B838*CY_C)))),COMPLEX(1/DUMMY_R,0))</f>
        <v>0</v>
      </c>
      <c r="M838">
        <f>IMSUM(D838,IMDIV("1",C838))</f>
        <v>0</v>
      </c>
      <c r="N838">
        <f>IMDIV("1",IMSUM(E838,IMDIV("1",M838)))</f>
        <v>0</v>
      </c>
      <c r="O838">
        <f>IMSUM(F838,N838)</f>
        <v>0</v>
      </c>
      <c r="P838">
        <f>IMDIV("1",IMSUM(G838,IMDIV("1",O838)))</f>
        <v>0</v>
      </c>
      <c r="Q838">
        <f>IMSUM(H838,P838)</f>
        <v>0</v>
      </c>
      <c r="R838">
        <f>IMDIV("1",IMSUM(I838,IMDIV("1",Q838)))</f>
        <v>0</v>
      </c>
      <c r="S838">
        <f>IMSUM(J838,R838)</f>
        <v>0</v>
      </c>
      <c r="T838">
        <f>IMDIV("1",IMSUM(K838,IMDIV("1",S838)))</f>
        <v>0</v>
      </c>
      <c r="U838">
        <f>IMSUM(L838,T838)</f>
        <v>0</v>
      </c>
      <c r="V838">
        <f>IMDIV(COMPLEX(I_DM_SOURCE,0),U838)</f>
        <v>0</v>
      </c>
      <c r="W838">
        <f>IMPRODUCT(V838,T838)</f>
        <v>0</v>
      </c>
      <c r="X838">
        <f>IMDIV(W838,S838)</f>
        <v>0</v>
      </c>
      <c r="Y838">
        <f>IMPRODUCT(X838,R838)</f>
        <v>0</v>
      </c>
      <c r="Z838">
        <f>IMDIV(Y838,Q838)</f>
        <v>0</v>
      </c>
      <c r="AA838">
        <f>IMPRODUCT(Z838,P838)</f>
        <v>0</v>
      </c>
      <c r="AB838">
        <f>AA838</f>
        <v>0</v>
      </c>
      <c r="AC838">
        <f>IMPRODUCT("-1",AB838)</f>
        <v>0</v>
      </c>
      <c r="AD838">
        <f>IMDIV(IMSUB(AB838,AC838),"2")</f>
        <v>0</v>
      </c>
      <c r="AE838" s="6">
        <f>IMABS(AB838)</f>
        <v>0</v>
      </c>
      <c r="AF838" s="6">
        <f>IMABS(AC838)</f>
        <v>0</v>
      </c>
      <c r="AG838" s="6">
        <f>IMABS(AD838)</f>
        <v>0</v>
      </c>
      <c r="AH838" s="7">
        <f>20*LOG10(MAX(AE838,1E-300)*1E6)</f>
        <v>0</v>
      </c>
      <c r="AI838" s="7">
        <f>20*LOG10(MAX(AF838,1E-300)*1E6)</f>
        <v>0</v>
      </c>
      <c r="AJ838" s="7">
        <f>20*LOG10(MAX(AG838,1E-300)*1E6)</f>
        <v>0</v>
      </c>
      <c r="AK838" s="7">
        <f>DEGREES(IMARGUMENT(AB838))</f>
        <v>0</v>
      </c>
      <c r="AL838" s="7">
        <f>DEGREES(IMARGUMENT(AC838))</f>
        <v>0</v>
      </c>
      <c r="AM838" s="7">
        <f>DEGREES(IMARGUMENT(AD838))</f>
        <v>0</v>
      </c>
    </row>
    <row r="839" spans="1:39">
      <c r="A839" s="6">
        <f>10^(LOG10(F_START)+(ROW()-ROW($A$2))*(LOG10(F_STOP)-LOG10(F_START))/(N_POINTS-1))</f>
        <v>0</v>
      </c>
      <c r="B839" s="6">
        <f>2*PI()*A839</f>
        <v>0</v>
      </c>
      <c r="C839">
        <f>COMPLEX(2*LINE_PS_DCR,2*B839*LINE_PS_L)</f>
        <v>0</v>
      </c>
      <c r="D839">
        <f>IMSUM(COMPLEX(0,B839*(LINE_PS_CLINE+LINE_PS_CCHA/2)),IMDIV("1",IMPRODUCT("2",COMPLEX(C_THROUGH_ESR,B839*C_THROUGH_ESL-1/(B839*C_THROUGH_C)))))</f>
        <v>0</v>
      </c>
      <c r="E839">
        <f>COMPLEX(2*LINE_INPUT_DCR,2*B839*LINE_INPUT_L)</f>
        <v>0</v>
      </c>
      <c r="F839">
        <f>COMPLEX(0,B839*(LINE_INPUT_CLINE+LINE_INPUT_CCHA/2))</f>
        <v>0</v>
      </c>
      <c r="G839">
        <f>IMPRODUCT("2",IMDIV("1",IMSUM(IMDIV("1",COMPLEX(LDM1_DCR,B839*LDM1_L)),COMPLEX(0,B839*LDM1_CPA))))</f>
        <v>0</v>
      </c>
      <c r="H839">
        <f>IMSUM(IMDIV("1",COMPLEX(CX1_ESR,B839*CX1_ESL-1/(B839*CX1_C))),IMDIV("1",IMSUM(COMPLEX(DUMP1_R,0),COMPLEX(DUMP1_ESR,B839*DUMP1_ESL-1/(B839*DUMP1_C)))))</f>
        <v>0</v>
      </c>
      <c r="I839">
        <f>IMPRODUCT("2",IMDIV("1",IMSUM(IMDIV("1",COMPLEX(LDM2_DCR,B839*LDM2_L)),COMPLEX(0,B839*LDM2_CPA))))</f>
        <v>0</v>
      </c>
      <c r="J839">
        <f>IMSUM(IMDIV("1",COMPLEX(CX2_ESR,B839*CX2_ESL-1/(B839*CX2_C))),IMDIV("1",IMSUM(COMPLEX(DUMP2_R,0),COMPLEX(DUMP2_ESR,B839*DUMP2_ESL-1/(B839*DUMP2_C)))))</f>
        <v>0</v>
      </c>
      <c r="K839">
        <f>IMPRODUCT("2",IMDIV("1",IMSUM(IMDIV("1",COMPLEX(CMC_DCR,B839*CMC_L*(1-CMC_K))),COMPLEX(0,B839*CMC_CPA))))</f>
        <v>0</v>
      </c>
      <c r="L839">
        <f>IMSUM(COMPLEX(0,B839*CMC_CLINE),IMDIV("1",IMPRODUCT("2",COMPLEX(CY_ESR,B839*CY_ESL-1/(B839*CY_C)))),COMPLEX(1/DUMMY_R,0))</f>
        <v>0</v>
      </c>
      <c r="M839">
        <f>IMSUM(D839,IMDIV("1",C839))</f>
        <v>0</v>
      </c>
      <c r="N839">
        <f>IMDIV("1",IMSUM(E839,IMDIV("1",M839)))</f>
        <v>0</v>
      </c>
      <c r="O839">
        <f>IMSUM(F839,N839)</f>
        <v>0</v>
      </c>
      <c r="P839">
        <f>IMDIV("1",IMSUM(G839,IMDIV("1",O839)))</f>
        <v>0</v>
      </c>
      <c r="Q839">
        <f>IMSUM(H839,P839)</f>
        <v>0</v>
      </c>
      <c r="R839">
        <f>IMDIV("1",IMSUM(I839,IMDIV("1",Q839)))</f>
        <v>0</v>
      </c>
      <c r="S839">
        <f>IMSUM(J839,R839)</f>
        <v>0</v>
      </c>
      <c r="T839">
        <f>IMDIV("1",IMSUM(K839,IMDIV("1",S839)))</f>
        <v>0</v>
      </c>
      <c r="U839">
        <f>IMSUM(L839,T839)</f>
        <v>0</v>
      </c>
      <c r="V839">
        <f>IMDIV(COMPLEX(I_DM_SOURCE,0),U839)</f>
        <v>0</v>
      </c>
      <c r="W839">
        <f>IMPRODUCT(V839,T839)</f>
        <v>0</v>
      </c>
      <c r="X839">
        <f>IMDIV(W839,S839)</f>
        <v>0</v>
      </c>
      <c r="Y839">
        <f>IMPRODUCT(X839,R839)</f>
        <v>0</v>
      </c>
      <c r="Z839">
        <f>IMDIV(Y839,Q839)</f>
        <v>0</v>
      </c>
      <c r="AA839">
        <f>IMPRODUCT(Z839,P839)</f>
        <v>0</v>
      </c>
      <c r="AB839">
        <f>AA839</f>
        <v>0</v>
      </c>
      <c r="AC839">
        <f>IMPRODUCT("-1",AB839)</f>
        <v>0</v>
      </c>
      <c r="AD839">
        <f>IMDIV(IMSUB(AB839,AC839),"2")</f>
        <v>0</v>
      </c>
      <c r="AE839" s="6">
        <f>IMABS(AB839)</f>
        <v>0</v>
      </c>
      <c r="AF839" s="6">
        <f>IMABS(AC839)</f>
        <v>0</v>
      </c>
      <c r="AG839" s="6">
        <f>IMABS(AD839)</f>
        <v>0</v>
      </c>
      <c r="AH839" s="7">
        <f>20*LOG10(MAX(AE839,1E-300)*1E6)</f>
        <v>0</v>
      </c>
      <c r="AI839" s="7">
        <f>20*LOG10(MAX(AF839,1E-300)*1E6)</f>
        <v>0</v>
      </c>
      <c r="AJ839" s="7">
        <f>20*LOG10(MAX(AG839,1E-300)*1E6)</f>
        <v>0</v>
      </c>
      <c r="AK839" s="7">
        <f>DEGREES(IMARGUMENT(AB839))</f>
        <v>0</v>
      </c>
      <c r="AL839" s="7">
        <f>DEGREES(IMARGUMENT(AC839))</f>
        <v>0</v>
      </c>
      <c r="AM839" s="7">
        <f>DEGREES(IMARGUMENT(AD839))</f>
        <v>0</v>
      </c>
    </row>
    <row r="840" spans="1:39">
      <c r="A840" s="6">
        <f>10^(LOG10(F_START)+(ROW()-ROW($A$2))*(LOG10(F_STOP)-LOG10(F_START))/(N_POINTS-1))</f>
        <v>0</v>
      </c>
      <c r="B840" s="6">
        <f>2*PI()*A840</f>
        <v>0</v>
      </c>
      <c r="C840">
        <f>COMPLEX(2*LINE_PS_DCR,2*B840*LINE_PS_L)</f>
        <v>0</v>
      </c>
      <c r="D840">
        <f>IMSUM(COMPLEX(0,B840*(LINE_PS_CLINE+LINE_PS_CCHA/2)),IMDIV("1",IMPRODUCT("2",COMPLEX(C_THROUGH_ESR,B840*C_THROUGH_ESL-1/(B840*C_THROUGH_C)))))</f>
        <v>0</v>
      </c>
      <c r="E840">
        <f>COMPLEX(2*LINE_INPUT_DCR,2*B840*LINE_INPUT_L)</f>
        <v>0</v>
      </c>
      <c r="F840">
        <f>COMPLEX(0,B840*(LINE_INPUT_CLINE+LINE_INPUT_CCHA/2))</f>
        <v>0</v>
      </c>
      <c r="G840">
        <f>IMPRODUCT("2",IMDIV("1",IMSUM(IMDIV("1",COMPLEX(LDM1_DCR,B840*LDM1_L)),COMPLEX(0,B840*LDM1_CPA))))</f>
        <v>0</v>
      </c>
      <c r="H840">
        <f>IMSUM(IMDIV("1",COMPLEX(CX1_ESR,B840*CX1_ESL-1/(B840*CX1_C))),IMDIV("1",IMSUM(COMPLEX(DUMP1_R,0),COMPLEX(DUMP1_ESR,B840*DUMP1_ESL-1/(B840*DUMP1_C)))))</f>
        <v>0</v>
      </c>
      <c r="I840">
        <f>IMPRODUCT("2",IMDIV("1",IMSUM(IMDIV("1",COMPLEX(LDM2_DCR,B840*LDM2_L)),COMPLEX(0,B840*LDM2_CPA))))</f>
        <v>0</v>
      </c>
      <c r="J840">
        <f>IMSUM(IMDIV("1",COMPLEX(CX2_ESR,B840*CX2_ESL-1/(B840*CX2_C))),IMDIV("1",IMSUM(COMPLEX(DUMP2_R,0),COMPLEX(DUMP2_ESR,B840*DUMP2_ESL-1/(B840*DUMP2_C)))))</f>
        <v>0</v>
      </c>
      <c r="K840">
        <f>IMPRODUCT("2",IMDIV("1",IMSUM(IMDIV("1",COMPLEX(CMC_DCR,B840*CMC_L*(1-CMC_K))),COMPLEX(0,B840*CMC_CPA))))</f>
        <v>0</v>
      </c>
      <c r="L840">
        <f>IMSUM(COMPLEX(0,B840*CMC_CLINE),IMDIV("1",IMPRODUCT("2",COMPLEX(CY_ESR,B840*CY_ESL-1/(B840*CY_C)))),COMPLEX(1/DUMMY_R,0))</f>
        <v>0</v>
      </c>
      <c r="M840">
        <f>IMSUM(D840,IMDIV("1",C840))</f>
        <v>0</v>
      </c>
      <c r="N840">
        <f>IMDIV("1",IMSUM(E840,IMDIV("1",M840)))</f>
        <v>0</v>
      </c>
      <c r="O840">
        <f>IMSUM(F840,N840)</f>
        <v>0</v>
      </c>
      <c r="P840">
        <f>IMDIV("1",IMSUM(G840,IMDIV("1",O840)))</f>
        <v>0</v>
      </c>
      <c r="Q840">
        <f>IMSUM(H840,P840)</f>
        <v>0</v>
      </c>
      <c r="R840">
        <f>IMDIV("1",IMSUM(I840,IMDIV("1",Q840)))</f>
        <v>0</v>
      </c>
      <c r="S840">
        <f>IMSUM(J840,R840)</f>
        <v>0</v>
      </c>
      <c r="T840">
        <f>IMDIV("1",IMSUM(K840,IMDIV("1",S840)))</f>
        <v>0</v>
      </c>
      <c r="U840">
        <f>IMSUM(L840,T840)</f>
        <v>0</v>
      </c>
      <c r="V840">
        <f>IMDIV(COMPLEX(I_DM_SOURCE,0),U840)</f>
        <v>0</v>
      </c>
      <c r="W840">
        <f>IMPRODUCT(V840,T840)</f>
        <v>0</v>
      </c>
      <c r="X840">
        <f>IMDIV(W840,S840)</f>
        <v>0</v>
      </c>
      <c r="Y840">
        <f>IMPRODUCT(X840,R840)</f>
        <v>0</v>
      </c>
      <c r="Z840">
        <f>IMDIV(Y840,Q840)</f>
        <v>0</v>
      </c>
      <c r="AA840">
        <f>IMPRODUCT(Z840,P840)</f>
        <v>0</v>
      </c>
      <c r="AB840">
        <f>AA840</f>
        <v>0</v>
      </c>
      <c r="AC840">
        <f>IMPRODUCT("-1",AB840)</f>
        <v>0</v>
      </c>
      <c r="AD840">
        <f>IMDIV(IMSUB(AB840,AC840),"2")</f>
        <v>0</v>
      </c>
      <c r="AE840" s="6">
        <f>IMABS(AB840)</f>
        <v>0</v>
      </c>
      <c r="AF840" s="6">
        <f>IMABS(AC840)</f>
        <v>0</v>
      </c>
      <c r="AG840" s="6">
        <f>IMABS(AD840)</f>
        <v>0</v>
      </c>
      <c r="AH840" s="7">
        <f>20*LOG10(MAX(AE840,1E-300)*1E6)</f>
        <v>0</v>
      </c>
      <c r="AI840" s="7">
        <f>20*LOG10(MAX(AF840,1E-300)*1E6)</f>
        <v>0</v>
      </c>
      <c r="AJ840" s="7">
        <f>20*LOG10(MAX(AG840,1E-300)*1E6)</f>
        <v>0</v>
      </c>
      <c r="AK840" s="7">
        <f>DEGREES(IMARGUMENT(AB840))</f>
        <v>0</v>
      </c>
      <c r="AL840" s="7">
        <f>DEGREES(IMARGUMENT(AC840))</f>
        <v>0</v>
      </c>
      <c r="AM840" s="7">
        <f>DEGREES(IMARGUMENT(AD840))</f>
        <v>0</v>
      </c>
    </row>
    <row r="841" spans="1:39">
      <c r="A841" s="6">
        <f>10^(LOG10(F_START)+(ROW()-ROW($A$2))*(LOG10(F_STOP)-LOG10(F_START))/(N_POINTS-1))</f>
        <v>0</v>
      </c>
      <c r="B841" s="6">
        <f>2*PI()*A841</f>
        <v>0</v>
      </c>
      <c r="C841">
        <f>COMPLEX(2*LINE_PS_DCR,2*B841*LINE_PS_L)</f>
        <v>0</v>
      </c>
      <c r="D841">
        <f>IMSUM(COMPLEX(0,B841*(LINE_PS_CLINE+LINE_PS_CCHA/2)),IMDIV("1",IMPRODUCT("2",COMPLEX(C_THROUGH_ESR,B841*C_THROUGH_ESL-1/(B841*C_THROUGH_C)))))</f>
        <v>0</v>
      </c>
      <c r="E841">
        <f>COMPLEX(2*LINE_INPUT_DCR,2*B841*LINE_INPUT_L)</f>
        <v>0</v>
      </c>
      <c r="F841">
        <f>COMPLEX(0,B841*(LINE_INPUT_CLINE+LINE_INPUT_CCHA/2))</f>
        <v>0</v>
      </c>
      <c r="G841">
        <f>IMPRODUCT("2",IMDIV("1",IMSUM(IMDIV("1",COMPLEX(LDM1_DCR,B841*LDM1_L)),COMPLEX(0,B841*LDM1_CPA))))</f>
        <v>0</v>
      </c>
      <c r="H841">
        <f>IMSUM(IMDIV("1",COMPLEX(CX1_ESR,B841*CX1_ESL-1/(B841*CX1_C))),IMDIV("1",IMSUM(COMPLEX(DUMP1_R,0),COMPLEX(DUMP1_ESR,B841*DUMP1_ESL-1/(B841*DUMP1_C)))))</f>
        <v>0</v>
      </c>
      <c r="I841">
        <f>IMPRODUCT("2",IMDIV("1",IMSUM(IMDIV("1",COMPLEX(LDM2_DCR,B841*LDM2_L)),COMPLEX(0,B841*LDM2_CPA))))</f>
        <v>0</v>
      </c>
      <c r="J841">
        <f>IMSUM(IMDIV("1",COMPLEX(CX2_ESR,B841*CX2_ESL-1/(B841*CX2_C))),IMDIV("1",IMSUM(COMPLEX(DUMP2_R,0),COMPLEX(DUMP2_ESR,B841*DUMP2_ESL-1/(B841*DUMP2_C)))))</f>
        <v>0</v>
      </c>
      <c r="K841">
        <f>IMPRODUCT("2",IMDIV("1",IMSUM(IMDIV("1",COMPLEX(CMC_DCR,B841*CMC_L*(1-CMC_K))),COMPLEX(0,B841*CMC_CPA))))</f>
        <v>0</v>
      </c>
      <c r="L841">
        <f>IMSUM(COMPLEX(0,B841*CMC_CLINE),IMDIV("1",IMPRODUCT("2",COMPLEX(CY_ESR,B841*CY_ESL-1/(B841*CY_C)))),COMPLEX(1/DUMMY_R,0))</f>
        <v>0</v>
      </c>
      <c r="M841">
        <f>IMSUM(D841,IMDIV("1",C841))</f>
        <v>0</v>
      </c>
      <c r="N841">
        <f>IMDIV("1",IMSUM(E841,IMDIV("1",M841)))</f>
        <v>0</v>
      </c>
      <c r="O841">
        <f>IMSUM(F841,N841)</f>
        <v>0</v>
      </c>
      <c r="P841">
        <f>IMDIV("1",IMSUM(G841,IMDIV("1",O841)))</f>
        <v>0</v>
      </c>
      <c r="Q841">
        <f>IMSUM(H841,P841)</f>
        <v>0</v>
      </c>
      <c r="R841">
        <f>IMDIV("1",IMSUM(I841,IMDIV("1",Q841)))</f>
        <v>0</v>
      </c>
      <c r="S841">
        <f>IMSUM(J841,R841)</f>
        <v>0</v>
      </c>
      <c r="T841">
        <f>IMDIV("1",IMSUM(K841,IMDIV("1",S841)))</f>
        <v>0</v>
      </c>
      <c r="U841">
        <f>IMSUM(L841,T841)</f>
        <v>0</v>
      </c>
      <c r="V841">
        <f>IMDIV(COMPLEX(I_DM_SOURCE,0),U841)</f>
        <v>0</v>
      </c>
      <c r="W841">
        <f>IMPRODUCT(V841,T841)</f>
        <v>0</v>
      </c>
      <c r="X841">
        <f>IMDIV(W841,S841)</f>
        <v>0</v>
      </c>
      <c r="Y841">
        <f>IMPRODUCT(X841,R841)</f>
        <v>0</v>
      </c>
      <c r="Z841">
        <f>IMDIV(Y841,Q841)</f>
        <v>0</v>
      </c>
      <c r="AA841">
        <f>IMPRODUCT(Z841,P841)</f>
        <v>0</v>
      </c>
      <c r="AB841">
        <f>AA841</f>
        <v>0</v>
      </c>
      <c r="AC841">
        <f>IMPRODUCT("-1",AB841)</f>
        <v>0</v>
      </c>
      <c r="AD841">
        <f>IMDIV(IMSUB(AB841,AC841),"2")</f>
        <v>0</v>
      </c>
      <c r="AE841" s="6">
        <f>IMABS(AB841)</f>
        <v>0</v>
      </c>
      <c r="AF841" s="6">
        <f>IMABS(AC841)</f>
        <v>0</v>
      </c>
      <c r="AG841" s="6">
        <f>IMABS(AD841)</f>
        <v>0</v>
      </c>
      <c r="AH841" s="7">
        <f>20*LOG10(MAX(AE841,1E-300)*1E6)</f>
        <v>0</v>
      </c>
      <c r="AI841" s="7">
        <f>20*LOG10(MAX(AF841,1E-300)*1E6)</f>
        <v>0</v>
      </c>
      <c r="AJ841" s="7">
        <f>20*LOG10(MAX(AG841,1E-300)*1E6)</f>
        <v>0</v>
      </c>
      <c r="AK841" s="7">
        <f>DEGREES(IMARGUMENT(AB841))</f>
        <v>0</v>
      </c>
      <c r="AL841" s="7">
        <f>DEGREES(IMARGUMENT(AC841))</f>
        <v>0</v>
      </c>
      <c r="AM841" s="7">
        <f>DEGREES(IMARGUMENT(AD841))</f>
        <v>0</v>
      </c>
    </row>
    <row r="842" spans="1:39">
      <c r="A842" s="6">
        <f>10^(LOG10(F_START)+(ROW()-ROW($A$2))*(LOG10(F_STOP)-LOG10(F_START))/(N_POINTS-1))</f>
        <v>0</v>
      </c>
      <c r="B842" s="6">
        <f>2*PI()*A842</f>
        <v>0</v>
      </c>
      <c r="C842">
        <f>COMPLEX(2*LINE_PS_DCR,2*B842*LINE_PS_L)</f>
        <v>0</v>
      </c>
      <c r="D842">
        <f>IMSUM(COMPLEX(0,B842*(LINE_PS_CLINE+LINE_PS_CCHA/2)),IMDIV("1",IMPRODUCT("2",COMPLEX(C_THROUGH_ESR,B842*C_THROUGH_ESL-1/(B842*C_THROUGH_C)))))</f>
        <v>0</v>
      </c>
      <c r="E842">
        <f>COMPLEX(2*LINE_INPUT_DCR,2*B842*LINE_INPUT_L)</f>
        <v>0</v>
      </c>
      <c r="F842">
        <f>COMPLEX(0,B842*(LINE_INPUT_CLINE+LINE_INPUT_CCHA/2))</f>
        <v>0</v>
      </c>
      <c r="G842">
        <f>IMPRODUCT("2",IMDIV("1",IMSUM(IMDIV("1",COMPLEX(LDM1_DCR,B842*LDM1_L)),COMPLEX(0,B842*LDM1_CPA))))</f>
        <v>0</v>
      </c>
      <c r="H842">
        <f>IMSUM(IMDIV("1",COMPLEX(CX1_ESR,B842*CX1_ESL-1/(B842*CX1_C))),IMDIV("1",IMSUM(COMPLEX(DUMP1_R,0),COMPLEX(DUMP1_ESR,B842*DUMP1_ESL-1/(B842*DUMP1_C)))))</f>
        <v>0</v>
      </c>
      <c r="I842">
        <f>IMPRODUCT("2",IMDIV("1",IMSUM(IMDIV("1",COMPLEX(LDM2_DCR,B842*LDM2_L)),COMPLEX(0,B842*LDM2_CPA))))</f>
        <v>0</v>
      </c>
      <c r="J842">
        <f>IMSUM(IMDIV("1",COMPLEX(CX2_ESR,B842*CX2_ESL-1/(B842*CX2_C))),IMDIV("1",IMSUM(COMPLEX(DUMP2_R,0),COMPLEX(DUMP2_ESR,B842*DUMP2_ESL-1/(B842*DUMP2_C)))))</f>
        <v>0</v>
      </c>
      <c r="K842">
        <f>IMPRODUCT("2",IMDIV("1",IMSUM(IMDIV("1",COMPLEX(CMC_DCR,B842*CMC_L*(1-CMC_K))),COMPLEX(0,B842*CMC_CPA))))</f>
        <v>0</v>
      </c>
      <c r="L842">
        <f>IMSUM(COMPLEX(0,B842*CMC_CLINE),IMDIV("1",IMPRODUCT("2",COMPLEX(CY_ESR,B842*CY_ESL-1/(B842*CY_C)))),COMPLEX(1/DUMMY_R,0))</f>
        <v>0</v>
      </c>
      <c r="M842">
        <f>IMSUM(D842,IMDIV("1",C842))</f>
        <v>0</v>
      </c>
      <c r="N842">
        <f>IMDIV("1",IMSUM(E842,IMDIV("1",M842)))</f>
        <v>0</v>
      </c>
      <c r="O842">
        <f>IMSUM(F842,N842)</f>
        <v>0</v>
      </c>
      <c r="P842">
        <f>IMDIV("1",IMSUM(G842,IMDIV("1",O842)))</f>
        <v>0</v>
      </c>
      <c r="Q842">
        <f>IMSUM(H842,P842)</f>
        <v>0</v>
      </c>
      <c r="R842">
        <f>IMDIV("1",IMSUM(I842,IMDIV("1",Q842)))</f>
        <v>0</v>
      </c>
      <c r="S842">
        <f>IMSUM(J842,R842)</f>
        <v>0</v>
      </c>
      <c r="T842">
        <f>IMDIV("1",IMSUM(K842,IMDIV("1",S842)))</f>
        <v>0</v>
      </c>
      <c r="U842">
        <f>IMSUM(L842,T842)</f>
        <v>0</v>
      </c>
      <c r="V842">
        <f>IMDIV(COMPLEX(I_DM_SOURCE,0),U842)</f>
        <v>0</v>
      </c>
      <c r="W842">
        <f>IMPRODUCT(V842,T842)</f>
        <v>0</v>
      </c>
      <c r="X842">
        <f>IMDIV(W842,S842)</f>
        <v>0</v>
      </c>
      <c r="Y842">
        <f>IMPRODUCT(X842,R842)</f>
        <v>0</v>
      </c>
      <c r="Z842">
        <f>IMDIV(Y842,Q842)</f>
        <v>0</v>
      </c>
      <c r="AA842">
        <f>IMPRODUCT(Z842,P842)</f>
        <v>0</v>
      </c>
      <c r="AB842">
        <f>AA842</f>
        <v>0</v>
      </c>
      <c r="AC842">
        <f>IMPRODUCT("-1",AB842)</f>
        <v>0</v>
      </c>
      <c r="AD842">
        <f>IMDIV(IMSUB(AB842,AC842),"2")</f>
        <v>0</v>
      </c>
      <c r="AE842" s="6">
        <f>IMABS(AB842)</f>
        <v>0</v>
      </c>
      <c r="AF842" s="6">
        <f>IMABS(AC842)</f>
        <v>0</v>
      </c>
      <c r="AG842" s="6">
        <f>IMABS(AD842)</f>
        <v>0</v>
      </c>
      <c r="AH842" s="7">
        <f>20*LOG10(MAX(AE842,1E-300)*1E6)</f>
        <v>0</v>
      </c>
      <c r="AI842" s="7">
        <f>20*LOG10(MAX(AF842,1E-300)*1E6)</f>
        <v>0</v>
      </c>
      <c r="AJ842" s="7">
        <f>20*LOG10(MAX(AG842,1E-300)*1E6)</f>
        <v>0</v>
      </c>
      <c r="AK842" s="7">
        <f>DEGREES(IMARGUMENT(AB842))</f>
        <v>0</v>
      </c>
      <c r="AL842" s="7">
        <f>DEGREES(IMARGUMENT(AC842))</f>
        <v>0</v>
      </c>
      <c r="AM842" s="7">
        <f>DEGREES(IMARGUMENT(AD842))</f>
        <v>0</v>
      </c>
    </row>
    <row r="843" spans="1:39">
      <c r="A843" s="6">
        <f>10^(LOG10(F_START)+(ROW()-ROW($A$2))*(LOG10(F_STOP)-LOG10(F_START))/(N_POINTS-1))</f>
        <v>0</v>
      </c>
      <c r="B843" s="6">
        <f>2*PI()*A843</f>
        <v>0</v>
      </c>
      <c r="C843">
        <f>COMPLEX(2*LINE_PS_DCR,2*B843*LINE_PS_L)</f>
        <v>0</v>
      </c>
      <c r="D843">
        <f>IMSUM(COMPLEX(0,B843*(LINE_PS_CLINE+LINE_PS_CCHA/2)),IMDIV("1",IMPRODUCT("2",COMPLEX(C_THROUGH_ESR,B843*C_THROUGH_ESL-1/(B843*C_THROUGH_C)))))</f>
        <v>0</v>
      </c>
      <c r="E843">
        <f>COMPLEX(2*LINE_INPUT_DCR,2*B843*LINE_INPUT_L)</f>
        <v>0</v>
      </c>
      <c r="F843">
        <f>COMPLEX(0,B843*(LINE_INPUT_CLINE+LINE_INPUT_CCHA/2))</f>
        <v>0</v>
      </c>
      <c r="G843">
        <f>IMPRODUCT("2",IMDIV("1",IMSUM(IMDIV("1",COMPLEX(LDM1_DCR,B843*LDM1_L)),COMPLEX(0,B843*LDM1_CPA))))</f>
        <v>0</v>
      </c>
      <c r="H843">
        <f>IMSUM(IMDIV("1",COMPLEX(CX1_ESR,B843*CX1_ESL-1/(B843*CX1_C))),IMDIV("1",IMSUM(COMPLEX(DUMP1_R,0),COMPLEX(DUMP1_ESR,B843*DUMP1_ESL-1/(B843*DUMP1_C)))))</f>
        <v>0</v>
      </c>
      <c r="I843">
        <f>IMPRODUCT("2",IMDIV("1",IMSUM(IMDIV("1",COMPLEX(LDM2_DCR,B843*LDM2_L)),COMPLEX(0,B843*LDM2_CPA))))</f>
        <v>0</v>
      </c>
      <c r="J843">
        <f>IMSUM(IMDIV("1",COMPLEX(CX2_ESR,B843*CX2_ESL-1/(B843*CX2_C))),IMDIV("1",IMSUM(COMPLEX(DUMP2_R,0),COMPLEX(DUMP2_ESR,B843*DUMP2_ESL-1/(B843*DUMP2_C)))))</f>
        <v>0</v>
      </c>
      <c r="K843">
        <f>IMPRODUCT("2",IMDIV("1",IMSUM(IMDIV("1",COMPLEX(CMC_DCR,B843*CMC_L*(1-CMC_K))),COMPLEX(0,B843*CMC_CPA))))</f>
        <v>0</v>
      </c>
      <c r="L843">
        <f>IMSUM(COMPLEX(0,B843*CMC_CLINE),IMDIV("1",IMPRODUCT("2",COMPLEX(CY_ESR,B843*CY_ESL-1/(B843*CY_C)))),COMPLEX(1/DUMMY_R,0))</f>
        <v>0</v>
      </c>
      <c r="M843">
        <f>IMSUM(D843,IMDIV("1",C843))</f>
        <v>0</v>
      </c>
      <c r="N843">
        <f>IMDIV("1",IMSUM(E843,IMDIV("1",M843)))</f>
        <v>0</v>
      </c>
      <c r="O843">
        <f>IMSUM(F843,N843)</f>
        <v>0</v>
      </c>
      <c r="P843">
        <f>IMDIV("1",IMSUM(G843,IMDIV("1",O843)))</f>
        <v>0</v>
      </c>
      <c r="Q843">
        <f>IMSUM(H843,P843)</f>
        <v>0</v>
      </c>
      <c r="R843">
        <f>IMDIV("1",IMSUM(I843,IMDIV("1",Q843)))</f>
        <v>0</v>
      </c>
      <c r="S843">
        <f>IMSUM(J843,R843)</f>
        <v>0</v>
      </c>
      <c r="T843">
        <f>IMDIV("1",IMSUM(K843,IMDIV("1",S843)))</f>
        <v>0</v>
      </c>
      <c r="U843">
        <f>IMSUM(L843,T843)</f>
        <v>0</v>
      </c>
      <c r="V843">
        <f>IMDIV(COMPLEX(I_DM_SOURCE,0),U843)</f>
        <v>0</v>
      </c>
      <c r="W843">
        <f>IMPRODUCT(V843,T843)</f>
        <v>0</v>
      </c>
      <c r="X843">
        <f>IMDIV(W843,S843)</f>
        <v>0</v>
      </c>
      <c r="Y843">
        <f>IMPRODUCT(X843,R843)</f>
        <v>0</v>
      </c>
      <c r="Z843">
        <f>IMDIV(Y843,Q843)</f>
        <v>0</v>
      </c>
      <c r="AA843">
        <f>IMPRODUCT(Z843,P843)</f>
        <v>0</v>
      </c>
      <c r="AB843">
        <f>AA843</f>
        <v>0</v>
      </c>
      <c r="AC843">
        <f>IMPRODUCT("-1",AB843)</f>
        <v>0</v>
      </c>
      <c r="AD843">
        <f>IMDIV(IMSUB(AB843,AC843),"2")</f>
        <v>0</v>
      </c>
      <c r="AE843" s="6">
        <f>IMABS(AB843)</f>
        <v>0</v>
      </c>
      <c r="AF843" s="6">
        <f>IMABS(AC843)</f>
        <v>0</v>
      </c>
      <c r="AG843" s="6">
        <f>IMABS(AD843)</f>
        <v>0</v>
      </c>
      <c r="AH843" s="7">
        <f>20*LOG10(MAX(AE843,1E-300)*1E6)</f>
        <v>0</v>
      </c>
      <c r="AI843" s="7">
        <f>20*LOG10(MAX(AF843,1E-300)*1E6)</f>
        <v>0</v>
      </c>
      <c r="AJ843" s="7">
        <f>20*LOG10(MAX(AG843,1E-300)*1E6)</f>
        <v>0</v>
      </c>
      <c r="AK843" s="7">
        <f>DEGREES(IMARGUMENT(AB843))</f>
        <v>0</v>
      </c>
      <c r="AL843" s="7">
        <f>DEGREES(IMARGUMENT(AC843))</f>
        <v>0</v>
      </c>
      <c r="AM843" s="7">
        <f>DEGREES(IMARGUMENT(AD843))</f>
        <v>0</v>
      </c>
    </row>
    <row r="844" spans="1:39">
      <c r="A844" s="6">
        <f>10^(LOG10(F_START)+(ROW()-ROW($A$2))*(LOG10(F_STOP)-LOG10(F_START))/(N_POINTS-1))</f>
        <v>0</v>
      </c>
      <c r="B844" s="6">
        <f>2*PI()*A844</f>
        <v>0</v>
      </c>
      <c r="C844">
        <f>COMPLEX(2*LINE_PS_DCR,2*B844*LINE_PS_L)</f>
        <v>0</v>
      </c>
      <c r="D844">
        <f>IMSUM(COMPLEX(0,B844*(LINE_PS_CLINE+LINE_PS_CCHA/2)),IMDIV("1",IMPRODUCT("2",COMPLEX(C_THROUGH_ESR,B844*C_THROUGH_ESL-1/(B844*C_THROUGH_C)))))</f>
        <v>0</v>
      </c>
      <c r="E844">
        <f>COMPLEX(2*LINE_INPUT_DCR,2*B844*LINE_INPUT_L)</f>
        <v>0</v>
      </c>
      <c r="F844">
        <f>COMPLEX(0,B844*(LINE_INPUT_CLINE+LINE_INPUT_CCHA/2))</f>
        <v>0</v>
      </c>
      <c r="G844">
        <f>IMPRODUCT("2",IMDIV("1",IMSUM(IMDIV("1",COMPLEX(LDM1_DCR,B844*LDM1_L)),COMPLEX(0,B844*LDM1_CPA))))</f>
        <v>0</v>
      </c>
      <c r="H844">
        <f>IMSUM(IMDIV("1",COMPLEX(CX1_ESR,B844*CX1_ESL-1/(B844*CX1_C))),IMDIV("1",IMSUM(COMPLEX(DUMP1_R,0),COMPLEX(DUMP1_ESR,B844*DUMP1_ESL-1/(B844*DUMP1_C)))))</f>
        <v>0</v>
      </c>
      <c r="I844">
        <f>IMPRODUCT("2",IMDIV("1",IMSUM(IMDIV("1",COMPLEX(LDM2_DCR,B844*LDM2_L)),COMPLEX(0,B844*LDM2_CPA))))</f>
        <v>0</v>
      </c>
      <c r="J844">
        <f>IMSUM(IMDIV("1",COMPLEX(CX2_ESR,B844*CX2_ESL-1/(B844*CX2_C))),IMDIV("1",IMSUM(COMPLEX(DUMP2_R,0),COMPLEX(DUMP2_ESR,B844*DUMP2_ESL-1/(B844*DUMP2_C)))))</f>
        <v>0</v>
      </c>
      <c r="K844">
        <f>IMPRODUCT("2",IMDIV("1",IMSUM(IMDIV("1",COMPLEX(CMC_DCR,B844*CMC_L*(1-CMC_K))),COMPLEX(0,B844*CMC_CPA))))</f>
        <v>0</v>
      </c>
      <c r="L844">
        <f>IMSUM(COMPLEX(0,B844*CMC_CLINE),IMDIV("1",IMPRODUCT("2",COMPLEX(CY_ESR,B844*CY_ESL-1/(B844*CY_C)))),COMPLEX(1/DUMMY_R,0))</f>
        <v>0</v>
      </c>
      <c r="M844">
        <f>IMSUM(D844,IMDIV("1",C844))</f>
        <v>0</v>
      </c>
      <c r="N844">
        <f>IMDIV("1",IMSUM(E844,IMDIV("1",M844)))</f>
        <v>0</v>
      </c>
      <c r="O844">
        <f>IMSUM(F844,N844)</f>
        <v>0</v>
      </c>
      <c r="P844">
        <f>IMDIV("1",IMSUM(G844,IMDIV("1",O844)))</f>
        <v>0</v>
      </c>
      <c r="Q844">
        <f>IMSUM(H844,P844)</f>
        <v>0</v>
      </c>
      <c r="R844">
        <f>IMDIV("1",IMSUM(I844,IMDIV("1",Q844)))</f>
        <v>0</v>
      </c>
      <c r="S844">
        <f>IMSUM(J844,R844)</f>
        <v>0</v>
      </c>
      <c r="T844">
        <f>IMDIV("1",IMSUM(K844,IMDIV("1",S844)))</f>
        <v>0</v>
      </c>
      <c r="U844">
        <f>IMSUM(L844,T844)</f>
        <v>0</v>
      </c>
      <c r="V844">
        <f>IMDIV(COMPLEX(I_DM_SOURCE,0),U844)</f>
        <v>0</v>
      </c>
      <c r="W844">
        <f>IMPRODUCT(V844,T844)</f>
        <v>0</v>
      </c>
      <c r="X844">
        <f>IMDIV(W844,S844)</f>
        <v>0</v>
      </c>
      <c r="Y844">
        <f>IMPRODUCT(X844,R844)</f>
        <v>0</v>
      </c>
      <c r="Z844">
        <f>IMDIV(Y844,Q844)</f>
        <v>0</v>
      </c>
      <c r="AA844">
        <f>IMPRODUCT(Z844,P844)</f>
        <v>0</v>
      </c>
      <c r="AB844">
        <f>AA844</f>
        <v>0</v>
      </c>
      <c r="AC844">
        <f>IMPRODUCT("-1",AB844)</f>
        <v>0</v>
      </c>
      <c r="AD844">
        <f>IMDIV(IMSUB(AB844,AC844),"2")</f>
        <v>0</v>
      </c>
      <c r="AE844" s="6">
        <f>IMABS(AB844)</f>
        <v>0</v>
      </c>
      <c r="AF844" s="6">
        <f>IMABS(AC844)</f>
        <v>0</v>
      </c>
      <c r="AG844" s="6">
        <f>IMABS(AD844)</f>
        <v>0</v>
      </c>
      <c r="AH844" s="7">
        <f>20*LOG10(MAX(AE844,1E-300)*1E6)</f>
        <v>0</v>
      </c>
      <c r="AI844" s="7">
        <f>20*LOG10(MAX(AF844,1E-300)*1E6)</f>
        <v>0</v>
      </c>
      <c r="AJ844" s="7">
        <f>20*LOG10(MAX(AG844,1E-300)*1E6)</f>
        <v>0</v>
      </c>
      <c r="AK844" s="7">
        <f>DEGREES(IMARGUMENT(AB844))</f>
        <v>0</v>
      </c>
      <c r="AL844" s="7">
        <f>DEGREES(IMARGUMENT(AC844))</f>
        <v>0</v>
      </c>
      <c r="AM844" s="7">
        <f>DEGREES(IMARGUMENT(AD844))</f>
        <v>0</v>
      </c>
    </row>
    <row r="845" spans="1:39">
      <c r="A845" s="6">
        <f>10^(LOG10(F_START)+(ROW()-ROW($A$2))*(LOG10(F_STOP)-LOG10(F_START))/(N_POINTS-1))</f>
        <v>0</v>
      </c>
      <c r="B845" s="6">
        <f>2*PI()*A845</f>
        <v>0</v>
      </c>
      <c r="C845">
        <f>COMPLEX(2*LINE_PS_DCR,2*B845*LINE_PS_L)</f>
        <v>0</v>
      </c>
      <c r="D845">
        <f>IMSUM(COMPLEX(0,B845*(LINE_PS_CLINE+LINE_PS_CCHA/2)),IMDIV("1",IMPRODUCT("2",COMPLEX(C_THROUGH_ESR,B845*C_THROUGH_ESL-1/(B845*C_THROUGH_C)))))</f>
        <v>0</v>
      </c>
      <c r="E845">
        <f>COMPLEX(2*LINE_INPUT_DCR,2*B845*LINE_INPUT_L)</f>
        <v>0</v>
      </c>
      <c r="F845">
        <f>COMPLEX(0,B845*(LINE_INPUT_CLINE+LINE_INPUT_CCHA/2))</f>
        <v>0</v>
      </c>
      <c r="G845">
        <f>IMPRODUCT("2",IMDIV("1",IMSUM(IMDIV("1",COMPLEX(LDM1_DCR,B845*LDM1_L)),COMPLEX(0,B845*LDM1_CPA))))</f>
        <v>0</v>
      </c>
      <c r="H845">
        <f>IMSUM(IMDIV("1",COMPLEX(CX1_ESR,B845*CX1_ESL-1/(B845*CX1_C))),IMDIV("1",IMSUM(COMPLEX(DUMP1_R,0),COMPLEX(DUMP1_ESR,B845*DUMP1_ESL-1/(B845*DUMP1_C)))))</f>
        <v>0</v>
      </c>
      <c r="I845">
        <f>IMPRODUCT("2",IMDIV("1",IMSUM(IMDIV("1",COMPLEX(LDM2_DCR,B845*LDM2_L)),COMPLEX(0,B845*LDM2_CPA))))</f>
        <v>0</v>
      </c>
      <c r="J845">
        <f>IMSUM(IMDIV("1",COMPLEX(CX2_ESR,B845*CX2_ESL-1/(B845*CX2_C))),IMDIV("1",IMSUM(COMPLEX(DUMP2_R,0),COMPLEX(DUMP2_ESR,B845*DUMP2_ESL-1/(B845*DUMP2_C)))))</f>
        <v>0</v>
      </c>
      <c r="K845">
        <f>IMPRODUCT("2",IMDIV("1",IMSUM(IMDIV("1",COMPLEX(CMC_DCR,B845*CMC_L*(1-CMC_K))),COMPLEX(0,B845*CMC_CPA))))</f>
        <v>0</v>
      </c>
      <c r="L845">
        <f>IMSUM(COMPLEX(0,B845*CMC_CLINE),IMDIV("1",IMPRODUCT("2",COMPLEX(CY_ESR,B845*CY_ESL-1/(B845*CY_C)))),COMPLEX(1/DUMMY_R,0))</f>
        <v>0</v>
      </c>
      <c r="M845">
        <f>IMSUM(D845,IMDIV("1",C845))</f>
        <v>0</v>
      </c>
      <c r="N845">
        <f>IMDIV("1",IMSUM(E845,IMDIV("1",M845)))</f>
        <v>0</v>
      </c>
      <c r="O845">
        <f>IMSUM(F845,N845)</f>
        <v>0</v>
      </c>
      <c r="P845">
        <f>IMDIV("1",IMSUM(G845,IMDIV("1",O845)))</f>
        <v>0</v>
      </c>
      <c r="Q845">
        <f>IMSUM(H845,P845)</f>
        <v>0</v>
      </c>
      <c r="R845">
        <f>IMDIV("1",IMSUM(I845,IMDIV("1",Q845)))</f>
        <v>0</v>
      </c>
      <c r="S845">
        <f>IMSUM(J845,R845)</f>
        <v>0</v>
      </c>
      <c r="T845">
        <f>IMDIV("1",IMSUM(K845,IMDIV("1",S845)))</f>
        <v>0</v>
      </c>
      <c r="U845">
        <f>IMSUM(L845,T845)</f>
        <v>0</v>
      </c>
      <c r="V845">
        <f>IMDIV(COMPLEX(I_DM_SOURCE,0),U845)</f>
        <v>0</v>
      </c>
      <c r="W845">
        <f>IMPRODUCT(V845,T845)</f>
        <v>0</v>
      </c>
      <c r="X845">
        <f>IMDIV(W845,S845)</f>
        <v>0</v>
      </c>
      <c r="Y845">
        <f>IMPRODUCT(X845,R845)</f>
        <v>0</v>
      </c>
      <c r="Z845">
        <f>IMDIV(Y845,Q845)</f>
        <v>0</v>
      </c>
      <c r="AA845">
        <f>IMPRODUCT(Z845,P845)</f>
        <v>0</v>
      </c>
      <c r="AB845">
        <f>AA845</f>
        <v>0</v>
      </c>
      <c r="AC845">
        <f>IMPRODUCT("-1",AB845)</f>
        <v>0</v>
      </c>
      <c r="AD845">
        <f>IMDIV(IMSUB(AB845,AC845),"2")</f>
        <v>0</v>
      </c>
      <c r="AE845" s="6">
        <f>IMABS(AB845)</f>
        <v>0</v>
      </c>
      <c r="AF845" s="6">
        <f>IMABS(AC845)</f>
        <v>0</v>
      </c>
      <c r="AG845" s="6">
        <f>IMABS(AD845)</f>
        <v>0</v>
      </c>
      <c r="AH845" s="7">
        <f>20*LOG10(MAX(AE845,1E-300)*1E6)</f>
        <v>0</v>
      </c>
      <c r="AI845" s="7">
        <f>20*LOG10(MAX(AF845,1E-300)*1E6)</f>
        <v>0</v>
      </c>
      <c r="AJ845" s="7">
        <f>20*LOG10(MAX(AG845,1E-300)*1E6)</f>
        <v>0</v>
      </c>
      <c r="AK845" s="7">
        <f>DEGREES(IMARGUMENT(AB845))</f>
        <v>0</v>
      </c>
      <c r="AL845" s="7">
        <f>DEGREES(IMARGUMENT(AC845))</f>
        <v>0</v>
      </c>
      <c r="AM845" s="7">
        <f>DEGREES(IMARGUMENT(AD845))</f>
        <v>0</v>
      </c>
    </row>
    <row r="846" spans="1:39">
      <c r="A846" s="6">
        <f>10^(LOG10(F_START)+(ROW()-ROW($A$2))*(LOG10(F_STOP)-LOG10(F_START))/(N_POINTS-1))</f>
        <v>0</v>
      </c>
      <c r="B846" s="6">
        <f>2*PI()*A846</f>
        <v>0</v>
      </c>
      <c r="C846">
        <f>COMPLEX(2*LINE_PS_DCR,2*B846*LINE_PS_L)</f>
        <v>0</v>
      </c>
      <c r="D846">
        <f>IMSUM(COMPLEX(0,B846*(LINE_PS_CLINE+LINE_PS_CCHA/2)),IMDIV("1",IMPRODUCT("2",COMPLEX(C_THROUGH_ESR,B846*C_THROUGH_ESL-1/(B846*C_THROUGH_C)))))</f>
        <v>0</v>
      </c>
      <c r="E846">
        <f>COMPLEX(2*LINE_INPUT_DCR,2*B846*LINE_INPUT_L)</f>
        <v>0</v>
      </c>
      <c r="F846">
        <f>COMPLEX(0,B846*(LINE_INPUT_CLINE+LINE_INPUT_CCHA/2))</f>
        <v>0</v>
      </c>
      <c r="G846">
        <f>IMPRODUCT("2",IMDIV("1",IMSUM(IMDIV("1",COMPLEX(LDM1_DCR,B846*LDM1_L)),COMPLEX(0,B846*LDM1_CPA))))</f>
        <v>0</v>
      </c>
      <c r="H846">
        <f>IMSUM(IMDIV("1",COMPLEX(CX1_ESR,B846*CX1_ESL-1/(B846*CX1_C))),IMDIV("1",IMSUM(COMPLEX(DUMP1_R,0),COMPLEX(DUMP1_ESR,B846*DUMP1_ESL-1/(B846*DUMP1_C)))))</f>
        <v>0</v>
      </c>
      <c r="I846">
        <f>IMPRODUCT("2",IMDIV("1",IMSUM(IMDIV("1",COMPLEX(LDM2_DCR,B846*LDM2_L)),COMPLEX(0,B846*LDM2_CPA))))</f>
        <v>0</v>
      </c>
      <c r="J846">
        <f>IMSUM(IMDIV("1",COMPLEX(CX2_ESR,B846*CX2_ESL-1/(B846*CX2_C))),IMDIV("1",IMSUM(COMPLEX(DUMP2_R,0),COMPLEX(DUMP2_ESR,B846*DUMP2_ESL-1/(B846*DUMP2_C)))))</f>
        <v>0</v>
      </c>
      <c r="K846">
        <f>IMPRODUCT("2",IMDIV("1",IMSUM(IMDIV("1",COMPLEX(CMC_DCR,B846*CMC_L*(1-CMC_K))),COMPLEX(0,B846*CMC_CPA))))</f>
        <v>0</v>
      </c>
      <c r="L846">
        <f>IMSUM(COMPLEX(0,B846*CMC_CLINE),IMDIV("1",IMPRODUCT("2",COMPLEX(CY_ESR,B846*CY_ESL-1/(B846*CY_C)))),COMPLEX(1/DUMMY_R,0))</f>
        <v>0</v>
      </c>
      <c r="M846">
        <f>IMSUM(D846,IMDIV("1",C846))</f>
        <v>0</v>
      </c>
      <c r="N846">
        <f>IMDIV("1",IMSUM(E846,IMDIV("1",M846)))</f>
        <v>0</v>
      </c>
      <c r="O846">
        <f>IMSUM(F846,N846)</f>
        <v>0</v>
      </c>
      <c r="P846">
        <f>IMDIV("1",IMSUM(G846,IMDIV("1",O846)))</f>
        <v>0</v>
      </c>
      <c r="Q846">
        <f>IMSUM(H846,P846)</f>
        <v>0</v>
      </c>
      <c r="R846">
        <f>IMDIV("1",IMSUM(I846,IMDIV("1",Q846)))</f>
        <v>0</v>
      </c>
      <c r="S846">
        <f>IMSUM(J846,R846)</f>
        <v>0</v>
      </c>
      <c r="T846">
        <f>IMDIV("1",IMSUM(K846,IMDIV("1",S846)))</f>
        <v>0</v>
      </c>
      <c r="U846">
        <f>IMSUM(L846,T846)</f>
        <v>0</v>
      </c>
      <c r="V846">
        <f>IMDIV(COMPLEX(I_DM_SOURCE,0),U846)</f>
        <v>0</v>
      </c>
      <c r="W846">
        <f>IMPRODUCT(V846,T846)</f>
        <v>0</v>
      </c>
      <c r="X846">
        <f>IMDIV(W846,S846)</f>
        <v>0</v>
      </c>
      <c r="Y846">
        <f>IMPRODUCT(X846,R846)</f>
        <v>0</v>
      </c>
      <c r="Z846">
        <f>IMDIV(Y846,Q846)</f>
        <v>0</v>
      </c>
      <c r="AA846">
        <f>IMPRODUCT(Z846,P846)</f>
        <v>0</v>
      </c>
      <c r="AB846">
        <f>AA846</f>
        <v>0</v>
      </c>
      <c r="AC846">
        <f>IMPRODUCT("-1",AB846)</f>
        <v>0</v>
      </c>
      <c r="AD846">
        <f>IMDIV(IMSUB(AB846,AC846),"2")</f>
        <v>0</v>
      </c>
      <c r="AE846" s="6">
        <f>IMABS(AB846)</f>
        <v>0</v>
      </c>
      <c r="AF846" s="6">
        <f>IMABS(AC846)</f>
        <v>0</v>
      </c>
      <c r="AG846" s="6">
        <f>IMABS(AD846)</f>
        <v>0</v>
      </c>
      <c r="AH846" s="7">
        <f>20*LOG10(MAX(AE846,1E-300)*1E6)</f>
        <v>0</v>
      </c>
      <c r="AI846" s="7">
        <f>20*LOG10(MAX(AF846,1E-300)*1E6)</f>
        <v>0</v>
      </c>
      <c r="AJ846" s="7">
        <f>20*LOG10(MAX(AG846,1E-300)*1E6)</f>
        <v>0</v>
      </c>
      <c r="AK846" s="7">
        <f>DEGREES(IMARGUMENT(AB846))</f>
        <v>0</v>
      </c>
      <c r="AL846" s="7">
        <f>DEGREES(IMARGUMENT(AC846))</f>
        <v>0</v>
      </c>
      <c r="AM846" s="7">
        <f>DEGREES(IMARGUMENT(AD846))</f>
        <v>0</v>
      </c>
    </row>
    <row r="847" spans="1:39">
      <c r="A847" s="6">
        <f>10^(LOG10(F_START)+(ROW()-ROW($A$2))*(LOG10(F_STOP)-LOG10(F_START))/(N_POINTS-1))</f>
        <v>0</v>
      </c>
      <c r="B847" s="6">
        <f>2*PI()*A847</f>
        <v>0</v>
      </c>
      <c r="C847">
        <f>COMPLEX(2*LINE_PS_DCR,2*B847*LINE_PS_L)</f>
        <v>0</v>
      </c>
      <c r="D847">
        <f>IMSUM(COMPLEX(0,B847*(LINE_PS_CLINE+LINE_PS_CCHA/2)),IMDIV("1",IMPRODUCT("2",COMPLEX(C_THROUGH_ESR,B847*C_THROUGH_ESL-1/(B847*C_THROUGH_C)))))</f>
        <v>0</v>
      </c>
      <c r="E847">
        <f>COMPLEX(2*LINE_INPUT_DCR,2*B847*LINE_INPUT_L)</f>
        <v>0</v>
      </c>
      <c r="F847">
        <f>COMPLEX(0,B847*(LINE_INPUT_CLINE+LINE_INPUT_CCHA/2))</f>
        <v>0</v>
      </c>
      <c r="G847">
        <f>IMPRODUCT("2",IMDIV("1",IMSUM(IMDIV("1",COMPLEX(LDM1_DCR,B847*LDM1_L)),COMPLEX(0,B847*LDM1_CPA))))</f>
        <v>0</v>
      </c>
      <c r="H847">
        <f>IMSUM(IMDIV("1",COMPLEX(CX1_ESR,B847*CX1_ESL-1/(B847*CX1_C))),IMDIV("1",IMSUM(COMPLEX(DUMP1_R,0),COMPLEX(DUMP1_ESR,B847*DUMP1_ESL-1/(B847*DUMP1_C)))))</f>
        <v>0</v>
      </c>
      <c r="I847">
        <f>IMPRODUCT("2",IMDIV("1",IMSUM(IMDIV("1",COMPLEX(LDM2_DCR,B847*LDM2_L)),COMPLEX(0,B847*LDM2_CPA))))</f>
        <v>0</v>
      </c>
      <c r="J847">
        <f>IMSUM(IMDIV("1",COMPLEX(CX2_ESR,B847*CX2_ESL-1/(B847*CX2_C))),IMDIV("1",IMSUM(COMPLEX(DUMP2_R,0),COMPLEX(DUMP2_ESR,B847*DUMP2_ESL-1/(B847*DUMP2_C)))))</f>
        <v>0</v>
      </c>
      <c r="K847">
        <f>IMPRODUCT("2",IMDIV("1",IMSUM(IMDIV("1",COMPLEX(CMC_DCR,B847*CMC_L*(1-CMC_K))),COMPLEX(0,B847*CMC_CPA))))</f>
        <v>0</v>
      </c>
      <c r="L847">
        <f>IMSUM(COMPLEX(0,B847*CMC_CLINE),IMDIV("1",IMPRODUCT("2",COMPLEX(CY_ESR,B847*CY_ESL-1/(B847*CY_C)))),COMPLEX(1/DUMMY_R,0))</f>
        <v>0</v>
      </c>
      <c r="M847">
        <f>IMSUM(D847,IMDIV("1",C847))</f>
        <v>0</v>
      </c>
      <c r="N847">
        <f>IMDIV("1",IMSUM(E847,IMDIV("1",M847)))</f>
        <v>0</v>
      </c>
      <c r="O847">
        <f>IMSUM(F847,N847)</f>
        <v>0</v>
      </c>
      <c r="P847">
        <f>IMDIV("1",IMSUM(G847,IMDIV("1",O847)))</f>
        <v>0</v>
      </c>
      <c r="Q847">
        <f>IMSUM(H847,P847)</f>
        <v>0</v>
      </c>
      <c r="R847">
        <f>IMDIV("1",IMSUM(I847,IMDIV("1",Q847)))</f>
        <v>0</v>
      </c>
      <c r="S847">
        <f>IMSUM(J847,R847)</f>
        <v>0</v>
      </c>
      <c r="T847">
        <f>IMDIV("1",IMSUM(K847,IMDIV("1",S847)))</f>
        <v>0</v>
      </c>
      <c r="U847">
        <f>IMSUM(L847,T847)</f>
        <v>0</v>
      </c>
      <c r="V847">
        <f>IMDIV(COMPLEX(I_DM_SOURCE,0),U847)</f>
        <v>0</v>
      </c>
      <c r="W847">
        <f>IMPRODUCT(V847,T847)</f>
        <v>0</v>
      </c>
      <c r="X847">
        <f>IMDIV(W847,S847)</f>
        <v>0</v>
      </c>
      <c r="Y847">
        <f>IMPRODUCT(X847,R847)</f>
        <v>0</v>
      </c>
      <c r="Z847">
        <f>IMDIV(Y847,Q847)</f>
        <v>0</v>
      </c>
      <c r="AA847">
        <f>IMPRODUCT(Z847,P847)</f>
        <v>0</v>
      </c>
      <c r="AB847">
        <f>AA847</f>
        <v>0</v>
      </c>
      <c r="AC847">
        <f>IMPRODUCT("-1",AB847)</f>
        <v>0</v>
      </c>
      <c r="AD847">
        <f>IMDIV(IMSUB(AB847,AC847),"2")</f>
        <v>0</v>
      </c>
      <c r="AE847" s="6">
        <f>IMABS(AB847)</f>
        <v>0</v>
      </c>
      <c r="AF847" s="6">
        <f>IMABS(AC847)</f>
        <v>0</v>
      </c>
      <c r="AG847" s="6">
        <f>IMABS(AD847)</f>
        <v>0</v>
      </c>
      <c r="AH847" s="7">
        <f>20*LOG10(MAX(AE847,1E-300)*1E6)</f>
        <v>0</v>
      </c>
      <c r="AI847" s="7">
        <f>20*LOG10(MAX(AF847,1E-300)*1E6)</f>
        <v>0</v>
      </c>
      <c r="AJ847" s="7">
        <f>20*LOG10(MAX(AG847,1E-300)*1E6)</f>
        <v>0</v>
      </c>
      <c r="AK847" s="7">
        <f>DEGREES(IMARGUMENT(AB847))</f>
        <v>0</v>
      </c>
      <c r="AL847" s="7">
        <f>DEGREES(IMARGUMENT(AC847))</f>
        <v>0</v>
      </c>
      <c r="AM847" s="7">
        <f>DEGREES(IMARGUMENT(AD847))</f>
        <v>0</v>
      </c>
    </row>
    <row r="848" spans="1:39">
      <c r="A848" s="6">
        <f>10^(LOG10(F_START)+(ROW()-ROW($A$2))*(LOG10(F_STOP)-LOG10(F_START))/(N_POINTS-1))</f>
        <v>0</v>
      </c>
      <c r="B848" s="6">
        <f>2*PI()*A848</f>
        <v>0</v>
      </c>
      <c r="C848">
        <f>COMPLEX(2*LINE_PS_DCR,2*B848*LINE_PS_L)</f>
        <v>0</v>
      </c>
      <c r="D848">
        <f>IMSUM(COMPLEX(0,B848*(LINE_PS_CLINE+LINE_PS_CCHA/2)),IMDIV("1",IMPRODUCT("2",COMPLEX(C_THROUGH_ESR,B848*C_THROUGH_ESL-1/(B848*C_THROUGH_C)))))</f>
        <v>0</v>
      </c>
      <c r="E848">
        <f>COMPLEX(2*LINE_INPUT_DCR,2*B848*LINE_INPUT_L)</f>
        <v>0</v>
      </c>
      <c r="F848">
        <f>COMPLEX(0,B848*(LINE_INPUT_CLINE+LINE_INPUT_CCHA/2))</f>
        <v>0</v>
      </c>
      <c r="G848">
        <f>IMPRODUCT("2",IMDIV("1",IMSUM(IMDIV("1",COMPLEX(LDM1_DCR,B848*LDM1_L)),COMPLEX(0,B848*LDM1_CPA))))</f>
        <v>0</v>
      </c>
      <c r="H848">
        <f>IMSUM(IMDIV("1",COMPLEX(CX1_ESR,B848*CX1_ESL-1/(B848*CX1_C))),IMDIV("1",IMSUM(COMPLEX(DUMP1_R,0),COMPLEX(DUMP1_ESR,B848*DUMP1_ESL-1/(B848*DUMP1_C)))))</f>
        <v>0</v>
      </c>
      <c r="I848">
        <f>IMPRODUCT("2",IMDIV("1",IMSUM(IMDIV("1",COMPLEX(LDM2_DCR,B848*LDM2_L)),COMPLEX(0,B848*LDM2_CPA))))</f>
        <v>0</v>
      </c>
      <c r="J848">
        <f>IMSUM(IMDIV("1",COMPLEX(CX2_ESR,B848*CX2_ESL-1/(B848*CX2_C))),IMDIV("1",IMSUM(COMPLEX(DUMP2_R,0),COMPLEX(DUMP2_ESR,B848*DUMP2_ESL-1/(B848*DUMP2_C)))))</f>
        <v>0</v>
      </c>
      <c r="K848">
        <f>IMPRODUCT("2",IMDIV("1",IMSUM(IMDIV("1",COMPLEX(CMC_DCR,B848*CMC_L*(1-CMC_K))),COMPLEX(0,B848*CMC_CPA))))</f>
        <v>0</v>
      </c>
      <c r="L848">
        <f>IMSUM(COMPLEX(0,B848*CMC_CLINE),IMDIV("1",IMPRODUCT("2",COMPLEX(CY_ESR,B848*CY_ESL-1/(B848*CY_C)))),COMPLEX(1/DUMMY_R,0))</f>
        <v>0</v>
      </c>
      <c r="M848">
        <f>IMSUM(D848,IMDIV("1",C848))</f>
        <v>0</v>
      </c>
      <c r="N848">
        <f>IMDIV("1",IMSUM(E848,IMDIV("1",M848)))</f>
        <v>0</v>
      </c>
      <c r="O848">
        <f>IMSUM(F848,N848)</f>
        <v>0</v>
      </c>
      <c r="P848">
        <f>IMDIV("1",IMSUM(G848,IMDIV("1",O848)))</f>
        <v>0</v>
      </c>
      <c r="Q848">
        <f>IMSUM(H848,P848)</f>
        <v>0</v>
      </c>
      <c r="R848">
        <f>IMDIV("1",IMSUM(I848,IMDIV("1",Q848)))</f>
        <v>0</v>
      </c>
      <c r="S848">
        <f>IMSUM(J848,R848)</f>
        <v>0</v>
      </c>
      <c r="T848">
        <f>IMDIV("1",IMSUM(K848,IMDIV("1",S848)))</f>
        <v>0</v>
      </c>
      <c r="U848">
        <f>IMSUM(L848,T848)</f>
        <v>0</v>
      </c>
      <c r="V848">
        <f>IMDIV(COMPLEX(I_DM_SOURCE,0),U848)</f>
        <v>0</v>
      </c>
      <c r="W848">
        <f>IMPRODUCT(V848,T848)</f>
        <v>0</v>
      </c>
      <c r="X848">
        <f>IMDIV(W848,S848)</f>
        <v>0</v>
      </c>
      <c r="Y848">
        <f>IMPRODUCT(X848,R848)</f>
        <v>0</v>
      </c>
      <c r="Z848">
        <f>IMDIV(Y848,Q848)</f>
        <v>0</v>
      </c>
      <c r="AA848">
        <f>IMPRODUCT(Z848,P848)</f>
        <v>0</v>
      </c>
      <c r="AB848">
        <f>AA848</f>
        <v>0</v>
      </c>
      <c r="AC848">
        <f>IMPRODUCT("-1",AB848)</f>
        <v>0</v>
      </c>
      <c r="AD848">
        <f>IMDIV(IMSUB(AB848,AC848),"2")</f>
        <v>0</v>
      </c>
      <c r="AE848" s="6">
        <f>IMABS(AB848)</f>
        <v>0</v>
      </c>
      <c r="AF848" s="6">
        <f>IMABS(AC848)</f>
        <v>0</v>
      </c>
      <c r="AG848" s="6">
        <f>IMABS(AD848)</f>
        <v>0</v>
      </c>
      <c r="AH848" s="7">
        <f>20*LOG10(MAX(AE848,1E-300)*1E6)</f>
        <v>0</v>
      </c>
      <c r="AI848" s="7">
        <f>20*LOG10(MAX(AF848,1E-300)*1E6)</f>
        <v>0</v>
      </c>
      <c r="AJ848" s="7">
        <f>20*LOG10(MAX(AG848,1E-300)*1E6)</f>
        <v>0</v>
      </c>
      <c r="AK848" s="7">
        <f>DEGREES(IMARGUMENT(AB848))</f>
        <v>0</v>
      </c>
      <c r="AL848" s="7">
        <f>DEGREES(IMARGUMENT(AC848))</f>
        <v>0</v>
      </c>
      <c r="AM848" s="7">
        <f>DEGREES(IMARGUMENT(AD848))</f>
        <v>0</v>
      </c>
    </row>
    <row r="849" spans="1:39">
      <c r="A849" s="6">
        <f>10^(LOG10(F_START)+(ROW()-ROW($A$2))*(LOG10(F_STOP)-LOG10(F_START))/(N_POINTS-1))</f>
        <v>0</v>
      </c>
      <c r="B849" s="6">
        <f>2*PI()*A849</f>
        <v>0</v>
      </c>
      <c r="C849">
        <f>COMPLEX(2*LINE_PS_DCR,2*B849*LINE_PS_L)</f>
        <v>0</v>
      </c>
      <c r="D849">
        <f>IMSUM(COMPLEX(0,B849*(LINE_PS_CLINE+LINE_PS_CCHA/2)),IMDIV("1",IMPRODUCT("2",COMPLEX(C_THROUGH_ESR,B849*C_THROUGH_ESL-1/(B849*C_THROUGH_C)))))</f>
        <v>0</v>
      </c>
      <c r="E849">
        <f>COMPLEX(2*LINE_INPUT_DCR,2*B849*LINE_INPUT_L)</f>
        <v>0</v>
      </c>
      <c r="F849">
        <f>COMPLEX(0,B849*(LINE_INPUT_CLINE+LINE_INPUT_CCHA/2))</f>
        <v>0</v>
      </c>
      <c r="G849">
        <f>IMPRODUCT("2",IMDIV("1",IMSUM(IMDIV("1",COMPLEX(LDM1_DCR,B849*LDM1_L)),COMPLEX(0,B849*LDM1_CPA))))</f>
        <v>0</v>
      </c>
      <c r="H849">
        <f>IMSUM(IMDIV("1",COMPLEX(CX1_ESR,B849*CX1_ESL-1/(B849*CX1_C))),IMDIV("1",IMSUM(COMPLEX(DUMP1_R,0),COMPLEX(DUMP1_ESR,B849*DUMP1_ESL-1/(B849*DUMP1_C)))))</f>
        <v>0</v>
      </c>
      <c r="I849">
        <f>IMPRODUCT("2",IMDIV("1",IMSUM(IMDIV("1",COMPLEX(LDM2_DCR,B849*LDM2_L)),COMPLEX(0,B849*LDM2_CPA))))</f>
        <v>0</v>
      </c>
      <c r="J849">
        <f>IMSUM(IMDIV("1",COMPLEX(CX2_ESR,B849*CX2_ESL-1/(B849*CX2_C))),IMDIV("1",IMSUM(COMPLEX(DUMP2_R,0),COMPLEX(DUMP2_ESR,B849*DUMP2_ESL-1/(B849*DUMP2_C)))))</f>
        <v>0</v>
      </c>
      <c r="K849">
        <f>IMPRODUCT("2",IMDIV("1",IMSUM(IMDIV("1",COMPLEX(CMC_DCR,B849*CMC_L*(1-CMC_K))),COMPLEX(0,B849*CMC_CPA))))</f>
        <v>0</v>
      </c>
      <c r="L849">
        <f>IMSUM(COMPLEX(0,B849*CMC_CLINE),IMDIV("1",IMPRODUCT("2",COMPLEX(CY_ESR,B849*CY_ESL-1/(B849*CY_C)))),COMPLEX(1/DUMMY_R,0))</f>
        <v>0</v>
      </c>
      <c r="M849">
        <f>IMSUM(D849,IMDIV("1",C849))</f>
        <v>0</v>
      </c>
      <c r="N849">
        <f>IMDIV("1",IMSUM(E849,IMDIV("1",M849)))</f>
        <v>0</v>
      </c>
      <c r="O849">
        <f>IMSUM(F849,N849)</f>
        <v>0</v>
      </c>
      <c r="P849">
        <f>IMDIV("1",IMSUM(G849,IMDIV("1",O849)))</f>
        <v>0</v>
      </c>
      <c r="Q849">
        <f>IMSUM(H849,P849)</f>
        <v>0</v>
      </c>
      <c r="R849">
        <f>IMDIV("1",IMSUM(I849,IMDIV("1",Q849)))</f>
        <v>0</v>
      </c>
      <c r="S849">
        <f>IMSUM(J849,R849)</f>
        <v>0</v>
      </c>
      <c r="T849">
        <f>IMDIV("1",IMSUM(K849,IMDIV("1",S849)))</f>
        <v>0</v>
      </c>
      <c r="U849">
        <f>IMSUM(L849,T849)</f>
        <v>0</v>
      </c>
      <c r="V849">
        <f>IMDIV(COMPLEX(I_DM_SOURCE,0),U849)</f>
        <v>0</v>
      </c>
      <c r="W849">
        <f>IMPRODUCT(V849,T849)</f>
        <v>0</v>
      </c>
      <c r="X849">
        <f>IMDIV(W849,S849)</f>
        <v>0</v>
      </c>
      <c r="Y849">
        <f>IMPRODUCT(X849,R849)</f>
        <v>0</v>
      </c>
      <c r="Z849">
        <f>IMDIV(Y849,Q849)</f>
        <v>0</v>
      </c>
      <c r="AA849">
        <f>IMPRODUCT(Z849,P849)</f>
        <v>0</v>
      </c>
      <c r="AB849">
        <f>AA849</f>
        <v>0</v>
      </c>
      <c r="AC849">
        <f>IMPRODUCT("-1",AB849)</f>
        <v>0</v>
      </c>
      <c r="AD849">
        <f>IMDIV(IMSUB(AB849,AC849),"2")</f>
        <v>0</v>
      </c>
      <c r="AE849" s="6">
        <f>IMABS(AB849)</f>
        <v>0</v>
      </c>
      <c r="AF849" s="6">
        <f>IMABS(AC849)</f>
        <v>0</v>
      </c>
      <c r="AG849" s="6">
        <f>IMABS(AD849)</f>
        <v>0</v>
      </c>
      <c r="AH849" s="7">
        <f>20*LOG10(MAX(AE849,1E-300)*1E6)</f>
        <v>0</v>
      </c>
      <c r="AI849" s="7">
        <f>20*LOG10(MAX(AF849,1E-300)*1E6)</f>
        <v>0</v>
      </c>
      <c r="AJ849" s="7">
        <f>20*LOG10(MAX(AG849,1E-300)*1E6)</f>
        <v>0</v>
      </c>
      <c r="AK849" s="7">
        <f>DEGREES(IMARGUMENT(AB849))</f>
        <v>0</v>
      </c>
      <c r="AL849" s="7">
        <f>DEGREES(IMARGUMENT(AC849))</f>
        <v>0</v>
      </c>
      <c r="AM849" s="7">
        <f>DEGREES(IMARGUMENT(AD849))</f>
        <v>0</v>
      </c>
    </row>
    <row r="850" spans="1:39">
      <c r="A850" s="6">
        <f>10^(LOG10(F_START)+(ROW()-ROW($A$2))*(LOG10(F_STOP)-LOG10(F_START))/(N_POINTS-1))</f>
        <v>0</v>
      </c>
      <c r="B850" s="6">
        <f>2*PI()*A850</f>
        <v>0</v>
      </c>
      <c r="C850">
        <f>COMPLEX(2*LINE_PS_DCR,2*B850*LINE_PS_L)</f>
        <v>0</v>
      </c>
      <c r="D850">
        <f>IMSUM(COMPLEX(0,B850*(LINE_PS_CLINE+LINE_PS_CCHA/2)),IMDIV("1",IMPRODUCT("2",COMPLEX(C_THROUGH_ESR,B850*C_THROUGH_ESL-1/(B850*C_THROUGH_C)))))</f>
        <v>0</v>
      </c>
      <c r="E850">
        <f>COMPLEX(2*LINE_INPUT_DCR,2*B850*LINE_INPUT_L)</f>
        <v>0</v>
      </c>
      <c r="F850">
        <f>COMPLEX(0,B850*(LINE_INPUT_CLINE+LINE_INPUT_CCHA/2))</f>
        <v>0</v>
      </c>
      <c r="G850">
        <f>IMPRODUCT("2",IMDIV("1",IMSUM(IMDIV("1",COMPLEX(LDM1_DCR,B850*LDM1_L)),COMPLEX(0,B850*LDM1_CPA))))</f>
        <v>0</v>
      </c>
      <c r="H850">
        <f>IMSUM(IMDIV("1",COMPLEX(CX1_ESR,B850*CX1_ESL-1/(B850*CX1_C))),IMDIV("1",IMSUM(COMPLEX(DUMP1_R,0),COMPLEX(DUMP1_ESR,B850*DUMP1_ESL-1/(B850*DUMP1_C)))))</f>
        <v>0</v>
      </c>
      <c r="I850">
        <f>IMPRODUCT("2",IMDIV("1",IMSUM(IMDIV("1",COMPLEX(LDM2_DCR,B850*LDM2_L)),COMPLEX(0,B850*LDM2_CPA))))</f>
        <v>0</v>
      </c>
      <c r="J850">
        <f>IMSUM(IMDIV("1",COMPLEX(CX2_ESR,B850*CX2_ESL-1/(B850*CX2_C))),IMDIV("1",IMSUM(COMPLEX(DUMP2_R,0),COMPLEX(DUMP2_ESR,B850*DUMP2_ESL-1/(B850*DUMP2_C)))))</f>
        <v>0</v>
      </c>
      <c r="K850">
        <f>IMPRODUCT("2",IMDIV("1",IMSUM(IMDIV("1",COMPLEX(CMC_DCR,B850*CMC_L*(1-CMC_K))),COMPLEX(0,B850*CMC_CPA))))</f>
        <v>0</v>
      </c>
      <c r="L850">
        <f>IMSUM(COMPLEX(0,B850*CMC_CLINE),IMDIV("1",IMPRODUCT("2",COMPLEX(CY_ESR,B850*CY_ESL-1/(B850*CY_C)))),COMPLEX(1/DUMMY_R,0))</f>
        <v>0</v>
      </c>
      <c r="M850">
        <f>IMSUM(D850,IMDIV("1",C850))</f>
        <v>0</v>
      </c>
      <c r="N850">
        <f>IMDIV("1",IMSUM(E850,IMDIV("1",M850)))</f>
        <v>0</v>
      </c>
      <c r="O850">
        <f>IMSUM(F850,N850)</f>
        <v>0</v>
      </c>
      <c r="P850">
        <f>IMDIV("1",IMSUM(G850,IMDIV("1",O850)))</f>
        <v>0</v>
      </c>
      <c r="Q850">
        <f>IMSUM(H850,P850)</f>
        <v>0</v>
      </c>
      <c r="R850">
        <f>IMDIV("1",IMSUM(I850,IMDIV("1",Q850)))</f>
        <v>0</v>
      </c>
      <c r="S850">
        <f>IMSUM(J850,R850)</f>
        <v>0</v>
      </c>
      <c r="T850">
        <f>IMDIV("1",IMSUM(K850,IMDIV("1",S850)))</f>
        <v>0</v>
      </c>
      <c r="U850">
        <f>IMSUM(L850,T850)</f>
        <v>0</v>
      </c>
      <c r="V850">
        <f>IMDIV(COMPLEX(I_DM_SOURCE,0),U850)</f>
        <v>0</v>
      </c>
      <c r="W850">
        <f>IMPRODUCT(V850,T850)</f>
        <v>0</v>
      </c>
      <c r="X850">
        <f>IMDIV(W850,S850)</f>
        <v>0</v>
      </c>
      <c r="Y850">
        <f>IMPRODUCT(X850,R850)</f>
        <v>0</v>
      </c>
      <c r="Z850">
        <f>IMDIV(Y850,Q850)</f>
        <v>0</v>
      </c>
      <c r="AA850">
        <f>IMPRODUCT(Z850,P850)</f>
        <v>0</v>
      </c>
      <c r="AB850">
        <f>AA850</f>
        <v>0</v>
      </c>
      <c r="AC850">
        <f>IMPRODUCT("-1",AB850)</f>
        <v>0</v>
      </c>
      <c r="AD850">
        <f>IMDIV(IMSUB(AB850,AC850),"2")</f>
        <v>0</v>
      </c>
      <c r="AE850" s="6">
        <f>IMABS(AB850)</f>
        <v>0</v>
      </c>
      <c r="AF850" s="6">
        <f>IMABS(AC850)</f>
        <v>0</v>
      </c>
      <c r="AG850" s="6">
        <f>IMABS(AD850)</f>
        <v>0</v>
      </c>
      <c r="AH850" s="7">
        <f>20*LOG10(MAX(AE850,1E-300)*1E6)</f>
        <v>0</v>
      </c>
      <c r="AI850" s="7">
        <f>20*LOG10(MAX(AF850,1E-300)*1E6)</f>
        <v>0</v>
      </c>
      <c r="AJ850" s="7">
        <f>20*LOG10(MAX(AG850,1E-300)*1E6)</f>
        <v>0</v>
      </c>
      <c r="AK850" s="7">
        <f>DEGREES(IMARGUMENT(AB850))</f>
        <v>0</v>
      </c>
      <c r="AL850" s="7">
        <f>DEGREES(IMARGUMENT(AC850))</f>
        <v>0</v>
      </c>
      <c r="AM850" s="7">
        <f>DEGREES(IMARGUMENT(AD850))</f>
        <v>0</v>
      </c>
    </row>
    <row r="851" spans="1:39">
      <c r="A851" s="6">
        <f>10^(LOG10(F_START)+(ROW()-ROW($A$2))*(LOG10(F_STOP)-LOG10(F_START))/(N_POINTS-1))</f>
        <v>0</v>
      </c>
      <c r="B851" s="6">
        <f>2*PI()*A851</f>
        <v>0</v>
      </c>
      <c r="C851">
        <f>COMPLEX(2*LINE_PS_DCR,2*B851*LINE_PS_L)</f>
        <v>0</v>
      </c>
      <c r="D851">
        <f>IMSUM(COMPLEX(0,B851*(LINE_PS_CLINE+LINE_PS_CCHA/2)),IMDIV("1",IMPRODUCT("2",COMPLEX(C_THROUGH_ESR,B851*C_THROUGH_ESL-1/(B851*C_THROUGH_C)))))</f>
        <v>0</v>
      </c>
      <c r="E851">
        <f>COMPLEX(2*LINE_INPUT_DCR,2*B851*LINE_INPUT_L)</f>
        <v>0</v>
      </c>
      <c r="F851">
        <f>COMPLEX(0,B851*(LINE_INPUT_CLINE+LINE_INPUT_CCHA/2))</f>
        <v>0</v>
      </c>
      <c r="G851">
        <f>IMPRODUCT("2",IMDIV("1",IMSUM(IMDIV("1",COMPLEX(LDM1_DCR,B851*LDM1_L)),COMPLEX(0,B851*LDM1_CPA))))</f>
        <v>0</v>
      </c>
      <c r="H851">
        <f>IMSUM(IMDIV("1",COMPLEX(CX1_ESR,B851*CX1_ESL-1/(B851*CX1_C))),IMDIV("1",IMSUM(COMPLEX(DUMP1_R,0),COMPLEX(DUMP1_ESR,B851*DUMP1_ESL-1/(B851*DUMP1_C)))))</f>
        <v>0</v>
      </c>
      <c r="I851">
        <f>IMPRODUCT("2",IMDIV("1",IMSUM(IMDIV("1",COMPLEX(LDM2_DCR,B851*LDM2_L)),COMPLEX(0,B851*LDM2_CPA))))</f>
        <v>0</v>
      </c>
      <c r="J851">
        <f>IMSUM(IMDIV("1",COMPLEX(CX2_ESR,B851*CX2_ESL-1/(B851*CX2_C))),IMDIV("1",IMSUM(COMPLEX(DUMP2_R,0),COMPLEX(DUMP2_ESR,B851*DUMP2_ESL-1/(B851*DUMP2_C)))))</f>
        <v>0</v>
      </c>
      <c r="K851">
        <f>IMPRODUCT("2",IMDIV("1",IMSUM(IMDIV("1",COMPLEX(CMC_DCR,B851*CMC_L*(1-CMC_K))),COMPLEX(0,B851*CMC_CPA))))</f>
        <v>0</v>
      </c>
      <c r="L851">
        <f>IMSUM(COMPLEX(0,B851*CMC_CLINE),IMDIV("1",IMPRODUCT("2",COMPLEX(CY_ESR,B851*CY_ESL-1/(B851*CY_C)))),COMPLEX(1/DUMMY_R,0))</f>
        <v>0</v>
      </c>
      <c r="M851">
        <f>IMSUM(D851,IMDIV("1",C851))</f>
        <v>0</v>
      </c>
      <c r="N851">
        <f>IMDIV("1",IMSUM(E851,IMDIV("1",M851)))</f>
        <v>0</v>
      </c>
      <c r="O851">
        <f>IMSUM(F851,N851)</f>
        <v>0</v>
      </c>
      <c r="P851">
        <f>IMDIV("1",IMSUM(G851,IMDIV("1",O851)))</f>
        <v>0</v>
      </c>
      <c r="Q851">
        <f>IMSUM(H851,P851)</f>
        <v>0</v>
      </c>
      <c r="R851">
        <f>IMDIV("1",IMSUM(I851,IMDIV("1",Q851)))</f>
        <v>0</v>
      </c>
      <c r="S851">
        <f>IMSUM(J851,R851)</f>
        <v>0</v>
      </c>
      <c r="T851">
        <f>IMDIV("1",IMSUM(K851,IMDIV("1",S851)))</f>
        <v>0</v>
      </c>
      <c r="U851">
        <f>IMSUM(L851,T851)</f>
        <v>0</v>
      </c>
      <c r="V851">
        <f>IMDIV(COMPLEX(I_DM_SOURCE,0),U851)</f>
        <v>0</v>
      </c>
      <c r="W851">
        <f>IMPRODUCT(V851,T851)</f>
        <v>0</v>
      </c>
      <c r="X851">
        <f>IMDIV(W851,S851)</f>
        <v>0</v>
      </c>
      <c r="Y851">
        <f>IMPRODUCT(X851,R851)</f>
        <v>0</v>
      </c>
      <c r="Z851">
        <f>IMDIV(Y851,Q851)</f>
        <v>0</v>
      </c>
      <c r="AA851">
        <f>IMPRODUCT(Z851,P851)</f>
        <v>0</v>
      </c>
      <c r="AB851">
        <f>AA851</f>
        <v>0</v>
      </c>
      <c r="AC851">
        <f>IMPRODUCT("-1",AB851)</f>
        <v>0</v>
      </c>
      <c r="AD851">
        <f>IMDIV(IMSUB(AB851,AC851),"2")</f>
        <v>0</v>
      </c>
      <c r="AE851" s="6">
        <f>IMABS(AB851)</f>
        <v>0</v>
      </c>
      <c r="AF851" s="6">
        <f>IMABS(AC851)</f>
        <v>0</v>
      </c>
      <c r="AG851" s="6">
        <f>IMABS(AD851)</f>
        <v>0</v>
      </c>
      <c r="AH851" s="7">
        <f>20*LOG10(MAX(AE851,1E-300)*1E6)</f>
        <v>0</v>
      </c>
      <c r="AI851" s="7">
        <f>20*LOG10(MAX(AF851,1E-300)*1E6)</f>
        <v>0</v>
      </c>
      <c r="AJ851" s="7">
        <f>20*LOG10(MAX(AG851,1E-300)*1E6)</f>
        <v>0</v>
      </c>
      <c r="AK851" s="7">
        <f>DEGREES(IMARGUMENT(AB851))</f>
        <v>0</v>
      </c>
      <c r="AL851" s="7">
        <f>DEGREES(IMARGUMENT(AC851))</f>
        <v>0</v>
      </c>
      <c r="AM851" s="7">
        <f>DEGREES(IMARGUMENT(AD851))</f>
        <v>0</v>
      </c>
    </row>
    <row r="852" spans="1:39">
      <c r="A852" s="6">
        <f>10^(LOG10(F_START)+(ROW()-ROW($A$2))*(LOG10(F_STOP)-LOG10(F_START))/(N_POINTS-1))</f>
        <v>0</v>
      </c>
      <c r="B852" s="6">
        <f>2*PI()*A852</f>
        <v>0</v>
      </c>
      <c r="C852">
        <f>COMPLEX(2*LINE_PS_DCR,2*B852*LINE_PS_L)</f>
        <v>0</v>
      </c>
      <c r="D852">
        <f>IMSUM(COMPLEX(0,B852*(LINE_PS_CLINE+LINE_PS_CCHA/2)),IMDIV("1",IMPRODUCT("2",COMPLEX(C_THROUGH_ESR,B852*C_THROUGH_ESL-1/(B852*C_THROUGH_C)))))</f>
        <v>0</v>
      </c>
      <c r="E852">
        <f>COMPLEX(2*LINE_INPUT_DCR,2*B852*LINE_INPUT_L)</f>
        <v>0</v>
      </c>
      <c r="F852">
        <f>COMPLEX(0,B852*(LINE_INPUT_CLINE+LINE_INPUT_CCHA/2))</f>
        <v>0</v>
      </c>
      <c r="G852">
        <f>IMPRODUCT("2",IMDIV("1",IMSUM(IMDIV("1",COMPLEX(LDM1_DCR,B852*LDM1_L)),COMPLEX(0,B852*LDM1_CPA))))</f>
        <v>0</v>
      </c>
      <c r="H852">
        <f>IMSUM(IMDIV("1",COMPLEX(CX1_ESR,B852*CX1_ESL-1/(B852*CX1_C))),IMDIV("1",IMSUM(COMPLEX(DUMP1_R,0),COMPLEX(DUMP1_ESR,B852*DUMP1_ESL-1/(B852*DUMP1_C)))))</f>
        <v>0</v>
      </c>
      <c r="I852">
        <f>IMPRODUCT("2",IMDIV("1",IMSUM(IMDIV("1",COMPLEX(LDM2_DCR,B852*LDM2_L)),COMPLEX(0,B852*LDM2_CPA))))</f>
        <v>0</v>
      </c>
      <c r="J852">
        <f>IMSUM(IMDIV("1",COMPLEX(CX2_ESR,B852*CX2_ESL-1/(B852*CX2_C))),IMDIV("1",IMSUM(COMPLEX(DUMP2_R,0),COMPLEX(DUMP2_ESR,B852*DUMP2_ESL-1/(B852*DUMP2_C)))))</f>
        <v>0</v>
      </c>
      <c r="K852">
        <f>IMPRODUCT("2",IMDIV("1",IMSUM(IMDIV("1",COMPLEX(CMC_DCR,B852*CMC_L*(1-CMC_K))),COMPLEX(0,B852*CMC_CPA))))</f>
        <v>0</v>
      </c>
      <c r="L852">
        <f>IMSUM(COMPLEX(0,B852*CMC_CLINE),IMDIV("1",IMPRODUCT("2",COMPLEX(CY_ESR,B852*CY_ESL-1/(B852*CY_C)))),COMPLEX(1/DUMMY_R,0))</f>
        <v>0</v>
      </c>
      <c r="M852">
        <f>IMSUM(D852,IMDIV("1",C852))</f>
        <v>0</v>
      </c>
      <c r="N852">
        <f>IMDIV("1",IMSUM(E852,IMDIV("1",M852)))</f>
        <v>0</v>
      </c>
      <c r="O852">
        <f>IMSUM(F852,N852)</f>
        <v>0</v>
      </c>
      <c r="P852">
        <f>IMDIV("1",IMSUM(G852,IMDIV("1",O852)))</f>
        <v>0</v>
      </c>
      <c r="Q852">
        <f>IMSUM(H852,P852)</f>
        <v>0</v>
      </c>
      <c r="R852">
        <f>IMDIV("1",IMSUM(I852,IMDIV("1",Q852)))</f>
        <v>0</v>
      </c>
      <c r="S852">
        <f>IMSUM(J852,R852)</f>
        <v>0</v>
      </c>
      <c r="T852">
        <f>IMDIV("1",IMSUM(K852,IMDIV("1",S852)))</f>
        <v>0</v>
      </c>
      <c r="U852">
        <f>IMSUM(L852,T852)</f>
        <v>0</v>
      </c>
      <c r="V852">
        <f>IMDIV(COMPLEX(I_DM_SOURCE,0),U852)</f>
        <v>0</v>
      </c>
      <c r="W852">
        <f>IMPRODUCT(V852,T852)</f>
        <v>0</v>
      </c>
      <c r="X852">
        <f>IMDIV(W852,S852)</f>
        <v>0</v>
      </c>
      <c r="Y852">
        <f>IMPRODUCT(X852,R852)</f>
        <v>0</v>
      </c>
      <c r="Z852">
        <f>IMDIV(Y852,Q852)</f>
        <v>0</v>
      </c>
      <c r="AA852">
        <f>IMPRODUCT(Z852,P852)</f>
        <v>0</v>
      </c>
      <c r="AB852">
        <f>AA852</f>
        <v>0</v>
      </c>
      <c r="AC852">
        <f>IMPRODUCT("-1",AB852)</f>
        <v>0</v>
      </c>
      <c r="AD852">
        <f>IMDIV(IMSUB(AB852,AC852),"2")</f>
        <v>0</v>
      </c>
      <c r="AE852" s="6">
        <f>IMABS(AB852)</f>
        <v>0</v>
      </c>
      <c r="AF852" s="6">
        <f>IMABS(AC852)</f>
        <v>0</v>
      </c>
      <c r="AG852" s="6">
        <f>IMABS(AD852)</f>
        <v>0</v>
      </c>
      <c r="AH852" s="7">
        <f>20*LOG10(MAX(AE852,1E-300)*1E6)</f>
        <v>0</v>
      </c>
      <c r="AI852" s="7">
        <f>20*LOG10(MAX(AF852,1E-300)*1E6)</f>
        <v>0</v>
      </c>
      <c r="AJ852" s="7">
        <f>20*LOG10(MAX(AG852,1E-300)*1E6)</f>
        <v>0</v>
      </c>
      <c r="AK852" s="7">
        <f>DEGREES(IMARGUMENT(AB852))</f>
        <v>0</v>
      </c>
      <c r="AL852" s="7">
        <f>DEGREES(IMARGUMENT(AC852))</f>
        <v>0</v>
      </c>
      <c r="AM852" s="7">
        <f>DEGREES(IMARGUMENT(AD852))</f>
        <v>0</v>
      </c>
    </row>
    <row r="853" spans="1:39">
      <c r="A853" s="6">
        <f>10^(LOG10(F_START)+(ROW()-ROW($A$2))*(LOG10(F_STOP)-LOG10(F_START))/(N_POINTS-1))</f>
        <v>0</v>
      </c>
      <c r="B853" s="6">
        <f>2*PI()*A853</f>
        <v>0</v>
      </c>
      <c r="C853">
        <f>COMPLEX(2*LINE_PS_DCR,2*B853*LINE_PS_L)</f>
        <v>0</v>
      </c>
      <c r="D853">
        <f>IMSUM(COMPLEX(0,B853*(LINE_PS_CLINE+LINE_PS_CCHA/2)),IMDIV("1",IMPRODUCT("2",COMPLEX(C_THROUGH_ESR,B853*C_THROUGH_ESL-1/(B853*C_THROUGH_C)))))</f>
        <v>0</v>
      </c>
      <c r="E853">
        <f>COMPLEX(2*LINE_INPUT_DCR,2*B853*LINE_INPUT_L)</f>
        <v>0</v>
      </c>
      <c r="F853">
        <f>COMPLEX(0,B853*(LINE_INPUT_CLINE+LINE_INPUT_CCHA/2))</f>
        <v>0</v>
      </c>
      <c r="G853">
        <f>IMPRODUCT("2",IMDIV("1",IMSUM(IMDIV("1",COMPLEX(LDM1_DCR,B853*LDM1_L)),COMPLEX(0,B853*LDM1_CPA))))</f>
        <v>0</v>
      </c>
      <c r="H853">
        <f>IMSUM(IMDIV("1",COMPLEX(CX1_ESR,B853*CX1_ESL-1/(B853*CX1_C))),IMDIV("1",IMSUM(COMPLEX(DUMP1_R,0),COMPLEX(DUMP1_ESR,B853*DUMP1_ESL-1/(B853*DUMP1_C)))))</f>
        <v>0</v>
      </c>
      <c r="I853">
        <f>IMPRODUCT("2",IMDIV("1",IMSUM(IMDIV("1",COMPLEX(LDM2_DCR,B853*LDM2_L)),COMPLEX(0,B853*LDM2_CPA))))</f>
        <v>0</v>
      </c>
      <c r="J853">
        <f>IMSUM(IMDIV("1",COMPLEX(CX2_ESR,B853*CX2_ESL-1/(B853*CX2_C))),IMDIV("1",IMSUM(COMPLEX(DUMP2_R,0),COMPLEX(DUMP2_ESR,B853*DUMP2_ESL-1/(B853*DUMP2_C)))))</f>
        <v>0</v>
      </c>
      <c r="K853">
        <f>IMPRODUCT("2",IMDIV("1",IMSUM(IMDIV("1",COMPLEX(CMC_DCR,B853*CMC_L*(1-CMC_K))),COMPLEX(0,B853*CMC_CPA))))</f>
        <v>0</v>
      </c>
      <c r="L853">
        <f>IMSUM(COMPLEX(0,B853*CMC_CLINE),IMDIV("1",IMPRODUCT("2",COMPLEX(CY_ESR,B853*CY_ESL-1/(B853*CY_C)))),COMPLEX(1/DUMMY_R,0))</f>
        <v>0</v>
      </c>
      <c r="M853">
        <f>IMSUM(D853,IMDIV("1",C853))</f>
        <v>0</v>
      </c>
      <c r="N853">
        <f>IMDIV("1",IMSUM(E853,IMDIV("1",M853)))</f>
        <v>0</v>
      </c>
      <c r="O853">
        <f>IMSUM(F853,N853)</f>
        <v>0</v>
      </c>
      <c r="P853">
        <f>IMDIV("1",IMSUM(G853,IMDIV("1",O853)))</f>
        <v>0</v>
      </c>
      <c r="Q853">
        <f>IMSUM(H853,P853)</f>
        <v>0</v>
      </c>
      <c r="R853">
        <f>IMDIV("1",IMSUM(I853,IMDIV("1",Q853)))</f>
        <v>0</v>
      </c>
      <c r="S853">
        <f>IMSUM(J853,R853)</f>
        <v>0</v>
      </c>
      <c r="T853">
        <f>IMDIV("1",IMSUM(K853,IMDIV("1",S853)))</f>
        <v>0</v>
      </c>
      <c r="U853">
        <f>IMSUM(L853,T853)</f>
        <v>0</v>
      </c>
      <c r="V853">
        <f>IMDIV(COMPLEX(I_DM_SOURCE,0),U853)</f>
        <v>0</v>
      </c>
      <c r="W853">
        <f>IMPRODUCT(V853,T853)</f>
        <v>0</v>
      </c>
      <c r="X853">
        <f>IMDIV(W853,S853)</f>
        <v>0</v>
      </c>
      <c r="Y853">
        <f>IMPRODUCT(X853,R853)</f>
        <v>0</v>
      </c>
      <c r="Z853">
        <f>IMDIV(Y853,Q853)</f>
        <v>0</v>
      </c>
      <c r="AA853">
        <f>IMPRODUCT(Z853,P853)</f>
        <v>0</v>
      </c>
      <c r="AB853">
        <f>AA853</f>
        <v>0</v>
      </c>
      <c r="AC853">
        <f>IMPRODUCT("-1",AB853)</f>
        <v>0</v>
      </c>
      <c r="AD853">
        <f>IMDIV(IMSUB(AB853,AC853),"2")</f>
        <v>0</v>
      </c>
      <c r="AE853" s="6">
        <f>IMABS(AB853)</f>
        <v>0</v>
      </c>
      <c r="AF853" s="6">
        <f>IMABS(AC853)</f>
        <v>0</v>
      </c>
      <c r="AG853" s="6">
        <f>IMABS(AD853)</f>
        <v>0</v>
      </c>
      <c r="AH853" s="7">
        <f>20*LOG10(MAX(AE853,1E-300)*1E6)</f>
        <v>0</v>
      </c>
      <c r="AI853" s="7">
        <f>20*LOG10(MAX(AF853,1E-300)*1E6)</f>
        <v>0</v>
      </c>
      <c r="AJ853" s="7">
        <f>20*LOG10(MAX(AG853,1E-300)*1E6)</f>
        <v>0</v>
      </c>
      <c r="AK853" s="7">
        <f>DEGREES(IMARGUMENT(AB853))</f>
        <v>0</v>
      </c>
      <c r="AL853" s="7">
        <f>DEGREES(IMARGUMENT(AC853))</f>
        <v>0</v>
      </c>
      <c r="AM853" s="7">
        <f>DEGREES(IMARGUMENT(AD853))</f>
        <v>0</v>
      </c>
    </row>
    <row r="854" spans="1:39">
      <c r="A854" s="6">
        <f>10^(LOG10(F_START)+(ROW()-ROW($A$2))*(LOG10(F_STOP)-LOG10(F_START))/(N_POINTS-1))</f>
        <v>0</v>
      </c>
      <c r="B854" s="6">
        <f>2*PI()*A854</f>
        <v>0</v>
      </c>
      <c r="C854">
        <f>COMPLEX(2*LINE_PS_DCR,2*B854*LINE_PS_L)</f>
        <v>0</v>
      </c>
      <c r="D854">
        <f>IMSUM(COMPLEX(0,B854*(LINE_PS_CLINE+LINE_PS_CCHA/2)),IMDIV("1",IMPRODUCT("2",COMPLEX(C_THROUGH_ESR,B854*C_THROUGH_ESL-1/(B854*C_THROUGH_C)))))</f>
        <v>0</v>
      </c>
      <c r="E854">
        <f>COMPLEX(2*LINE_INPUT_DCR,2*B854*LINE_INPUT_L)</f>
        <v>0</v>
      </c>
      <c r="F854">
        <f>COMPLEX(0,B854*(LINE_INPUT_CLINE+LINE_INPUT_CCHA/2))</f>
        <v>0</v>
      </c>
      <c r="G854">
        <f>IMPRODUCT("2",IMDIV("1",IMSUM(IMDIV("1",COMPLEX(LDM1_DCR,B854*LDM1_L)),COMPLEX(0,B854*LDM1_CPA))))</f>
        <v>0</v>
      </c>
      <c r="H854">
        <f>IMSUM(IMDIV("1",COMPLEX(CX1_ESR,B854*CX1_ESL-1/(B854*CX1_C))),IMDIV("1",IMSUM(COMPLEX(DUMP1_R,0),COMPLEX(DUMP1_ESR,B854*DUMP1_ESL-1/(B854*DUMP1_C)))))</f>
        <v>0</v>
      </c>
      <c r="I854">
        <f>IMPRODUCT("2",IMDIV("1",IMSUM(IMDIV("1",COMPLEX(LDM2_DCR,B854*LDM2_L)),COMPLEX(0,B854*LDM2_CPA))))</f>
        <v>0</v>
      </c>
      <c r="J854">
        <f>IMSUM(IMDIV("1",COMPLEX(CX2_ESR,B854*CX2_ESL-1/(B854*CX2_C))),IMDIV("1",IMSUM(COMPLEX(DUMP2_R,0),COMPLEX(DUMP2_ESR,B854*DUMP2_ESL-1/(B854*DUMP2_C)))))</f>
        <v>0</v>
      </c>
      <c r="K854">
        <f>IMPRODUCT("2",IMDIV("1",IMSUM(IMDIV("1",COMPLEX(CMC_DCR,B854*CMC_L*(1-CMC_K))),COMPLEX(0,B854*CMC_CPA))))</f>
        <v>0</v>
      </c>
      <c r="L854">
        <f>IMSUM(COMPLEX(0,B854*CMC_CLINE),IMDIV("1",IMPRODUCT("2",COMPLEX(CY_ESR,B854*CY_ESL-1/(B854*CY_C)))),COMPLEX(1/DUMMY_R,0))</f>
        <v>0</v>
      </c>
      <c r="M854">
        <f>IMSUM(D854,IMDIV("1",C854))</f>
        <v>0</v>
      </c>
      <c r="N854">
        <f>IMDIV("1",IMSUM(E854,IMDIV("1",M854)))</f>
        <v>0</v>
      </c>
      <c r="O854">
        <f>IMSUM(F854,N854)</f>
        <v>0</v>
      </c>
      <c r="P854">
        <f>IMDIV("1",IMSUM(G854,IMDIV("1",O854)))</f>
        <v>0</v>
      </c>
      <c r="Q854">
        <f>IMSUM(H854,P854)</f>
        <v>0</v>
      </c>
      <c r="R854">
        <f>IMDIV("1",IMSUM(I854,IMDIV("1",Q854)))</f>
        <v>0</v>
      </c>
      <c r="S854">
        <f>IMSUM(J854,R854)</f>
        <v>0</v>
      </c>
      <c r="T854">
        <f>IMDIV("1",IMSUM(K854,IMDIV("1",S854)))</f>
        <v>0</v>
      </c>
      <c r="U854">
        <f>IMSUM(L854,T854)</f>
        <v>0</v>
      </c>
      <c r="V854">
        <f>IMDIV(COMPLEX(I_DM_SOURCE,0),U854)</f>
        <v>0</v>
      </c>
      <c r="W854">
        <f>IMPRODUCT(V854,T854)</f>
        <v>0</v>
      </c>
      <c r="X854">
        <f>IMDIV(W854,S854)</f>
        <v>0</v>
      </c>
      <c r="Y854">
        <f>IMPRODUCT(X854,R854)</f>
        <v>0</v>
      </c>
      <c r="Z854">
        <f>IMDIV(Y854,Q854)</f>
        <v>0</v>
      </c>
      <c r="AA854">
        <f>IMPRODUCT(Z854,P854)</f>
        <v>0</v>
      </c>
      <c r="AB854">
        <f>AA854</f>
        <v>0</v>
      </c>
      <c r="AC854">
        <f>IMPRODUCT("-1",AB854)</f>
        <v>0</v>
      </c>
      <c r="AD854">
        <f>IMDIV(IMSUB(AB854,AC854),"2")</f>
        <v>0</v>
      </c>
      <c r="AE854" s="6">
        <f>IMABS(AB854)</f>
        <v>0</v>
      </c>
      <c r="AF854" s="6">
        <f>IMABS(AC854)</f>
        <v>0</v>
      </c>
      <c r="AG854" s="6">
        <f>IMABS(AD854)</f>
        <v>0</v>
      </c>
      <c r="AH854" s="7">
        <f>20*LOG10(MAX(AE854,1E-300)*1E6)</f>
        <v>0</v>
      </c>
      <c r="AI854" s="7">
        <f>20*LOG10(MAX(AF854,1E-300)*1E6)</f>
        <v>0</v>
      </c>
      <c r="AJ854" s="7">
        <f>20*LOG10(MAX(AG854,1E-300)*1E6)</f>
        <v>0</v>
      </c>
      <c r="AK854" s="7">
        <f>DEGREES(IMARGUMENT(AB854))</f>
        <v>0</v>
      </c>
      <c r="AL854" s="7">
        <f>DEGREES(IMARGUMENT(AC854))</f>
        <v>0</v>
      </c>
      <c r="AM854" s="7">
        <f>DEGREES(IMARGUMENT(AD854))</f>
        <v>0</v>
      </c>
    </row>
    <row r="855" spans="1:39">
      <c r="A855" s="6">
        <f>10^(LOG10(F_START)+(ROW()-ROW($A$2))*(LOG10(F_STOP)-LOG10(F_START))/(N_POINTS-1))</f>
        <v>0</v>
      </c>
      <c r="B855" s="6">
        <f>2*PI()*A855</f>
        <v>0</v>
      </c>
      <c r="C855">
        <f>COMPLEX(2*LINE_PS_DCR,2*B855*LINE_PS_L)</f>
        <v>0</v>
      </c>
      <c r="D855">
        <f>IMSUM(COMPLEX(0,B855*(LINE_PS_CLINE+LINE_PS_CCHA/2)),IMDIV("1",IMPRODUCT("2",COMPLEX(C_THROUGH_ESR,B855*C_THROUGH_ESL-1/(B855*C_THROUGH_C)))))</f>
        <v>0</v>
      </c>
      <c r="E855">
        <f>COMPLEX(2*LINE_INPUT_DCR,2*B855*LINE_INPUT_L)</f>
        <v>0</v>
      </c>
      <c r="F855">
        <f>COMPLEX(0,B855*(LINE_INPUT_CLINE+LINE_INPUT_CCHA/2))</f>
        <v>0</v>
      </c>
      <c r="G855">
        <f>IMPRODUCT("2",IMDIV("1",IMSUM(IMDIV("1",COMPLEX(LDM1_DCR,B855*LDM1_L)),COMPLEX(0,B855*LDM1_CPA))))</f>
        <v>0</v>
      </c>
      <c r="H855">
        <f>IMSUM(IMDIV("1",COMPLEX(CX1_ESR,B855*CX1_ESL-1/(B855*CX1_C))),IMDIV("1",IMSUM(COMPLEX(DUMP1_R,0),COMPLEX(DUMP1_ESR,B855*DUMP1_ESL-1/(B855*DUMP1_C)))))</f>
        <v>0</v>
      </c>
      <c r="I855">
        <f>IMPRODUCT("2",IMDIV("1",IMSUM(IMDIV("1",COMPLEX(LDM2_DCR,B855*LDM2_L)),COMPLEX(0,B855*LDM2_CPA))))</f>
        <v>0</v>
      </c>
      <c r="J855">
        <f>IMSUM(IMDIV("1",COMPLEX(CX2_ESR,B855*CX2_ESL-1/(B855*CX2_C))),IMDIV("1",IMSUM(COMPLEX(DUMP2_R,0),COMPLEX(DUMP2_ESR,B855*DUMP2_ESL-1/(B855*DUMP2_C)))))</f>
        <v>0</v>
      </c>
      <c r="K855">
        <f>IMPRODUCT("2",IMDIV("1",IMSUM(IMDIV("1",COMPLEX(CMC_DCR,B855*CMC_L*(1-CMC_K))),COMPLEX(0,B855*CMC_CPA))))</f>
        <v>0</v>
      </c>
      <c r="L855">
        <f>IMSUM(COMPLEX(0,B855*CMC_CLINE),IMDIV("1",IMPRODUCT("2",COMPLEX(CY_ESR,B855*CY_ESL-1/(B855*CY_C)))),COMPLEX(1/DUMMY_R,0))</f>
        <v>0</v>
      </c>
      <c r="M855">
        <f>IMSUM(D855,IMDIV("1",C855))</f>
        <v>0</v>
      </c>
      <c r="N855">
        <f>IMDIV("1",IMSUM(E855,IMDIV("1",M855)))</f>
        <v>0</v>
      </c>
      <c r="O855">
        <f>IMSUM(F855,N855)</f>
        <v>0</v>
      </c>
      <c r="P855">
        <f>IMDIV("1",IMSUM(G855,IMDIV("1",O855)))</f>
        <v>0</v>
      </c>
      <c r="Q855">
        <f>IMSUM(H855,P855)</f>
        <v>0</v>
      </c>
      <c r="R855">
        <f>IMDIV("1",IMSUM(I855,IMDIV("1",Q855)))</f>
        <v>0</v>
      </c>
      <c r="S855">
        <f>IMSUM(J855,R855)</f>
        <v>0</v>
      </c>
      <c r="T855">
        <f>IMDIV("1",IMSUM(K855,IMDIV("1",S855)))</f>
        <v>0</v>
      </c>
      <c r="U855">
        <f>IMSUM(L855,T855)</f>
        <v>0</v>
      </c>
      <c r="V855">
        <f>IMDIV(COMPLEX(I_DM_SOURCE,0),U855)</f>
        <v>0</v>
      </c>
      <c r="W855">
        <f>IMPRODUCT(V855,T855)</f>
        <v>0</v>
      </c>
      <c r="X855">
        <f>IMDIV(W855,S855)</f>
        <v>0</v>
      </c>
      <c r="Y855">
        <f>IMPRODUCT(X855,R855)</f>
        <v>0</v>
      </c>
      <c r="Z855">
        <f>IMDIV(Y855,Q855)</f>
        <v>0</v>
      </c>
      <c r="AA855">
        <f>IMPRODUCT(Z855,P855)</f>
        <v>0</v>
      </c>
      <c r="AB855">
        <f>AA855</f>
        <v>0</v>
      </c>
      <c r="AC855">
        <f>IMPRODUCT("-1",AB855)</f>
        <v>0</v>
      </c>
      <c r="AD855">
        <f>IMDIV(IMSUB(AB855,AC855),"2")</f>
        <v>0</v>
      </c>
      <c r="AE855" s="6">
        <f>IMABS(AB855)</f>
        <v>0</v>
      </c>
      <c r="AF855" s="6">
        <f>IMABS(AC855)</f>
        <v>0</v>
      </c>
      <c r="AG855" s="6">
        <f>IMABS(AD855)</f>
        <v>0</v>
      </c>
      <c r="AH855" s="7">
        <f>20*LOG10(MAX(AE855,1E-300)*1E6)</f>
        <v>0</v>
      </c>
      <c r="AI855" s="7">
        <f>20*LOG10(MAX(AF855,1E-300)*1E6)</f>
        <v>0</v>
      </c>
      <c r="AJ855" s="7">
        <f>20*LOG10(MAX(AG855,1E-300)*1E6)</f>
        <v>0</v>
      </c>
      <c r="AK855" s="7">
        <f>DEGREES(IMARGUMENT(AB855))</f>
        <v>0</v>
      </c>
      <c r="AL855" s="7">
        <f>DEGREES(IMARGUMENT(AC855))</f>
        <v>0</v>
      </c>
      <c r="AM855" s="7">
        <f>DEGREES(IMARGUMENT(AD855))</f>
        <v>0</v>
      </c>
    </row>
    <row r="856" spans="1:39">
      <c r="A856" s="6">
        <f>10^(LOG10(F_START)+(ROW()-ROW($A$2))*(LOG10(F_STOP)-LOG10(F_START))/(N_POINTS-1))</f>
        <v>0</v>
      </c>
      <c r="B856" s="6">
        <f>2*PI()*A856</f>
        <v>0</v>
      </c>
      <c r="C856">
        <f>COMPLEX(2*LINE_PS_DCR,2*B856*LINE_PS_L)</f>
        <v>0</v>
      </c>
      <c r="D856">
        <f>IMSUM(COMPLEX(0,B856*(LINE_PS_CLINE+LINE_PS_CCHA/2)),IMDIV("1",IMPRODUCT("2",COMPLEX(C_THROUGH_ESR,B856*C_THROUGH_ESL-1/(B856*C_THROUGH_C)))))</f>
        <v>0</v>
      </c>
      <c r="E856">
        <f>COMPLEX(2*LINE_INPUT_DCR,2*B856*LINE_INPUT_L)</f>
        <v>0</v>
      </c>
      <c r="F856">
        <f>COMPLEX(0,B856*(LINE_INPUT_CLINE+LINE_INPUT_CCHA/2))</f>
        <v>0</v>
      </c>
      <c r="G856">
        <f>IMPRODUCT("2",IMDIV("1",IMSUM(IMDIV("1",COMPLEX(LDM1_DCR,B856*LDM1_L)),COMPLEX(0,B856*LDM1_CPA))))</f>
        <v>0</v>
      </c>
      <c r="H856">
        <f>IMSUM(IMDIV("1",COMPLEX(CX1_ESR,B856*CX1_ESL-1/(B856*CX1_C))),IMDIV("1",IMSUM(COMPLEX(DUMP1_R,0),COMPLEX(DUMP1_ESR,B856*DUMP1_ESL-1/(B856*DUMP1_C)))))</f>
        <v>0</v>
      </c>
      <c r="I856">
        <f>IMPRODUCT("2",IMDIV("1",IMSUM(IMDIV("1",COMPLEX(LDM2_DCR,B856*LDM2_L)),COMPLEX(0,B856*LDM2_CPA))))</f>
        <v>0</v>
      </c>
      <c r="J856">
        <f>IMSUM(IMDIV("1",COMPLEX(CX2_ESR,B856*CX2_ESL-1/(B856*CX2_C))),IMDIV("1",IMSUM(COMPLEX(DUMP2_R,0),COMPLEX(DUMP2_ESR,B856*DUMP2_ESL-1/(B856*DUMP2_C)))))</f>
        <v>0</v>
      </c>
      <c r="K856">
        <f>IMPRODUCT("2",IMDIV("1",IMSUM(IMDIV("1",COMPLEX(CMC_DCR,B856*CMC_L*(1-CMC_K))),COMPLEX(0,B856*CMC_CPA))))</f>
        <v>0</v>
      </c>
      <c r="L856">
        <f>IMSUM(COMPLEX(0,B856*CMC_CLINE),IMDIV("1",IMPRODUCT("2",COMPLEX(CY_ESR,B856*CY_ESL-1/(B856*CY_C)))),COMPLEX(1/DUMMY_R,0))</f>
        <v>0</v>
      </c>
      <c r="M856">
        <f>IMSUM(D856,IMDIV("1",C856))</f>
        <v>0</v>
      </c>
      <c r="N856">
        <f>IMDIV("1",IMSUM(E856,IMDIV("1",M856)))</f>
        <v>0</v>
      </c>
      <c r="O856">
        <f>IMSUM(F856,N856)</f>
        <v>0</v>
      </c>
      <c r="P856">
        <f>IMDIV("1",IMSUM(G856,IMDIV("1",O856)))</f>
        <v>0</v>
      </c>
      <c r="Q856">
        <f>IMSUM(H856,P856)</f>
        <v>0</v>
      </c>
      <c r="R856">
        <f>IMDIV("1",IMSUM(I856,IMDIV("1",Q856)))</f>
        <v>0</v>
      </c>
      <c r="S856">
        <f>IMSUM(J856,R856)</f>
        <v>0</v>
      </c>
      <c r="T856">
        <f>IMDIV("1",IMSUM(K856,IMDIV("1",S856)))</f>
        <v>0</v>
      </c>
      <c r="U856">
        <f>IMSUM(L856,T856)</f>
        <v>0</v>
      </c>
      <c r="V856">
        <f>IMDIV(COMPLEX(I_DM_SOURCE,0),U856)</f>
        <v>0</v>
      </c>
      <c r="W856">
        <f>IMPRODUCT(V856,T856)</f>
        <v>0</v>
      </c>
      <c r="X856">
        <f>IMDIV(W856,S856)</f>
        <v>0</v>
      </c>
      <c r="Y856">
        <f>IMPRODUCT(X856,R856)</f>
        <v>0</v>
      </c>
      <c r="Z856">
        <f>IMDIV(Y856,Q856)</f>
        <v>0</v>
      </c>
      <c r="AA856">
        <f>IMPRODUCT(Z856,P856)</f>
        <v>0</v>
      </c>
      <c r="AB856">
        <f>AA856</f>
        <v>0</v>
      </c>
      <c r="AC856">
        <f>IMPRODUCT("-1",AB856)</f>
        <v>0</v>
      </c>
      <c r="AD856">
        <f>IMDIV(IMSUB(AB856,AC856),"2")</f>
        <v>0</v>
      </c>
      <c r="AE856" s="6">
        <f>IMABS(AB856)</f>
        <v>0</v>
      </c>
      <c r="AF856" s="6">
        <f>IMABS(AC856)</f>
        <v>0</v>
      </c>
      <c r="AG856" s="6">
        <f>IMABS(AD856)</f>
        <v>0</v>
      </c>
      <c r="AH856" s="7">
        <f>20*LOG10(MAX(AE856,1E-300)*1E6)</f>
        <v>0</v>
      </c>
      <c r="AI856" s="7">
        <f>20*LOG10(MAX(AF856,1E-300)*1E6)</f>
        <v>0</v>
      </c>
      <c r="AJ856" s="7">
        <f>20*LOG10(MAX(AG856,1E-300)*1E6)</f>
        <v>0</v>
      </c>
      <c r="AK856" s="7">
        <f>DEGREES(IMARGUMENT(AB856))</f>
        <v>0</v>
      </c>
      <c r="AL856" s="7">
        <f>DEGREES(IMARGUMENT(AC856))</f>
        <v>0</v>
      </c>
      <c r="AM856" s="7">
        <f>DEGREES(IMARGUMENT(AD856))</f>
        <v>0</v>
      </c>
    </row>
    <row r="857" spans="1:39">
      <c r="A857" s="6">
        <f>10^(LOG10(F_START)+(ROW()-ROW($A$2))*(LOG10(F_STOP)-LOG10(F_START))/(N_POINTS-1))</f>
        <v>0</v>
      </c>
      <c r="B857" s="6">
        <f>2*PI()*A857</f>
        <v>0</v>
      </c>
      <c r="C857">
        <f>COMPLEX(2*LINE_PS_DCR,2*B857*LINE_PS_L)</f>
        <v>0</v>
      </c>
      <c r="D857">
        <f>IMSUM(COMPLEX(0,B857*(LINE_PS_CLINE+LINE_PS_CCHA/2)),IMDIV("1",IMPRODUCT("2",COMPLEX(C_THROUGH_ESR,B857*C_THROUGH_ESL-1/(B857*C_THROUGH_C)))))</f>
        <v>0</v>
      </c>
      <c r="E857">
        <f>COMPLEX(2*LINE_INPUT_DCR,2*B857*LINE_INPUT_L)</f>
        <v>0</v>
      </c>
      <c r="F857">
        <f>COMPLEX(0,B857*(LINE_INPUT_CLINE+LINE_INPUT_CCHA/2))</f>
        <v>0</v>
      </c>
      <c r="G857">
        <f>IMPRODUCT("2",IMDIV("1",IMSUM(IMDIV("1",COMPLEX(LDM1_DCR,B857*LDM1_L)),COMPLEX(0,B857*LDM1_CPA))))</f>
        <v>0</v>
      </c>
      <c r="H857">
        <f>IMSUM(IMDIV("1",COMPLEX(CX1_ESR,B857*CX1_ESL-1/(B857*CX1_C))),IMDIV("1",IMSUM(COMPLEX(DUMP1_R,0),COMPLEX(DUMP1_ESR,B857*DUMP1_ESL-1/(B857*DUMP1_C)))))</f>
        <v>0</v>
      </c>
      <c r="I857">
        <f>IMPRODUCT("2",IMDIV("1",IMSUM(IMDIV("1",COMPLEX(LDM2_DCR,B857*LDM2_L)),COMPLEX(0,B857*LDM2_CPA))))</f>
        <v>0</v>
      </c>
      <c r="J857">
        <f>IMSUM(IMDIV("1",COMPLEX(CX2_ESR,B857*CX2_ESL-1/(B857*CX2_C))),IMDIV("1",IMSUM(COMPLEX(DUMP2_R,0),COMPLEX(DUMP2_ESR,B857*DUMP2_ESL-1/(B857*DUMP2_C)))))</f>
        <v>0</v>
      </c>
      <c r="K857">
        <f>IMPRODUCT("2",IMDIV("1",IMSUM(IMDIV("1",COMPLEX(CMC_DCR,B857*CMC_L*(1-CMC_K))),COMPLEX(0,B857*CMC_CPA))))</f>
        <v>0</v>
      </c>
      <c r="L857">
        <f>IMSUM(COMPLEX(0,B857*CMC_CLINE),IMDIV("1",IMPRODUCT("2",COMPLEX(CY_ESR,B857*CY_ESL-1/(B857*CY_C)))),COMPLEX(1/DUMMY_R,0))</f>
        <v>0</v>
      </c>
      <c r="M857">
        <f>IMSUM(D857,IMDIV("1",C857))</f>
        <v>0</v>
      </c>
      <c r="N857">
        <f>IMDIV("1",IMSUM(E857,IMDIV("1",M857)))</f>
        <v>0</v>
      </c>
      <c r="O857">
        <f>IMSUM(F857,N857)</f>
        <v>0</v>
      </c>
      <c r="P857">
        <f>IMDIV("1",IMSUM(G857,IMDIV("1",O857)))</f>
        <v>0</v>
      </c>
      <c r="Q857">
        <f>IMSUM(H857,P857)</f>
        <v>0</v>
      </c>
      <c r="R857">
        <f>IMDIV("1",IMSUM(I857,IMDIV("1",Q857)))</f>
        <v>0</v>
      </c>
      <c r="S857">
        <f>IMSUM(J857,R857)</f>
        <v>0</v>
      </c>
      <c r="T857">
        <f>IMDIV("1",IMSUM(K857,IMDIV("1",S857)))</f>
        <v>0</v>
      </c>
      <c r="U857">
        <f>IMSUM(L857,T857)</f>
        <v>0</v>
      </c>
      <c r="V857">
        <f>IMDIV(COMPLEX(I_DM_SOURCE,0),U857)</f>
        <v>0</v>
      </c>
      <c r="W857">
        <f>IMPRODUCT(V857,T857)</f>
        <v>0</v>
      </c>
      <c r="X857">
        <f>IMDIV(W857,S857)</f>
        <v>0</v>
      </c>
      <c r="Y857">
        <f>IMPRODUCT(X857,R857)</f>
        <v>0</v>
      </c>
      <c r="Z857">
        <f>IMDIV(Y857,Q857)</f>
        <v>0</v>
      </c>
      <c r="AA857">
        <f>IMPRODUCT(Z857,P857)</f>
        <v>0</v>
      </c>
      <c r="AB857">
        <f>AA857</f>
        <v>0</v>
      </c>
      <c r="AC857">
        <f>IMPRODUCT("-1",AB857)</f>
        <v>0</v>
      </c>
      <c r="AD857">
        <f>IMDIV(IMSUB(AB857,AC857),"2")</f>
        <v>0</v>
      </c>
      <c r="AE857" s="6">
        <f>IMABS(AB857)</f>
        <v>0</v>
      </c>
      <c r="AF857" s="6">
        <f>IMABS(AC857)</f>
        <v>0</v>
      </c>
      <c r="AG857" s="6">
        <f>IMABS(AD857)</f>
        <v>0</v>
      </c>
      <c r="AH857" s="7">
        <f>20*LOG10(MAX(AE857,1E-300)*1E6)</f>
        <v>0</v>
      </c>
      <c r="AI857" s="7">
        <f>20*LOG10(MAX(AF857,1E-300)*1E6)</f>
        <v>0</v>
      </c>
      <c r="AJ857" s="7">
        <f>20*LOG10(MAX(AG857,1E-300)*1E6)</f>
        <v>0</v>
      </c>
      <c r="AK857" s="7">
        <f>DEGREES(IMARGUMENT(AB857))</f>
        <v>0</v>
      </c>
      <c r="AL857" s="7">
        <f>DEGREES(IMARGUMENT(AC857))</f>
        <v>0</v>
      </c>
      <c r="AM857" s="7">
        <f>DEGREES(IMARGUMENT(AD857))</f>
        <v>0</v>
      </c>
    </row>
    <row r="858" spans="1:39">
      <c r="A858" s="6">
        <f>10^(LOG10(F_START)+(ROW()-ROW($A$2))*(LOG10(F_STOP)-LOG10(F_START))/(N_POINTS-1))</f>
        <v>0</v>
      </c>
      <c r="B858" s="6">
        <f>2*PI()*A858</f>
        <v>0</v>
      </c>
      <c r="C858">
        <f>COMPLEX(2*LINE_PS_DCR,2*B858*LINE_PS_L)</f>
        <v>0</v>
      </c>
      <c r="D858">
        <f>IMSUM(COMPLEX(0,B858*(LINE_PS_CLINE+LINE_PS_CCHA/2)),IMDIV("1",IMPRODUCT("2",COMPLEX(C_THROUGH_ESR,B858*C_THROUGH_ESL-1/(B858*C_THROUGH_C)))))</f>
        <v>0</v>
      </c>
      <c r="E858">
        <f>COMPLEX(2*LINE_INPUT_DCR,2*B858*LINE_INPUT_L)</f>
        <v>0</v>
      </c>
      <c r="F858">
        <f>COMPLEX(0,B858*(LINE_INPUT_CLINE+LINE_INPUT_CCHA/2))</f>
        <v>0</v>
      </c>
      <c r="G858">
        <f>IMPRODUCT("2",IMDIV("1",IMSUM(IMDIV("1",COMPLEX(LDM1_DCR,B858*LDM1_L)),COMPLEX(0,B858*LDM1_CPA))))</f>
        <v>0</v>
      </c>
      <c r="H858">
        <f>IMSUM(IMDIV("1",COMPLEX(CX1_ESR,B858*CX1_ESL-1/(B858*CX1_C))),IMDIV("1",IMSUM(COMPLEX(DUMP1_R,0),COMPLEX(DUMP1_ESR,B858*DUMP1_ESL-1/(B858*DUMP1_C)))))</f>
        <v>0</v>
      </c>
      <c r="I858">
        <f>IMPRODUCT("2",IMDIV("1",IMSUM(IMDIV("1",COMPLEX(LDM2_DCR,B858*LDM2_L)),COMPLEX(0,B858*LDM2_CPA))))</f>
        <v>0</v>
      </c>
      <c r="J858">
        <f>IMSUM(IMDIV("1",COMPLEX(CX2_ESR,B858*CX2_ESL-1/(B858*CX2_C))),IMDIV("1",IMSUM(COMPLEX(DUMP2_R,0),COMPLEX(DUMP2_ESR,B858*DUMP2_ESL-1/(B858*DUMP2_C)))))</f>
        <v>0</v>
      </c>
      <c r="K858">
        <f>IMPRODUCT("2",IMDIV("1",IMSUM(IMDIV("1",COMPLEX(CMC_DCR,B858*CMC_L*(1-CMC_K))),COMPLEX(0,B858*CMC_CPA))))</f>
        <v>0</v>
      </c>
      <c r="L858">
        <f>IMSUM(COMPLEX(0,B858*CMC_CLINE),IMDIV("1",IMPRODUCT("2",COMPLEX(CY_ESR,B858*CY_ESL-1/(B858*CY_C)))),COMPLEX(1/DUMMY_R,0))</f>
        <v>0</v>
      </c>
      <c r="M858">
        <f>IMSUM(D858,IMDIV("1",C858))</f>
        <v>0</v>
      </c>
      <c r="N858">
        <f>IMDIV("1",IMSUM(E858,IMDIV("1",M858)))</f>
        <v>0</v>
      </c>
      <c r="O858">
        <f>IMSUM(F858,N858)</f>
        <v>0</v>
      </c>
      <c r="P858">
        <f>IMDIV("1",IMSUM(G858,IMDIV("1",O858)))</f>
        <v>0</v>
      </c>
      <c r="Q858">
        <f>IMSUM(H858,P858)</f>
        <v>0</v>
      </c>
      <c r="R858">
        <f>IMDIV("1",IMSUM(I858,IMDIV("1",Q858)))</f>
        <v>0</v>
      </c>
      <c r="S858">
        <f>IMSUM(J858,R858)</f>
        <v>0</v>
      </c>
      <c r="T858">
        <f>IMDIV("1",IMSUM(K858,IMDIV("1",S858)))</f>
        <v>0</v>
      </c>
      <c r="U858">
        <f>IMSUM(L858,T858)</f>
        <v>0</v>
      </c>
      <c r="V858">
        <f>IMDIV(COMPLEX(I_DM_SOURCE,0),U858)</f>
        <v>0</v>
      </c>
      <c r="W858">
        <f>IMPRODUCT(V858,T858)</f>
        <v>0</v>
      </c>
      <c r="X858">
        <f>IMDIV(W858,S858)</f>
        <v>0</v>
      </c>
      <c r="Y858">
        <f>IMPRODUCT(X858,R858)</f>
        <v>0</v>
      </c>
      <c r="Z858">
        <f>IMDIV(Y858,Q858)</f>
        <v>0</v>
      </c>
      <c r="AA858">
        <f>IMPRODUCT(Z858,P858)</f>
        <v>0</v>
      </c>
      <c r="AB858">
        <f>AA858</f>
        <v>0</v>
      </c>
      <c r="AC858">
        <f>IMPRODUCT("-1",AB858)</f>
        <v>0</v>
      </c>
      <c r="AD858">
        <f>IMDIV(IMSUB(AB858,AC858),"2")</f>
        <v>0</v>
      </c>
      <c r="AE858" s="6">
        <f>IMABS(AB858)</f>
        <v>0</v>
      </c>
      <c r="AF858" s="6">
        <f>IMABS(AC858)</f>
        <v>0</v>
      </c>
      <c r="AG858" s="6">
        <f>IMABS(AD858)</f>
        <v>0</v>
      </c>
      <c r="AH858" s="7">
        <f>20*LOG10(MAX(AE858,1E-300)*1E6)</f>
        <v>0</v>
      </c>
      <c r="AI858" s="7">
        <f>20*LOG10(MAX(AF858,1E-300)*1E6)</f>
        <v>0</v>
      </c>
      <c r="AJ858" s="7">
        <f>20*LOG10(MAX(AG858,1E-300)*1E6)</f>
        <v>0</v>
      </c>
      <c r="AK858" s="7">
        <f>DEGREES(IMARGUMENT(AB858))</f>
        <v>0</v>
      </c>
      <c r="AL858" s="7">
        <f>DEGREES(IMARGUMENT(AC858))</f>
        <v>0</v>
      </c>
      <c r="AM858" s="7">
        <f>DEGREES(IMARGUMENT(AD858))</f>
        <v>0</v>
      </c>
    </row>
    <row r="859" spans="1:39">
      <c r="A859" s="6">
        <f>10^(LOG10(F_START)+(ROW()-ROW($A$2))*(LOG10(F_STOP)-LOG10(F_START))/(N_POINTS-1))</f>
        <v>0</v>
      </c>
      <c r="B859" s="6">
        <f>2*PI()*A859</f>
        <v>0</v>
      </c>
      <c r="C859">
        <f>COMPLEX(2*LINE_PS_DCR,2*B859*LINE_PS_L)</f>
        <v>0</v>
      </c>
      <c r="D859">
        <f>IMSUM(COMPLEX(0,B859*(LINE_PS_CLINE+LINE_PS_CCHA/2)),IMDIV("1",IMPRODUCT("2",COMPLEX(C_THROUGH_ESR,B859*C_THROUGH_ESL-1/(B859*C_THROUGH_C)))))</f>
        <v>0</v>
      </c>
      <c r="E859">
        <f>COMPLEX(2*LINE_INPUT_DCR,2*B859*LINE_INPUT_L)</f>
        <v>0</v>
      </c>
      <c r="F859">
        <f>COMPLEX(0,B859*(LINE_INPUT_CLINE+LINE_INPUT_CCHA/2))</f>
        <v>0</v>
      </c>
      <c r="G859">
        <f>IMPRODUCT("2",IMDIV("1",IMSUM(IMDIV("1",COMPLEX(LDM1_DCR,B859*LDM1_L)),COMPLEX(0,B859*LDM1_CPA))))</f>
        <v>0</v>
      </c>
      <c r="H859">
        <f>IMSUM(IMDIV("1",COMPLEX(CX1_ESR,B859*CX1_ESL-1/(B859*CX1_C))),IMDIV("1",IMSUM(COMPLEX(DUMP1_R,0),COMPLEX(DUMP1_ESR,B859*DUMP1_ESL-1/(B859*DUMP1_C)))))</f>
        <v>0</v>
      </c>
      <c r="I859">
        <f>IMPRODUCT("2",IMDIV("1",IMSUM(IMDIV("1",COMPLEX(LDM2_DCR,B859*LDM2_L)),COMPLEX(0,B859*LDM2_CPA))))</f>
        <v>0</v>
      </c>
      <c r="J859">
        <f>IMSUM(IMDIV("1",COMPLEX(CX2_ESR,B859*CX2_ESL-1/(B859*CX2_C))),IMDIV("1",IMSUM(COMPLEX(DUMP2_R,0),COMPLEX(DUMP2_ESR,B859*DUMP2_ESL-1/(B859*DUMP2_C)))))</f>
        <v>0</v>
      </c>
      <c r="K859">
        <f>IMPRODUCT("2",IMDIV("1",IMSUM(IMDIV("1",COMPLEX(CMC_DCR,B859*CMC_L*(1-CMC_K))),COMPLEX(0,B859*CMC_CPA))))</f>
        <v>0</v>
      </c>
      <c r="L859">
        <f>IMSUM(COMPLEX(0,B859*CMC_CLINE),IMDIV("1",IMPRODUCT("2",COMPLEX(CY_ESR,B859*CY_ESL-1/(B859*CY_C)))),COMPLEX(1/DUMMY_R,0))</f>
        <v>0</v>
      </c>
      <c r="M859">
        <f>IMSUM(D859,IMDIV("1",C859))</f>
        <v>0</v>
      </c>
      <c r="N859">
        <f>IMDIV("1",IMSUM(E859,IMDIV("1",M859)))</f>
        <v>0</v>
      </c>
      <c r="O859">
        <f>IMSUM(F859,N859)</f>
        <v>0</v>
      </c>
      <c r="P859">
        <f>IMDIV("1",IMSUM(G859,IMDIV("1",O859)))</f>
        <v>0</v>
      </c>
      <c r="Q859">
        <f>IMSUM(H859,P859)</f>
        <v>0</v>
      </c>
      <c r="R859">
        <f>IMDIV("1",IMSUM(I859,IMDIV("1",Q859)))</f>
        <v>0</v>
      </c>
      <c r="S859">
        <f>IMSUM(J859,R859)</f>
        <v>0</v>
      </c>
      <c r="T859">
        <f>IMDIV("1",IMSUM(K859,IMDIV("1",S859)))</f>
        <v>0</v>
      </c>
      <c r="U859">
        <f>IMSUM(L859,T859)</f>
        <v>0</v>
      </c>
      <c r="V859">
        <f>IMDIV(COMPLEX(I_DM_SOURCE,0),U859)</f>
        <v>0</v>
      </c>
      <c r="W859">
        <f>IMPRODUCT(V859,T859)</f>
        <v>0</v>
      </c>
      <c r="X859">
        <f>IMDIV(W859,S859)</f>
        <v>0</v>
      </c>
      <c r="Y859">
        <f>IMPRODUCT(X859,R859)</f>
        <v>0</v>
      </c>
      <c r="Z859">
        <f>IMDIV(Y859,Q859)</f>
        <v>0</v>
      </c>
      <c r="AA859">
        <f>IMPRODUCT(Z859,P859)</f>
        <v>0</v>
      </c>
      <c r="AB859">
        <f>AA859</f>
        <v>0</v>
      </c>
      <c r="AC859">
        <f>IMPRODUCT("-1",AB859)</f>
        <v>0</v>
      </c>
      <c r="AD859">
        <f>IMDIV(IMSUB(AB859,AC859),"2")</f>
        <v>0</v>
      </c>
      <c r="AE859" s="6">
        <f>IMABS(AB859)</f>
        <v>0</v>
      </c>
      <c r="AF859" s="6">
        <f>IMABS(AC859)</f>
        <v>0</v>
      </c>
      <c r="AG859" s="6">
        <f>IMABS(AD859)</f>
        <v>0</v>
      </c>
      <c r="AH859" s="7">
        <f>20*LOG10(MAX(AE859,1E-300)*1E6)</f>
        <v>0</v>
      </c>
      <c r="AI859" s="7">
        <f>20*LOG10(MAX(AF859,1E-300)*1E6)</f>
        <v>0</v>
      </c>
      <c r="AJ859" s="7">
        <f>20*LOG10(MAX(AG859,1E-300)*1E6)</f>
        <v>0</v>
      </c>
      <c r="AK859" s="7">
        <f>DEGREES(IMARGUMENT(AB859))</f>
        <v>0</v>
      </c>
      <c r="AL859" s="7">
        <f>DEGREES(IMARGUMENT(AC859))</f>
        <v>0</v>
      </c>
      <c r="AM859" s="7">
        <f>DEGREES(IMARGUMENT(AD859))</f>
        <v>0</v>
      </c>
    </row>
    <row r="860" spans="1:39">
      <c r="A860" s="6">
        <f>10^(LOG10(F_START)+(ROW()-ROW($A$2))*(LOG10(F_STOP)-LOG10(F_START))/(N_POINTS-1))</f>
        <v>0</v>
      </c>
      <c r="B860" s="6">
        <f>2*PI()*A860</f>
        <v>0</v>
      </c>
      <c r="C860">
        <f>COMPLEX(2*LINE_PS_DCR,2*B860*LINE_PS_L)</f>
        <v>0</v>
      </c>
      <c r="D860">
        <f>IMSUM(COMPLEX(0,B860*(LINE_PS_CLINE+LINE_PS_CCHA/2)),IMDIV("1",IMPRODUCT("2",COMPLEX(C_THROUGH_ESR,B860*C_THROUGH_ESL-1/(B860*C_THROUGH_C)))))</f>
        <v>0</v>
      </c>
      <c r="E860">
        <f>COMPLEX(2*LINE_INPUT_DCR,2*B860*LINE_INPUT_L)</f>
        <v>0</v>
      </c>
      <c r="F860">
        <f>COMPLEX(0,B860*(LINE_INPUT_CLINE+LINE_INPUT_CCHA/2))</f>
        <v>0</v>
      </c>
      <c r="G860">
        <f>IMPRODUCT("2",IMDIV("1",IMSUM(IMDIV("1",COMPLEX(LDM1_DCR,B860*LDM1_L)),COMPLEX(0,B860*LDM1_CPA))))</f>
        <v>0</v>
      </c>
      <c r="H860">
        <f>IMSUM(IMDIV("1",COMPLEX(CX1_ESR,B860*CX1_ESL-1/(B860*CX1_C))),IMDIV("1",IMSUM(COMPLEX(DUMP1_R,0),COMPLEX(DUMP1_ESR,B860*DUMP1_ESL-1/(B860*DUMP1_C)))))</f>
        <v>0</v>
      </c>
      <c r="I860">
        <f>IMPRODUCT("2",IMDIV("1",IMSUM(IMDIV("1",COMPLEX(LDM2_DCR,B860*LDM2_L)),COMPLEX(0,B860*LDM2_CPA))))</f>
        <v>0</v>
      </c>
      <c r="J860">
        <f>IMSUM(IMDIV("1",COMPLEX(CX2_ESR,B860*CX2_ESL-1/(B860*CX2_C))),IMDIV("1",IMSUM(COMPLEX(DUMP2_R,0),COMPLEX(DUMP2_ESR,B860*DUMP2_ESL-1/(B860*DUMP2_C)))))</f>
        <v>0</v>
      </c>
      <c r="K860">
        <f>IMPRODUCT("2",IMDIV("1",IMSUM(IMDIV("1",COMPLEX(CMC_DCR,B860*CMC_L*(1-CMC_K))),COMPLEX(0,B860*CMC_CPA))))</f>
        <v>0</v>
      </c>
      <c r="L860">
        <f>IMSUM(COMPLEX(0,B860*CMC_CLINE),IMDIV("1",IMPRODUCT("2",COMPLEX(CY_ESR,B860*CY_ESL-1/(B860*CY_C)))),COMPLEX(1/DUMMY_R,0))</f>
        <v>0</v>
      </c>
      <c r="M860">
        <f>IMSUM(D860,IMDIV("1",C860))</f>
        <v>0</v>
      </c>
      <c r="N860">
        <f>IMDIV("1",IMSUM(E860,IMDIV("1",M860)))</f>
        <v>0</v>
      </c>
      <c r="O860">
        <f>IMSUM(F860,N860)</f>
        <v>0</v>
      </c>
      <c r="P860">
        <f>IMDIV("1",IMSUM(G860,IMDIV("1",O860)))</f>
        <v>0</v>
      </c>
      <c r="Q860">
        <f>IMSUM(H860,P860)</f>
        <v>0</v>
      </c>
      <c r="R860">
        <f>IMDIV("1",IMSUM(I860,IMDIV("1",Q860)))</f>
        <v>0</v>
      </c>
      <c r="S860">
        <f>IMSUM(J860,R860)</f>
        <v>0</v>
      </c>
      <c r="T860">
        <f>IMDIV("1",IMSUM(K860,IMDIV("1",S860)))</f>
        <v>0</v>
      </c>
      <c r="U860">
        <f>IMSUM(L860,T860)</f>
        <v>0</v>
      </c>
      <c r="V860">
        <f>IMDIV(COMPLEX(I_DM_SOURCE,0),U860)</f>
        <v>0</v>
      </c>
      <c r="W860">
        <f>IMPRODUCT(V860,T860)</f>
        <v>0</v>
      </c>
      <c r="X860">
        <f>IMDIV(W860,S860)</f>
        <v>0</v>
      </c>
      <c r="Y860">
        <f>IMPRODUCT(X860,R860)</f>
        <v>0</v>
      </c>
      <c r="Z860">
        <f>IMDIV(Y860,Q860)</f>
        <v>0</v>
      </c>
      <c r="AA860">
        <f>IMPRODUCT(Z860,P860)</f>
        <v>0</v>
      </c>
      <c r="AB860">
        <f>AA860</f>
        <v>0</v>
      </c>
      <c r="AC860">
        <f>IMPRODUCT("-1",AB860)</f>
        <v>0</v>
      </c>
      <c r="AD860">
        <f>IMDIV(IMSUB(AB860,AC860),"2")</f>
        <v>0</v>
      </c>
      <c r="AE860" s="6">
        <f>IMABS(AB860)</f>
        <v>0</v>
      </c>
      <c r="AF860" s="6">
        <f>IMABS(AC860)</f>
        <v>0</v>
      </c>
      <c r="AG860" s="6">
        <f>IMABS(AD860)</f>
        <v>0</v>
      </c>
      <c r="AH860" s="7">
        <f>20*LOG10(MAX(AE860,1E-300)*1E6)</f>
        <v>0</v>
      </c>
      <c r="AI860" s="7">
        <f>20*LOG10(MAX(AF860,1E-300)*1E6)</f>
        <v>0</v>
      </c>
      <c r="AJ860" s="7">
        <f>20*LOG10(MAX(AG860,1E-300)*1E6)</f>
        <v>0</v>
      </c>
      <c r="AK860" s="7">
        <f>DEGREES(IMARGUMENT(AB860))</f>
        <v>0</v>
      </c>
      <c r="AL860" s="7">
        <f>DEGREES(IMARGUMENT(AC860))</f>
        <v>0</v>
      </c>
      <c r="AM860" s="7">
        <f>DEGREES(IMARGUMENT(AD860))</f>
        <v>0</v>
      </c>
    </row>
    <row r="861" spans="1:39">
      <c r="A861" s="6">
        <f>10^(LOG10(F_START)+(ROW()-ROW($A$2))*(LOG10(F_STOP)-LOG10(F_START))/(N_POINTS-1))</f>
        <v>0</v>
      </c>
      <c r="B861" s="6">
        <f>2*PI()*A861</f>
        <v>0</v>
      </c>
      <c r="C861">
        <f>COMPLEX(2*LINE_PS_DCR,2*B861*LINE_PS_L)</f>
        <v>0</v>
      </c>
      <c r="D861">
        <f>IMSUM(COMPLEX(0,B861*(LINE_PS_CLINE+LINE_PS_CCHA/2)),IMDIV("1",IMPRODUCT("2",COMPLEX(C_THROUGH_ESR,B861*C_THROUGH_ESL-1/(B861*C_THROUGH_C)))))</f>
        <v>0</v>
      </c>
      <c r="E861">
        <f>COMPLEX(2*LINE_INPUT_DCR,2*B861*LINE_INPUT_L)</f>
        <v>0</v>
      </c>
      <c r="F861">
        <f>COMPLEX(0,B861*(LINE_INPUT_CLINE+LINE_INPUT_CCHA/2))</f>
        <v>0</v>
      </c>
      <c r="G861">
        <f>IMPRODUCT("2",IMDIV("1",IMSUM(IMDIV("1",COMPLEX(LDM1_DCR,B861*LDM1_L)),COMPLEX(0,B861*LDM1_CPA))))</f>
        <v>0</v>
      </c>
      <c r="H861">
        <f>IMSUM(IMDIV("1",COMPLEX(CX1_ESR,B861*CX1_ESL-1/(B861*CX1_C))),IMDIV("1",IMSUM(COMPLEX(DUMP1_R,0),COMPLEX(DUMP1_ESR,B861*DUMP1_ESL-1/(B861*DUMP1_C)))))</f>
        <v>0</v>
      </c>
      <c r="I861">
        <f>IMPRODUCT("2",IMDIV("1",IMSUM(IMDIV("1",COMPLEX(LDM2_DCR,B861*LDM2_L)),COMPLEX(0,B861*LDM2_CPA))))</f>
        <v>0</v>
      </c>
      <c r="J861">
        <f>IMSUM(IMDIV("1",COMPLEX(CX2_ESR,B861*CX2_ESL-1/(B861*CX2_C))),IMDIV("1",IMSUM(COMPLEX(DUMP2_R,0),COMPLEX(DUMP2_ESR,B861*DUMP2_ESL-1/(B861*DUMP2_C)))))</f>
        <v>0</v>
      </c>
      <c r="K861">
        <f>IMPRODUCT("2",IMDIV("1",IMSUM(IMDIV("1",COMPLEX(CMC_DCR,B861*CMC_L*(1-CMC_K))),COMPLEX(0,B861*CMC_CPA))))</f>
        <v>0</v>
      </c>
      <c r="L861">
        <f>IMSUM(COMPLEX(0,B861*CMC_CLINE),IMDIV("1",IMPRODUCT("2",COMPLEX(CY_ESR,B861*CY_ESL-1/(B861*CY_C)))),COMPLEX(1/DUMMY_R,0))</f>
        <v>0</v>
      </c>
      <c r="M861">
        <f>IMSUM(D861,IMDIV("1",C861))</f>
        <v>0</v>
      </c>
      <c r="N861">
        <f>IMDIV("1",IMSUM(E861,IMDIV("1",M861)))</f>
        <v>0</v>
      </c>
      <c r="O861">
        <f>IMSUM(F861,N861)</f>
        <v>0</v>
      </c>
      <c r="P861">
        <f>IMDIV("1",IMSUM(G861,IMDIV("1",O861)))</f>
        <v>0</v>
      </c>
      <c r="Q861">
        <f>IMSUM(H861,P861)</f>
        <v>0</v>
      </c>
      <c r="R861">
        <f>IMDIV("1",IMSUM(I861,IMDIV("1",Q861)))</f>
        <v>0</v>
      </c>
      <c r="S861">
        <f>IMSUM(J861,R861)</f>
        <v>0</v>
      </c>
      <c r="T861">
        <f>IMDIV("1",IMSUM(K861,IMDIV("1",S861)))</f>
        <v>0</v>
      </c>
      <c r="U861">
        <f>IMSUM(L861,T861)</f>
        <v>0</v>
      </c>
      <c r="V861">
        <f>IMDIV(COMPLEX(I_DM_SOURCE,0),U861)</f>
        <v>0</v>
      </c>
      <c r="W861">
        <f>IMPRODUCT(V861,T861)</f>
        <v>0</v>
      </c>
      <c r="X861">
        <f>IMDIV(W861,S861)</f>
        <v>0</v>
      </c>
      <c r="Y861">
        <f>IMPRODUCT(X861,R861)</f>
        <v>0</v>
      </c>
      <c r="Z861">
        <f>IMDIV(Y861,Q861)</f>
        <v>0</v>
      </c>
      <c r="AA861">
        <f>IMPRODUCT(Z861,P861)</f>
        <v>0</v>
      </c>
      <c r="AB861">
        <f>AA861</f>
        <v>0</v>
      </c>
      <c r="AC861">
        <f>IMPRODUCT("-1",AB861)</f>
        <v>0</v>
      </c>
      <c r="AD861">
        <f>IMDIV(IMSUB(AB861,AC861),"2")</f>
        <v>0</v>
      </c>
      <c r="AE861" s="6">
        <f>IMABS(AB861)</f>
        <v>0</v>
      </c>
      <c r="AF861" s="6">
        <f>IMABS(AC861)</f>
        <v>0</v>
      </c>
      <c r="AG861" s="6">
        <f>IMABS(AD861)</f>
        <v>0</v>
      </c>
      <c r="AH861" s="7">
        <f>20*LOG10(MAX(AE861,1E-300)*1E6)</f>
        <v>0</v>
      </c>
      <c r="AI861" s="7">
        <f>20*LOG10(MAX(AF861,1E-300)*1E6)</f>
        <v>0</v>
      </c>
      <c r="AJ861" s="7">
        <f>20*LOG10(MAX(AG861,1E-300)*1E6)</f>
        <v>0</v>
      </c>
      <c r="AK861" s="7">
        <f>DEGREES(IMARGUMENT(AB861))</f>
        <v>0</v>
      </c>
      <c r="AL861" s="7">
        <f>DEGREES(IMARGUMENT(AC861))</f>
        <v>0</v>
      </c>
      <c r="AM861" s="7">
        <f>DEGREES(IMARGUMENT(AD861))</f>
        <v>0</v>
      </c>
    </row>
    <row r="862" spans="1:39">
      <c r="A862" s="6">
        <f>10^(LOG10(F_START)+(ROW()-ROW($A$2))*(LOG10(F_STOP)-LOG10(F_START))/(N_POINTS-1))</f>
        <v>0</v>
      </c>
      <c r="B862" s="6">
        <f>2*PI()*A862</f>
        <v>0</v>
      </c>
      <c r="C862">
        <f>COMPLEX(2*LINE_PS_DCR,2*B862*LINE_PS_L)</f>
        <v>0</v>
      </c>
      <c r="D862">
        <f>IMSUM(COMPLEX(0,B862*(LINE_PS_CLINE+LINE_PS_CCHA/2)),IMDIV("1",IMPRODUCT("2",COMPLEX(C_THROUGH_ESR,B862*C_THROUGH_ESL-1/(B862*C_THROUGH_C)))))</f>
        <v>0</v>
      </c>
      <c r="E862">
        <f>COMPLEX(2*LINE_INPUT_DCR,2*B862*LINE_INPUT_L)</f>
        <v>0</v>
      </c>
      <c r="F862">
        <f>COMPLEX(0,B862*(LINE_INPUT_CLINE+LINE_INPUT_CCHA/2))</f>
        <v>0</v>
      </c>
      <c r="G862">
        <f>IMPRODUCT("2",IMDIV("1",IMSUM(IMDIV("1",COMPLEX(LDM1_DCR,B862*LDM1_L)),COMPLEX(0,B862*LDM1_CPA))))</f>
        <v>0</v>
      </c>
      <c r="H862">
        <f>IMSUM(IMDIV("1",COMPLEX(CX1_ESR,B862*CX1_ESL-1/(B862*CX1_C))),IMDIV("1",IMSUM(COMPLEX(DUMP1_R,0),COMPLEX(DUMP1_ESR,B862*DUMP1_ESL-1/(B862*DUMP1_C)))))</f>
        <v>0</v>
      </c>
      <c r="I862">
        <f>IMPRODUCT("2",IMDIV("1",IMSUM(IMDIV("1",COMPLEX(LDM2_DCR,B862*LDM2_L)),COMPLEX(0,B862*LDM2_CPA))))</f>
        <v>0</v>
      </c>
      <c r="J862">
        <f>IMSUM(IMDIV("1",COMPLEX(CX2_ESR,B862*CX2_ESL-1/(B862*CX2_C))),IMDIV("1",IMSUM(COMPLEX(DUMP2_R,0),COMPLEX(DUMP2_ESR,B862*DUMP2_ESL-1/(B862*DUMP2_C)))))</f>
        <v>0</v>
      </c>
      <c r="K862">
        <f>IMPRODUCT("2",IMDIV("1",IMSUM(IMDIV("1",COMPLEX(CMC_DCR,B862*CMC_L*(1-CMC_K))),COMPLEX(0,B862*CMC_CPA))))</f>
        <v>0</v>
      </c>
      <c r="L862">
        <f>IMSUM(COMPLEX(0,B862*CMC_CLINE),IMDIV("1",IMPRODUCT("2",COMPLEX(CY_ESR,B862*CY_ESL-1/(B862*CY_C)))),COMPLEX(1/DUMMY_R,0))</f>
        <v>0</v>
      </c>
      <c r="M862">
        <f>IMSUM(D862,IMDIV("1",C862))</f>
        <v>0</v>
      </c>
      <c r="N862">
        <f>IMDIV("1",IMSUM(E862,IMDIV("1",M862)))</f>
        <v>0</v>
      </c>
      <c r="O862">
        <f>IMSUM(F862,N862)</f>
        <v>0</v>
      </c>
      <c r="P862">
        <f>IMDIV("1",IMSUM(G862,IMDIV("1",O862)))</f>
        <v>0</v>
      </c>
      <c r="Q862">
        <f>IMSUM(H862,P862)</f>
        <v>0</v>
      </c>
      <c r="R862">
        <f>IMDIV("1",IMSUM(I862,IMDIV("1",Q862)))</f>
        <v>0</v>
      </c>
      <c r="S862">
        <f>IMSUM(J862,R862)</f>
        <v>0</v>
      </c>
      <c r="T862">
        <f>IMDIV("1",IMSUM(K862,IMDIV("1",S862)))</f>
        <v>0</v>
      </c>
      <c r="U862">
        <f>IMSUM(L862,T862)</f>
        <v>0</v>
      </c>
      <c r="V862">
        <f>IMDIV(COMPLEX(I_DM_SOURCE,0),U862)</f>
        <v>0</v>
      </c>
      <c r="W862">
        <f>IMPRODUCT(V862,T862)</f>
        <v>0</v>
      </c>
      <c r="X862">
        <f>IMDIV(W862,S862)</f>
        <v>0</v>
      </c>
      <c r="Y862">
        <f>IMPRODUCT(X862,R862)</f>
        <v>0</v>
      </c>
      <c r="Z862">
        <f>IMDIV(Y862,Q862)</f>
        <v>0</v>
      </c>
      <c r="AA862">
        <f>IMPRODUCT(Z862,P862)</f>
        <v>0</v>
      </c>
      <c r="AB862">
        <f>AA862</f>
        <v>0</v>
      </c>
      <c r="AC862">
        <f>IMPRODUCT("-1",AB862)</f>
        <v>0</v>
      </c>
      <c r="AD862">
        <f>IMDIV(IMSUB(AB862,AC862),"2")</f>
        <v>0</v>
      </c>
      <c r="AE862" s="6">
        <f>IMABS(AB862)</f>
        <v>0</v>
      </c>
      <c r="AF862" s="6">
        <f>IMABS(AC862)</f>
        <v>0</v>
      </c>
      <c r="AG862" s="6">
        <f>IMABS(AD862)</f>
        <v>0</v>
      </c>
      <c r="AH862" s="7">
        <f>20*LOG10(MAX(AE862,1E-300)*1E6)</f>
        <v>0</v>
      </c>
      <c r="AI862" s="7">
        <f>20*LOG10(MAX(AF862,1E-300)*1E6)</f>
        <v>0</v>
      </c>
      <c r="AJ862" s="7">
        <f>20*LOG10(MAX(AG862,1E-300)*1E6)</f>
        <v>0</v>
      </c>
      <c r="AK862" s="7">
        <f>DEGREES(IMARGUMENT(AB862))</f>
        <v>0</v>
      </c>
      <c r="AL862" s="7">
        <f>DEGREES(IMARGUMENT(AC862))</f>
        <v>0</v>
      </c>
      <c r="AM862" s="7">
        <f>DEGREES(IMARGUMENT(AD862))</f>
        <v>0</v>
      </c>
    </row>
    <row r="863" spans="1:39">
      <c r="A863" s="6">
        <f>10^(LOG10(F_START)+(ROW()-ROW($A$2))*(LOG10(F_STOP)-LOG10(F_START))/(N_POINTS-1))</f>
        <v>0</v>
      </c>
      <c r="B863" s="6">
        <f>2*PI()*A863</f>
        <v>0</v>
      </c>
      <c r="C863">
        <f>COMPLEX(2*LINE_PS_DCR,2*B863*LINE_PS_L)</f>
        <v>0</v>
      </c>
      <c r="D863">
        <f>IMSUM(COMPLEX(0,B863*(LINE_PS_CLINE+LINE_PS_CCHA/2)),IMDIV("1",IMPRODUCT("2",COMPLEX(C_THROUGH_ESR,B863*C_THROUGH_ESL-1/(B863*C_THROUGH_C)))))</f>
        <v>0</v>
      </c>
      <c r="E863">
        <f>COMPLEX(2*LINE_INPUT_DCR,2*B863*LINE_INPUT_L)</f>
        <v>0</v>
      </c>
      <c r="F863">
        <f>COMPLEX(0,B863*(LINE_INPUT_CLINE+LINE_INPUT_CCHA/2))</f>
        <v>0</v>
      </c>
      <c r="G863">
        <f>IMPRODUCT("2",IMDIV("1",IMSUM(IMDIV("1",COMPLEX(LDM1_DCR,B863*LDM1_L)),COMPLEX(0,B863*LDM1_CPA))))</f>
        <v>0</v>
      </c>
      <c r="H863">
        <f>IMSUM(IMDIV("1",COMPLEX(CX1_ESR,B863*CX1_ESL-1/(B863*CX1_C))),IMDIV("1",IMSUM(COMPLEX(DUMP1_R,0),COMPLEX(DUMP1_ESR,B863*DUMP1_ESL-1/(B863*DUMP1_C)))))</f>
        <v>0</v>
      </c>
      <c r="I863">
        <f>IMPRODUCT("2",IMDIV("1",IMSUM(IMDIV("1",COMPLEX(LDM2_DCR,B863*LDM2_L)),COMPLEX(0,B863*LDM2_CPA))))</f>
        <v>0</v>
      </c>
      <c r="J863">
        <f>IMSUM(IMDIV("1",COMPLEX(CX2_ESR,B863*CX2_ESL-1/(B863*CX2_C))),IMDIV("1",IMSUM(COMPLEX(DUMP2_R,0),COMPLEX(DUMP2_ESR,B863*DUMP2_ESL-1/(B863*DUMP2_C)))))</f>
        <v>0</v>
      </c>
      <c r="K863">
        <f>IMPRODUCT("2",IMDIV("1",IMSUM(IMDIV("1",COMPLEX(CMC_DCR,B863*CMC_L*(1-CMC_K))),COMPLEX(0,B863*CMC_CPA))))</f>
        <v>0</v>
      </c>
      <c r="L863">
        <f>IMSUM(COMPLEX(0,B863*CMC_CLINE),IMDIV("1",IMPRODUCT("2",COMPLEX(CY_ESR,B863*CY_ESL-1/(B863*CY_C)))),COMPLEX(1/DUMMY_R,0))</f>
        <v>0</v>
      </c>
      <c r="M863">
        <f>IMSUM(D863,IMDIV("1",C863))</f>
        <v>0</v>
      </c>
      <c r="N863">
        <f>IMDIV("1",IMSUM(E863,IMDIV("1",M863)))</f>
        <v>0</v>
      </c>
      <c r="O863">
        <f>IMSUM(F863,N863)</f>
        <v>0</v>
      </c>
      <c r="P863">
        <f>IMDIV("1",IMSUM(G863,IMDIV("1",O863)))</f>
        <v>0</v>
      </c>
      <c r="Q863">
        <f>IMSUM(H863,P863)</f>
        <v>0</v>
      </c>
      <c r="R863">
        <f>IMDIV("1",IMSUM(I863,IMDIV("1",Q863)))</f>
        <v>0</v>
      </c>
      <c r="S863">
        <f>IMSUM(J863,R863)</f>
        <v>0</v>
      </c>
      <c r="T863">
        <f>IMDIV("1",IMSUM(K863,IMDIV("1",S863)))</f>
        <v>0</v>
      </c>
      <c r="U863">
        <f>IMSUM(L863,T863)</f>
        <v>0</v>
      </c>
      <c r="V863">
        <f>IMDIV(COMPLEX(I_DM_SOURCE,0),U863)</f>
        <v>0</v>
      </c>
      <c r="W863">
        <f>IMPRODUCT(V863,T863)</f>
        <v>0</v>
      </c>
      <c r="X863">
        <f>IMDIV(W863,S863)</f>
        <v>0</v>
      </c>
      <c r="Y863">
        <f>IMPRODUCT(X863,R863)</f>
        <v>0</v>
      </c>
      <c r="Z863">
        <f>IMDIV(Y863,Q863)</f>
        <v>0</v>
      </c>
      <c r="AA863">
        <f>IMPRODUCT(Z863,P863)</f>
        <v>0</v>
      </c>
      <c r="AB863">
        <f>AA863</f>
        <v>0</v>
      </c>
      <c r="AC863">
        <f>IMPRODUCT("-1",AB863)</f>
        <v>0</v>
      </c>
      <c r="AD863">
        <f>IMDIV(IMSUB(AB863,AC863),"2")</f>
        <v>0</v>
      </c>
      <c r="AE863" s="6">
        <f>IMABS(AB863)</f>
        <v>0</v>
      </c>
      <c r="AF863" s="6">
        <f>IMABS(AC863)</f>
        <v>0</v>
      </c>
      <c r="AG863" s="6">
        <f>IMABS(AD863)</f>
        <v>0</v>
      </c>
      <c r="AH863" s="7">
        <f>20*LOG10(MAX(AE863,1E-300)*1E6)</f>
        <v>0</v>
      </c>
      <c r="AI863" s="7">
        <f>20*LOG10(MAX(AF863,1E-300)*1E6)</f>
        <v>0</v>
      </c>
      <c r="AJ863" s="7">
        <f>20*LOG10(MAX(AG863,1E-300)*1E6)</f>
        <v>0</v>
      </c>
      <c r="AK863" s="7">
        <f>DEGREES(IMARGUMENT(AB863))</f>
        <v>0</v>
      </c>
      <c r="AL863" s="7">
        <f>DEGREES(IMARGUMENT(AC863))</f>
        <v>0</v>
      </c>
      <c r="AM863" s="7">
        <f>DEGREES(IMARGUMENT(AD863))</f>
        <v>0</v>
      </c>
    </row>
    <row r="864" spans="1:39">
      <c r="A864" s="6">
        <f>10^(LOG10(F_START)+(ROW()-ROW($A$2))*(LOG10(F_STOP)-LOG10(F_START))/(N_POINTS-1))</f>
        <v>0</v>
      </c>
      <c r="B864" s="6">
        <f>2*PI()*A864</f>
        <v>0</v>
      </c>
      <c r="C864">
        <f>COMPLEX(2*LINE_PS_DCR,2*B864*LINE_PS_L)</f>
        <v>0</v>
      </c>
      <c r="D864">
        <f>IMSUM(COMPLEX(0,B864*(LINE_PS_CLINE+LINE_PS_CCHA/2)),IMDIV("1",IMPRODUCT("2",COMPLEX(C_THROUGH_ESR,B864*C_THROUGH_ESL-1/(B864*C_THROUGH_C)))))</f>
        <v>0</v>
      </c>
      <c r="E864">
        <f>COMPLEX(2*LINE_INPUT_DCR,2*B864*LINE_INPUT_L)</f>
        <v>0</v>
      </c>
      <c r="F864">
        <f>COMPLEX(0,B864*(LINE_INPUT_CLINE+LINE_INPUT_CCHA/2))</f>
        <v>0</v>
      </c>
      <c r="G864">
        <f>IMPRODUCT("2",IMDIV("1",IMSUM(IMDIV("1",COMPLEX(LDM1_DCR,B864*LDM1_L)),COMPLEX(0,B864*LDM1_CPA))))</f>
        <v>0</v>
      </c>
      <c r="H864">
        <f>IMSUM(IMDIV("1",COMPLEX(CX1_ESR,B864*CX1_ESL-1/(B864*CX1_C))),IMDIV("1",IMSUM(COMPLEX(DUMP1_R,0),COMPLEX(DUMP1_ESR,B864*DUMP1_ESL-1/(B864*DUMP1_C)))))</f>
        <v>0</v>
      </c>
      <c r="I864">
        <f>IMPRODUCT("2",IMDIV("1",IMSUM(IMDIV("1",COMPLEX(LDM2_DCR,B864*LDM2_L)),COMPLEX(0,B864*LDM2_CPA))))</f>
        <v>0</v>
      </c>
      <c r="J864">
        <f>IMSUM(IMDIV("1",COMPLEX(CX2_ESR,B864*CX2_ESL-1/(B864*CX2_C))),IMDIV("1",IMSUM(COMPLEX(DUMP2_R,0),COMPLEX(DUMP2_ESR,B864*DUMP2_ESL-1/(B864*DUMP2_C)))))</f>
        <v>0</v>
      </c>
      <c r="K864">
        <f>IMPRODUCT("2",IMDIV("1",IMSUM(IMDIV("1",COMPLEX(CMC_DCR,B864*CMC_L*(1-CMC_K))),COMPLEX(0,B864*CMC_CPA))))</f>
        <v>0</v>
      </c>
      <c r="L864">
        <f>IMSUM(COMPLEX(0,B864*CMC_CLINE),IMDIV("1",IMPRODUCT("2",COMPLEX(CY_ESR,B864*CY_ESL-1/(B864*CY_C)))),COMPLEX(1/DUMMY_R,0))</f>
        <v>0</v>
      </c>
      <c r="M864">
        <f>IMSUM(D864,IMDIV("1",C864))</f>
        <v>0</v>
      </c>
      <c r="N864">
        <f>IMDIV("1",IMSUM(E864,IMDIV("1",M864)))</f>
        <v>0</v>
      </c>
      <c r="O864">
        <f>IMSUM(F864,N864)</f>
        <v>0</v>
      </c>
      <c r="P864">
        <f>IMDIV("1",IMSUM(G864,IMDIV("1",O864)))</f>
        <v>0</v>
      </c>
      <c r="Q864">
        <f>IMSUM(H864,P864)</f>
        <v>0</v>
      </c>
      <c r="R864">
        <f>IMDIV("1",IMSUM(I864,IMDIV("1",Q864)))</f>
        <v>0</v>
      </c>
      <c r="S864">
        <f>IMSUM(J864,R864)</f>
        <v>0</v>
      </c>
      <c r="T864">
        <f>IMDIV("1",IMSUM(K864,IMDIV("1",S864)))</f>
        <v>0</v>
      </c>
      <c r="U864">
        <f>IMSUM(L864,T864)</f>
        <v>0</v>
      </c>
      <c r="V864">
        <f>IMDIV(COMPLEX(I_DM_SOURCE,0),U864)</f>
        <v>0</v>
      </c>
      <c r="W864">
        <f>IMPRODUCT(V864,T864)</f>
        <v>0</v>
      </c>
      <c r="X864">
        <f>IMDIV(W864,S864)</f>
        <v>0</v>
      </c>
      <c r="Y864">
        <f>IMPRODUCT(X864,R864)</f>
        <v>0</v>
      </c>
      <c r="Z864">
        <f>IMDIV(Y864,Q864)</f>
        <v>0</v>
      </c>
      <c r="AA864">
        <f>IMPRODUCT(Z864,P864)</f>
        <v>0</v>
      </c>
      <c r="AB864">
        <f>AA864</f>
        <v>0</v>
      </c>
      <c r="AC864">
        <f>IMPRODUCT("-1",AB864)</f>
        <v>0</v>
      </c>
      <c r="AD864">
        <f>IMDIV(IMSUB(AB864,AC864),"2")</f>
        <v>0</v>
      </c>
      <c r="AE864" s="6">
        <f>IMABS(AB864)</f>
        <v>0</v>
      </c>
      <c r="AF864" s="6">
        <f>IMABS(AC864)</f>
        <v>0</v>
      </c>
      <c r="AG864" s="6">
        <f>IMABS(AD864)</f>
        <v>0</v>
      </c>
      <c r="AH864" s="7">
        <f>20*LOG10(MAX(AE864,1E-300)*1E6)</f>
        <v>0</v>
      </c>
      <c r="AI864" s="7">
        <f>20*LOG10(MAX(AF864,1E-300)*1E6)</f>
        <v>0</v>
      </c>
      <c r="AJ864" s="7">
        <f>20*LOG10(MAX(AG864,1E-300)*1E6)</f>
        <v>0</v>
      </c>
      <c r="AK864" s="7">
        <f>DEGREES(IMARGUMENT(AB864))</f>
        <v>0</v>
      </c>
      <c r="AL864" s="7">
        <f>DEGREES(IMARGUMENT(AC864))</f>
        <v>0</v>
      </c>
      <c r="AM864" s="7">
        <f>DEGREES(IMARGUMENT(AD864))</f>
        <v>0</v>
      </c>
    </row>
    <row r="865" spans="1:39">
      <c r="A865" s="6">
        <f>10^(LOG10(F_START)+(ROW()-ROW($A$2))*(LOG10(F_STOP)-LOG10(F_START))/(N_POINTS-1))</f>
        <v>0</v>
      </c>
      <c r="B865" s="6">
        <f>2*PI()*A865</f>
        <v>0</v>
      </c>
      <c r="C865">
        <f>COMPLEX(2*LINE_PS_DCR,2*B865*LINE_PS_L)</f>
        <v>0</v>
      </c>
      <c r="D865">
        <f>IMSUM(COMPLEX(0,B865*(LINE_PS_CLINE+LINE_PS_CCHA/2)),IMDIV("1",IMPRODUCT("2",COMPLEX(C_THROUGH_ESR,B865*C_THROUGH_ESL-1/(B865*C_THROUGH_C)))))</f>
        <v>0</v>
      </c>
      <c r="E865">
        <f>COMPLEX(2*LINE_INPUT_DCR,2*B865*LINE_INPUT_L)</f>
        <v>0</v>
      </c>
      <c r="F865">
        <f>COMPLEX(0,B865*(LINE_INPUT_CLINE+LINE_INPUT_CCHA/2))</f>
        <v>0</v>
      </c>
      <c r="G865">
        <f>IMPRODUCT("2",IMDIV("1",IMSUM(IMDIV("1",COMPLEX(LDM1_DCR,B865*LDM1_L)),COMPLEX(0,B865*LDM1_CPA))))</f>
        <v>0</v>
      </c>
      <c r="H865">
        <f>IMSUM(IMDIV("1",COMPLEX(CX1_ESR,B865*CX1_ESL-1/(B865*CX1_C))),IMDIV("1",IMSUM(COMPLEX(DUMP1_R,0),COMPLEX(DUMP1_ESR,B865*DUMP1_ESL-1/(B865*DUMP1_C)))))</f>
        <v>0</v>
      </c>
      <c r="I865">
        <f>IMPRODUCT("2",IMDIV("1",IMSUM(IMDIV("1",COMPLEX(LDM2_DCR,B865*LDM2_L)),COMPLEX(0,B865*LDM2_CPA))))</f>
        <v>0</v>
      </c>
      <c r="J865">
        <f>IMSUM(IMDIV("1",COMPLEX(CX2_ESR,B865*CX2_ESL-1/(B865*CX2_C))),IMDIV("1",IMSUM(COMPLEX(DUMP2_R,0),COMPLEX(DUMP2_ESR,B865*DUMP2_ESL-1/(B865*DUMP2_C)))))</f>
        <v>0</v>
      </c>
      <c r="K865">
        <f>IMPRODUCT("2",IMDIV("1",IMSUM(IMDIV("1",COMPLEX(CMC_DCR,B865*CMC_L*(1-CMC_K))),COMPLEX(0,B865*CMC_CPA))))</f>
        <v>0</v>
      </c>
      <c r="L865">
        <f>IMSUM(COMPLEX(0,B865*CMC_CLINE),IMDIV("1",IMPRODUCT("2",COMPLEX(CY_ESR,B865*CY_ESL-1/(B865*CY_C)))),COMPLEX(1/DUMMY_R,0))</f>
        <v>0</v>
      </c>
      <c r="M865">
        <f>IMSUM(D865,IMDIV("1",C865))</f>
        <v>0</v>
      </c>
      <c r="N865">
        <f>IMDIV("1",IMSUM(E865,IMDIV("1",M865)))</f>
        <v>0</v>
      </c>
      <c r="O865">
        <f>IMSUM(F865,N865)</f>
        <v>0</v>
      </c>
      <c r="P865">
        <f>IMDIV("1",IMSUM(G865,IMDIV("1",O865)))</f>
        <v>0</v>
      </c>
      <c r="Q865">
        <f>IMSUM(H865,P865)</f>
        <v>0</v>
      </c>
      <c r="R865">
        <f>IMDIV("1",IMSUM(I865,IMDIV("1",Q865)))</f>
        <v>0</v>
      </c>
      <c r="S865">
        <f>IMSUM(J865,R865)</f>
        <v>0</v>
      </c>
      <c r="T865">
        <f>IMDIV("1",IMSUM(K865,IMDIV("1",S865)))</f>
        <v>0</v>
      </c>
      <c r="U865">
        <f>IMSUM(L865,T865)</f>
        <v>0</v>
      </c>
      <c r="V865">
        <f>IMDIV(COMPLEX(I_DM_SOURCE,0),U865)</f>
        <v>0</v>
      </c>
      <c r="W865">
        <f>IMPRODUCT(V865,T865)</f>
        <v>0</v>
      </c>
      <c r="X865">
        <f>IMDIV(W865,S865)</f>
        <v>0</v>
      </c>
      <c r="Y865">
        <f>IMPRODUCT(X865,R865)</f>
        <v>0</v>
      </c>
      <c r="Z865">
        <f>IMDIV(Y865,Q865)</f>
        <v>0</v>
      </c>
      <c r="AA865">
        <f>IMPRODUCT(Z865,P865)</f>
        <v>0</v>
      </c>
      <c r="AB865">
        <f>AA865</f>
        <v>0</v>
      </c>
      <c r="AC865">
        <f>IMPRODUCT("-1",AB865)</f>
        <v>0</v>
      </c>
      <c r="AD865">
        <f>IMDIV(IMSUB(AB865,AC865),"2")</f>
        <v>0</v>
      </c>
      <c r="AE865" s="6">
        <f>IMABS(AB865)</f>
        <v>0</v>
      </c>
      <c r="AF865" s="6">
        <f>IMABS(AC865)</f>
        <v>0</v>
      </c>
      <c r="AG865" s="6">
        <f>IMABS(AD865)</f>
        <v>0</v>
      </c>
      <c r="AH865" s="7">
        <f>20*LOG10(MAX(AE865,1E-300)*1E6)</f>
        <v>0</v>
      </c>
      <c r="AI865" s="7">
        <f>20*LOG10(MAX(AF865,1E-300)*1E6)</f>
        <v>0</v>
      </c>
      <c r="AJ865" s="7">
        <f>20*LOG10(MAX(AG865,1E-300)*1E6)</f>
        <v>0</v>
      </c>
      <c r="AK865" s="7">
        <f>DEGREES(IMARGUMENT(AB865))</f>
        <v>0</v>
      </c>
      <c r="AL865" s="7">
        <f>DEGREES(IMARGUMENT(AC865))</f>
        <v>0</v>
      </c>
      <c r="AM865" s="7">
        <f>DEGREES(IMARGUMENT(AD865))</f>
        <v>0</v>
      </c>
    </row>
    <row r="866" spans="1:39">
      <c r="A866" s="6">
        <f>10^(LOG10(F_START)+(ROW()-ROW($A$2))*(LOG10(F_STOP)-LOG10(F_START))/(N_POINTS-1))</f>
        <v>0</v>
      </c>
      <c r="B866" s="6">
        <f>2*PI()*A866</f>
        <v>0</v>
      </c>
      <c r="C866">
        <f>COMPLEX(2*LINE_PS_DCR,2*B866*LINE_PS_L)</f>
        <v>0</v>
      </c>
      <c r="D866">
        <f>IMSUM(COMPLEX(0,B866*(LINE_PS_CLINE+LINE_PS_CCHA/2)),IMDIV("1",IMPRODUCT("2",COMPLEX(C_THROUGH_ESR,B866*C_THROUGH_ESL-1/(B866*C_THROUGH_C)))))</f>
        <v>0</v>
      </c>
      <c r="E866">
        <f>COMPLEX(2*LINE_INPUT_DCR,2*B866*LINE_INPUT_L)</f>
        <v>0</v>
      </c>
      <c r="F866">
        <f>COMPLEX(0,B866*(LINE_INPUT_CLINE+LINE_INPUT_CCHA/2))</f>
        <v>0</v>
      </c>
      <c r="G866">
        <f>IMPRODUCT("2",IMDIV("1",IMSUM(IMDIV("1",COMPLEX(LDM1_DCR,B866*LDM1_L)),COMPLEX(0,B866*LDM1_CPA))))</f>
        <v>0</v>
      </c>
      <c r="H866">
        <f>IMSUM(IMDIV("1",COMPLEX(CX1_ESR,B866*CX1_ESL-1/(B866*CX1_C))),IMDIV("1",IMSUM(COMPLEX(DUMP1_R,0),COMPLEX(DUMP1_ESR,B866*DUMP1_ESL-1/(B866*DUMP1_C)))))</f>
        <v>0</v>
      </c>
      <c r="I866">
        <f>IMPRODUCT("2",IMDIV("1",IMSUM(IMDIV("1",COMPLEX(LDM2_DCR,B866*LDM2_L)),COMPLEX(0,B866*LDM2_CPA))))</f>
        <v>0</v>
      </c>
      <c r="J866">
        <f>IMSUM(IMDIV("1",COMPLEX(CX2_ESR,B866*CX2_ESL-1/(B866*CX2_C))),IMDIV("1",IMSUM(COMPLEX(DUMP2_R,0),COMPLEX(DUMP2_ESR,B866*DUMP2_ESL-1/(B866*DUMP2_C)))))</f>
        <v>0</v>
      </c>
      <c r="K866">
        <f>IMPRODUCT("2",IMDIV("1",IMSUM(IMDIV("1",COMPLEX(CMC_DCR,B866*CMC_L*(1-CMC_K))),COMPLEX(0,B866*CMC_CPA))))</f>
        <v>0</v>
      </c>
      <c r="L866">
        <f>IMSUM(COMPLEX(0,B866*CMC_CLINE),IMDIV("1",IMPRODUCT("2",COMPLEX(CY_ESR,B866*CY_ESL-1/(B866*CY_C)))),COMPLEX(1/DUMMY_R,0))</f>
        <v>0</v>
      </c>
      <c r="M866">
        <f>IMSUM(D866,IMDIV("1",C866))</f>
        <v>0</v>
      </c>
      <c r="N866">
        <f>IMDIV("1",IMSUM(E866,IMDIV("1",M866)))</f>
        <v>0</v>
      </c>
      <c r="O866">
        <f>IMSUM(F866,N866)</f>
        <v>0</v>
      </c>
      <c r="P866">
        <f>IMDIV("1",IMSUM(G866,IMDIV("1",O866)))</f>
        <v>0</v>
      </c>
      <c r="Q866">
        <f>IMSUM(H866,P866)</f>
        <v>0</v>
      </c>
      <c r="R866">
        <f>IMDIV("1",IMSUM(I866,IMDIV("1",Q866)))</f>
        <v>0</v>
      </c>
      <c r="S866">
        <f>IMSUM(J866,R866)</f>
        <v>0</v>
      </c>
      <c r="T866">
        <f>IMDIV("1",IMSUM(K866,IMDIV("1",S866)))</f>
        <v>0</v>
      </c>
      <c r="U866">
        <f>IMSUM(L866,T866)</f>
        <v>0</v>
      </c>
      <c r="V866">
        <f>IMDIV(COMPLEX(I_DM_SOURCE,0),U866)</f>
        <v>0</v>
      </c>
      <c r="W866">
        <f>IMPRODUCT(V866,T866)</f>
        <v>0</v>
      </c>
      <c r="X866">
        <f>IMDIV(W866,S866)</f>
        <v>0</v>
      </c>
      <c r="Y866">
        <f>IMPRODUCT(X866,R866)</f>
        <v>0</v>
      </c>
      <c r="Z866">
        <f>IMDIV(Y866,Q866)</f>
        <v>0</v>
      </c>
      <c r="AA866">
        <f>IMPRODUCT(Z866,P866)</f>
        <v>0</v>
      </c>
      <c r="AB866">
        <f>AA866</f>
        <v>0</v>
      </c>
      <c r="AC866">
        <f>IMPRODUCT("-1",AB866)</f>
        <v>0</v>
      </c>
      <c r="AD866">
        <f>IMDIV(IMSUB(AB866,AC866),"2")</f>
        <v>0</v>
      </c>
      <c r="AE866" s="6">
        <f>IMABS(AB866)</f>
        <v>0</v>
      </c>
      <c r="AF866" s="6">
        <f>IMABS(AC866)</f>
        <v>0</v>
      </c>
      <c r="AG866" s="6">
        <f>IMABS(AD866)</f>
        <v>0</v>
      </c>
      <c r="AH866" s="7">
        <f>20*LOG10(MAX(AE866,1E-300)*1E6)</f>
        <v>0</v>
      </c>
      <c r="AI866" s="7">
        <f>20*LOG10(MAX(AF866,1E-300)*1E6)</f>
        <v>0</v>
      </c>
      <c r="AJ866" s="7">
        <f>20*LOG10(MAX(AG866,1E-300)*1E6)</f>
        <v>0</v>
      </c>
      <c r="AK866" s="7">
        <f>DEGREES(IMARGUMENT(AB866))</f>
        <v>0</v>
      </c>
      <c r="AL866" s="7">
        <f>DEGREES(IMARGUMENT(AC866))</f>
        <v>0</v>
      </c>
      <c r="AM866" s="7">
        <f>DEGREES(IMARGUMENT(AD866))</f>
        <v>0</v>
      </c>
    </row>
    <row r="867" spans="1:39">
      <c r="A867" s="6">
        <f>10^(LOG10(F_START)+(ROW()-ROW($A$2))*(LOG10(F_STOP)-LOG10(F_START))/(N_POINTS-1))</f>
        <v>0</v>
      </c>
      <c r="B867" s="6">
        <f>2*PI()*A867</f>
        <v>0</v>
      </c>
      <c r="C867">
        <f>COMPLEX(2*LINE_PS_DCR,2*B867*LINE_PS_L)</f>
        <v>0</v>
      </c>
      <c r="D867">
        <f>IMSUM(COMPLEX(0,B867*(LINE_PS_CLINE+LINE_PS_CCHA/2)),IMDIV("1",IMPRODUCT("2",COMPLEX(C_THROUGH_ESR,B867*C_THROUGH_ESL-1/(B867*C_THROUGH_C)))))</f>
        <v>0</v>
      </c>
      <c r="E867">
        <f>COMPLEX(2*LINE_INPUT_DCR,2*B867*LINE_INPUT_L)</f>
        <v>0</v>
      </c>
      <c r="F867">
        <f>COMPLEX(0,B867*(LINE_INPUT_CLINE+LINE_INPUT_CCHA/2))</f>
        <v>0</v>
      </c>
      <c r="G867">
        <f>IMPRODUCT("2",IMDIV("1",IMSUM(IMDIV("1",COMPLEX(LDM1_DCR,B867*LDM1_L)),COMPLEX(0,B867*LDM1_CPA))))</f>
        <v>0</v>
      </c>
      <c r="H867">
        <f>IMSUM(IMDIV("1",COMPLEX(CX1_ESR,B867*CX1_ESL-1/(B867*CX1_C))),IMDIV("1",IMSUM(COMPLEX(DUMP1_R,0),COMPLEX(DUMP1_ESR,B867*DUMP1_ESL-1/(B867*DUMP1_C)))))</f>
        <v>0</v>
      </c>
      <c r="I867">
        <f>IMPRODUCT("2",IMDIV("1",IMSUM(IMDIV("1",COMPLEX(LDM2_DCR,B867*LDM2_L)),COMPLEX(0,B867*LDM2_CPA))))</f>
        <v>0</v>
      </c>
      <c r="J867">
        <f>IMSUM(IMDIV("1",COMPLEX(CX2_ESR,B867*CX2_ESL-1/(B867*CX2_C))),IMDIV("1",IMSUM(COMPLEX(DUMP2_R,0),COMPLEX(DUMP2_ESR,B867*DUMP2_ESL-1/(B867*DUMP2_C)))))</f>
        <v>0</v>
      </c>
      <c r="K867">
        <f>IMPRODUCT("2",IMDIV("1",IMSUM(IMDIV("1",COMPLEX(CMC_DCR,B867*CMC_L*(1-CMC_K))),COMPLEX(0,B867*CMC_CPA))))</f>
        <v>0</v>
      </c>
      <c r="L867">
        <f>IMSUM(COMPLEX(0,B867*CMC_CLINE),IMDIV("1",IMPRODUCT("2",COMPLEX(CY_ESR,B867*CY_ESL-1/(B867*CY_C)))),COMPLEX(1/DUMMY_R,0))</f>
        <v>0</v>
      </c>
      <c r="M867">
        <f>IMSUM(D867,IMDIV("1",C867))</f>
        <v>0</v>
      </c>
      <c r="N867">
        <f>IMDIV("1",IMSUM(E867,IMDIV("1",M867)))</f>
        <v>0</v>
      </c>
      <c r="O867">
        <f>IMSUM(F867,N867)</f>
        <v>0</v>
      </c>
      <c r="P867">
        <f>IMDIV("1",IMSUM(G867,IMDIV("1",O867)))</f>
        <v>0</v>
      </c>
      <c r="Q867">
        <f>IMSUM(H867,P867)</f>
        <v>0</v>
      </c>
      <c r="R867">
        <f>IMDIV("1",IMSUM(I867,IMDIV("1",Q867)))</f>
        <v>0</v>
      </c>
      <c r="S867">
        <f>IMSUM(J867,R867)</f>
        <v>0</v>
      </c>
      <c r="T867">
        <f>IMDIV("1",IMSUM(K867,IMDIV("1",S867)))</f>
        <v>0</v>
      </c>
      <c r="U867">
        <f>IMSUM(L867,T867)</f>
        <v>0</v>
      </c>
      <c r="V867">
        <f>IMDIV(COMPLEX(I_DM_SOURCE,0),U867)</f>
        <v>0</v>
      </c>
      <c r="W867">
        <f>IMPRODUCT(V867,T867)</f>
        <v>0</v>
      </c>
      <c r="X867">
        <f>IMDIV(W867,S867)</f>
        <v>0</v>
      </c>
      <c r="Y867">
        <f>IMPRODUCT(X867,R867)</f>
        <v>0</v>
      </c>
      <c r="Z867">
        <f>IMDIV(Y867,Q867)</f>
        <v>0</v>
      </c>
      <c r="AA867">
        <f>IMPRODUCT(Z867,P867)</f>
        <v>0</v>
      </c>
      <c r="AB867">
        <f>AA867</f>
        <v>0</v>
      </c>
      <c r="AC867">
        <f>IMPRODUCT("-1",AB867)</f>
        <v>0</v>
      </c>
      <c r="AD867">
        <f>IMDIV(IMSUB(AB867,AC867),"2")</f>
        <v>0</v>
      </c>
      <c r="AE867" s="6">
        <f>IMABS(AB867)</f>
        <v>0</v>
      </c>
      <c r="AF867" s="6">
        <f>IMABS(AC867)</f>
        <v>0</v>
      </c>
      <c r="AG867" s="6">
        <f>IMABS(AD867)</f>
        <v>0</v>
      </c>
      <c r="AH867" s="7">
        <f>20*LOG10(MAX(AE867,1E-300)*1E6)</f>
        <v>0</v>
      </c>
      <c r="AI867" s="7">
        <f>20*LOG10(MAX(AF867,1E-300)*1E6)</f>
        <v>0</v>
      </c>
      <c r="AJ867" s="7">
        <f>20*LOG10(MAX(AG867,1E-300)*1E6)</f>
        <v>0</v>
      </c>
      <c r="AK867" s="7">
        <f>DEGREES(IMARGUMENT(AB867))</f>
        <v>0</v>
      </c>
      <c r="AL867" s="7">
        <f>DEGREES(IMARGUMENT(AC867))</f>
        <v>0</v>
      </c>
      <c r="AM867" s="7">
        <f>DEGREES(IMARGUMENT(AD867))</f>
        <v>0</v>
      </c>
    </row>
    <row r="868" spans="1:39">
      <c r="A868" s="6">
        <f>10^(LOG10(F_START)+(ROW()-ROW($A$2))*(LOG10(F_STOP)-LOG10(F_START))/(N_POINTS-1))</f>
        <v>0</v>
      </c>
      <c r="B868" s="6">
        <f>2*PI()*A868</f>
        <v>0</v>
      </c>
      <c r="C868">
        <f>COMPLEX(2*LINE_PS_DCR,2*B868*LINE_PS_L)</f>
        <v>0</v>
      </c>
      <c r="D868">
        <f>IMSUM(COMPLEX(0,B868*(LINE_PS_CLINE+LINE_PS_CCHA/2)),IMDIV("1",IMPRODUCT("2",COMPLEX(C_THROUGH_ESR,B868*C_THROUGH_ESL-1/(B868*C_THROUGH_C)))))</f>
        <v>0</v>
      </c>
      <c r="E868">
        <f>COMPLEX(2*LINE_INPUT_DCR,2*B868*LINE_INPUT_L)</f>
        <v>0</v>
      </c>
      <c r="F868">
        <f>COMPLEX(0,B868*(LINE_INPUT_CLINE+LINE_INPUT_CCHA/2))</f>
        <v>0</v>
      </c>
      <c r="G868">
        <f>IMPRODUCT("2",IMDIV("1",IMSUM(IMDIV("1",COMPLEX(LDM1_DCR,B868*LDM1_L)),COMPLEX(0,B868*LDM1_CPA))))</f>
        <v>0</v>
      </c>
      <c r="H868">
        <f>IMSUM(IMDIV("1",COMPLEX(CX1_ESR,B868*CX1_ESL-1/(B868*CX1_C))),IMDIV("1",IMSUM(COMPLEX(DUMP1_R,0),COMPLEX(DUMP1_ESR,B868*DUMP1_ESL-1/(B868*DUMP1_C)))))</f>
        <v>0</v>
      </c>
      <c r="I868">
        <f>IMPRODUCT("2",IMDIV("1",IMSUM(IMDIV("1",COMPLEX(LDM2_DCR,B868*LDM2_L)),COMPLEX(0,B868*LDM2_CPA))))</f>
        <v>0</v>
      </c>
      <c r="J868">
        <f>IMSUM(IMDIV("1",COMPLEX(CX2_ESR,B868*CX2_ESL-1/(B868*CX2_C))),IMDIV("1",IMSUM(COMPLEX(DUMP2_R,0),COMPLEX(DUMP2_ESR,B868*DUMP2_ESL-1/(B868*DUMP2_C)))))</f>
        <v>0</v>
      </c>
      <c r="K868">
        <f>IMPRODUCT("2",IMDIV("1",IMSUM(IMDIV("1",COMPLEX(CMC_DCR,B868*CMC_L*(1-CMC_K))),COMPLEX(0,B868*CMC_CPA))))</f>
        <v>0</v>
      </c>
      <c r="L868">
        <f>IMSUM(COMPLEX(0,B868*CMC_CLINE),IMDIV("1",IMPRODUCT("2",COMPLEX(CY_ESR,B868*CY_ESL-1/(B868*CY_C)))),COMPLEX(1/DUMMY_R,0))</f>
        <v>0</v>
      </c>
      <c r="M868">
        <f>IMSUM(D868,IMDIV("1",C868))</f>
        <v>0</v>
      </c>
      <c r="N868">
        <f>IMDIV("1",IMSUM(E868,IMDIV("1",M868)))</f>
        <v>0</v>
      </c>
      <c r="O868">
        <f>IMSUM(F868,N868)</f>
        <v>0</v>
      </c>
      <c r="P868">
        <f>IMDIV("1",IMSUM(G868,IMDIV("1",O868)))</f>
        <v>0</v>
      </c>
      <c r="Q868">
        <f>IMSUM(H868,P868)</f>
        <v>0</v>
      </c>
      <c r="R868">
        <f>IMDIV("1",IMSUM(I868,IMDIV("1",Q868)))</f>
        <v>0</v>
      </c>
      <c r="S868">
        <f>IMSUM(J868,R868)</f>
        <v>0</v>
      </c>
      <c r="T868">
        <f>IMDIV("1",IMSUM(K868,IMDIV("1",S868)))</f>
        <v>0</v>
      </c>
      <c r="U868">
        <f>IMSUM(L868,T868)</f>
        <v>0</v>
      </c>
      <c r="V868">
        <f>IMDIV(COMPLEX(I_DM_SOURCE,0),U868)</f>
        <v>0</v>
      </c>
      <c r="W868">
        <f>IMPRODUCT(V868,T868)</f>
        <v>0</v>
      </c>
      <c r="X868">
        <f>IMDIV(W868,S868)</f>
        <v>0</v>
      </c>
      <c r="Y868">
        <f>IMPRODUCT(X868,R868)</f>
        <v>0</v>
      </c>
      <c r="Z868">
        <f>IMDIV(Y868,Q868)</f>
        <v>0</v>
      </c>
      <c r="AA868">
        <f>IMPRODUCT(Z868,P868)</f>
        <v>0</v>
      </c>
      <c r="AB868">
        <f>AA868</f>
        <v>0</v>
      </c>
      <c r="AC868">
        <f>IMPRODUCT("-1",AB868)</f>
        <v>0</v>
      </c>
      <c r="AD868">
        <f>IMDIV(IMSUB(AB868,AC868),"2")</f>
        <v>0</v>
      </c>
      <c r="AE868" s="6">
        <f>IMABS(AB868)</f>
        <v>0</v>
      </c>
      <c r="AF868" s="6">
        <f>IMABS(AC868)</f>
        <v>0</v>
      </c>
      <c r="AG868" s="6">
        <f>IMABS(AD868)</f>
        <v>0</v>
      </c>
      <c r="AH868" s="7">
        <f>20*LOG10(MAX(AE868,1E-300)*1E6)</f>
        <v>0</v>
      </c>
      <c r="AI868" s="7">
        <f>20*LOG10(MAX(AF868,1E-300)*1E6)</f>
        <v>0</v>
      </c>
      <c r="AJ868" s="7">
        <f>20*LOG10(MAX(AG868,1E-300)*1E6)</f>
        <v>0</v>
      </c>
      <c r="AK868" s="7">
        <f>DEGREES(IMARGUMENT(AB868))</f>
        <v>0</v>
      </c>
      <c r="AL868" s="7">
        <f>DEGREES(IMARGUMENT(AC868))</f>
        <v>0</v>
      </c>
      <c r="AM868" s="7">
        <f>DEGREES(IMARGUMENT(AD868))</f>
        <v>0</v>
      </c>
    </row>
    <row r="869" spans="1:39">
      <c r="A869" s="6">
        <f>10^(LOG10(F_START)+(ROW()-ROW($A$2))*(LOG10(F_STOP)-LOG10(F_START))/(N_POINTS-1))</f>
        <v>0</v>
      </c>
      <c r="B869" s="6">
        <f>2*PI()*A869</f>
        <v>0</v>
      </c>
      <c r="C869">
        <f>COMPLEX(2*LINE_PS_DCR,2*B869*LINE_PS_L)</f>
        <v>0</v>
      </c>
      <c r="D869">
        <f>IMSUM(COMPLEX(0,B869*(LINE_PS_CLINE+LINE_PS_CCHA/2)),IMDIV("1",IMPRODUCT("2",COMPLEX(C_THROUGH_ESR,B869*C_THROUGH_ESL-1/(B869*C_THROUGH_C)))))</f>
        <v>0</v>
      </c>
      <c r="E869">
        <f>COMPLEX(2*LINE_INPUT_DCR,2*B869*LINE_INPUT_L)</f>
        <v>0</v>
      </c>
      <c r="F869">
        <f>COMPLEX(0,B869*(LINE_INPUT_CLINE+LINE_INPUT_CCHA/2))</f>
        <v>0</v>
      </c>
      <c r="G869">
        <f>IMPRODUCT("2",IMDIV("1",IMSUM(IMDIV("1",COMPLEX(LDM1_DCR,B869*LDM1_L)),COMPLEX(0,B869*LDM1_CPA))))</f>
        <v>0</v>
      </c>
      <c r="H869">
        <f>IMSUM(IMDIV("1",COMPLEX(CX1_ESR,B869*CX1_ESL-1/(B869*CX1_C))),IMDIV("1",IMSUM(COMPLEX(DUMP1_R,0),COMPLEX(DUMP1_ESR,B869*DUMP1_ESL-1/(B869*DUMP1_C)))))</f>
        <v>0</v>
      </c>
      <c r="I869">
        <f>IMPRODUCT("2",IMDIV("1",IMSUM(IMDIV("1",COMPLEX(LDM2_DCR,B869*LDM2_L)),COMPLEX(0,B869*LDM2_CPA))))</f>
        <v>0</v>
      </c>
      <c r="J869">
        <f>IMSUM(IMDIV("1",COMPLEX(CX2_ESR,B869*CX2_ESL-1/(B869*CX2_C))),IMDIV("1",IMSUM(COMPLEX(DUMP2_R,0),COMPLEX(DUMP2_ESR,B869*DUMP2_ESL-1/(B869*DUMP2_C)))))</f>
        <v>0</v>
      </c>
      <c r="K869">
        <f>IMPRODUCT("2",IMDIV("1",IMSUM(IMDIV("1",COMPLEX(CMC_DCR,B869*CMC_L*(1-CMC_K))),COMPLEX(0,B869*CMC_CPA))))</f>
        <v>0</v>
      </c>
      <c r="L869">
        <f>IMSUM(COMPLEX(0,B869*CMC_CLINE),IMDIV("1",IMPRODUCT("2",COMPLEX(CY_ESR,B869*CY_ESL-1/(B869*CY_C)))),COMPLEX(1/DUMMY_R,0))</f>
        <v>0</v>
      </c>
      <c r="M869">
        <f>IMSUM(D869,IMDIV("1",C869))</f>
        <v>0</v>
      </c>
      <c r="N869">
        <f>IMDIV("1",IMSUM(E869,IMDIV("1",M869)))</f>
        <v>0</v>
      </c>
      <c r="O869">
        <f>IMSUM(F869,N869)</f>
        <v>0</v>
      </c>
      <c r="P869">
        <f>IMDIV("1",IMSUM(G869,IMDIV("1",O869)))</f>
        <v>0</v>
      </c>
      <c r="Q869">
        <f>IMSUM(H869,P869)</f>
        <v>0</v>
      </c>
      <c r="R869">
        <f>IMDIV("1",IMSUM(I869,IMDIV("1",Q869)))</f>
        <v>0</v>
      </c>
      <c r="S869">
        <f>IMSUM(J869,R869)</f>
        <v>0</v>
      </c>
      <c r="T869">
        <f>IMDIV("1",IMSUM(K869,IMDIV("1",S869)))</f>
        <v>0</v>
      </c>
      <c r="U869">
        <f>IMSUM(L869,T869)</f>
        <v>0</v>
      </c>
      <c r="V869">
        <f>IMDIV(COMPLEX(I_DM_SOURCE,0),U869)</f>
        <v>0</v>
      </c>
      <c r="W869">
        <f>IMPRODUCT(V869,T869)</f>
        <v>0</v>
      </c>
      <c r="X869">
        <f>IMDIV(W869,S869)</f>
        <v>0</v>
      </c>
      <c r="Y869">
        <f>IMPRODUCT(X869,R869)</f>
        <v>0</v>
      </c>
      <c r="Z869">
        <f>IMDIV(Y869,Q869)</f>
        <v>0</v>
      </c>
      <c r="AA869">
        <f>IMPRODUCT(Z869,P869)</f>
        <v>0</v>
      </c>
      <c r="AB869">
        <f>AA869</f>
        <v>0</v>
      </c>
      <c r="AC869">
        <f>IMPRODUCT("-1",AB869)</f>
        <v>0</v>
      </c>
      <c r="AD869">
        <f>IMDIV(IMSUB(AB869,AC869),"2")</f>
        <v>0</v>
      </c>
      <c r="AE869" s="6">
        <f>IMABS(AB869)</f>
        <v>0</v>
      </c>
      <c r="AF869" s="6">
        <f>IMABS(AC869)</f>
        <v>0</v>
      </c>
      <c r="AG869" s="6">
        <f>IMABS(AD869)</f>
        <v>0</v>
      </c>
      <c r="AH869" s="7">
        <f>20*LOG10(MAX(AE869,1E-300)*1E6)</f>
        <v>0</v>
      </c>
      <c r="AI869" s="7">
        <f>20*LOG10(MAX(AF869,1E-300)*1E6)</f>
        <v>0</v>
      </c>
      <c r="AJ869" s="7">
        <f>20*LOG10(MAX(AG869,1E-300)*1E6)</f>
        <v>0</v>
      </c>
      <c r="AK869" s="7">
        <f>DEGREES(IMARGUMENT(AB869))</f>
        <v>0</v>
      </c>
      <c r="AL869" s="7">
        <f>DEGREES(IMARGUMENT(AC869))</f>
        <v>0</v>
      </c>
      <c r="AM869" s="7">
        <f>DEGREES(IMARGUMENT(AD869))</f>
        <v>0</v>
      </c>
    </row>
    <row r="870" spans="1:39">
      <c r="A870" s="6">
        <f>10^(LOG10(F_START)+(ROW()-ROW($A$2))*(LOG10(F_STOP)-LOG10(F_START))/(N_POINTS-1))</f>
        <v>0</v>
      </c>
      <c r="B870" s="6">
        <f>2*PI()*A870</f>
        <v>0</v>
      </c>
      <c r="C870">
        <f>COMPLEX(2*LINE_PS_DCR,2*B870*LINE_PS_L)</f>
        <v>0</v>
      </c>
      <c r="D870">
        <f>IMSUM(COMPLEX(0,B870*(LINE_PS_CLINE+LINE_PS_CCHA/2)),IMDIV("1",IMPRODUCT("2",COMPLEX(C_THROUGH_ESR,B870*C_THROUGH_ESL-1/(B870*C_THROUGH_C)))))</f>
        <v>0</v>
      </c>
      <c r="E870">
        <f>COMPLEX(2*LINE_INPUT_DCR,2*B870*LINE_INPUT_L)</f>
        <v>0</v>
      </c>
      <c r="F870">
        <f>COMPLEX(0,B870*(LINE_INPUT_CLINE+LINE_INPUT_CCHA/2))</f>
        <v>0</v>
      </c>
      <c r="G870">
        <f>IMPRODUCT("2",IMDIV("1",IMSUM(IMDIV("1",COMPLEX(LDM1_DCR,B870*LDM1_L)),COMPLEX(0,B870*LDM1_CPA))))</f>
        <v>0</v>
      </c>
      <c r="H870">
        <f>IMSUM(IMDIV("1",COMPLEX(CX1_ESR,B870*CX1_ESL-1/(B870*CX1_C))),IMDIV("1",IMSUM(COMPLEX(DUMP1_R,0),COMPLEX(DUMP1_ESR,B870*DUMP1_ESL-1/(B870*DUMP1_C)))))</f>
        <v>0</v>
      </c>
      <c r="I870">
        <f>IMPRODUCT("2",IMDIV("1",IMSUM(IMDIV("1",COMPLEX(LDM2_DCR,B870*LDM2_L)),COMPLEX(0,B870*LDM2_CPA))))</f>
        <v>0</v>
      </c>
      <c r="J870">
        <f>IMSUM(IMDIV("1",COMPLEX(CX2_ESR,B870*CX2_ESL-1/(B870*CX2_C))),IMDIV("1",IMSUM(COMPLEX(DUMP2_R,0),COMPLEX(DUMP2_ESR,B870*DUMP2_ESL-1/(B870*DUMP2_C)))))</f>
        <v>0</v>
      </c>
      <c r="K870">
        <f>IMPRODUCT("2",IMDIV("1",IMSUM(IMDIV("1",COMPLEX(CMC_DCR,B870*CMC_L*(1-CMC_K))),COMPLEX(0,B870*CMC_CPA))))</f>
        <v>0</v>
      </c>
      <c r="L870">
        <f>IMSUM(COMPLEX(0,B870*CMC_CLINE),IMDIV("1",IMPRODUCT("2",COMPLEX(CY_ESR,B870*CY_ESL-1/(B870*CY_C)))),COMPLEX(1/DUMMY_R,0))</f>
        <v>0</v>
      </c>
      <c r="M870">
        <f>IMSUM(D870,IMDIV("1",C870))</f>
        <v>0</v>
      </c>
      <c r="N870">
        <f>IMDIV("1",IMSUM(E870,IMDIV("1",M870)))</f>
        <v>0</v>
      </c>
      <c r="O870">
        <f>IMSUM(F870,N870)</f>
        <v>0</v>
      </c>
      <c r="P870">
        <f>IMDIV("1",IMSUM(G870,IMDIV("1",O870)))</f>
        <v>0</v>
      </c>
      <c r="Q870">
        <f>IMSUM(H870,P870)</f>
        <v>0</v>
      </c>
      <c r="R870">
        <f>IMDIV("1",IMSUM(I870,IMDIV("1",Q870)))</f>
        <v>0</v>
      </c>
      <c r="S870">
        <f>IMSUM(J870,R870)</f>
        <v>0</v>
      </c>
      <c r="T870">
        <f>IMDIV("1",IMSUM(K870,IMDIV("1",S870)))</f>
        <v>0</v>
      </c>
      <c r="U870">
        <f>IMSUM(L870,T870)</f>
        <v>0</v>
      </c>
      <c r="V870">
        <f>IMDIV(COMPLEX(I_DM_SOURCE,0),U870)</f>
        <v>0</v>
      </c>
      <c r="W870">
        <f>IMPRODUCT(V870,T870)</f>
        <v>0</v>
      </c>
      <c r="X870">
        <f>IMDIV(W870,S870)</f>
        <v>0</v>
      </c>
      <c r="Y870">
        <f>IMPRODUCT(X870,R870)</f>
        <v>0</v>
      </c>
      <c r="Z870">
        <f>IMDIV(Y870,Q870)</f>
        <v>0</v>
      </c>
      <c r="AA870">
        <f>IMPRODUCT(Z870,P870)</f>
        <v>0</v>
      </c>
      <c r="AB870">
        <f>AA870</f>
        <v>0</v>
      </c>
      <c r="AC870">
        <f>IMPRODUCT("-1",AB870)</f>
        <v>0</v>
      </c>
      <c r="AD870">
        <f>IMDIV(IMSUB(AB870,AC870),"2")</f>
        <v>0</v>
      </c>
      <c r="AE870" s="6">
        <f>IMABS(AB870)</f>
        <v>0</v>
      </c>
      <c r="AF870" s="6">
        <f>IMABS(AC870)</f>
        <v>0</v>
      </c>
      <c r="AG870" s="6">
        <f>IMABS(AD870)</f>
        <v>0</v>
      </c>
      <c r="AH870" s="7">
        <f>20*LOG10(MAX(AE870,1E-300)*1E6)</f>
        <v>0</v>
      </c>
      <c r="AI870" s="7">
        <f>20*LOG10(MAX(AF870,1E-300)*1E6)</f>
        <v>0</v>
      </c>
      <c r="AJ870" s="7">
        <f>20*LOG10(MAX(AG870,1E-300)*1E6)</f>
        <v>0</v>
      </c>
      <c r="AK870" s="7">
        <f>DEGREES(IMARGUMENT(AB870))</f>
        <v>0</v>
      </c>
      <c r="AL870" s="7">
        <f>DEGREES(IMARGUMENT(AC870))</f>
        <v>0</v>
      </c>
      <c r="AM870" s="7">
        <f>DEGREES(IMARGUMENT(AD870))</f>
        <v>0</v>
      </c>
    </row>
    <row r="871" spans="1:39">
      <c r="A871" s="6">
        <f>10^(LOG10(F_START)+(ROW()-ROW($A$2))*(LOG10(F_STOP)-LOG10(F_START))/(N_POINTS-1))</f>
        <v>0</v>
      </c>
      <c r="B871" s="6">
        <f>2*PI()*A871</f>
        <v>0</v>
      </c>
      <c r="C871">
        <f>COMPLEX(2*LINE_PS_DCR,2*B871*LINE_PS_L)</f>
        <v>0</v>
      </c>
      <c r="D871">
        <f>IMSUM(COMPLEX(0,B871*(LINE_PS_CLINE+LINE_PS_CCHA/2)),IMDIV("1",IMPRODUCT("2",COMPLEX(C_THROUGH_ESR,B871*C_THROUGH_ESL-1/(B871*C_THROUGH_C)))))</f>
        <v>0</v>
      </c>
      <c r="E871">
        <f>COMPLEX(2*LINE_INPUT_DCR,2*B871*LINE_INPUT_L)</f>
        <v>0</v>
      </c>
      <c r="F871">
        <f>COMPLEX(0,B871*(LINE_INPUT_CLINE+LINE_INPUT_CCHA/2))</f>
        <v>0</v>
      </c>
      <c r="G871">
        <f>IMPRODUCT("2",IMDIV("1",IMSUM(IMDIV("1",COMPLEX(LDM1_DCR,B871*LDM1_L)),COMPLEX(0,B871*LDM1_CPA))))</f>
        <v>0</v>
      </c>
      <c r="H871">
        <f>IMSUM(IMDIV("1",COMPLEX(CX1_ESR,B871*CX1_ESL-1/(B871*CX1_C))),IMDIV("1",IMSUM(COMPLEX(DUMP1_R,0),COMPLEX(DUMP1_ESR,B871*DUMP1_ESL-1/(B871*DUMP1_C)))))</f>
        <v>0</v>
      </c>
      <c r="I871">
        <f>IMPRODUCT("2",IMDIV("1",IMSUM(IMDIV("1",COMPLEX(LDM2_DCR,B871*LDM2_L)),COMPLEX(0,B871*LDM2_CPA))))</f>
        <v>0</v>
      </c>
      <c r="J871">
        <f>IMSUM(IMDIV("1",COMPLEX(CX2_ESR,B871*CX2_ESL-1/(B871*CX2_C))),IMDIV("1",IMSUM(COMPLEX(DUMP2_R,0),COMPLEX(DUMP2_ESR,B871*DUMP2_ESL-1/(B871*DUMP2_C)))))</f>
        <v>0</v>
      </c>
      <c r="K871">
        <f>IMPRODUCT("2",IMDIV("1",IMSUM(IMDIV("1",COMPLEX(CMC_DCR,B871*CMC_L*(1-CMC_K))),COMPLEX(0,B871*CMC_CPA))))</f>
        <v>0</v>
      </c>
      <c r="L871">
        <f>IMSUM(COMPLEX(0,B871*CMC_CLINE),IMDIV("1",IMPRODUCT("2",COMPLEX(CY_ESR,B871*CY_ESL-1/(B871*CY_C)))),COMPLEX(1/DUMMY_R,0))</f>
        <v>0</v>
      </c>
      <c r="M871">
        <f>IMSUM(D871,IMDIV("1",C871))</f>
        <v>0</v>
      </c>
      <c r="N871">
        <f>IMDIV("1",IMSUM(E871,IMDIV("1",M871)))</f>
        <v>0</v>
      </c>
      <c r="O871">
        <f>IMSUM(F871,N871)</f>
        <v>0</v>
      </c>
      <c r="P871">
        <f>IMDIV("1",IMSUM(G871,IMDIV("1",O871)))</f>
        <v>0</v>
      </c>
      <c r="Q871">
        <f>IMSUM(H871,P871)</f>
        <v>0</v>
      </c>
      <c r="R871">
        <f>IMDIV("1",IMSUM(I871,IMDIV("1",Q871)))</f>
        <v>0</v>
      </c>
      <c r="S871">
        <f>IMSUM(J871,R871)</f>
        <v>0</v>
      </c>
      <c r="T871">
        <f>IMDIV("1",IMSUM(K871,IMDIV("1",S871)))</f>
        <v>0</v>
      </c>
      <c r="U871">
        <f>IMSUM(L871,T871)</f>
        <v>0</v>
      </c>
      <c r="V871">
        <f>IMDIV(COMPLEX(I_DM_SOURCE,0),U871)</f>
        <v>0</v>
      </c>
      <c r="W871">
        <f>IMPRODUCT(V871,T871)</f>
        <v>0</v>
      </c>
      <c r="X871">
        <f>IMDIV(W871,S871)</f>
        <v>0</v>
      </c>
      <c r="Y871">
        <f>IMPRODUCT(X871,R871)</f>
        <v>0</v>
      </c>
      <c r="Z871">
        <f>IMDIV(Y871,Q871)</f>
        <v>0</v>
      </c>
      <c r="AA871">
        <f>IMPRODUCT(Z871,P871)</f>
        <v>0</v>
      </c>
      <c r="AB871">
        <f>AA871</f>
        <v>0</v>
      </c>
      <c r="AC871">
        <f>IMPRODUCT("-1",AB871)</f>
        <v>0</v>
      </c>
      <c r="AD871">
        <f>IMDIV(IMSUB(AB871,AC871),"2")</f>
        <v>0</v>
      </c>
      <c r="AE871" s="6">
        <f>IMABS(AB871)</f>
        <v>0</v>
      </c>
      <c r="AF871" s="6">
        <f>IMABS(AC871)</f>
        <v>0</v>
      </c>
      <c r="AG871" s="6">
        <f>IMABS(AD871)</f>
        <v>0</v>
      </c>
      <c r="AH871" s="7">
        <f>20*LOG10(MAX(AE871,1E-300)*1E6)</f>
        <v>0</v>
      </c>
      <c r="AI871" s="7">
        <f>20*LOG10(MAX(AF871,1E-300)*1E6)</f>
        <v>0</v>
      </c>
      <c r="AJ871" s="7">
        <f>20*LOG10(MAX(AG871,1E-300)*1E6)</f>
        <v>0</v>
      </c>
      <c r="AK871" s="7">
        <f>DEGREES(IMARGUMENT(AB871))</f>
        <v>0</v>
      </c>
      <c r="AL871" s="7">
        <f>DEGREES(IMARGUMENT(AC871))</f>
        <v>0</v>
      </c>
      <c r="AM871" s="7">
        <f>DEGREES(IMARGUMENT(AD871))</f>
        <v>0</v>
      </c>
    </row>
    <row r="872" spans="1:39">
      <c r="A872" s="6">
        <f>10^(LOG10(F_START)+(ROW()-ROW($A$2))*(LOG10(F_STOP)-LOG10(F_START))/(N_POINTS-1))</f>
        <v>0</v>
      </c>
      <c r="B872" s="6">
        <f>2*PI()*A872</f>
        <v>0</v>
      </c>
      <c r="C872">
        <f>COMPLEX(2*LINE_PS_DCR,2*B872*LINE_PS_L)</f>
        <v>0</v>
      </c>
      <c r="D872">
        <f>IMSUM(COMPLEX(0,B872*(LINE_PS_CLINE+LINE_PS_CCHA/2)),IMDIV("1",IMPRODUCT("2",COMPLEX(C_THROUGH_ESR,B872*C_THROUGH_ESL-1/(B872*C_THROUGH_C)))))</f>
        <v>0</v>
      </c>
      <c r="E872">
        <f>COMPLEX(2*LINE_INPUT_DCR,2*B872*LINE_INPUT_L)</f>
        <v>0</v>
      </c>
      <c r="F872">
        <f>COMPLEX(0,B872*(LINE_INPUT_CLINE+LINE_INPUT_CCHA/2))</f>
        <v>0</v>
      </c>
      <c r="G872">
        <f>IMPRODUCT("2",IMDIV("1",IMSUM(IMDIV("1",COMPLEX(LDM1_DCR,B872*LDM1_L)),COMPLEX(0,B872*LDM1_CPA))))</f>
        <v>0</v>
      </c>
      <c r="H872">
        <f>IMSUM(IMDIV("1",COMPLEX(CX1_ESR,B872*CX1_ESL-1/(B872*CX1_C))),IMDIV("1",IMSUM(COMPLEX(DUMP1_R,0),COMPLEX(DUMP1_ESR,B872*DUMP1_ESL-1/(B872*DUMP1_C)))))</f>
        <v>0</v>
      </c>
      <c r="I872">
        <f>IMPRODUCT("2",IMDIV("1",IMSUM(IMDIV("1",COMPLEX(LDM2_DCR,B872*LDM2_L)),COMPLEX(0,B872*LDM2_CPA))))</f>
        <v>0</v>
      </c>
      <c r="J872">
        <f>IMSUM(IMDIV("1",COMPLEX(CX2_ESR,B872*CX2_ESL-1/(B872*CX2_C))),IMDIV("1",IMSUM(COMPLEX(DUMP2_R,0),COMPLEX(DUMP2_ESR,B872*DUMP2_ESL-1/(B872*DUMP2_C)))))</f>
        <v>0</v>
      </c>
      <c r="K872">
        <f>IMPRODUCT("2",IMDIV("1",IMSUM(IMDIV("1",COMPLEX(CMC_DCR,B872*CMC_L*(1-CMC_K))),COMPLEX(0,B872*CMC_CPA))))</f>
        <v>0</v>
      </c>
      <c r="L872">
        <f>IMSUM(COMPLEX(0,B872*CMC_CLINE),IMDIV("1",IMPRODUCT("2",COMPLEX(CY_ESR,B872*CY_ESL-1/(B872*CY_C)))),COMPLEX(1/DUMMY_R,0))</f>
        <v>0</v>
      </c>
      <c r="M872">
        <f>IMSUM(D872,IMDIV("1",C872))</f>
        <v>0</v>
      </c>
      <c r="N872">
        <f>IMDIV("1",IMSUM(E872,IMDIV("1",M872)))</f>
        <v>0</v>
      </c>
      <c r="O872">
        <f>IMSUM(F872,N872)</f>
        <v>0</v>
      </c>
      <c r="P872">
        <f>IMDIV("1",IMSUM(G872,IMDIV("1",O872)))</f>
        <v>0</v>
      </c>
      <c r="Q872">
        <f>IMSUM(H872,P872)</f>
        <v>0</v>
      </c>
      <c r="R872">
        <f>IMDIV("1",IMSUM(I872,IMDIV("1",Q872)))</f>
        <v>0</v>
      </c>
      <c r="S872">
        <f>IMSUM(J872,R872)</f>
        <v>0</v>
      </c>
      <c r="T872">
        <f>IMDIV("1",IMSUM(K872,IMDIV("1",S872)))</f>
        <v>0</v>
      </c>
      <c r="U872">
        <f>IMSUM(L872,T872)</f>
        <v>0</v>
      </c>
      <c r="V872">
        <f>IMDIV(COMPLEX(I_DM_SOURCE,0),U872)</f>
        <v>0</v>
      </c>
      <c r="W872">
        <f>IMPRODUCT(V872,T872)</f>
        <v>0</v>
      </c>
      <c r="X872">
        <f>IMDIV(W872,S872)</f>
        <v>0</v>
      </c>
      <c r="Y872">
        <f>IMPRODUCT(X872,R872)</f>
        <v>0</v>
      </c>
      <c r="Z872">
        <f>IMDIV(Y872,Q872)</f>
        <v>0</v>
      </c>
      <c r="AA872">
        <f>IMPRODUCT(Z872,P872)</f>
        <v>0</v>
      </c>
      <c r="AB872">
        <f>AA872</f>
        <v>0</v>
      </c>
      <c r="AC872">
        <f>IMPRODUCT("-1",AB872)</f>
        <v>0</v>
      </c>
      <c r="AD872">
        <f>IMDIV(IMSUB(AB872,AC872),"2")</f>
        <v>0</v>
      </c>
      <c r="AE872" s="6">
        <f>IMABS(AB872)</f>
        <v>0</v>
      </c>
      <c r="AF872" s="6">
        <f>IMABS(AC872)</f>
        <v>0</v>
      </c>
      <c r="AG872" s="6">
        <f>IMABS(AD872)</f>
        <v>0</v>
      </c>
      <c r="AH872" s="7">
        <f>20*LOG10(MAX(AE872,1E-300)*1E6)</f>
        <v>0</v>
      </c>
      <c r="AI872" s="7">
        <f>20*LOG10(MAX(AF872,1E-300)*1E6)</f>
        <v>0</v>
      </c>
      <c r="AJ872" s="7">
        <f>20*LOG10(MAX(AG872,1E-300)*1E6)</f>
        <v>0</v>
      </c>
      <c r="AK872" s="7">
        <f>DEGREES(IMARGUMENT(AB872))</f>
        <v>0</v>
      </c>
      <c r="AL872" s="7">
        <f>DEGREES(IMARGUMENT(AC872))</f>
        <v>0</v>
      </c>
      <c r="AM872" s="7">
        <f>DEGREES(IMARGUMENT(AD872))</f>
        <v>0</v>
      </c>
    </row>
    <row r="873" spans="1:39">
      <c r="A873" s="6">
        <f>10^(LOG10(F_START)+(ROW()-ROW($A$2))*(LOG10(F_STOP)-LOG10(F_START))/(N_POINTS-1))</f>
        <v>0</v>
      </c>
      <c r="B873" s="6">
        <f>2*PI()*A873</f>
        <v>0</v>
      </c>
      <c r="C873">
        <f>COMPLEX(2*LINE_PS_DCR,2*B873*LINE_PS_L)</f>
        <v>0</v>
      </c>
      <c r="D873">
        <f>IMSUM(COMPLEX(0,B873*(LINE_PS_CLINE+LINE_PS_CCHA/2)),IMDIV("1",IMPRODUCT("2",COMPLEX(C_THROUGH_ESR,B873*C_THROUGH_ESL-1/(B873*C_THROUGH_C)))))</f>
        <v>0</v>
      </c>
      <c r="E873">
        <f>COMPLEX(2*LINE_INPUT_DCR,2*B873*LINE_INPUT_L)</f>
        <v>0</v>
      </c>
      <c r="F873">
        <f>COMPLEX(0,B873*(LINE_INPUT_CLINE+LINE_INPUT_CCHA/2))</f>
        <v>0</v>
      </c>
      <c r="G873">
        <f>IMPRODUCT("2",IMDIV("1",IMSUM(IMDIV("1",COMPLEX(LDM1_DCR,B873*LDM1_L)),COMPLEX(0,B873*LDM1_CPA))))</f>
        <v>0</v>
      </c>
      <c r="H873">
        <f>IMSUM(IMDIV("1",COMPLEX(CX1_ESR,B873*CX1_ESL-1/(B873*CX1_C))),IMDIV("1",IMSUM(COMPLEX(DUMP1_R,0),COMPLEX(DUMP1_ESR,B873*DUMP1_ESL-1/(B873*DUMP1_C)))))</f>
        <v>0</v>
      </c>
      <c r="I873">
        <f>IMPRODUCT("2",IMDIV("1",IMSUM(IMDIV("1",COMPLEX(LDM2_DCR,B873*LDM2_L)),COMPLEX(0,B873*LDM2_CPA))))</f>
        <v>0</v>
      </c>
      <c r="J873">
        <f>IMSUM(IMDIV("1",COMPLEX(CX2_ESR,B873*CX2_ESL-1/(B873*CX2_C))),IMDIV("1",IMSUM(COMPLEX(DUMP2_R,0),COMPLEX(DUMP2_ESR,B873*DUMP2_ESL-1/(B873*DUMP2_C)))))</f>
        <v>0</v>
      </c>
      <c r="K873">
        <f>IMPRODUCT("2",IMDIV("1",IMSUM(IMDIV("1",COMPLEX(CMC_DCR,B873*CMC_L*(1-CMC_K))),COMPLEX(0,B873*CMC_CPA))))</f>
        <v>0</v>
      </c>
      <c r="L873">
        <f>IMSUM(COMPLEX(0,B873*CMC_CLINE),IMDIV("1",IMPRODUCT("2",COMPLEX(CY_ESR,B873*CY_ESL-1/(B873*CY_C)))),COMPLEX(1/DUMMY_R,0))</f>
        <v>0</v>
      </c>
      <c r="M873">
        <f>IMSUM(D873,IMDIV("1",C873))</f>
        <v>0</v>
      </c>
      <c r="N873">
        <f>IMDIV("1",IMSUM(E873,IMDIV("1",M873)))</f>
        <v>0</v>
      </c>
      <c r="O873">
        <f>IMSUM(F873,N873)</f>
        <v>0</v>
      </c>
      <c r="P873">
        <f>IMDIV("1",IMSUM(G873,IMDIV("1",O873)))</f>
        <v>0</v>
      </c>
      <c r="Q873">
        <f>IMSUM(H873,P873)</f>
        <v>0</v>
      </c>
      <c r="R873">
        <f>IMDIV("1",IMSUM(I873,IMDIV("1",Q873)))</f>
        <v>0</v>
      </c>
      <c r="S873">
        <f>IMSUM(J873,R873)</f>
        <v>0</v>
      </c>
      <c r="T873">
        <f>IMDIV("1",IMSUM(K873,IMDIV("1",S873)))</f>
        <v>0</v>
      </c>
      <c r="U873">
        <f>IMSUM(L873,T873)</f>
        <v>0</v>
      </c>
      <c r="V873">
        <f>IMDIV(COMPLEX(I_DM_SOURCE,0),U873)</f>
        <v>0</v>
      </c>
      <c r="W873">
        <f>IMPRODUCT(V873,T873)</f>
        <v>0</v>
      </c>
      <c r="X873">
        <f>IMDIV(W873,S873)</f>
        <v>0</v>
      </c>
      <c r="Y873">
        <f>IMPRODUCT(X873,R873)</f>
        <v>0</v>
      </c>
      <c r="Z873">
        <f>IMDIV(Y873,Q873)</f>
        <v>0</v>
      </c>
      <c r="AA873">
        <f>IMPRODUCT(Z873,P873)</f>
        <v>0</v>
      </c>
      <c r="AB873">
        <f>AA873</f>
        <v>0</v>
      </c>
      <c r="AC873">
        <f>IMPRODUCT("-1",AB873)</f>
        <v>0</v>
      </c>
      <c r="AD873">
        <f>IMDIV(IMSUB(AB873,AC873),"2")</f>
        <v>0</v>
      </c>
      <c r="AE873" s="6">
        <f>IMABS(AB873)</f>
        <v>0</v>
      </c>
      <c r="AF873" s="6">
        <f>IMABS(AC873)</f>
        <v>0</v>
      </c>
      <c r="AG873" s="6">
        <f>IMABS(AD873)</f>
        <v>0</v>
      </c>
      <c r="AH873" s="7">
        <f>20*LOG10(MAX(AE873,1E-300)*1E6)</f>
        <v>0</v>
      </c>
      <c r="AI873" s="7">
        <f>20*LOG10(MAX(AF873,1E-300)*1E6)</f>
        <v>0</v>
      </c>
      <c r="AJ873" s="7">
        <f>20*LOG10(MAX(AG873,1E-300)*1E6)</f>
        <v>0</v>
      </c>
      <c r="AK873" s="7">
        <f>DEGREES(IMARGUMENT(AB873))</f>
        <v>0</v>
      </c>
      <c r="AL873" s="7">
        <f>DEGREES(IMARGUMENT(AC873))</f>
        <v>0</v>
      </c>
      <c r="AM873" s="7">
        <f>DEGREES(IMARGUMENT(AD873))</f>
        <v>0</v>
      </c>
    </row>
    <row r="874" spans="1:39">
      <c r="A874" s="6">
        <f>10^(LOG10(F_START)+(ROW()-ROW($A$2))*(LOG10(F_STOP)-LOG10(F_START))/(N_POINTS-1))</f>
        <v>0</v>
      </c>
      <c r="B874" s="6">
        <f>2*PI()*A874</f>
        <v>0</v>
      </c>
      <c r="C874">
        <f>COMPLEX(2*LINE_PS_DCR,2*B874*LINE_PS_L)</f>
        <v>0</v>
      </c>
      <c r="D874">
        <f>IMSUM(COMPLEX(0,B874*(LINE_PS_CLINE+LINE_PS_CCHA/2)),IMDIV("1",IMPRODUCT("2",COMPLEX(C_THROUGH_ESR,B874*C_THROUGH_ESL-1/(B874*C_THROUGH_C)))))</f>
        <v>0</v>
      </c>
      <c r="E874">
        <f>COMPLEX(2*LINE_INPUT_DCR,2*B874*LINE_INPUT_L)</f>
        <v>0</v>
      </c>
      <c r="F874">
        <f>COMPLEX(0,B874*(LINE_INPUT_CLINE+LINE_INPUT_CCHA/2))</f>
        <v>0</v>
      </c>
      <c r="G874">
        <f>IMPRODUCT("2",IMDIV("1",IMSUM(IMDIV("1",COMPLEX(LDM1_DCR,B874*LDM1_L)),COMPLEX(0,B874*LDM1_CPA))))</f>
        <v>0</v>
      </c>
      <c r="H874">
        <f>IMSUM(IMDIV("1",COMPLEX(CX1_ESR,B874*CX1_ESL-1/(B874*CX1_C))),IMDIV("1",IMSUM(COMPLEX(DUMP1_R,0),COMPLEX(DUMP1_ESR,B874*DUMP1_ESL-1/(B874*DUMP1_C)))))</f>
        <v>0</v>
      </c>
      <c r="I874">
        <f>IMPRODUCT("2",IMDIV("1",IMSUM(IMDIV("1",COMPLEX(LDM2_DCR,B874*LDM2_L)),COMPLEX(0,B874*LDM2_CPA))))</f>
        <v>0</v>
      </c>
      <c r="J874">
        <f>IMSUM(IMDIV("1",COMPLEX(CX2_ESR,B874*CX2_ESL-1/(B874*CX2_C))),IMDIV("1",IMSUM(COMPLEX(DUMP2_R,0),COMPLEX(DUMP2_ESR,B874*DUMP2_ESL-1/(B874*DUMP2_C)))))</f>
        <v>0</v>
      </c>
      <c r="K874">
        <f>IMPRODUCT("2",IMDIV("1",IMSUM(IMDIV("1",COMPLEX(CMC_DCR,B874*CMC_L*(1-CMC_K))),COMPLEX(0,B874*CMC_CPA))))</f>
        <v>0</v>
      </c>
      <c r="L874">
        <f>IMSUM(COMPLEX(0,B874*CMC_CLINE),IMDIV("1",IMPRODUCT("2",COMPLEX(CY_ESR,B874*CY_ESL-1/(B874*CY_C)))),COMPLEX(1/DUMMY_R,0))</f>
        <v>0</v>
      </c>
      <c r="M874">
        <f>IMSUM(D874,IMDIV("1",C874))</f>
        <v>0</v>
      </c>
      <c r="N874">
        <f>IMDIV("1",IMSUM(E874,IMDIV("1",M874)))</f>
        <v>0</v>
      </c>
      <c r="O874">
        <f>IMSUM(F874,N874)</f>
        <v>0</v>
      </c>
      <c r="P874">
        <f>IMDIV("1",IMSUM(G874,IMDIV("1",O874)))</f>
        <v>0</v>
      </c>
      <c r="Q874">
        <f>IMSUM(H874,P874)</f>
        <v>0</v>
      </c>
      <c r="R874">
        <f>IMDIV("1",IMSUM(I874,IMDIV("1",Q874)))</f>
        <v>0</v>
      </c>
      <c r="S874">
        <f>IMSUM(J874,R874)</f>
        <v>0</v>
      </c>
      <c r="T874">
        <f>IMDIV("1",IMSUM(K874,IMDIV("1",S874)))</f>
        <v>0</v>
      </c>
      <c r="U874">
        <f>IMSUM(L874,T874)</f>
        <v>0</v>
      </c>
      <c r="V874">
        <f>IMDIV(COMPLEX(I_DM_SOURCE,0),U874)</f>
        <v>0</v>
      </c>
      <c r="W874">
        <f>IMPRODUCT(V874,T874)</f>
        <v>0</v>
      </c>
      <c r="X874">
        <f>IMDIV(W874,S874)</f>
        <v>0</v>
      </c>
      <c r="Y874">
        <f>IMPRODUCT(X874,R874)</f>
        <v>0</v>
      </c>
      <c r="Z874">
        <f>IMDIV(Y874,Q874)</f>
        <v>0</v>
      </c>
      <c r="AA874">
        <f>IMPRODUCT(Z874,P874)</f>
        <v>0</v>
      </c>
      <c r="AB874">
        <f>AA874</f>
        <v>0</v>
      </c>
      <c r="AC874">
        <f>IMPRODUCT("-1",AB874)</f>
        <v>0</v>
      </c>
      <c r="AD874">
        <f>IMDIV(IMSUB(AB874,AC874),"2")</f>
        <v>0</v>
      </c>
      <c r="AE874" s="6">
        <f>IMABS(AB874)</f>
        <v>0</v>
      </c>
      <c r="AF874" s="6">
        <f>IMABS(AC874)</f>
        <v>0</v>
      </c>
      <c r="AG874" s="6">
        <f>IMABS(AD874)</f>
        <v>0</v>
      </c>
      <c r="AH874" s="7">
        <f>20*LOG10(MAX(AE874,1E-300)*1E6)</f>
        <v>0</v>
      </c>
      <c r="AI874" s="7">
        <f>20*LOG10(MAX(AF874,1E-300)*1E6)</f>
        <v>0</v>
      </c>
      <c r="AJ874" s="7">
        <f>20*LOG10(MAX(AG874,1E-300)*1E6)</f>
        <v>0</v>
      </c>
      <c r="AK874" s="7">
        <f>DEGREES(IMARGUMENT(AB874))</f>
        <v>0</v>
      </c>
      <c r="AL874" s="7">
        <f>DEGREES(IMARGUMENT(AC874))</f>
        <v>0</v>
      </c>
      <c r="AM874" s="7">
        <f>DEGREES(IMARGUMENT(AD874))</f>
        <v>0</v>
      </c>
    </row>
    <row r="875" spans="1:39">
      <c r="A875" s="6">
        <f>10^(LOG10(F_START)+(ROW()-ROW($A$2))*(LOG10(F_STOP)-LOG10(F_START))/(N_POINTS-1))</f>
        <v>0</v>
      </c>
      <c r="B875" s="6">
        <f>2*PI()*A875</f>
        <v>0</v>
      </c>
      <c r="C875">
        <f>COMPLEX(2*LINE_PS_DCR,2*B875*LINE_PS_L)</f>
        <v>0</v>
      </c>
      <c r="D875">
        <f>IMSUM(COMPLEX(0,B875*(LINE_PS_CLINE+LINE_PS_CCHA/2)),IMDIV("1",IMPRODUCT("2",COMPLEX(C_THROUGH_ESR,B875*C_THROUGH_ESL-1/(B875*C_THROUGH_C)))))</f>
        <v>0</v>
      </c>
      <c r="E875">
        <f>COMPLEX(2*LINE_INPUT_DCR,2*B875*LINE_INPUT_L)</f>
        <v>0</v>
      </c>
      <c r="F875">
        <f>COMPLEX(0,B875*(LINE_INPUT_CLINE+LINE_INPUT_CCHA/2))</f>
        <v>0</v>
      </c>
      <c r="G875">
        <f>IMPRODUCT("2",IMDIV("1",IMSUM(IMDIV("1",COMPLEX(LDM1_DCR,B875*LDM1_L)),COMPLEX(0,B875*LDM1_CPA))))</f>
        <v>0</v>
      </c>
      <c r="H875">
        <f>IMSUM(IMDIV("1",COMPLEX(CX1_ESR,B875*CX1_ESL-1/(B875*CX1_C))),IMDIV("1",IMSUM(COMPLEX(DUMP1_R,0),COMPLEX(DUMP1_ESR,B875*DUMP1_ESL-1/(B875*DUMP1_C)))))</f>
        <v>0</v>
      </c>
      <c r="I875">
        <f>IMPRODUCT("2",IMDIV("1",IMSUM(IMDIV("1",COMPLEX(LDM2_DCR,B875*LDM2_L)),COMPLEX(0,B875*LDM2_CPA))))</f>
        <v>0</v>
      </c>
      <c r="J875">
        <f>IMSUM(IMDIV("1",COMPLEX(CX2_ESR,B875*CX2_ESL-1/(B875*CX2_C))),IMDIV("1",IMSUM(COMPLEX(DUMP2_R,0),COMPLEX(DUMP2_ESR,B875*DUMP2_ESL-1/(B875*DUMP2_C)))))</f>
        <v>0</v>
      </c>
      <c r="K875">
        <f>IMPRODUCT("2",IMDIV("1",IMSUM(IMDIV("1",COMPLEX(CMC_DCR,B875*CMC_L*(1-CMC_K))),COMPLEX(0,B875*CMC_CPA))))</f>
        <v>0</v>
      </c>
      <c r="L875">
        <f>IMSUM(COMPLEX(0,B875*CMC_CLINE),IMDIV("1",IMPRODUCT("2",COMPLEX(CY_ESR,B875*CY_ESL-1/(B875*CY_C)))),COMPLEX(1/DUMMY_R,0))</f>
        <v>0</v>
      </c>
      <c r="M875">
        <f>IMSUM(D875,IMDIV("1",C875))</f>
        <v>0</v>
      </c>
      <c r="N875">
        <f>IMDIV("1",IMSUM(E875,IMDIV("1",M875)))</f>
        <v>0</v>
      </c>
      <c r="O875">
        <f>IMSUM(F875,N875)</f>
        <v>0</v>
      </c>
      <c r="P875">
        <f>IMDIV("1",IMSUM(G875,IMDIV("1",O875)))</f>
        <v>0</v>
      </c>
      <c r="Q875">
        <f>IMSUM(H875,P875)</f>
        <v>0</v>
      </c>
      <c r="R875">
        <f>IMDIV("1",IMSUM(I875,IMDIV("1",Q875)))</f>
        <v>0</v>
      </c>
      <c r="S875">
        <f>IMSUM(J875,R875)</f>
        <v>0</v>
      </c>
      <c r="T875">
        <f>IMDIV("1",IMSUM(K875,IMDIV("1",S875)))</f>
        <v>0</v>
      </c>
      <c r="U875">
        <f>IMSUM(L875,T875)</f>
        <v>0</v>
      </c>
      <c r="V875">
        <f>IMDIV(COMPLEX(I_DM_SOURCE,0),U875)</f>
        <v>0</v>
      </c>
      <c r="W875">
        <f>IMPRODUCT(V875,T875)</f>
        <v>0</v>
      </c>
      <c r="X875">
        <f>IMDIV(W875,S875)</f>
        <v>0</v>
      </c>
      <c r="Y875">
        <f>IMPRODUCT(X875,R875)</f>
        <v>0</v>
      </c>
      <c r="Z875">
        <f>IMDIV(Y875,Q875)</f>
        <v>0</v>
      </c>
      <c r="AA875">
        <f>IMPRODUCT(Z875,P875)</f>
        <v>0</v>
      </c>
      <c r="AB875">
        <f>AA875</f>
        <v>0</v>
      </c>
      <c r="AC875">
        <f>IMPRODUCT("-1",AB875)</f>
        <v>0</v>
      </c>
      <c r="AD875">
        <f>IMDIV(IMSUB(AB875,AC875),"2")</f>
        <v>0</v>
      </c>
      <c r="AE875" s="6">
        <f>IMABS(AB875)</f>
        <v>0</v>
      </c>
      <c r="AF875" s="6">
        <f>IMABS(AC875)</f>
        <v>0</v>
      </c>
      <c r="AG875" s="6">
        <f>IMABS(AD875)</f>
        <v>0</v>
      </c>
      <c r="AH875" s="7">
        <f>20*LOG10(MAX(AE875,1E-300)*1E6)</f>
        <v>0</v>
      </c>
      <c r="AI875" s="7">
        <f>20*LOG10(MAX(AF875,1E-300)*1E6)</f>
        <v>0</v>
      </c>
      <c r="AJ875" s="7">
        <f>20*LOG10(MAX(AG875,1E-300)*1E6)</f>
        <v>0</v>
      </c>
      <c r="AK875" s="7">
        <f>DEGREES(IMARGUMENT(AB875))</f>
        <v>0</v>
      </c>
      <c r="AL875" s="7">
        <f>DEGREES(IMARGUMENT(AC875))</f>
        <v>0</v>
      </c>
      <c r="AM875" s="7">
        <f>DEGREES(IMARGUMENT(AD875))</f>
        <v>0</v>
      </c>
    </row>
    <row r="876" spans="1:39">
      <c r="A876" s="6">
        <f>10^(LOG10(F_START)+(ROW()-ROW($A$2))*(LOG10(F_STOP)-LOG10(F_START))/(N_POINTS-1))</f>
        <v>0</v>
      </c>
      <c r="B876" s="6">
        <f>2*PI()*A876</f>
        <v>0</v>
      </c>
      <c r="C876">
        <f>COMPLEX(2*LINE_PS_DCR,2*B876*LINE_PS_L)</f>
        <v>0</v>
      </c>
      <c r="D876">
        <f>IMSUM(COMPLEX(0,B876*(LINE_PS_CLINE+LINE_PS_CCHA/2)),IMDIV("1",IMPRODUCT("2",COMPLEX(C_THROUGH_ESR,B876*C_THROUGH_ESL-1/(B876*C_THROUGH_C)))))</f>
        <v>0</v>
      </c>
      <c r="E876">
        <f>COMPLEX(2*LINE_INPUT_DCR,2*B876*LINE_INPUT_L)</f>
        <v>0</v>
      </c>
      <c r="F876">
        <f>COMPLEX(0,B876*(LINE_INPUT_CLINE+LINE_INPUT_CCHA/2))</f>
        <v>0</v>
      </c>
      <c r="G876">
        <f>IMPRODUCT("2",IMDIV("1",IMSUM(IMDIV("1",COMPLEX(LDM1_DCR,B876*LDM1_L)),COMPLEX(0,B876*LDM1_CPA))))</f>
        <v>0</v>
      </c>
      <c r="H876">
        <f>IMSUM(IMDIV("1",COMPLEX(CX1_ESR,B876*CX1_ESL-1/(B876*CX1_C))),IMDIV("1",IMSUM(COMPLEX(DUMP1_R,0),COMPLEX(DUMP1_ESR,B876*DUMP1_ESL-1/(B876*DUMP1_C)))))</f>
        <v>0</v>
      </c>
      <c r="I876">
        <f>IMPRODUCT("2",IMDIV("1",IMSUM(IMDIV("1",COMPLEX(LDM2_DCR,B876*LDM2_L)),COMPLEX(0,B876*LDM2_CPA))))</f>
        <v>0</v>
      </c>
      <c r="J876">
        <f>IMSUM(IMDIV("1",COMPLEX(CX2_ESR,B876*CX2_ESL-1/(B876*CX2_C))),IMDIV("1",IMSUM(COMPLEX(DUMP2_R,0),COMPLEX(DUMP2_ESR,B876*DUMP2_ESL-1/(B876*DUMP2_C)))))</f>
        <v>0</v>
      </c>
      <c r="K876">
        <f>IMPRODUCT("2",IMDIV("1",IMSUM(IMDIV("1",COMPLEX(CMC_DCR,B876*CMC_L*(1-CMC_K))),COMPLEX(0,B876*CMC_CPA))))</f>
        <v>0</v>
      </c>
      <c r="L876">
        <f>IMSUM(COMPLEX(0,B876*CMC_CLINE),IMDIV("1",IMPRODUCT("2",COMPLEX(CY_ESR,B876*CY_ESL-1/(B876*CY_C)))),COMPLEX(1/DUMMY_R,0))</f>
        <v>0</v>
      </c>
      <c r="M876">
        <f>IMSUM(D876,IMDIV("1",C876))</f>
        <v>0</v>
      </c>
      <c r="N876">
        <f>IMDIV("1",IMSUM(E876,IMDIV("1",M876)))</f>
        <v>0</v>
      </c>
      <c r="O876">
        <f>IMSUM(F876,N876)</f>
        <v>0</v>
      </c>
      <c r="P876">
        <f>IMDIV("1",IMSUM(G876,IMDIV("1",O876)))</f>
        <v>0</v>
      </c>
      <c r="Q876">
        <f>IMSUM(H876,P876)</f>
        <v>0</v>
      </c>
      <c r="R876">
        <f>IMDIV("1",IMSUM(I876,IMDIV("1",Q876)))</f>
        <v>0</v>
      </c>
      <c r="S876">
        <f>IMSUM(J876,R876)</f>
        <v>0</v>
      </c>
      <c r="T876">
        <f>IMDIV("1",IMSUM(K876,IMDIV("1",S876)))</f>
        <v>0</v>
      </c>
      <c r="U876">
        <f>IMSUM(L876,T876)</f>
        <v>0</v>
      </c>
      <c r="V876">
        <f>IMDIV(COMPLEX(I_DM_SOURCE,0),U876)</f>
        <v>0</v>
      </c>
      <c r="W876">
        <f>IMPRODUCT(V876,T876)</f>
        <v>0</v>
      </c>
      <c r="X876">
        <f>IMDIV(W876,S876)</f>
        <v>0</v>
      </c>
      <c r="Y876">
        <f>IMPRODUCT(X876,R876)</f>
        <v>0</v>
      </c>
      <c r="Z876">
        <f>IMDIV(Y876,Q876)</f>
        <v>0</v>
      </c>
      <c r="AA876">
        <f>IMPRODUCT(Z876,P876)</f>
        <v>0</v>
      </c>
      <c r="AB876">
        <f>AA876</f>
        <v>0</v>
      </c>
      <c r="AC876">
        <f>IMPRODUCT("-1",AB876)</f>
        <v>0</v>
      </c>
      <c r="AD876">
        <f>IMDIV(IMSUB(AB876,AC876),"2")</f>
        <v>0</v>
      </c>
      <c r="AE876" s="6">
        <f>IMABS(AB876)</f>
        <v>0</v>
      </c>
      <c r="AF876" s="6">
        <f>IMABS(AC876)</f>
        <v>0</v>
      </c>
      <c r="AG876" s="6">
        <f>IMABS(AD876)</f>
        <v>0</v>
      </c>
      <c r="AH876" s="7">
        <f>20*LOG10(MAX(AE876,1E-300)*1E6)</f>
        <v>0</v>
      </c>
      <c r="AI876" s="7">
        <f>20*LOG10(MAX(AF876,1E-300)*1E6)</f>
        <v>0</v>
      </c>
      <c r="AJ876" s="7">
        <f>20*LOG10(MAX(AG876,1E-300)*1E6)</f>
        <v>0</v>
      </c>
      <c r="AK876" s="7">
        <f>DEGREES(IMARGUMENT(AB876))</f>
        <v>0</v>
      </c>
      <c r="AL876" s="7">
        <f>DEGREES(IMARGUMENT(AC876))</f>
        <v>0</v>
      </c>
      <c r="AM876" s="7">
        <f>DEGREES(IMARGUMENT(AD876))</f>
        <v>0</v>
      </c>
    </row>
    <row r="877" spans="1:39">
      <c r="A877" s="6">
        <f>10^(LOG10(F_START)+(ROW()-ROW($A$2))*(LOG10(F_STOP)-LOG10(F_START))/(N_POINTS-1))</f>
        <v>0</v>
      </c>
      <c r="B877" s="6">
        <f>2*PI()*A877</f>
        <v>0</v>
      </c>
      <c r="C877">
        <f>COMPLEX(2*LINE_PS_DCR,2*B877*LINE_PS_L)</f>
        <v>0</v>
      </c>
      <c r="D877">
        <f>IMSUM(COMPLEX(0,B877*(LINE_PS_CLINE+LINE_PS_CCHA/2)),IMDIV("1",IMPRODUCT("2",COMPLEX(C_THROUGH_ESR,B877*C_THROUGH_ESL-1/(B877*C_THROUGH_C)))))</f>
        <v>0</v>
      </c>
      <c r="E877">
        <f>COMPLEX(2*LINE_INPUT_DCR,2*B877*LINE_INPUT_L)</f>
        <v>0</v>
      </c>
      <c r="F877">
        <f>COMPLEX(0,B877*(LINE_INPUT_CLINE+LINE_INPUT_CCHA/2))</f>
        <v>0</v>
      </c>
      <c r="G877">
        <f>IMPRODUCT("2",IMDIV("1",IMSUM(IMDIV("1",COMPLEX(LDM1_DCR,B877*LDM1_L)),COMPLEX(0,B877*LDM1_CPA))))</f>
        <v>0</v>
      </c>
      <c r="H877">
        <f>IMSUM(IMDIV("1",COMPLEX(CX1_ESR,B877*CX1_ESL-1/(B877*CX1_C))),IMDIV("1",IMSUM(COMPLEX(DUMP1_R,0),COMPLEX(DUMP1_ESR,B877*DUMP1_ESL-1/(B877*DUMP1_C)))))</f>
        <v>0</v>
      </c>
      <c r="I877">
        <f>IMPRODUCT("2",IMDIV("1",IMSUM(IMDIV("1",COMPLEX(LDM2_DCR,B877*LDM2_L)),COMPLEX(0,B877*LDM2_CPA))))</f>
        <v>0</v>
      </c>
      <c r="J877">
        <f>IMSUM(IMDIV("1",COMPLEX(CX2_ESR,B877*CX2_ESL-1/(B877*CX2_C))),IMDIV("1",IMSUM(COMPLEX(DUMP2_R,0),COMPLEX(DUMP2_ESR,B877*DUMP2_ESL-1/(B877*DUMP2_C)))))</f>
        <v>0</v>
      </c>
      <c r="K877">
        <f>IMPRODUCT("2",IMDIV("1",IMSUM(IMDIV("1",COMPLEX(CMC_DCR,B877*CMC_L*(1-CMC_K))),COMPLEX(0,B877*CMC_CPA))))</f>
        <v>0</v>
      </c>
      <c r="L877">
        <f>IMSUM(COMPLEX(0,B877*CMC_CLINE),IMDIV("1",IMPRODUCT("2",COMPLEX(CY_ESR,B877*CY_ESL-1/(B877*CY_C)))),COMPLEX(1/DUMMY_R,0))</f>
        <v>0</v>
      </c>
      <c r="M877">
        <f>IMSUM(D877,IMDIV("1",C877))</f>
        <v>0</v>
      </c>
      <c r="N877">
        <f>IMDIV("1",IMSUM(E877,IMDIV("1",M877)))</f>
        <v>0</v>
      </c>
      <c r="O877">
        <f>IMSUM(F877,N877)</f>
        <v>0</v>
      </c>
      <c r="P877">
        <f>IMDIV("1",IMSUM(G877,IMDIV("1",O877)))</f>
        <v>0</v>
      </c>
      <c r="Q877">
        <f>IMSUM(H877,P877)</f>
        <v>0</v>
      </c>
      <c r="R877">
        <f>IMDIV("1",IMSUM(I877,IMDIV("1",Q877)))</f>
        <v>0</v>
      </c>
      <c r="S877">
        <f>IMSUM(J877,R877)</f>
        <v>0</v>
      </c>
      <c r="T877">
        <f>IMDIV("1",IMSUM(K877,IMDIV("1",S877)))</f>
        <v>0</v>
      </c>
      <c r="U877">
        <f>IMSUM(L877,T877)</f>
        <v>0</v>
      </c>
      <c r="V877">
        <f>IMDIV(COMPLEX(I_DM_SOURCE,0),U877)</f>
        <v>0</v>
      </c>
      <c r="W877">
        <f>IMPRODUCT(V877,T877)</f>
        <v>0</v>
      </c>
      <c r="X877">
        <f>IMDIV(W877,S877)</f>
        <v>0</v>
      </c>
      <c r="Y877">
        <f>IMPRODUCT(X877,R877)</f>
        <v>0</v>
      </c>
      <c r="Z877">
        <f>IMDIV(Y877,Q877)</f>
        <v>0</v>
      </c>
      <c r="AA877">
        <f>IMPRODUCT(Z877,P877)</f>
        <v>0</v>
      </c>
      <c r="AB877">
        <f>AA877</f>
        <v>0</v>
      </c>
      <c r="AC877">
        <f>IMPRODUCT("-1",AB877)</f>
        <v>0</v>
      </c>
      <c r="AD877">
        <f>IMDIV(IMSUB(AB877,AC877),"2")</f>
        <v>0</v>
      </c>
      <c r="AE877" s="6">
        <f>IMABS(AB877)</f>
        <v>0</v>
      </c>
      <c r="AF877" s="6">
        <f>IMABS(AC877)</f>
        <v>0</v>
      </c>
      <c r="AG877" s="6">
        <f>IMABS(AD877)</f>
        <v>0</v>
      </c>
      <c r="AH877" s="7">
        <f>20*LOG10(MAX(AE877,1E-300)*1E6)</f>
        <v>0</v>
      </c>
      <c r="AI877" s="7">
        <f>20*LOG10(MAX(AF877,1E-300)*1E6)</f>
        <v>0</v>
      </c>
      <c r="AJ877" s="7">
        <f>20*LOG10(MAX(AG877,1E-300)*1E6)</f>
        <v>0</v>
      </c>
      <c r="AK877" s="7">
        <f>DEGREES(IMARGUMENT(AB877))</f>
        <v>0</v>
      </c>
      <c r="AL877" s="7">
        <f>DEGREES(IMARGUMENT(AC877))</f>
        <v>0</v>
      </c>
      <c r="AM877" s="7">
        <f>DEGREES(IMARGUMENT(AD877))</f>
        <v>0</v>
      </c>
    </row>
    <row r="878" spans="1:39">
      <c r="A878" s="6">
        <f>10^(LOG10(F_START)+(ROW()-ROW($A$2))*(LOG10(F_STOP)-LOG10(F_START))/(N_POINTS-1))</f>
        <v>0</v>
      </c>
      <c r="B878" s="6">
        <f>2*PI()*A878</f>
        <v>0</v>
      </c>
      <c r="C878">
        <f>COMPLEX(2*LINE_PS_DCR,2*B878*LINE_PS_L)</f>
        <v>0</v>
      </c>
      <c r="D878">
        <f>IMSUM(COMPLEX(0,B878*(LINE_PS_CLINE+LINE_PS_CCHA/2)),IMDIV("1",IMPRODUCT("2",COMPLEX(C_THROUGH_ESR,B878*C_THROUGH_ESL-1/(B878*C_THROUGH_C)))))</f>
        <v>0</v>
      </c>
      <c r="E878">
        <f>COMPLEX(2*LINE_INPUT_DCR,2*B878*LINE_INPUT_L)</f>
        <v>0</v>
      </c>
      <c r="F878">
        <f>COMPLEX(0,B878*(LINE_INPUT_CLINE+LINE_INPUT_CCHA/2))</f>
        <v>0</v>
      </c>
      <c r="G878">
        <f>IMPRODUCT("2",IMDIV("1",IMSUM(IMDIV("1",COMPLEX(LDM1_DCR,B878*LDM1_L)),COMPLEX(0,B878*LDM1_CPA))))</f>
        <v>0</v>
      </c>
      <c r="H878">
        <f>IMSUM(IMDIV("1",COMPLEX(CX1_ESR,B878*CX1_ESL-1/(B878*CX1_C))),IMDIV("1",IMSUM(COMPLEX(DUMP1_R,0),COMPLEX(DUMP1_ESR,B878*DUMP1_ESL-1/(B878*DUMP1_C)))))</f>
        <v>0</v>
      </c>
      <c r="I878">
        <f>IMPRODUCT("2",IMDIV("1",IMSUM(IMDIV("1",COMPLEX(LDM2_DCR,B878*LDM2_L)),COMPLEX(0,B878*LDM2_CPA))))</f>
        <v>0</v>
      </c>
      <c r="J878">
        <f>IMSUM(IMDIV("1",COMPLEX(CX2_ESR,B878*CX2_ESL-1/(B878*CX2_C))),IMDIV("1",IMSUM(COMPLEX(DUMP2_R,0),COMPLEX(DUMP2_ESR,B878*DUMP2_ESL-1/(B878*DUMP2_C)))))</f>
        <v>0</v>
      </c>
      <c r="K878">
        <f>IMPRODUCT("2",IMDIV("1",IMSUM(IMDIV("1",COMPLEX(CMC_DCR,B878*CMC_L*(1-CMC_K))),COMPLEX(0,B878*CMC_CPA))))</f>
        <v>0</v>
      </c>
      <c r="L878">
        <f>IMSUM(COMPLEX(0,B878*CMC_CLINE),IMDIV("1",IMPRODUCT("2",COMPLEX(CY_ESR,B878*CY_ESL-1/(B878*CY_C)))),COMPLEX(1/DUMMY_R,0))</f>
        <v>0</v>
      </c>
      <c r="M878">
        <f>IMSUM(D878,IMDIV("1",C878))</f>
        <v>0</v>
      </c>
      <c r="N878">
        <f>IMDIV("1",IMSUM(E878,IMDIV("1",M878)))</f>
        <v>0</v>
      </c>
      <c r="O878">
        <f>IMSUM(F878,N878)</f>
        <v>0</v>
      </c>
      <c r="P878">
        <f>IMDIV("1",IMSUM(G878,IMDIV("1",O878)))</f>
        <v>0</v>
      </c>
      <c r="Q878">
        <f>IMSUM(H878,P878)</f>
        <v>0</v>
      </c>
      <c r="R878">
        <f>IMDIV("1",IMSUM(I878,IMDIV("1",Q878)))</f>
        <v>0</v>
      </c>
      <c r="S878">
        <f>IMSUM(J878,R878)</f>
        <v>0</v>
      </c>
      <c r="T878">
        <f>IMDIV("1",IMSUM(K878,IMDIV("1",S878)))</f>
        <v>0</v>
      </c>
      <c r="U878">
        <f>IMSUM(L878,T878)</f>
        <v>0</v>
      </c>
      <c r="V878">
        <f>IMDIV(COMPLEX(I_DM_SOURCE,0),U878)</f>
        <v>0</v>
      </c>
      <c r="W878">
        <f>IMPRODUCT(V878,T878)</f>
        <v>0</v>
      </c>
      <c r="X878">
        <f>IMDIV(W878,S878)</f>
        <v>0</v>
      </c>
      <c r="Y878">
        <f>IMPRODUCT(X878,R878)</f>
        <v>0</v>
      </c>
      <c r="Z878">
        <f>IMDIV(Y878,Q878)</f>
        <v>0</v>
      </c>
      <c r="AA878">
        <f>IMPRODUCT(Z878,P878)</f>
        <v>0</v>
      </c>
      <c r="AB878">
        <f>AA878</f>
        <v>0</v>
      </c>
      <c r="AC878">
        <f>IMPRODUCT("-1",AB878)</f>
        <v>0</v>
      </c>
      <c r="AD878">
        <f>IMDIV(IMSUB(AB878,AC878),"2")</f>
        <v>0</v>
      </c>
      <c r="AE878" s="6">
        <f>IMABS(AB878)</f>
        <v>0</v>
      </c>
      <c r="AF878" s="6">
        <f>IMABS(AC878)</f>
        <v>0</v>
      </c>
      <c r="AG878" s="6">
        <f>IMABS(AD878)</f>
        <v>0</v>
      </c>
      <c r="AH878" s="7">
        <f>20*LOG10(MAX(AE878,1E-300)*1E6)</f>
        <v>0</v>
      </c>
      <c r="AI878" s="7">
        <f>20*LOG10(MAX(AF878,1E-300)*1E6)</f>
        <v>0</v>
      </c>
      <c r="AJ878" s="7">
        <f>20*LOG10(MAX(AG878,1E-300)*1E6)</f>
        <v>0</v>
      </c>
      <c r="AK878" s="7">
        <f>DEGREES(IMARGUMENT(AB878))</f>
        <v>0</v>
      </c>
      <c r="AL878" s="7">
        <f>DEGREES(IMARGUMENT(AC878))</f>
        <v>0</v>
      </c>
      <c r="AM878" s="7">
        <f>DEGREES(IMARGUMENT(AD878))</f>
        <v>0</v>
      </c>
    </row>
    <row r="879" spans="1:39">
      <c r="A879" s="6">
        <f>10^(LOG10(F_START)+(ROW()-ROW($A$2))*(LOG10(F_STOP)-LOG10(F_START))/(N_POINTS-1))</f>
        <v>0</v>
      </c>
      <c r="B879" s="6">
        <f>2*PI()*A879</f>
        <v>0</v>
      </c>
      <c r="C879">
        <f>COMPLEX(2*LINE_PS_DCR,2*B879*LINE_PS_L)</f>
        <v>0</v>
      </c>
      <c r="D879">
        <f>IMSUM(COMPLEX(0,B879*(LINE_PS_CLINE+LINE_PS_CCHA/2)),IMDIV("1",IMPRODUCT("2",COMPLEX(C_THROUGH_ESR,B879*C_THROUGH_ESL-1/(B879*C_THROUGH_C)))))</f>
        <v>0</v>
      </c>
      <c r="E879">
        <f>COMPLEX(2*LINE_INPUT_DCR,2*B879*LINE_INPUT_L)</f>
        <v>0</v>
      </c>
      <c r="F879">
        <f>COMPLEX(0,B879*(LINE_INPUT_CLINE+LINE_INPUT_CCHA/2))</f>
        <v>0</v>
      </c>
      <c r="G879">
        <f>IMPRODUCT("2",IMDIV("1",IMSUM(IMDIV("1",COMPLEX(LDM1_DCR,B879*LDM1_L)),COMPLEX(0,B879*LDM1_CPA))))</f>
        <v>0</v>
      </c>
      <c r="H879">
        <f>IMSUM(IMDIV("1",COMPLEX(CX1_ESR,B879*CX1_ESL-1/(B879*CX1_C))),IMDIV("1",IMSUM(COMPLEX(DUMP1_R,0),COMPLEX(DUMP1_ESR,B879*DUMP1_ESL-1/(B879*DUMP1_C)))))</f>
        <v>0</v>
      </c>
      <c r="I879">
        <f>IMPRODUCT("2",IMDIV("1",IMSUM(IMDIV("1",COMPLEX(LDM2_DCR,B879*LDM2_L)),COMPLEX(0,B879*LDM2_CPA))))</f>
        <v>0</v>
      </c>
      <c r="J879">
        <f>IMSUM(IMDIV("1",COMPLEX(CX2_ESR,B879*CX2_ESL-1/(B879*CX2_C))),IMDIV("1",IMSUM(COMPLEX(DUMP2_R,0),COMPLEX(DUMP2_ESR,B879*DUMP2_ESL-1/(B879*DUMP2_C)))))</f>
        <v>0</v>
      </c>
      <c r="K879">
        <f>IMPRODUCT("2",IMDIV("1",IMSUM(IMDIV("1",COMPLEX(CMC_DCR,B879*CMC_L*(1-CMC_K))),COMPLEX(0,B879*CMC_CPA))))</f>
        <v>0</v>
      </c>
      <c r="L879">
        <f>IMSUM(COMPLEX(0,B879*CMC_CLINE),IMDIV("1",IMPRODUCT("2",COMPLEX(CY_ESR,B879*CY_ESL-1/(B879*CY_C)))),COMPLEX(1/DUMMY_R,0))</f>
        <v>0</v>
      </c>
      <c r="M879">
        <f>IMSUM(D879,IMDIV("1",C879))</f>
        <v>0</v>
      </c>
      <c r="N879">
        <f>IMDIV("1",IMSUM(E879,IMDIV("1",M879)))</f>
        <v>0</v>
      </c>
      <c r="O879">
        <f>IMSUM(F879,N879)</f>
        <v>0</v>
      </c>
      <c r="P879">
        <f>IMDIV("1",IMSUM(G879,IMDIV("1",O879)))</f>
        <v>0</v>
      </c>
      <c r="Q879">
        <f>IMSUM(H879,P879)</f>
        <v>0</v>
      </c>
      <c r="R879">
        <f>IMDIV("1",IMSUM(I879,IMDIV("1",Q879)))</f>
        <v>0</v>
      </c>
      <c r="S879">
        <f>IMSUM(J879,R879)</f>
        <v>0</v>
      </c>
      <c r="T879">
        <f>IMDIV("1",IMSUM(K879,IMDIV("1",S879)))</f>
        <v>0</v>
      </c>
      <c r="U879">
        <f>IMSUM(L879,T879)</f>
        <v>0</v>
      </c>
      <c r="V879">
        <f>IMDIV(COMPLEX(I_DM_SOURCE,0),U879)</f>
        <v>0</v>
      </c>
      <c r="W879">
        <f>IMPRODUCT(V879,T879)</f>
        <v>0</v>
      </c>
      <c r="X879">
        <f>IMDIV(W879,S879)</f>
        <v>0</v>
      </c>
      <c r="Y879">
        <f>IMPRODUCT(X879,R879)</f>
        <v>0</v>
      </c>
      <c r="Z879">
        <f>IMDIV(Y879,Q879)</f>
        <v>0</v>
      </c>
      <c r="AA879">
        <f>IMPRODUCT(Z879,P879)</f>
        <v>0</v>
      </c>
      <c r="AB879">
        <f>AA879</f>
        <v>0</v>
      </c>
      <c r="AC879">
        <f>IMPRODUCT("-1",AB879)</f>
        <v>0</v>
      </c>
      <c r="AD879">
        <f>IMDIV(IMSUB(AB879,AC879),"2")</f>
        <v>0</v>
      </c>
      <c r="AE879" s="6">
        <f>IMABS(AB879)</f>
        <v>0</v>
      </c>
      <c r="AF879" s="6">
        <f>IMABS(AC879)</f>
        <v>0</v>
      </c>
      <c r="AG879" s="6">
        <f>IMABS(AD879)</f>
        <v>0</v>
      </c>
      <c r="AH879" s="7">
        <f>20*LOG10(MAX(AE879,1E-300)*1E6)</f>
        <v>0</v>
      </c>
      <c r="AI879" s="7">
        <f>20*LOG10(MAX(AF879,1E-300)*1E6)</f>
        <v>0</v>
      </c>
      <c r="AJ879" s="7">
        <f>20*LOG10(MAX(AG879,1E-300)*1E6)</f>
        <v>0</v>
      </c>
      <c r="AK879" s="7">
        <f>DEGREES(IMARGUMENT(AB879))</f>
        <v>0</v>
      </c>
      <c r="AL879" s="7">
        <f>DEGREES(IMARGUMENT(AC879))</f>
        <v>0</v>
      </c>
      <c r="AM879" s="7">
        <f>DEGREES(IMARGUMENT(AD879))</f>
        <v>0</v>
      </c>
    </row>
    <row r="880" spans="1:39">
      <c r="A880" s="6">
        <f>10^(LOG10(F_START)+(ROW()-ROW($A$2))*(LOG10(F_STOP)-LOG10(F_START))/(N_POINTS-1))</f>
        <v>0</v>
      </c>
      <c r="B880" s="6">
        <f>2*PI()*A880</f>
        <v>0</v>
      </c>
      <c r="C880">
        <f>COMPLEX(2*LINE_PS_DCR,2*B880*LINE_PS_L)</f>
        <v>0</v>
      </c>
      <c r="D880">
        <f>IMSUM(COMPLEX(0,B880*(LINE_PS_CLINE+LINE_PS_CCHA/2)),IMDIV("1",IMPRODUCT("2",COMPLEX(C_THROUGH_ESR,B880*C_THROUGH_ESL-1/(B880*C_THROUGH_C)))))</f>
        <v>0</v>
      </c>
      <c r="E880">
        <f>COMPLEX(2*LINE_INPUT_DCR,2*B880*LINE_INPUT_L)</f>
        <v>0</v>
      </c>
      <c r="F880">
        <f>COMPLEX(0,B880*(LINE_INPUT_CLINE+LINE_INPUT_CCHA/2))</f>
        <v>0</v>
      </c>
      <c r="G880">
        <f>IMPRODUCT("2",IMDIV("1",IMSUM(IMDIV("1",COMPLEX(LDM1_DCR,B880*LDM1_L)),COMPLEX(0,B880*LDM1_CPA))))</f>
        <v>0</v>
      </c>
      <c r="H880">
        <f>IMSUM(IMDIV("1",COMPLEX(CX1_ESR,B880*CX1_ESL-1/(B880*CX1_C))),IMDIV("1",IMSUM(COMPLEX(DUMP1_R,0),COMPLEX(DUMP1_ESR,B880*DUMP1_ESL-1/(B880*DUMP1_C)))))</f>
        <v>0</v>
      </c>
      <c r="I880">
        <f>IMPRODUCT("2",IMDIV("1",IMSUM(IMDIV("1",COMPLEX(LDM2_DCR,B880*LDM2_L)),COMPLEX(0,B880*LDM2_CPA))))</f>
        <v>0</v>
      </c>
      <c r="J880">
        <f>IMSUM(IMDIV("1",COMPLEX(CX2_ESR,B880*CX2_ESL-1/(B880*CX2_C))),IMDIV("1",IMSUM(COMPLEX(DUMP2_R,0),COMPLEX(DUMP2_ESR,B880*DUMP2_ESL-1/(B880*DUMP2_C)))))</f>
        <v>0</v>
      </c>
      <c r="K880">
        <f>IMPRODUCT("2",IMDIV("1",IMSUM(IMDIV("1",COMPLEX(CMC_DCR,B880*CMC_L*(1-CMC_K))),COMPLEX(0,B880*CMC_CPA))))</f>
        <v>0</v>
      </c>
      <c r="L880">
        <f>IMSUM(COMPLEX(0,B880*CMC_CLINE),IMDIV("1",IMPRODUCT("2",COMPLEX(CY_ESR,B880*CY_ESL-1/(B880*CY_C)))),COMPLEX(1/DUMMY_R,0))</f>
        <v>0</v>
      </c>
      <c r="M880">
        <f>IMSUM(D880,IMDIV("1",C880))</f>
        <v>0</v>
      </c>
      <c r="N880">
        <f>IMDIV("1",IMSUM(E880,IMDIV("1",M880)))</f>
        <v>0</v>
      </c>
      <c r="O880">
        <f>IMSUM(F880,N880)</f>
        <v>0</v>
      </c>
      <c r="P880">
        <f>IMDIV("1",IMSUM(G880,IMDIV("1",O880)))</f>
        <v>0</v>
      </c>
      <c r="Q880">
        <f>IMSUM(H880,P880)</f>
        <v>0</v>
      </c>
      <c r="R880">
        <f>IMDIV("1",IMSUM(I880,IMDIV("1",Q880)))</f>
        <v>0</v>
      </c>
      <c r="S880">
        <f>IMSUM(J880,R880)</f>
        <v>0</v>
      </c>
      <c r="T880">
        <f>IMDIV("1",IMSUM(K880,IMDIV("1",S880)))</f>
        <v>0</v>
      </c>
      <c r="U880">
        <f>IMSUM(L880,T880)</f>
        <v>0</v>
      </c>
      <c r="V880">
        <f>IMDIV(COMPLEX(I_DM_SOURCE,0),U880)</f>
        <v>0</v>
      </c>
      <c r="W880">
        <f>IMPRODUCT(V880,T880)</f>
        <v>0</v>
      </c>
      <c r="X880">
        <f>IMDIV(W880,S880)</f>
        <v>0</v>
      </c>
      <c r="Y880">
        <f>IMPRODUCT(X880,R880)</f>
        <v>0</v>
      </c>
      <c r="Z880">
        <f>IMDIV(Y880,Q880)</f>
        <v>0</v>
      </c>
      <c r="AA880">
        <f>IMPRODUCT(Z880,P880)</f>
        <v>0</v>
      </c>
      <c r="AB880">
        <f>AA880</f>
        <v>0</v>
      </c>
      <c r="AC880">
        <f>IMPRODUCT("-1",AB880)</f>
        <v>0</v>
      </c>
      <c r="AD880">
        <f>IMDIV(IMSUB(AB880,AC880),"2")</f>
        <v>0</v>
      </c>
      <c r="AE880" s="6">
        <f>IMABS(AB880)</f>
        <v>0</v>
      </c>
      <c r="AF880" s="6">
        <f>IMABS(AC880)</f>
        <v>0</v>
      </c>
      <c r="AG880" s="6">
        <f>IMABS(AD880)</f>
        <v>0</v>
      </c>
      <c r="AH880" s="7">
        <f>20*LOG10(MAX(AE880,1E-300)*1E6)</f>
        <v>0</v>
      </c>
      <c r="AI880" s="7">
        <f>20*LOG10(MAX(AF880,1E-300)*1E6)</f>
        <v>0</v>
      </c>
      <c r="AJ880" s="7">
        <f>20*LOG10(MAX(AG880,1E-300)*1E6)</f>
        <v>0</v>
      </c>
      <c r="AK880" s="7">
        <f>DEGREES(IMARGUMENT(AB880))</f>
        <v>0</v>
      </c>
      <c r="AL880" s="7">
        <f>DEGREES(IMARGUMENT(AC880))</f>
        <v>0</v>
      </c>
      <c r="AM880" s="7">
        <f>DEGREES(IMARGUMENT(AD880))</f>
        <v>0</v>
      </c>
    </row>
    <row r="881" spans="1:39">
      <c r="A881" s="6">
        <f>10^(LOG10(F_START)+(ROW()-ROW($A$2))*(LOG10(F_STOP)-LOG10(F_START))/(N_POINTS-1))</f>
        <v>0</v>
      </c>
      <c r="B881" s="6">
        <f>2*PI()*A881</f>
        <v>0</v>
      </c>
      <c r="C881">
        <f>COMPLEX(2*LINE_PS_DCR,2*B881*LINE_PS_L)</f>
        <v>0</v>
      </c>
      <c r="D881">
        <f>IMSUM(COMPLEX(0,B881*(LINE_PS_CLINE+LINE_PS_CCHA/2)),IMDIV("1",IMPRODUCT("2",COMPLEX(C_THROUGH_ESR,B881*C_THROUGH_ESL-1/(B881*C_THROUGH_C)))))</f>
        <v>0</v>
      </c>
      <c r="E881">
        <f>COMPLEX(2*LINE_INPUT_DCR,2*B881*LINE_INPUT_L)</f>
        <v>0</v>
      </c>
      <c r="F881">
        <f>COMPLEX(0,B881*(LINE_INPUT_CLINE+LINE_INPUT_CCHA/2))</f>
        <v>0</v>
      </c>
      <c r="G881">
        <f>IMPRODUCT("2",IMDIV("1",IMSUM(IMDIV("1",COMPLEX(LDM1_DCR,B881*LDM1_L)),COMPLEX(0,B881*LDM1_CPA))))</f>
        <v>0</v>
      </c>
      <c r="H881">
        <f>IMSUM(IMDIV("1",COMPLEX(CX1_ESR,B881*CX1_ESL-1/(B881*CX1_C))),IMDIV("1",IMSUM(COMPLEX(DUMP1_R,0),COMPLEX(DUMP1_ESR,B881*DUMP1_ESL-1/(B881*DUMP1_C)))))</f>
        <v>0</v>
      </c>
      <c r="I881">
        <f>IMPRODUCT("2",IMDIV("1",IMSUM(IMDIV("1",COMPLEX(LDM2_DCR,B881*LDM2_L)),COMPLEX(0,B881*LDM2_CPA))))</f>
        <v>0</v>
      </c>
      <c r="J881">
        <f>IMSUM(IMDIV("1",COMPLEX(CX2_ESR,B881*CX2_ESL-1/(B881*CX2_C))),IMDIV("1",IMSUM(COMPLEX(DUMP2_R,0),COMPLEX(DUMP2_ESR,B881*DUMP2_ESL-1/(B881*DUMP2_C)))))</f>
        <v>0</v>
      </c>
      <c r="K881">
        <f>IMPRODUCT("2",IMDIV("1",IMSUM(IMDIV("1",COMPLEX(CMC_DCR,B881*CMC_L*(1-CMC_K))),COMPLEX(0,B881*CMC_CPA))))</f>
        <v>0</v>
      </c>
      <c r="L881">
        <f>IMSUM(COMPLEX(0,B881*CMC_CLINE),IMDIV("1",IMPRODUCT("2",COMPLEX(CY_ESR,B881*CY_ESL-1/(B881*CY_C)))),COMPLEX(1/DUMMY_R,0))</f>
        <v>0</v>
      </c>
      <c r="M881">
        <f>IMSUM(D881,IMDIV("1",C881))</f>
        <v>0</v>
      </c>
      <c r="N881">
        <f>IMDIV("1",IMSUM(E881,IMDIV("1",M881)))</f>
        <v>0</v>
      </c>
      <c r="O881">
        <f>IMSUM(F881,N881)</f>
        <v>0</v>
      </c>
      <c r="P881">
        <f>IMDIV("1",IMSUM(G881,IMDIV("1",O881)))</f>
        <v>0</v>
      </c>
      <c r="Q881">
        <f>IMSUM(H881,P881)</f>
        <v>0</v>
      </c>
      <c r="R881">
        <f>IMDIV("1",IMSUM(I881,IMDIV("1",Q881)))</f>
        <v>0</v>
      </c>
      <c r="S881">
        <f>IMSUM(J881,R881)</f>
        <v>0</v>
      </c>
      <c r="T881">
        <f>IMDIV("1",IMSUM(K881,IMDIV("1",S881)))</f>
        <v>0</v>
      </c>
      <c r="U881">
        <f>IMSUM(L881,T881)</f>
        <v>0</v>
      </c>
      <c r="V881">
        <f>IMDIV(COMPLEX(I_DM_SOURCE,0),U881)</f>
        <v>0</v>
      </c>
      <c r="W881">
        <f>IMPRODUCT(V881,T881)</f>
        <v>0</v>
      </c>
      <c r="X881">
        <f>IMDIV(W881,S881)</f>
        <v>0</v>
      </c>
      <c r="Y881">
        <f>IMPRODUCT(X881,R881)</f>
        <v>0</v>
      </c>
      <c r="Z881">
        <f>IMDIV(Y881,Q881)</f>
        <v>0</v>
      </c>
      <c r="AA881">
        <f>IMPRODUCT(Z881,P881)</f>
        <v>0</v>
      </c>
      <c r="AB881">
        <f>AA881</f>
        <v>0</v>
      </c>
      <c r="AC881">
        <f>IMPRODUCT("-1",AB881)</f>
        <v>0</v>
      </c>
      <c r="AD881">
        <f>IMDIV(IMSUB(AB881,AC881),"2")</f>
        <v>0</v>
      </c>
      <c r="AE881" s="6">
        <f>IMABS(AB881)</f>
        <v>0</v>
      </c>
      <c r="AF881" s="6">
        <f>IMABS(AC881)</f>
        <v>0</v>
      </c>
      <c r="AG881" s="6">
        <f>IMABS(AD881)</f>
        <v>0</v>
      </c>
      <c r="AH881" s="7">
        <f>20*LOG10(MAX(AE881,1E-300)*1E6)</f>
        <v>0</v>
      </c>
      <c r="AI881" s="7">
        <f>20*LOG10(MAX(AF881,1E-300)*1E6)</f>
        <v>0</v>
      </c>
      <c r="AJ881" s="7">
        <f>20*LOG10(MAX(AG881,1E-300)*1E6)</f>
        <v>0</v>
      </c>
      <c r="AK881" s="7">
        <f>DEGREES(IMARGUMENT(AB881))</f>
        <v>0</v>
      </c>
      <c r="AL881" s="7">
        <f>DEGREES(IMARGUMENT(AC881))</f>
        <v>0</v>
      </c>
      <c r="AM881" s="7">
        <f>DEGREES(IMARGUMENT(AD881))</f>
        <v>0</v>
      </c>
    </row>
    <row r="882" spans="1:39">
      <c r="A882" s="6">
        <f>10^(LOG10(F_START)+(ROW()-ROW($A$2))*(LOG10(F_STOP)-LOG10(F_START))/(N_POINTS-1))</f>
        <v>0</v>
      </c>
      <c r="B882" s="6">
        <f>2*PI()*A882</f>
        <v>0</v>
      </c>
      <c r="C882">
        <f>COMPLEX(2*LINE_PS_DCR,2*B882*LINE_PS_L)</f>
        <v>0</v>
      </c>
      <c r="D882">
        <f>IMSUM(COMPLEX(0,B882*(LINE_PS_CLINE+LINE_PS_CCHA/2)),IMDIV("1",IMPRODUCT("2",COMPLEX(C_THROUGH_ESR,B882*C_THROUGH_ESL-1/(B882*C_THROUGH_C)))))</f>
        <v>0</v>
      </c>
      <c r="E882">
        <f>COMPLEX(2*LINE_INPUT_DCR,2*B882*LINE_INPUT_L)</f>
        <v>0</v>
      </c>
      <c r="F882">
        <f>COMPLEX(0,B882*(LINE_INPUT_CLINE+LINE_INPUT_CCHA/2))</f>
        <v>0</v>
      </c>
      <c r="G882">
        <f>IMPRODUCT("2",IMDIV("1",IMSUM(IMDIV("1",COMPLEX(LDM1_DCR,B882*LDM1_L)),COMPLEX(0,B882*LDM1_CPA))))</f>
        <v>0</v>
      </c>
      <c r="H882">
        <f>IMSUM(IMDIV("1",COMPLEX(CX1_ESR,B882*CX1_ESL-1/(B882*CX1_C))),IMDIV("1",IMSUM(COMPLEX(DUMP1_R,0),COMPLEX(DUMP1_ESR,B882*DUMP1_ESL-1/(B882*DUMP1_C)))))</f>
        <v>0</v>
      </c>
      <c r="I882">
        <f>IMPRODUCT("2",IMDIV("1",IMSUM(IMDIV("1",COMPLEX(LDM2_DCR,B882*LDM2_L)),COMPLEX(0,B882*LDM2_CPA))))</f>
        <v>0</v>
      </c>
      <c r="J882">
        <f>IMSUM(IMDIV("1",COMPLEX(CX2_ESR,B882*CX2_ESL-1/(B882*CX2_C))),IMDIV("1",IMSUM(COMPLEX(DUMP2_R,0),COMPLEX(DUMP2_ESR,B882*DUMP2_ESL-1/(B882*DUMP2_C)))))</f>
        <v>0</v>
      </c>
      <c r="K882">
        <f>IMPRODUCT("2",IMDIV("1",IMSUM(IMDIV("1",COMPLEX(CMC_DCR,B882*CMC_L*(1-CMC_K))),COMPLEX(0,B882*CMC_CPA))))</f>
        <v>0</v>
      </c>
      <c r="L882">
        <f>IMSUM(COMPLEX(0,B882*CMC_CLINE),IMDIV("1",IMPRODUCT("2",COMPLEX(CY_ESR,B882*CY_ESL-1/(B882*CY_C)))),COMPLEX(1/DUMMY_R,0))</f>
        <v>0</v>
      </c>
      <c r="M882">
        <f>IMSUM(D882,IMDIV("1",C882))</f>
        <v>0</v>
      </c>
      <c r="N882">
        <f>IMDIV("1",IMSUM(E882,IMDIV("1",M882)))</f>
        <v>0</v>
      </c>
      <c r="O882">
        <f>IMSUM(F882,N882)</f>
        <v>0</v>
      </c>
      <c r="P882">
        <f>IMDIV("1",IMSUM(G882,IMDIV("1",O882)))</f>
        <v>0</v>
      </c>
      <c r="Q882">
        <f>IMSUM(H882,P882)</f>
        <v>0</v>
      </c>
      <c r="R882">
        <f>IMDIV("1",IMSUM(I882,IMDIV("1",Q882)))</f>
        <v>0</v>
      </c>
      <c r="S882">
        <f>IMSUM(J882,R882)</f>
        <v>0</v>
      </c>
      <c r="T882">
        <f>IMDIV("1",IMSUM(K882,IMDIV("1",S882)))</f>
        <v>0</v>
      </c>
      <c r="U882">
        <f>IMSUM(L882,T882)</f>
        <v>0</v>
      </c>
      <c r="V882">
        <f>IMDIV(COMPLEX(I_DM_SOURCE,0),U882)</f>
        <v>0</v>
      </c>
      <c r="W882">
        <f>IMPRODUCT(V882,T882)</f>
        <v>0</v>
      </c>
      <c r="X882">
        <f>IMDIV(W882,S882)</f>
        <v>0</v>
      </c>
      <c r="Y882">
        <f>IMPRODUCT(X882,R882)</f>
        <v>0</v>
      </c>
      <c r="Z882">
        <f>IMDIV(Y882,Q882)</f>
        <v>0</v>
      </c>
      <c r="AA882">
        <f>IMPRODUCT(Z882,P882)</f>
        <v>0</v>
      </c>
      <c r="AB882">
        <f>AA882</f>
        <v>0</v>
      </c>
      <c r="AC882">
        <f>IMPRODUCT("-1",AB882)</f>
        <v>0</v>
      </c>
      <c r="AD882">
        <f>IMDIV(IMSUB(AB882,AC882),"2")</f>
        <v>0</v>
      </c>
      <c r="AE882" s="6">
        <f>IMABS(AB882)</f>
        <v>0</v>
      </c>
      <c r="AF882" s="6">
        <f>IMABS(AC882)</f>
        <v>0</v>
      </c>
      <c r="AG882" s="6">
        <f>IMABS(AD882)</f>
        <v>0</v>
      </c>
      <c r="AH882" s="7">
        <f>20*LOG10(MAX(AE882,1E-300)*1E6)</f>
        <v>0</v>
      </c>
      <c r="AI882" s="7">
        <f>20*LOG10(MAX(AF882,1E-300)*1E6)</f>
        <v>0</v>
      </c>
      <c r="AJ882" s="7">
        <f>20*LOG10(MAX(AG882,1E-300)*1E6)</f>
        <v>0</v>
      </c>
      <c r="AK882" s="7">
        <f>DEGREES(IMARGUMENT(AB882))</f>
        <v>0</v>
      </c>
      <c r="AL882" s="7">
        <f>DEGREES(IMARGUMENT(AC882))</f>
        <v>0</v>
      </c>
      <c r="AM882" s="7">
        <f>DEGREES(IMARGUMENT(AD882))</f>
        <v>0</v>
      </c>
    </row>
    <row r="883" spans="1:39">
      <c r="A883" s="6">
        <f>10^(LOG10(F_START)+(ROW()-ROW($A$2))*(LOG10(F_STOP)-LOG10(F_START))/(N_POINTS-1))</f>
        <v>0</v>
      </c>
      <c r="B883" s="6">
        <f>2*PI()*A883</f>
        <v>0</v>
      </c>
      <c r="C883">
        <f>COMPLEX(2*LINE_PS_DCR,2*B883*LINE_PS_L)</f>
        <v>0</v>
      </c>
      <c r="D883">
        <f>IMSUM(COMPLEX(0,B883*(LINE_PS_CLINE+LINE_PS_CCHA/2)),IMDIV("1",IMPRODUCT("2",COMPLEX(C_THROUGH_ESR,B883*C_THROUGH_ESL-1/(B883*C_THROUGH_C)))))</f>
        <v>0</v>
      </c>
      <c r="E883">
        <f>COMPLEX(2*LINE_INPUT_DCR,2*B883*LINE_INPUT_L)</f>
        <v>0</v>
      </c>
      <c r="F883">
        <f>COMPLEX(0,B883*(LINE_INPUT_CLINE+LINE_INPUT_CCHA/2))</f>
        <v>0</v>
      </c>
      <c r="G883">
        <f>IMPRODUCT("2",IMDIV("1",IMSUM(IMDIV("1",COMPLEX(LDM1_DCR,B883*LDM1_L)),COMPLEX(0,B883*LDM1_CPA))))</f>
        <v>0</v>
      </c>
      <c r="H883">
        <f>IMSUM(IMDIV("1",COMPLEX(CX1_ESR,B883*CX1_ESL-1/(B883*CX1_C))),IMDIV("1",IMSUM(COMPLEX(DUMP1_R,0),COMPLEX(DUMP1_ESR,B883*DUMP1_ESL-1/(B883*DUMP1_C)))))</f>
        <v>0</v>
      </c>
      <c r="I883">
        <f>IMPRODUCT("2",IMDIV("1",IMSUM(IMDIV("1",COMPLEX(LDM2_DCR,B883*LDM2_L)),COMPLEX(0,B883*LDM2_CPA))))</f>
        <v>0</v>
      </c>
      <c r="J883">
        <f>IMSUM(IMDIV("1",COMPLEX(CX2_ESR,B883*CX2_ESL-1/(B883*CX2_C))),IMDIV("1",IMSUM(COMPLEX(DUMP2_R,0),COMPLEX(DUMP2_ESR,B883*DUMP2_ESL-1/(B883*DUMP2_C)))))</f>
        <v>0</v>
      </c>
      <c r="K883">
        <f>IMPRODUCT("2",IMDIV("1",IMSUM(IMDIV("1",COMPLEX(CMC_DCR,B883*CMC_L*(1-CMC_K))),COMPLEX(0,B883*CMC_CPA))))</f>
        <v>0</v>
      </c>
      <c r="L883">
        <f>IMSUM(COMPLEX(0,B883*CMC_CLINE),IMDIV("1",IMPRODUCT("2",COMPLEX(CY_ESR,B883*CY_ESL-1/(B883*CY_C)))),COMPLEX(1/DUMMY_R,0))</f>
        <v>0</v>
      </c>
      <c r="M883">
        <f>IMSUM(D883,IMDIV("1",C883))</f>
        <v>0</v>
      </c>
      <c r="N883">
        <f>IMDIV("1",IMSUM(E883,IMDIV("1",M883)))</f>
        <v>0</v>
      </c>
      <c r="O883">
        <f>IMSUM(F883,N883)</f>
        <v>0</v>
      </c>
      <c r="P883">
        <f>IMDIV("1",IMSUM(G883,IMDIV("1",O883)))</f>
        <v>0</v>
      </c>
      <c r="Q883">
        <f>IMSUM(H883,P883)</f>
        <v>0</v>
      </c>
      <c r="R883">
        <f>IMDIV("1",IMSUM(I883,IMDIV("1",Q883)))</f>
        <v>0</v>
      </c>
      <c r="S883">
        <f>IMSUM(J883,R883)</f>
        <v>0</v>
      </c>
      <c r="T883">
        <f>IMDIV("1",IMSUM(K883,IMDIV("1",S883)))</f>
        <v>0</v>
      </c>
      <c r="U883">
        <f>IMSUM(L883,T883)</f>
        <v>0</v>
      </c>
      <c r="V883">
        <f>IMDIV(COMPLEX(I_DM_SOURCE,0),U883)</f>
        <v>0</v>
      </c>
      <c r="W883">
        <f>IMPRODUCT(V883,T883)</f>
        <v>0</v>
      </c>
      <c r="X883">
        <f>IMDIV(W883,S883)</f>
        <v>0</v>
      </c>
      <c r="Y883">
        <f>IMPRODUCT(X883,R883)</f>
        <v>0</v>
      </c>
      <c r="Z883">
        <f>IMDIV(Y883,Q883)</f>
        <v>0</v>
      </c>
      <c r="AA883">
        <f>IMPRODUCT(Z883,P883)</f>
        <v>0</v>
      </c>
      <c r="AB883">
        <f>AA883</f>
        <v>0</v>
      </c>
      <c r="AC883">
        <f>IMPRODUCT("-1",AB883)</f>
        <v>0</v>
      </c>
      <c r="AD883">
        <f>IMDIV(IMSUB(AB883,AC883),"2")</f>
        <v>0</v>
      </c>
      <c r="AE883" s="6">
        <f>IMABS(AB883)</f>
        <v>0</v>
      </c>
      <c r="AF883" s="6">
        <f>IMABS(AC883)</f>
        <v>0</v>
      </c>
      <c r="AG883" s="6">
        <f>IMABS(AD883)</f>
        <v>0</v>
      </c>
      <c r="AH883" s="7">
        <f>20*LOG10(MAX(AE883,1E-300)*1E6)</f>
        <v>0</v>
      </c>
      <c r="AI883" s="7">
        <f>20*LOG10(MAX(AF883,1E-300)*1E6)</f>
        <v>0</v>
      </c>
      <c r="AJ883" s="7">
        <f>20*LOG10(MAX(AG883,1E-300)*1E6)</f>
        <v>0</v>
      </c>
      <c r="AK883" s="7">
        <f>DEGREES(IMARGUMENT(AB883))</f>
        <v>0</v>
      </c>
      <c r="AL883" s="7">
        <f>DEGREES(IMARGUMENT(AC883))</f>
        <v>0</v>
      </c>
      <c r="AM883" s="7">
        <f>DEGREES(IMARGUMENT(AD883))</f>
        <v>0</v>
      </c>
    </row>
    <row r="884" spans="1:39">
      <c r="A884" s="6">
        <f>10^(LOG10(F_START)+(ROW()-ROW($A$2))*(LOG10(F_STOP)-LOG10(F_START))/(N_POINTS-1))</f>
        <v>0</v>
      </c>
      <c r="B884" s="6">
        <f>2*PI()*A884</f>
        <v>0</v>
      </c>
      <c r="C884">
        <f>COMPLEX(2*LINE_PS_DCR,2*B884*LINE_PS_L)</f>
        <v>0</v>
      </c>
      <c r="D884">
        <f>IMSUM(COMPLEX(0,B884*(LINE_PS_CLINE+LINE_PS_CCHA/2)),IMDIV("1",IMPRODUCT("2",COMPLEX(C_THROUGH_ESR,B884*C_THROUGH_ESL-1/(B884*C_THROUGH_C)))))</f>
        <v>0</v>
      </c>
      <c r="E884">
        <f>COMPLEX(2*LINE_INPUT_DCR,2*B884*LINE_INPUT_L)</f>
        <v>0</v>
      </c>
      <c r="F884">
        <f>COMPLEX(0,B884*(LINE_INPUT_CLINE+LINE_INPUT_CCHA/2))</f>
        <v>0</v>
      </c>
      <c r="G884">
        <f>IMPRODUCT("2",IMDIV("1",IMSUM(IMDIV("1",COMPLEX(LDM1_DCR,B884*LDM1_L)),COMPLEX(0,B884*LDM1_CPA))))</f>
        <v>0</v>
      </c>
      <c r="H884">
        <f>IMSUM(IMDIV("1",COMPLEX(CX1_ESR,B884*CX1_ESL-1/(B884*CX1_C))),IMDIV("1",IMSUM(COMPLEX(DUMP1_R,0),COMPLEX(DUMP1_ESR,B884*DUMP1_ESL-1/(B884*DUMP1_C)))))</f>
        <v>0</v>
      </c>
      <c r="I884">
        <f>IMPRODUCT("2",IMDIV("1",IMSUM(IMDIV("1",COMPLEX(LDM2_DCR,B884*LDM2_L)),COMPLEX(0,B884*LDM2_CPA))))</f>
        <v>0</v>
      </c>
      <c r="J884">
        <f>IMSUM(IMDIV("1",COMPLEX(CX2_ESR,B884*CX2_ESL-1/(B884*CX2_C))),IMDIV("1",IMSUM(COMPLEX(DUMP2_R,0),COMPLEX(DUMP2_ESR,B884*DUMP2_ESL-1/(B884*DUMP2_C)))))</f>
        <v>0</v>
      </c>
      <c r="K884">
        <f>IMPRODUCT("2",IMDIV("1",IMSUM(IMDIV("1",COMPLEX(CMC_DCR,B884*CMC_L*(1-CMC_K))),COMPLEX(0,B884*CMC_CPA))))</f>
        <v>0</v>
      </c>
      <c r="L884">
        <f>IMSUM(COMPLEX(0,B884*CMC_CLINE),IMDIV("1",IMPRODUCT("2",COMPLEX(CY_ESR,B884*CY_ESL-1/(B884*CY_C)))),COMPLEX(1/DUMMY_R,0))</f>
        <v>0</v>
      </c>
      <c r="M884">
        <f>IMSUM(D884,IMDIV("1",C884))</f>
        <v>0</v>
      </c>
      <c r="N884">
        <f>IMDIV("1",IMSUM(E884,IMDIV("1",M884)))</f>
        <v>0</v>
      </c>
      <c r="O884">
        <f>IMSUM(F884,N884)</f>
        <v>0</v>
      </c>
      <c r="P884">
        <f>IMDIV("1",IMSUM(G884,IMDIV("1",O884)))</f>
        <v>0</v>
      </c>
      <c r="Q884">
        <f>IMSUM(H884,P884)</f>
        <v>0</v>
      </c>
      <c r="R884">
        <f>IMDIV("1",IMSUM(I884,IMDIV("1",Q884)))</f>
        <v>0</v>
      </c>
      <c r="S884">
        <f>IMSUM(J884,R884)</f>
        <v>0</v>
      </c>
      <c r="T884">
        <f>IMDIV("1",IMSUM(K884,IMDIV("1",S884)))</f>
        <v>0</v>
      </c>
      <c r="U884">
        <f>IMSUM(L884,T884)</f>
        <v>0</v>
      </c>
      <c r="V884">
        <f>IMDIV(COMPLEX(I_DM_SOURCE,0),U884)</f>
        <v>0</v>
      </c>
      <c r="W884">
        <f>IMPRODUCT(V884,T884)</f>
        <v>0</v>
      </c>
      <c r="X884">
        <f>IMDIV(W884,S884)</f>
        <v>0</v>
      </c>
      <c r="Y884">
        <f>IMPRODUCT(X884,R884)</f>
        <v>0</v>
      </c>
      <c r="Z884">
        <f>IMDIV(Y884,Q884)</f>
        <v>0</v>
      </c>
      <c r="AA884">
        <f>IMPRODUCT(Z884,P884)</f>
        <v>0</v>
      </c>
      <c r="AB884">
        <f>AA884</f>
        <v>0</v>
      </c>
      <c r="AC884">
        <f>IMPRODUCT("-1",AB884)</f>
        <v>0</v>
      </c>
      <c r="AD884">
        <f>IMDIV(IMSUB(AB884,AC884),"2")</f>
        <v>0</v>
      </c>
      <c r="AE884" s="6">
        <f>IMABS(AB884)</f>
        <v>0</v>
      </c>
      <c r="AF884" s="6">
        <f>IMABS(AC884)</f>
        <v>0</v>
      </c>
      <c r="AG884" s="6">
        <f>IMABS(AD884)</f>
        <v>0</v>
      </c>
      <c r="AH884" s="7">
        <f>20*LOG10(MAX(AE884,1E-300)*1E6)</f>
        <v>0</v>
      </c>
      <c r="AI884" s="7">
        <f>20*LOG10(MAX(AF884,1E-300)*1E6)</f>
        <v>0</v>
      </c>
      <c r="AJ884" s="7">
        <f>20*LOG10(MAX(AG884,1E-300)*1E6)</f>
        <v>0</v>
      </c>
      <c r="AK884" s="7">
        <f>DEGREES(IMARGUMENT(AB884))</f>
        <v>0</v>
      </c>
      <c r="AL884" s="7">
        <f>DEGREES(IMARGUMENT(AC884))</f>
        <v>0</v>
      </c>
      <c r="AM884" s="7">
        <f>DEGREES(IMARGUMENT(AD884))</f>
        <v>0</v>
      </c>
    </row>
    <row r="885" spans="1:39">
      <c r="A885" s="6">
        <f>10^(LOG10(F_START)+(ROW()-ROW($A$2))*(LOG10(F_STOP)-LOG10(F_START))/(N_POINTS-1))</f>
        <v>0</v>
      </c>
      <c r="B885" s="6">
        <f>2*PI()*A885</f>
        <v>0</v>
      </c>
      <c r="C885">
        <f>COMPLEX(2*LINE_PS_DCR,2*B885*LINE_PS_L)</f>
        <v>0</v>
      </c>
      <c r="D885">
        <f>IMSUM(COMPLEX(0,B885*(LINE_PS_CLINE+LINE_PS_CCHA/2)),IMDIV("1",IMPRODUCT("2",COMPLEX(C_THROUGH_ESR,B885*C_THROUGH_ESL-1/(B885*C_THROUGH_C)))))</f>
        <v>0</v>
      </c>
      <c r="E885">
        <f>COMPLEX(2*LINE_INPUT_DCR,2*B885*LINE_INPUT_L)</f>
        <v>0</v>
      </c>
      <c r="F885">
        <f>COMPLEX(0,B885*(LINE_INPUT_CLINE+LINE_INPUT_CCHA/2))</f>
        <v>0</v>
      </c>
      <c r="G885">
        <f>IMPRODUCT("2",IMDIV("1",IMSUM(IMDIV("1",COMPLEX(LDM1_DCR,B885*LDM1_L)),COMPLEX(0,B885*LDM1_CPA))))</f>
        <v>0</v>
      </c>
      <c r="H885">
        <f>IMSUM(IMDIV("1",COMPLEX(CX1_ESR,B885*CX1_ESL-1/(B885*CX1_C))),IMDIV("1",IMSUM(COMPLEX(DUMP1_R,0),COMPLEX(DUMP1_ESR,B885*DUMP1_ESL-1/(B885*DUMP1_C)))))</f>
        <v>0</v>
      </c>
      <c r="I885">
        <f>IMPRODUCT("2",IMDIV("1",IMSUM(IMDIV("1",COMPLEX(LDM2_DCR,B885*LDM2_L)),COMPLEX(0,B885*LDM2_CPA))))</f>
        <v>0</v>
      </c>
      <c r="J885">
        <f>IMSUM(IMDIV("1",COMPLEX(CX2_ESR,B885*CX2_ESL-1/(B885*CX2_C))),IMDIV("1",IMSUM(COMPLEX(DUMP2_R,0),COMPLEX(DUMP2_ESR,B885*DUMP2_ESL-1/(B885*DUMP2_C)))))</f>
        <v>0</v>
      </c>
      <c r="K885">
        <f>IMPRODUCT("2",IMDIV("1",IMSUM(IMDIV("1",COMPLEX(CMC_DCR,B885*CMC_L*(1-CMC_K))),COMPLEX(0,B885*CMC_CPA))))</f>
        <v>0</v>
      </c>
      <c r="L885">
        <f>IMSUM(COMPLEX(0,B885*CMC_CLINE),IMDIV("1",IMPRODUCT("2",COMPLEX(CY_ESR,B885*CY_ESL-1/(B885*CY_C)))),COMPLEX(1/DUMMY_R,0))</f>
        <v>0</v>
      </c>
      <c r="M885">
        <f>IMSUM(D885,IMDIV("1",C885))</f>
        <v>0</v>
      </c>
      <c r="N885">
        <f>IMDIV("1",IMSUM(E885,IMDIV("1",M885)))</f>
        <v>0</v>
      </c>
      <c r="O885">
        <f>IMSUM(F885,N885)</f>
        <v>0</v>
      </c>
      <c r="P885">
        <f>IMDIV("1",IMSUM(G885,IMDIV("1",O885)))</f>
        <v>0</v>
      </c>
      <c r="Q885">
        <f>IMSUM(H885,P885)</f>
        <v>0</v>
      </c>
      <c r="R885">
        <f>IMDIV("1",IMSUM(I885,IMDIV("1",Q885)))</f>
        <v>0</v>
      </c>
      <c r="S885">
        <f>IMSUM(J885,R885)</f>
        <v>0</v>
      </c>
      <c r="T885">
        <f>IMDIV("1",IMSUM(K885,IMDIV("1",S885)))</f>
        <v>0</v>
      </c>
      <c r="U885">
        <f>IMSUM(L885,T885)</f>
        <v>0</v>
      </c>
      <c r="V885">
        <f>IMDIV(COMPLEX(I_DM_SOURCE,0),U885)</f>
        <v>0</v>
      </c>
      <c r="W885">
        <f>IMPRODUCT(V885,T885)</f>
        <v>0</v>
      </c>
      <c r="X885">
        <f>IMDIV(W885,S885)</f>
        <v>0</v>
      </c>
      <c r="Y885">
        <f>IMPRODUCT(X885,R885)</f>
        <v>0</v>
      </c>
      <c r="Z885">
        <f>IMDIV(Y885,Q885)</f>
        <v>0</v>
      </c>
      <c r="AA885">
        <f>IMPRODUCT(Z885,P885)</f>
        <v>0</v>
      </c>
      <c r="AB885">
        <f>AA885</f>
        <v>0</v>
      </c>
      <c r="AC885">
        <f>IMPRODUCT("-1",AB885)</f>
        <v>0</v>
      </c>
      <c r="AD885">
        <f>IMDIV(IMSUB(AB885,AC885),"2")</f>
        <v>0</v>
      </c>
      <c r="AE885" s="6">
        <f>IMABS(AB885)</f>
        <v>0</v>
      </c>
      <c r="AF885" s="6">
        <f>IMABS(AC885)</f>
        <v>0</v>
      </c>
      <c r="AG885" s="6">
        <f>IMABS(AD885)</f>
        <v>0</v>
      </c>
      <c r="AH885" s="7">
        <f>20*LOG10(MAX(AE885,1E-300)*1E6)</f>
        <v>0</v>
      </c>
      <c r="AI885" s="7">
        <f>20*LOG10(MAX(AF885,1E-300)*1E6)</f>
        <v>0</v>
      </c>
      <c r="AJ885" s="7">
        <f>20*LOG10(MAX(AG885,1E-300)*1E6)</f>
        <v>0</v>
      </c>
      <c r="AK885" s="7">
        <f>DEGREES(IMARGUMENT(AB885))</f>
        <v>0</v>
      </c>
      <c r="AL885" s="7">
        <f>DEGREES(IMARGUMENT(AC885))</f>
        <v>0</v>
      </c>
      <c r="AM885" s="7">
        <f>DEGREES(IMARGUMENT(AD885))</f>
        <v>0</v>
      </c>
    </row>
    <row r="886" spans="1:39">
      <c r="A886" s="6">
        <f>10^(LOG10(F_START)+(ROW()-ROW($A$2))*(LOG10(F_STOP)-LOG10(F_START))/(N_POINTS-1))</f>
        <v>0</v>
      </c>
      <c r="B886" s="6">
        <f>2*PI()*A886</f>
        <v>0</v>
      </c>
      <c r="C886">
        <f>COMPLEX(2*LINE_PS_DCR,2*B886*LINE_PS_L)</f>
        <v>0</v>
      </c>
      <c r="D886">
        <f>IMSUM(COMPLEX(0,B886*(LINE_PS_CLINE+LINE_PS_CCHA/2)),IMDIV("1",IMPRODUCT("2",COMPLEX(C_THROUGH_ESR,B886*C_THROUGH_ESL-1/(B886*C_THROUGH_C)))))</f>
        <v>0</v>
      </c>
      <c r="E886">
        <f>COMPLEX(2*LINE_INPUT_DCR,2*B886*LINE_INPUT_L)</f>
        <v>0</v>
      </c>
      <c r="F886">
        <f>COMPLEX(0,B886*(LINE_INPUT_CLINE+LINE_INPUT_CCHA/2))</f>
        <v>0</v>
      </c>
      <c r="G886">
        <f>IMPRODUCT("2",IMDIV("1",IMSUM(IMDIV("1",COMPLEX(LDM1_DCR,B886*LDM1_L)),COMPLEX(0,B886*LDM1_CPA))))</f>
        <v>0</v>
      </c>
      <c r="H886">
        <f>IMSUM(IMDIV("1",COMPLEX(CX1_ESR,B886*CX1_ESL-1/(B886*CX1_C))),IMDIV("1",IMSUM(COMPLEX(DUMP1_R,0),COMPLEX(DUMP1_ESR,B886*DUMP1_ESL-1/(B886*DUMP1_C)))))</f>
        <v>0</v>
      </c>
      <c r="I886">
        <f>IMPRODUCT("2",IMDIV("1",IMSUM(IMDIV("1",COMPLEX(LDM2_DCR,B886*LDM2_L)),COMPLEX(0,B886*LDM2_CPA))))</f>
        <v>0</v>
      </c>
      <c r="J886">
        <f>IMSUM(IMDIV("1",COMPLEX(CX2_ESR,B886*CX2_ESL-1/(B886*CX2_C))),IMDIV("1",IMSUM(COMPLEX(DUMP2_R,0),COMPLEX(DUMP2_ESR,B886*DUMP2_ESL-1/(B886*DUMP2_C)))))</f>
        <v>0</v>
      </c>
      <c r="K886">
        <f>IMPRODUCT("2",IMDIV("1",IMSUM(IMDIV("1",COMPLEX(CMC_DCR,B886*CMC_L*(1-CMC_K))),COMPLEX(0,B886*CMC_CPA))))</f>
        <v>0</v>
      </c>
      <c r="L886">
        <f>IMSUM(COMPLEX(0,B886*CMC_CLINE),IMDIV("1",IMPRODUCT("2",COMPLEX(CY_ESR,B886*CY_ESL-1/(B886*CY_C)))),COMPLEX(1/DUMMY_R,0))</f>
        <v>0</v>
      </c>
      <c r="M886">
        <f>IMSUM(D886,IMDIV("1",C886))</f>
        <v>0</v>
      </c>
      <c r="N886">
        <f>IMDIV("1",IMSUM(E886,IMDIV("1",M886)))</f>
        <v>0</v>
      </c>
      <c r="O886">
        <f>IMSUM(F886,N886)</f>
        <v>0</v>
      </c>
      <c r="P886">
        <f>IMDIV("1",IMSUM(G886,IMDIV("1",O886)))</f>
        <v>0</v>
      </c>
      <c r="Q886">
        <f>IMSUM(H886,P886)</f>
        <v>0</v>
      </c>
      <c r="R886">
        <f>IMDIV("1",IMSUM(I886,IMDIV("1",Q886)))</f>
        <v>0</v>
      </c>
      <c r="S886">
        <f>IMSUM(J886,R886)</f>
        <v>0</v>
      </c>
      <c r="T886">
        <f>IMDIV("1",IMSUM(K886,IMDIV("1",S886)))</f>
        <v>0</v>
      </c>
      <c r="U886">
        <f>IMSUM(L886,T886)</f>
        <v>0</v>
      </c>
      <c r="V886">
        <f>IMDIV(COMPLEX(I_DM_SOURCE,0),U886)</f>
        <v>0</v>
      </c>
      <c r="W886">
        <f>IMPRODUCT(V886,T886)</f>
        <v>0</v>
      </c>
      <c r="X886">
        <f>IMDIV(W886,S886)</f>
        <v>0</v>
      </c>
      <c r="Y886">
        <f>IMPRODUCT(X886,R886)</f>
        <v>0</v>
      </c>
      <c r="Z886">
        <f>IMDIV(Y886,Q886)</f>
        <v>0</v>
      </c>
      <c r="AA886">
        <f>IMPRODUCT(Z886,P886)</f>
        <v>0</v>
      </c>
      <c r="AB886">
        <f>AA886</f>
        <v>0</v>
      </c>
      <c r="AC886">
        <f>IMPRODUCT("-1",AB886)</f>
        <v>0</v>
      </c>
      <c r="AD886">
        <f>IMDIV(IMSUB(AB886,AC886),"2")</f>
        <v>0</v>
      </c>
      <c r="AE886" s="6">
        <f>IMABS(AB886)</f>
        <v>0</v>
      </c>
      <c r="AF886" s="6">
        <f>IMABS(AC886)</f>
        <v>0</v>
      </c>
      <c r="AG886" s="6">
        <f>IMABS(AD886)</f>
        <v>0</v>
      </c>
      <c r="AH886" s="7">
        <f>20*LOG10(MAX(AE886,1E-300)*1E6)</f>
        <v>0</v>
      </c>
      <c r="AI886" s="7">
        <f>20*LOG10(MAX(AF886,1E-300)*1E6)</f>
        <v>0</v>
      </c>
      <c r="AJ886" s="7">
        <f>20*LOG10(MAX(AG886,1E-300)*1E6)</f>
        <v>0</v>
      </c>
      <c r="AK886" s="7">
        <f>DEGREES(IMARGUMENT(AB886))</f>
        <v>0</v>
      </c>
      <c r="AL886" s="7">
        <f>DEGREES(IMARGUMENT(AC886))</f>
        <v>0</v>
      </c>
      <c r="AM886" s="7">
        <f>DEGREES(IMARGUMENT(AD886))</f>
        <v>0</v>
      </c>
    </row>
    <row r="887" spans="1:39">
      <c r="A887" s="6">
        <f>10^(LOG10(F_START)+(ROW()-ROW($A$2))*(LOG10(F_STOP)-LOG10(F_START))/(N_POINTS-1))</f>
        <v>0</v>
      </c>
      <c r="B887" s="6">
        <f>2*PI()*A887</f>
        <v>0</v>
      </c>
      <c r="C887">
        <f>COMPLEX(2*LINE_PS_DCR,2*B887*LINE_PS_L)</f>
        <v>0</v>
      </c>
      <c r="D887">
        <f>IMSUM(COMPLEX(0,B887*(LINE_PS_CLINE+LINE_PS_CCHA/2)),IMDIV("1",IMPRODUCT("2",COMPLEX(C_THROUGH_ESR,B887*C_THROUGH_ESL-1/(B887*C_THROUGH_C)))))</f>
        <v>0</v>
      </c>
      <c r="E887">
        <f>COMPLEX(2*LINE_INPUT_DCR,2*B887*LINE_INPUT_L)</f>
        <v>0</v>
      </c>
      <c r="F887">
        <f>COMPLEX(0,B887*(LINE_INPUT_CLINE+LINE_INPUT_CCHA/2))</f>
        <v>0</v>
      </c>
      <c r="G887">
        <f>IMPRODUCT("2",IMDIV("1",IMSUM(IMDIV("1",COMPLEX(LDM1_DCR,B887*LDM1_L)),COMPLEX(0,B887*LDM1_CPA))))</f>
        <v>0</v>
      </c>
      <c r="H887">
        <f>IMSUM(IMDIV("1",COMPLEX(CX1_ESR,B887*CX1_ESL-1/(B887*CX1_C))),IMDIV("1",IMSUM(COMPLEX(DUMP1_R,0),COMPLEX(DUMP1_ESR,B887*DUMP1_ESL-1/(B887*DUMP1_C)))))</f>
        <v>0</v>
      </c>
      <c r="I887">
        <f>IMPRODUCT("2",IMDIV("1",IMSUM(IMDIV("1",COMPLEX(LDM2_DCR,B887*LDM2_L)),COMPLEX(0,B887*LDM2_CPA))))</f>
        <v>0</v>
      </c>
      <c r="J887">
        <f>IMSUM(IMDIV("1",COMPLEX(CX2_ESR,B887*CX2_ESL-1/(B887*CX2_C))),IMDIV("1",IMSUM(COMPLEX(DUMP2_R,0),COMPLEX(DUMP2_ESR,B887*DUMP2_ESL-1/(B887*DUMP2_C)))))</f>
        <v>0</v>
      </c>
      <c r="K887">
        <f>IMPRODUCT("2",IMDIV("1",IMSUM(IMDIV("1",COMPLEX(CMC_DCR,B887*CMC_L*(1-CMC_K))),COMPLEX(0,B887*CMC_CPA))))</f>
        <v>0</v>
      </c>
      <c r="L887">
        <f>IMSUM(COMPLEX(0,B887*CMC_CLINE),IMDIV("1",IMPRODUCT("2",COMPLEX(CY_ESR,B887*CY_ESL-1/(B887*CY_C)))),COMPLEX(1/DUMMY_R,0))</f>
        <v>0</v>
      </c>
      <c r="M887">
        <f>IMSUM(D887,IMDIV("1",C887))</f>
        <v>0</v>
      </c>
      <c r="N887">
        <f>IMDIV("1",IMSUM(E887,IMDIV("1",M887)))</f>
        <v>0</v>
      </c>
      <c r="O887">
        <f>IMSUM(F887,N887)</f>
        <v>0</v>
      </c>
      <c r="P887">
        <f>IMDIV("1",IMSUM(G887,IMDIV("1",O887)))</f>
        <v>0</v>
      </c>
      <c r="Q887">
        <f>IMSUM(H887,P887)</f>
        <v>0</v>
      </c>
      <c r="R887">
        <f>IMDIV("1",IMSUM(I887,IMDIV("1",Q887)))</f>
        <v>0</v>
      </c>
      <c r="S887">
        <f>IMSUM(J887,R887)</f>
        <v>0</v>
      </c>
      <c r="T887">
        <f>IMDIV("1",IMSUM(K887,IMDIV("1",S887)))</f>
        <v>0</v>
      </c>
      <c r="U887">
        <f>IMSUM(L887,T887)</f>
        <v>0</v>
      </c>
      <c r="V887">
        <f>IMDIV(COMPLEX(I_DM_SOURCE,0),U887)</f>
        <v>0</v>
      </c>
      <c r="W887">
        <f>IMPRODUCT(V887,T887)</f>
        <v>0</v>
      </c>
      <c r="X887">
        <f>IMDIV(W887,S887)</f>
        <v>0</v>
      </c>
      <c r="Y887">
        <f>IMPRODUCT(X887,R887)</f>
        <v>0</v>
      </c>
      <c r="Z887">
        <f>IMDIV(Y887,Q887)</f>
        <v>0</v>
      </c>
      <c r="AA887">
        <f>IMPRODUCT(Z887,P887)</f>
        <v>0</v>
      </c>
      <c r="AB887">
        <f>AA887</f>
        <v>0</v>
      </c>
      <c r="AC887">
        <f>IMPRODUCT("-1",AB887)</f>
        <v>0</v>
      </c>
      <c r="AD887">
        <f>IMDIV(IMSUB(AB887,AC887),"2")</f>
        <v>0</v>
      </c>
      <c r="AE887" s="6">
        <f>IMABS(AB887)</f>
        <v>0</v>
      </c>
      <c r="AF887" s="6">
        <f>IMABS(AC887)</f>
        <v>0</v>
      </c>
      <c r="AG887" s="6">
        <f>IMABS(AD887)</f>
        <v>0</v>
      </c>
      <c r="AH887" s="7">
        <f>20*LOG10(MAX(AE887,1E-300)*1E6)</f>
        <v>0</v>
      </c>
      <c r="AI887" s="7">
        <f>20*LOG10(MAX(AF887,1E-300)*1E6)</f>
        <v>0</v>
      </c>
      <c r="AJ887" s="7">
        <f>20*LOG10(MAX(AG887,1E-300)*1E6)</f>
        <v>0</v>
      </c>
      <c r="AK887" s="7">
        <f>DEGREES(IMARGUMENT(AB887))</f>
        <v>0</v>
      </c>
      <c r="AL887" s="7">
        <f>DEGREES(IMARGUMENT(AC887))</f>
        <v>0</v>
      </c>
      <c r="AM887" s="7">
        <f>DEGREES(IMARGUMENT(AD887))</f>
        <v>0</v>
      </c>
    </row>
    <row r="888" spans="1:39">
      <c r="A888" s="6">
        <f>10^(LOG10(F_START)+(ROW()-ROW($A$2))*(LOG10(F_STOP)-LOG10(F_START))/(N_POINTS-1))</f>
        <v>0</v>
      </c>
      <c r="B888" s="6">
        <f>2*PI()*A888</f>
        <v>0</v>
      </c>
      <c r="C888">
        <f>COMPLEX(2*LINE_PS_DCR,2*B888*LINE_PS_L)</f>
        <v>0</v>
      </c>
      <c r="D888">
        <f>IMSUM(COMPLEX(0,B888*(LINE_PS_CLINE+LINE_PS_CCHA/2)),IMDIV("1",IMPRODUCT("2",COMPLEX(C_THROUGH_ESR,B888*C_THROUGH_ESL-1/(B888*C_THROUGH_C)))))</f>
        <v>0</v>
      </c>
      <c r="E888">
        <f>COMPLEX(2*LINE_INPUT_DCR,2*B888*LINE_INPUT_L)</f>
        <v>0</v>
      </c>
      <c r="F888">
        <f>COMPLEX(0,B888*(LINE_INPUT_CLINE+LINE_INPUT_CCHA/2))</f>
        <v>0</v>
      </c>
      <c r="G888">
        <f>IMPRODUCT("2",IMDIV("1",IMSUM(IMDIV("1",COMPLEX(LDM1_DCR,B888*LDM1_L)),COMPLEX(0,B888*LDM1_CPA))))</f>
        <v>0</v>
      </c>
      <c r="H888">
        <f>IMSUM(IMDIV("1",COMPLEX(CX1_ESR,B888*CX1_ESL-1/(B888*CX1_C))),IMDIV("1",IMSUM(COMPLEX(DUMP1_R,0),COMPLEX(DUMP1_ESR,B888*DUMP1_ESL-1/(B888*DUMP1_C)))))</f>
        <v>0</v>
      </c>
      <c r="I888">
        <f>IMPRODUCT("2",IMDIV("1",IMSUM(IMDIV("1",COMPLEX(LDM2_DCR,B888*LDM2_L)),COMPLEX(0,B888*LDM2_CPA))))</f>
        <v>0</v>
      </c>
      <c r="J888">
        <f>IMSUM(IMDIV("1",COMPLEX(CX2_ESR,B888*CX2_ESL-1/(B888*CX2_C))),IMDIV("1",IMSUM(COMPLEX(DUMP2_R,0),COMPLEX(DUMP2_ESR,B888*DUMP2_ESL-1/(B888*DUMP2_C)))))</f>
        <v>0</v>
      </c>
      <c r="K888">
        <f>IMPRODUCT("2",IMDIV("1",IMSUM(IMDIV("1",COMPLEX(CMC_DCR,B888*CMC_L*(1-CMC_K))),COMPLEX(0,B888*CMC_CPA))))</f>
        <v>0</v>
      </c>
      <c r="L888">
        <f>IMSUM(COMPLEX(0,B888*CMC_CLINE),IMDIV("1",IMPRODUCT("2",COMPLEX(CY_ESR,B888*CY_ESL-1/(B888*CY_C)))),COMPLEX(1/DUMMY_R,0))</f>
        <v>0</v>
      </c>
      <c r="M888">
        <f>IMSUM(D888,IMDIV("1",C888))</f>
        <v>0</v>
      </c>
      <c r="N888">
        <f>IMDIV("1",IMSUM(E888,IMDIV("1",M888)))</f>
        <v>0</v>
      </c>
      <c r="O888">
        <f>IMSUM(F888,N888)</f>
        <v>0</v>
      </c>
      <c r="P888">
        <f>IMDIV("1",IMSUM(G888,IMDIV("1",O888)))</f>
        <v>0</v>
      </c>
      <c r="Q888">
        <f>IMSUM(H888,P888)</f>
        <v>0</v>
      </c>
      <c r="R888">
        <f>IMDIV("1",IMSUM(I888,IMDIV("1",Q888)))</f>
        <v>0</v>
      </c>
      <c r="S888">
        <f>IMSUM(J888,R888)</f>
        <v>0</v>
      </c>
      <c r="T888">
        <f>IMDIV("1",IMSUM(K888,IMDIV("1",S888)))</f>
        <v>0</v>
      </c>
      <c r="U888">
        <f>IMSUM(L888,T888)</f>
        <v>0</v>
      </c>
      <c r="V888">
        <f>IMDIV(COMPLEX(I_DM_SOURCE,0),U888)</f>
        <v>0</v>
      </c>
      <c r="W888">
        <f>IMPRODUCT(V888,T888)</f>
        <v>0</v>
      </c>
      <c r="X888">
        <f>IMDIV(W888,S888)</f>
        <v>0</v>
      </c>
      <c r="Y888">
        <f>IMPRODUCT(X888,R888)</f>
        <v>0</v>
      </c>
      <c r="Z888">
        <f>IMDIV(Y888,Q888)</f>
        <v>0</v>
      </c>
      <c r="AA888">
        <f>IMPRODUCT(Z888,P888)</f>
        <v>0</v>
      </c>
      <c r="AB888">
        <f>AA888</f>
        <v>0</v>
      </c>
      <c r="AC888">
        <f>IMPRODUCT("-1",AB888)</f>
        <v>0</v>
      </c>
      <c r="AD888">
        <f>IMDIV(IMSUB(AB888,AC888),"2")</f>
        <v>0</v>
      </c>
      <c r="AE888" s="6">
        <f>IMABS(AB888)</f>
        <v>0</v>
      </c>
      <c r="AF888" s="6">
        <f>IMABS(AC888)</f>
        <v>0</v>
      </c>
      <c r="AG888" s="6">
        <f>IMABS(AD888)</f>
        <v>0</v>
      </c>
      <c r="AH888" s="7">
        <f>20*LOG10(MAX(AE888,1E-300)*1E6)</f>
        <v>0</v>
      </c>
      <c r="AI888" s="7">
        <f>20*LOG10(MAX(AF888,1E-300)*1E6)</f>
        <v>0</v>
      </c>
      <c r="AJ888" s="7">
        <f>20*LOG10(MAX(AG888,1E-300)*1E6)</f>
        <v>0</v>
      </c>
      <c r="AK888" s="7">
        <f>DEGREES(IMARGUMENT(AB888))</f>
        <v>0</v>
      </c>
      <c r="AL888" s="7">
        <f>DEGREES(IMARGUMENT(AC888))</f>
        <v>0</v>
      </c>
      <c r="AM888" s="7">
        <f>DEGREES(IMARGUMENT(AD888))</f>
        <v>0</v>
      </c>
    </row>
    <row r="889" spans="1:39">
      <c r="A889" s="6">
        <f>10^(LOG10(F_START)+(ROW()-ROW($A$2))*(LOG10(F_STOP)-LOG10(F_START))/(N_POINTS-1))</f>
        <v>0</v>
      </c>
      <c r="B889" s="6">
        <f>2*PI()*A889</f>
        <v>0</v>
      </c>
      <c r="C889">
        <f>COMPLEX(2*LINE_PS_DCR,2*B889*LINE_PS_L)</f>
        <v>0</v>
      </c>
      <c r="D889">
        <f>IMSUM(COMPLEX(0,B889*(LINE_PS_CLINE+LINE_PS_CCHA/2)),IMDIV("1",IMPRODUCT("2",COMPLEX(C_THROUGH_ESR,B889*C_THROUGH_ESL-1/(B889*C_THROUGH_C)))))</f>
        <v>0</v>
      </c>
      <c r="E889">
        <f>COMPLEX(2*LINE_INPUT_DCR,2*B889*LINE_INPUT_L)</f>
        <v>0</v>
      </c>
      <c r="F889">
        <f>COMPLEX(0,B889*(LINE_INPUT_CLINE+LINE_INPUT_CCHA/2))</f>
        <v>0</v>
      </c>
      <c r="G889">
        <f>IMPRODUCT("2",IMDIV("1",IMSUM(IMDIV("1",COMPLEX(LDM1_DCR,B889*LDM1_L)),COMPLEX(0,B889*LDM1_CPA))))</f>
        <v>0</v>
      </c>
      <c r="H889">
        <f>IMSUM(IMDIV("1",COMPLEX(CX1_ESR,B889*CX1_ESL-1/(B889*CX1_C))),IMDIV("1",IMSUM(COMPLEX(DUMP1_R,0),COMPLEX(DUMP1_ESR,B889*DUMP1_ESL-1/(B889*DUMP1_C)))))</f>
        <v>0</v>
      </c>
      <c r="I889">
        <f>IMPRODUCT("2",IMDIV("1",IMSUM(IMDIV("1",COMPLEX(LDM2_DCR,B889*LDM2_L)),COMPLEX(0,B889*LDM2_CPA))))</f>
        <v>0</v>
      </c>
      <c r="J889">
        <f>IMSUM(IMDIV("1",COMPLEX(CX2_ESR,B889*CX2_ESL-1/(B889*CX2_C))),IMDIV("1",IMSUM(COMPLEX(DUMP2_R,0),COMPLEX(DUMP2_ESR,B889*DUMP2_ESL-1/(B889*DUMP2_C)))))</f>
        <v>0</v>
      </c>
      <c r="K889">
        <f>IMPRODUCT("2",IMDIV("1",IMSUM(IMDIV("1",COMPLEX(CMC_DCR,B889*CMC_L*(1-CMC_K))),COMPLEX(0,B889*CMC_CPA))))</f>
        <v>0</v>
      </c>
      <c r="L889">
        <f>IMSUM(COMPLEX(0,B889*CMC_CLINE),IMDIV("1",IMPRODUCT("2",COMPLEX(CY_ESR,B889*CY_ESL-1/(B889*CY_C)))),COMPLEX(1/DUMMY_R,0))</f>
        <v>0</v>
      </c>
      <c r="M889">
        <f>IMSUM(D889,IMDIV("1",C889))</f>
        <v>0</v>
      </c>
      <c r="N889">
        <f>IMDIV("1",IMSUM(E889,IMDIV("1",M889)))</f>
        <v>0</v>
      </c>
      <c r="O889">
        <f>IMSUM(F889,N889)</f>
        <v>0</v>
      </c>
      <c r="P889">
        <f>IMDIV("1",IMSUM(G889,IMDIV("1",O889)))</f>
        <v>0</v>
      </c>
      <c r="Q889">
        <f>IMSUM(H889,P889)</f>
        <v>0</v>
      </c>
      <c r="R889">
        <f>IMDIV("1",IMSUM(I889,IMDIV("1",Q889)))</f>
        <v>0</v>
      </c>
      <c r="S889">
        <f>IMSUM(J889,R889)</f>
        <v>0</v>
      </c>
      <c r="T889">
        <f>IMDIV("1",IMSUM(K889,IMDIV("1",S889)))</f>
        <v>0</v>
      </c>
      <c r="U889">
        <f>IMSUM(L889,T889)</f>
        <v>0</v>
      </c>
      <c r="V889">
        <f>IMDIV(COMPLEX(I_DM_SOURCE,0),U889)</f>
        <v>0</v>
      </c>
      <c r="W889">
        <f>IMPRODUCT(V889,T889)</f>
        <v>0</v>
      </c>
      <c r="X889">
        <f>IMDIV(W889,S889)</f>
        <v>0</v>
      </c>
      <c r="Y889">
        <f>IMPRODUCT(X889,R889)</f>
        <v>0</v>
      </c>
      <c r="Z889">
        <f>IMDIV(Y889,Q889)</f>
        <v>0</v>
      </c>
      <c r="AA889">
        <f>IMPRODUCT(Z889,P889)</f>
        <v>0</v>
      </c>
      <c r="AB889">
        <f>AA889</f>
        <v>0</v>
      </c>
      <c r="AC889">
        <f>IMPRODUCT("-1",AB889)</f>
        <v>0</v>
      </c>
      <c r="AD889">
        <f>IMDIV(IMSUB(AB889,AC889),"2")</f>
        <v>0</v>
      </c>
      <c r="AE889" s="6">
        <f>IMABS(AB889)</f>
        <v>0</v>
      </c>
      <c r="AF889" s="6">
        <f>IMABS(AC889)</f>
        <v>0</v>
      </c>
      <c r="AG889" s="6">
        <f>IMABS(AD889)</f>
        <v>0</v>
      </c>
      <c r="AH889" s="7">
        <f>20*LOG10(MAX(AE889,1E-300)*1E6)</f>
        <v>0</v>
      </c>
      <c r="AI889" s="7">
        <f>20*LOG10(MAX(AF889,1E-300)*1E6)</f>
        <v>0</v>
      </c>
      <c r="AJ889" s="7">
        <f>20*LOG10(MAX(AG889,1E-300)*1E6)</f>
        <v>0</v>
      </c>
      <c r="AK889" s="7">
        <f>DEGREES(IMARGUMENT(AB889))</f>
        <v>0</v>
      </c>
      <c r="AL889" s="7">
        <f>DEGREES(IMARGUMENT(AC889))</f>
        <v>0</v>
      </c>
      <c r="AM889" s="7">
        <f>DEGREES(IMARGUMENT(AD889))</f>
        <v>0</v>
      </c>
    </row>
    <row r="890" spans="1:39">
      <c r="A890" s="6">
        <f>10^(LOG10(F_START)+(ROW()-ROW($A$2))*(LOG10(F_STOP)-LOG10(F_START))/(N_POINTS-1))</f>
        <v>0</v>
      </c>
      <c r="B890" s="6">
        <f>2*PI()*A890</f>
        <v>0</v>
      </c>
      <c r="C890">
        <f>COMPLEX(2*LINE_PS_DCR,2*B890*LINE_PS_L)</f>
        <v>0</v>
      </c>
      <c r="D890">
        <f>IMSUM(COMPLEX(0,B890*(LINE_PS_CLINE+LINE_PS_CCHA/2)),IMDIV("1",IMPRODUCT("2",COMPLEX(C_THROUGH_ESR,B890*C_THROUGH_ESL-1/(B890*C_THROUGH_C)))))</f>
        <v>0</v>
      </c>
      <c r="E890">
        <f>COMPLEX(2*LINE_INPUT_DCR,2*B890*LINE_INPUT_L)</f>
        <v>0</v>
      </c>
      <c r="F890">
        <f>COMPLEX(0,B890*(LINE_INPUT_CLINE+LINE_INPUT_CCHA/2))</f>
        <v>0</v>
      </c>
      <c r="G890">
        <f>IMPRODUCT("2",IMDIV("1",IMSUM(IMDIV("1",COMPLEX(LDM1_DCR,B890*LDM1_L)),COMPLEX(0,B890*LDM1_CPA))))</f>
        <v>0</v>
      </c>
      <c r="H890">
        <f>IMSUM(IMDIV("1",COMPLEX(CX1_ESR,B890*CX1_ESL-1/(B890*CX1_C))),IMDIV("1",IMSUM(COMPLEX(DUMP1_R,0),COMPLEX(DUMP1_ESR,B890*DUMP1_ESL-1/(B890*DUMP1_C)))))</f>
        <v>0</v>
      </c>
      <c r="I890">
        <f>IMPRODUCT("2",IMDIV("1",IMSUM(IMDIV("1",COMPLEX(LDM2_DCR,B890*LDM2_L)),COMPLEX(0,B890*LDM2_CPA))))</f>
        <v>0</v>
      </c>
      <c r="J890">
        <f>IMSUM(IMDIV("1",COMPLEX(CX2_ESR,B890*CX2_ESL-1/(B890*CX2_C))),IMDIV("1",IMSUM(COMPLEX(DUMP2_R,0),COMPLEX(DUMP2_ESR,B890*DUMP2_ESL-1/(B890*DUMP2_C)))))</f>
        <v>0</v>
      </c>
      <c r="K890">
        <f>IMPRODUCT("2",IMDIV("1",IMSUM(IMDIV("1",COMPLEX(CMC_DCR,B890*CMC_L*(1-CMC_K))),COMPLEX(0,B890*CMC_CPA))))</f>
        <v>0</v>
      </c>
      <c r="L890">
        <f>IMSUM(COMPLEX(0,B890*CMC_CLINE),IMDIV("1",IMPRODUCT("2",COMPLEX(CY_ESR,B890*CY_ESL-1/(B890*CY_C)))),COMPLEX(1/DUMMY_R,0))</f>
        <v>0</v>
      </c>
      <c r="M890">
        <f>IMSUM(D890,IMDIV("1",C890))</f>
        <v>0</v>
      </c>
      <c r="N890">
        <f>IMDIV("1",IMSUM(E890,IMDIV("1",M890)))</f>
        <v>0</v>
      </c>
      <c r="O890">
        <f>IMSUM(F890,N890)</f>
        <v>0</v>
      </c>
      <c r="P890">
        <f>IMDIV("1",IMSUM(G890,IMDIV("1",O890)))</f>
        <v>0</v>
      </c>
      <c r="Q890">
        <f>IMSUM(H890,P890)</f>
        <v>0</v>
      </c>
      <c r="R890">
        <f>IMDIV("1",IMSUM(I890,IMDIV("1",Q890)))</f>
        <v>0</v>
      </c>
      <c r="S890">
        <f>IMSUM(J890,R890)</f>
        <v>0</v>
      </c>
      <c r="T890">
        <f>IMDIV("1",IMSUM(K890,IMDIV("1",S890)))</f>
        <v>0</v>
      </c>
      <c r="U890">
        <f>IMSUM(L890,T890)</f>
        <v>0</v>
      </c>
      <c r="V890">
        <f>IMDIV(COMPLEX(I_DM_SOURCE,0),U890)</f>
        <v>0</v>
      </c>
      <c r="W890">
        <f>IMPRODUCT(V890,T890)</f>
        <v>0</v>
      </c>
      <c r="X890">
        <f>IMDIV(W890,S890)</f>
        <v>0</v>
      </c>
      <c r="Y890">
        <f>IMPRODUCT(X890,R890)</f>
        <v>0</v>
      </c>
      <c r="Z890">
        <f>IMDIV(Y890,Q890)</f>
        <v>0</v>
      </c>
      <c r="AA890">
        <f>IMPRODUCT(Z890,P890)</f>
        <v>0</v>
      </c>
      <c r="AB890">
        <f>AA890</f>
        <v>0</v>
      </c>
      <c r="AC890">
        <f>IMPRODUCT("-1",AB890)</f>
        <v>0</v>
      </c>
      <c r="AD890">
        <f>IMDIV(IMSUB(AB890,AC890),"2")</f>
        <v>0</v>
      </c>
      <c r="AE890" s="6">
        <f>IMABS(AB890)</f>
        <v>0</v>
      </c>
      <c r="AF890" s="6">
        <f>IMABS(AC890)</f>
        <v>0</v>
      </c>
      <c r="AG890" s="6">
        <f>IMABS(AD890)</f>
        <v>0</v>
      </c>
      <c r="AH890" s="7">
        <f>20*LOG10(MAX(AE890,1E-300)*1E6)</f>
        <v>0</v>
      </c>
      <c r="AI890" s="7">
        <f>20*LOG10(MAX(AF890,1E-300)*1E6)</f>
        <v>0</v>
      </c>
      <c r="AJ890" s="7">
        <f>20*LOG10(MAX(AG890,1E-300)*1E6)</f>
        <v>0</v>
      </c>
      <c r="AK890" s="7">
        <f>DEGREES(IMARGUMENT(AB890))</f>
        <v>0</v>
      </c>
      <c r="AL890" s="7">
        <f>DEGREES(IMARGUMENT(AC890))</f>
        <v>0</v>
      </c>
      <c r="AM890" s="7">
        <f>DEGREES(IMARGUMENT(AD890))</f>
        <v>0</v>
      </c>
    </row>
    <row r="891" spans="1:39">
      <c r="A891" s="6">
        <f>10^(LOG10(F_START)+(ROW()-ROW($A$2))*(LOG10(F_STOP)-LOG10(F_START))/(N_POINTS-1))</f>
        <v>0</v>
      </c>
      <c r="B891" s="6">
        <f>2*PI()*A891</f>
        <v>0</v>
      </c>
      <c r="C891">
        <f>COMPLEX(2*LINE_PS_DCR,2*B891*LINE_PS_L)</f>
        <v>0</v>
      </c>
      <c r="D891">
        <f>IMSUM(COMPLEX(0,B891*(LINE_PS_CLINE+LINE_PS_CCHA/2)),IMDIV("1",IMPRODUCT("2",COMPLEX(C_THROUGH_ESR,B891*C_THROUGH_ESL-1/(B891*C_THROUGH_C)))))</f>
        <v>0</v>
      </c>
      <c r="E891">
        <f>COMPLEX(2*LINE_INPUT_DCR,2*B891*LINE_INPUT_L)</f>
        <v>0</v>
      </c>
      <c r="F891">
        <f>COMPLEX(0,B891*(LINE_INPUT_CLINE+LINE_INPUT_CCHA/2))</f>
        <v>0</v>
      </c>
      <c r="G891">
        <f>IMPRODUCT("2",IMDIV("1",IMSUM(IMDIV("1",COMPLEX(LDM1_DCR,B891*LDM1_L)),COMPLEX(0,B891*LDM1_CPA))))</f>
        <v>0</v>
      </c>
      <c r="H891">
        <f>IMSUM(IMDIV("1",COMPLEX(CX1_ESR,B891*CX1_ESL-1/(B891*CX1_C))),IMDIV("1",IMSUM(COMPLEX(DUMP1_R,0),COMPLEX(DUMP1_ESR,B891*DUMP1_ESL-1/(B891*DUMP1_C)))))</f>
        <v>0</v>
      </c>
      <c r="I891">
        <f>IMPRODUCT("2",IMDIV("1",IMSUM(IMDIV("1",COMPLEX(LDM2_DCR,B891*LDM2_L)),COMPLEX(0,B891*LDM2_CPA))))</f>
        <v>0</v>
      </c>
      <c r="J891">
        <f>IMSUM(IMDIV("1",COMPLEX(CX2_ESR,B891*CX2_ESL-1/(B891*CX2_C))),IMDIV("1",IMSUM(COMPLEX(DUMP2_R,0),COMPLEX(DUMP2_ESR,B891*DUMP2_ESL-1/(B891*DUMP2_C)))))</f>
        <v>0</v>
      </c>
      <c r="K891">
        <f>IMPRODUCT("2",IMDIV("1",IMSUM(IMDIV("1",COMPLEX(CMC_DCR,B891*CMC_L*(1-CMC_K))),COMPLEX(0,B891*CMC_CPA))))</f>
        <v>0</v>
      </c>
      <c r="L891">
        <f>IMSUM(COMPLEX(0,B891*CMC_CLINE),IMDIV("1",IMPRODUCT("2",COMPLEX(CY_ESR,B891*CY_ESL-1/(B891*CY_C)))),COMPLEX(1/DUMMY_R,0))</f>
        <v>0</v>
      </c>
      <c r="M891">
        <f>IMSUM(D891,IMDIV("1",C891))</f>
        <v>0</v>
      </c>
      <c r="N891">
        <f>IMDIV("1",IMSUM(E891,IMDIV("1",M891)))</f>
        <v>0</v>
      </c>
      <c r="O891">
        <f>IMSUM(F891,N891)</f>
        <v>0</v>
      </c>
      <c r="P891">
        <f>IMDIV("1",IMSUM(G891,IMDIV("1",O891)))</f>
        <v>0</v>
      </c>
      <c r="Q891">
        <f>IMSUM(H891,P891)</f>
        <v>0</v>
      </c>
      <c r="R891">
        <f>IMDIV("1",IMSUM(I891,IMDIV("1",Q891)))</f>
        <v>0</v>
      </c>
      <c r="S891">
        <f>IMSUM(J891,R891)</f>
        <v>0</v>
      </c>
      <c r="T891">
        <f>IMDIV("1",IMSUM(K891,IMDIV("1",S891)))</f>
        <v>0</v>
      </c>
      <c r="U891">
        <f>IMSUM(L891,T891)</f>
        <v>0</v>
      </c>
      <c r="V891">
        <f>IMDIV(COMPLEX(I_DM_SOURCE,0),U891)</f>
        <v>0</v>
      </c>
      <c r="W891">
        <f>IMPRODUCT(V891,T891)</f>
        <v>0</v>
      </c>
      <c r="X891">
        <f>IMDIV(W891,S891)</f>
        <v>0</v>
      </c>
      <c r="Y891">
        <f>IMPRODUCT(X891,R891)</f>
        <v>0</v>
      </c>
      <c r="Z891">
        <f>IMDIV(Y891,Q891)</f>
        <v>0</v>
      </c>
      <c r="AA891">
        <f>IMPRODUCT(Z891,P891)</f>
        <v>0</v>
      </c>
      <c r="AB891">
        <f>AA891</f>
        <v>0</v>
      </c>
      <c r="AC891">
        <f>IMPRODUCT("-1",AB891)</f>
        <v>0</v>
      </c>
      <c r="AD891">
        <f>IMDIV(IMSUB(AB891,AC891),"2")</f>
        <v>0</v>
      </c>
      <c r="AE891" s="6">
        <f>IMABS(AB891)</f>
        <v>0</v>
      </c>
      <c r="AF891" s="6">
        <f>IMABS(AC891)</f>
        <v>0</v>
      </c>
      <c r="AG891" s="6">
        <f>IMABS(AD891)</f>
        <v>0</v>
      </c>
      <c r="AH891" s="7">
        <f>20*LOG10(MAX(AE891,1E-300)*1E6)</f>
        <v>0</v>
      </c>
      <c r="AI891" s="7">
        <f>20*LOG10(MAX(AF891,1E-300)*1E6)</f>
        <v>0</v>
      </c>
      <c r="AJ891" s="7">
        <f>20*LOG10(MAX(AG891,1E-300)*1E6)</f>
        <v>0</v>
      </c>
      <c r="AK891" s="7">
        <f>DEGREES(IMARGUMENT(AB891))</f>
        <v>0</v>
      </c>
      <c r="AL891" s="7">
        <f>DEGREES(IMARGUMENT(AC891))</f>
        <v>0</v>
      </c>
      <c r="AM891" s="7">
        <f>DEGREES(IMARGUMENT(AD891))</f>
        <v>0</v>
      </c>
    </row>
    <row r="892" spans="1:39">
      <c r="A892" s="6">
        <f>10^(LOG10(F_START)+(ROW()-ROW($A$2))*(LOG10(F_STOP)-LOG10(F_START))/(N_POINTS-1))</f>
        <v>0</v>
      </c>
      <c r="B892" s="6">
        <f>2*PI()*A892</f>
        <v>0</v>
      </c>
      <c r="C892">
        <f>COMPLEX(2*LINE_PS_DCR,2*B892*LINE_PS_L)</f>
        <v>0</v>
      </c>
      <c r="D892">
        <f>IMSUM(COMPLEX(0,B892*(LINE_PS_CLINE+LINE_PS_CCHA/2)),IMDIV("1",IMPRODUCT("2",COMPLEX(C_THROUGH_ESR,B892*C_THROUGH_ESL-1/(B892*C_THROUGH_C)))))</f>
        <v>0</v>
      </c>
      <c r="E892">
        <f>COMPLEX(2*LINE_INPUT_DCR,2*B892*LINE_INPUT_L)</f>
        <v>0</v>
      </c>
      <c r="F892">
        <f>COMPLEX(0,B892*(LINE_INPUT_CLINE+LINE_INPUT_CCHA/2))</f>
        <v>0</v>
      </c>
      <c r="G892">
        <f>IMPRODUCT("2",IMDIV("1",IMSUM(IMDIV("1",COMPLEX(LDM1_DCR,B892*LDM1_L)),COMPLEX(0,B892*LDM1_CPA))))</f>
        <v>0</v>
      </c>
      <c r="H892">
        <f>IMSUM(IMDIV("1",COMPLEX(CX1_ESR,B892*CX1_ESL-1/(B892*CX1_C))),IMDIV("1",IMSUM(COMPLEX(DUMP1_R,0),COMPLEX(DUMP1_ESR,B892*DUMP1_ESL-1/(B892*DUMP1_C)))))</f>
        <v>0</v>
      </c>
      <c r="I892">
        <f>IMPRODUCT("2",IMDIV("1",IMSUM(IMDIV("1",COMPLEX(LDM2_DCR,B892*LDM2_L)),COMPLEX(0,B892*LDM2_CPA))))</f>
        <v>0</v>
      </c>
      <c r="J892">
        <f>IMSUM(IMDIV("1",COMPLEX(CX2_ESR,B892*CX2_ESL-1/(B892*CX2_C))),IMDIV("1",IMSUM(COMPLEX(DUMP2_R,0),COMPLEX(DUMP2_ESR,B892*DUMP2_ESL-1/(B892*DUMP2_C)))))</f>
        <v>0</v>
      </c>
      <c r="K892">
        <f>IMPRODUCT("2",IMDIV("1",IMSUM(IMDIV("1",COMPLEX(CMC_DCR,B892*CMC_L*(1-CMC_K))),COMPLEX(0,B892*CMC_CPA))))</f>
        <v>0</v>
      </c>
      <c r="L892">
        <f>IMSUM(COMPLEX(0,B892*CMC_CLINE),IMDIV("1",IMPRODUCT("2",COMPLEX(CY_ESR,B892*CY_ESL-1/(B892*CY_C)))),COMPLEX(1/DUMMY_R,0))</f>
        <v>0</v>
      </c>
      <c r="M892">
        <f>IMSUM(D892,IMDIV("1",C892))</f>
        <v>0</v>
      </c>
      <c r="N892">
        <f>IMDIV("1",IMSUM(E892,IMDIV("1",M892)))</f>
        <v>0</v>
      </c>
      <c r="O892">
        <f>IMSUM(F892,N892)</f>
        <v>0</v>
      </c>
      <c r="P892">
        <f>IMDIV("1",IMSUM(G892,IMDIV("1",O892)))</f>
        <v>0</v>
      </c>
      <c r="Q892">
        <f>IMSUM(H892,P892)</f>
        <v>0</v>
      </c>
      <c r="R892">
        <f>IMDIV("1",IMSUM(I892,IMDIV("1",Q892)))</f>
        <v>0</v>
      </c>
      <c r="S892">
        <f>IMSUM(J892,R892)</f>
        <v>0</v>
      </c>
      <c r="T892">
        <f>IMDIV("1",IMSUM(K892,IMDIV("1",S892)))</f>
        <v>0</v>
      </c>
      <c r="U892">
        <f>IMSUM(L892,T892)</f>
        <v>0</v>
      </c>
      <c r="V892">
        <f>IMDIV(COMPLEX(I_DM_SOURCE,0),U892)</f>
        <v>0</v>
      </c>
      <c r="W892">
        <f>IMPRODUCT(V892,T892)</f>
        <v>0</v>
      </c>
      <c r="X892">
        <f>IMDIV(W892,S892)</f>
        <v>0</v>
      </c>
      <c r="Y892">
        <f>IMPRODUCT(X892,R892)</f>
        <v>0</v>
      </c>
      <c r="Z892">
        <f>IMDIV(Y892,Q892)</f>
        <v>0</v>
      </c>
      <c r="AA892">
        <f>IMPRODUCT(Z892,P892)</f>
        <v>0</v>
      </c>
      <c r="AB892">
        <f>AA892</f>
        <v>0</v>
      </c>
      <c r="AC892">
        <f>IMPRODUCT("-1",AB892)</f>
        <v>0</v>
      </c>
      <c r="AD892">
        <f>IMDIV(IMSUB(AB892,AC892),"2")</f>
        <v>0</v>
      </c>
      <c r="AE892" s="6">
        <f>IMABS(AB892)</f>
        <v>0</v>
      </c>
      <c r="AF892" s="6">
        <f>IMABS(AC892)</f>
        <v>0</v>
      </c>
      <c r="AG892" s="6">
        <f>IMABS(AD892)</f>
        <v>0</v>
      </c>
      <c r="AH892" s="7">
        <f>20*LOG10(MAX(AE892,1E-300)*1E6)</f>
        <v>0</v>
      </c>
      <c r="AI892" s="7">
        <f>20*LOG10(MAX(AF892,1E-300)*1E6)</f>
        <v>0</v>
      </c>
      <c r="AJ892" s="7">
        <f>20*LOG10(MAX(AG892,1E-300)*1E6)</f>
        <v>0</v>
      </c>
      <c r="AK892" s="7">
        <f>DEGREES(IMARGUMENT(AB892))</f>
        <v>0</v>
      </c>
      <c r="AL892" s="7">
        <f>DEGREES(IMARGUMENT(AC892))</f>
        <v>0</v>
      </c>
      <c r="AM892" s="7">
        <f>DEGREES(IMARGUMENT(AD892))</f>
        <v>0</v>
      </c>
    </row>
    <row r="893" spans="1:39">
      <c r="A893" s="6">
        <f>10^(LOG10(F_START)+(ROW()-ROW($A$2))*(LOG10(F_STOP)-LOG10(F_START))/(N_POINTS-1))</f>
        <v>0</v>
      </c>
      <c r="B893" s="6">
        <f>2*PI()*A893</f>
        <v>0</v>
      </c>
      <c r="C893">
        <f>COMPLEX(2*LINE_PS_DCR,2*B893*LINE_PS_L)</f>
        <v>0</v>
      </c>
      <c r="D893">
        <f>IMSUM(COMPLEX(0,B893*(LINE_PS_CLINE+LINE_PS_CCHA/2)),IMDIV("1",IMPRODUCT("2",COMPLEX(C_THROUGH_ESR,B893*C_THROUGH_ESL-1/(B893*C_THROUGH_C)))))</f>
        <v>0</v>
      </c>
      <c r="E893">
        <f>COMPLEX(2*LINE_INPUT_DCR,2*B893*LINE_INPUT_L)</f>
        <v>0</v>
      </c>
      <c r="F893">
        <f>COMPLEX(0,B893*(LINE_INPUT_CLINE+LINE_INPUT_CCHA/2))</f>
        <v>0</v>
      </c>
      <c r="G893">
        <f>IMPRODUCT("2",IMDIV("1",IMSUM(IMDIV("1",COMPLEX(LDM1_DCR,B893*LDM1_L)),COMPLEX(0,B893*LDM1_CPA))))</f>
        <v>0</v>
      </c>
      <c r="H893">
        <f>IMSUM(IMDIV("1",COMPLEX(CX1_ESR,B893*CX1_ESL-1/(B893*CX1_C))),IMDIV("1",IMSUM(COMPLEX(DUMP1_R,0),COMPLEX(DUMP1_ESR,B893*DUMP1_ESL-1/(B893*DUMP1_C)))))</f>
        <v>0</v>
      </c>
      <c r="I893">
        <f>IMPRODUCT("2",IMDIV("1",IMSUM(IMDIV("1",COMPLEX(LDM2_DCR,B893*LDM2_L)),COMPLEX(0,B893*LDM2_CPA))))</f>
        <v>0</v>
      </c>
      <c r="J893">
        <f>IMSUM(IMDIV("1",COMPLEX(CX2_ESR,B893*CX2_ESL-1/(B893*CX2_C))),IMDIV("1",IMSUM(COMPLEX(DUMP2_R,0),COMPLEX(DUMP2_ESR,B893*DUMP2_ESL-1/(B893*DUMP2_C)))))</f>
        <v>0</v>
      </c>
      <c r="K893">
        <f>IMPRODUCT("2",IMDIV("1",IMSUM(IMDIV("1",COMPLEX(CMC_DCR,B893*CMC_L*(1-CMC_K))),COMPLEX(0,B893*CMC_CPA))))</f>
        <v>0</v>
      </c>
      <c r="L893">
        <f>IMSUM(COMPLEX(0,B893*CMC_CLINE),IMDIV("1",IMPRODUCT("2",COMPLEX(CY_ESR,B893*CY_ESL-1/(B893*CY_C)))),COMPLEX(1/DUMMY_R,0))</f>
        <v>0</v>
      </c>
      <c r="M893">
        <f>IMSUM(D893,IMDIV("1",C893))</f>
        <v>0</v>
      </c>
      <c r="N893">
        <f>IMDIV("1",IMSUM(E893,IMDIV("1",M893)))</f>
        <v>0</v>
      </c>
      <c r="O893">
        <f>IMSUM(F893,N893)</f>
        <v>0</v>
      </c>
      <c r="P893">
        <f>IMDIV("1",IMSUM(G893,IMDIV("1",O893)))</f>
        <v>0</v>
      </c>
      <c r="Q893">
        <f>IMSUM(H893,P893)</f>
        <v>0</v>
      </c>
      <c r="R893">
        <f>IMDIV("1",IMSUM(I893,IMDIV("1",Q893)))</f>
        <v>0</v>
      </c>
      <c r="S893">
        <f>IMSUM(J893,R893)</f>
        <v>0</v>
      </c>
      <c r="T893">
        <f>IMDIV("1",IMSUM(K893,IMDIV("1",S893)))</f>
        <v>0</v>
      </c>
      <c r="U893">
        <f>IMSUM(L893,T893)</f>
        <v>0</v>
      </c>
      <c r="V893">
        <f>IMDIV(COMPLEX(I_DM_SOURCE,0),U893)</f>
        <v>0</v>
      </c>
      <c r="W893">
        <f>IMPRODUCT(V893,T893)</f>
        <v>0</v>
      </c>
      <c r="X893">
        <f>IMDIV(W893,S893)</f>
        <v>0</v>
      </c>
      <c r="Y893">
        <f>IMPRODUCT(X893,R893)</f>
        <v>0</v>
      </c>
      <c r="Z893">
        <f>IMDIV(Y893,Q893)</f>
        <v>0</v>
      </c>
      <c r="AA893">
        <f>IMPRODUCT(Z893,P893)</f>
        <v>0</v>
      </c>
      <c r="AB893">
        <f>AA893</f>
        <v>0</v>
      </c>
      <c r="AC893">
        <f>IMPRODUCT("-1",AB893)</f>
        <v>0</v>
      </c>
      <c r="AD893">
        <f>IMDIV(IMSUB(AB893,AC893),"2")</f>
        <v>0</v>
      </c>
      <c r="AE893" s="6">
        <f>IMABS(AB893)</f>
        <v>0</v>
      </c>
      <c r="AF893" s="6">
        <f>IMABS(AC893)</f>
        <v>0</v>
      </c>
      <c r="AG893" s="6">
        <f>IMABS(AD893)</f>
        <v>0</v>
      </c>
      <c r="AH893" s="7">
        <f>20*LOG10(MAX(AE893,1E-300)*1E6)</f>
        <v>0</v>
      </c>
      <c r="AI893" s="7">
        <f>20*LOG10(MAX(AF893,1E-300)*1E6)</f>
        <v>0</v>
      </c>
      <c r="AJ893" s="7">
        <f>20*LOG10(MAX(AG893,1E-300)*1E6)</f>
        <v>0</v>
      </c>
      <c r="AK893" s="7">
        <f>DEGREES(IMARGUMENT(AB893))</f>
        <v>0</v>
      </c>
      <c r="AL893" s="7">
        <f>DEGREES(IMARGUMENT(AC893))</f>
        <v>0</v>
      </c>
      <c r="AM893" s="7">
        <f>DEGREES(IMARGUMENT(AD893))</f>
        <v>0</v>
      </c>
    </row>
    <row r="894" spans="1:39">
      <c r="A894" s="6">
        <f>10^(LOG10(F_START)+(ROW()-ROW($A$2))*(LOG10(F_STOP)-LOG10(F_START))/(N_POINTS-1))</f>
        <v>0</v>
      </c>
      <c r="B894" s="6">
        <f>2*PI()*A894</f>
        <v>0</v>
      </c>
      <c r="C894">
        <f>COMPLEX(2*LINE_PS_DCR,2*B894*LINE_PS_L)</f>
        <v>0</v>
      </c>
      <c r="D894">
        <f>IMSUM(COMPLEX(0,B894*(LINE_PS_CLINE+LINE_PS_CCHA/2)),IMDIV("1",IMPRODUCT("2",COMPLEX(C_THROUGH_ESR,B894*C_THROUGH_ESL-1/(B894*C_THROUGH_C)))))</f>
        <v>0</v>
      </c>
      <c r="E894">
        <f>COMPLEX(2*LINE_INPUT_DCR,2*B894*LINE_INPUT_L)</f>
        <v>0</v>
      </c>
      <c r="F894">
        <f>COMPLEX(0,B894*(LINE_INPUT_CLINE+LINE_INPUT_CCHA/2))</f>
        <v>0</v>
      </c>
      <c r="G894">
        <f>IMPRODUCT("2",IMDIV("1",IMSUM(IMDIV("1",COMPLEX(LDM1_DCR,B894*LDM1_L)),COMPLEX(0,B894*LDM1_CPA))))</f>
        <v>0</v>
      </c>
      <c r="H894">
        <f>IMSUM(IMDIV("1",COMPLEX(CX1_ESR,B894*CX1_ESL-1/(B894*CX1_C))),IMDIV("1",IMSUM(COMPLEX(DUMP1_R,0),COMPLEX(DUMP1_ESR,B894*DUMP1_ESL-1/(B894*DUMP1_C)))))</f>
        <v>0</v>
      </c>
      <c r="I894">
        <f>IMPRODUCT("2",IMDIV("1",IMSUM(IMDIV("1",COMPLEX(LDM2_DCR,B894*LDM2_L)),COMPLEX(0,B894*LDM2_CPA))))</f>
        <v>0</v>
      </c>
      <c r="J894">
        <f>IMSUM(IMDIV("1",COMPLEX(CX2_ESR,B894*CX2_ESL-1/(B894*CX2_C))),IMDIV("1",IMSUM(COMPLEX(DUMP2_R,0),COMPLEX(DUMP2_ESR,B894*DUMP2_ESL-1/(B894*DUMP2_C)))))</f>
        <v>0</v>
      </c>
      <c r="K894">
        <f>IMPRODUCT("2",IMDIV("1",IMSUM(IMDIV("1",COMPLEX(CMC_DCR,B894*CMC_L*(1-CMC_K))),COMPLEX(0,B894*CMC_CPA))))</f>
        <v>0</v>
      </c>
      <c r="L894">
        <f>IMSUM(COMPLEX(0,B894*CMC_CLINE),IMDIV("1",IMPRODUCT("2",COMPLEX(CY_ESR,B894*CY_ESL-1/(B894*CY_C)))),COMPLEX(1/DUMMY_R,0))</f>
        <v>0</v>
      </c>
      <c r="M894">
        <f>IMSUM(D894,IMDIV("1",C894))</f>
        <v>0</v>
      </c>
      <c r="N894">
        <f>IMDIV("1",IMSUM(E894,IMDIV("1",M894)))</f>
        <v>0</v>
      </c>
      <c r="O894">
        <f>IMSUM(F894,N894)</f>
        <v>0</v>
      </c>
      <c r="P894">
        <f>IMDIV("1",IMSUM(G894,IMDIV("1",O894)))</f>
        <v>0</v>
      </c>
      <c r="Q894">
        <f>IMSUM(H894,P894)</f>
        <v>0</v>
      </c>
      <c r="R894">
        <f>IMDIV("1",IMSUM(I894,IMDIV("1",Q894)))</f>
        <v>0</v>
      </c>
      <c r="S894">
        <f>IMSUM(J894,R894)</f>
        <v>0</v>
      </c>
      <c r="T894">
        <f>IMDIV("1",IMSUM(K894,IMDIV("1",S894)))</f>
        <v>0</v>
      </c>
      <c r="U894">
        <f>IMSUM(L894,T894)</f>
        <v>0</v>
      </c>
      <c r="V894">
        <f>IMDIV(COMPLEX(I_DM_SOURCE,0),U894)</f>
        <v>0</v>
      </c>
      <c r="W894">
        <f>IMPRODUCT(V894,T894)</f>
        <v>0</v>
      </c>
      <c r="X894">
        <f>IMDIV(W894,S894)</f>
        <v>0</v>
      </c>
      <c r="Y894">
        <f>IMPRODUCT(X894,R894)</f>
        <v>0</v>
      </c>
      <c r="Z894">
        <f>IMDIV(Y894,Q894)</f>
        <v>0</v>
      </c>
      <c r="AA894">
        <f>IMPRODUCT(Z894,P894)</f>
        <v>0</v>
      </c>
      <c r="AB894">
        <f>AA894</f>
        <v>0</v>
      </c>
      <c r="AC894">
        <f>IMPRODUCT("-1",AB894)</f>
        <v>0</v>
      </c>
      <c r="AD894">
        <f>IMDIV(IMSUB(AB894,AC894),"2")</f>
        <v>0</v>
      </c>
      <c r="AE894" s="6">
        <f>IMABS(AB894)</f>
        <v>0</v>
      </c>
      <c r="AF894" s="6">
        <f>IMABS(AC894)</f>
        <v>0</v>
      </c>
      <c r="AG894" s="6">
        <f>IMABS(AD894)</f>
        <v>0</v>
      </c>
      <c r="AH894" s="7">
        <f>20*LOG10(MAX(AE894,1E-300)*1E6)</f>
        <v>0</v>
      </c>
      <c r="AI894" s="7">
        <f>20*LOG10(MAX(AF894,1E-300)*1E6)</f>
        <v>0</v>
      </c>
      <c r="AJ894" s="7">
        <f>20*LOG10(MAX(AG894,1E-300)*1E6)</f>
        <v>0</v>
      </c>
      <c r="AK894" s="7">
        <f>DEGREES(IMARGUMENT(AB894))</f>
        <v>0</v>
      </c>
      <c r="AL894" s="7">
        <f>DEGREES(IMARGUMENT(AC894))</f>
        <v>0</v>
      </c>
      <c r="AM894" s="7">
        <f>DEGREES(IMARGUMENT(AD894))</f>
        <v>0</v>
      </c>
    </row>
    <row r="895" spans="1:39">
      <c r="A895" s="6">
        <f>10^(LOG10(F_START)+(ROW()-ROW($A$2))*(LOG10(F_STOP)-LOG10(F_START))/(N_POINTS-1))</f>
        <v>0</v>
      </c>
      <c r="B895" s="6">
        <f>2*PI()*A895</f>
        <v>0</v>
      </c>
      <c r="C895">
        <f>COMPLEX(2*LINE_PS_DCR,2*B895*LINE_PS_L)</f>
        <v>0</v>
      </c>
      <c r="D895">
        <f>IMSUM(COMPLEX(0,B895*(LINE_PS_CLINE+LINE_PS_CCHA/2)),IMDIV("1",IMPRODUCT("2",COMPLEX(C_THROUGH_ESR,B895*C_THROUGH_ESL-1/(B895*C_THROUGH_C)))))</f>
        <v>0</v>
      </c>
      <c r="E895">
        <f>COMPLEX(2*LINE_INPUT_DCR,2*B895*LINE_INPUT_L)</f>
        <v>0</v>
      </c>
      <c r="F895">
        <f>COMPLEX(0,B895*(LINE_INPUT_CLINE+LINE_INPUT_CCHA/2))</f>
        <v>0</v>
      </c>
      <c r="G895">
        <f>IMPRODUCT("2",IMDIV("1",IMSUM(IMDIV("1",COMPLEX(LDM1_DCR,B895*LDM1_L)),COMPLEX(0,B895*LDM1_CPA))))</f>
        <v>0</v>
      </c>
      <c r="H895">
        <f>IMSUM(IMDIV("1",COMPLEX(CX1_ESR,B895*CX1_ESL-1/(B895*CX1_C))),IMDIV("1",IMSUM(COMPLEX(DUMP1_R,0),COMPLEX(DUMP1_ESR,B895*DUMP1_ESL-1/(B895*DUMP1_C)))))</f>
        <v>0</v>
      </c>
      <c r="I895">
        <f>IMPRODUCT("2",IMDIV("1",IMSUM(IMDIV("1",COMPLEX(LDM2_DCR,B895*LDM2_L)),COMPLEX(0,B895*LDM2_CPA))))</f>
        <v>0</v>
      </c>
      <c r="J895">
        <f>IMSUM(IMDIV("1",COMPLEX(CX2_ESR,B895*CX2_ESL-1/(B895*CX2_C))),IMDIV("1",IMSUM(COMPLEX(DUMP2_R,0),COMPLEX(DUMP2_ESR,B895*DUMP2_ESL-1/(B895*DUMP2_C)))))</f>
        <v>0</v>
      </c>
      <c r="K895">
        <f>IMPRODUCT("2",IMDIV("1",IMSUM(IMDIV("1",COMPLEX(CMC_DCR,B895*CMC_L*(1-CMC_K))),COMPLEX(0,B895*CMC_CPA))))</f>
        <v>0</v>
      </c>
      <c r="L895">
        <f>IMSUM(COMPLEX(0,B895*CMC_CLINE),IMDIV("1",IMPRODUCT("2",COMPLEX(CY_ESR,B895*CY_ESL-1/(B895*CY_C)))),COMPLEX(1/DUMMY_R,0))</f>
        <v>0</v>
      </c>
      <c r="M895">
        <f>IMSUM(D895,IMDIV("1",C895))</f>
        <v>0</v>
      </c>
      <c r="N895">
        <f>IMDIV("1",IMSUM(E895,IMDIV("1",M895)))</f>
        <v>0</v>
      </c>
      <c r="O895">
        <f>IMSUM(F895,N895)</f>
        <v>0</v>
      </c>
      <c r="P895">
        <f>IMDIV("1",IMSUM(G895,IMDIV("1",O895)))</f>
        <v>0</v>
      </c>
      <c r="Q895">
        <f>IMSUM(H895,P895)</f>
        <v>0</v>
      </c>
      <c r="R895">
        <f>IMDIV("1",IMSUM(I895,IMDIV("1",Q895)))</f>
        <v>0</v>
      </c>
      <c r="S895">
        <f>IMSUM(J895,R895)</f>
        <v>0</v>
      </c>
      <c r="T895">
        <f>IMDIV("1",IMSUM(K895,IMDIV("1",S895)))</f>
        <v>0</v>
      </c>
      <c r="U895">
        <f>IMSUM(L895,T895)</f>
        <v>0</v>
      </c>
      <c r="V895">
        <f>IMDIV(COMPLEX(I_DM_SOURCE,0),U895)</f>
        <v>0</v>
      </c>
      <c r="W895">
        <f>IMPRODUCT(V895,T895)</f>
        <v>0</v>
      </c>
      <c r="X895">
        <f>IMDIV(W895,S895)</f>
        <v>0</v>
      </c>
      <c r="Y895">
        <f>IMPRODUCT(X895,R895)</f>
        <v>0</v>
      </c>
      <c r="Z895">
        <f>IMDIV(Y895,Q895)</f>
        <v>0</v>
      </c>
      <c r="AA895">
        <f>IMPRODUCT(Z895,P895)</f>
        <v>0</v>
      </c>
      <c r="AB895">
        <f>AA895</f>
        <v>0</v>
      </c>
      <c r="AC895">
        <f>IMPRODUCT("-1",AB895)</f>
        <v>0</v>
      </c>
      <c r="AD895">
        <f>IMDIV(IMSUB(AB895,AC895),"2")</f>
        <v>0</v>
      </c>
      <c r="AE895" s="6">
        <f>IMABS(AB895)</f>
        <v>0</v>
      </c>
      <c r="AF895" s="6">
        <f>IMABS(AC895)</f>
        <v>0</v>
      </c>
      <c r="AG895" s="6">
        <f>IMABS(AD895)</f>
        <v>0</v>
      </c>
      <c r="AH895" s="7">
        <f>20*LOG10(MAX(AE895,1E-300)*1E6)</f>
        <v>0</v>
      </c>
      <c r="AI895" s="7">
        <f>20*LOG10(MAX(AF895,1E-300)*1E6)</f>
        <v>0</v>
      </c>
      <c r="AJ895" s="7">
        <f>20*LOG10(MAX(AG895,1E-300)*1E6)</f>
        <v>0</v>
      </c>
      <c r="AK895" s="7">
        <f>DEGREES(IMARGUMENT(AB895))</f>
        <v>0</v>
      </c>
      <c r="AL895" s="7">
        <f>DEGREES(IMARGUMENT(AC895))</f>
        <v>0</v>
      </c>
      <c r="AM895" s="7">
        <f>DEGREES(IMARGUMENT(AD895))</f>
        <v>0</v>
      </c>
    </row>
    <row r="896" spans="1:39">
      <c r="A896" s="6">
        <f>10^(LOG10(F_START)+(ROW()-ROW($A$2))*(LOG10(F_STOP)-LOG10(F_START))/(N_POINTS-1))</f>
        <v>0</v>
      </c>
      <c r="B896" s="6">
        <f>2*PI()*A896</f>
        <v>0</v>
      </c>
      <c r="C896">
        <f>COMPLEX(2*LINE_PS_DCR,2*B896*LINE_PS_L)</f>
        <v>0</v>
      </c>
      <c r="D896">
        <f>IMSUM(COMPLEX(0,B896*(LINE_PS_CLINE+LINE_PS_CCHA/2)),IMDIV("1",IMPRODUCT("2",COMPLEX(C_THROUGH_ESR,B896*C_THROUGH_ESL-1/(B896*C_THROUGH_C)))))</f>
        <v>0</v>
      </c>
      <c r="E896">
        <f>COMPLEX(2*LINE_INPUT_DCR,2*B896*LINE_INPUT_L)</f>
        <v>0</v>
      </c>
      <c r="F896">
        <f>COMPLEX(0,B896*(LINE_INPUT_CLINE+LINE_INPUT_CCHA/2))</f>
        <v>0</v>
      </c>
      <c r="G896">
        <f>IMPRODUCT("2",IMDIV("1",IMSUM(IMDIV("1",COMPLEX(LDM1_DCR,B896*LDM1_L)),COMPLEX(0,B896*LDM1_CPA))))</f>
        <v>0</v>
      </c>
      <c r="H896">
        <f>IMSUM(IMDIV("1",COMPLEX(CX1_ESR,B896*CX1_ESL-1/(B896*CX1_C))),IMDIV("1",IMSUM(COMPLEX(DUMP1_R,0),COMPLEX(DUMP1_ESR,B896*DUMP1_ESL-1/(B896*DUMP1_C)))))</f>
        <v>0</v>
      </c>
      <c r="I896">
        <f>IMPRODUCT("2",IMDIV("1",IMSUM(IMDIV("1",COMPLEX(LDM2_DCR,B896*LDM2_L)),COMPLEX(0,B896*LDM2_CPA))))</f>
        <v>0</v>
      </c>
      <c r="J896">
        <f>IMSUM(IMDIV("1",COMPLEX(CX2_ESR,B896*CX2_ESL-1/(B896*CX2_C))),IMDIV("1",IMSUM(COMPLEX(DUMP2_R,0),COMPLEX(DUMP2_ESR,B896*DUMP2_ESL-1/(B896*DUMP2_C)))))</f>
        <v>0</v>
      </c>
      <c r="K896">
        <f>IMPRODUCT("2",IMDIV("1",IMSUM(IMDIV("1",COMPLEX(CMC_DCR,B896*CMC_L*(1-CMC_K))),COMPLEX(0,B896*CMC_CPA))))</f>
        <v>0</v>
      </c>
      <c r="L896">
        <f>IMSUM(COMPLEX(0,B896*CMC_CLINE),IMDIV("1",IMPRODUCT("2",COMPLEX(CY_ESR,B896*CY_ESL-1/(B896*CY_C)))),COMPLEX(1/DUMMY_R,0))</f>
        <v>0</v>
      </c>
      <c r="M896">
        <f>IMSUM(D896,IMDIV("1",C896))</f>
        <v>0</v>
      </c>
      <c r="N896">
        <f>IMDIV("1",IMSUM(E896,IMDIV("1",M896)))</f>
        <v>0</v>
      </c>
      <c r="O896">
        <f>IMSUM(F896,N896)</f>
        <v>0</v>
      </c>
      <c r="P896">
        <f>IMDIV("1",IMSUM(G896,IMDIV("1",O896)))</f>
        <v>0</v>
      </c>
      <c r="Q896">
        <f>IMSUM(H896,P896)</f>
        <v>0</v>
      </c>
      <c r="R896">
        <f>IMDIV("1",IMSUM(I896,IMDIV("1",Q896)))</f>
        <v>0</v>
      </c>
      <c r="S896">
        <f>IMSUM(J896,R896)</f>
        <v>0</v>
      </c>
      <c r="T896">
        <f>IMDIV("1",IMSUM(K896,IMDIV("1",S896)))</f>
        <v>0</v>
      </c>
      <c r="U896">
        <f>IMSUM(L896,T896)</f>
        <v>0</v>
      </c>
      <c r="V896">
        <f>IMDIV(COMPLEX(I_DM_SOURCE,0),U896)</f>
        <v>0</v>
      </c>
      <c r="W896">
        <f>IMPRODUCT(V896,T896)</f>
        <v>0</v>
      </c>
      <c r="X896">
        <f>IMDIV(W896,S896)</f>
        <v>0</v>
      </c>
      <c r="Y896">
        <f>IMPRODUCT(X896,R896)</f>
        <v>0</v>
      </c>
      <c r="Z896">
        <f>IMDIV(Y896,Q896)</f>
        <v>0</v>
      </c>
      <c r="AA896">
        <f>IMPRODUCT(Z896,P896)</f>
        <v>0</v>
      </c>
      <c r="AB896">
        <f>AA896</f>
        <v>0</v>
      </c>
      <c r="AC896">
        <f>IMPRODUCT("-1",AB896)</f>
        <v>0</v>
      </c>
      <c r="AD896">
        <f>IMDIV(IMSUB(AB896,AC896),"2")</f>
        <v>0</v>
      </c>
      <c r="AE896" s="6">
        <f>IMABS(AB896)</f>
        <v>0</v>
      </c>
      <c r="AF896" s="6">
        <f>IMABS(AC896)</f>
        <v>0</v>
      </c>
      <c r="AG896" s="6">
        <f>IMABS(AD896)</f>
        <v>0</v>
      </c>
      <c r="AH896" s="7">
        <f>20*LOG10(MAX(AE896,1E-300)*1E6)</f>
        <v>0</v>
      </c>
      <c r="AI896" s="7">
        <f>20*LOG10(MAX(AF896,1E-300)*1E6)</f>
        <v>0</v>
      </c>
      <c r="AJ896" s="7">
        <f>20*LOG10(MAX(AG896,1E-300)*1E6)</f>
        <v>0</v>
      </c>
      <c r="AK896" s="7">
        <f>DEGREES(IMARGUMENT(AB896))</f>
        <v>0</v>
      </c>
      <c r="AL896" s="7">
        <f>DEGREES(IMARGUMENT(AC896))</f>
        <v>0</v>
      </c>
      <c r="AM896" s="7">
        <f>DEGREES(IMARGUMENT(AD896))</f>
        <v>0</v>
      </c>
    </row>
    <row r="897" spans="1:39">
      <c r="A897" s="6">
        <f>10^(LOG10(F_START)+(ROW()-ROW($A$2))*(LOG10(F_STOP)-LOG10(F_START))/(N_POINTS-1))</f>
        <v>0</v>
      </c>
      <c r="B897" s="6">
        <f>2*PI()*A897</f>
        <v>0</v>
      </c>
      <c r="C897">
        <f>COMPLEX(2*LINE_PS_DCR,2*B897*LINE_PS_L)</f>
        <v>0</v>
      </c>
      <c r="D897">
        <f>IMSUM(COMPLEX(0,B897*(LINE_PS_CLINE+LINE_PS_CCHA/2)),IMDIV("1",IMPRODUCT("2",COMPLEX(C_THROUGH_ESR,B897*C_THROUGH_ESL-1/(B897*C_THROUGH_C)))))</f>
        <v>0</v>
      </c>
      <c r="E897">
        <f>COMPLEX(2*LINE_INPUT_DCR,2*B897*LINE_INPUT_L)</f>
        <v>0</v>
      </c>
      <c r="F897">
        <f>COMPLEX(0,B897*(LINE_INPUT_CLINE+LINE_INPUT_CCHA/2))</f>
        <v>0</v>
      </c>
      <c r="G897">
        <f>IMPRODUCT("2",IMDIV("1",IMSUM(IMDIV("1",COMPLEX(LDM1_DCR,B897*LDM1_L)),COMPLEX(0,B897*LDM1_CPA))))</f>
        <v>0</v>
      </c>
      <c r="H897">
        <f>IMSUM(IMDIV("1",COMPLEX(CX1_ESR,B897*CX1_ESL-1/(B897*CX1_C))),IMDIV("1",IMSUM(COMPLEX(DUMP1_R,0),COMPLEX(DUMP1_ESR,B897*DUMP1_ESL-1/(B897*DUMP1_C)))))</f>
        <v>0</v>
      </c>
      <c r="I897">
        <f>IMPRODUCT("2",IMDIV("1",IMSUM(IMDIV("1",COMPLEX(LDM2_DCR,B897*LDM2_L)),COMPLEX(0,B897*LDM2_CPA))))</f>
        <v>0</v>
      </c>
      <c r="J897">
        <f>IMSUM(IMDIV("1",COMPLEX(CX2_ESR,B897*CX2_ESL-1/(B897*CX2_C))),IMDIV("1",IMSUM(COMPLEX(DUMP2_R,0),COMPLEX(DUMP2_ESR,B897*DUMP2_ESL-1/(B897*DUMP2_C)))))</f>
        <v>0</v>
      </c>
      <c r="K897">
        <f>IMPRODUCT("2",IMDIV("1",IMSUM(IMDIV("1",COMPLEX(CMC_DCR,B897*CMC_L*(1-CMC_K))),COMPLEX(0,B897*CMC_CPA))))</f>
        <v>0</v>
      </c>
      <c r="L897">
        <f>IMSUM(COMPLEX(0,B897*CMC_CLINE),IMDIV("1",IMPRODUCT("2",COMPLEX(CY_ESR,B897*CY_ESL-1/(B897*CY_C)))),COMPLEX(1/DUMMY_R,0))</f>
        <v>0</v>
      </c>
      <c r="M897">
        <f>IMSUM(D897,IMDIV("1",C897))</f>
        <v>0</v>
      </c>
      <c r="N897">
        <f>IMDIV("1",IMSUM(E897,IMDIV("1",M897)))</f>
        <v>0</v>
      </c>
      <c r="O897">
        <f>IMSUM(F897,N897)</f>
        <v>0</v>
      </c>
      <c r="P897">
        <f>IMDIV("1",IMSUM(G897,IMDIV("1",O897)))</f>
        <v>0</v>
      </c>
      <c r="Q897">
        <f>IMSUM(H897,P897)</f>
        <v>0</v>
      </c>
      <c r="R897">
        <f>IMDIV("1",IMSUM(I897,IMDIV("1",Q897)))</f>
        <v>0</v>
      </c>
      <c r="S897">
        <f>IMSUM(J897,R897)</f>
        <v>0</v>
      </c>
      <c r="T897">
        <f>IMDIV("1",IMSUM(K897,IMDIV("1",S897)))</f>
        <v>0</v>
      </c>
      <c r="U897">
        <f>IMSUM(L897,T897)</f>
        <v>0</v>
      </c>
      <c r="V897">
        <f>IMDIV(COMPLEX(I_DM_SOURCE,0),U897)</f>
        <v>0</v>
      </c>
      <c r="W897">
        <f>IMPRODUCT(V897,T897)</f>
        <v>0</v>
      </c>
      <c r="X897">
        <f>IMDIV(W897,S897)</f>
        <v>0</v>
      </c>
      <c r="Y897">
        <f>IMPRODUCT(X897,R897)</f>
        <v>0</v>
      </c>
      <c r="Z897">
        <f>IMDIV(Y897,Q897)</f>
        <v>0</v>
      </c>
      <c r="AA897">
        <f>IMPRODUCT(Z897,P897)</f>
        <v>0</v>
      </c>
      <c r="AB897">
        <f>AA897</f>
        <v>0</v>
      </c>
      <c r="AC897">
        <f>IMPRODUCT("-1",AB897)</f>
        <v>0</v>
      </c>
      <c r="AD897">
        <f>IMDIV(IMSUB(AB897,AC897),"2")</f>
        <v>0</v>
      </c>
      <c r="AE897" s="6">
        <f>IMABS(AB897)</f>
        <v>0</v>
      </c>
      <c r="AF897" s="6">
        <f>IMABS(AC897)</f>
        <v>0</v>
      </c>
      <c r="AG897" s="6">
        <f>IMABS(AD897)</f>
        <v>0</v>
      </c>
      <c r="AH897" s="7">
        <f>20*LOG10(MAX(AE897,1E-300)*1E6)</f>
        <v>0</v>
      </c>
      <c r="AI897" s="7">
        <f>20*LOG10(MAX(AF897,1E-300)*1E6)</f>
        <v>0</v>
      </c>
      <c r="AJ897" s="7">
        <f>20*LOG10(MAX(AG897,1E-300)*1E6)</f>
        <v>0</v>
      </c>
      <c r="AK897" s="7">
        <f>DEGREES(IMARGUMENT(AB897))</f>
        <v>0</v>
      </c>
      <c r="AL897" s="7">
        <f>DEGREES(IMARGUMENT(AC897))</f>
        <v>0</v>
      </c>
      <c r="AM897" s="7">
        <f>DEGREES(IMARGUMENT(AD897))</f>
        <v>0</v>
      </c>
    </row>
    <row r="898" spans="1:39">
      <c r="A898" s="6">
        <f>10^(LOG10(F_START)+(ROW()-ROW($A$2))*(LOG10(F_STOP)-LOG10(F_START))/(N_POINTS-1))</f>
        <v>0</v>
      </c>
      <c r="B898" s="6">
        <f>2*PI()*A898</f>
        <v>0</v>
      </c>
      <c r="C898">
        <f>COMPLEX(2*LINE_PS_DCR,2*B898*LINE_PS_L)</f>
        <v>0</v>
      </c>
      <c r="D898">
        <f>IMSUM(COMPLEX(0,B898*(LINE_PS_CLINE+LINE_PS_CCHA/2)),IMDIV("1",IMPRODUCT("2",COMPLEX(C_THROUGH_ESR,B898*C_THROUGH_ESL-1/(B898*C_THROUGH_C)))))</f>
        <v>0</v>
      </c>
      <c r="E898">
        <f>COMPLEX(2*LINE_INPUT_DCR,2*B898*LINE_INPUT_L)</f>
        <v>0</v>
      </c>
      <c r="F898">
        <f>COMPLEX(0,B898*(LINE_INPUT_CLINE+LINE_INPUT_CCHA/2))</f>
        <v>0</v>
      </c>
      <c r="G898">
        <f>IMPRODUCT("2",IMDIV("1",IMSUM(IMDIV("1",COMPLEX(LDM1_DCR,B898*LDM1_L)),COMPLEX(0,B898*LDM1_CPA))))</f>
        <v>0</v>
      </c>
      <c r="H898">
        <f>IMSUM(IMDIV("1",COMPLEX(CX1_ESR,B898*CX1_ESL-1/(B898*CX1_C))),IMDIV("1",IMSUM(COMPLEX(DUMP1_R,0),COMPLEX(DUMP1_ESR,B898*DUMP1_ESL-1/(B898*DUMP1_C)))))</f>
        <v>0</v>
      </c>
      <c r="I898">
        <f>IMPRODUCT("2",IMDIV("1",IMSUM(IMDIV("1",COMPLEX(LDM2_DCR,B898*LDM2_L)),COMPLEX(0,B898*LDM2_CPA))))</f>
        <v>0</v>
      </c>
      <c r="J898">
        <f>IMSUM(IMDIV("1",COMPLEX(CX2_ESR,B898*CX2_ESL-1/(B898*CX2_C))),IMDIV("1",IMSUM(COMPLEX(DUMP2_R,0),COMPLEX(DUMP2_ESR,B898*DUMP2_ESL-1/(B898*DUMP2_C)))))</f>
        <v>0</v>
      </c>
      <c r="K898">
        <f>IMPRODUCT("2",IMDIV("1",IMSUM(IMDIV("1",COMPLEX(CMC_DCR,B898*CMC_L*(1-CMC_K))),COMPLEX(0,B898*CMC_CPA))))</f>
        <v>0</v>
      </c>
      <c r="L898">
        <f>IMSUM(COMPLEX(0,B898*CMC_CLINE),IMDIV("1",IMPRODUCT("2",COMPLEX(CY_ESR,B898*CY_ESL-1/(B898*CY_C)))),COMPLEX(1/DUMMY_R,0))</f>
        <v>0</v>
      </c>
      <c r="M898">
        <f>IMSUM(D898,IMDIV("1",C898))</f>
        <v>0</v>
      </c>
      <c r="N898">
        <f>IMDIV("1",IMSUM(E898,IMDIV("1",M898)))</f>
        <v>0</v>
      </c>
      <c r="O898">
        <f>IMSUM(F898,N898)</f>
        <v>0</v>
      </c>
      <c r="P898">
        <f>IMDIV("1",IMSUM(G898,IMDIV("1",O898)))</f>
        <v>0</v>
      </c>
      <c r="Q898">
        <f>IMSUM(H898,P898)</f>
        <v>0</v>
      </c>
      <c r="R898">
        <f>IMDIV("1",IMSUM(I898,IMDIV("1",Q898)))</f>
        <v>0</v>
      </c>
      <c r="S898">
        <f>IMSUM(J898,R898)</f>
        <v>0</v>
      </c>
      <c r="T898">
        <f>IMDIV("1",IMSUM(K898,IMDIV("1",S898)))</f>
        <v>0</v>
      </c>
      <c r="U898">
        <f>IMSUM(L898,T898)</f>
        <v>0</v>
      </c>
      <c r="V898">
        <f>IMDIV(COMPLEX(I_DM_SOURCE,0),U898)</f>
        <v>0</v>
      </c>
      <c r="W898">
        <f>IMPRODUCT(V898,T898)</f>
        <v>0</v>
      </c>
      <c r="X898">
        <f>IMDIV(W898,S898)</f>
        <v>0</v>
      </c>
      <c r="Y898">
        <f>IMPRODUCT(X898,R898)</f>
        <v>0</v>
      </c>
      <c r="Z898">
        <f>IMDIV(Y898,Q898)</f>
        <v>0</v>
      </c>
      <c r="AA898">
        <f>IMPRODUCT(Z898,P898)</f>
        <v>0</v>
      </c>
      <c r="AB898">
        <f>AA898</f>
        <v>0</v>
      </c>
      <c r="AC898">
        <f>IMPRODUCT("-1",AB898)</f>
        <v>0</v>
      </c>
      <c r="AD898">
        <f>IMDIV(IMSUB(AB898,AC898),"2")</f>
        <v>0</v>
      </c>
      <c r="AE898" s="6">
        <f>IMABS(AB898)</f>
        <v>0</v>
      </c>
      <c r="AF898" s="6">
        <f>IMABS(AC898)</f>
        <v>0</v>
      </c>
      <c r="AG898" s="6">
        <f>IMABS(AD898)</f>
        <v>0</v>
      </c>
      <c r="AH898" s="7">
        <f>20*LOG10(MAX(AE898,1E-300)*1E6)</f>
        <v>0</v>
      </c>
      <c r="AI898" s="7">
        <f>20*LOG10(MAX(AF898,1E-300)*1E6)</f>
        <v>0</v>
      </c>
      <c r="AJ898" s="7">
        <f>20*LOG10(MAX(AG898,1E-300)*1E6)</f>
        <v>0</v>
      </c>
      <c r="AK898" s="7">
        <f>DEGREES(IMARGUMENT(AB898))</f>
        <v>0</v>
      </c>
      <c r="AL898" s="7">
        <f>DEGREES(IMARGUMENT(AC898))</f>
        <v>0</v>
      </c>
      <c r="AM898" s="7">
        <f>DEGREES(IMARGUMENT(AD898))</f>
        <v>0</v>
      </c>
    </row>
    <row r="899" spans="1:39">
      <c r="A899" s="6">
        <f>10^(LOG10(F_START)+(ROW()-ROW($A$2))*(LOG10(F_STOP)-LOG10(F_START))/(N_POINTS-1))</f>
        <v>0</v>
      </c>
      <c r="B899" s="6">
        <f>2*PI()*A899</f>
        <v>0</v>
      </c>
      <c r="C899">
        <f>COMPLEX(2*LINE_PS_DCR,2*B899*LINE_PS_L)</f>
        <v>0</v>
      </c>
      <c r="D899">
        <f>IMSUM(COMPLEX(0,B899*(LINE_PS_CLINE+LINE_PS_CCHA/2)),IMDIV("1",IMPRODUCT("2",COMPLEX(C_THROUGH_ESR,B899*C_THROUGH_ESL-1/(B899*C_THROUGH_C)))))</f>
        <v>0</v>
      </c>
      <c r="E899">
        <f>COMPLEX(2*LINE_INPUT_DCR,2*B899*LINE_INPUT_L)</f>
        <v>0</v>
      </c>
      <c r="F899">
        <f>COMPLEX(0,B899*(LINE_INPUT_CLINE+LINE_INPUT_CCHA/2))</f>
        <v>0</v>
      </c>
      <c r="G899">
        <f>IMPRODUCT("2",IMDIV("1",IMSUM(IMDIV("1",COMPLEX(LDM1_DCR,B899*LDM1_L)),COMPLEX(0,B899*LDM1_CPA))))</f>
        <v>0</v>
      </c>
      <c r="H899">
        <f>IMSUM(IMDIV("1",COMPLEX(CX1_ESR,B899*CX1_ESL-1/(B899*CX1_C))),IMDIV("1",IMSUM(COMPLEX(DUMP1_R,0),COMPLEX(DUMP1_ESR,B899*DUMP1_ESL-1/(B899*DUMP1_C)))))</f>
        <v>0</v>
      </c>
      <c r="I899">
        <f>IMPRODUCT("2",IMDIV("1",IMSUM(IMDIV("1",COMPLEX(LDM2_DCR,B899*LDM2_L)),COMPLEX(0,B899*LDM2_CPA))))</f>
        <v>0</v>
      </c>
      <c r="J899">
        <f>IMSUM(IMDIV("1",COMPLEX(CX2_ESR,B899*CX2_ESL-1/(B899*CX2_C))),IMDIV("1",IMSUM(COMPLEX(DUMP2_R,0),COMPLEX(DUMP2_ESR,B899*DUMP2_ESL-1/(B899*DUMP2_C)))))</f>
        <v>0</v>
      </c>
      <c r="K899">
        <f>IMPRODUCT("2",IMDIV("1",IMSUM(IMDIV("1",COMPLEX(CMC_DCR,B899*CMC_L*(1-CMC_K))),COMPLEX(0,B899*CMC_CPA))))</f>
        <v>0</v>
      </c>
      <c r="L899">
        <f>IMSUM(COMPLEX(0,B899*CMC_CLINE),IMDIV("1",IMPRODUCT("2",COMPLEX(CY_ESR,B899*CY_ESL-1/(B899*CY_C)))),COMPLEX(1/DUMMY_R,0))</f>
        <v>0</v>
      </c>
      <c r="M899">
        <f>IMSUM(D899,IMDIV("1",C899))</f>
        <v>0</v>
      </c>
      <c r="N899">
        <f>IMDIV("1",IMSUM(E899,IMDIV("1",M899)))</f>
        <v>0</v>
      </c>
      <c r="O899">
        <f>IMSUM(F899,N899)</f>
        <v>0</v>
      </c>
      <c r="P899">
        <f>IMDIV("1",IMSUM(G899,IMDIV("1",O899)))</f>
        <v>0</v>
      </c>
      <c r="Q899">
        <f>IMSUM(H899,P899)</f>
        <v>0</v>
      </c>
      <c r="R899">
        <f>IMDIV("1",IMSUM(I899,IMDIV("1",Q899)))</f>
        <v>0</v>
      </c>
      <c r="S899">
        <f>IMSUM(J899,R899)</f>
        <v>0</v>
      </c>
      <c r="T899">
        <f>IMDIV("1",IMSUM(K899,IMDIV("1",S899)))</f>
        <v>0</v>
      </c>
      <c r="U899">
        <f>IMSUM(L899,T899)</f>
        <v>0</v>
      </c>
      <c r="V899">
        <f>IMDIV(COMPLEX(I_DM_SOURCE,0),U899)</f>
        <v>0</v>
      </c>
      <c r="W899">
        <f>IMPRODUCT(V899,T899)</f>
        <v>0</v>
      </c>
      <c r="X899">
        <f>IMDIV(W899,S899)</f>
        <v>0</v>
      </c>
      <c r="Y899">
        <f>IMPRODUCT(X899,R899)</f>
        <v>0</v>
      </c>
      <c r="Z899">
        <f>IMDIV(Y899,Q899)</f>
        <v>0</v>
      </c>
      <c r="AA899">
        <f>IMPRODUCT(Z899,P899)</f>
        <v>0</v>
      </c>
      <c r="AB899">
        <f>AA899</f>
        <v>0</v>
      </c>
      <c r="AC899">
        <f>IMPRODUCT("-1",AB899)</f>
        <v>0</v>
      </c>
      <c r="AD899">
        <f>IMDIV(IMSUB(AB899,AC899),"2")</f>
        <v>0</v>
      </c>
      <c r="AE899" s="6">
        <f>IMABS(AB899)</f>
        <v>0</v>
      </c>
      <c r="AF899" s="6">
        <f>IMABS(AC899)</f>
        <v>0</v>
      </c>
      <c r="AG899" s="6">
        <f>IMABS(AD899)</f>
        <v>0</v>
      </c>
      <c r="AH899" s="7">
        <f>20*LOG10(MAX(AE899,1E-300)*1E6)</f>
        <v>0</v>
      </c>
      <c r="AI899" s="7">
        <f>20*LOG10(MAX(AF899,1E-300)*1E6)</f>
        <v>0</v>
      </c>
      <c r="AJ899" s="7">
        <f>20*LOG10(MAX(AG899,1E-300)*1E6)</f>
        <v>0</v>
      </c>
      <c r="AK899" s="7">
        <f>DEGREES(IMARGUMENT(AB899))</f>
        <v>0</v>
      </c>
      <c r="AL899" s="7">
        <f>DEGREES(IMARGUMENT(AC899))</f>
        <v>0</v>
      </c>
      <c r="AM899" s="7">
        <f>DEGREES(IMARGUMENT(AD899))</f>
        <v>0</v>
      </c>
    </row>
    <row r="900" spans="1:39">
      <c r="A900" s="6">
        <f>10^(LOG10(F_START)+(ROW()-ROW($A$2))*(LOG10(F_STOP)-LOG10(F_START))/(N_POINTS-1))</f>
        <v>0</v>
      </c>
      <c r="B900" s="6">
        <f>2*PI()*A900</f>
        <v>0</v>
      </c>
      <c r="C900">
        <f>COMPLEX(2*LINE_PS_DCR,2*B900*LINE_PS_L)</f>
        <v>0</v>
      </c>
      <c r="D900">
        <f>IMSUM(COMPLEX(0,B900*(LINE_PS_CLINE+LINE_PS_CCHA/2)),IMDIV("1",IMPRODUCT("2",COMPLEX(C_THROUGH_ESR,B900*C_THROUGH_ESL-1/(B900*C_THROUGH_C)))))</f>
        <v>0</v>
      </c>
      <c r="E900">
        <f>COMPLEX(2*LINE_INPUT_DCR,2*B900*LINE_INPUT_L)</f>
        <v>0</v>
      </c>
      <c r="F900">
        <f>COMPLEX(0,B900*(LINE_INPUT_CLINE+LINE_INPUT_CCHA/2))</f>
        <v>0</v>
      </c>
      <c r="G900">
        <f>IMPRODUCT("2",IMDIV("1",IMSUM(IMDIV("1",COMPLEX(LDM1_DCR,B900*LDM1_L)),COMPLEX(0,B900*LDM1_CPA))))</f>
        <v>0</v>
      </c>
      <c r="H900">
        <f>IMSUM(IMDIV("1",COMPLEX(CX1_ESR,B900*CX1_ESL-1/(B900*CX1_C))),IMDIV("1",IMSUM(COMPLEX(DUMP1_R,0),COMPLEX(DUMP1_ESR,B900*DUMP1_ESL-1/(B900*DUMP1_C)))))</f>
        <v>0</v>
      </c>
      <c r="I900">
        <f>IMPRODUCT("2",IMDIV("1",IMSUM(IMDIV("1",COMPLEX(LDM2_DCR,B900*LDM2_L)),COMPLEX(0,B900*LDM2_CPA))))</f>
        <v>0</v>
      </c>
      <c r="J900">
        <f>IMSUM(IMDIV("1",COMPLEX(CX2_ESR,B900*CX2_ESL-1/(B900*CX2_C))),IMDIV("1",IMSUM(COMPLEX(DUMP2_R,0),COMPLEX(DUMP2_ESR,B900*DUMP2_ESL-1/(B900*DUMP2_C)))))</f>
        <v>0</v>
      </c>
      <c r="K900">
        <f>IMPRODUCT("2",IMDIV("1",IMSUM(IMDIV("1",COMPLEX(CMC_DCR,B900*CMC_L*(1-CMC_K))),COMPLEX(0,B900*CMC_CPA))))</f>
        <v>0</v>
      </c>
      <c r="L900">
        <f>IMSUM(COMPLEX(0,B900*CMC_CLINE),IMDIV("1",IMPRODUCT("2",COMPLEX(CY_ESR,B900*CY_ESL-1/(B900*CY_C)))),COMPLEX(1/DUMMY_R,0))</f>
        <v>0</v>
      </c>
      <c r="M900">
        <f>IMSUM(D900,IMDIV("1",C900))</f>
        <v>0</v>
      </c>
      <c r="N900">
        <f>IMDIV("1",IMSUM(E900,IMDIV("1",M900)))</f>
        <v>0</v>
      </c>
      <c r="O900">
        <f>IMSUM(F900,N900)</f>
        <v>0</v>
      </c>
      <c r="P900">
        <f>IMDIV("1",IMSUM(G900,IMDIV("1",O900)))</f>
        <v>0</v>
      </c>
      <c r="Q900">
        <f>IMSUM(H900,P900)</f>
        <v>0</v>
      </c>
      <c r="R900">
        <f>IMDIV("1",IMSUM(I900,IMDIV("1",Q900)))</f>
        <v>0</v>
      </c>
      <c r="S900">
        <f>IMSUM(J900,R900)</f>
        <v>0</v>
      </c>
      <c r="T900">
        <f>IMDIV("1",IMSUM(K900,IMDIV("1",S900)))</f>
        <v>0</v>
      </c>
      <c r="U900">
        <f>IMSUM(L900,T900)</f>
        <v>0</v>
      </c>
      <c r="V900">
        <f>IMDIV(COMPLEX(I_DM_SOURCE,0),U900)</f>
        <v>0</v>
      </c>
      <c r="W900">
        <f>IMPRODUCT(V900,T900)</f>
        <v>0</v>
      </c>
      <c r="X900">
        <f>IMDIV(W900,S900)</f>
        <v>0</v>
      </c>
      <c r="Y900">
        <f>IMPRODUCT(X900,R900)</f>
        <v>0</v>
      </c>
      <c r="Z900">
        <f>IMDIV(Y900,Q900)</f>
        <v>0</v>
      </c>
      <c r="AA900">
        <f>IMPRODUCT(Z900,P900)</f>
        <v>0</v>
      </c>
      <c r="AB900">
        <f>AA900</f>
        <v>0</v>
      </c>
      <c r="AC900">
        <f>IMPRODUCT("-1",AB900)</f>
        <v>0</v>
      </c>
      <c r="AD900">
        <f>IMDIV(IMSUB(AB900,AC900),"2")</f>
        <v>0</v>
      </c>
      <c r="AE900" s="6">
        <f>IMABS(AB900)</f>
        <v>0</v>
      </c>
      <c r="AF900" s="6">
        <f>IMABS(AC900)</f>
        <v>0</v>
      </c>
      <c r="AG900" s="6">
        <f>IMABS(AD900)</f>
        <v>0</v>
      </c>
      <c r="AH900" s="7">
        <f>20*LOG10(MAX(AE900,1E-300)*1E6)</f>
        <v>0</v>
      </c>
      <c r="AI900" s="7">
        <f>20*LOG10(MAX(AF900,1E-300)*1E6)</f>
        <v>0</v>
      </c>
      <c r="AJ900" s="7">
        <f>20*LOG10(MAX(AG900,1E-300)*1E6)</f>
        <v>0</v>
      </c>
      <c r="AK900" s="7">
        <f>DEGREES(IMARGUMENT(AB900))</f>
        <v>0</v>
      </c>
      <c r="AL900" s="7">
        <f>DEGREES(IMARGUMENT(AC900))</f>
        <v>0</v>
      </c>
      <c r="AM900" s="7">
        <f>DEGREES(IMARGUMENT(AD900))</f>
        <v>0</v>
      </c>
    </row>
    <row r="901" spans="1:39">
      <c r="A901" s="6">
        <f>10^(LOG10(F_START)+(ROW()-ROW($A$2))*(LOG10(F_STOP)-LOG10(F_START))/(N_POINTS-1))</f>
        <v>0</v>
      </c>
      <c r="B901" s="6">
        <f>2*PI()*A901</f>
        <v>0</v>
      </c>
      <c r="C901">
        <f>COMPLEX(2*LINE_PS_DCR,2*B901*LINE_PS_L)</f>
        <v>0</v>
      </c>
      <c r="D901">
        <f>IMSUM(COMPLEX(0,B901*(LINE_PS_CLINE+LINE_PS_CCHA/2)),IMDIV("1",IMPRODUCT("2",COMPLEX(C_THROUGH_ESR,B901*C_THROUGH_ESL-1/(B901*C_THROUGH_C)))))</f>
        <v>0</v>
      </c>
      <c r="E901">
        <f>COMPLEX(2*LINE_INPUT_DCR,2*B901*LINE_INPUT_L)</f>
        <v>0</v>
      </c>
      <c r="F901">
        <f>COMPLEX(0,B901*(LINE_INPUT_CLINE+LINE_INPUT_CCHA/2))</f>
        <v>0</v>
      </c>
      <c r="G901">
        <f>IMPRODUCT("2",IMDIV("1",IMSUM(IMDIV("1",COMPLEX(LDM1_DCR,B901*LDM1_L)),COMPLEX(0,B901*LDM1_CPA))))</f>
        <v>0</v>
      </c>
      <c r="H901">
        <f>IMSUM(IMDIV("1",COMPLEX(CX1_ESR,B901*CX1_ESL-1/(B901*CX1_C))),IMDIV("1",IMSUM(COMPLEX(DUMP1_R,0),COMPLEX(DUMP1_ESR,B901*DUMP1_ESL-1/(B901*DUMP1_C)))))</f>
        <v>0</v>
      </c>
      <c r="I901">
        <f>IMPRODUCT("2",IMDIV("1",IMSUM(IMDIV("1",COMPLEX(LDM2_DCR,B901*LDM2_L)),COMPLEX(0,B901*LDM2_CPA))))</f>
        <v>0</v>
      </c>
      <c r="J901">
        <f>IMSUM(IMDIV("1",COMPLEX(CX2_ESR,B901*CX2_ESL-1/(B901*CX2_C))),IMDIV("1",IMSUM(COMPLEX(DUMP2_R,0),COMPLEX(DUMP2_ESR,B901*DUMP2_ESL-1/(B901*DUMP2_C)))))</f>
        <v>0</v>
      </c>
      <c r="K901">
        <f>IMPRODUCT("2",IMDIV("1",IMSUM(IMDIV("1",COMPLEX(CMC_DCR,B901*CMC_L*(1-CMC_K))),COMPLEX(0,B901*CMC_CPA))))</f>
        <v>0</v>
      </c>
      <c r="L901">
        <f>IMSUM(COMPLEX(0,B901*CMC_CLINE),IMDIV("1",IMPRODUCT("2",COMPLEX(CY_ESR,B901*CY_ESL-1/(B901*CY_C)))),COMPLEX(1/DUMMY_R,0))</f>
        <v>0</v>
      </c>
      <c r="M901">
        <f>IMSUM(D901,IMDIV("1",C901))</f>
        <v>0</v>
      </c>
      <c r="N901">
        <f>IMDIV("1",IMSUM(E901,IMDIV("1",M901)))</f>
        <v>0</v>
      </c>
      <c r="O901">
        <f>IMSUM(F901,N901)</f>
        <v>0</v>
      </c>
      <c r="P901">
        <f>IMDIV("1",IMSUM(G901,IMDIV("1",O901)))</f>
        <v>0</v>
      </c>
      <c r="Q901">
        <f>IMSUM(H901,P901)</f>
        <v>0</v>
      </c>
      <c r="R901">
        <f>IMDIV("1",IMSUM(I901,IMDIV("1",Q901)))</f>
        <v>0</v>
      </c>
      <c r="S901">
        <f>IMSUM(J901,R901)</f>
        <v>0</v>
      </c>
      <c r="T901">
        <f>IMDIV("1",IMSUM(K901,IMDIV("1",S901)))</f>
        <v>0</v>
      </c>
      <c r="U901">
        <f>IMSUM(L901,T901)</f>
        <v>0</v>
      </c>
      <c r="V901">
        <f>IMDIV(COMPLEX(I_DM_SOURCE,0),U901)</f>
        <v>0</v>
      </c>
      <c r="W901">
        <f>IMPRODUCT(V901,T901)</f>
        <v>0</v>
      </c>
      <c r="X901">
        <f>IMDIV(W901,S901)</f>
        <v>0</v>
      </c>
      <c r="Y901">
        <f>IMPRODUCT(X901,R901)</f>
        <v>0</v>
      </c>
      <c r="Z901">
        <f>IMDIV(Y901,Q901)</f>
        <v>0</v>
      </c>
      <c r="AA901">
        <f>IMPRODUCT(Z901,P901)</f>
        <v>0</v>
      </c>
      <c r="AB901">
        <f>AA901</f>
        <v>0</v>
      </c>
      <c r="AC901">
        <f>IMPRODUCT("-1",AB901)</f>
        <v>0</v>
      </c>
      <c r="AD901">
        <f>IMDIV(IMSUB(AB901,AC901),"2")</f>
        <v>0</v>
      </c>
      <c r="AE901" s="6">
        <f>IMABS(AB901)</f>
        <v>0</v>
      </c>
      <c r="AF901" s="6">
        <f>IMABS(AC901)</f>
        <v>0</v>
      </c>
      <c r="AG901" s="6">
        <f>IMABS(AD901)</f>
        <v>0</v>
      </c>
      <c r="AH901" s="7">
        <f>20*LOG10(MAX(AE901,1E-300)*1E6)</f>
        <v>0</v>
      </c>
      <c r="AI901" s="7">
        <f>20*LOG10(MAX(AF901,1E-300)*1E6)</f>
        <v>0</v>
      </c>
      <c r="AJ901" s="7">
        <f>20*LOG10(MAX(AG901,1E-300)*1E6)</f>
        <v>0</v>
      </c>
      <c r="AK901" s="7">
        <f>DEGREES(IMARGUMENT(AB901))</f>
        <v>0</v>
      </c>
      <c r="AL901" s="7">
        <f>DEGREES(IMARGUMENT(AC901))</f>
        <v>0</v>
      </c>
      <c r="AM901" s="7">
        <f>DEGREES(IMARGUMENT(AD901))</f>
        <v>0</v>
      </c>
    </row>
    <row r="902" spans="1:39">
      <c r="A902" s="6">
        <f>10^(LOG10(F_START)+(ROW()-ROW($A$2))*(LOG10(F_STOP)-LOG10(F_START))/(N_POINTS-1))</f>
        <v>0</v>
      </c>
      <c r="B902" s="6">
        <f>2*PI()*A902</f>
        <v>0</v>
      </c>
      <c r="C902">
        <f>COMPLEX(2*LINE_PS_DCR,2*B902*LINE_PS_L)</f>
        <v>0</v>
      </c>
      <c r="D902">
        <f>IMSUM(COMPLEX(0,B902*(LINE_PS_CLINE+LINE_PS_CCHA/2)),IMDIV("1",IMPRODUCT("2",COMPLEX(C_THROUGH_ESR,B902*C_THROUGH_ESL-1/(B902*C_THROUGH_C)))))</f>
        <v>0</v>
      </c>
      <c r="E902">
        <f>COMPLEX(2*LINE_INPUT_DCR,2*B902*LINE_INPUT_L)</f>
        <v>0</v>
      </c>
      <c r="F902">
        <f>COMPLEX(0,B902*(LINE_INPUT_CLINE+LINE_INPUT_CCHA/2))</f>
        <v>0</v>
      </c>
      <c r="G902">
        <f>IMPRODUCT("2",IMDIV("1",IMSUM(IMDIV("1",COMPLEX(LDM1_DCR,B902*LDM1_L)),COMPLEX(0,B902*LDM1_CPA))))</f>
        <v>0</v>
      </c>
      <c r="H902">
        <f>IMSUM(IMDIV("1",COMPLEX(CX1_ESR,B902*CX1_ESL-1/(B902*CX1_C))),IMDIV("1",IMSUM(COMPLEX(DUMP1_R,0),COMPLEX(DUMP1_ESR,B902*DUMP1_ESL-1/(B902*DUMP1_C)))))</f>
        <v>0</v>
      </c>
      <c r="I902">
        <f>IMPRODUCT("2",IMDIV("1",IMSUM(IMDIV("1",COMPLEX(LDM2_DCR,B902*LDM2_L)),COMPLEX(0,B902*LDM2_CPA))))</f>
        <v>0</v>
      </c>
      <c r="J902">
        <f>IMSUM(IMDIV("1",COMPLEX(CX2_ESR,B902*CX2_ESL-1/(B902*CX2_C))),IMDIV("1",IMSUM(COMPLEX(DUMP2_R,0),COMPLEX(DUMP2_ESR,B902*DUMP2_ESL-1/(B902*DUMP2_C)))))</f>
        <v>0</v>
      </c>
      <c r="K902">
        <f>IMPRODUCT("2",IMDIV("1",IMSUM(IMDIV("1",COMPLEX(CMC_DCR,B902*CMC_L*(1-CMC_K))),COMPLEX(0,B902*CMC_CPA))))</f>
        <v>0</v>
      </c>
      <c r="L902">
        <f>IMSUM(COMPLEX(0,B902*CMC_CLINE),IMDIV("1",IMPRODUCT("2",COMPLEX(CY_ESR,B902*CY_ESL-1/(B902*CY_C)))),COMPLEX(1/DUMMY_R,0))</f>
        <v>0</v>
      </c>
      <c r="M902">
        <f>IMSUM(D902,IMDIV("1",C902))</f>
        <v>0</v>
      </c>
      <c r="N902">
        <f>IMDIV("1",IMSUM(E902,IMDIV("1",M902)))</f>
        <v>0</v>
      </c>
      <c r="O902">
        <f>IMSUM(F902,N902)</f>
        <v>0</v>
      </c>
      <c r="P902">
        <f>IMDIV("1",IMSUM(G902,IMDIV("1",O902)))</f>
        <v>0</v>
      </c>
      <c r="Q902">
        <f>IMSUM(H902,P902)</f>
        <v>0</v>
      </c>
      <c r="R902">
        <f>IMDIV("1",IMSUM(I902,IMDIV("1",Q902)))</f>
        <v>0</v>
      </c>
      <c r="S902">
        <f>IMSUM(J902,R902)</f>
        <v>0</v>
      </c>
      <c r="T902">
        <f>IMDIV("1",IMSUM(K902,IMDIV("1",S902)))</f>
        <v>0</v>
      </c>
      <c r="U902">
        <f>IMSUM(L902,T902)</f>
        <v>0</v>
      </c>
      <c r="V902">
        <f>IMDIV(COMPLEX(I_DM_SOURCE,0),U902)</f>
        <v>0</v>
      </c>
      <c r="W902">
        <f>IMPRODUCT(V902,T902)</f>
        <v>0</v>
      </c>
      <c r="X902">
        <f>IMDIV(W902,S902)</f>
        <v>0</v>
      </c>
      <c r="Y902">
        <f>IMPRODUCT(X902,R902)</f>
        <v>0</v>
      </c>
      <c r="Z902">
        <f>IMDIV(Y902,Q902)</f>
        <v>0</v>
      </c>
      <c r="AA902">
        <f>IMPRODUCT(Z902,P902)</f>
        <v>0</v>
      </c>
      <c r="AB902">
        <f>AA902</f>
        <v>0</v>
      </c>
      <c r="AC902">
        <f>IMPRODUCT("-1",AB902)</f>
        <v>0</v>
      </c>
      <c r="AD902">
        <f>IMDIV(IMSUB(AB902,AC902),"2")</f>
        <v>0</v>
      </c>
      <c r="AE902" s="6">
        <f>IMABS(AB902)</f>
        <v>0</v>
      </c>
      <c r="AF902" s="6">
        <f>IMABS(AC902)</f>
        <v>0</v>
      </c>
      <c r="AG902" s="6">
        <f>IMABS(AD902)</f>
        <v>0</v>
      </c>
      <c r="AH902" s="7">
        <f>20*LOG10(MAX(AE902,1E-300)*1E6)</f>
        <v>0</v>
      </c>
      <c r="AI902" s="7">
        <f>20*LOG10(MAX(AF902,1E-300)*1E6)</f>
        <v>0</v>
      </c>
      <c r="AJ902" s="7">
        <f>20*LOG10(MAX(AG902,1E-300)*1E6)</f>
        <v>0</v>
      </c>
      <c r="AK902" s="7">
        <f>DEGREES(IMARGUMENT(AB902))</f>
        <v>0</v>
      </c>
      <c r="AL902" s="7">
        <f>DEGREES(IMARGUMENT(AC902))</f>
        <v>0</v>
      </c>
      <c r="AM902" s="7">
        <f>DEGREES(IMARGUMENT(AD902))</f>
        <v>0</v>
      </c>
    </row>
    <row r="903" spans="1:39">
      <c r="A903" s="6">
        <f>10^(LOG10(F_START)+(ROW()-ROW($A$2))*(LOG10(F_STOP)-LOG10(F_START))/(N_POINTS-1))</f>
        <v>0</v>
      </c>
      <c r="B903" s="6">
        <f>2*PI()*A903</f>
        <v>0</v>
      </c>
      <c r="C903">
        <f>COMPLEX(2*LINE_PS_DCR,2*B903*LINE_PS_L)</f>
        <v>0</v>
      </c>
      <c r="D903">
        <f>IMSUM(COMPLEX(0,B903*(LINE_PS_CLINE+LINE_PS_CCHA/2)),IMDIV("1",IMPRODUCT("2",COMPLEX(C_THROUGH_ESR,B903*C_THROUGH_ESL-1/(B903*C_THROUGH_C)))))</f>
        <v>0</v>
      </c>
      <c r="E903">
        <f>COMPLEX(2*LINE_INPUT_DCR,2*B903*LINE_INPUT_L)</f>
        <v>0</v>
      </c>
      <c r="F903">
        <f>COMPLEX(0,B903*(LINE_INPUT_CLINE+LINE_INPUT_CCHA/2))</f>
        <v>0</v>
      </c>
      <c r="G903">
        <f>IMPRODUCT("2",IMDIV("1",IMSUM(IMDIV("1",COMPLEX(LDM1_DCR,B903*LDM1_L)),COMPLEX(0,B903*LDM1_CPA))))</f>
        <v>0</v>
      </c>
      <c r="H903">
        <f>IMSUM(IMDIV("1",COMPLEX(CX1_ESR,B903*CX1_ESL-1/(B903*CX1_C))),IMDIV("1",IMSUM(COMPLEX(DUMP1_R,0),COMPLEX(DUMP1_ESR,B903*DUMP1_ESL-1/(B903*DUMP1_C)))))</f>
        <v>0</v>
      </c>
      <c r="I903">
        <f>IMPRODUCT("2",IMDIV("1",IMSUM(IMDIV("1",COMPLEX(LDM2_DCR,B903*LDM2_L)),COMPLEX(0,B903*LDM2_CPA))))</f>
        <v>0</v>
      </c>
      <c r="J903">
        <f>IMSUM(IMDIV("1",COMPLEX(CX2_ESR,B903*CX2_ESL-1/(B903*CX2_C))),IMDIV("1",IMSUM(COMPLEX(DUMP2_R,0),COMPLEX(DUMP2_ESR,B903*DUMP2_ESL-1/(B903*DUMP2_C)))))</f>
        <v>0</v>
      </c>
      <c r="K903">
        <f>IMPRODUCT("2",IMDIV("1",IMSUM(IMDIV("1",COMPLEX(CMC_DCR,B903*CMC_L*(1-CMC_K))),COMPLEX(0,B903*CMC_CPA))))</f>
        <v>0</v>
      </c>
      <c r="L903">
        <f>IMSUM(COMPLEX(0,B903*CMC_CLINE),IMDIV("1",IMPRODUCT("2",COMPLEX(CY_ESR,B903*CY_ESL-1/(B903*CY_C)))),COMPLEX(1/DUMMY_R,0))</f>
        <v>0</v>
      </c>
      <c r="M903">
        <f>IMSUM(D903,IMDIV("1",C903))</f>
        <v>0</v>
      </c>
      <c r="N903">
        <f>IMDIV("1",IMSUM(E903,IMDIV("1",M903)))</f>
        <v>0</v>
      </c>
      <c r="O903">
        <f>IMSUM(F903,N903)</f>
        <v>0</v>
      </c>
      <c r="P903">
        <f>IMDIV("1",IMSUM(G903,IMDIV("1",O903)))</f>
        <v>0</v>
      </c>
      <c r="Q903">
        <f>IMSUM(H903,P903)</f>
        <v>0</v>
      </c>
      <c r="R903">
        <f>IMDIV("1",IMSUM(I903,IMDIV("1",Q903)))</f>
        <v>0</v>
      </c>
      <c r="S903">
        <f>IMSUM(J903,R903)</f>
        <v>0</v>
      </c>
      <c r="T903">
        <f>IMDIV("1",IMSUM(K903,IMDIV("1",S903)))</f>
        <v>0</v>
      </c>
      <c r="U903">
        <f>IMSUM(L903,T903)</f>
        <v>0</v>
      </c>
      <c r="V903">
        <f>IMDIV(COMPLEX(I_DM_SOURCE,0),U903)</f>
        <v>0</v>
      </c>
      <c r="W903">
        <f>IMPRODUCT(V903,T903)</f>
        <v>0</v>
      </c>
      <c r="X903">
        <f>IMDIV(W903,S903)</f>
        <v>0</v>
      </c>
      <c r="Y903">
        <f>IMPRODUCT(X903,R903)</f>
        <v>0</v>
      </c>
      <c r="Z903">
        <f>IMDIV(Y903,Q903)</f>
        <v>0</v>
      </c>
      <c r="AA903">
        <f>IMPRODUCT(Z903,P903)</f>
        <v>0</v>
      </c>
      <c r="AB903">
        <f>AA903</f>
        <v>0</v>
      </c>
      <c r="AC903">
        <f>IMPRODUCT("-1",AB903)</f>
        <v>0</v>
      </c>
      <c r="AD903">
        <f>IMDIV(IMSUB(AB903,AC903),"2")</f>
        <v>0</v>
      </c>
      <c r="AE903" s="6">
        <f>IMABS(AB903)</f>
        <v>0</v>
      </c>
      <c r="AF903" s="6">
        <f>IMABS(AC903)</f>
        <v>0</v>
      </c>
      <c r="AG903" s="6">
        <f>IMABS(AD903)</f>
        <v>0</v>
      </c>
      <c r="AH903" s="7">
        <f>20*LOG10(MAX(AE903,1E-300)*1E6)</f>
        <v>0</v>
      </c>
      <c r="AI903" s="7">
        <f>20*LOG10(MAX(AF903,1E-300)*1E6)</f>
        <v>0</v>
      </c>
      <c r="AJ903" s="7">
        <f>20*LOG10(MAX(AG903,1E-300)*1E6)</f>
        <v>0</v>
      </c>
      <c r="AK903" s="7">
        <f>DEGREES(IMARGUMENT(AB903))</f>
        <v>0</v>
      </c>
      <c r="AL903" s="7">
        <f>DEGREES(IMARGUMENT(AC903))</f>
        <v>0</v>
      </c>
      <c r="AM903" s="7">
        <f>DEGREES(IMARGUMENT(AD903))</f>
        <v>0</v>
      </c>
    </row>
    <row r="904" spans="1:39">
      <c r="A904" s="6">
        <f>10^(LOG10(F_START)+(ROW()-ROW($A$2))*(LOG10(F_STOP)-LOG10(F_START))/(N_POINTS-1))</f>
        <v>0</v>
      </c>
      <c r="B904" s="6">
        <f>2*PI()*A904</f>
        <v>0</v>
      </c>
      <c r="C904">
        <f>COMPLEX(2*LINE_PS_DCR,2*B904*LINE_PS_L)</f>
        <v>0</v>
      </c>
      <c r="D904">
        <f>IMSUM(COMPLEX(0,B904*(LINE_PS_CLINE+LINE_PS_CCHA/2)),IMDIV("1",IMPRODUCT("2",COMPLEX(C_THROUGH_ESR,B904*C_THROUGH_ESL-1/(B904*C_THROUGH_C)))))</f>
        <v>0</v>
      </c>
      <c r="E904">
        <f>COMPLEX(2*LINE_INPUT_DCR,2*B904*LINE_INPUT_L)</f>
        <v>0</v>
      </c>
      <c r="F904">
        <f>COMPLEX(0,B904*(LINE_INPUT_CLINE+LINE_INPUT_CCHA/2))</f>
        <v>0</v>
      </c>
      <c r="G904">
        <f>IMPRODUCT("2",IMDIV("1",IMSUM(IMDIV("1",COMPLEX(LDM1_DCR,B904*LDM1_L)),COMPLEX(0,B904*LDM1_CPA))))</f>
        <v>0</v>
      </c>
      <c r="H904">
        <f>IMSUM(IMDIV("1",COMPLEX(CX1_ESR,B904*CX1_ESL-1/(B904*CX1_C))),IMDIV("1",IMSUM(COMPLEX(DUMP1_R,0),COMPLEX(DUMP1_ESR,B904*DUMP1_ESL-1/(B904*DUMP1_C)))))</f>
        <v>0</v>
      </c>
      <c r="I904">
        <f>IMPRODUCT("2",IMDIV("1",IMSUM(IMDIV("1",COMPLEX(LDM2_DCR,B904*LDM2_L)),COMPLEX(0,B904*LDM2_CPA))))</f>
        <v>0</v>
      </c>
      <c r="J904">
        <f>IMSUM(IMDIV("1",COMPLEX(CX2_ESR,B904*CX2_ESL-1/(B904*CX2_C))),IMDIV("1",IMSUM(COMPLEX(DUMP2_R,0),COMPLEX(DUMP2_ESR,B904*DUMP2_ESL-1/(B904*DUMP2_C)))))</f>
        <v>0</v>
      </c>
      <c r="K904">
        <f>IMPRODUCT("2",IMDIV("1",IMSUM(IMDIV("1",COMPLEX(CMC_DCR,B904*CMC_L*(1-CMC_K))),COMPLEX(0,B904*CMC_CPA))))</f>
        <v>0</v>
      </c>
      <c r="L904">
        <f>IMSUM(COMPLEX(0,B904*CMC_CLINE),IMDIV("1",IMPRODUCT("2",COMPLEX(CY_ESR,B904*CY_ESL-1/(B904*CY_C)))),COMPLEX(1/DUMMY_R,0))</f>
        <v>0</v>
      </c>
      <c r="M904">
        <f>IMSUM(D904,IMDIV("1",C904))</f>
        <v>0</v>
      </c>
      <c r="N904">
        <f>IMDIV("1",IMSUM(E904,IMDIV("1",M904)))</f>
        <v>0</v>
      </c>
      <c r="O904">
        <f>IMSUM(F904,N904)</f>
        <v>0</v>
      </c>
      <c r="P904">
        <f>IMDIV("1",IMSUM(G904,IMDIV("1",O904)))</f>
        <v>0</v>
      </c>
      <c r="Q904">
        <f>IMSUM(H904,P904)</f>
        <v>0</v>
      </c>
      <c r="R904">
        <f>IMDIV("1",IMSUM(I904,IMDIV("1",Q904)))</f>
        <v>0</v>
      </c>
      <c r="S904">
        <f>IMSUM(J904,R904)</f>
        <v>0</v>
      </c>
      <c r="T904">
        <f>IMDIV("1",IMSUM(K904,IMDIV("1",S904)))</f>
        <v>0</v>
      </c>
      <c r="U904">
        <f>IMSUM(L904,T904)</f>
        <v>0</v>
      </c>
      <c r="V904">
        <f>IMDIV(COMPLEX(I_DM_SOURCE,0),U904)</f>
        <v>0</v>
      </c>
      <c r="W904">
        <f>IMPRODUCT(V904,T904)</f>
        <v>0</v>
      </c>
      <c r="X904">
        <f>IMDIV(W904,S904)</f>
        <v>0</v>
      </c>
      <c r="Y904">
        <f>IMPRODUCT(X904,R904)</f>
        <v>0</v>
      </c>
      <c r="Z904">
        <f>IMDIV(Y904,Q904)</f>
        <v>0</v>
      </c>
      <c r="AA904">
        <f>IMPRODUCT(Z904,P904)</f>
        <v>0</v>
      </c>
      <c r="AB904">
        <f>AA904</f>
        <v>0</v>
      </c>
      <c r="AC904">
        <f>IMPRODUCT("-1",AB904)</f>
        <v>0</v>
      </c>
      <c r="AD904">
        <f>IMDIV(IMSUB(AB904,AC904),"2")</f>
        <v>0</v>
      </c>
      <c r="AE904" s="6">
        <f>IMABS(AB904)</f>
        <v>0</v>
      </c>
      <c r="AF904" s="6">
        <f>IMABS(AC904)</f>
        <v>0</v>
      </c>
      <c r="AG904" s="6">
        <f>IMABS(AD904)</f>
        <v>0</v>
      </c>
      <c r="AH904" s="7">
        <f>20*LOG10(MAX(AE904,1E-300)*1E6)</f>
        <v>0</v>
      </c>
      <c r="AI904" s="7">
        <f>20*LOG10(MAX(AF904,1E-300)*1E6)</f>
        <v>0</v>
      </c>
      <c r="AJ904" s="7">
        <f>20*LOG10(MAX(AG904,1E-300)*1E6)</f>
        <v>0</v>
      </c>
      <c r="AK904" s="7">
        <f>DEGREES(IMARGUMENT(AB904))</f>
        <v>0</v>
      </c>
      <c r="AL904" s="7">
        <f>DEGREES(IMARGUMENT(AC904))</f>
        <v>0</v>
      </c>
      <c r="AM904" s="7">
        <f>DEGREES(IMARGUMENT(AD904))</f>
        <v>0</v>
      </c>
    </row>
    <row r="905" spans="1:39">
      <c r="A905" s="6">
        <f>10^(LOG10(F_START)+(ROW()-ROW($A$2))*(LOG10(F_STOP)-LOG10(F_START))/(N_POINTS-1))</f>
        <v>0</v>
      </c>
      <c r="B905" s="6">
        <f>2*PI()*A905</f>
        <v>0</v>
      </c>
      <c r="C905">
        <f>COMPLEX(2*LINE_PS_DCR,2*B905*LINE_PS_L)</f>
        <v>0</v>
      </c>
      <c r="D905">
        <f>IMSUM(COMPLEX(0,B905*(LINE_PS_CLINE+LINE_PS_CCHA/2)),IMDIV("1",IMPRODUCT("2",COMPLEX(C_THROUGH_ESR,B905*C_THROUGH_ESL-1/(B905*C_THROUGH_C)))))</f>
        <v>0</v>
      </c>
      <c r="E905">
        <f>COMPLEX(2*LINE_INPUT_DCR,2*B905*LINE_INPUT_L)</f>
        <v>0</v>
      </c>
      <c r="F905">
        <f>COMPLEX(0,B905*(LINE_INPUT_CLINE+LINE_INPUT_CCHA/2))</f>
        <v>0</v>
      </c>
      <c r="G905">
        <f>IMPRODUCT("2",IMDIV("1",IMSUM(IMDIV("1",COMPLEX(LDM1_DCR,B905*LDM1_L)),COMPLEX(0,B905*LDM1_CPA))))</f>
        <v>0</v>
      </c>
      <c r="H905">
        <f>IMSUM(IMDIV("1",COMPLEX(CX1_ESR,B905*CX1_ESL-1/(B905*CX1_C))),IMDIV("1",IMSUM(COMPLEX(DUMP1_R,0),COMPLEX(DUMP1_ESR,B905*DUMP1_ESL-1/(B905*DUMP1_C)))))</f>
        <v>0</v>
      </c>
      <c r="I905">
        <f>IMPRODUCT("2",IMDIV("1",IMSUM(IMDIV("1",COMPLEX(LDM2_DCR,B905*LDM2_L)),COMPLEX(0,B905*LDM2_CPA))))</f>
        <v>0</v>
      </c>
      <c r="J905">
        <f>IMSUM(IMDIV("1",COMPLEX(CX2_ESR,B905*CX2_ESL-1/(B905*CX2_C))),IMDIV("1",IMSUM(COMPLEX(DUMP2_R,0),COMPLEX(DUMP2_ESR,B905*DUMP2_ESL-1/(B905*DUMP2_C)))))</f>
        <v>0</v>
      </c>
      <c r="K905">
        <f>IMPRODUCT("2",IMDIV("1",IMSUM(IMDIV("1",COMPLEX(CMC_DCR,B905*CMC_L*(1-CMC_K))),COMPLEX(0,B905*CMC_CPA))))</f>
        <v>0</v>
      </c>
      <c r="L905">
        <f>IMSUM(COMPLEX(0,B905*CMC_CLINE),IMDIV("1",IMPRODUCT("2",COMPLEX(CY_ESR,B905*CY_ESL-1/(B905*CY_C)))),COMPLEX(1/DUMMY_R,0))</f>
        <v>0</v>
      </c>
      <c r="M905">
        <f>IMSUM(D905,IMDIV("1",C905))</f>
        <v>0</v>
      </c>
      <c r="N905">
        <f>IMDIV("1",IMSUM(E905,IMDIV("1",M905)))</f>
        <v>0</v>
      </c>
      <c r="O905">
        <f>IMSUM(F905,N905)</f>
        <v>0</v>
      </c>
      <c r="P905">
        <f>IMDIV("1",IMSUM(G905,IMDIV("1",O905)))</f>
        <v>0</v>
      </c>
      <c r="Q905">
        <f>IMSUM(H905,P905)</f>
        <v>0</v>
      </c>
      <c r="R905">
        <f>IMDIV("1",IMSUM(I905,IMDIV("1",Q905)))</f>
        <v>0</v>
      </c>
      <c r="S905">
        <f>IMSUM(J905,R905)</f>
        <v>0</v>
      </c>
      <c r="T905">
        <f>IMDIV("1",IMSUM(K905,IMDIV("1",S905)))</f>
        <v>0</v>
      </c>
      <c r="U905">
        <f>IMSUM(L905,T905)</f>
        <v>0</v>
      </c>
      <c r="V905">
        <f>IMDIV(COMPLEX(I_DM_SOURCE,0),U905)</f>
        <v>0</v>
      </c>
      <c r="W905">
        <f>IMPRODUCT(V905,T905)</f>
        <v>0</v>
      </c>
      <c r="X905">
        <f>IMDIV(W905,S905)</f>
        <v>0</v>
      </c>
      <c r="Y905">
        <f>IMPRODUCT(X905,R905)</f>
        <v>0</v>
      </c>
      <c r="Z905">
        <f>IMDIV(Y905,Q905)</f>
        <v>0</v>
      </c>
      <c r="AA905">
        <f>IMPRODUCT(Z905,P905)</f>
        <v>0</v>
      </c>
      <c r="AB905">
        <f>AA905</f>
        <v>0</v>
      </c>
      <c r="AC905">
        <f>IMPRODUCT("-1",AB905)</f>
        <v>0</v>
      </c>
      <c r="AD905">
        <f>IMDIV(IMSUB(AB905,AC905),"2")</f>
        <v>0</v>
      </c>
      <c r="AE905" s="6">
        <f>IMABS(AB905)</f>
        <v>0</v>
      </c>
      <c r="AF905" s="6">
        <f>IMABS(AC905)</f>
        <v>0</v>
      </c>
      <c r="AG905" s="6">
        <f>IMABS(AD905)</f>
        <v>0</v>
      </c>
      <c r="AH905" s="7">
        <f>20*LOG10(MAX(AE905,1E-300)*1E6)</f>
        <v>0</v>
      </c>
      <c r="AI905" s="7">
        <f>20*LOG10(MAX(AF905,1E-300)*1E6)</f>
        <v>0</v>
      </c>
      <c r="AJ905" s="7">
        <f>20*LOG10(MAX(AG905,1E-300)*1E6)</f>
        <v>0</v>
      </c>
      <c r="AK905" s="7">
        <f>DEGREES(IMARGUMENT(AB905))</f>
        <v>0</v>
      </c>
      <c r="AL905" s="7">
        <f>DEGREES(IMARGUMENT(AC905))</f>
        <v>0</v>
      </c>
      <c r="AM905" s="7">
        <f>DEGREES(IMARGUMENT(AD905))</f>
        <v>0</v>
      </c>
    </row>
    <row r="906" spans="1:39">
      <c r="A906" s="6">
        <f>10^(LOG10(F_START)+(ROW()-ROW($A$2))*(LOG10(F_STOP)-LOG10(F_START))/(N_POINTS-1))</f>
        <v>0</v>
      </c>
      <c r="B906" s="6">
        <f>2*PI()*A906</f>
        <v>0</v>
      </c>
      <c r="C906">
        <f>COMPLEX(2*LINE_PS_DCR,2*B906*LINE_PS_L)</f>
        <v>0</v>
      </c>
      <c r="D906">
        <f>IMSUM(COMPLEX(0,B906*(LINE_PS_CLINE+LINE_PS_CCHA/2)),IMDIV("1",IMPRODUCT("2",COMPLEX(C_THROUGH_ESR,B906*C_THROUGH_ESL-1/(B906*C_THROUGH_C)))))</f>
        <v>0</v>
      </c>
      <c r="E906">
        <f>COMPLEX(2*LINE_INPUT_DCR,2*B906*LINE_INPUT_L)</f>
        <v>0</v>
      </c>
      <c r="F906">
        <f>COMPLEX(0,B906*(LINE_INPUT_CLINE+LINE_INPUT_CCHA/2))</f>
        <v>0</v>
      </c>
      <c r="G906">
        <f>IMPRODUCT("2",IMDIV("1",IMSUM(IMDIV("1",COMPLEX(LDM1_DCR,B906*LDM1_L)),COMPLEX(0,B906*LDM1_CPA))))</f>
        <v>0</v>
      </c>
      <c r="H906">
        <f>IMSUM(IMDIV("1",COMPLEX(CX1_ESR,B906*CX1_ESL-1/(B906*CX1_C))),IMDIV("1",IMSUM(COMPLEX(DUMP1_R,0),COMPLEX(DUMP1_ESR,B906*DUMP1_ESL-1/(B906*DUMP1_C)))))</f>
        <v>0</v>
      </c>
      <c r="I906">
        <f>IMPRODUCT("2",IMDIV("1",IMSUM(IMDIV("1",COMPLEX(LDM2_DCR,B906*LDM2_L)),COMPLEX(0,B906*LDM2_CPA))))</f>
        <v>0</v>
      </c>
      <c r="J906">
        <f>IMSUM(IMDIV("1",COMPLEX(CX2_ESR,B906*CX2_ESL-1/(B906*CX2_C))),IMDIV("1",IMSUM(COMPLEX(DUMP2_R,0),COMPLEX(DUMP2_ESR,B906*DUMP2_ESL-1/(B906*DUMP2_C)))))</f>
        <v>0</v>
      </c>
      <c r="K906">
        <f>IMPRODUCT("2",IMDIV("1",IMSUM(IMDIV("1",COMPLEX(CMC_DCR,B906*CMC_L*(1-CMC_K))),COMPLEX(0,B906*CMC_CPA))))</f>
        <v>0</v>
      </c>
      <c r="L906">
        <f>IMSUM(COMPLEX(0,B906*CMC_CLINE),IMDIV("1",IMPRODUCT("2",COMPLEX(CY_ESR,B906*CY_ESL-1/(B906*CY_C)))),COMPLEX(1/DUMMY_R,0))</f>
        <v>0</v>
      </c>
      <c r="M906">
        <f>IMSUM(D906,IMDIV("1",C906))</f>
        <v>0</v>
      </c>
      <c r="N906">
        <f>IMDIV("1",IMSUM(E906,IMDIV("1",M906)))</f>
        <v>0</v>
      </c>
      <c r="O906">
        <f>IMSUM(F906,N906)</f>
        <v>0</v>
      </c>
      <c r="P906">
        <f>IMDIV("1",IMSUM(G906,IMDIV("1",O906)))</f>
        <v>0</v>
      </c>
      <c r="Q906">
        <f>IMSUM(H906,P906)</f>
        <v>0</v>
      </c>
      <c r="R906">
        <f>IMDIV("1",IMSUM(I906,IMDIV("1",Q906)))</f>
        <v>0</v>
      </c>
      <c r="S906">
        <f>IMSUM(J906,R906)</f>
        <v>0</v>
      </c>
      <c r="T906">
        <f>IMDIV("1",IMSUM(K906,IMDIV("1",S906)))</f>
        <v>0</v>
      </c>
      <c r="U906">
        <f>IMSUM(L906,T906)</f>
        <v>0</v>
      </c>
      <c r="V906">
        <f>IMDIV(COMPLEX(I_DM_SOURCE,0),U906)</f>
        <v>0</v>
      </c>
      <c r="W906">
        <f>IMPRODUCT(V906,T906)</f>
        <v>0</v>
      </c>
      <c r="X906">
        <f>IMDIV(W906,S906)</f>
        <v>0</v>
      </c>
      <c r="Y906">
        <f>IMPRODUCT(X906,R906)</f>
        <v>0</v>
      </c>
      <c r="Z906">
        <f>IMDIV(Y906,Q906)</f>
        <v>0</v>
      </c>
      <c r="AA906">
        <f>IMPRODUCT(Z906,P906)</f>
        <v>0</v>
      </c>
      <c r="AB906">
        <f>AA906</f>
        <v>0</v>
      </c>
      <c r="AC906">
        <f>IMPRODUCT("-1",AB906)</f>
        <v>0</v>
      </c>
      <c r="AD906">
        <f>IMDIV(IMSUB(AB906,AC906),"2")</f>
        <v>0</v>
      </c>
      <c r="AE906" s="6">
        <f>IMABS(AB906)</f>
        <v>0</v>
      </c>
      <c r="AF906" s="6">
        <f>IMABS(AC906)</f>
        <v>0</v>
      </c>
      <c r="AG906" s="6">
        <f>IMABS(AD906)</f>
        <v>0</v>
      </c>
      <c r="AH906" s="7">
        <f>20*LOG10(MAX(AE906,1E-300)*1E6)</f>
        <v>0</v>
      </c>
      <c r="AI906" s="7">
        <f>20*LOG10(MAX(AF906,1E-300)*1E6)</f>
        <v>0</v>
      </c>
      <c r="AJ906" s="7">
        <f>20*LOG10(MAX(AG906,1E-300)*1E6)</f>
        <v>0</v>
      </c>
      <c r="AK906" s="7">
        <f>DEGREES(IMARGUMENT(AB906))</f>
        <v>0</v>
      </c>
      <c r="AL906" s="7">
        <f>DEGREES(IMARGUMENT(AC906))</f>
        <v>0</v>
      </c>
      <c r="AM906" s="7">
        <f>DEGREES(IMARGUMENT(AD906))</f>
        <v>0</v>
      </c>
    </row>
    <row r="907" spans="1:39">
      <c r="A907" s="6">
        <f>10^(LOG10(F_START)+(ROW()-ROW($A$2))*(LOG10(F_STOP)-LOG10(F_START))/(N_POINTS-1))</f>
        <v>0</v>
      </c>
      <c r="B907" s="6">
        <f>2*PI()*A907</f>
        <v>0</v>
      </c>
      <c r="C907">
        <f>COMPLEX(2*LINE_PS_DCR,2*B907*LINE_PS_L)</f>
        <v>0</v>
      </c>
      <c r="D907">
        <f>IMSUM(COMPLEX(0,B907*(LINE_PS_CLINE+LINE_PS_CCHA/2)),IMDIV("1",IMPRODUCT("2",COMPLEX(C_THROUGH_ESR,B907*C_THROUGH_ESL-1/(B907*C_THROUGH_C)))))</f>
        <v>0</v>
      </c>
      <c r="E907">
        <f>COMPLEX(2*LINE_INPUT_DCR,2*B907*LINE_INPUT_L)</f>
        <v>0</v>
      </c>
      <c r="F907">
        <f>COMPLEX(0,B907*(LINE_INPUT_CLINE+LINE_INPUT_CCHA/2))</f>
        <v>0</v>
      </c>
      <c r="G907">
        <f>IMPRODUCT("2",IMDIV("1",IMSUM(IMDIV("1",COMPLEX(LDM1_DCR,B907*LDM1_L)),COMPLEX(0,B907*LDM1_CPA))))</f>
        <v>0</v>
      </c>
      <c r="H907">
        <f>IMSUM(IMDIV("1",COMPLEX(CX1_ESR,B907*CX1_ESL-1/(B907*CX1_C))),IMDIV("1",IMSUM(COMPLEX(DUMP1_R,0),COMPLEX(DUMP1_ESR,B907*DUMP1_ESL-1/(B907*DUMP1_C)))))</f>
        <v>0</v>
      </c>
      <c r="I907">
        <f>IMPRODUCT("2",IMDIV("1",IMSUM(IMDIV("1",COMPLEX(LDM2_DCR,B907*LDM2_L)),COMPLEX(0,B907*LDM2_CPA))))</f>
        <v>0</v>
      </c>
      <c r="J907">
        <f>IMSUM(IMDIV("1",COMPLEX(CX2_ESR,B907*CX2_ESL-1/(B907*CX2_C))),IMDIV("1",IMSUM(COMPLEX(DUMP2_R,0),COMPLEX(DUMP2_ESR,B907*DUMP2_ESL-1/(B907*DUMP2_C)))))</f>
        <v>0</v>
      </c>
      <c r="K907">
        <f>IMPRODUCT("2",IMDIV("1",IMSUM(IMDIV("1",COMPLEX(CMC_DCR,B907*CMC_L*(1-CMC_K))),COMPLEX(0,B907*CMC_CPA))))</f>
        <v>0</v>
      </c>
      <c r="L907">
        <f>IMSUM(COMPLEX(0,B907*CMC_CLINE),IMDIV("1",IMPRODUCT("2",COMPLEX(CY_ESR,B907*CY_ESL-1/(B907*CY_C)))),COMPLEX(1/DUMMY_R,0))</f>
        <v>0</v>
      </c>
      <c r="M907">
        <f>IMSUM(D907,IMDIV("1",C907))</f>
        <v>0</v>
      </c>
      <c r="N907">
        <f>IMDIV("1",IMSUM(E907,IMDIV("1",M907)))</f>
        <v>0</v>
      </c>
      <c r="O907">
        <f>IMSUM(F907,N907)</f>
        <v>0</v>
      </c>
      <c r="P907">
        <f>IMDIV("1",IMSUM(G907,IMDIV("1",O907)))</f>
        <v>0</v>
      </c>
      <c r="Q907">
        <f>IMSUM(H907,P907)</f>
        <v>0</v>
      </c>
      <c r="R907">
        <f>IMDIV("1",IMSUM(I907,IMDIV("1",Q907)))</f>
        <v>0</v>
      </c>
      <c r="S907">
        <f>IMSUM(J907,R907)</f>
        <v>0</v>
      </c>
      <c r="T907">
        <f>IMDIV("1",IMSUM(K907,IMDIV("1",S907)))</f>
        <v>0</v>
      </c>
      <c r="U907">
        <f>IMSUM(L907,T907)</f>
        <v>0</v>
      </c>
      <c r="V907">
        <f>IMDIV(COMPLEX(I_DM_SOURCE,0),U907)</f>
        <v>0</v>
      </c>
      <c r="W907">
        <f>IMPRODUCT(V907,T907)</f>
        <v>0</v>
      </c>
      <c r="X907">
        <f>IMDIV(W907,S907)</f>
        <v>0</v>
      </c>
      <c r="Y907">
        <f>IMPRODUCT(X907,R907)</f>
        <v>0</v>
      </c>
      <c r="Z907">
        <f>IMDIV(Y907,Q907)</f>
        <v>0</v>
      </c>
      <c r="AA907">
        <f>IMPRODUCT(Z907,P907)</f>
        <v>0</v>
      </c>
      <c r="AB907">
        <f>AA907</f>
        <v>0</v>
      </c>
      <c r="AC907">
        <f>IMPRODUCT("-1",AB907)</f>
        <v>0</v>
      </c>
      <c r="AD907">
        <f>IMDIV(IMSUB(AB907,AC907),"2")</f>
        <v>0</v>
      </c>
      <c r="AE907" s="6">
        <f>IMABS(AB907)</f>
        <v>0</v>
      </c>
      <c r="AF907" s="6">
        <f>IMABS(AC907)</f>
        <v>0</v>
      </c>
      <c r="AG907" s="6">
        <f>IMABS(AD907)</f>
        <v>0</v>
      </c>
      <c r="AH907" s="7">
        <f>20*LOG10(MAX(AE907,1E-300)*1E6)</f>
        <v>0</v>
      </c>
      <c r="AI907" s="7">
        <f>20*LOG10(MAX(AF907,1E-300)*1E6)</f>
        <v>0</v>
      </c>
      <c r="AJ907" s="7">
        <f>20*LOG10(MAX(AG907,1E-300)*1E6)</f>
        <v>0</v>
      </c>
      <c r="AK907" s="7">
        <f>DEGREES(IMARGUMENT(AB907))</f>
        <v>0</v>
      </c>
      <c r="AL907" s="7">
        <f>DEGREES(IMARGUMENT(AC907))</f>
        <v>0</v>
      </c>
      <c r="AM907" s="7">
        <f>DEGREES(IMARGUMENT(AD907))</f>
        <v>0</v>
      </c>
    </row>
    <row r="908" spans="1:39">
      <c r="A908" s="6">
        <f>10^(LOG10(F_START)+(ROW()-ROW($A$2))*(LOG10(F_STOP)-LOG10(F_START))/(N_POINTS-1))</f>
        <v>0</v>
      </c>
      <c r="B908" s="6">
        <f>2*PI()*A908</f>
        <v>0</v>
      </c>
      <c r="C908">
        <f>COMPLEX(2*LINE_PS_DCR,2*B908*LINE_PS_L)</f>
        <v>0</v>
      </c>
      <c r="D908">
        <f>IMSUM(COMPLEX(0,B908*(LINE_PS_CLINE+LINE_PS_CCHA/2)),IMDIV("1",IMPRODUCT("2",COMPLEX(C_THROUGH_ESR,B908*C_THROUGH_ESL-1/(B908*C_THROUGH_C)))))</f>
        <v>0</v>
      </c>
      <c r="E908">
        <f>COMPLEX(2*LINE_INPUT_DCR,2*B908*LINE_INPUT_L)</f>
        <v>0</v>
      </c>
      <c r="F908">
        <f>COMPLEX(0,B908*(LINE_INPUT_CLINE+LINE_INPUT_CCHA/2))</f>
        <v>0</v>
      </c>
      <c r="G908">
        <f>IMPRODUCT("2",IMDIV("1",IMSUM(IMDIV("1",COMPLEX(LDM1_DCR,B908*LDM1_L)),COMPLEX(0,B908*LDM1_CPA))))</f>
        <v>0</v>
      </c>
      <c r="H908">
        <f>IMSUM(IMDIV("1",COMPLEX(CX1_ESR,B908*CX1_ESL-1/(B908*CX1_C))),IMDIV("1",IMSUM(COMPLEX(DUMP1_R,0),COMPLEX(DUMP1_ESR,B908*DUMP1_ESL-1/(B908*DUMP1_C)))))</f>
        <v>0</v>
      </c>
      <c r="I908">
        <f>IMPRODUCT("2",IMDIV("1",IMSUM(IMDIV("1",COMPLEX(LDM2_DCR,B908*LDM2_L)),COMPLEX(0,B908*LDM2_CPA))))</f>
        <v>0</v>
      </c>
      <c r="J908">
        <f>IMSUM(IMDIV("1",COMPLEX(CX2_ESR,B908*CX2_ESL-1/(B908*CX2_C))),IMDIV("1",IMSUM(COMPLEX(DUMP2_R,0),COMPLEX(DUMP2_ESR,B908*DUMP2_ESL-1/(B908*DUMP2_C)))))</f>
        <v>0</v>
      </c>
      <c r="K908">
        <f>IMPRODUCT("2",IMDIV("1",IMSUM(IMDIV("1",COMPLEX(CMC_DCR,B908*CMC_L*(1-CMC_K))),COMPLEX(0,B908*CMC_CPA))))</f>
        <v>0</v>
      </c>
      <c r="L908">
        <f>IMSUM(COMPLEX(0,B908*CMC_CLINE),IMDIV("1",IMPRODUCT("2",COMPLEX(CY_ESR,B908*CY_ESL-1/(B908*CY_C)))),COMPLEX(1/DUMMY_R,0))</f>
        <v>0</v>
      </c>
      <c r="M908">
        <f>IMSUM(D908,IMDIV("1",C908))</f>
        <v>0</v>
      </c>
      <c r="N908">
        <f>IMDIV("1",IMSUM(E908,IMDIV("1",M908)))</f>
        <v>0</v>
      </c>
      <c r="O908">
        <f>IMSUM(F908,N908)</f>
        <v>0</v>
      </c>
      <c r="P908">
        <f>IMDIV("1",IMSUM(G908,IMDIV("1",O908)))</f>
        <v>0</v>
      </c>
      <c r="Q908">
        <f>IMSUM(H908,P908)</f>
        <v>0</v>
      </c>
      <c r="R908">
        <f>IMDIV("1",IMSUM(I908,IMDIV("1",Q908)))</f>
        <v>0</v>
      </c>
      <c r="S908">
        <f>IMSUM(J908,R908)</f>
        <v>0</v>
      </c>
      <c r="T908">
        <f>IMDIV("1",IMSUM(K908,IMDIV("1",S908)))</f>
        <v>0</v>
      </c>
      <c r="U908">
        <f>IMSUM(L908,T908)</f>
        <v>0</v>
      </c>
      <c r="V908">
        <f>IMDIV(COMPLEX(I_DM_SOURCE,0),U908)</f>
        <v>0</v>
      </c>
      <c r="W908">
        <f>IMPRODUCT(V908,T908)</f>
        <v>0</v>
      </c>
      <c r="X908">
        <f>IMDIV(W908,S908)</f>
        <v>0</v>
      </c>
      <c r="Y908">
        <f>IMPRODUCT(X908,R908)</f>
        <v>0</v>
      </c>
      <c r="Z908">
        <f>IMDIV(Y908,Q908)</f>
        <v>0</v>
      </c>
      <c r="AA908">
        <f>IMPRODUCT(Z908,P908)</f>
        <v>0</v>
      </c>
      <c r="AB908">
        <f>AA908</f>
        <v>0</v>
      </c>
      <c r="AC908">
        <f>IMPRODUCT("-1",AB908)</f>
        <v>0</v>
      </c>
      <c r="AD908">
        <f>IMDIV(IMSUB(AB908,AC908),"2")</f>
        <v>0</v>
      </c>
      <c r="AE908" s="6">
        <f>IMABS(AB908)</f>
        <v>0</v>
      </c>
      <c r="AF908" s="6">
        <f>IMABS(AC908)</f>
        <v>0</v>
      </c>
      <c r="AG908" s="6">
        <f>IMABS(AD908)</f>
        <v>0</v>
      </c>
      <c r="AH908" s="7">
        <f>20*LOG10(MAX(AE908,1E-300)*1E6)</f>
        <v>0</v>
      </c>
      <c r="AI908" s="7">
        <f>20*LOG10(MAX(AF908,1E-300)*1E6)</f>
        <v>0</v>
      </c>
      <c r="AJ908" s="7">
        <f>20*LOG10(MAX(AG908,1E-300)*1E6)</f>
        <v>0</v>
      </c>
      <c r="AK908" s="7">
        <f>DEGREES(IMARGUMENT(AB908))</f>
        <v>0</v>
      </c>
      <c r="AL908" s="7">
        <f>DEGREES(IMARGUMENT(AC908))</f>
        <v>0</v>
      </c>
      <c r="AM908" s="7">
        <f>DEGREES(IMARGUMENT(AD908))</f>
        <v>0</v>
      </c>
    </row>
    <row r="909" spans="1:39">
      <c r="A909" s="6">
        <f>10^(LOG10(F_START)+(ROW()-ROW($A$2))*(LOG10(F_STOP)-LOG10(F_START))/(N_POINTS-1))</f>
        <v>0</v>
      </c>
      <c r="B909" s="6">
        <f>2*PI()*A909</f>
        <v>0</v>
      </c>
      <c r="C909">
        <f>COMPLEX(2*LINE_PS_DCR,2*B909*LINE_PS_L)</f>
        <v>0</v>
      </c>
      <c r="D909">
        <f>IMSUM(COMPLEX(0,B909*(LINE_PS_CLINE+LINE_PS_CCHA/2)),IMDIV("1",IMPRODUCT("2",COMPLEX(C_THROUGH_ESR,B909*C_THROUGH_ESL-1/(B909*C_THROUGH_C)))))</f>
        <v>0</v>
      </c>
      <c r="E909">
        <f>COMPLEX(2*LINE_INPUT_DCR,2*B909*LINE_INPUT_L)</f>
        <v>0</v>
      </c>
      <c r="F909">
        <f>COMPLEX(0,B909*(LINE_INPUT_CLINE+LINE_INPUT_CCHA/2))</f>
        <v>0</v>
      </c>
      <c r="G909">
        <f>IMPRODUCT("2",IMDIV("1",IMSUM(IMDIV("1",COMPLEX(LDM1_DCR,B909*LDM1_L)),COMPLEX(0,B909*LDM1_CPA))))</f>
        <v>0</v>
      </c>
      <c r="H909">
        <f>IMSUM(IMDIV("1",COMPLEX(CX1_ESR,B909*CX1_ESL-1/(B909*CX1_C))),IMDIV("1",IMSUM(COMPLEX(DUMP1_R,0),COMPLEX(DUMP1_ESR,B909*DUMP1_ESL-1/(B909*DUMP1_C)))))</f>
        <v>0</v>
      </c>
      <c r="I909">
        <f>IMPRODUCT("2",IMDIV("1",IMSUM(IMDIV("1",COMPLEX(LDM2_DCR,B909*LDM2_L)),COMPLEX(0,B909*LDM2_CPA))))</f>
        <v>0</v>
      </c>
      <c r="J909">
        <f>IMSUM(IMDIV("1",COMPLEX(CX2_ESR,B909*CX2_ESL-1/(B909*CX2_C))),IMDIV("1",IMSUM(COMPLEX(DUMP2_R,0),COMPLEX(DUMP2_ESR,B909*DUMP2_ESL-1/(B909*DUMP2_C)))))</f>
        <v>0</v>
      </c>
      <c r="K909">
        <f>IMPRODUCT("2",IMDIV("1",IMSUM(IMDIV("1",COMPLEX(CMC_DCR,B909*CMC_L*(1-CMC_K))),COMPLEX(0,B909*CMC_CPA))))</f>
        <v>0</v>
      </c>
      <c r="L909">
        <f>IMSUM(COMPLEX(0,B909*CMC_CLINE),IMDIV("1",IMPRODUCT("2",COMPLEX(CY_ESR,B909*CY_ESL-1/(B909*CY_C)))),COMPLEX(1/DUMMY_R,0))</f>
        <v>0</v>
      </c>
      <c r="M909">
        <f>IMSUM(D909,IMDIV("1",C909))</f>
        <v>0</v>
      </c>
      <c r="N909">
        <f>IMDIV("1",IMSUM(E909,IMDIV("1",M909)))</f>
        <v>0</v>
      </c>
      <c r="O909">
        <f>IMSUM(F909,N909)</f>
        <v>0</v>
      </c>
      <c r="P909">
        <f>IMDIV("1",IMSUM(G909,IMDIV("1",O909)))</f>
        <v>0</v>
      </c>
      <c r="Q909">
        <f>IMSUM(H909,P909)</f>
        <v>0</v>
      </c>
      <c r="R909">
        <f>IMDIV("1",IMSUM(I909,IMDIV("1",Q909)))</f>
        <v>0</v>
      </c>
      <c r="S909">
        <f>IMSUM(J909,R909)</f>
        <v>0</v>
      </c>
      <c r="T909">
        <f>IMDIV("1",IMSUM(K909,IMDIV("1",S909)))</f>
        <v>0</v>
      </c>
      <c r="U909">
        <f>IMSUM(L909,T909)</f>
        <v>0</v>
      </c>
      <c r="V909">
        <f>IMDIV(COMPLEX(I_DM_SOURCE,0),U909)</f>
        <v>0</v>
      </c>
      <c r="W909">
        <f>IMPRODUCT(V909,T909)</f>
        <v>0</v>
      </c>
      <c r="X909">
        <f>IMDIV(W909,S909)</f>
        <v>0</v>
      </c>
      <c r="Y909">
        <f>IMPRODUCT(X909,R909)</f>
        <v>0</v>
      </c>
      <c r="Z909">
        <f>IMDIV(Y909,Q909)</f>
        <v>0</v>
      </c>
      <c r="AA909">
        <f>IMPRODUCT(Z909,P909)</f>
        <v>0</v>
      </c>
      <c r="AB909">
        <f>AA909</f>
        <v>0</v>
      </c>
      <c r="AC909">
        <f>IMPRODUCT("-1",AB909)</f>
        <v>0</v>
      </c>
      <c r="AD909">
        <f>IMDIV(IMSUB(AB909,AC909),"2")</f>
        <v>0</v>
      </c>
      <c r="AE909" s="6">
        <f>IMABS(AB909)</f>
        <v>0</v>
      </c>
      <c r="AF909" s="6">
        <f>IMABS(AC909)</f>
        <v>0</v>
      </c>
      <c r="AG909" s="6">
        <f>IMABS(AD909)</f>
        <v>0</v>
      </c>
      <c r="AH909" s="7">
        <f>20*LOG10(MAX(AE909,1E-300)*1E6)</f>
        <v>0</v>
      </c>
      <c r="AI909" s="7">
        <f>20*LOG10(MAX(AF909,1E-300)*1E6)</f>
        <v>0</v>
      </c>
      <c r="AJ909" s="7">
        <f>20*LOG10(MAX(AG909,1E-300)*1E6)</f>
        <v>0</v>
      </c>
      <c r="AK909" s="7">
        <f>DEGREES(IMARGUMENT(AB909))</f>
        <v>0</v>
      </c>
      <c r="AL909" s="7">
        <f>DEGREES(IMARGUMENT(AC909))</f>
        <v>0</v>
      </c>
      <c r="AM909" s="7">
        <f>DEGREES(IMARGUMENT(AD909))</f>
        <v>0</v>
      </c>
    </row>
    <row r="910" spans="1:39">
      <c r="A910" s="6">
        <f>10^(LOG10(F_START)+(ROW()-ROW($A$2))*(LOG10(F_STOP)-LOG10(F_START))/(N_POINTS-1))</f>
        <v>0</v>
      </c>
      <c r="B910" s="6">
        <f>2*PI()*A910</f>
        <v>0</v>
      </c>
      <c r="C910">
        <f>COMPLEX(2*LINE_PS_DCR,2*B910*LINE_PS_L)</f>
        <v>0</v>
      </c>
      <c r="D910">
        <f>IMSUM(COMPLEX(0,B910*(LINE_PS_CLINE+LINE_PS_CCHA/2)),IMDIV("1",IMPRODUCT("2",COMPLEX(C_THROUGH_ESR,B910*C_THROUGH_ESL-1/(B910*C_THROUGH_C)))))</f>
        <v>0</v>
      </c>
      <c r="E910">
        <f>COMPLEX(2*LINE_INPUT_DCR,2*B910*LINE_INPUT_L)</f>
        <v>0</v>
      </c>
      <c r="F910">
        <f>COMPLEX(0,B910*(LINE_INPUT_CLINE+LINE_INPUT_CCHA/2))</f>
        <v>0</v>
      </c>
      <c r="G910">
        <f>IMPRODUCT("2",IMDIV("1",IMSUM(IMDIV("1",COMPLEX(LDM1_DCR,B910*LDM1_L)),COMPLEX(0,B910*LDM1_CPA))))</f>
        <v>0</v>
      </c>
      <c r="H910">
        <f>IMSUM(IMDIV("1",COMPLEX(CX1_ESR,B910*CX1_ESL-1/(B910*CX1_C))),IMDIV("1",IMSUM(COMPLEX(DUMP1_R,0),COMPLEX(DUMP1_ESR,B910*DUMP1_ESL-1/(B910*DUMP1_C)))))</f>
        <v>0</v>
      </c>
      <c r="I910">
        <f>IMPRODUCT("2",IMDIV("1",IMSUM(IMDIV("1",COMPLEX(LDM2_DCR,B910*LDM2_L)),COMPLEX(0,B910*LDM2_CPA))))</f>
        <v>0</v>
      </c>
      <c r="J910">
        <f>IMSUM(IMDIV("1",COMPLEX(CX2_ESR,B910*CX2_ESL-1/(B910*CX2_C))),IMDIV("1",IMSUM(COMPLEX(DUMP2_R,0),COMPLEX(DUMP2_ESR,B910*DUMP2_ESL-1/(B910*DUMP2_C)))))</f>
        <v>0</v>
      </c>
      <c r="K910">
        <f>IMPRODUCT("2",IMDIV("1",IMSUM(IMDIV("1",COMPLEX(CMC_DCR,B910*CMC_L*(1-CMC_K))),COMPLEX(0,B910*CMC_CPA))))</f>
        <v>0</v>
      </c>
      <c r="L910">
        <f>IMSUM(COMPLEX(0,B910*CMC_CLINE),IMDIV("1",IMPRODUCT("2",COMPLEX(CY_ESR,B910*CY_ESL-1/(B910*CY_C)))),COMPLEX(1/DUMMY_R,0))</f>
        <v>0</v>
      </c>
      <c r="M910">
        <f>IMSUM(D910,IMDIV("1",C910))</f>
        <v>0</v>
      </c>
      <c r="N910">
        <f>IMDIV("1",IMSUM(E910,IMDIV("1",M910)))</f>
        <v>0</v>
      </c>
      <c r="O910">
        <f>IMSUM(F910,N910)</f>
        <v>0</v>
      </c>
      <c r="P910">
        <f>IMDIV("1",IMSUM(G910,IMDIV("1",O910)))</f>
        <v>0</v>
      </c>
      <c r="Q910">
        <f>IMSUM(H910,P910)</f>
        <v>0</v>
      </c>
      <c r="R910">
        <f>IMDIV("1",IMSUM(I910,IMDIV("1",Q910)))</f>
        <v>0</v>
      </c>
      <c r="S910">
        <f>IMSUM(J910,R910)</f>
        <v>0</v>
      </c>
      <c r="T910">
        <f>IMDIV("1",IMSUM(K910,IMDIV("1",S910)))</f>
        <v>0</v>
      </c>
      <c r="U910">
        <f>IMSUM(L910,T910)</f>
        <v>0</v>
      </c>
      <c r="V910">
        <f>IMDIV(COMPLEX(I_DM_SOURCE,0),U910)</f>
        <v>0</v>
      </c>
      <c r="W910">
        <f>IMPRODUCT(V910,T910)</f>
        <v>0</v>
      </c>
      <c r="X910">
        <f>IMDIV(W910,S910)</f>
        <v>0</v>
      </c>
      <c r="Y910">
        <f>IMPRODUCT(X910,R910)</f>
        <v>0</v>
      </c>
      <c r="Z910">
        <f>IMDIV(Y910,Q910)</f>
        <v>0</v>
      </c>
      <c r="AA910">
        <f>IMPRODUCT(Z910,P910)</f>
        <v>0</v>
      </c>
      <c r="AB910">
        <f>AA910</f>
        <v>0</v>
      </c>
      <c r="AC910">
        <f>IMPRODUCT("-1",AB910)</f>
        <v>0</v>
      </c>
      <c r="AD910">
        <f>IMDIV(IMSUB(AB910,AC910),"2")</f>
        <v>0</v>
      </c>
      <c r="AE910" s="6">
        <f>IMABS(AB910)</f>
        <v>0</v>
      </c>
      <c r="AF910" s="6">
        <f>IMABS(AC910)</f>
        <v>0</v>
      </c>
      <c r="AG910" s="6">
        <f>IMABS(AD910)</f>
        <v>0</v>
      </c>
      <c r="AH910" s="7">
        <f>20*LOG10(MAX(AE910,1E-300)*1E6)</f>
        <v>0</v>
      </c>
      <c r="AI910" s="7">
        <f>20*LOG10(MAX(AF910,1E-300)*1E6)</f>
        <v>0</v>
      </c>
      <c r="AJ910" s="7">
        <f>20*LOG10(MAX(AG910,1E-300)*1E6)</f>
        <v>0</v>
      </c>
      <c r="AK910" s="7">
        <f>DEGREES(IMARGUMENT(AB910))</f>
        <v>0</v>
      </c>
      <c r="AL910" s="7">
        <f>DEGREES(IMARGUMENT(AC910))</f>
        <v>0</v>
      </c>
      <c r="AM910" s="7">
        <f>DEGREES(IMARGUMENT(AD910))</f>
        <v>0</v>
      </c>
    </row>
    <row r="911" spans="1:39">
      <c r="A911" s="6">
        <f>10^(LOG10(F_START)+(ROW()-ROW($A$2))*(LOG10(F_STOP)-LOG10(F_START))/(N_POINTS-1))</f>
        <v>0</v>
      </c>
      <c r="B911" s="6">
        <f>2*PI()*A911</f>
        <v>0</v>
      </c>
      <c r="C911">
        <f>COMPLEX(2*LINE_PS_DCR,2*B911*LINE_PS_L)</f>
        <v>0</v>
      </c>
      <c r="D911">
        <f>IMSUM(COMPLEX(0,B911*(LINE_PS_CLINE+LINE_PS_CCHA/2)),IMDIV("1",IMPRODUCT("2",COMPLEX(C_THROUGH_ESR,B911*C_THROUGH_ESL-1/(B911*C_THROUGH_C)))))</f>
        <v>0</v>
      </c>
      <c r="E911">
        <f>COMPLEX(2*LINE_INPUT_DCR,2*B911*LINE_INPUT_L)</f>
        <v>0</v>
      </c>
      <c r="F911">
        <f>COMPLEX(0,B911*(LINE_INPUT_CLINE+LINE_INPUT_CCHA/2))</f>
        <v>0</v>
      </c>
      <c r="G911">
        <f>IMPRODUCT("2",IMDIV("1",IMSUM(IMDIV("1",COMPLEX(LDM1_DCR,B911*LDM1_L)),COMPLEX(0,B911*LDM1_CPA))))</f>
        <v>0</v>
      </c>
      <c r="H911">
        <f>IMSUM(IMDIV("1",COMPLEX(CX1_ESR,B911*CX1_ESL-1/(B911*CX1_C))),IMDIV("1",IMSUM(COMPLEX(DUMP1_R,0),COMPLEX(DUMP1_ESR,B911*DUMP1_ESL-1/(B911*DUMP1_C)))))</f>
        <v>0</v>
      </c>
      <c r="I911">
        <f>IMPRODUCT("2",IMDIV("1",IMSUM(IMDIV("1",COMPLEX(LDM2_DCR,B911*LDM2_L)),COMPLEX(0,B911*LDM2_CPA))))</f>
        <v>0</v>
      </c>
      <c r="J911">
        <f>IMSUM(IMDIV("1",COMPLEX(CX2_ESR,B911*CX2_ESL-1/(B911*CX2_C))),IMDIV("1",IMSUM(COMPLEX(DUMP2_R,0),COMPLEX(DUMP2_ESR,B911*DUMP2_ESL-1/(B911*DUMP2_C)))))</f>
        <v>0</v>
      </c>
      <c r="K911">
        <f>IMPRODUCT("2",IMDIV("1",IMSUM(IMDIV("1",COMPLEX(CMC_DCR,B911*CMC_L*(1-CMC_K))),COMPLEX(0,B911*CMC_CPA))))</f>
        <v>0</v>
      </c>
      <c r="L911">
        <f>IMSUM(COMPLEX(0,B911*CMC_CLINE),IMDIV("1",IMPRODUCT("2",COMPLEX(CY_ESR,B911*CY_ESL-1/(B911*CY_C)))),COMPLEX(1/DUMMY_R,0))</f>
        <v>0</v>
      </c>
      <c r="M911">
        <f>IMSUM(D911,IMDIV("1",C911))</f>
        <v>0</v>
      </c>
      <c r="N911">
        <f>IMDIV("1",IMSUM(E911,IMDIV("1",M911)))</f>
        <v>0</v>
      </c>
      <c r="O911">
        <f>IMSUM(F911,N911)</f>
        <v>0</v>
      </c>
      <c r="P911">
        <f>IMDIV("1",IMSUM(G911,IMDIV("1",O911)))</f>
        <v>0</v>
      </c>
      <c r="Q911">
        <f>IMSUM(H911,P911)</f>
        <v>0</v>
      </c>
      <c r="R911">
        <f>IMDIV("1",IMSUM(I911,IMDIV("1",Q911)))</f>
        <v>0</v>
      </c>
      <c r="S911">
        <f>IMSUM(J911,R911)</f>
        <v>0</v>
      </c>
      <c r="T911">
        <f>IMDIV("1",IMSUM(K911,IMDIV("1",S911)))</f>
        <v>0</v>
      </c>
      <c r="U911">
        <f>IMSUM(L911,T911)</f>
        <v>0</v>
      </c>
      <c r="V911">
        <f>IMDIV(COMPLEX(I_DM_SOURCE,0),U911)</f>
        <v>0</v>
      </c>
      <c r="W911">
        <f>IMPRODUCT(V911,T911)</f>
        <v>0</v>
      </c>
      <c r="X911">
        <f>IMDIV(W911,S911)</f>
        <v>0</v>
      </c>
      <c r="Y911">
        <f>IMPRODUCT(X911,R911)</f>
        <v>0</v>
      </c>
      <c r="Z911">
        <f>IMDIV(Y911,Q911)</f>
        <v>0</v>
      </c>
      <c r="AA911">
        <f>IMPRODUCT(Z911,P911)</f>
        <v>0</v>
      </c>
      <c r="AB911">
        <f>AA911</f>
        <v>0</v>
      </c>
      <c r="AC911">
        <f>IMPRODUCT("-1",AB911)</f>
        <v>0</v>
      </c>
      <c r="AD911">
        <f>IMDIV(IMSUB(AB911,AC911),"2")</f>
        <v>0</v>
      </c>
      <c r="AE911" s="6">
        <f>IMABS(AB911)</f>
        <v>0</v>
      </c>
      <c r="AF911" s="6">
        <f>IMABS(AC911)</f>
        <v>0</v>
      </c>
      <c r="AG911" s="6">
        <f>IMABS(AD911)</f>
        <v>0</v>
      </c>
      <c r="AH911" s="7">
        <f>20*LOG10(MAX(AE911,1E-300)*1E6)</f>
        <v>0</v>
      </c>
      <c r="AI911" s="7">
        <f>20*LOG10(MAX(AF911,1E-300)*1E6)</f>
        <v>0</v>
      </c>
      <c r="AJ911" s="7">
        <f>20*LOG10(MAX(AG911,1E-300)*1E6)</f>
        <v>0</v>
      </c>
      <c r="AK911" s="7">
        <f>DEGREES(IMARGUMENT(AB911))</f>
        <v>0</v>
      </c>
      <c r="AL911" s="7">
        <f>DEGREES(IMARGUMENT(AC911))</f>
        <v>0</v>
      </c>
      <c r="AM911" s="7">
        <f>DEGREES(IMARGUMENT(AD911))</f>
        <v>0</v>
      </c>
    </row>
    <row r="912" spans="1:39">
      <c r="A912" s="6">
        <f>10^(LOG10(F_START)+(ROW()-ROW($A$2))*(LOG10(F_STOP)-LOG10(F_START))/(N_POINTS-1))</f>
        <v>0</v>
      </c>
      <c r="B912" s="6">
        <f>2*PI()*A912</f>
        <v>0</v>
      </c>
      <c r="C912">
        <f>COMPLEX(2*LINE_PS_DCR,2*B912*LINE_PS_L)</f>
        <v>0</v>
      </c>
      <c r="D912">
        <f>IMSUM(COMPLEX(0,B912*(LINE_PS_CLINE+LINE_PS_CCHA/2)),IMDIV("1",IMPRODUCT("2",COMPLEX(C_THROUGH_ESR,B912*C_THROUGH_ESL-1/(B912*C_THROUGH_C)))))</f>
        <v>0</v>
      </c>
      <c r="E912">
        <f>COMPLEX(2*LINE_INPUT_DCR,2*B912*LINE_INPUT_L)</f>
        <v>0</v>
      </c>
      <c r="F912">
        <f>COMPLEX(0,B912*(LINE_INPUT_CLINE+LINE_INPUT_CCHA/2))</f>
        <v>0</v>
      </c>
      <c r="G912">
        <f>IMPRODUCT("2",IMDIV("1",IMSUM(IMDIV("1",COMPLEX(LDM1_DCR,B912*LDM1_L)),COMPLEX(0,B912*LDM1_CPA))))</f>
        <v>0</v>
      </c>
      <c r="H912">
        <f>IMSUM(IMDIV("1",COMPLEX(CX1_ESR,B912*CX1_ESL-1/(B912*CX1_C))),IMDIV("1",IMSUM(COMPLEX(DUMP1_R,0),COMPLEX(DUMP1_ESR,B912*DUMP1_ESL-1/(B912*DUMP1_C)))))</f>
        <v>0</v>
      </c>
      <c r="I912">
        <f>IMPRODUCT("2",IMDIV("1",IMSUM(IMDIV("1",COMPLEX(LDM2_DCR,B912*LDM2_L)),COMPLEX(0,B912*LDM2_CPA))))</f>
        <v>0</v>
      </c>
      <c r="J912">
        <f>IMSUM(IMDIV("1",COMPLEX(CX2_ESR,B912*CX2_ESL-1/(B912*CX2_C))),IMDIV("1",IMSUM(COMPLEX(DUMP2_R,0),COMPLEX(DUMP2_ESR,B912*DUMP2_ESL-1/(B912*DUMP2_C)))))</f>
        <v>0</v>
      </c>
      <c r="K912">
        <f>IMPRODUCT("2",IMDIV("1",IMSUM(IMDIV("1",COMPLEX(CMC_DCR,B912*CMC_L*(1-CMC_K))),COMPLEX(0,B912*CMC_CPA))))</f>
        <v>0</v>
      </c>
      <c r="L912">
        <f>IMSUM(COMPLEX(0,B912*CMC_CLINE),IMDIV("1",IMPRODUCT("2",COMPLEX(CY_ESR,B912*CY_ESL-1/(B912*CY_C)))),COMPLEX(1/DUMMY_R,0))</f>
        <v>0</v>
      </c>
      <c r="M912">
        <f>IMSUM(D912,IMDIV("1",C912))</f>
        <v>0</v>
      </c>
      <c r="N912">
        <f>IMDIV("1",IMSUM(E912,IMDIV("1",M912)))</f>
        <v>0</v>
      </c>
      <c r="O912">
        <f>IMSUM(F912,N912)</f>
        <v>0</v>
      </c>
      <c r="P912">
        <f>IMDIV("1",IMSUM(G912,IMDIV("1",O912)))</f>
        <v>0</v>
      </c>
      <c r="Q912">
        <f>IMSUM(H912,P912)</f>
        <v>0</v>
      </c>
      <c r="R912">
        <f>IMDIV("1",IMSUM(I912,IMDIV("1",Q912)))</f>
        <v>0</v>
      </c>
      <c r="S912">
        <f>IMSUM(J912,R912)</f>
        <v>0</v>
      </c>
      <c r="T912">
        <f>IMDIV("1",IMSUM(K912,IMDIV("1",S912)))</f>
        <v>0</v>
      </c>
      <c r="U912">
        <f>IMSUM(L912,T912)</f>
        <v>0</v>
      </c>
      <c r="V912">
        <f>IMDIV(COMPLEX(I_DM_SOURCE,0),U912)</f>
        <v>0</v>
      </c>
      <c r="W912">
        <f>IMPRODUCT(V912,T912)</f>
        <v>0</v>
      </c>
      <c r="X912">
        <f>IMDIV(W912,S912)</f>
        <v>0</v>
      </c>
      <c r="Y912">
        <f>IMPRODUCT(X912,R912)</f>
        <v>0</v>
      </c>
      <c r="Z912">
        <f>IMDIV(Y912,Q912)</f>
        <v>0</v>
      </c>
      <c r="AA912">
        <f>IMPRODUCT(Z912,P912)</f>
        <v>0</v>
      </c>
      <c r="AB912">
        <f>AA912</f>
        <v>0</v>
      </c>
      <c r="AC912">
        <f>IMPRODUCT("-1",AB912)</f>
        <v>0</v>
      </c>
      <c r="AD912">
        <f>IMDIV(IMSUB(AB912,AC912),"2")</f>
        <v>0</v>
      </c>
      <c r="AE912" s="6">
        <f>IMABS(AB912)</f>
        <v>0</v>
      </c>
      <c r="AF912" s="6">
        <f>IMABS(AC912)</f>
        <v>0</v>
      </c>
      <c r="AG912" s="6">
        <f>IMABS(AD912)</f>
        <v>0</v>
      </c>
      <c r="AH912" s="7">
        <f>20*LOG10(MAX(AE912,1E-300)*1E6)</f>
        <v>0</v>
      </c>
      <c r="AI912" s="7">
        <f>20*LOG10(MAX(AF912,1E-300)*1E6)</f>
        <v>0</v>
      </c>
      <c r="AJ912" s="7">
        <f>20*LOG10(MAX(AG912,1E-300)*1E6)</f>
        <v>0</v>
      </c>
      <c r="AK912" s="7">
        <f>DEGREES(IMARGUMENT(AB912))</f>
        <v>0</v>
      </c>
      <c r="AL912" s="7">
        <f>DEGREES(IMARGUMENT(AC912))</f>
        <v>0</v>
      </c>
      <c r="AM912" s="7">
        <f>DEGREES(IMARGUMENT(AD912))</f>
        <v>0</v>
      </c>
    </row>
    <row r="913" spans="1:39">
      <c r="A913" s="6">
        <f>10^(LOG10(F_START)+(ROW()-ROW($A$2))*(LOG10(F_STOP)-LOG10(F_START))/(N_POINTS-1))</f>
        <v>0</v>
      </c>
      <c r="B913" s="6">
        <f>2*PI()*A913</f>
        <v>0</v>
      </c>
      <c r="C913">
        <f>COMPLEX(2*LINE_PS_DCR,2*B913*LINE_PS_L)</f>
        <v>0</v>
      </c>
      <c r="D913">
        <f>IMSUM(COMPLEX(0,B913*(LINE_PS_CLINE+LINE_PS_CCHA/2)),IMDIV("1",IMPRODUCT("2",COMPLEX(C_THROUGH_ESR,B913*C_THROUGH_ESL-1/(B913*C_THROUGH_C)))))</f>
        <v>0</v>
      </c>
      <c r="E913">
        <f>COMPLEX(2*LINE_INPUT_DCR,2*B913*LINE_INPUT_L)</f>
        <v>0</v>
      </c>
      <c r="F913">
        <f>COMPLEX(0,B913*(LINE_INPUT_CLINE+LINE_INPUT_CCHA/2))</f>
        <v>0</v>
      </c>
      <c r="G913">
        <f>IMPRODUCT("2",IMDIV("1",IMSUM(IMDIV("1",COMPLEX(LDM1_DCR,B913*LDM1_L)),COMPLEX(0,B913*LDM1_CPA))))</f>
        <v>0</v>
      </c>
      <c r="H913">
        <f>IMSUM(IMDIV("1",COMPLEX(CX1_ESR,B913*CX1_ESL-1/(B913*CX1_C))),IMDIV("1",IMSUM(COMPLEX(DUMP1_R,0),COMPLEX(DUMP1_ESR,B913*DUMP1_ESL-1/(B913*DUMP1_C)))))</f>
        <v>0</v>
      </c>
      <c r="I913">
        <f>IMPRODUCT("2",IMDIV("1",IMSUM(IMDIV("1",COMPLEX(LDM2_DCR,B913*LDM2_L)),COMPLEX(0,B913*LDM2_CPA))))</f>
        <v>0</v>
      </c>
      <c r="J913">
        <f>IMSUM(IMDIV("1",COMPLEX(CX2_ESR,B913*CX2_ESL-1/(B913*CX2_C))),IMDIV("1",IMSUM(COMPLEX(DUMP2_R,0),COMPLEX(DUMP2_ESR,B913*DUMP2_ESL-1/(B913*DUMP2_C)))))</f>
        <v>0</v>
      </c>
      <c r="K913">
        <f>IMPRODUCT("2",IMDIV("1",IMSUM(IMDIV("1",COMPLEX(CMC_DCR,B913*CMC_L*(1-CMC_K))),COMPLEX(0,B913*CMC_CPA))))</f>
        <v>0</v>
      </c>
      <c r="L913">
        <f>IMSUM(COMPLEX(0,B913*CMC_CLINE),IMDIV("1",IMPRODUCT("2",COMPLEX(CY_ESR,B913*CY_ESL-1/(B913*CY_C)))),COMPLEX(1/DUMMY_R,0))</f>
        <v>0</v>
      </c>
      <c r="M913">
        <f>IMSUM(D913,IMDIV("1",C913))</f>
        <v>0</v>
      </c>
      <c r="N913">
        <f>IMDIV("1",IMSUM(E913,IMDIV("1",M913)))</f>
        <v>0</v>
      </c>
      <c r="O913">
        <f>IMSUM(F913,N913)</f>
        <v>0</v>
      </c>
      <c r="P913">
        <f>IMDIV("1",IMSUM(G913,IMDIV("1",O913)))</f>
        <v>0</v>
      </c>
      <c r="Q913">
        <f>IMSUM(H913,P913)</f>
        <v>0</v>
      </c>
      <c r="R913">
        <f>IMDIV("1",IMSUM(I913,IMDIV("1",Q913)))</f>
        <v>0</v>
      </c>
      <c r="S913">
        <f>IMSUM(J913,R913)</f>
        <v>0</v>
      </c>
      <c r="T913">
        <f>IMDIV("1",IMSUM(K913,IMDIV("1",S913)))</f>
        <v>0</v>
      </c>
      <c r="U913">
        <f>IMSUM(L913,T913)</f>
        <v>0</v>
      </c>
      <c r="V913">
        <f>IMDIV(COMPLEX(I_DM_SOURCE,0),U913)</f>
        <v>0</v>
      </c>
      <c r="W913">
        <f>IMPRODUCT(V913,T913)</f>
        <v>0</v>
      </c>
      <c r="X913">
        <f>IMDIV(W913,S913)</f>
        <v>0</v>
      </c>
      <c r="Y913">
        <f>IMPRODUCT(X913,R913)</f>
        <v>0</v>
      </c>
      <c r="Z913">
        <f>IMDIV(Y913,Q913)</f>
        <v>0</v>
      </c>
      <c r="AA913">
        <f>IMPRODUCT(Z913,P913)</f>
        <v>0</v>
      </c>
      <c r="AB913">
        <f>AA913</f>
        <v>0</v>
      </c>
      <c r="AC913">
        <f>IMPRODUCT("-1",AB913)</f>
        <v>0</v>
      </c>
      <c r="AD913">
        <f>IMDIV(IMSUB(AB913,AC913),"2")</f>
        <v>0</v>
      </c>
      <c r="AE913" s="6">
        <f>IMABS(AB913)</f>
        <v>0</v>
      </c>
      <c r="AF913" s="6">
        <f>IMABS(AC913)</f>
        <v>0</v>
      </c>
      <c r="AG913" s="6">
        <f>IMABS(AD913)</f>
        <v>0</v>
      </c>
      <c r="AH913" s="7">
        <f>20*LOG10(MAX(AE913,1E-300)*1E6)</f>
        <v>0</v>
      </c>
      <c r="AI913" s="7">
        <f>20*LOG10(MAX(AF913,1E-300)*1E6)</f>
        <v>0</v>
      </c>
      <c r="AJ913" s="7">
        <f>20*LOG10(MAX(AG913,1E-300)*1E6)</f>
        <v>0</v>
      </c>
      <c r="AK913" s="7">
        <f>DEGREES(IMARGUMENT(AB913))</f>
        <v>0</v>
      </c>
      <c r="AL913" s="7">
        <f>DEGREES(IMARGUMENT(AC913))</f>
        <v>0</v>
      </c>
      <c r="AM913" s="7">
        <f>DEGREES(IMARGUMENT(AD913))</f>
        <v>0</v>
      </c>
    </row>
    <row r="914" spans="1:39">
      <c r="A914" s="6">
        <f>10^(LOG10(F_START)+(ROW()-ROW($A$2))*(LOG10(F_STOP)-LOG10(F_START))/(N_POINTS-1))</f>
        <v>0</v>
      </c>
      <c r="B914" s="6">
        <f>2*PI()*A914</f>
        <v>0</v>
      </c>
      <c r="C914">
        <f>COMPLEX(2*LINE_PS_DCR,2*B914*LINE_PS_L)</f>
        <v>0</v>
      </c>
      <c r="D914">
        <f>IMSUM(COMPLEX(0,B914*(LINE_PS_CLINE+LINE_PS_CCHA/2)),IMDIV("1",IMPRODUCT("2",COMPLEX(C_THROUGH_ESR,B914*C_THROUGH_ESL-1/(B914*C_THROUGH_C)))))</f>
        <v>0</v>
      </c>
      <c r="E914">
        <f>COMPLEX(2*LINE_INPUT_DCR,2*B914*LINE_INPUT_L)</f>
        <v>0</v>
      </c>
      <c r="F914">
        <f>COMPLEX(0,B914*(LINE_INPUT_CLINE+LINE_INPUT_CCHA/2))</f>
        <v>0</v>
      </c>
      <c r="G914">
        <f>IMPRODUCT("2",IMDIV("1",IMSUM(IMDIV("1",COMPLEX(LDM1_DCR,B914*LDM1_L)),COMPLEX(0,B914*LDM1_CPA))))</f>
        <v>0</v>
      </c>
      <c r="H914">
        <f>IMSUM(IMDIV("1",COMPLEX(CX1_ESR,B914*CX1_ESL-1/(B914*CX1_C))),IMDIV("1",IMSUM(COMPLEX(DUMP1_R,0),COMPLEX(DUMP1_ESR,B914*DUMP1_ESL-1/(B914*DUMP1_C)))))</f>
        <v>0</v>
      </c>
      <c r="I914">
        <f>IMPRODUCT("2",IMDIV("1",IMSUM(IMDIV("1",COMPLEX(LDM2_DCR,B914*LDM2_L)),COMPLEX(0,B914*LDM2_CPA))))</f>
        <v>0</v>
      </c>
      <c r="J914">
        <f>IMSUM(IMDIV("1",COMPLEX(CX2_ESR,B914*CX2_ESL-1/(B914*CX2_C))),IMDIV("1",IMSUM(COMPLEX(DUMP2_R,0),COMPLEX(DUMP2_ESR,B914*DUMP2_ESL-1/(B914*DUMP2_C)))))</f>
        <v>0</v>
      </c>
      <c r="K914">
        <f>IMPRODUCT("2",IMDIV("1",IMSUM(IMDIV("1",COMPLEX(CMC_DCR,B914*CMC_L*(1-CMC_K))),COMPLEX(0,B914*CMC_CPA))))</f>
        <v>0</v>
      </c>
      <c r="L914">
        <f>IMSUM(COMPLEX(0,B914*CMC_CLINE),IMDIV("1",IMPRODUCT("2",COMPLEX(CY_ESR,B914*CY_ESL-1/(B914*CY_C)))),COMPLEX(1/DUMMY_R,0))</f>
        <v>0</v>
      </c>
      <c r="M914">
        <f>IMSUM(D914,IMDIV("1",C914))</f>
        <v>0</v>
      </c>
      <c r="N914">
        <f>IMDIV("1",IMSUM(E914,IMDIV("1",M914)))</f>
        <v>0</v>
      </c>
      <c r="O914">
        <f>IMSUM(F914,N914)</f>
        <v>0</v>
      </c>
      <c r="P914">
        <f>IMDIV("1",IMSUM(G914,IMDIV("1",O914)))</f>
        <v>0</v>
      </c>
      <c r="Q914">
        <f>IMSUM(H914,P914)</f>
        <v>0</v>
      </c>
      <c r="R914">
        <f>IMDIV("1",IMSUM(I914,IMDIV("1",Q914)))</f>
        <v>0</v>
      </c>
      <c r="S914">
        <f>IMSUM(J914,R914)</f>
        <v>0</v>
      </c>
      <c r="T914">
        <f>IMDIV("1",IMSUM(K914,IMDIV("1",S914)))</f>
        <v>0</v>
      </c>
      <c r="U914">
        <f>IMSUM(L914,T914)</f>
        <v>0</v>
      </c>
      <c r="V914">
        <f>IMDIV(COMPLEX(I_DM_SOURCE,0),U914)</f>
        <v>0</v>
      </c>
      <c r="W914">
        <f>IMPRODUCT(V914,T914)</f>
        <v>0</v>
      </c>
      <c r="X914">
        <f>IMDIV(W914,S914)</f>
        <v>0</v>
      </c>
      <c r="Y914">
        <f>IMPRODUCT(X914,R914)</f>
        <v>0</v>
      </c>
      <c r="Z914">
        <f>IMDIV(Y914,Q914)</f>
        <v>0</v>
      </c>
      <c r="AA914">
        <f>IMPRODUCT(Z914,P914)</f>
        <v>0</v>
      </c>
      <c r="AB914">
        <f>AA914</f>
        <v>0</v>
      </c>
      <c r="AC914">
        <f>IMPRODUCT("-1",AB914)</f>
        <v>0</v>
      </c>
      <c r="AD914">
        <f>IMDIV(IMSUB(AB914,AC914),"2")</f>
        <v>0</v>
      </c>
      <c r="AE914" s="6">
        <f>IMABS(AB914)</f>
        <v>0</v>
      </c>
      <c r="AF914" s="6">
        <f>IMABS(AC914)</f>
        <v>0</v>
      </c>
      <c r="AG914" s="6">
        <f>IMABS(AD914)</f>
        <v>0</v>
      </c>
      <c r="AH914" s="7">
        <f>20*LOG10(MAX(AE914,1E-300)*1E6)</f>
        <v>0</v>
      </c>
      <c r="AI914" s="7">
        <f>20*LOG10(MAX(AF914,1E-300)*1E6)</f>
        <v>0</v>
      </c>
      <c r="AJ914" s="7">
        <f>20*LOG10(MAX(AG914,1E-300)*1E6)</f>
        <v>0</v>
      </c>
      <c r="AK914" s="7">
        <f>DEGREES(IMARGUMENT(AB914))</f>
        <v>0</v>
      </c>
      <c r="AL914" s="7">
        <f>DEGREES(IMARGUMENT(AC914))</f>
        <v>0</v>
      </c>
      <c r="AM914" s="7">
        <f>DEGREES(IMARGUMENT(AD914))</f>
        <v>0</v>
      </c>
    </row>
    <row r="915" spans="1:39">
      <c r="A915" s="6">
        <f>10^(LOG10(F_START)+(ROW()-ROW($A$2))*(LOG10(F_STOP)-LOG10(F_START))/(N_POINTS-1))</f>
        <v>0</v>
      </c>
      <c r="B915" s="6">
        <f>2*PI()*A915</f>
        <v>0</v>
      </c>
      <c r="C915">
        <f>COMPLEX(2*LINE_PS_DCR,2*B915*LINE_PS_L)</f>
        <v>0</v>
      </c>
      <c r="D915">
        <f>IMSUM(COMPLEX(0,B915*(LINE_PS_CLINE+LINE_PS_CCHA/2)),IMDIV("1",IMPRODUCT("2",COMPLEX(C_THROUGH_ESR,B915*C_THROUGH_ESL-1/(B915*C_THROUGH_C)))))</f>
        <v>0</v>
      </c>
      <c r="E915">
        <f>COMPLEX(2*LINE_INPUT_DCR,2*B915*LINE_INPUT_L)</f>
        <v>0</v>
      </c>
      <c r="F915">
        <f>COMPLEX(0,B915*(LINE_INPUT_CLINE+LINE_INPUT_CCHA/2))</f>
        <v>0</v>
      </c>
      <c r="G915">
        <f>IMPRODUCT("2",IMDIV("1",IMSUM(IMDIV("1",COMPLEX(LDM1_DCR,B915*LDM1_L)),COMPLEX(0,B915*LDM1_CPA))))</f>
        <v>0</v>
      </c>
      <c r="H915">
        <f>IMSUM(IMDIV("1",COMPLEX(CX1_ESR,B915*CX1_ESL-1/(B915*CX1_C))),IMDIV("1",IMSUM(COMPLEX(DUMP1_R,0),COMPLEX(DUMP1_ESR,B915*DUMP1_ESL-1/(B915*DUMP1_C)))))</f>
        <v>0</v>
      </c>
      <c r="I915">
        <f>IMPRODUCT("2",IMDIV("1",IMSUM(IMDIV("1",COMPLEX(LDM2_DCR,B915*LDM2_L)),COMPLEX(0,B915*LDM2_CPA))))</f>
        <v>0</v>
      </c>
      <c r="J915">
        <f>IMSUM(IMDIV("1",COMPLEX(CX2_ESR,B915*CX2_ESL-1/(B915*CX2_C))),IMDIV("1",IMSUM(COMPLEX(DUMP2_R,0),COMPLEX(DUMP2_ESR,B915*DUMP2_ESL-1/(B915*DUMP2_C)))))</f>
        <v>0</v>
      </c>
      <c r="K915">
        <f>IMPRODUCT("2",IMDIV("1",IMSUM(IMDIV("1",COMPLEX(CMC_DCR,B915*CMC_L*(1-CMC_K))),COMPLEX(0,B915*CMC_CPA))))</f>
        <v>0</v>
      </c>
      <c r="L915">
        <f>IMSUM(COMPLEX(0,B915*CMC_CLINE),IMDIV("1",IMPRODUCT("2",COMPLEX(CY_ESR,B915*CY_ESL-1/(B915*CY_C)))),COMPLEX(1/DUMMY_R,0))</f>
        <v>0</v>
      </c>
      <c r="M915">
        <f>IMSUM(D915,IMDIV("1",C915))</f>
        <v>0</v>
      </c>
      <c r="N915">
        <f>IMDIV("1",IMSUM(E915,IMDIV("1",M915)))</f>
        <v>0</v>
      </c>
      <c r="O915">
        <f>IMSUM(F915,N915)</f>
        <v>0</v>
      </c>
      <c r="P915">
        <f>IMDIV("1",IMSUM(G915,IMDIV("1",O915)))</f>
        <v>0</v>
      </c>
      <c r="Q915">
        <f>IMSUM(H915,P915)</f>
        <v>0</v>
      </c>
      <c r="R915">
        <f>IMDIV("1",IMSUM(I915,IMDIV("1",Q915)))</f>
        <v>0</v>
      </c>
      <c r="S915">
        <f>IMSUM(J915,R915)</f>
        <v>0</v>
      </c>
      <c r="T915">
        <f>IMDIV("1",IMSUM(K915,IMDIV("1",S915)))</f>
        <v>0</v>
      </c>
      <c r="U915">
        <f>IMSUM(L915,T915)</f>
        <v>0</v>
      </c>
      <c r="V915">
        <f>IMDIV(COMPLEX(I_DM_SOURCE,0),U915)</f>
        <v>0</v>
      </c>
      <c r="W915">
        <f>IMPRODUCT(V915,T915)</f>
        <v>0</v>
      </c>
      <c r="X915">
        <f>IMDIV(W915,S915)</f>
        <v>0</v>
      </c>
      <c r="Y915">
        <f>IMPRODUCT(X915,R915)</f>
        <v>0</v>
      </c>
      <c r="Z915">
        <f>IMDIV(Y915,Q915)</f>
        <v>0</v>
      </c>
      <c r="AA915">
        <f>IMPRODUCT(Z915,P915)</f>
        <v>0</v>
      </c>
      <c r="AB915">
        <f>AA915</f>
        <v>0</v>
      </c>
      <c r="AC915">
        <f>IMPRODUCT("-1",AB915)</f>
        <v>0</v>
      </c>
      <c r="AD915">
        <f>IMDIV(IMSUB(AB915,AC915),"2")</f>
        <v>0</v>
      </c>
      <c r="AE915" s="6">
        <f>IMABS(AB915)</f>
        <v>0</v>
      </c>
      <c r="AF915" s="6">
        <f>IMABS(AC915)</f>
        <v>0</v>
      </c>
      <c r="AG915" s="6">
        <f>IMABS(AD915)</f>
        <v>0</v>
      </c>
      <c r="AH915" s="7">
        <f>20*LOG10(MAX(AE915,1E-300)*1E6)</f>
        <v>0</v>
      </c>
      <c r="AI915" s="7">
        <f>20*LOG10(MAX(AF915,1E-300)*1E6)</f>
        <v>0</v>
      </c>
      <c r="AJ915" s="7">
        <f>20*LOG10(MAX(AG915,1E-300)*1E6)</f>
        <v>0</v>
      </c>
      <c r="AK915" s="7">
        <f>DEGREES(IMARGUMENT(AB915))</f>
        <v>0</v>
      </c>
      <c r="AL915" s="7">
        <f>DEGREES(IMARGUMENT(AC915))</f>
        <v>0</v>
      </c>
      <c r="AM915" s="7">
        <f>DEGREES(IMARGUMENT(AD915))</f>
        <v>0</v>
      </c>
    </row>
    <row r="916" spans="1:39">
      <c r="A916" s="6">
        <f>10^(LOG10(F_START)+(ROW()-ROW($A$2))*(LOG10(F_STOP)-LOG10(F_START))/(N_POINTS-1))</f>
        <v>0</v>
      </c>
      <c r="B916" s="6">
        <f>2*PI()*A916</f>
        <v>0</v>
      </c>
      <c r="C916">
        <f>COMPLEX(2*LINE_PS_DCR,2*B916*LINE_PS_L)</f>
        <v>0</v>
      </c>
      <c r="D916">
        <f>IMSUM(COMPLEX(0,B916*(LINE_PS_CLINE+LINE_PS_CCHA/2)),IMDIV("1",IMPRODUCT("2",COMPLEX(C_THROUGH_ESR,B916*C_THROUGH_ESL-1/(B916*C_THROUGH_C)))))</f>
        <v>0</v>
      </c>
      <c r="E916">
        <f>COMPLEX(2*LINE_INPUT_DCR,2*B916*LINE_INPUT_L)</f>
        <v>0</v>
      </c>
      <c r="F916">
        <f>COMPLEX(0,B916*(LINE_INPUT_CLINE+LINE_INPUT_CCHA/2))</f>
        <v>0</v>
      </c>
      <c r="G916">
        <f>IMPRODUCT("2",IMDIV("1",IMSUM(IMDIV("1",COMPLEX(LDM1_DCR,B916*LDM1_L)),COMPLEX(0,B916*LDM1_CPA))))</f>
        <v>0</v>
      </c>
      <c r="H916">
        <f>IMSUM(IMDIV("1",COMPLEX(CX1_ESR,B916*CX1_ESL-1/(B916*CX1_C))),IMDIV("1",IMSUM(COMPLEX(DUMP1_R,0),COMPLEX(DUMP1_ESR,B916*DUMP1_ESL-1/(B916*DUMP1_C)))))</f>
        <v>0</v>
      </c>
      <c r="I916">
        <f>IMPRODUCT("2",IMDIV("1",IMSUM(IMDIV("1",COMPLEX(LDM2_DCR,B916*LDM2_L)),COMPLEX(0,B916*LDM2_CPA))))</f>
        <v>0</v>
      </c>
      <c r="J916">
        <f>IMSUM(IMDIV("1",COMPLEX(CX2_ESR,B916*CX2_ESL-1/(B916*CX2_C))),IMDIV("1",IMSUM(COMPLEX(DUMP2_R,0),COMPLEX(DUMP2_ESR,B916*DUMP2_ESL-1/(B916*DUMP2_C)))))</f>
        <v>0</v>
      </c>
      <c r="K916">
        <f>IMPRODUCT("2",IMDIV("1",IMSUM(IMDIV("1",COMPLEX(CMC_DCR,B916*CMC_L*(1-CMC_K))),COMPLEX(0,B916*CMC_CPA))))</f>
        <v>0</v>
      </c>
      <c r="L916">
        <f>IMSUM(COMPLEX(0,B916*CMC_CLINE),IMDIV("1",IMPRODUCT("2",COMPLEX(CY_ESR,B916*CY_ESL-1/(B916*CY_C)))),COMPLEX(1/DUMMY_R,0))</f>
        <v>0</v>
      </c>
      <c r="M916">
        <f>IMSUM(D916,IMDIV("1",C916))</f>
        <v>0</v>
      </c>
      <c r="N916">
        <f>IMDIV("1",IMSUM(E916,IMDIV("1",M916)))</f>
        <v>0</v>
      </c>
      <c r="O916">
        <f>IMSUM(F916,N916)</f>
        <v>0</v>
      </c>
      <c r="P916">
        <f>IMDIV("1",IMSUM(G916,IMDIV("1",O916)))</f>
        <v>0</v>
      </c>
      <c r="Q916">
        <f>IMSUM(H916,P916)</f>
        <v>0</v>
      </c>
      <c r="R916">
        <f>IMDIV("1",IMSUM(I916,IMDIV("1",Q916)))</f>
        <v>0</v>
      </c>
      <c r="S916">
        <f>IMSUM(J916,R916)</f>
        <v>0</v>
      </c>
      <c r="T916">
        <f>IMDIV("1",IMSUM(K916,IMDIV("1",S916)))</f>
        <v>0</v>
      </c>
      <c r="U916">
        <f>IMSUM(L916,T916)</f>
        <v>0</v>
      </c>
      <c r="V916">
        <f>IMDIV(COMPLEX(I_DM_SOURCE,0),U916)</f>
        <v>0</v>
      </c>
      <c r="W916">
        <f>IMPRODUCT(V916,T916)</f>
        <v>0</v>
      </c>
      <c r="X916">
        <f>IMDIV(W916,S916)</f>
        <v>0</v>
      </c>
      <c r="Y916">
        <f>IMPRODUCT(X916,R916)</f>
        <v>0</v>
      </c>
      <c r="Z916">
        <f>IMDIV(Y916,Q916)</f>
        <v>0</v>
      </c>
      <c r="AA916">
        <f>IMPRODUCT(Z916,P916)</f>
        <v>0</v>
      </c>
      <c r="AB916">
        <f>AA916</f>
        <v>0</v>
      </c>
      <c r="AC916">
        <f>IMPRODUCT("-1",AB916)</f>
        <v>0</v>
      </c>
      <c r="AD916">
        <f>IMDIV(IMSUB(AB916,AC916),"2")</f>
        <v>0</v>
      </c>
      <c r="AE916" s="6">
        <f>IMABS(AB916)</f>
        <v>0</v>
      </c>
      <c r="AF916" s="6">
        <f>IMABS(AC916)</f>
        <v>0</v>
      </c>
      <c r="AG916" s="6">
        <f>IMABS(AD916)</f>
        <v>0</v>
      </c>
      <c r="AH916" s="7">
        <f>20*LOG10(MAX(AE916,1E-300)*1E6)</f>
        <v>0</v>
      </c>
      <c r="AI916" s="7">
        <f>20*LOG10(MAX(AF916,1E-300)*1E6)</f>
        <v>0</v>
      </c>
      <c r="AJ916" s="7">
        <f>20*LOG10(MAX(AG916,1E-300)*1E6)</f>
        <v>0</v>
      </c>
      <c r="AK916" s="7">
        <f>DEGREES(IMARGUMENT(AB916))</f>
        <v>0</v>
      </c>
      <c r="AL916" s="7">
        <f>DEGREES(IMARGUMENT(AC916))</f>
        <v>0</v>
      </c>
      <c r="AM916" s="7">
        <f>DEGREES(IMARGUMENT(AD916))</f>
        <v>0</v>
      </c>
    </row>
    <row r="917" spans="1:39">
      <c r="A917" s="6">
        <f>10^(LOG10(F_START)+(ROW()-ROW($A$2))*(LOG10(F_STOP)-LOG10(F_START))/(N_POINTS-1))</f>
        <v>0</v>
      </c>
      <c r="B917" s="6">
        <f>2*PI()*A917</f>
        <v>0</v>
      </c>
      <c r="C917">
        <f>COMPLEX(2*LINE_PS_DCR,2*B917*LINE_PS_L)</f>
        <v>0</v>
      </c>
      <c r="D917">
        <f>IMSUM(COMPLEX(0,B917*(LINE_PS_CLINE+LINE_PS_CCHA/2)),IMDIV("1",IMPRODUCT("2",COMPLEX(C_THROUGH_ESR,B917*C_THROUGH_ESL-1/(B917*C_THROUGH_C)))))</f>
        <v>0</v>
      </c>
      <c r="E917">
        <f>COMPLEX(2*LINE_INPUT_DCR,2*B917*LINE_INPUT_L)</f>
        <v>0</v>
      </c>
      <c r="F917">
        <f>COMPLEX(0,B917*(LINE_INPUT_CLINE+LINE_INPUT_CCHA/2))</f>
        <v>0</v>
      </c>
      <c r="G917">
        <f>IMPRODUCT("2",IMDIV("1",IMSUM(IMDIV("1",COMPLEX(LDM1_DCR,B917*LDM1_L)),COMPLEX(0,B917*LDM1_CPA))))</f>
        <v>0</v>
      </c>
      <c r="H917">
        <f>IMSUM(IMDIV("1",COMPLEX(CX1_ESR,B917*CX1_ESL-1/(B917*CX1_C))),IMDIV("1",IMSUM(COMPLEX(DUMP1_R,0),COMPLEX(DUMP1_ESR,B917*DUMP1_ESL-1/(B917*DUMP1_C)))))</f>
        <v>0</v>
      </c>
      <c r="I917">
        <f>IMPRODUCT("2",IMDIV("1",IMSUM(IMDIV("1",COMPLEX(LDM2_DCR,B917*LDM2_L)),COMPLEX(0,B917*LDM2_CPA))))</f>
        <v>0</v>
      </c>
      <c r="J917">
        <f>IMSUM(IMDIV("1",COMPLEX(CX2_ESR,B917*CX2_ESL-1/(B917*CX2_C))),IMDIV("1",IMSUM(COMPLEX(DUMP2_R,0),COMPLEX(DUMP2_ESR,B917*DUMP2_ESL-1/(B917*DUMP2_C)))))</f>
        <v>0</v>
      </c>
      <c r="K917">
        <f>IMPRODUCT("2",IMDIV("1",IMSUM(IMDIV("1",COMPLEX(CMC_DCR,B917*CMC_L*(1-CMC_K))),COMPLEX(0,B917*CMC_CPA))))</f>
        <v>0</v>
      </c>
      <c r="L917">
        <f>IMSUM(COMPLEX(0,B917*CMC_CLINE),IMDIV("1",IMPRODUCT("2",COMPLEX(CY_ESR,B917*CY_ESL-1/(B917*CY_C)))),COMPLEX(1/DUMMY_R,0))</f>
        <v>0</v>
      </c>
      <c r="M917">
        <f>IMSUM(D917,IMDIV("1",C917))</f>
        <v>0</v>
      </c>
      <c r="N917">
        <f>IMDIV("1",IMSUM(E917,IMDIV("1",M917)))</f>
        <v>0</v>
      </c>
      <c r="O917">
        <f>IMSUM(F917,N917)</f>
        <v>0</v>
      </c>
      <c r="P917">
        <f>IMDIV("1",IMSUM(G917,IMDIV("1",O917)))</f>
        <v>0</v>
      </c>
      <c r="Q917">
        <f>IMSUM(H917,P917)</f>
        <v>0</v>
      </c>
      <c r="R917">
        <f>IMDIV("1",IMSUM(I917,IMDIV("1",Q917)))</f>
        <v>0</v>
      </c>
      <c r="S917">
        <f>IMSUM(J917,R917)</f>
        <v>0</v>
      </c>
      <c r="T917">
        <f>IMDIV("1",IMSUM(K917,IMDIV("1",S917)))</f>
        <v>0</v>
      </c>
      <c r="U917">
        <f>IMSUM(L917,T917)</f>
        <v>0</v>
      </c>
      <c r="V917">
        <f>IMDIV(COMPLEX(I_DM_SOURCE,0),U917)</f>
        <v>0</v>
      </c>
      <c r="W917">
        <f>IMPRODUCT(V917,T917)</f>
        <v>0</v>
      </c>
      <c r="X917">
        <f>IMDIV(W917,S917)</f>
        <v>0</v>
      </c>
      <c r="Y917">
        <f>IMPRODUCT(X917,R917)</f>
        <v>0</v>
      </c>
      <c r="Z917">
        <f>IMDIV(Y917,Q917)</f>
        <v>0</v>
      </c>
      <c r="AA917">
        <f>IMPRODUCT(Z917,P917)</f>
        <v>0</v>
      </c>
      <c r="AB917">
        <f>AA917</f>
        <v>0</v>
      </c>
      <c r="AC917">
        <f>IMPRODUCT("-1",AB917)</f>
        <v>0</v>
      </c>
      <c r="AD917">
        <f>IMDIV(IMSUB(AB917,AC917),"2")</f>
        <v>0</v>
      </c>
      <c r="AE917" s="6">
        <f>IMABS(AB917)</f>
        <v>0</v>
      </c>
      <c r="AF917" s="6">
        <f>IMABS(AC917)</f>
        <v>0</v>
      </c>
      <c r="AG917" s="6">
        <f>IMABS(AD917)</f>
        <v>0</v>
      </c>
      <c r="AH917" s="7">
        <f>20*LOG10(MAX(AE917,1E-300)*1E6)</f>
        <v>0</v>
      </c>
      <c r="AI917" s="7">
        <f>20*LOG10(MAX(AF917,1E-300)*1E6)</f>
        <v>0</v>
      </c>
      <c r="AJ917" s="7">
        <f>20*LOG10(MAX(AG917,1E-300)*1E6)</f>
        <v>0</v>
      </c>
      <c r="AK917" s="7">
        <f>DEGREES(IMARGUMENT(AB917))</f>
        <v>0</v>
      </c>
      <c r="AL917" s="7">
        <f>DEGREES(IMARGUMENT(AC917))</f>
        <v>0</v>
      </c>
      <c r="AM917" s="7">
        <f>DEGREES(IMARGUMENT(AD917))</f>
        <v>0</v>
      </c>
    </row>
    <row r="918" spans="1:39">
      <c r="A918" s="6">
        <f>10^(LOG10(F_START)+(ROW()-ROW($A$2))*(LOG10(F_STOP)-LOG10(F_START))/(N_POINTS-1))</f>
        <v>0</v>
      </c>
      <c r="B918" s="6">
        <f>2*PI()*A918</f>
        <v>0</v>
      </c>
      <c r="C918">
        <f>COMPLEX(2*LINE_PS_DCR,2*B918*LINE_PS_L)</f>
        <v>0</v>
      </c>
      <c r="D918">
        <f>IMSUM(COMPLEX(0,B918*(LINE_PS_CLINE+LINE_PS_CCHA/2)),IMDIV("1",IMPRODUCT("2",COMPLEX(C_THROUGH_ESR,B918*C_THROUGH_ESL-1/(B918*C_THROUGH_C)))))</f>
        <v>0</v>
      </c>
      <c r="E918">
        <f>COMPLEX(2*LINE_INPUT_DCR,2*B918*LINE_INPUT_L)</f>
        <v>0</v>
      </c>
      <c r="F918">
        <f>COMPLEX(0,B918*(LINE_INPUT_CLINE+LINE_INPUT_CCHA/2))</f>
        <v>0</v>
      </c>
      <c r="G918">
        <f>IMPRODUCT("2",IMDIV("1",IMSUM(IMDIV("1",COMPLEX(LDM1_DCR,B918*LDM1_L)),COMPLEX(0,B918*LDM1_CPA))))</f>
        <v>0</v>
      </c>
      <c r="H918">
        <f>IMSUM(IMDIV("1",COMPLEX(CX1_ESR,B918*CX1_ESL-1/(B918*CX1_C))),IMDIV("1",IMSUM(COMPLEX(DUMP1_R,0),COMPLEX(DUMP1_ESR,B918*DUMP1_ESL-1/(B918*DUMP1_C)))))</f>
        <v>0</v>
      </c>
      <c r="I918">
        <f>IMPRODUCT("2",IMDIV("1",IMSUM(IMDIV("1",COMPLEX(LDM2_DCR,B918*LDM2_L)),COMPLEX(0,B918*LDM2_CPA))))</f>
        <v>0</v>
      </c>
      <c r="J918">
        <f>IMSUM(IMDIV("1",COMPLEX(CX2_ESR,B918*CX2_ESL-1/(B918*CX2_C))),IMDIV("1",IMSUM(COMPLEX(DUMP2_R,0),COMPLEX(DUMP2_ESR,B918*DUMP2_ESL-1/(B918*DUMP2_C)))))</f>
        <v>0</v>
      </c>
      <c r="K918">
        <f>IMPRODUCT("2",IMDIV("1",IMSUM(IMDIV("1",COMPLEX(CMC_DCR,B918*CMC_L*(1-CMC_K))),COMPLEX(0,B918*CMC_CPA))))</f>
        <v>0</v>
      </c>
      <c r="L918">
        <f>IMSUM(COMPLEX(0,B918*CMC_CLINE),IMDIV("1",IMPRODUCT("2",COMPLEX(CY_ESR,B918*CY_ESL-1/(B918*CY_C)))),COMPLEX(1/DUMMY_R,0))</f>
        <v>0</v>
      </c>
      <c r="M918">
        <f>IMSUM(D918,IMDIV("1",C918))</f>
        <v>0</v>
      </c>
      <c r="N918">
        <f>IMDIV("1",IMSUM(E918,IMDIV("1",M918)))</f>
        <v>0</v>
      </c>
      <c r="O918">
        <f>IMSUM(F918,N918)</f>
        <v>0</v>
      </c>
      <c r="P918">
        <f>IMDIV("1",IMSUM(G918,IMDIV("1",O918)))</f>
        <v>0</v>
      </c>
      <c r="Q918">
        <f>IMSUM(H918,P918)</f>
        <v>0</v>
      </c>
      <c r="R918">
        <f>IMDIV("1",IMSUM(I918,IMDIV("1",Q918)))</f>
        <v>0</v>
      </c>
      <c r="S918">
        <f>IMSUM(J918,R918)</f>
        <v>0</v>
      </c>
      <c r="T918">
        <f>IMDIV("1",IMSUM(K918,IMDIV("1",S918)))</f>
        <v>0</v>
      </c>
      <c r="U918">
        <f>IMSUM(L918,T918)</f>
        <v>0</v>
      </c>
      <c r="V918">
        <f>IMDIV(COMPLEX(I_DM_SOURCE,0),U918)</f>
        <v>0</v>
      </c>
      <c r="W918">
        <f>IMPRODUCT(V918,T918)</f>
        <v>0</v>
      </c>
      <c r="X918">
        <f>IMDIV(W918,S918)</f>
        <v>0</v>
      </c>
      <c r="Y918">
        <f>IMPRODUCT(X918,R918)</f>
        <v>0</v>
      </c>
      <c r="Z918">
        <f>IMDIV(Y918,Q918)</f>
        <v>0</v>
      </c>
      <c r="AA918">
        <f>IMPRODUCT(Z918,P918)</f>
        <v>0</v>
      </c>
      <c r="AB918">
        <f>AA918</f>
        <v>0</v>
      </c>
      <c r="AC918">
        <f>IMPRODUCT("-1",AB918)</f>
        <v>0</v>
      </c>
      <c r="AD918">
        <f>IMDIV(IMSUB(AB918,AC918),"2")</f>
        <v>0</v>
      </c>
      <c r="AE918" s="6">
        <f>IMABS(AB918)</f>
        <v>0</v>
      </c>
      <c r="AF918" s="6">
        <f>IMABS(AC918)</f>
        <v>0</v>
      </c>
      <c r="AG918" s="6">
        <f>IMABS(AD918)</f>
        <v>0</v>
      </c>
      <c r="AH918" s="7">
        <f>20*LOG10(MAX(AE918,1E-300)*1E6)</f>
        <v>0</v>
      </c>
      <c r="AI918" s="7">
        <f>20*LOG10(MAX(AF918,1E-300)*1E6)</f>
        <v>0</v>
      </c>
      <c r="AJ918" s="7">
        <f>20*LOG10(MAX(AG918,1E-300)*1E6)</f>
        <v>0</v>
      </c>
      <c r="AK918" s="7">
        <f>DEGREES(IMARGUMENT(AB918))</f>
        <v>0</v>
      </c>
      <c r="AL918" s="7">
        <f>DEGREES(IMARGUMENT(AC918))</f>
        <v>0</v>
      </c>
      <c r="AM918" s="7">
        <f>DEGREES(IMARGUMENT(AD918))</f>
        <v>0</v>
      </c>
    </row>
    <row r="919" spans="1:39">
      <c r="A919" s="6">
        <f>10^(LOG10(F_START)+(ROW()-ROW($A$2))*(LOG10(F_STOP)-LOG10(F_START))/(N_POINTS-1))</f>
        <v>0</v>
      </c>
      <c r="B919" s="6">
        <f>2*PI()*A919</f>
        <v>0</v>
      </c>
      <c r="C919">
        <f>COMPLEX(2*LINE_PS_DCR,2*B919*LINE_PS_L)</f>
        <v>0</v>
      </c>
      <c r="D919">
        <f>IMSUM(COMPLEX(0,B919*(LINE_PS_CLINE+LINE_PS_CCHA/2)),IMDIV("1",IMPRODUCT("2",COMPLEX(C_THROUGH_ESR,B919*C_THROUGH_ESL-1/(B919*C_THROUGH_C)))))</f>
        <v>0</v>
      </c>
      <c r="E919">
        <f>COMPLEX(2*LINE_INPUT_DCR,2*B919*LINE_INPUT_L)</f>
        <v>0</v>
      </c>
      <c r="F919">
        <f>COMPLEX(0,B919*(LINE_INPUT_CLINE+LINE_INPUT_CCHA/2))</f>
        <v>0</v>
      </c>
      <c r="G919">
        <f>IMPRODUCT("2",IMDIV("1",IMSUM(IMDIV("1",COMPLEX(LDM1_DCR,B919*LDM1_L)),COMPLEX(0,B919*LDM1_CPA))))</f>
        <v>0</v>
      </c>
      <c r="H919">
        <f>IMSUM(IMDIV("1",COMPLEX(CX1_ESR,B919*CX1_ESL-1/(B919*CX1_C))),IMDIV("1",IMSUM(COMPLEX(DUMP1_R,0),COMPLEX(DUMP1_ESR,B919*DUMP1_ESL-1/(B919*DUMP1_C)))))</f>
        <v>0</v>
      </c>
      <c r="I919">
        <f>IMPRODUCT("2",IMDIV("1",IMSUM(IMDIV("1",COMPLEX(LDM2_DCR,B919*LDM2_L)),COMPLEX(0,B919*LDM2_CPA))))</f>
        <v>0</v>
      </c>
      <c r="J919">
        <f>IMSUM(IMDIV("1",COMPLEX(CX2_ESR,B919*CX2_ESL-1/(B919*CX2_C))),IMDIV("1",IMSUM(COMPLEX(DUMP2_R,0),COMPLEX(DUMP2_ESR,B919*DUMP2_ESL-1/(B919*DUMP2_C)))))</f>
        <v>0</v>
      </c>
      <c r="K919">
        <f>IMPRODUCT("2",IMDIV("1",IMSUM(IMDIV("1",COMPLEX(CMC_DCR,B919*CMC_L*(1-CMC_K))),COMPLEX(0,B919*CMC_CPA))))</f>
        <v>0</v>
      </c>
      <c r="L919">
        <f>IMSUM(COMPLEX(0,B919*CMC_CLINE),IMDIV("1",IMPRODUCT("2",COMPLEX(CY_ESR,B919*CY_ESL-1/(B919*CY_C)))),COMPLEX(1/DUMMY_R,0))</f>
        <v>0</v>
      </c>
      <c r="M919">
        <f>IMSUM(D919,IMDIV("1",C919))</f>
        <v>0</v>
      </c>
      <c r="N919">
        <f>IMDIV("1",IMSUM(E919,IMDIV("1",M919)))</f>
        <v>0</v>
      </c>
      <c r="O919">
        <f>IMSUM(F919,N919)</f>
        <v>0</v>
      </c>
      <c r="P919">
        <f>IMDIV("1",IMSUM(G919,IMDIV("1",O919)))</f>
        <v>0</v>
      </c>
      <c r="Q919">
        <f>IMSUM(H919,P919)</f>
        <v>0</v>
      </c>
      <c r="R919">
        <f>IMDIV("1",IMSUM(I919,IMDIV("1",Q919)))</f>
        <v>0</v>
      </c>
      <c r="S919">
        <f>IMSUM(J919,R919)</f>
        <v>0</v>
      </c>
      <c r="T919">
        <f>IMDIV("1",IMSUM(K919,IMDIV("1",S919)))</f>
        <v>0</v>
      </c>
      <c r="U919">
        <f>IMSUM(L919,T919)</f>
        <v>0</v>
      </c>
      <c r="V919">
        <f>IMDIV(COMPLEX(I_DM_SOURCE,0),U919)</f>
        <v>0</v>
      </c>
      <c r="W919">
        <f>IMPRODUCT(V919,T919)</f>
        <v>0</v>
      </c>
      <c r="X919">
        <f>IMDIV(W919,S919)</f>
        <v>0</v>
      </c>
      <c r="Y919">
        <f>IMPRODUCT(X919,R919)</f>
        <v>0</v>
      </c>
      <c r="Z919">
        <f>IMDIV(Y919,Q919)</f>
        <v>0</v>
      </c>
      <c r="AA919">
        <f>IMPRODUCT(Z919,P919)</f>
        <v>0</v>
      </c>
      <c r="AB919">
        <f>AA919</f>
        <v>0</v>
      </c>
      <c r="AC919">
        <f>IMPRODUCT("-1",AB919)</f>
        <v>0</v>
      </c>
      <c r="AD919">
        <f>IMDIV(IMSUB(AB919,AC919),"2")</f>
        <v>0</v>
      </c>
      <c r="AE919" s="6">
        <f>IMABS(AB919)</f>
        <v>0</v>
      </c>
      <c r="AF919" s="6">
        <f>IMABS(AC919)</f>
        <v>0</v>
      </c>
      <c r="AG919" s="6">
        <f>IMABS(AD919)</f>
        <v>0</v>
      </c>
      <c r="AH919" s="7">
        <f>20*LOG10(MAX(AE919,1E-300)*1E6)</f>
        <v>0</v>
      </c>
      <c r="AI919" s="7">
        <f>20*LOG10(MAX(AF919,1E-300)*1E6)</f>
        <v>0</v>
      </c>
      <c r="AJ919" s="7">
        <f>20*LOG10(MAX(AG919,1E-300)*1E6)</f>
        <v>0</v>
      </c>
      <c r="AK919" s="7">
        <f>DEGREES(IMARGUMENT(AB919))</f>
        <v>0</v>
      </c>
      <c r="AL919" s="7">
        <f>DEGREES(IMARGUMENT(AC919))</f>
        <v>0</v>
      </c>
      <c r="AM919" s="7">
        <f>DEGREES(IMARGUMENT(AD919))</f>
        <v>0</v>
      </c>
    </row>
    <row r="920" spans="1:39">
      <c r="A920" s="6">
        <f>10^(LOG10(F_START)+(ROW()-ROW($A$2))*(LOG10(F_STOP)-LOG10(F_START))/(N_POINTS-1))</f>
        <v>0</v>
      </c>
      <c r="B920" s="6">
        <f>2*PI()*A920</f>
        <v>0</v>
      </c>
      <c r="C920">
        <f>COMPLEX(2*LINE_PS_DCR,2*B920*LINE_PS_L)</f>
        <v>0</v>
      </c>
      <c r="D920">
        <f>IMSUM(COMPLEX(0,B920*(LINE_PS_CLINE+LINE_PS_CCHA/2)),IMDIV("1",IMPRODUCT("2",COMPLEX(C_THROUGH_ESR,B920*C_THROUGH_ESL-1/(B920*C_THROUGH_C)))))</f>
        <v>0</v>
      </c>
      <c r="E920">
        <f>COMPLEX(2*LINE_INPUT_DCR,2*B920*LINE_INPUT_L)</f>
        <v>0</v>
      </c>
      <c r="F920">
        <f>COMPLEX(0,B920*(LINE_INPUT_CLINE+LINE_INPUT_CCHA/2))</f>
        <v>0</v>
      </c>
      <c r="G920">
        <f>IMPRODUCT("2",IMDIV("1",IMSUM(IMDIV("1",COMPLEX(LDM1_DCR,B920*LDM1_L)),COMPLEX(0,B920*LDM1_CPA))))</f>
        <v>0</v>
      </c>
      <c r="H920">
        <f>IMSUM(IMDIV("1",COMPLEX(CX1_ESR,B920*CX1_ESL-1/(B920*CX1_C))),IMDIV("1",IMSUM(COMPLEX(DUMP1_R,0),COMPLEX(DUMP1_ESR,B920*DUMP1_ESL-1/(B920*DUMP1_C)))))</f>
        <v>0</v>
      </c>
      <c r="I920">
        <f>IMPRODUCT("2",IMDIV("1",IMSUM(IMDIV("1",COMPLEX(LDM2_DCR,B920*LDM2_L)),COMPLEX(0,B920*LDM2_CPA))))</f>
        <v>0</v>
      </c>
      <c r="J920">
        <f>IMSUM(IMDIV("1",COMPLEX(CX2_ESR,B920*CX2_ESL-1/(B920*CX2_C))),IMDIV("1",IMSUM(COMPLEX(DUMP2_R,0),COMPLEX(DUMP2_ESR,B920*DUMP2_ESL-1/(B920*DUMP2_C)))))</f>
        <v>0</v>
      </c>
      <c r="K920">
        <f>IMPRODUCT("2",IMDIV("1",IMSUM(IMDIV("1",COMPLEX(CMC_DCR,B920*CMC_L*(1-CMC_K))),COMPLEX(0,B920*CMC_CPA))))</f>
        <v>0</v>
      </c>
      <c r="L920">
        <f>IMSUM(COMPLEX(0,B920*CMC_CLINE),IMDIV("1",IMPRODUCT("2",COMPLEX(CY_ESR,B920*CY_ESL-1/(B920*CY_C)))),COMPLEX(1/DUMMY_R,0))</f>
        <v>0</v>
      </c>
      <c r="M920">
        <f>IMSUM(D920,IMDIV("1",C920))</f>
        <v>0</v>
      </c>
      <c r="N920">
        <f>IMDIV("1",IMSUM(E920,IMDIV("1",M920)))</f>
        <v>0</v>
      </c>
      <c r="O920">
        <f>IMSUM(F920,N920)</f>
        <v>0</v>
      </c>
      <c r="P920">
        <f>IMDIV("1",IMSUM(G920,IMDIV("1",O920)))</f>
        <v>0</v>
      </c>
      <c r="Q920">
        <f>IMSUM(H920,P920)</f>
        <v>0</v>
      </c>
      <c r="R920">
        <f>IMDIV("1",IMSUM(I920,IMDIV("1",Q920)))</f>
        <v>0</v>
      </c>
      <c r="S920">
        <f>IMSUM(J920,R920)</f>
        <v>0</v>
      </c>
      <c r="T920">
        <f>IMDIV("1",IMSUM(K920,IMDIV("1",S920)))</f>
        <v>0</v>
      </c>
      <c r="U920">
        <f>IMSUM(L920,T920)</f>
        <v>0</v>
      </c>
      <c r="V920">
        <f>IMDIV(COMPLEX(I_DM_SOURCE,0),U920)</f>
        <v>0</v>
      </c>
      <c r="W920">
        <f>IMPRODUCT(V920,T920)</f>
        <v>0</v>
      </c>
      <c r="X920">
        <f>IMDIV(W920,S920)</f>
        <v>0</v>
      </c>
      <c r="Y920">
        <f>IMPRODUCT(X920,R920)</f>
        <v>0</v>
      </c>
      <c r="Z920">
        <f>IMDIV(Y920,Q920)</f>
        <v>0</v>
      </c>
      <c r="AA920">
        <f>IMPRODUCT(Z920,P920)</f>
        <v>0</v>
      </c>
      <c r="AB920">
        <f>AA920</f>
        <v>0</v>
      </c>
      <c r="AC920">
        <f>IMPRODUCT("-1",AB920)</f>
        <v>0</v>
      </c>
      <c r="AD920">
        <f>IMDIV(IMSUB(AB920,AC920),"2")</f>
        <v>0</v>
      </c>
      <c r="AE920" s="6">
        <f>IMABS(AB920)</f>
        <v>0</v>
      </c>
      <c r="AF920" s="6">
        <f>IMABS(AC920)</f>
        <v>0</v>
      </c>
      <c r="AG920" s="6">
        <f>IMABS(AD920)</f>
        <v>0</v>
      </c>
      <c r="AH920" s="7">
        <f>20*LOG10(MAX(AE920,1E-300)*1E6)</f>
        <v>0</v>
      </c>
      <c r="AI920" s="7">
        <f>20*LOG10(MAX(AF920,1E-300)*1E6)</f>
        <v>0</v>
      </c>
      <c r="AJ920" s="7">
        <f>20*LOG10(MAX(AG920,1E-300)*1E6)</f>
        <v>0</v>
      </c>
      <c r="AK920" s="7">
        <f>DEGREES(IMARGUMENT(AB920))</f>
        <v>0</v>
      </c>
      <c r="AL920" s="7">
        <f>DEGREES(IMARGUMENT(AC920))</f>
        <v>0</v>
      </c>
      <c r="AM920" s="7">
        <f>DEGREES(IMARGUMENT(AD920))</f>
        <v>0</v>
      </c>
    </row>
    <row r="921" spans="1:39">
      <c r="A921" s="6">
        <f>10^(LOG10(F_START)+(ROW()-ROW($A$2))*(LOG10(F_STOP)-LOG10(F_START))/(N_POINTS-1))</f>
        <v>0</v>
      </c>
      <c r="B921" s="6">
        <f>2*PI()*A921</f>
        <v>0</v>
      </c>
      <c r="C921">
        <f>COMPLEX(2*LINE_PS_DCR,2*B921*LINE_PS_L)</f>
        <v>0</v>
      </c>
      <c r="D921">
        <f>IMSUM(COMPLEX(0,B921*(LINE_PS_CLINE+LINE_PS_CCHA/2)),IMDIV("1",IMPRODUCT("2",COMPLEX(C_THROUGH_ESR,B921*C_THROUGH_ESL-1/(B921*C_THROUGH_C)))))</f>
        <v>0</v>
      </c>
      <c r="E921">
        <f>COMPLEX(2*LINE_INPUT_DCR,2*B921*LINE_INPUT_L)</f>
        <v>0</v>
      </c>
      <c r="F921">
        <f>COMPLEX(0,B921*(LINE_INPUT_CLINE+LINE_INPUT_CCHA/2))</f>
        <v>0</v>
      </c>
      <c r="G921">
        <f>IMPRODUCT("2",IMDIV("1",IMSUM(IMDIV("1",COMPLEX(LDM1_DCR,B921*LDM1_L)),COMPLEX(0,B921*LDM1_CPA))))</f>
        <v>0</v>
      </c>
      <c r="H921">
        <f>IMSUM(IMDIV("1",COMPLEX(CX1_ESR,B921*CX1_ESL-1/(B921*CX1_C))),IMDIV("1",IMSUM(COMPLEX(DUMP1_R,0),COMPLEX(DUMP1_ESR,B921*DUMP1_ESL-1/(B921*DUMP1_C)))))</f>
        <v>0</v>
      </c>
      <c r="I921">
        <f>IMPRODUCT("2",IMDIV("1",IMSUM(IMDIV("1",COMPLEX(LDM2_DCR,B921*LDM2_L)),COMPLEX(0,B921*LDM2_CPA))))</f>
        <v>0</v>
      </c>
      <c r="J921">
        <f>IMSUM(IMDIV("1",COMPLEX(CX2_ESR,B921*CX2_ESL-1/(B921*CX2_C))),IMDIV("1",IMSUM(COMPLEX(DUMP2_R,0),COMPLEX(DUMP2_ESR,B921*DUMP2_ESL-1/(B921*DUMP2_C)))))</f>
        <v>0</v>
      </c>
      <c r="K921">
        <f>IMPRODUCT("2",IMDIV("1",IMSUM(IMDIV("1",COMPLEX(CMC_DCR,B921*CMC_L*(1-CMC_K))),COMPLEX(0,B921*CMC_CPA))))</f>
        <v>0</v>
      </c>
      <c r="L921">
        <f>IMSUM(COMPLEX(0,B921*CMC_CLINE),IMDIV("1",IMPRODUCT("2",COMPLEX(CY_ESR,B921*CY_ESL-1/(B921*CY_C)))),COMPLEX(1/DUMMY_R,0))</f>
        <v>0</v>
      </c>
      <c r="M921">
        <f>IMSUM(D921,IMDIV("1",C921))</f>
        <v>0</v>
      </c>
      <c r="N921">
        <f>IMDIV("1",IMSUM(E921,IMDIV("1",M921)))</f>
        <v>0</v>
      </c>
      <c r="O921">
        <f>IMSUM(F921,N921)</f>
        <v>0</v>
      </c>
      <c r="P921">
        <f>IMDIV("1",IMSUM(G921,IMDIV("1",O921)))</f>
        <v>0</v>
      </c>
      <c r="Q921">
        <f>IMSUM(H921,P921)</f>
        <v>0</v>
      </c>
      <c r="R921">
        <f>IMDIV("1",IMSUM(I921,IMDIV("1",Q921)))</f>
        <v>0</v>
      </c>
      <c r="S921">
        <f>IMSUM(J921,R921)</f>
        <v>0</v>
      </c>
      <c r="T921">
        <f>IMDIV("1",IMSUM(K921,IMDIV("1",S921)))</f>
        <v>0</v>
      </c>
      <c r="U921">
        <f>IMSUM(L921,T921)</f>
        <v>0</v>
      </c>
      <c r="V921">
        <f>IMDIV(COMPLEX(I_DM_SOURCE,0),U921)</f>
        <v>0</v>
      </c>
      <c r="W921">
        <f>IMPRODUCT(V921,T921)</f>
        <v>0</v>
      </c>
      <c r="X921">
        <f>IMDIV(W921,S921)</f>
        <v>0</v>
      </c>
      <c r="Y921">
        <f>IMPRODUCT(X921,R921)</f>
        <v>0</v>
      </c>
      <c r="Z921">
        <f>IMDIV(Y921,Q921)</f>
        <v>0</v>
      </c>
      <c r="AA921">
        <f>IMPRODUCT(Z921,P921)</f>
        <v>0</v>
      </c>
      <c r="AB921">
        <f>AA921</f>
        <v>0</v>
      </c>
      <c r="AC921">
        <f>IMPRODUCT("-1",AB921)</f>
        <v>0</v>
      </c>
      <c r="AD921">
        <f>IMDIV(IMSUB(AB921,AC921),"2")</f>
        <v>0</v>
      </c>
      <c r="AE921" s="6">
        <f>IMABS(AB921)</f>
        <v>0</v>
      </c>
      <c r="AF921" s="6">
        <f>IMABS(AC921)</f>
        <v>0</v>
      </c>
      <c r="AG921" s="6">
        <f>IMABS(AD921)</f>
        <v>0</v>
      </c>
      <c r="AH921" s="7">
        <f>20*LOG10(MAX(AE921,1E-300)*1E6)</f>
        <v>0</v>
      </c>
      <c r="AI921" s="7">
        <f>20*LOG10(MAX(AF921,1E-300)*1E6)</f>
        <v>0</v>
      </c>
      <c r="AJ921" s="7">
        <f>20*LOG10(MAX(AG921,1E-300)*1E6)</f>
        <v>0</v>
      </c>
      <c r="AK921" s="7">
        <f>DEGREES(IMARGUMENT(AB921))</f>
        <v>0</v>
      </c>
      <c r="AL921" s="7">
        <f>DEGREES(IMARGUMENT(AC921))</f>
        <v>0</v>
      </c>
      <c r="AM921" s="7">
        <f>DEGREES(IMARGUMENT(AD921))</f>
        <v>0</v>
      </c>
    </row>
    <row r="922" spans="1:39">
      <c r="A922" s="6">
        <f>10^(LOG10(F_START)+(ROW()-ROW($A$2))*(LOG10(F_STOP)-LOG10(F_START))/(N_POINTS-1))</f>
        <v>0</v>
      </c>
      <c r="B922" s="6">
        <f>2*PI()*A922</f>
        <v>0</v>
      </c>
      <c r="C922">
        <f>COMPLEX(2*LINE_PS_DCR,2*B922*LINE_PS_L)</f>
        <v>0</v>
      </c>
      <c r="D922">
        <f>IMSUM(COMPLEX(0,B922*(LINE_PS_CLINE+LINE_PS_CCHA/2)),IMDIV("1",IMPRODUCT("2",COMPLEX(C_THROUGH_ESR,B922*C_THROUGH_ESL-1/(B922*C_THROUGH_C)))))</f>
        <v>0</v>
      </c>
      <c r="E922">
        <f>COMPLEX(2*LINE_INPUT_DCR,2*B922*LINE_INPUT_L)</f>
        <v>0</v>
      </c>
      <c r="F922">
        <f>COMPLEX(0,B922*(LINE_INPUT_CLINE+LINE_INPUT_CCHA/2))</f>
        <v>0</v>
      </c>
      <c r="G922">
        <f>IMPRODUCT("2",IMDIV("1",IMSUM(IMDIV("1",COMPLEX(LDM1_DCR,B922*LDM1_L)),COMPLEX(0,B922*LDM1_CPA))))</f>
        <v>0</v>
      </c>
      <c r="H922">
        <f>IMSUM(IMDIV("1",COMPLEX(CX1_ESR,B922*CX1_ESL-1/(B922*CX1_C))),IMDIV("1",IMSUM(COMPLEX(DUMP1_R,0),COMPLEX(DUMP1_ESR,B922*DUMP1_ESL-1/(B922*DUMP1_C)))))</f>
        <v>0</v>
      </c>
      <c r="I922">
        <f>IMPRODUCT("2",IMDIV("1",IMSUM(IMDIV("1",COMPLEX(LDM2_DCR,B922*LDM2_L)),COMPLEX(0,B922*LDM2_CPA))))</f>
        <v>0</v>
      </c>
      <c r="J922">
        <f>IMSUM(IMDIV("1",COMPLEX(CX2_ESR,B922*CX2_ESL-1/(B922*CX2_C))),IMDIV("1",IMSUM(COMPLEX(DUMP2_R,0),COMPLEX(DUMP2_ESR,B922*DUMP2_ESL-1/(B922*DUMP2_C)))))</f>
        <v>0</v>
      </c>
      <c r="K922">
        <f>IMPRODUCT("2",IMDIV("1",IMSUM(IMDIV("1",COMPLEX(CMC_DCR,B922*CMC_L*(1-CMC_K))),COMPLEX(0,B922*CMC_CPA))))</f>
        <v>0</v>
      </c>
      <c r="L922">
        <f>IMSUM(COMPLEX(0,B922*CMC_CLINE),IMDIV("1",IMPRODUCT("2",COMPLEX(CY_ESR,B922*CY_ESL-1/(B922*CY_C)))),COMPLEX(1/DUMMY_R,0))</f>
        <v>0</v>
      </c>
      <c r="M922">
        <f>IMSUM(D922,IMDIV("1",C922))</f>
        <v>0</v>
      </c>
      <c r="N922">
        <f>IMDIV("1",IMSUM(E922,IMDIV("1",M922)))</f>
        <v>0</v>
      </c>
      <c r="O922">
        <f>IMSUM(F922,N922)</f>
        <v>0</v>
      </c>
      <c r="P922">
        <f>IMDIV("1",IMSUM(G922,IMDIV("1",O922)))</f>
        <v>0</v>
      </c>
      <c r="Q922">
        <f>IMSUM(H922,P922)</f>
        <v>0</v>
      </c>
      <c r="R922">
        <f>IMDIV("1",IMSUM(I922,IMDIV("1",Q922)))</f>
        <v>0</v>
      </c>
      <c r="S922">
        <f>IMSUM(J922,R922)</f>
        <v>0</v>
      </c>
      <c r="T922">
        <f>IMDIV("1",IMSUM(K922,IMDIV("1",S922)))</f>
        <v>0</v>
      </c>
      <c r="U922">
        <f>IMSUM(L922,T922)</f>
        <v>0</v>
      </c>
      <c r="V922">
        <f>IMDIV(COMPLEX(I_DM_SOURCE,0),U922)</f>
        <v>0</v>
      </c>
      <c r="W922">
        <f>IMPRODUCT(V922,T922)</f>
        <v>0</v>
      </c>
      <c r="X922">
        <f>IMDIV(W922,S922)</f>
        <v>0</v>
      </c>
      <c r="Y922">
        <f>IMPRODUCT(X922,R922)</f>
        <v>0</v>
      </c>
      <c r="Z922">
        <f>IMDIV(Y922,Q922)</f>
        <v>0</v>
      </c>
      <c r="AA922">
        <f>IMPRODUCT(Z922,P922)</f>
        <v>0</v>
      </c>
      <c r="AB922">
        <f>AA922</f>
        <v>0</v>
      </c>
      <c r="AC922">
        <f>IMPRODUCT("-1",AB922)</f>
        <v>0</v>
      </c>
      <c r="AD922">
        <f>IMDIV(IMSUB(AB922,AC922),"2")</f>
        <v>0</v>
      </c>
      <c r="AE922" s="6">
        <f>IMABS(AB922)</f>
        <v>0</v>
      </c>
      <c r="AF922" s="6">
        <f>IMABS(AC922)</f>
        <v>0</v>
      </c>
      <c r="AG922" s="6">
        <f>IMABS(AD922)</f>
        <v>0</v>
      </c>
      <c r="AH922" s="7">
        <f>20*LOG10(MAX(AE922,1E-300)*1E6)</f>
        <v>0</v>
      </c>
      <c r="AI922" s="7">
        <f>20*LOG10(MAX(AF922,1E-300)*1E6)</f>
        <v>0</v>
      </c>
      <c r="AJ922" s="7">
        <f>20*LOG10(MAX(AG922,1E-300)*1E6)</f>
        <v>0</v>
      </c>
      <c r="AK922" s="7">
        <f>DEGREES(IMARGUMENT(AB922))</f>
        <v>0</v>
      </c>
      <c r="AL922" s="7">
        <f>DEGREES(IMARGUMENT(AC922))</f>
        <v>0</v>
      </c>
      <c r="AM922" s="7">
        <f>DEGREES(IMARGUMENT(AD922))</f>
        <v>0</v>
      </c>
    </row>
    <row r="923" spans="1:39">
      <c r="A923" s="6">
        <f>10^(LOG10(F_START)+(ROW()-ROW($A$2))*(LOG10(F_STOP)-LOG10(F_START))/(N_POINTS-1))</f>
        <v>0</v>
      </c>
      <c r="B923" s="6">
        <f>2*PI()*A923</f>
        <v>0</v>
      </c>
      <c r="C923">
        <f>COMPLEX(2*LINE_PS_DCR,2*B923*LINE_PS_L)</f>
        <v>0</v>
      </c>
      <c r="D923">
        <f>IMSUM(COMPLEX(0,B923*(LINE_PS_CLINE+LINE_PS_CCHA/2)),IMDIV("1",IMPRODUCT("2",COMPLEX(C_THROUGH_ESR,B923*C_THROUGH_ESL-1/(B923*C_THROUGH_C)))))</f>
        <v>0</v>
      </c>
      <c r="E923">
        <f>COMPLEX(2*LINE_INPUT_DCR,2*B923*LINE_INPUT_L)</f>
        <v>0</v>
      </c>
      <c r="F923">
        <f>COMPLEX(0,B923*(LINE_INPUT_CLINE+LINE_INPUT_CCHA/2))</f>
        <v>0</v>
      </c>
      <c r="G923">
        <f>IMPRODUCT("2",IMDIV("1",IMSUM(IMDIV("1",COMPLEX(LDM1_DCR,B923*LDM1_L)),COMPLEX(0,B923*LDM1_CPA))))</f>
        <v>0</v>
      </c>
      <c r="H923">
        <f>IMSUM(IMDIV("1",COMPLEX(CX1_ESR,B923*CX1_ESL-1/(B923*CX1_C))),IMDIV("1",IMSUM(COMPLEX(DUMP1_R,0),COMPLEX(DUMP1_ESR,B923*DUMP1_ESL-1/(B923*DUMP1_C)))))</f>
        <v>0</v>
      </c>
      <c r="I923">
        <f>IMPRODUCT("2",IMDIV("1",IMSUM(IMDIV("1",COMPLEX(LDM2_DCR,B923*LDM2_L)),COMPLEX(0,B923*LDM2_CPA))))</f>
        <v>0</v>
      </c>
      <c r="J923">
        <f>IMSUM(IMDIV("1",COMPLEX(CX2_ESR,B923*CX2_ESL-1/(B923*CX2_C))),IMDIV("1",IMSUM(COMPLEX(DUMP2_R,0),COMPLEX(DUMP2_ESR,B923*DUMP2_ESL-1/(B923*DUMP2_C)))))</f>
        <v>0</v>
      </c>
      <c r="K923">
        <f>IMPRODUCT("2",IMDIV("1",IMSUM(IMDIV("1",COMPLEX(CMC_DCR,B923*CMC_L*(1-CMC_K))),COMPLEX(0,B923*CMC_CPA))))</f>
        <v>0</v>
      </c>
      <c r="L923">
        <f>IMSUM(COMPLEX(0,B923*CMC_CLINE),IMDIV("1",IMPRODUCT("2",COMPLEX(CY_ESR,B923*CY_ESL-1/(B923*CY_C)))),COMPLEX(1/DUMMY_R,0))</f>
        <v>0</v>
      </c>
      <c r="M923">
        <f>IMSUM(D923,IMDIV("1",C923))</f>
        <v>0</v>
      </c>
      <c r="N923">
        <f>IMDIV("1",IMSUM(E923,IMDIV("1",M923)))</f>
        <v>0</v>
      </c>
      <c r="O923">
        <f>IMSUM(F923,N923)</f>
        <v>0</v>
      </c>
      <c r="P923">
        <f>IMDIV("1",IMSUM(G923,IMDIV("1",O923)))</f>
        <v>0</v>
      </c>
      <c r="Q923">
        <f>IMSUM(H923,P923)</f>
        <v>0</v>
      </c>
      <c r="R923">
        <f>IMDIV("1",IMSUM(I923,IMDIV("1",Q923)))</f>
        <v>0</v>
      </c>
      <c r="S923">
        <f>IMSUM(J923,R923)</f>
        <v>0</v>
      </c>
      <c r="T923">
        <f>IMDIV("1",IMSUM(K923,IMDIV("1",S923)))</f>
        <v>0</v>
      </c>
      <c r="U923">
        <f>IMSUM(L923,T923)</f>
        <v>0</v>
      </c>
      <c r="V923">
        <f>IMDIV(COMPLEX(I_DM_SOURCE,0),U923)</f>
        <v>0</v>
      </c>
      <c r="W923">
        <f>IMPRODUCT(V923,T923)</f>
        <v>0</v>
      </c>
      <c r="X923">
        <f>IMDIV(W923,S923)</f>
        <v>0</v>
      </c>
      <c r="Y923">
        <f>IMPRODUCT(X923,R923)</f>
        <v>0</v>
      </c>
      <c r="Z923">
        <f>IMDIV(Y923,Q923)</f>
        <v>0</v>
      </c>
      <c r="AA923">
        <f>IMPRODUCT(Z923,P923)</f>
        <v>0</v>
      </c>
      <c r="AB923">
        <f>AA923</f>
        <v>0</v>
      </c>
      <c r="AC923">
        <f>IMPRODUCT("-1",AB923)</f>
        <v>0</v>
      </c>
      <c r="AD923">
        <f>IMDIV(IMSUB(AB923,AC923),"2")</f>
        <v>0</v>
      </c>
      <c r="AE923" s="6">
        <f>IMABS(AB923)</f>
        <v>0</v>
      </c>
      <c r="AF923" s="6">
        <f>IMABS(AC923)</f>
        <v>0</v>
      </c>
      <c r="AG923" s="6">
        <f>IMABS(AD923)</f>
        <v>0</v>
      </c>
      <c r="AH923" s="7">
        <f>20*LOG10(MAX(AE923,1E-300)*1E6)</f>
        <v>0</v>
      </c>
      <c r="AI923" s="7">
        <f>20*LOG10(MAX(AF923,1E-300)*1E6)</f>
        <v>0</v>
      </c>
      <c r="AJ923" s="7">
        <f>20*LOG10(MAX(AG923,1E-300)*1E6)</f>
        <v>0</v>
      </c>
      <c r="AK923" s="7">
        <f>DEGREES(IMARGUMENT(AB923))</f>
        <v>0</v>
      </c>
      <c r="AL923" s="7">
        <f>DEGREES(IMARGUMENT(AC923))</f>
        <v>0</v>
      </c>
      <c r="AM923" s="7">
        <f>DEGREES(IMARGUMENT(AD923))</f>
        <v>0</v>
      </c>
    </row>
    <row r="924" spans="1:39">
      <c r="A924" s="6">
        <f>10^(LOG10(F_START)+(ROW()-ROW($A$2))*(LOG10(F_STOP)-LOG10(F_START))/(N_POINTS-1))</f>
        <v>0</v>
      </c>
      <c r="B924" s="6">
        <f>2*PI()*A924</f>
        <v>0</v>
      </c>
      <c r="C924">
        <f>COMPLEX(2*LINE_PS_DCR,2*B924*LINE_PS_L)</f>
        <v>0</v>
      </c>
      <c r="D924">
        <f>IMSUM(COMPLEX(0,B924*(LINE_PS_CLINE+LINE_PS_CCHA/2)),IMDIV("1",IMPRODUCT("2",COMPLEX(C_THROUGH_ESR,B924*C_THROUGH_ESL-1/(B924*C_THROUGH_C)))))</f>
        <v>0</v>
      </c>
      <c r="E924">
        <f>COMPLEX(2*LINE_INPUT_DCR,2*B924*LINE_INPUT_L)</f>
        <v>0</v>
      </c>
      <c r="F924">
        <f>COMPLEX(0,B924*(LINE_INPUT_CLINE+LINE_INPUT_CCHA/2))</f>
        <v>0</v>
      </c>
      <c r="G924">
        <f>IMPRODUCT("2",IMDIV("1",IMSUM(IMDIV("1",COMPLEX(LDM1_DCR,B924*LDM1_L)),COMPLEX(0,B924*LDM1_CPA))))</f>
        <v>0</v>
      </c>
      <c r="H924">
        <f>IMSUM(IMDIV("1",COMPLEX(CX1_ESR,B924*CX1_ESL-1/(B924*CX1_C))),IMDIV("1",IMSUM(COMPLEX(DUMP1_R,0),COMPLEX(DUMP1_ESR,B924*DUMP1_ESL-1/(B924*DUMP1_C)))))</f>
        <v>0</v>
      </c>
      <c r="I924">
        <f>IMPRODUCT("2",IMDIV("1",IMSUM(IMDIV("1",COMPLEX(LDM2_DCR,B924*LDM2_L)),COMPLEX(0,B924*LDM2_CPA))))</f>
        <v>0</v>
      </c>
      <c r="J924">
        <f>IMSUM(IMDIV("1",COMPLEX(CX2_ESR,B924*CX2_ESL-1/(B924*CX2_C))),IMDIV("1",IMSUM(COMPLEX(DUMP2_R,0),COMPLEX(DUMP2_ESR,B924*DUMP2_ESL-1/(B924*DUMP2_C)))))</f>
        <v>0</v>
      </c>
      <c r="K924">
        <f>IMPRODUCT("2",IMDIV("1",IMSUM(IMDIV("1",COMPLEX(CMC_DCR,B924*CMC_L*(1-CMC_K))),COMPLEX(0,B924*CMC_CPA))))</f>
        <v>0</v>
      </c>
      <c r="L924">
        <f>IMSUM(COMPLEX(0,B924*CMC_CLINE),IMDIV("1",IMPRODUCT("2",COMPLEX(CY_ESR,B924*CY_ESL-1/(B924*CY_C)))),COMPLEX(1/DUMMY_R,0))</f>
        <v>0</v>
      </c>
      <c r="M924">
        <f>IMSUM(D924,IMDIV("1",C924))</f>
        <v>0</v>
      </c>
      <c r="N924">
        <f>IMDIV("1",IMSUM(E924,IMDIV("1",M924)))</f>
        <v>0</v>
      </c>
      <c r="O924">
        <f>IMSUM(F924,N924)</f>
        <v>0</v>
      </c>
      <c r="P924">
        <f>IMDIV("1",IMSUM(G924,IMDIV("1",O924)))</f>
        <v>0</v>
      </c>
      <c r="Q924">
        <f>IMSUM(H924,P924)</f>
        <v>0</v>
      </c>
      <c r="R924">
        <f>IMDIV("1",IMSUM(I924,IMDIV("1",Q924)))</f>
        <v>0</v>
      </c>
      <c r="S924">
        <f>IMSUM(J924,R924)</f>
        <v>0</v>
      </c>
      <c r="T924">
        <f>IMDIV("1",IMSUM(K924,IMDIV("1",S924)))</f>
        <v>0</v>
      </c>
      <c r="U924">
        <f>IMSUM(L924,T924)</f>
        <v>0</v>
      </c>
      <c r="V924">
        <f>IMDIV(COMPLEX(I_DM_SOURCE,0),U924)</f>
        <v>0</v>
      </c>
      <c r="W924">
        <f>IMPRODUCT(V924,T924)</f>
        <v>0</v>
      </c>
      <c r="X924">
        <f>IMDIV(W924,S924)</f>
        <v>0</v>
      </c>
      <c r="Y924">
        <f>IMPRODUCT(X924,R924)</f>
        <v>0</v>
      </c>
      <c r="Z924">
        <f>IMDIV(Y924,Q924)</f>
        <v>0</v>
      </c>
      <c r="AA924">
        <f>IMPRODUCT(Z924,P924)</f>
        <v>0</v>
      </c>
      <c r="AB924">
        <f>AA924</f>
        <v>0</v>
      </c>
      <c r="AC924">
        <f>IMPRODUCT("-1",AB924)</f>
        <v>0</v>
      </c>
      <c r="AD924">
        <f>IMDIV(IMSUB(AB924,AC924),"2")</f>
        <v>0</v>
      </c>
      <c r="AE924" s="6">
        <f>IMABS(AB924)</f>
        <v>0</v>
      </c>
      <c r="AF924" s="6">
        <f>IMABS(AC924)</f>
        <v>0</v>
      </c>
      <c r="AG924" s="6">
        <f>IMABS(AD924)</f>
        <v>0</v>
      </c>
      <c r="AH924" s="7">
        <f>20*LOG10(MAX(AE924,1E-300)*1E6)</f>
        <v>0</v>
      </c>
      <c r="AI924" s="7">
        <f>20*LOG10(MAX(AF924,1E-300)*1E6)</f>
        <v>0</v>
      </c>
      <c r="AJ924" s="7">
        <f>20*LOG10(MAX(AG924,1E-300)*1E6)</f>
        <v>0</v>
      </c>
      <c r="AK924" s="7">
        <f>DEGREES(IMARGUMENT(AB924))</f>
        <v>0</v>
      </c>
      <c r="AL924" s="7">
        <f>DEGREES(IMARGUMENT(AC924))</f>
        <v>0</v>
      </c>
      <c r="AM924" s="7">
        <f>DEGREES(IMARGUMENT(AD924))</f>
        <v>0</v>
      </c>
    </row>
    <row r="925" spans="1:39">
      <c r="A925" s="6">
        <f>10^(LOG10(F_START)+(ROW()-ROW($A$2))*(LOG10(F_STOP)-LOG10(F_START))/(N_POINTS-1))</f>
        <v>0</v>
      </c>
      <c r="B925" s="6">
        <f>2*PI()*A925</f>
        <v>0</v>
      </c>
      <c r="C925">
        <f>COMPLEX(2*LINE_PS_DCR,2*B925*LINE_PS_L)</f>
        <v>0</v>
      </c>
      <c r="D925">
        <f>IMSUM(COMPLEX(0,B925*(LINE_PS_CLINE+LINE_PS_CCHA/2)),IMDIV("1",IMPRODUCT("2",COMPLEX(C_THROUGH_ESR,B925*C_THROUGH_ESL-1/(B925*C_THROUGH_C)))))</f>
        <v>0</v>
      </c>
      <c r="E925">
        <f>COMPLEX(2*LINE_INPUT_DCR,2*B925*LINE_INPUT_L)</f>
        <v>0</v>
      </c>
      <c r="F925">
        <f>COMPLEX(0,B925*(LINE_INPUT_CLINE+LINE_INPUT_CCHA/2))</f>
        <v>0</v>
      </c>
      <c r="G925">
        <f>IMPRODUCT("2",IMDIV("1",IMSUM(IMDIV("1",COMPLEX(LDM1_DCR,B925*LDM1_L)),COMPLEX(0,B925*LDM1_CPA))))</f>
        <v>0</v>
      </c>
      <c r="H925">
        <f>IMSUM(IMDIV("1",COMPLEX(CX1_ESR,B925*CX1_ESL-1/(B925*CX1_C))),IMDIV("1",IMSUM(COMPLEX(DUMP1_R,0),COMPLEX(DUMP1_ESR,B925*DUMP1_ESL-1/(B925*DUMP1_C)))))</f>
        <v>0</v>
      </c>
      <c r="I925">
        <f>IMPRODUCT("2",IMDIV("1",IMSUM(IMDIV("1",COMPLEX(LDM2_DCR,B925*LDM2_L)),COMPLEX(0,B925*LDM2_CPA))))</f>
        <v>0</v>
      </c>
      <c r="J925">
        <f>IMSUM(IMDIV("1",COMPLEX(CX2_ESR,B925*CX2_ESL-1/(B925*CX2_C))),IMDIV("1",IMSUM(COMPLEX(DUMP2_R,0),COMPLEX(DUMP2_ESR,B925*DUMP2_ESL-1/(B925*DUMP2_C)))))</f>
        <v>0</v>
      </c>
      <c r="K925">
        <f>IMPRODUCT("2",IMDIV("1",IMSUM(IMDIV("1",COMPLEX(CMC_DCR,B925*CMC_L*(1-CMC_K))),COMPLEX(0,B925*CMC_CPA))))</f>
        <v>0</v>
      </c>
      <c r="L925">
        <f>IMSUM(COMPLEX(0,B925*CMC_CLINE),IMDIV("1",IMPRODUCT("2",COMPLEX(CY_ESR,B925*CY_ESL-1/(B925*CY_C)))),COMPLEX(1/DUMMY_R,0))</f>
        <v>0</v>
      </c>
      <c r="M925">
        <f>IMSUM(D925,IMDIV("1",C925))</f>
        <v>0</v>
      </c>
      <c r="N925">
        <f>IMDIV("1",IMSUM(E925,IMDIV("1",M925)))</f>
        <v>0</v>
      </c>
      <c r="O925">
        <f>IMSUM(F925,N925)</f>
        <v>0</v>
      </c>
      <c r="P925">
        <f>IMDIV("1",IMSUM(G925,IMDIV("1",O925)))</f>
        <v>0</v>
      </c>
      <c r="Q925">
        <f>IMSUM(H925,P925)</f>
        <v>0</v>
      </c>
      <c r="R925">
        <f>IMDIV("1",IMSUM(I925,IMDIV("1",Q925)))</f>
        <v>0</v>
      </c>
      <c r="S925">
        <f>IMSUM(J925,R925)</f>
        <v>0</v>
      </c>
      <c r="T925">
        <f>IMDIV("1",IMSUM(K925,IMDIV("1",S925)))</f>
        <v>0</v>
      </c>
      <c r="U925">
        <f>IMSUM(L925,T925)</f>
        <v>0</v>
      </c>
      <c r="V925">
        <f>IMDIV(COMPLEX(I_DM_SOURCE,0),U925)</f>
        <v>0</v>
      </c>
      <c r="W925">
        <f>IMPRODUCT(V925,T925)</f>
        <v>0</v>
      </c>
      <c r="X925">
        <f>IMDIV(W925,S925)</f>
        <v>0</v>
      </c>
      <c r="Y925">
        <f>IMPRODUCT(X925,R925)</f>
        <v>0</v>
      </c>
      <c r="Z925">
        <f>IMDIV(Y925,Q925)</f>
        <v>0</v>
      </c>
      <c r="AA925">
        <f>IMPRODUCT(Z925,P925)</f>
        <v>0</v>
      </c>
      <c r="AB925">
        <f>AA925</f>
        <v>0</v>
      </c>
      <c r="AC925">
        <f>IMPRODUCT("-1",AB925)</f>
        <v>0</v>
      </c>
      <c r="AD925">
        <f>IMDIV(IMSUB(AB925,AC925),"2")</f>
        <v>0</v>
      </c>
      <c r="AE925" s="6">
        <f>IMABS(AB925)</f>
        <v>0</v>
      </c>
      <c r="AF925" s="6">
        <f>IMABS(AC925)</f>
        <v>0</v>
      </c>
      <c r="AG925" s="6">
        <f>IMABS(AD925)</f>
        <v>0</v>
      </c>
      <c r="AH925" s="7">
        <f>20*LOG10(MAX(AE925,1E-300)*1E6)</f>
        <v>0</v>
      </c>
      <c r="AI925" s="7">
        <f>20*LOG10(MAX(AF925,1E-300)*1E6)</f>
        <v>0</v>
      </c>
      <c r="AJ925" s="7">
        <f>20*LOG10(MAX(AG925,1E-300)*1E6)</f>
        <v>0</v>
      </c>
      <c r="AK925" s="7">
        <f>DEGREES(IMARGUMENT(AB925))</f>
        <v>0</v>
      </c>
      <c r="AL925" s="7">
        <f>DEGREES(IMARGUMENT(AC925))</f>
        <v>0</v>
      </c>
      <c r="AM925" s="7">
        <f>DEGREES(IMARGUMENT(AD925))</f>
        <v>0</v>
      </c>
    </row>
    <row r="926" spans="1:39">
      <c r="A926" s="6">
        <f>10^(LOG10(F_START)+(ROW()-ROW($A$2))*(LOG10(F_STOP)-LOG10(F_START))/(N_POINTS-1))</f>
        <v>0</v>
      </c>
      <c r="B926" s="6">
        <f>2*PI()*A926</f>
        <v>0</v>
      </c>
      <c r="C926">
        <f>COMPLEX(2*LINE_PS_DCR,2*B926*LINE_PS_L)</f>
        <v>0</v>
      </c>
      <c r="D926">
        <f>IMSUM(COMPLEX(0,B926*(LINE_PS_CLINE+LINE_PS_CCHA/2)),IMDIV("1",IMPRODUCT("2",COMPLEX(C_THROUGH_ESR,B926*C_THROUGH_ESL-1/(B926*C_THROUGH_C)))))</f>
        <v>0</v>
      </c>
      <c r="E926">
        <f>COMPLEX(2*LINE_INPUT_DCR,2*B926*LINE_INPUT_L)</f>
        <v>0</v>
      </c>
      <c r="F926">
        <f>COMPLEX(0,B926*(LINE_INPUT_CLINE+LINE_INPUT_CCHA/2))</f>
        <v>0</v>
      </c>
      <c r="G926">
        <f>IMPRODUCT("2",IMDIV("1",IMSUM(IMDIV("1",COMPLEX(LDM1_DCR,B926*LDM1_L)),COMPLEX(0,B926*LDM1_CPA))))</f>
        <v>0</v>
      </c>
      <c r="H926">
        <f>IMSUM(IMDIV("1",COMPLEX(CX1_ESR,B926*CX1_ESL-1/(B926*CX1_C))),IMDIV("1",IMSUM(COMPLEX(DUMP1_R,0),COMPLEX(DUMP1_ESR,B926*DUMP1_ESL-1/(B926*DUMP1_C)))))</f>
        <v>0</v>
      </c>
      <c r="I926">
        <f>IMPRODUCT("2",IMDIV("1",IMSUM(IMDIV("1",COMPLEX(LDM2_DCR,B926*LDM2_L)),COMPLEX(0,B926*LDM2_CPA))))</f>
        <v>0</v>
      </c>
      <c r="J926">
        <f>IMSUM(IMDIV("1",COMPLEX(CX2_ESR,B926*CX2_ESL-1/(B926*CX2_C))),IMDIV("1",IMSUM(COMPLEX(DUMP2_R,0),COMPLEX(DUMP2_ESR,B926*DUMP2_ESL-1/(B926*DUMP2_C)))))</f>
        <v>0</v>
      </c>
      <c r="K926">
        <f>IMPRODUCT("2",IMDIV("1",IMSUM(IMDIV("1",COMPLEX(CMC_DCR,B926*CMC_L*(1-CMC_K))),COMPLEX(0,B926*CMC_CPA))))</f>
        <v>0</v>
      </c>
      <c r="L926">
        <f>IMSUM(COMPLEX(0,B926*CMC_CLINE),IMDIV("1",IMPRODUCT("2",COMPLEX(CY_ESR,B926*CY_ESL-1/(B926*CY_C)))),COMPLEX(1/DUMMY_R,0))</f>
        <v>0</v>
      </c>
      <c r="M926">
        <f>IMSUM(D926,IMDIV("1",C926))</f>
        <v>0</v>
      </c>
      <c r="N926">
        <f>IMDIV("1",IMSUM(E926,IMDIV("1",M926)))</f>
        <v>0</v>
      </c>
      <c r="O926">
        <f>IMSUM(F926,N926)</f>
        <v>0</v>
      </c>
      <c r="P926">
        <f>IMDIV("1",IMSUM(G926,IMDIV("1",O926)))</f>
        <v>0</v>
      </c>
      <c r="Q926">
        <f>IMSUM(H926,P926)</f>
        <v>0</v>
      </c>
      <c r="R926">
        <f>IMDIV("1",IMSUM(I926,IMDIV("1",Q926)))</f>
        <v>0</v>
      </c>
      <c r="S926">
        <f>IMSUM(J926,R926)</f>
        <v>0</v>
      </c>
      <c r="T926">
        <f>IMDIV("1",IMSUM(K926,IMDIV("1",S926)))</f>
        <v>0</v>
      </c>
      <c r="U926">
        <f>IMSUM(L926,T926)</f>
        <v>0</v>
      </c>
      <c r="V926">
        <f>IMDIV(COMPLEX(I_DM_SOURCE,0),U926)</f>
        <v>0</v>
      </c>
      <c r="W926">
        <f>IMPRODUCT(V926,T926)</f>
        <v>0</v>
      </c>
      <c r="X926">
        <f>IMDIV(W926,S926)</f>
        <v>0</v>
      </c>
      <c r="Y926">
        <f>IMPRODUCT(X926,R926)</f>
        <v>0</v>
      </c>
      <c r="Z926">
        <f>IMDIV(Y926,Q926)</f>
        <v>0</v>
      </c>
      <c r="AA926">
        <f>IMPRODUCT(Z926,P926)</f>
        <v>0</v>
      </c>
      <c r="AB926">
        <f>AA926</f>
        <v>0</v>
      </c>
      <c r="AC926">
        <f>IMPRODUCT("-1",AB926)</f>
        <v>0</v>
      </c>
      <c r="AD926">
        <f>IMDIV(IMSUB(AB926,AC926),"2")</f>
        <v>0</v>
      </c>
      <c r="AE926" s="6">
        <f>IMABS(AB926)</f>
        <v>0</v>
      </c>
      <c r="AF926" s="6">
        <f>IMABS(AC926)</f>
        <v>0</v>
      </c>
      <c r="AG926" s="6">
        <f>IMABS(AD926)</f>
        <v>0</v>
      </c>
      <c r="AH926" s="7">
        <f>20*LOG10(MAX(AE926,1E-300)*1E6)</f>
        <v>0</v>
      </c>
      <c r="AI926" s="7">
        <f>20*LOG10(MAX(AF926,1E-300)*1E6)</f>
        <v>0</v>
      </c>
      <c r="AJ926" s="7">
        <f>20*LOG10(MAX(AG926,1E-300)*1E6)</f>
        <v>0</v>
      </c>
      <c r="AK926" s="7">
        <f>DEGREES(IMARGUMENT(AB926))</f>
        <v>0</v>
      </c>
      <c r="AL926" s="7">
        <f>DEGREES(IMARGUMENT(AC926))</f>
        <v>0</v>
      </c>
      <c r="AM926" s="7">
        <f>DEGREES(IMARGUMENT(AD926))</f>
        <v>0</v>
      </c>
    </row>
    <row r="927" spans="1:39">
      <c r="A927" s="6">
        <f>10^(LOG10(F_START)+(ROW()-ROW($A$2))*(LOG10(F_STOP)-LOG10(F_START))/(N_POINTS-1))</f>
        <v>0</v>
      </c>
      <c r="B927" s="6">
        <f>2*PI()*A927</f>
        <v>0</v>
      </c>
      <c r="C927">
        <f>COMPLEX(2*LINE_PS_DCR,2*B927*LINE_PS_L)</f>
        <v>0</v>
      </c>
      <c r="D927">
        <f>IMSUM(COMPLEX(0,B927*(LINE_PS_CLINE+LINE_PS_CCHA/2)),IMDIV("1",IMPRODUCT("2",COMPLEX(C_THROUGH_ESR,B927*C_THROUGH_ESL-1/(B927*C_THROUGH_C)))))</f>
        <v>0</v>
      </c>
      <c r="E927">
        <f>COMPLEX(2*LINE_INPUT_DCR,2*B927*LINE_INPUT_L)</f>
        <v>0</v>
      </c>
      <c r="F927">
        <f>COMPLEX(0,B927*(LINE_INPUT_CLINE+LINE_INPUT_CCHA/2))</f>
        <v>0</v>
      </c>
      <c r="G927">
        <f>IMPRODUCT("2",IMDIV("1",IMSUM(IMDIV("1",COMPLEX(LDM1_DCR,B927*LDM1_L)),COMPLEX(0,B927*LDM1_CPA))))</f>
        <v>0</v>
      </c>
      <c r="H927">
        <f>IMSUM(IMDIV("1",COMPLEX(CX1_ESR,B927*CX1_ESL-1/(B927*CX1_C))),IMDIV("1",IMSUM(COMPLEX(DUMP1_R,0),COMPLEX(DUMP1_ESR,B927*DUMP1_ESL-1/(B927*DUMP1_C)))))</f>
        <v>0</v>
      </c>
      <c r="I927">
        <f>IMPRODUCT("2",IMDIV("1",IMSUM(IMDIV("1",COMPLEX(LDM2_DCR,B927*LDM2_L)),COMPLEX(0,B927*LDM2_CPA))))</f>
        <v>0</v>
      </c>
      <c r="J927">
        <f>IMSUM(IMDIV("1",COMPLEX(CX2_ESR,B927*CX2_ESL-1/(B927*CX2_C))),IMDIV("1",IMSUM(COMPLEX(DUMP2_R,0),COMPLEX(DUMP2_ESR,B927*DUMP2_ESL-1/(B927*DUMP2_C)))))</f>
        <v>0</v>
      </c>
      <c r="K927">
        <f>IMPRODUCT("2",IMDIV("1",IMSUM(IMDIV("1",COMPLEX(CMC_DCR,B927*CMC_L*(1-CMC_K))),COMPLEX(0,B927*CMC_CPA))))</f>
        <v>0</v>
      </c>
      <c r="L927">
        <f>IMSUM(COMPLEX(0,B927*CMC_CLINE),IMDIV("1",IMPRODUCT("2",COMPLEX(CY_ESR,B927*CY_ESL-1/(B927*CY_C)))),COMPLEX(1/DUMMY_R,0))</f>
        <v>0</v>
      </c>
      <c r="M927">
        <f>IMSUM(D927,IMDIV("1",C927))</f>
        <v>0</v>
      </c>
      <c r="N927">
        <f>IMDIV("1",IMSUM(E927,IMDIV("1",M927)))</f>
        <v>0</v>
      </c>
      <c r="O927">
        <f>IMSUM(F927,N927)</f>
        <v>0</v>
      </c>
      <c r="P927">
        <f>IMDIV("1",IMSUM(G927,IMDIV("1",O927)))</f>
        <v>0</v>
      </c>
      <c r="Q927">
        <f>IMSUM(H927,P927)</f>
        <v>0</v>
      </c>
      <c r="R927">
        <f>IMDIV("1",IMSUM(I927,IMDIV("1",Q927)))</f>
        <v>0</v>
      </c>
      <c r="S927">
        <f>IMSUM(J927,R927)</f>
        <v>0</v>
      </c>
      <c r="T927">
        <f>IMDIV("1",IMSUM(K927,IMDIV("1",S927)))</f>
        <v>0</v>
      </c>
      <c r="U927">
        <f>IMSUM(L927,T927)</f>
        <v>0</v>
      </c>
      <c r="V927">
        <f>IMDIV(COMPLEX(I_DM_SOURCE,0),U927)</f>
        <v>0</v>
      </c>
      <c r="W927">
        <f>IMPRODUCT(V927,T927)</f>
        <v>0</v>
      </c>
      <c r="X927">
        <f>IMDIV(W927,S927)</f>
        <v>0</v>
      </c>
      <c r="Y927">
        <f>IMPRODUCT(X927,R927)</f>
        <v>0</v>
      </c>
      <c r="Z927">
        <f>IMDIV(Y927,Q927)</f>
        <v>0</v>
      </c>
      <c r="AA927">
        <f>IMPRODUCT(Z927,P927)</f>
        <v>0</v>
      </c>
      <c r="AB927">
        <f>AA927</f>
        <v>0</v>
      </c>
      <c r="AC927">
        <f>IMPRODUCT("-1",AB927)</f>
        <v>0</v>
      </c>
      <c r="AD927">
        <f>IMDIV(IMSUB(AB927,AC927),"2")</f>
        <v>0</v>
      </c>
      <c r="AE927" s="6">
        <f>IMABS(AB927)</f>
        <v>0</v>
      </c>
      <c r="AF927" s="6">
        <f>IMABS(AC927)</f>
        <v>0</v>
      </c>
      <c r="AG927" s="6">
        <f>IMABS(AD927)</f>
        <v>0</v>
      </c>
      <c r="AH927" s="7">
        <f>20*LOG10(MAX(AE927,1E-300)*1E6)</f>
        <v>0</v>
      </c>
      <c r="AI927" s="7">
        <f>20*LOG10(MAX(AF927,1E-300)*1E6)</f>
        <v>0</v>
      </c>
      <c r="AJ927" s="7">
        <f>20*LOG10(MAX(AG927,1E-300)*1E6)</f>
        <v>0</v>
      </c>
      <c r="AK927" s="7">
        <f>DEGREES(IMARGUMENT(AB927))</f>
        <v>0</v>
      </c>
      <c r="AL927" s="7">
        <f>DEGREES(IMARGUMENT(AC927))</f>
        <v>0</v>
      </c>
      <c r="AM927" s="7">
        <f>DEGREES(IMARGUMENT(AD927))</f>
        <v>0</v>
      </c>
    </row>
    <row r="928" spans="1:39">
      <c r="A928" s="6">
        <f>10^(LOG10(F_START)+(ROW()-ROW($A$2))*(LOG10(F_STOP)-LOG10(F_START))/(N_POINTS-1))</f>
        <v>0</v>
      </c>
      <c r="B928" s="6">
        <f>2*PI()*A928</f>
        <v>0</v>
      </c>
      <c r="C928">
        <f>COMPLEX(2*LINE_PS_DCR,2*B928*LINE_PS_L)</f>
        <v>0</v>
      </c>
      <c r="D928">
        <f>IMSUM(COMPLEX(0,B928*(LINE_PS_CLINE+LINE_PS_CCHA/2)),IMDIV("1",IMPRODUCT("2",COMPLEX(C_THROUGH_ESR,B928*C_THROUGH_ESL-1/(B928*C_THROUGH_C)))))</f>
        <v>0</v>
      </c>
      <c r="E928">
        <f>COMPLEX(2*LINE_INPUT_DCR,2*B928*LINE_INPUT_L)</f>
        <v>0</v>
      </c>
      <c r="F928">
        <f>COMPLEX(0,B928*(LINE_INPUT_CLINE+LINE_INPUT_CCHA/2))</f>
        <v>0</v>
      </c>
      <c r="G928">
        <f>IMPRODUCT("2",IMDIV("1",IMSUM(IMDIV("1",COMPLEX(LDM1_DCR,B928*LDM1_L)),COMPLEX(0,B928*LDM1_CPA))))</f>
        <v>0</v>
      </c>
      <c r="H928">
        <f>IMSUM(IMDIV("1",COMPLEX(CX1_ESR,B928*CX1_ESL-1/(B928*CX1_C))),IMDIV("1",IMSUM(COMPLEX(DUMP1_R,0),COMPLEX(DUMP1_ESR,B928*DUMP1_ESL-1/(B928*DUMP1_C)))))</f>
        <v>0</v>
      </c>
      <c r="I928">
        <f>IMPRODUCT("2",IMDIV("1",IMSUM(IMDIV("1",COMPLEX(LDM2_DCR,B928*LDM2_L)),COMPLEX(0,B928*LDM2_CPA))))</f>
        <v>0</v>
      </c>
      <c r="J928">
        <f>IMSUM(IMDIV("1",COMPLEX(CX2_ESR,B928*CX2_ESL-1/(B928*CX2_C))),IMDIV("1",IMSUM(COMPLEX(DUMP2_R,0),COMPLEX(DUMP2_ESR,B928*DUMP2_ESL-1/(B928*DUMP2_C)))))</f>
        <v>0</v>
      </c>
      <c r="K928">
        <f>IMPRODUCT("2",IMDIV("1",IMSUM(IMDIV("1",COMPLEX(CMC_DCR,B928*CMC_L*(1-CMC_K))),COMPLEX(0,B928*CMC_CPA))))</f>
        <v>0</v>
      </c>
      <c r="L928">
        <f>IMSUM(COMPLEX(0,B928*CMC_CLINE),IMDIV("1",IMPRODUCT("2",COMPLEX(CY_ESR,B928*CY_ESL-1/(B928*CY_C)))),COMPLEX(1/DUMMY_R,0))</f>
        <v>0</v>
      </c>
      <c r="M928">
        <f>IMSUM(D928,IMDIV("1",C928))</f>
        <v>0</v>
      </c>
      <c r="N928">
        <f>IMDIV("1",IMSUM(E928,IMDIV("1",M928)))</f>
        <v>0</v>
      </c>
      <c r="O928">
        <f>IMSUM(F928,N928)</f>
        <v>0</v>
      </c>
      <c r="P928">
        <f>IMDIV("1",IMSUM(G928,IMDIV("1",O928)))</f>
        <v>0</v>
      </c>
      <c r="Q928">
        <f>IMSUM(H928,P928)</f>
        <v>0</v>
      </c>
      <c r="R928">
        <f>IMDIV("1",IMSUM(I928,IMDIV("1",Q928)))</f>
        <v>0</v>
      </c>
      <c r="S928">
        <f>IMSUM(J928,R928)</f>
        <v>0</v>
      </c>
      <c r="T928">
        <f>IMDIV("1",IMSUM(K928,IMDIV("1",S928)))</f>
        <v>0</v>
      </c>
      <c r="U928">
        <f>IMSUM(L928,T928)</f>
        <v>0</v>
      </c>
      <c r="V928">
        <f>IMDIV(COMPLEX(I_DM_SOURCE,0),U928)</f>
        <v>0</v>
      </c>
      <c r="W928">
        <f>IMPRODUCT(V928,T928)</f>
        <v>0</v>
      </c>
      <c r="X928">
        <f>IMDIV(W928,S928)</f>
        <v>0</v>
      </c>
      <c r="Y928">
        <f>IMPRODUCT(X928,R928)</f>
        <v>0</v>
      </c>
      <c r="Z928">
        <f>IMDIV(Y928,Q928)</f>
        <v>0</v>
      </c>
      <c r="AA928">
        <f>IMPRODUCT(Z928,P928)</f>
        <v>0</v>
      </c>
      <c r="AB928">
        <f>AA928</f>
        <v>0</v>
      </c>
      <c r="AC928">
        <f>IMPRODUCT("-1",AB928)</f>
        <v>0</v>
      </c>
      <c r="AD928">
        <f>IMDIV(IMSUB(AB928,AC928),"2")</f>
        <v>0</v>
      </c>
      <c r="AE928" s="6">
        <f>IMABS(AB928)</f>
        <v>0</v>
      </c>
      <c r="AF928" s="6">
        <f>IMABS(AC928)</f>
        <v>0</v>
      </c>
      <c r="AG928" s="6">
        <f>IMABS(AD928)</f>
        <v>0</v>
      </c>
      <c r="AH928" s="7">
        <f>20*LOG10(MAX(AE928,1E-300)*1E6)</f>
        <v>0</v>
      </c>
      <c r="AI928" s="7">
        <f>20*LOG10(MAX(AF928,1E-300)*1E6)</f>
        <v>0</v>
      </c>
      <c r="AJ928" s="7">
        <f>20*LOG10(MAX(AG928,1E-300)*1E6)</f>
        <v>0</v>
      </c>
      <c r="AK928" s="7">
        <f>DEGREES(IMARGUMENT(AB928))</f>
        <v>0</v>
      </c>
      <c r="AL928" s="7">
        <f>DEGREES(IMARGUMENT(AC928))</f>
        <v>0</v>
      </c>
      <c r="AM928" s="7">
        <f>DEGREES(IMARGUMENT(AD928))</f>
        <v>0</v>
      </c>
    </row>
    <row r="929" spans="1:39">
      <c r="A929" s="6">
        <f>10^(LOG10(F_START)+(ROW()-ROW($A$2))*(LOG10(F_STOP)-LOG10(F_START))/(N_POINTS-1))</f>
        <v>0</v>
      </c>
      <c r="B929" s="6">
        <f>2*PI()*A929</f>
        <v>0</v>
      </c>
      <c r="C929">
        <f>COMPLEX(2*LINE_PS_DCR,2*B929*LINE_PS_L)</f>
        <v>0</v>
      </c>
      <c r="D929">
        <f>IMSUM(COMPLEX(0,B929*(LINE_PS_CLINE+LINE_PS_CCHA/2)),IMDIV("1",IMPRODUCT("2",COMPLEX(C_THROUGH_ESR,B929*C_THROUGH_ESL-1/(B929*C_THROUGH_C)))))</f>
        <v>0</v>
      </c>
      <c r="E929">
        <f>COMPLEX(2*LINE_INPUT_DCR,2*B929*LINE_INPUT_L)</f>
        <v>0</v>
      </c>
      <c r="F929">
        <f>COMPLEX(0,B929*(LINE_INPUT_CLINE+LINE_INPUT_CCHA/2))</f>
        <v>0</v>
      </c>
      <c r="G929">
        <f>IMPRODUCT("2",IMDIV("1",IMSUM(IMDIV("1",COMPLEX(LDM1_DCR,B929*LDM1_L)),COMPLEX(0,B929*LDM1_CPA))))</f>
        <v>0</v>
      </c>
      <c r="H929">
        <f>IMSUM(IMDIV("1",COMPLEX(CX1_ESR,B929*CX1_ESL-1/(B929*CX1_C))),IMDIV("1",IMSUM(COMPLEX(DUMP1_R,0),COMPLEX(DUMP1_ESR,B929*DUMP1_ESL-1/(B929*DUMP1_C)))))</f>
        <v>0</v>
      </c>
      <c r="I929">
        <f>IMPRODUCT("2",IMDIV("1",IMSUM(IMDIV("1",COMPLEX(LDM2_DCR,B929*LDM2_L)),COMPLEX(0,B929*LDM2_CPA))))</f>
        <v>0</v>
      </c>
      <c r="J929">
        <f>IMSUM(IMDIV("1",COMPLEX(CX2_ESR,B929*CX2_ESL-1/(B929*CX2_C))),IMDIV("1",IMSUM(COMPLEX(DUMP2_R,0),COMPLEX(DUMP2_ESR,B929*DUMP2_ESL-1/(B929*DUMP2_C)))))</f>
        <v>0</v>
      </c>
      <c r="K929">
        <f>IMPRODUCT("2",IMDIV("1",IMSUM(IMDIV("1",COMPLEX(CMC_DCR,B929*CMC_L*(1-CMC_K))),COMPLEX(0,B929*CMC_CPA))))</f>
        <v>0</v>
      </c>
      <c r="L929">
        <f>IMSUM(COMPLEX(0,B929*CMC_CLINE),IMDIV("1",IMPRODUCT("2",COMPLEX(CY_ESR,B929*CY_ESL-1/(B929*CY_C)))),COMPLEX(1/DUMMY_R,0))</f>
        <v>0</v>
      </c>
      <c r="M929">
        <f>IMSUM(D929,IMDIV("1",C929))</f>
        <v>0</v>
      </c>
      <c r="N929">
        <f>IMDIV("1",IMSUM(E929,IMDIV("1",M929)))</f>
        <v>0</v>
      </c>
      <c r="O929">
        <f>IMSUM(F929,N929)</f>
        <v>0</v>
      </c>
      <c r="P929">
        <f>IMDIV("1",IMSUM(G929,IMDIV("1",O929)))</f>
        <v>0</v>
      </c>
      <c r="Q929">
        <f>IMSUM(H929,P929)</f>
        <v>0</v>
      </c>
      <c r="R929">
        <f>IMDIV("1",IMSUM(I929,IMDIV("1",Q929)))</f>
        <v>0</v>
      </c>
      <c r="S929">
        <f>IMSUM(J929,R929)</f>
        <v>0</v>
      </c>
      <c r="T929">
        <f>IMDIV("1",IMSUM(K929,IMDIV("1",S929)))</f>
        <v>0</v>
      </c>
      <c r="U929">
        <f>IMSUM(L929,T929)</f>
        <v>0</v>
      </c>
      <c r="V929">
        <f>IMDIV(COMPLEX(I_DM_SOURCE,0),U929)</f>
        <v>0</v>
      </c>
      <c r="W929">
        <f>IMPRODUCT(V929,T929)</f>
        <v>0</v>
      </c>
      <c r="X929">
        <f>IMDIV(W929,S929)</f>
        <v>0</v>
      </c>
      <c r="Y929">
        <f>IMPRODUCT(X929,R929)</f>
        <v>0</v>
      </c>
      <c r="Z929">
        <f>IMDIV(Y929,Q929)</f>
        <v>0</v>
      </c>
      <c r="AA929">
        <f>IMPRODUCT(Z929,P929)</f>
        <v>0</v>
      </c>
      <c r="AB929">
        <f>AA929</f>
        <v>0</v>
      </c>
      <c r="AC929">
        <f>IMPRODUCT("-1",AB929)</f>
        <v>0</v>
      </c>
      <c r="AD929">
        <f>IMDIV(IMSUB(AB929,AC929),"2")</f>
        <v>0</v>
      </c>
      <c r="AE929" s="6">
        <f>IMABS(AB929)</f>
        <v>0</v>
      </c>
      <c r="AF929" s="6">
        <f>IMABS(AC929)</f>
        <v>0</v>
      </c>
      <c r="AG929" s="6">
        <f>IMABS(AD929)</f>
        <v>0</v>
      </c>
      <c r="AH929" s="7">
        <f>20*LOG10(MAX(AE929,1E-300)*1E6)</f>
        <v>0</v>
      </c>
      <c r="AI929" s="7">
        <f>20*LOG10(MAX(AF929,1E-300)*1E6)</f>
        <v>0</v>
      </c>
      <c r="AJ929" s="7">
        <f>20*LOG10(MAX(AG929,1E-300)*1E6)</f>
        <v>0</v>
      </c>
      <c r="AK929" s="7">
        <f>DEGREES(IMARGUMENT(AB929))</f>
        <v>0</v>
      </c>
      <c r="AL929" s="7">
        <f>DEGREES(IMARGUMENT(AC929))</f>
        <v>0</v>
      </c>
      <c r="AM929" s="7">
        <f>DEGREES(IMARGUMENT(AD929))</f>
        <v>0</v>
      </c>
    </row>
    <row r="930" spans="1:39">
      <c r="A930" s="6">
        <f>10^(LOG10(F_START)+(ROW()-ROW($A$2))*(LOG10(F_STOP)-LOG10(F_START))/(N_POINTS-1))</f>
        <v>0</v>
      </c>
      <c r="B930" s="6">
        <f>2*PI()*A930</f>
        <v>0</v>
      </c>
      <c r="C930">
        <f>COMPLEX(2*LINE_PS_DCR,2*B930*LINE_PS_L)</f>
        <v>0</v>
      </c>
      <c r="D930">
        <f>IMSUM(COMPLEX(0,B930*(LINE_PS_CLINE+LINE_PS_CCHA/2)),IMDIV("1",IMPRODUCT("2",COMPLEX(C_THROUGH_ESR,B930*C_THROUGH_ESL-1/(B930*C_THROUGH_C)))))</f>
        <v>0</v>
      </c>
      <c r="E930">
        <f>COMPLEX(2*LINE_INPUT_DCR,2*B930*LINE_INPUT_L)</f>
        <v>0</v>
      </c>
      <c r="F930">
        <f>COMPLEX(0,B930*(LINE_INPUT_CLINE+LINE_INPUT_CCHA/2))</f>
        <v>0</v>
      </c>
      <c r="G930">
        <f>IMPRODUCT("2",IMDIV("1",IMSUM(IMDIV("1",COMPLEX(LDM1_DCR,B930*LDM1_L)),COMPLEX(0,B930*LDM1_CPA))))</f>
        <v>0</v>
      </c>
      <c r="H930">
        <f>IMSUM(IMDIV("1",COMPLEX(CX1_ESR,B930*CX1_ESL-1/(B930*CX1_C))),IMDIV("1",IMSUM(COMPLEX(DUMP1_R,0),COMPLEX(DUMP1_ESR,B930*DUMP1_ESL-1/(B930*DUMP1_C)))))</f>
        <v>0</v>
      </c>
      <c r="I930">
        <f>IMPRODUCT("2",IMDIV("1",IMSUM(IMDIV("1",COMPLEX(LDM2_DCR,B930*LDM2_L)),COMPLEX(0,B930*LDM2_CPA))))</f>
        <v>0</v>
      </c>
      <c r="J930">
        <f>IMSUM(IMDIV("1",COMPLEX(CX2_ESR,B930*CX2_ESL-1/(B930*CX2_C))),IMDIV("1",IMSUM(COMPLEX(DUMP2_R,0),COMPLEX(DUMP2_ESR,B930*DUMP2_ESL-1/(B930*DUMP2_C)))))</f>
        <v>0</v>
      </c>
      <c r="K930">
        <f>IMPRODUCT("2",IMDIV("1",IMSUM(IMDIV("1",COMPLEX(CMC_DCR,B930*CMC_L*(1-CMC_K))),COMPLEX(0,B930*CMC_CPA))))</f>
        <v>0</v>
      </c>
      <c r="L930">
        <f>IMSUM(COMPLEX(0,B930*CMC_CLINE),IMDIV("1",IMPRODUCT("2",COMPLEX(CY_ESR,B930*CY_ESL-1/(B930*CY_C)))),COMPLEX(1/DUMMY_R,0))</f>
        <v>0</v>
      </c>
      <c r="M930">
        <f>IMSUM(D930,IMDIV("1",C930))</f>
        <v>0</v>
      </c>
      <c r="N930">
        <f>IMDIV("1",IMSUM(E930,IMDIV("1",M930)))</f>
        <v>0</v>
      </c>
      <c r="O930">
        <f>IMSUM(F930,N930)</f>
        <v>0</v>
      </c>
      <c r="P930">
        <f>IMDIV("1",IMSUM(G930,IMDIV("1",O930)))</f>
        <v>0</v>
      </c>
      <c r="Q930">
        <f>IMSUM(H930,P930)</f>
        <v>0</v>
      </c>
      <c r="R930">
        <f>IMDIV("1",IMSUM(I930,IMDIV("1",Q930)))</f>
        <v>0</v>
      </c>
      <c r="S930">
        <f>IMSUM(J930,R930)</f>
        <v>0</v>
      </c>
      <c r="T930">
        <f>IMDIV("1",IMSUM(K930,IMDIV("1",S930)))</f>
        <v>0</v>
      </c>
      <c r="U930">
        <f>IMSUM(L930,T930)</f>
        <v>0</v>
      </c>
      <c r="V930">
        <f>IMDIV(COMPLEX(I_DM_SOURCE,0),U930)</f>
        <v>0</v>
      </c>
      <c r="W930">
        <f>IMPRODUCT(V930,T930)</f>
        <v>0</v>
      </c>
      <c r="X930">
        <f>IMDIV(W930,S930)</f>
        <v>0</v>
      </c>
      <c r="Y930">
        <f>IMPRODUCT(X930,R930)</f>
        <v>0</v>
      </c>
      <c r="Z930">
        <f>IMDIV(Y930,Q930)</f>
        <v>0</v>
      </c>
      <c r="AA930">
        <f>IMPRODUCT(Z930,P930)</f>
        <v>0</v>
      </c>
      <c r="AB930">
        <f>AA930</f>
        <v>0</v>
      </c>
      <c r="AC930">
        <f>IMPRODUCT("-1",AB930)</f>
        <v>0</v>
      </c>
      <c r="AD930">
        <f>IMDIV(IMSUB(AB930,AC930),"2")</f>
        <v>0</v>
      </c>
      <c r="AE930" s="6">
        <f>IMABS(AB930)</f>
        <v>0</v>
      </c>
      <c r="AF930" s="6">
        <f>IMABS(AC930)</f>
        <v>0</v>
      </c>
      <c r="AG930" s="6">
        <f>IMABS(AD930)</f>
        <v>0</v>
      </c>
      <c r="AH930" s="7">
        <f>20*LOG10(MAX(AE930,1E-300)*1E6)</f>
        <v>0</v>
      </c>
      <c r="AI930" s="7">
        <f>20*LOG10(MAX(AF930,1E-300)*1E6)</f>
        <v>0</v>
      </c>
      <c r="AJ930" s="7">
        <f>20*LOG10(MAX(AG930,1E-300)*1E6)</f>
        <v>0</v>
      </c>
      <c r="AK930" s="7">
        <f>DEGREES(IMARGUMENT(AB930))</f>
        <v>0</v>
      </c>
      <c r="AL930" s="7">
        <f>DEGREES(IMARGUMENT(AC930))</f>
        <v>0</v>
      </c>
      <c r="AM930" s="7">
        <f>DEGREES(IMARGUMENT(AD930))</f>
        <v>0</v>
      </c>
    </row>
    <row r="931" spans="1:39">
      <c r="A931" s="6">
        <f>10^(LOG10(F_START)+(ROW()-ROW($A$2))*(LOG10(F_STOP)-LOG10(F_START))/(N_POINTS-1))</f>
        <v>0</v>
      </c>
      <c r="B931" s="6">
        <f>2*PI()*A931</f>
        <v>0</v>
      </c>
      <c r="C931">
        <f>COMPLEX(2*LINE_PS_DCR,2*B931*LINE_PS_L)</f>
        <v>0</v>
      </c>
      <c r="D931">
        <f>IMSUM(COMPLEX(0,B931*(LINE_PS_CLINE+LINE_PS_CCHA/2)),IMDIV("1",IMPRODUCT("2",COMPLEX(C_THROUGH_ESR,B931*C_THROUGH_ESL-1/(B931*C_THROUGH_C)))))</f>
        <v>0</v>
      </c>
      <c r="E931">
        <f>COMPLEX(2*LINE_INPUT_DCR,2*B931*LINE_INPUT_L)</f>
        <v>0</v>
      </c>
      <c r="F931">
        <f>COMPLEX(0,B931*(LINE_INPUT_CLINE+LINE_INPUT_CCHA/2))</f>
        <v>0</v>
      </c>
      <c r="G931">
        <f>IMPRODUCT("2",IMDIV("1",IMSUM(IMDIV("1",COMPLEX(LDM1_DCR,B931*LDM1_L)),COMPLEX(0,B931*LDM1_CPA))))</f>
        <v>0</v>
      </c>
      <c r="H931">
        <f>IMSUM(IMDIV("1",COMPLEX(CX1_ESR,B931*CX1_ESL-1/(B931*CX1_C))),IMDIV("1",IMSUM(COMPLEX(DUMP1_R,0),COMPLEX(DUMP1_ESR,B931*DUMP1_ESL-1/(B931*DUMP1_C)))))</f>
        <v>0</v>
      </c>
      <c r="I931">
        <f>IMPRODUCT("2",IMDIV("1",IMSUM(IMDIV("1",COMPLEX(LDM2_DCR,B931*LDM2_L)),COMPLEX(0,B931*LDM2_CPA))))</f>
        <v>0</v>
      </c>
      <c r="J931">
        <f>IMSUM(IMDIV("1",COMPLEX(CX2_ESR,B931*CX2_ESL-1/(B931*CX2_C))),IMDIV("1",IMSUM(COMPLEX(DUMP2_R,0),COMPLEX(DUMP2_ESR,B931*DUMP2_ESL-1/(B931*DUMP2_C)))))</f>
        <v>0</v>
      </c>
      <c r="K931">
        <f>IMPRODUCT("2",IMDIV("1",IMSUM(IMDIV("1",COMPLEX(CMC_DCR,B931*CMC_L*(1-CMC_K))),COMPLEX(0,B931*CMC_CPA))))</f>
        <v>0</v>
      </c>
      <c r="L931">
        <f>IMSUM(COMPLEX(0,B931*CMC_CLINE),IMDIV("1",IMPRODUCT("2",COMPLEX(CY_ESR,B931*CY_ESL-1/(B931*CY_C)))),COMPLEX(1/DUMMY_R,0))</f>
        <v>0</v>
      </c>
      <c r="M931">
        <f>IMSUM(D931,IMDIV("1",C931))</f>
        <v>0</v>
      </c>
      <c r="N931">
        <f>IMDIV("1",IMSUM(E931,IMDIV("1",M931)))</f>
        <v>0</v>
      </c>
      <c r="O931">
        <f>IMSUM(F931,N931)</f>
        <v>0</v>
      </c>
      <c r="P931">
        <f>IMDIV("1",IMSUM(G931,IMDIV("1",O931)))</f>
        <v>0</v>
      </c>
      <c r="Q931">
        <f>IMSUM(H931,P931)</f>
        <v>0</v>
      </c>
      <c r="R931">
        <f>IMDIV("1",IMSUM(I931,IMDIV("1",Q931)))</f>
        <v>0</v>
      </c>
      <c r="S931">
        <f>IMSUM(J931,R931)</f>
        <v>0</v>
      </c>
      <c r="T931">
        <f>IMDIV("1",IMSUM(K931,IMDIV("1",S931)))</f>
        <v>0</v>
      </c>
      <c r="U931">
        <f>IMSUM(L931,T931)</f>
        <v>0</v>
      </c>
      <c r="V931">
        <f>IMDIV(COMPLEX(I_DM_SOURCE,0),U931)</f>
        <v>0</v>
      </c>
      <c r="W931">
        <f>IMPRODUCT(V931,T931)</f>
        <v>0</v>
      </c>
      <c r="X931">
        <f>IMDIV(W931,S931)</f>
        <v>0</v>
      </c>
      <c r="Y931">
        <f>IMPRODUCT(X931,R931)</f>
        <v>0</v>
      </c>
      <c r="Z931">
        <f>IMDIV(Y931,Q931)</f>
        <v>0</v>
      </c>
      <c r="AA931">
        <f>IMPRODUCT(Z931,P931)</f>
        <v>0</v>
      </c>
      <c r="AB931">
        <f>AA931</f>
        <v>0</v>
      </c>
      <c r="AC931">
        <f>IMPRODUCT("-1",AB931)</f>
        <v>0</v>
      </c>
      <c r="AD931">
        <f>IMDIV(IMSUB(AB931,AC931),"2")</f>
        <v>0</v>
      </c>
      <c r="AE931" s="6">
        <f>IMABS(AB931)</f>
        <v>0</v>
      </c>
      <c r="AF931" s="6">
        <f>IMABS(AC931)</f>
        <v>0</v>
      </c>
      <c r="AG931" s="6">
        <f>IMABS(AD931)</f>
        <v>0</v>
      </c>
      <c r="AH931" s="7">
        <f>20*LOG10(MAX(AE931,1E-300)*1E6)</f>
        <v>0</v>
      </c>
      <c r="AI931" s="7">
        <f>20*LOG10(MAX(AF931,1E-300)*1E6)</f>
        <v>0</v>
      </c>
      <c r="AJ931" s="7">
        <f>20*LOG10(MAX(AG931,1E-300)*1E6)</f>
        <v>0</v>
      </c>
      <c r="AK931" s="7">
        <f>DEGREES(IMARGUMENT(AB931))</f>
        <v>0</v>
      </c>
      <c r="AL931" s="7">
        <f>DEGREES(IMARGUMENT(AC931))</f>
        <v>0</v>
      </c>
      <c r="AM931" s="7">
        <f>DEGREES(IMARGUMENT(AD931))</f>
        <v>0</v>
      </c>
    </row>
    <row r="932" spans="1:39">
      <c r="A932" s="6">
        <f>10^(LOG10(F_START)+(ROW()-ROW($A$2))*(LOG10(F_STOP)-LOG10(F_START))/(N_POINTS-1))</f>
        <v>0</v>
      </c>
      <c r="B932" s="6">
        <f>2*PI()*A932</f>
        <v>0</v>
      </c>
      <c r="C932">
        <f>COMPLEX(2*LINE_PS_DCR,2*B932*LINE_PS_L)</f>
        <v>0</v>
      </c>
      <c r="D932">
        <f>IMSUM(COMPLEX(0,B932*(LINE_PS_CLINE+LINE_PS_CCHA/2)),IMDIV("1",IMPRODUCT("2",COMPLEX(C_THROUGH_ESR,B932*C_THROUGH_ESL-1/(B932*C_THROUGH_C)))))</f>
        <v>0</v>
      </c>
      <c r="E932">
        <f>COMPLEX(2*LINE_INPUT_DCR,2*B932*LINE_INPUT_L)</f>
        <v>0</v>
      </c>
      <c r="F932">
        <f>COMPLEX(0,B932*(LINE_INPUT_CLINE+LINE_INPUT_CCHA/2))</f>
        <v>0</v>
      </c>
      <c r="G932">
        <f>IMPRODUCT("2",IMDIV("1",IMSUM(IMDIV("1",COMPLEX(LDM1_DCR,B932*LDM1_L)),COMPLEX(0,B932*LDM1_CPA))))</f>
        <v>0</v>
      </c>
      <c r="H932">
        <f>IMSUM(IMDIV("1",COMPLEX(CX1_ESR,B932*CX1_ESL-1/(B932*CX1_C))),IMDIV("1",IMSUM(COMPLEX(DUMP1_R,0),COMPLEX(DUMP1_ESR,B932*DUMP1_ESL-1/(B932*DUMP1_C)))))</f>
        <v>0</v>
      </c>
      <c r="I932">
        <f>IMPRODUCT("2",IMDIV("1",IMSUM(IMDIV("1",COMPLEX(LDM2_DCR,B932*LDM2_L)),COMPLEX(0,B932*LDM2_CPA))))</f>
        <v>0</v>
      </c>
      <c r="J932">
        <f>IMSUM(IMDIV("1",COMPLEX(CX2_ESR,B932*CX2_ESL-1/(B932*CX2_C))),IMDIV("1",IMSUM(COMPLEX(DUMP2_R,0),COMPLEX(DUMP2_ESR,B932*DUMP2_ESL-1/(B932*DUMP2_C)))))</f>
        <v>0</v>
      </c>
      <c r="K932">
        <f>IMPRODUCT("2",IMDIV("1",IMSUM(IMDIV("1",COMPLEX(CMC_DCR,B932*CMC_L*(1-CMC_K))),COMPLEX(0,B932*CMC_CPA))))</f>
        <v>0</v>
      </c>
      <c r="L932">
        <f>IMSUM(COMPLEX(0,B932*CMC_CLINE),IMDIV("1",IMPRODUCT("2",COMPLEX(CY_ESR,B932*CY_ESL-1/(B932*CY_C)))),COMPLEX(1/DUMMY_R,0))</f>
        <v>0</v>
      </c>
      <c r="M932">
        <f>IMSUM(D932,IMDIV("1",C932))</f>
        <v>0</v>
      </c>
      <c r="N932">
        <f>IMDIV("1",IMSUM(E932,IMDIV("1",M932)))</f>
        <v>0</v>
      </c>
      <c r="O932">
        <f>IMSUM(F932,N932)</f>
        <v>0</v>
      </c>
      <c r="P932">
        <f>IMDIV("1",IMSUM(G932,IMDIV("1",O932)))</f>
        <v>0</v>
      </c>
      <c r="Q932">
        <f>IMSUM(H932,P932)</f>
        <v>0</v>
      </c>
      <c r="R932">
        <f>IMDIV("1",IMSUM(I932,IMDIV("1",Q932)))</f>
        <v>0</v>
      </c>
      <c r="S932">
        <f>IMSUM(J932,R932)</f>
        <v>0</v>
      </c>
      <c r="T932">
        <f>IMDIV("1",IMSUM(K932,IMDIV("1",S932)))</f>
        <v>0</v>
      </c>
      <c r="U932">
        <f>IMSUM(L932,T932)</f>
        <v>0</v>
      </c>
      <c r="V932">
        <f>IMDIV(COMPLEX(I_DM_SOURCE,0),U932)</f>
        <v>0</v>
      </c>
      <c r="W932">
        <f>IMPRODUCT(V932,T932)</f>
        <v>0</v>
      </c>
      <c r="X932">
        <f>IMDIV(W932,S932)</f>
        <v>0</v>
      </c>
      <c r="Y932">
        <f>IMPRODUCT(X932,R932)</f>
        <v>0</v>
      </c>
      <c r="Z932">
        <f>IMDIV(Y932,Q932)</f>
        <v>0</v>
      </c>
      <c r="AA932">
        <f>IMPRODUCT(Z932,P932)</f>
        <v>0</v>
      </c>
      <c r="AB932">
        <f>AA932</f>
        <v>0</v>
      </c>
      <c r="AC932">
        <f>IMPRODUCT("-1",AB932)</f>
        <v>0</v>
      </c>
      <c r="AD932">
        <f>IMDIV(IMSUB(AB932,AC932),"2")</f>
        <v>0</v>
      </c>
      <c r="AE932" s="6">
        <f>IMABS(AB932)</f>
        <v>0</v>
      </c>
      <c r="AF932" s="6">
        <f>IMABS(AC932)</f>
        <v>0</v>
      </c>
      <c r="AG932" s="6">
        <f>IMABS(AD932)</f>
        <v>0</v>
      </c>
      <c r="AH932" s="7">
        <f>20*LOG10(MAX(AE932,1E-300)*1E6)</f>
        <v>0</v>
      </c>
      <c r="AI932" s="7">
        <f>20*LOG10(MAX(AF932,1E-300)*1E6)</f>
        <v>0</v>
      </c>
      <c r="AJ932" s="7">
        <f>20*LOG10(MAX(AG932,1E-300)*1E6)</f>
        <v>0</v>
      </c>
      <c r="AK932" s="7">
        <f>DEGREES(IMARGUMENT(AB932))</f>
        <v>0</v>
      </c>
      <c r="AL932" s="7">
        <f>DEGREES(IMARGUMENT(AC932))</f>
        <v>0</v>
      </c>
      <c r="AM932" s="7">
        <f>DEGREES(IMARGUMENT(AD932))</f>
        <v>0</v>
      </c>
    </row>
    <row r="933" spans="1:39">
      <c r="A933" s="6">
        <f>10^(LOG10(F_START)+(ROW()-ROW($A$2))*(LOG10(F_STOP)-LOG10(F_START))/(N_POINTS-1))</f>
        <v>0</v>
      </c>
      <c r="B933" s="6">
        <f>2*PI()*A933</f>
        <v>0</v>
      </c>
      <c r="C933">
        <f>COMPLEX(2*LINE_PS_DCR,2*B933*LINE_PS_L)</f>
        <v>0</v>
      </c>
      <c r="D933">
        <f>IMSUM(COMPLEX(0,B933*(LINE_PS_CLINE+LINE_PS_CCHA/2)),IMDIV("1",IMPRODUCT("2",COMPLEX(C_THROUGH_ESR,B933*C_THROUGH_ESL-1/(B933*C_THROUGH_C)))))</f>
        <v>0</v>
      </c>
      <c r="E933">
        <f>COMPLEX(2*LINE_INPUT_DCR,2*B933*LINE_INPUT_L)</f>
        <v>0</v>
      </c>
      <c r="F933">
        <f>COMPLEX(0,B933*(LINE_INPUT_CLINE+LINE_INPUT_CCHA/2))</f>
        <v>0</v>
      </c>
      <c r="G933">
        <f>IMPRODUCT("2",IMDIV("1",IMSUM(IMDIV("1",COMPLEX(LDM1_DCR,B933*LDM1_L)),COMPLEX(0,B933*LDM1_CPA))))</f>
        <v>0</v>
      </c>
      <c r="H933">
        <f>IMSUM(IMDIV("1",COMPLEX(CX1_ESR,B933*CX1_ESL-1/(B933*CX1_C))),IMDIV("1",IMSUM(COMPLEX(DUMP1_R,0),COMPLEX(DUMP1_ESR,B933*DUMP1_ESL-1/(B933*DUMP1_C)))))</f>
        <v>0</v>
      </c>
      <c r="I933">
        <f>IMPRODUCT("2",IMDIV("1",IMSUM(IMDIV("1",COMPLEX(LDM2_DCR,B933*LDM2_L)),COMPLEX(0,B933*LDM2_CPA))))</f>
        <v>0</v>
      </c>
      <c r="J933">
        <f>IMSUM(IMDIV("1",COMPLEX(CX2_ESR,B933*CX2_ESL-1/(B933*CX2_C))),IMDIV("1",IMSUM(COMPLEX(DUMP2_R,0),COMPLEX(DUMP2_ESR,B933*DUMP2_ESL-1/(B933*DUMP2_C)))))</f>
        <v>0</v>
      </c>
      <c r="K933">
        <f>IMPRODUCT("2",IMDIV("1",IMSUM(IMDIV("1",COMPLEX(CMC_DCR,B933*CMC_L*(1-CMC_K))),COMPLEX(0,B933*CMC_CPA))))</f>
        <v>0</v>
      </c>
      <c r="L933">
        <f>IMSUM(COMPLEX(0,B933*CMC_CLINE),IMDIV("1",IMPRODUCT("2",COMPLEX(CY_ESR,B933*CY_ESL-1/(B933*CY_C)))),COMPLEX(1/DUMMY_R,0))</f>
        <v>0</v>
      </c>
      <c r="M933">
        <f>IMSUM(D933,IMDIV("1",C933))</f>
        <v>0</v>
      </c>
      <c r="N933">
        <f>IMDIV("1",IMSUM(E933,IMDIV("1",M933)))</f>
        <v>0</v>
      </c>
      <c r="O933">
        <f>IMSUM(F933,N933)</f>
        <v>0</v>
      </c>
      <c r="P933">
        <f>IMDIV("1",IMSUM(G933,IMDIV("1",O933)))</f>
        <v>0</v>
      </c>
      <c r="Q933">
        <f>IMSUM(H933,P933)</f>
        <v>0</v>
      </c>
      <c r="R933">
        <f>IMDIV("1",IMSUM(I933,IMDIV("1",Q933)))</f>
        <v>0</v>
      </c>
      <c r="S933">
        <f>IMSUM(J933,R933)</f>
        <v>0</v>
      </c>
      <c r="T933">
        <f>IMDIV("1",IMSUM(K933,IMDIV("1",S933)))</f>
        <v>0</v>
      </c>
      <c r="U933">
        <f>IMSUM(L933,T933)</f>
        <v>0</v>
      </c>
      <c r="V933">
        <f>IMDIV(COMPLEX(I_DM_SOURCE,0),U933)</f>
        <v>0</v>
      </c>
      <c r="W933">
        <f>IMPRODUCT(V933,T933)</f>
        <v>0</v>
      </c>
      <c r="X933">
        <f>IMDIV(W933,S933)</f>
        <v>0</v>
      </c>
      <c r="Y933">
        <f>IMPRODUCT(X933,R933)</f>
        <v>0</v>
      </c>
      <c r="Z933">
        <f>IMDIV(Y933,Q933)</f>
        <v>0</v>
      </c>
      <c r="AA933">
        <f>IMPRODUCT(Z933,P933)</f>
        <v>0</v>
      </c>
      <c r="AB933">
        <f>AA933</f>
        <v>0</v>
      </c>
      <c r="AC933">
        <f>IMPRODUCT("-1",AB933)</f>
        <v>0</v>
      </c>
      <c r="AD933">
        <f>IMDIV(IMSUB(AB933,AC933),"2")</f>
        <v>0</v>
      </c>
      <c r="AE933" s="6">
        <f>IMABS(AB933)</f>
        <v>0</v>
      </c>
      <c r="AF933" s="6">
        <f>IMABS(AC933)</f>
        <v>0</v>
      </c>
      <c r="AG933" s="6">
        <f>IMABS(AD933)</f>
        <v>0</v>
      </c>
      <c r="AH933" s="7">
        <f>20*LOG10(MAX(AE933,1E-300)*1E6)</f>
        <v>0</v>
      </c>
      <c r="AI933" s="7">
        <f>20*LOG10(MAX(AF933,1E-300)*1E6)</f>
        <v>0</v>
      </c>
      <c r="AJ933" s="7">
        <f>20*LOG10(MAX(AG933,1E-300)*1E6)</f>
        <v>0</v>
      </c>
      <c r="AK933" s="7">
        <f>DEGREES(IMARGUMENT(AB933))</f>
        <v>0</v>
      </c>
      <c r="AL933" s="7">
        <f>DEGREES(IMARGUMENT(AC933))</f>
        <v>0</v>
      </c>
      <c r="AM933" s="7">
        <f>DEGREES(IMARGUMENT(AD933))</f>
        <v>0</v>
      </c>
    </row>
    <row r="934" spans="1:39">
      <c r="A934" s="6">
        <f>10^(LOG10(F_START)+(ROW()-ROW($A$2))*(LOG10(F_STOP)-LOG10(F_START))/(N_POINTS-1))</f>
        <v>0</v>
      </c>
      <c r="B934" s="6">
        <f>2*PI()*A934</f>
        <v>0</v>
      </c>
      <c r="C934">
        <f>COMPLEX(2*LINE_PS_DCR,2*B934*LINE_PS_L)</f>
        <v>0</v>
      </c>
      <c r="D934">
        <f>IMSUM(COMPLEX(0,B934*(LINE_PS_CLINE+LINE_PS_CCHA/2)),IMDIV("1",IMPRODUCT("2",COMPLEX(C_THROUGH_ESR,B934*C_THROUGH_ESL-1/(B934*C_THROUGH_C)))))</f>
        <v>0</v>
      </c>
      <c r="E934">
        <f>COMPLEX(2*LINE_INPUT_DCR,2*B934*LINE_INPUT_L)</f>
        <v>0</v>
      </c>
      <c r="F934">
        <f>COMPLEX(0,B934*(LINE_INPUT_CLINE+LINE_INPUT_CCHA/2))</f>
        <v>0</v>
      </c>
      <c r="G934">
        <f>IMPRODUCT("2",IMDIV("1",IMSUM(IMDIV("1",COMPLEX(LDM1_DCR,B934*LDM1_L)),COMPLEX(0,B934*LDM1_CPA))))</f>
        <v>0</v>
      </c>
      <c r="H934">
        <f>IMSUM(IMDIV("1",COMPLEX(CX1_ESR,B934*CX1_ESL-1/(B934*CX1_C))),IMDIV("1",IMSUM(COMPLEX(DUMP1_R,0),COMPLEX(DUMP1_ESR,B934*DUMP1_ESL-1/(B934*DUMP1_C)))))</f>
        <v>0</v>
      </c>
      <c r="I934">
        <f>IMPRODUCT("2",IMDIV("1",IMSUM(IMDIV("1",COMPLEX(LDM2_DCR,B934*LDM2_L)),COMPLEX(0,B934*LDM2_CPA))))</f>
        <v>0</v>
      </c>
      <c r="J934">
        <f>IMSUM(IMDIV("1",COMPLEX(CX2_ESR,B934*CX2_ESL-1/(B934*CX2_C))),IMDIV("1",IMSUM(COMPLEX(DUMP2_R,0),COMPLEX(DUMP2_ESR,B934*DUMP2_ESL-1/(B934*DUMP2_C)))))</f>
        <v>0</v>
      </c>
      <c r="K934">
        <f>IMPRODUCT("2",IMDIV("1",IMSUM(IMDIV("1",COMPLEX(CMC_DCR,B934*CMC_L*(1-CMC_K))),COMPLEX(0,B934*CMC_CPA))))</f>
        <v>0</v>
      </c>
      <c r="L934">
        <f>IMSUM(COMPLEX(0,B934*CMC_CLINE),IMDIV("1",IMPRODUCT("2",COMPLEX(CY_ESR,B934*CY_ESL-1/(B934*CY_C)))),COMPLEX(1/DUMMY_R,0))</f>
        <v>0</v>
      </c>
      <c r="M934">
        <f>IMSUM(D934,IMDIV("1",C934))</f>
        <v>0</v>
      </c>
      <c r="N934">
        <f>IMDIV("1",IMSUM(E934,IMDIV("1",M934)))</f>
        <v>0</v>
      </c>
      <c r="O934">
        <f>IMSUM(F934,N934)</f>
        <v>0</v>
      </c>
      <c r="P934">
        <f>IMDIV("1",IMSUM(G934,IMDIV("1",O934)))</f>
        <v>0</v>
      </c>
      <c r="Q934">
        <f>IMSUM(H934,P934)</f>
        <v>0</v>
      </c>
      <c r="R934">
        <f>IMDIV("1",IMSUM(I934,IMDIV("1",Q934)))</f>
        <v>0</v>
      </c>
      <c r="S934">
        <f>IMSUM(J934,R934)</f>
        <v>0</v>
      </c>
      <c r="T934">
        <f>IMDIV("1",IMSUM(K934,IMDIV("1",S934)))</f>
        <v>0</v>
      </c>
      <c r="U934">
        <f>IMSUM(L934,T934)</f>
        <v>0</v>
      </c>
      <c r="V934">
        <f>IMDIV(COMPLEX(I_DM_SOURCE,0),U934)</f>
        <v>0</v>
      </c>
      <c r="W934">
        <f>IMPRODUCT(V934,T934)</f>
        <v>0</v>
      </c>
      <c r="X934">
        <f>IMDIV(W934,S934)</f>
        <v>0</v>
      </c>
      <c r="Y934">
        <f>IMPRODUCT(X934,R934)</f>
        <v>0</v>
      </c>
      <c r="Z934">
        <f>IMDIV(Y934,Q934)</f>
        <v>0</v>
      </c>
      <c r="AA934">
        <f>IMPRODUCT(Z934,P934)</f>
        <v>0</v>
      </c>
      <c r="AB934">
        <f>AA934</f>
        <v>0</v>
      </c>
      <c r="AC934">
        <f>IMPRODUCT("-1",AB934)</f>
        <v>0</v>
      </c>
      <c r="AD934">
        <f>IMDIV(IMSUB(AB934,AC934),"2")</f>
        <v>0</v>
      </c>
      <c r="AE934" s="6">
        <f>IMABS(AB934)</f>
        <v>0</v>
      </c>
      <c r="AF934" s="6">
        <f>IMABS(AC934)</f>
        <v>0</v>
      </c>
      <c r="AG934" s="6">
        <f>IMABS(AD934)</f>
        <v>0</v>
      </c>
      <c r="AH934" s="7">
        <f>20*LOG10(MAX(AE934,1E-300)*1E6)</f>
        <v>0</v>
      </c>
      <c r="AI934" s="7">
        <f>20*LOG10(MAX(AF934,1E-300)*1E6)</f>
        <v>0</v>
      </c>
      <c r="AJ934" s="7">
        <f>20*LOG10(MAX(AG934,1E-300)*1E6)</f>
        <v>0</v>
      </c>
      <c r="AK934" s="7">
        <f>DEGREES(IMARGUMENT(AB934))</f>
        <v>0</v>
      </c>
      <c r="AL934" s="7">
        <f>DEGREES(IMARGUMENT(AC934))</f>
        <v>0</v>
      </c>
      <c r="AM934" s="7">
        <f>DEGREES(IMARGUMENT(AD934))</f>
        <v>0</v>
      </c>
    </row>
    <row r="935" spans="1:39">
      <c r="A935" s="6">
        <f>10^(LOG10(F_START)+(ROW()-ROW($A$2))*(LOG10(F_STOP)-LOG10(F_START))/(N_POINTS-1))</f>
        <v>0</v>
      </c>
      <c r="B935" s="6">
        <f>2*PI()*A935</f>
        <v>0</v>
      </c>
      <c r="C935">
        <f>COMPLEX(2*LINE_PS_DCR,2*B935*LINE_PS_L)</f>
        <v>0</v>
      </c>
      <c r="D935">
        <f>IMSUM(COMPLEX(0,B935*(LINE_PS_CLINE+LINE_PS_CCHA/2)),IMDIV("1",IMPRODUCT("2",COMPLEX(C_THROUGH_ESR,B935*C_THROUGH_ESL-1/(B935*C_THROUGH_C)))))</f>
        <v>0</v>
      </c>
      <c r="E935">
        <f>COMPLEX(2*LINE_INPUT_DCR,2*B935*LINE_INPUT_L)</f>
        <v>0</v>
      </c>
      <c r="F935">
        <f>COMPLEX(0,B935*(LINE_INPUT_CLINE+LINE_INPUT_CCHA/2))</f>
        <v>0</v>
      </c>
      <c r="G935">
        <f>IMPRODUCT("2",IMDIV("1",IMSUM(IMDIV("1",COMPLEX(LDM1_DCR,B935*LDM1_L)),COMPLEX(0,B935*LDM1_CPA))))</f>
        <v>0</v>
      </c>
      <c r="H935">
        <f>IMSUM(IMDIV("1",COMPLEX(CX1_ESR,B935*CX1_ESL-1/(B935*CX1_C))),IMDIV("1",IMSUM(COMPLEX(DUMP1_R,0),COMPLEX(DUMP1_ESR,B935*DUMP1_ESL-1/(B935*DUMP1_C)))))</f>
        <v>0</v>
      </c>
      <c r="I935">
        <f>IMPRODUCT("2",IMDIV("1",IMSUM(IMDIV("1",COMPLEX(LDM2_DCR,B935*LDM2_L)),COMPLEX(0,B935*LDM2_CPA))))</f>
        <v>0</v>
      </c>
      <c r="J935">
        <f>IMSUM(IMDIV("1",COMPLEX(CX2_ESR,B935*CX2_ESL-1/(B935*CX2_C))),IMDIV("1",IMSUM(COMPLEX(DUMP2_R,0),COMPLEX(DUMP2_ESR,B935*DUMP2_ESL-1/(B935*DUMP2_C)))))</f>
        <v>0</v>
      </c>
      <c r="K935">
        <f>IMPRODUCT("2",IMDIV("1",IMSUM(IMDIV("1",COMPLEX(CMC_DCR,B935*CMC_L*(1-CMC_K))),COMPLEX(0,B935*CMC_CPA))))</f>
        <v>0</v>
      </c>
      <c r="L935">
        <f>IMSUM(COMPLEX(0,B935*CMC_CLINE),IMDIV("1",IMPRODUCT("2",COMPLEX(CY_ESR,B935*CY_ESL-1/(B935*CY_C)))),COMPLEX(1/DUMMY_R,0))</f>
        <v>0</v>
      </c>
      <c r="M935">
        <f>IMSUM(D935,IMDIV("1",C935))</f>
        <v>0</v>
      </c>
      <c r="N935">
        <f>IMDIV("1",IMSUM(E935,IMDIV("1",M935)))</f>
        <v>0</v>
      </c>
      <c r="O935">
        <f>IMSUM(F935,N935)</f>
        <v>0</v>
      </c>
      <c r="P935">
        <f>IMDIV("1",IMSUM(G935,IMDIV("1",O935)))</f>
        <v>0</v>
      </c>
      <c r="Q935">
        <f>IMSUM(H935,P935)</f>
        <v>0</v>
      </c>
      <c r="R935">
        <f>IMDIV("1",IMSUM(I935,IMDIV("1",Q935)))</f>
        <v>0</v>
      </c>
      <c r="S935">
        <f>IMSUM(J935,R935)</f>
        <v>0</v>
      </c>
      <c r="T935">
        <f>IMDIV("1",IMSUM(K935,IMDIV("1",S935)))</f>
        <v>0</v>
      </c>
      <c r="U935">
        <f>IMSUM(L935,T935)</f>
        <v>0</v>
      </c>
      <c r="V935">
        <f>IMDIV(COMPLEX(I_DM_SOURCE,0),U935)</f>
        <v>0</v>
      </c>
      <c r="W935">
        <f>IMPRODUCT(V935,T935)</f>
        <v>0</v>
      </c>
      <c r="X935">
        <f>IMDIV(W935,S935)</f>
        <v>0</v>
      </c>
      <c r="Y935">
        <f>IMPRODUCT(X935,R935)</f>
        <v>0</v>
      </c>
      <c r="Z935">
        <f>IMDIV(Y935,Q935)</f>
        <v>0</v>
      </c>
      <c r="AA935">
        <f>IMPRODUCT(Z935,P935)</f>
        <v>0</v>
      </c>
      <c r="AB935">
        <f>AA935</f>
        <v>0</v>
      </c>
      <c r="AC935">
        <f>IMPRODUCT("-1",AB935)</f>
        <v>0</v>
      </c>
      <c r="AD935">
        <f>IMDIV(IMSUB(AB935,AC935),"2")</f>
        <v>0</v>
      </c>
      <c r="AE935" s="6">
        <f>IMABS(AB935)</f>
        <v>0</v>
      </c>
      <c r="AF935" s="6">
        <f>IMABS(AC935)</f>
        <v>0</v>
      </c>
      <c r="AG935" s="6">
        <f>IMABS(AD935)</f>
        <v>0</v>
      </c>
      <c r="AH935" s="7">
        <f>20*LOG10(MAX(AE935,1E-300)*1E6)</f>
        <v>0</v>
      </c>
      <c r="AI935" s="7">
        <f>20*LOG10(MAX(AF935,1E-300)*1E6)</f>
        <v>0</v>
      </c>
      <c r="AJ935" s="7">
        <f>20*LOG10(MAX(AG935,1E-300)*1E6)</f>
        <v>0</v>
      </c>
      <c r="AK935" s="7">
        <f>DEGREES(IMARGUMENT(AB935))</f>
        <v>0</v>
      </c>
      <c r="AL935" s="7">
        <f>DEGREES(IMARGUMENT(AC935))</f>
        <v>0</v>
      </c>
      <c r="AM935" s="7">
        <f>DEGREES(IMARGUMENT(AD935))</f>
        <v>0</v>
      </c>
    </row>
    <row r="936" spans="1:39">
      <c r="A936" s="6">
        <f>10^(LOG10(F_START)+(ROW()-ROW($A$2))*(LOG10(F_STOP)-LOG10(F_START))/(N_POINTS-1))</f>
        <v>0</v>
      </c>
      <c r="B936" s="6">
        <f>2*PI()*A936</f>
        <v>0</v>
      </c>
      <c r="C936">
        <f>COMPLEX(2*LINE_PS_DCR,2*B936*LINE_PS_L)</f>
        <v>0</v>
      </c>
      <c r="D936">
        <f>IMSUM(COMPLEX(0,B936*(LINE_PS_CLINE+LINE_PS_CCHA/2)),IMDIV("1",IMPRODUCT("2",COMPLEX(C_THROUGH_ESR,B936*C_THROUGH_ESL-1/(B936*C_THROUGH_C)))))</f>
        <v>0</v>
      </c>
      <c r="E936">
        <f>COMPLEX(2*LINE_INPUT_DCR,2*B936*LINE_INPUT_L)</f>
        <v>0</v>
      </c>
      <c r="F936">
        <f>COMPLEX(0,B936*(LINE_INPUT_CLINE+LINE_INPUT_CCHA/2))</f>
        <v>0</v>
      </c>
      <c r="G936">
        <f>IMPRODUCT("2",IMDIV("1",IMSUM(IMDIV("1",COMPLEX(LDM1_DCR,B936*LDM1_L)),COMPLEX(0,B936*LDM1_CPA))))</f>
        <v>0</v>
      </c>
      <c r="H936">
        <f>IMSUM(IMDIV("1",COMPLEX(CX1_ESR,B936*CX1_ESL-1/(B936*CX1_C))),IMDIV("1",IMSUM(COMPLEX(DUMP1_R,0),COMPLEX(DUMP1_ESR,B936*DUMP1_ESL-1/(B936*DUMP1_C)))))</f>
        <v>0</v>
      </c>
      <c r="I936">
        <f>IMPRODUCT("2",IMDIV("1",IMSUM(IMDIV("1",COMPLEX(LDM2_DCR,B936*LDM2_L)),COMPLEX(0,B936*LDM2_CPA))))</f>
        <v>0</v>
      </c>
      <c r="J936">
        <f>IMSUM(IMDIV("1",COMPLEX(CX2_ESR,B936*CX2_ESL-1/(B936*CX2_C))),IMDIV("1",IMSUM(COMPLEX(DUMP2_R,0),COMPLEX(DUMP2_ESR,B936*DUMP2_ESL-1/(B936*DUMP2_C)))))</f>
        <v>0</v>
      </c>
      <c r="K936">
        <f>IMPRODUCT("2",IMDIV("1",IMSUM(IMDIV("1",COMPLEX(CMC_DCR,B936*CMC_L*(1-CMC_K))),COMPLEX(0,B936*CMC_CPA))))</f>
        <v>0</v>
      </c>
      <c r="L936">
        <f>IMSUM(COMPLEX(0,B936*CMC_CLINE),IMDIV("1",IMPRODUCT("2",COMPLEX(CY_ESR,B936*CY_ESL-1/(B936*CY_C)))),COMPLEX(1/DUMMY_R,0))</f>
        <v>0</v>
      </c>
      <c r="M936">
        <f>IMSUM(D936,IMDIV("1",C936))</f>
        <v>0</v>
      </c>
      <c r="N936">
        <f>IMDIV("1",IMSUM(E936,IMDIV("1",M936)))</f>
        <v>0</v>
      </c>
      <c r="O936">
        <f>IMSUM(F936,N936)</f>
        <v>0</v>
      </c>
      <c r="P936">
        <f>IMDIV("1",IMSUM(G936,IMDIV("1",O936)))</f>
        <v>0</v>
      </c>
      <c r="Q936">
        <f>IMSUM(H936,P936)</f>
        <v>0</v>
      </c>
      <c r="R936">
        <f>IMDIV("1",IMSUM(I936,IMDIV("1",Q936)))</f>
        <v>0</v>
      </c>
      <c r="S936">
        <f>IMSUM(J936,R936)</f>
        <v>0</v>
      </c>
      <c r="T936">
        <f>IMDIV("1",IMSUM(K936,IMDIV("1",S936)))</f>
        <v>0</v>
      </c>
      <c r="U936">
        <f>IMSUM(L936,T936)</f>
        <v>0</v>
      </c>
      <c r="V936">
        <f>IMDIV(COMPLEX(I_DM_SOURCE,0),U936)</f>
        <v>0</v>
      </c>
      <c r="W936">
        <f>IMPRODUCT(V936,T936)</f>
        <v>0</v>
      </c>
      <c r="X936">
        <f>IMDIV(W936,S936)</f>
        <v>0</v>
      </c>
      <c r="Y936">
        <f>IMPRODUCT(X936,R936)</f>
        <v>0</v>
      </c>
      <c r="Z936">
        <f>IMDIV(Y936,Q936)</f>
        <v>0</v>
      </c>
      <c r="AA936">
        <f>IMPRODUCT(Z936,P936)</f>
        <v>0</v>
      </c>
      <c r="AB936">
        <f>AA936</f>
        <v>0</v>
      </c>
      <c r="AC936">
        <f>IMPRODUCT("-1",AB936)</f>
        <v>0</v>
      </c>
      <c r="AD936">
        <f>IMDIV(IMSUB(AB936,AC936),"2")</f>
        <v>0</v>
      </c>
      <c r="AE936" s="6">
        <f>IMABS(AB936)</f>
        <v>0</v>
      </c>
      <c r="AF936" s="6">
        <f>IMABS(AC936)</f>
        <v>0</v>
      </c>
      <c r="AG936" s="6">
        <f>IMABS(AD936)</f>
        <v>0</v>
      </c>
      <c r="AH936" s="7">
        <f>20*LOG10(MAX(AE936,1E-300)*1E6)</f>
        <v>0</v>
      </c>
      <c r="AI936" s="7">
        <f>20*LOG10(MAX(AF936,1E-300)*1E6)</f>
        <v>0</v>
      </c>
      <c r="AJ936" s="7">
        <f>20*LOG10(MAX(AG936,1E-300)*1E6)</f>
        <v>0</v>
      </c>
      <c r="AK936" s="7">
        <f>DEGREES(IMARGUMENT(AB936))</f>
        <v>0</v>
      </c>
      <c r="AL936" s="7">
        <f>DEGREES(IMARGUMENT(AC936))</f>
        <v>0</v>
      </c>
      <c r="AM936" s="7">
        <f>DEGREES(IMARGUMENT(AD936))</f>
        <v>0</v>
      </c>
    </row>
    <row r="937" spans="1:39">
      <c r="A937" s="6">
        <f>10^(LOG10(F_START)+(ROW()-ROW($A$2))*(LOG10(F_STOP)-LOG10(F_START))/(N_POINTS-1))</f>
        <v>0</v>
      </c>
      <c r="B937" s="6">
        <f>2*PI()*A937</f>
        <v>0</v>
      </c>
      <c r="C937">
        <f>COMPLEX(2*LINE_PS_DCR,2*B937*LINE_PS_L)</f>
        <v>0</v>
      </c>
      <c r="D937">
        <f>IMSUM(COMPLEX(0,B937*(LINE_PS_CLINE+LINE_PS_CCHA/2)),IMDIV("1",IMPRODUCT("2",COMPLEX(C_THROUGH_ESR,B937*C_THROUGH_ESL-1/(B937*C_THROUGH_C)))))</f>
        <v>0</v>
      </c>
      <c r="E937">
        <f>COMPLEX(2*LINE_INPUT_DCR,2*B937*LINE_INPUT_L)</f>
        <v>0</v>
      </c>
      <c r="F937">
        <f>COMPLEX(0,B937*(LINE_INPUT_CLINE+LINE_INPUT_CCHA/2))</f>
        <v>0</v>
      </c>
      <c r="G937">
        <f>IMPRODUCT("2",IMDIV("1",IMSUM(IMDIV("1",COMPLEX(LDM1_DCR,B937*LDM1_L)),COMPLEX(0,B937*LDM1_CPA))))</f>
        <v>0</v>
      </c>
      <c r="H937">
        <f>IMSUM(IMDIV("1",COMPLEX(CX1_ESR,B937*CX1_ESL-1/(B937*CX1_C))),IMDIV("1",IMSUM(COMPLEX(DUMP1_R,0),COMPLEX(DUMP1_ESR,B937*DUMP1_ESL-1/(B937*DUMP1_C)))))</f>
        <v>0</v>
      </c>
      <c r="I937">
        <f>IMPRODUCT("2",IMDIV("1",IMSUM(IMDIV("1",COMPLEX(LDM2_DCR,B937*LDM2_L)),COMPLEX(0,B937*LDM2_CPA))))</f>
        <v>0</v>
      </c>
      <c r="J937">
        <f>IMSUM(IMDIV("1",COMPLEX(CX2_ESR,B937*CX2_ESL-1/(B937*CX2_C))),IMDIV("1",IMSUM(COMPLEX(DUMP2_R,0),COMPLEX(DUMP2_ESR,B937*DUMP2_ESL-1/(B937*DUMP2_C)))))</f>
        <v>0</v>
      </c>
      <c r="K937">
        <f>IMPRODUCT("2",IMDIV("1",IMSUM(IMDIV("1",COMPLEX(CMC_DCR,B937*CMC_L*(1-CMC_K))),COMPLEX(0,B937*CMC_CPA))))</f>
        <v>0</v>
      </c>
      <c r="L937">
        <f>IMSUM(COMPLEX(0,B937*CMC_CLINE),IMDIV("1",IMPRODUCT("2",COMPLEX(CY_ESR,B937*CY_ESL-1/(B937*CY_C)))),COMPLEX(1/DUMMY_R,0))</f>
        <v>0</v>
      </c>
      <c r="M937">
        <f>IMSUM(D937,IMDIV("1",C937))</f>
        <v>0</v>
      </c>
      <c r="N937">
        <f>IMDIV("1",IMSUM(E937,IMDIV("1",M937)))</f>
        <v>0</v>
      </c>
      <c r="O937">
        <f>IMSUM(F937,N937)</f>
        <v>0</v>
      </c>
      <c r="P937">
        <f>IMDIV("1",IMSUM(G937,IMDIV("1",O937)))</f>
        <v>0</v>
      </c>
      <c r="Q937">
        <f>IMSUM(H937,P937)</f>
        <v>0</v>
      </c>
      <c r="R937">
        <f>IMDIV("1",IMSUM(I937,IMDIV("1",Q937)))</f>
        <v>0</v>
      </c>
      <c r="S937">
        <f>IMSUM(J937,R937)</f>
        <v>0</v>
      </c>
      <c r="T937">
        <f>IMDIV("1",IMSUM(K937,IMDIV("1",S937)))</f>
        <v>0</v>
      </c>
      <c r="U937">
        <f>IMSUM(L937,T937)</f>
        <v>0</v>
      </c>
      <c r="V937">
        <f>IMDIV(COMPLEX(I_DM_SOURCE,0),U937)</f>
        <v>0</v>
      </c>
      <c r="W937">
        <f>IMPRODUCT(V937,T937)</f>
        <v>0</v>
      </c>
      <c r="X937">
        <f>IMDIV(W937,S937)</f>
        <v>0</v>
      </c>
      <c r="Y937">
        <f>IMPRODUCT(X937,R937)</f>
        <v>0</v>
      </c>
      <c r="Z937">
        <f>IMDIV(Y937,Q937)</f>
        <v>0</v>
      </c>
      <c r="AA937">
        <f>IMPRODUCT(Z937,P937)</f>
        <v>0</v>
      </c>
      <c r="AB937">
        <f>AA937</f>
        <v>0</v>
      </c>
      <c r="AC937">
        <f>IMPRODUCT("-1",AB937)</f>
        <v>0</v>
      </c>
      <c r="AD937">
        <f>IMDIV(IMSUB(AB937,AC937),"2")</f>
        <v>0</v>
      </c>
      <c r="AE937" s="6">
        <f>IMABS(AB937)</f>
        <v>0</v>
      </c>
      <c r="AF937" s="6">
        <f>IMABS(AC937)</f>
        <v>0</v>
      </c>
      <c r="AG937" s="6">
        <f>IMABS(AD937)</f>
        <v>0</v>
      </c>
      <c r="AH937" s="7">
        <f>20*LOG10(MAX(AE937,1E-300)*1E6)</f>
        <v>0</v>
      </c>
      <c r="AI937" s="7">
        <f>20*LOG10(MAX(AF937,1E-300)*1E6)</f>
        <v>0</v>
      </c>
      <c r="AJ937" s="7">
        <f>20*LOG10(MAX(AG937,1E-300)*1E6)</f>
        <v>0</v>
      </c>
      <c r="AK937" s="7">
        <f>DEGREES(IMARGUMENT(AB937))</f>
        <v>0</v>
      </c>
      <c r="AL937" s="7">
        <f>DEGREES(IMARGUMENT(AC937))</f>
        <v>0</v>
      </c>
      <c r="AM937" s="7">
        <f>DEGREES(IMARGUMENT(AD937))</f>
        <v>0</v>
      </c>
    </row>
    <row r="938" spans="1:39">
      <c r="A938" s="6">
        <f>10^(LOG10(F_START)+(ROW()-ROW($A$2))*(LOG10(F_STOP)-LOG10(F_START))/(N_POINTS-1))</f>
        <v>0</v>
      </c>
      <c r="B938" s="6">
        <f>2*PI()*A938</f>
        <v>0</v>
      </c>
      <c r="C938">
        <f>COMPLEX(2*LINE_PS_DCR,2*B938*LINE_PS_L)</f>
        <v>0</v>
      </c>
      <c r="D938">
        <f>IMSUM(COMPLEX(0,B938*(LINE_PS_CLINE+LINE_PS_CCHA/2)),IMDIV("1",IMPRODUCT("2",COMPLEX(C_THROUGH_ESR,B938*C_THROUGH_ESL-1/(B938*C_THROUGH_C)))))</f>
        <v>0</v>
      </c>
      <c r="E938">
        <f>COMPLEX(2*LINE_INPUT_DCR,2*B938*LINE_INPUT_L)</f>
        <v>0</v>
      </c>
      <c r="F938">
        <f>COMPLEX(0,B938*(LINE_INPUT_CLINE+LINE_INPUT_CCHA/2))</f>
        <v>0</v>
      </c>
      <c r="G938">
        <f>IMPRODUCT("2",IMDIV("1",IMSUM(IMDIV("1",COMPLEX(LDM1_DCR,B938*LDM1_L)),COMPLEX(0,B938*LDM1_CPA))))</f>
        <v>0</v>
      </c>
      <c r="H938">
        <f>IMSUM(IMDIV("1",COMPLEX(CX1_ESR,B938*CX1_ESL-1/(B938*CX1_C))),IMDIV("1",IMSUM(COMPLEX(DUMP1_R,0),COMPLEX(DUMP1_ESR,B938*DUMP1_ESL-1/(B938*DUMP1_C)))))</f>
        <v>0</v>
      </c>
      <c r="I938">
        <f>IMPRODUCT("2",IMDIV("1",IMSUM(IMDIV("1",COMPLEX(LDM2_DCR,B938*LDM2_L)),COMPLEX(0,B938*LDM2_CPA))))</f>
        <v>0</v>
      </c>
      <c r="J938">
        <f>IMSUM(IMDIV("1",COMPLEX(CX2_ESR,B938*CX2_ESL-1/(B938*CX2_C))),IMDIV("1",IMSUM(COMPLEX(DUMP2_R,0),COMPLEX(DUMP2_ESR,B938*DUMP2_ESL-1/(B938*DUMP2_C)))))</f>
        <v>0</v>
      </c>
      <c r="K938">
        <f>IMPRODUCT("2",IMDIV("1",IMSUM(IMDIV("1",COMPLEX(CMC_DCR,B938*CMC_L*(1-CMC_K))),COMPLEX(0,B938*CMC_CPA))))</f>
        <v>0</v>
      </c>
      <c r="L938">
        <f>IMSUM(COMPLEX(0,B938*CMC_CLINE),IMDIV("1",IMPRODUCT("2",COMPLEX(CY_ESR,B938*CY_ESL-1/(B938*CY_C)))),COMPLEX(1/DUMMY_R,0))</f>
        <v>0</v>
      </c>
      <c r="M938">
        <f>IMSUM(D938,IMDIV("1",C938))</f>
        <v>0</v>
      </c>
      <c r="N938">
        <f>IMDIV("1",IMSUM(E938,IMDIV("1",M938)))</f>
        <v>0</v>
      </c>
      <c r="O938">
        <f>IMSUM(F938,N938)</f>
        <v>0</v>
      </c>
      <c r="P938">
        <f>IMDIV("1",IMSUM(G938,IMDIV("1",O938)))</f>
        <v>0</v>
      </c>
      <c r="Q938">
        <f>IMSUM(H938,P938)</f>
        <v>0</v>
      </c>
      <c r="R938">
        <f>IMDIV("1",IMSUM(I938,IMDIV("1",Q938)))</f>
        <v>0</v>
      </c>
      <c r="S938">
        <f>IMSUM(J938,R938)</f>
        <v>0</v>
      </c>
      <c r="T938">
        <f>IMDIV("1",IMSUM(K938,IMDIV("1",S938)))</f>
        <v>0</v>
      </c>
      <c r="U938">
        <f>IMSUM(L938,T938)</f>
        <v>0</v>
      </c>
      <c r="V938">
        <f>IMDIV(COMPLEX(I_DM_SOURCE,0),U938)</f>
        <v>0</v>
      </c>
      <c r="W938">
        <f>IMPRODUCT(V938,T938)</f>
        <v>0</v>
      </c>
      <c r="X938">
        <f>IMDIV(W938,S938)</f>
        <v>0</v>
      </c>
      <c r="Y938">
        <f>IMPRODUCT(X938,R938)</f>
        <v>0</v>
      </c>
      <c r="Z938">
        <f>IMDIV(Y938,Q938)</f>
        <v>0</v>
      </c>
      <c r="AA938">
        <f>IMPRODUCT(Z938,P938)</f>
        <v>0</v>
      </c>
      <c r="AB938">
        <f>AA938</f>
        <v>0</v>
      </c>
      <c r="AC938">
        <f>IMPRODUCT("-1",AB938)</f>
        <v>0</v>
      </c>
      <c r="AD938">
        <f>IMDIV(IMSUB(AB938,AC938),"2")</f>
        <v>0</v>
      </c>
      <c r="AE938" s="6">
        <f>IMABS(AB938)</f>
        <v>0</v>
      </c>
      <c r="AF938" s="6">
        <f>IMABS(AC938)</f>
        <v>0</v>
      </c>
      <c r="AG938" s="6">
        <f>IMABS(AD938)</f>
        <v>0</v>
      </c>
      <c r="AH938" s="7">
        <f>20*LOG10(MAX(AE938,1E-300)*1E6)</f>
        <v>0</v>
      </c>
      <c r="AI938" s="7">
        <f>20*LOG10(MAX(AF938,1E-300)*1E6)</f>
        <v>0</v>
      </c>
      <c r="AJ938" s="7">
        <f>20*LOG10(MAX(AG938,1E-300)*1E6)</f>
        <v>0</v>
      </c>
      <c r="AK938" s="7">
        <f>DEGREES(IMARGUMENT(AB938))</f>
        <v>0</v>
      </c>
      <c r="AL938" s="7">
        <f>DEGREES(IMARGUMENT(AC938))</f>
        <v>0</v>
      </c>
      <c r="AM938" s="7">
        <f>DEGREES(IMARGUMENT(AD938))</f>
        <v>0</v>
      </c>
    </row>
    <row r="939" spans="1:39">
      <c r="A939" s="6">
        <f>10^(LOG10(F_START)+(ROW()-ROW($A$2))*(LOG10(F_STOP)-LOG10(F_START))/(N_POINTS-1))</f>
        <v>0</v>
      </c>
      <c r="B939" s="6">
        <f>2*PI()*A939</f>
        <v>0</v>
      </c>
      <c r="C939">
        <f>COMPLEX(2*LINE_PS_DCR,2*B939*LINE_PS_L)</f>
        <v>0</v>
      </c>
      <c r="D939">
        <f>IMSUM(COMPLEX(0,B939*(LINE_PS_CLINE+LINE_PS_CCHA/2)),IMDIV("1",IMPRODUCT("2",COMPLEX(C_THROUGH_ESR,B939*C_THROUGH_ESL-1/(B939*C_THROUGH_C)))))</f>
        <v>0</v>
      </c>
      <c r="E939">
        <f>COMPLEX(2*LINE_INPUT_DCR,2*B939*LINE_INPUT_L)</f>
        <v>0</v>
      </c>
      <c r="F939">
        <f>COMPLEX(0,B939*(LINE_INPUT_CLINE+LINE_INPUT_CCHA/2))</f>
        <v>0</v>
      </c>
      <c r="G939">
        <f>IMPRODUCT("2",IMDIV("1",IMSUM(IMDIV("1",COMPLEX(LDM1_DCR,B939*LDM1_L)),COMPLEX(0,B939*LDM1_CPA))))</f>
        <v>0</v>
      </c>
      <c r="H939">
        <f>IMSUM(IMDIV("1",COMPLEX(CX1_ESR,B939*CX1_ESL-1/(B939*CX1_C))),IMDIV("1",IMSUM(COMPLEX(DUMP1_R,0),COMPLEX(DUMP1_ESR,B939*DUMP1_ESL-1/(B939*DUMP1_C)))))</f>
        <v>0</v>
      </c>
      <c r="I939">
        <f>IMPRODUCT("2",IMDIV("1",IMSUM(IMDIV("1",COMPLEX(LDM2_DCR,B939*LDM2_L)),COMPLEX(0,B939*LDM2_CPA))))</f>
        <v>0</v>
      </c>
      <c r="J939">
        <f>IMSUM(IMDIV("1",COMPLEX(CX2_ESR,B939*CX2_ESL-1/(B939*CX2_C))),IMDIV("1",IMSUM(COMPLEX(DUMP2_R,0),COMPLEX(DUMP2_ESR,B939*DUMP2_ESL-1/(B939*DUMP2_C)))))</f>
        <v>0</v>
      </c>
      <c r="K939">
        <f>IMPRODUCT("2",IMDIV("1",IMSUM(IMDIV("1",COMPLEX(CMC_DCR,B939*CMC_L*(1-CMC_K))),COMPLEX(0,B939*CMC_CPA))))</f>
        <v>0</v>
      </c>
      <c r="L939">
        <f>IMSUM(COMPLEX(0,B939*CMC_CLINE),IMDIV("1",IMPRODUCT("2",COMPLEX(CY_ESR,B939*CY_ESL-1/(B939*CY_C)))),COMPLEX(1/DUMMY_R,0))</f>
        <v>0</v>
      </c>
      <c r="M939">
        <f>IMSUM(D939,IMDIV("1",C939))</f>
        <v>0</v>
      </c>
      <c r="N939">
        <f>IMDIV("1",IMSUM(E939,IMDIV("1",M939)))</f>
        <v>0</v>
      </c>
      <c r="O939">
        <f>IMSUM(F939,N939)</f>
        <v>0</v>
      </c>
      <c r="P939">
        <f>IMDIV("1",IMSUM(G939,IMDIV("1",O939)))</f>
        <v>0</v>
      </c>
      <c r="Q939">
        <f>IMSUM(H939,P939)</f>
        <v>0</v>
      </c>
      <c r="R939">
        <f>IMDIV("1",IMSUM(I939,IMDIV("1",Q939)))</f>
        <v>0</v>
      </c>
      <c r="S939">
        <f>IMSUM(J939,R939)</f>
        <v>0</v>
      </c>
      <c r="T939">
        <f>IMDIV("1",IMSUM(K939,IMDIV("1",S939)))</f>
        <v>0</v>
      </c>
      <c r="U939">
        <f>IMSUM(L939,T939)</f>
        <v>0</v>
      </c>
      <c r="V939">
        <f>IMDIV(COMPLEX(I_DM_SOURCE,0),U939)</f>
        <v>0</v>
      </c>
      <c r="W939">
        <f>IMPRODUCT(V939,T939)</f>
        <v>0</v>
      </c>
      <c r="X939">
        <f>IMDIV(W939,S939)</f>
        <v>0</v>
      </c>
      <c r="Y939">
        <f>IMPRODUCT(X939,R939)</f>
        <v>0</v>
      </c>
      <c r="Z939">
        <f>IMDIV(Y939,Q939)</f>
        <v>0</v>
      </c>
      <c r="AA939">
        <f>IMPRODUCT(Z939,P939)</f>
        <v>0</v>
      </c>
      <c r="AB939">
        <f>AA939</f>
        <v>0</v>
      </c>
      <c r="AC939">
        <f>IMPRODUCT("-1",AB939)</f>
        <v>0</v>
      </c>
      <c r="AD939">
        <f>IMDIV(IMSUB(AB939,AC939),"2")</f>
        <v>0</v>
      </c>
      <c r="AE939" s="6">
        <f>IMABS(AB939)</f>
        <v>0</v>
      </c>
      <c r="AF939" s="6">
        <f>IMABS(AC939)</f>
        <v>0</v>
      </c>
      <c r="AG939" s="6">
        <f>IMABS(AD939)</f>
        <v>0</v>
      </c>
      <c r="AH939" s="7">
        <f>20*LOG10(MAX(AE939,1E-300)*1E6)</f>
        <v>0</v>
      </c>
      <c r="AI939" s="7">
        <f>20*LOG10(MAX(AF939,1E-300)*1E6)</f>
        <v>0</v>
      </c>
      <c r="AJ939" s="7">
        <f>20*LOG10(MAX(AG939,1E-300)*1E6)</f>
        <v>0</v>
      </c>
      <c r="AK939" s="7">
        <f>DEGREES(IMARGUMENT(AB939))</f>
        <v>0</v>
      </c>
      <c r="AL939" s="7">
        <f>DEGREES(IMARGUMENT(AC939))</f>
        <v>0</v>
      </c>
      <c r="AM939" s="7">
        <f>DEGREES(IMARGUMENT(AD939))</f>
        <v>0</v>
      </c>
    </row>
    <row r="940" spans="1:39">
      <c r="A940" s="6">
        <f>10^(LOG10(F_START)+(ROW()-ROW($A$2))*(LOG10(F_STOP)-LOG10(F_START))/(N_POINTS-1))</f>
        <v>0</v>
      </c>
      <c r="B940" s="6">
        <f>2*PI()*A940</f>
        <v>0</v>
      </c>
      <c r="C940">
        <f>COMPLEX(2*LINE_PS_DCR,2*B940*LINE_PS_L)</f>
        <v>0</v>
      </c>
      <c r="D940">
        <f>IMSUM(COMPLEX(0,B940*(LINE_PS_CLINE+LINE_PS_CCHA/2)),IMDIV("1",IMPRODUCT("2",COMPLEX(C_THROUGH_ESR,B940*C_THROUGH_ESL-1/(B940*C_THROUGH_C)))))</f>
        <v>0</v>
      </c>
      <c r="E940">
        <f>COMPLEX(2*LINE_INPUT_DCR,2*B940*LINE_INPUT_L)</f>
        <v>0</v>
      </c>
      <c r="F940">
        <f>COMPLEX(0,B940*(LINE_INPUT_CLINE+LINE_INPUT_CCHA/2))</f>
        <v>0</v>
      </c>
      <c r="G940">
        <f>IMPRODUCT("2",IMDIV("1",IMSUM(IMDIV("1",COMPLEX(LDM1_DCR,B940*LDM1_L)),COMPLEX(0,B940*LDM1_CPA))))</f>
        <v>0</v>
      </c>
      <c r="H940">
        <f>IMSUM(IMDIV("1",COMPLEX(CX1_ESR,B940*CX1_ESL-1/(B940*CX1_C))),IMDIV("1",IMSUM(COMPLEX(DUMP1_R,0),COMPLEX(DUMP1_ESR,B940*DUMP1_ESL-1/(B940*DUMP1_C)))))</f>
        <v>0</v>
      </c>
      <c r="I940">
        <f>IMPRODUCT("2",IMDIV("1",IMSUM(IMDIV("1",COMPLEX(LDM2_DCR,B940*LDM2_L)),COMPLEX(0,B940*LDM2_CPA))))</f>
        <v>0</v>
      </c>
      <c r="J940">
        <f>IMSUM(IMDIV("1",COMPLEX(CX2_ESR,B940*CX2_ESL-1/(B940*CX2_C))),IMDIV("1",IMSUM(COMPLEX(DUMP2_R,0),COMPLEX(DUMP2_ESR,B940*DUMP2_ESL-1/(B940*DUMP2_C)))))</f>
        <v>0</v>
      </c>
      <c r="K940">
        <f>IMPRODUCT("2",IMDIV("1",IMSUM(IMDIV("1",COMPLEX(CMC_DCR,B940*CMC_L*(1-CMC_K))),COMPLEX(0,B940*CMC_CPA))))</f>
        <v>0</v>
      </c>
      <c r="L940">
        <f>IMSUM(COMPLEX(0,B940*CMC_CLINE),IMDIV("1",IMPRODUCT("2",COMPLEX(CY_ESR,B940*CY_ESL-1/(B940*CY_C)))),COMPLEX(1/DUMMY_R,0))</f>
        <v>0</v>
      </c>
      <c r="M940">
        <f>IMSUM(D940,IMDIV("1",C940))</f>
        <v>0</v>
      </c>
      <c r="N940">
        <f>IMDIV("1",IMSUM(E940,IMDIV("1",M940)))</f>
        <v>0</v>
      </c>
      <c r="O940">
        <f>IMSUM(F940,N940)</f>
        <v>0</v>
      </c>
      <c r="P940">
        <f>IMDIV("1",IMSUM(G940,IMDIV("1",O940)))</f>
        <v>0</v>
      </c>
      <c r="Q940">
        <f>IMSUM(H940,P940)</f>
        <v>0</v>
      </c>
      <c r="R940">
        <f>IMDIV("1",IMSUM(I940,IMDIV("1",Q940)))</f>
        <v>0</v>
      </c>
      <c r="S940">
        <f>IMSUM(J940,R940)</f>
        <v>0</v>
      </c>
      <c r="T940">
        <f>IMDIV("1",IMSUM(K940,IMDIV("1",S940)))</f>
        <v>0</v>
      </c>
      <c r="U940">
        <f>IMSUM(L940,T940)</f>
        <v>0</v>
      </c>
      <c r="V940">
        <f>IMDIV(COMPLEX(I_DM_SOURCE,0),U940)</f>
        <v>0</v>
      </c>
      <c r="W940">
        <f>IMPRODUCT(V940,T940)</f>
        <v>0</v>
      </c>
      <c r="X940">
        <f>IMDIV(W940,S940)</f>
        <v>0</v>
      </c>
      <c r="Y940">
        <f>IMPRODUCT(X940,R940)</f>
        <v>0</v>
      </c>
      <c r="Z940">
        <f>IMDIV(Y940,Q940)</f>
        <v>0</v>
      </c>
      <c r="AA940">
        <f>IMPRODUCT(Z940,P940)</f>
        <v>0</v>
      </c>
      <c r="AB940">
        <f>AA940</f>
        <v>0</v>
      </c>
      <c r="AC940">
        <f>IMPRODUCT("-1",AB940)</f>
        <v>0</v>
      </c>
      <c r="AD940">
        <f>IMDIV(IMSUB(AB940,AC940),"2")</f>
        <v>0</v>
      </c>
      <c r="AE940" s="6">
        <f>IMABS(AB940)</f>
        <v>0</v>
      </c>
      <c r="AF940" s="6">
        <f>IMABS(AC940)</f>
        <v>0</v>
      </c>
      <c r="AG940" s="6">
        <f>IMABS(AD940)</f>
        <v>0</v>
      </c>
      <c r="AH940" s="7">
        <f>20*LOG10(MAX(AE940,1E-300)*1E6)</f>
        <v>0</v>
      </c>
      <c r="AI940" s="7">
        <f>20*LOG10(MAX(AF940,1E-300)*1E6)</f>
        <v>0</v>
      </c>
      <c r="AJ940" s="7">
        <f>20*LOG10(MAX(AG940,1E-300)*1E6)</f>
        <v>0</v>
      </c>
      <c r="AK940" s="7">
        <f>DEGREES(IMARGUMENT(AB940))</f>
        <v>0</v>
      </c>
      <c r="AL940" s="7">
        <f>DEGREES(IMARGUMENT(AC940))</f>
        <v>0</v>
      </c>
      <c r="AM940" s="7">
        <f>DEGREES(IMARGUMENT(AD940))</f>
        <v>0</v>
      </c>
    </row>
    <row r="941" spans="1:39">
      <c r="A941" s="6">
        <f>10^(LOG10(F_START)+(ROW()-ROW($A$2))*(LOG10(F_STOP)-LOG10(F_START))/(N_POINTS-1))</f>
        <v>0</v>
      </c>
      <c r="B941" s="6">
        <f>2*PI()*A941</f>
        <v>0</v>
      </c>
      <c r="C941">
        <f>COMPLEX(2*LINE_PS_DCR,2*B941*LINE_PS_L)</f>
        <v>0</v>
      </c>
      <c r="D941">
        <f>IMSUM(COMPLEX(0,B941*(LINE_PS_CLINE+LINE_PS_CCHA/2)),IMDIV("1",IMPRODUCT("2",COMPLEX(C_THROUGH_ESR,B941*C_THROUGH_ESL-1/(B941*C_THROUGH_C)))))</f>
        <v>0</v>
      </c>
      <c r="E941">
        <f>COMPLEX(2*LINE_INPUT_DCR,2*B941*LINE_INPUT_L)</f>
        <v>0</v>
      </c>
      <c r="F941">
        <f>COMPLEX(0,B941*(LINE_INPUT_CLINE+LINE_INPUT_CCHA/2))</f>
        <v>0</v>
      </c>
      <c r="G941">
        <f>IMPRODUCT("2",IMDIV("1",IMSUM(IMDIV("1",COMPLEX(LDM1_DCR,B941*LDM1_L)),COMPLEX(0,B941*LDM1_CPA))))</f>
        <v>0</v>
      </c>
      <c r="H941">
        <f>IMSUM(IMDIV("1",COMPLEX(CX1_ESR,B941*CX1_ESL-1/(B941*CX1_C))),IMDIV("1",IMSUM(COMPLEX(DUMP1_R,0),COMPLEX(DUMP1_ESR,B941*DUMP1_ESL-1/(B941*DUMP1_C)))))</f>
        <v>0</v>
      </c>
      <c r="I941">
        <f>IMPRODUCT("2",IMDIV("1",IMSUM(IMDIV("1",COMPLEX(LDM2_DCR,B941*LDM2_L)),COMPLEX(0,B941*LDM2_CPA))))</f>
        <v>0</v>
      </c>
      <c r="J941">
        <f>IMSUM(IMDIV("1",COMPLEX(CX2_ESR,B941*CX2_ESL-1/(B941*CX2_C))),IMDIV("1",IMSUM(COMPLEX(DUMP2_R,0),COMPLEX(DUMP2_ESR,B941*DUMP2_ESL-1/(B941*DUMP2_C)))))</f>
        <v>0</v>
      </c>
      <c r="K941">
        <f>IMPRODUCT("2",IMDIV("1",IMSUM(IMDIV("1",COMPLEX(CMC_DCR,B941*CMC_L*(1-CMC_K))),COMPLEX(0,B941*CMC_CPA))))</f>
        <v>0</v>
      </c>
      <c r="L941">
        <f>IMSUM(COMPLEX(0,B941*CMC_CLINE),IMDIV("1",IMPRODUCT("2",COMPLEX(CY_ESR,B941*CY_ESL-1/(B941*CY_C)))),COMPLEX(1/DUMMY_R,0))</f>
        <v>0</v>
      </c>
      <c r="M941">
        <f>IMSUM(D941,IMDIV("1",C941))</f>
        <v>0</v>
      </c>
      <c r="N941">
        <f>IMDIV("1",IMSUM(E941,IMDIV("1",M941)))</f>
        <v>0</v>
      </c>
      <c r="O941">
        <f>IMSUM(F941,N941)</f>
        <v>0</v>
      </c>
      <c r="P941">
        <f>IMDIV("1",IMSUM(G941,IMDIV("1",O941)))</f>
        <v>0</v>
      </c>
      <c r="Q941">
        <f>IMSUM(H941,P941)</f>
        <v>0</v>
      </c>
      <c r="R941">
        <f>IMDIV("1",IMSUM(I941,IMDIV("1",Q941)))</f>
        <v>0</v>
      </c>
      <c r="S941">
        <f>IMSUM(J941,R941)</f>
        <v>0</v>
      </c>
      <c r="T941">
        <f>IMDIV("1",IMSUM(K941,IMDIV("1",S941)))</f>
        <v>0</v>
      </c>
      <c r="U941">
        <f>IMSUM(L941,T941)</f>
        <v>0</v>
      </c>
      <c r="V941">
        <f>IMDIV(COMPLEX(I_DM_SOURCE,0),U941)</f>
        <v>0</v>
      </c>
      <c r="W941">
        <f>IMPRODUCT(V941,T941)</f>
        <v>0</v>
      </c>
      <c r="X941">
        <f>IMDIV(W941,S941)</f>
        <v>0</v>
      </c>
      <c r="Y941">
        <f>IMPRODUCT(X941,R941)</f>
        <v>0</v>
      </c>
      <c r="Z941">
        <f>IMDIV(Y941,Q941)</f>
        <v>0</v>
      </c>
      <c r="AA941">
        <f>IMPRODUCT(Z941,P941)</f>
        <v>0</v>
      </c>
      <c r="AB941">
        <f>AA941</f>
        <v>0</v>
      </c>
      <c r="AC941">
        <f>IMPRODUCT("-1",AB941)</f>
        <v>0</v>
      </c>
      <c r="AD941">
        <f>IMDIV(IMSUB(AB941,AC941),"2")</f>
        <v>0</v>
      </c>
      <c r="AE941" s="6">
        <f>IMABS(AB941)</f>
        <v>0</v>
      </c>
      <c r="AF941" s="6">
        <f>IMABS(AC941)</f>
        <v>0</v>
      </c>
      <c r="AG941" s="6">
        <f>IMABS(AD941)</f>
        <v>0</v>
      </c>
      <c r="AH941" s="7">
        <f>20*LOG10(MAX(AE941,1E-300)*1E6)</f>
        <v>0</v>
      </c>
      <c r="AI941" s="7">
        <f>20*LOG10(MAX(AF941,1E-300)*1E6)</f>
        <v>0</v>
      </c>
      <c r="AJ941" s="7">
        <f>20*LOG10(MAX(AG941,1E-300)*1E6)</f>
        <v>0</v>
      </c>
      <c r="AK941" s="7">
        <f>DEGREES(IMARGUMENT(AB941))</f>
        <v>0</v>
      </c>
      <c r="AL941" s="7">
        <f>DEGREES(IMARGUMENT(AC941))</f>
        <v>0</v>
      </c>
      <c r="AM941" s="7">
        <f>DEGREES(IMARGUMENT(AD941))</f>
        <v>0</v>
      </c>
    </row>
    <row r="942" spans="1:39">
      <c r="A942" s="6">
        <f>10^(LOG10(F_START)+(ROW()-ROW($A$2))*(LOG10(F_STOP)-LOG10(F_START))/(N_POINTS-1))</f>
        <v>0</v>
      </c>
      <c r="B942" s="6">
        <f>2*PI()*A942</f>
        <v>0</v>
      </c>
      <c r="C942">
        <f>COMPLEX(2*LINE_PS_DCR,2*B942*LINE_PS_L)</f>
        <v>0</v>
      </c>
      <c r="D942">
        <f>IMSUM(COMPLEX(0,B942*(LINE_PS_CLINE+LINE_PS_CCHA/2)),IMDIV("1",IMPRODUCT("2",COMPLEX(C_THROUGH_ESR,B942*C_THROUGH_ESL-1/(B942*C_THROUGH_C)))))</f>
        <v>0</v>
      </c>
      <c r="E942">
        <f>COMPLEX(2*LINE_INPUT_DCR,2*B942*LINE_INPUT_L)</f>
        <v>0</v>
      </c>
      <c r="F942">
        <f>COMPLEX(0,B942*(LINE_INPUT_CLINE+LINE_INPUT_CCHA/2))</f>
        <v>0</v>
      </c>
      <c r="G942">
        <f>IMPRODUCT("2",IMDIV("1",IMSUM(IMDIV("1",COMPLEX(LDM1_DCR,B942*LDM1_L)),COMPLEX(0,B942*LDM1_CPA))))</f>
        <v>0</v>
      </c>
      <c r="H942">
        <f>IMSUM(IMDIV("1",COMPLEX(CX1_ESR,B942*CX1_ESL-1/(B942*CX1_C))),IMDIV("1",IMSUM(COMPLEX(DUMP1_R,0),COMPLEX(DUMP1_ESR,B942*DUMP1_ESL-1/(B942*DUMP1_C)))))</f>
        <v>0</v>
      </c>
      <c r="I942">
        <f>IMPRODUCT("2",IMDIV("1",IMSUM(IMDIV("1",COMPLEX(LDM2_DCR,B942*LDM2_L)),COMPLEX(0,B942*LDM2_CPA))))</f>
        <v>0</v>
      </c>
      <c r="J942">
        <f>IMSUM(IMDIV("1",COMPLEX(CX2_ESR,B942*CX2_ESL-1/(B942*CX2_C))),IMDIV("1",IMSUM(COMPLEX(DUMP2_R,0),COMPLEX(DUMP2_ESR,B942*DUMP2_ESL-1/(B942*DUMP2_C)))))</f>
        <v>0</v>
      </c>
      <c r="K942">
        <f>IMPRODUCT("2",IMDIV("1",IMSUM(IMDIV("1",COMPLEX(CMC_DCR,B942*CMC_L*(1-CMC_K))),COMPLEX(0,B942*CMC_CPA))))</f>
        <v>0</v>
      </c>
      <c r="L942">
        <f>IMSUM(COMPLEX(0,B942*CMC_CLINE),IMDIV("1",IMPRODUCT("2",COMPLEX(CY_ESR,B942*CY_ESL-1/(B942*CY_C)))),COMPLEX(1/DUMMY_R,0))</f>
        <v>0</v>
      </c>
      <c r="M942">
        <f>IMSUM(D942,IMDIV("1",C942))</f>
        <v>0</v>
      </c>
      <c r="N942">
        <f>IMDIV("1",IMSUM(E942,IMDIV("1",M942)))</f>
        <v>0</v>
      </c>
      <c r="O942">
        <f>IMSUM(F942,N942)</f>
        <v>0</v>
      </c>
      <c r="P942">
        <f>IMDIV("1",IMSUM(G942,IMDIV("1",O942)))</f>
        <v>0</v>
      </c>
      <c r="Q942">
        <f>IMSUM(H942,P942)</f>
        <v>0</v>
      </c>
      <c r="R942">
        <f>IMDIV("1",IMSUM(I942,IMDIV("1",Q942)))</f>
        <v>0</v>
      </c>
      <c r="S942">
        <f>IMSUM(J942,R942)</f>
        <v>0</v>
      </c>
      <c r="T942">
        <f>IMDIV("1",IMSUM(K942,IMDIV("1",S942)))</f>
        <v>0</v>
      </c>
      <c r="U942">
        <f>IMSUM(L942,T942)</f>
        <v>0</v>
      </c>
      <c r="V942">
        <f>IMDIV(COMPLEX(I_DM_SOURCE,0),U942)</f>
        <v>0</v>
      </c>
      <c r="W942">
        <f>IMPRODUCT(V942,T942)</f>
        <v>0</v>
      </c>
      <c r="X942">
        <f>IMDIV(W942,S942)</f>
        <v>0</v>
      </c>
      <c r="Y942">
        <f>IMPRODUCT(X942,R942)</f>
        <v>0</v>
      </c>
      <c r="Z942">
        <f>IMDIV(Y942,Q942)</f>
        <v>0</v>
      </c>
      <c r="AA942">
        <f>IMPRODUCT(Z942,P942)</f>
        <v>0</v>
      </c>
      <c r="AB942">
        <f>AA942</f>
        <v>0</v>
      </c>
      <c r="AC942">
        <f>IMPRODUCT("-1",AB942)</f>
        <v>0</v>
      </c>
      <c r="AD942">
        <f>IMDIV(IMSUB(AB942,AC942),"2")</f>
        <v>0</v>
      </c>
      <c r="AE942" s="6">
        <f>IMABS(AB942)</f>
        <v>0</v>
      </c>
      <c r="AF942" s="6">
        <f>IMABS(AC942)</f>
        <v>0</v>
      </c>
      <c r="AG942" s="6">
        <f>IMABS(AD942)</f>
        <v>0</v>
      </c>
      <c r="AH942" s="7">
        <f>20*LOG10(MAX(AE942,1E-300)*1E6)</f>
        <v>0</v>
      </c>
      <c r="AI942" s="7">
        <f>20*LOG10(MAX(AF942,1E-300)*1E6)</f>
        <v>0</v>
      </c>
      <c r="AJ942" s="7">
        <f>20*LOG10(MAX(AG942,1E-300)*1E6)</f>
        <v>0</v>
      </c>
      <c r="AK942" s="7">
        <f>DEGREES(IMARGUMENT(AB942))</f>
        <v>0</v>
      </c>
      <c r="AL942" s="7">
        <f>DEGREES(IMARGUMENT(AC942))</f>
        <v>0</v>
      </c>
      <c r="AM942" s="7">
        <f>DEGREES(IMARGUMENT(AD942))</f>
        <v>0</v>
      </c>
    </row>
    <row r="943" spans="1:39">
      <c r="A943" s="6">
        <f>10^(LOG10(F_START)+(ROW()-ROW($A$2))*(LOG10(F_STOP)-LOG10(F_START))/(N_POINTS-1))</f>
        <v>0</v>
      </c>
      <c r="B943" s="6">
        <f>2*PI()*A943</f>
        <v>0</v>
      </c>
      <c r="C943">
        <f>COMPLEX(2*LINE_PS_DCR,2*B943*LINE_PS_L)</f>
        <v>0</v>
      </c>
      <c r="D943">
        <f>IMSUM(COMPLEX(0,B943*(LINE_PS_CLINE+LINE_PS_CCHA/2)),IMDIV("1",IMPRODUCT("2",COMPLEX(C_THROUGH_ESR,B943*C_THROUGH_ESL-1/(B943*C_THROUGH_C)))))</f>
        <v>0</v>
      </c>
      <c r="E943">
        <f>COMPLEX(2*LINE_INPUT_DCR,2*B943*LINE_INPUT_L)</f>
        <v>0</v>
      </c>
      <c r="F943">
        <f>COMPLEX(0,B943*(LINE_INPUT_CLINE+LINE_INPUT_CCHA/2))</f>
        <v>0</v>
      </c>
      <c r="G943">
        <f>IMPRODUCT("2",IMDIV("1",IMSUM(IMDIV("1",COMPLEX(LDM1_DCR,B943*LDM1_L)),COMPLEX(0,B943*LDM1_CPA))))</f>
        <v>0</v>
      </c>
      <c r="H943">
        <f>IMSUM(IMDIV("1",COMPLEX(CX1_ESR,B943*CX1_ESL-1/(B943*CX1_C))),IMDIV("1",IMSUM(COMPLEX(DUMP1_R,0),COMPLEX(DUMP1_ESR,B943*DUMP1_ESL-1/(B943*DUMP1_C)))))</f>
        <v>0</v>
      </c>
      <c r="I943">
        <f>IMPRODUCT("2",IMDIV("1",IMSUM(IMDIV("1",COMPLEX(LDM2_DCR,B943*LDM2_L)),COMPLEX(0,B943*LDM2_CPA))))</f>
        <v>0</v>
      </c>
      <c r="J943">
        <f>IMSUM(IMDIV("1",COMPLEX(CX2_ESR,B943*CX2_ESL-1/(B943*CX2_C))),IMDIV("1",IMSUM(COMPLEX(DUMP2_R,0),COMPLEX(DUMP2_ESR,B943*DUMP2_ESL-1/(B943*DUMP2_C)))))</f>
        <v>0</v>
      </c>
      <c r="K943">
        <f>IMPRODUCT("2",IMDIV("1",IMSUM(IMDIV("1",COMPLEX(CMC_DCR,B943*CMC_L*(1-CMC_K))),COMPLEX(0,B943*CMC_CPA))))</f>
        <v>0</v>
      </c>
      <c r="L943">
        <f>IMSUM(COMPLEX(0,B943*CMC_CLINE),IMDIV("1",IMPRODUCT("2",COMPLEX(CY_ESR,B943*CY_ESL-1/(B943*CY_C)))),COMPLEX(1/DUMMY_R,0))</f>
        <v>0</v>
      </c>
      <c r="M943">
        <f>IMSUM(D943,IMDIV("1",C943))</f>
        <v>0</v>
      </c>
      <c r="N943">
        <f>IMDIV("1",IMSUM(E943,IMDIV("1",M943)))</f>
        <v>0</v>
      </c>
      <c r="O943">
        <f>IMSUM(F943,N943)</f>
        <v>0</v>
      </c>
      <c r="P943">
        <f>IMDIV("1",IMSUM(G943,IMDIV("1",O943)))</f>
        <v>0</v>
      </c>
      <c r="Q943">
        <f>IMSUM(H943,P943)</f>
        <v>0</v>
      </c>
      <c r="R943">
        <f>IMDIV("1",IMSUM(I943,IMDIV("1",Q943)))</f>
        <v>0</v>
      </c>
      <c r="S943">
        <f>IMSUM(J943,R943)</f>
        <v>0</v>
      </c>
      <c r="T943">
        <f>IMDIV("1",IMSUM(K943,IMDIV("1",S943)))</f>
        <v>0</v>
      </c>
      <c r="U943">
        <f>IMSUM(L943,T943)</f>
        <v>0</v>
      </c>
      <c r="V943">
        <f>IMDIV(COMPLEX(I_DM_SOURCE,0),U943)</f>
        <v>0</v>
      </c>
      <c r="W943">
        <f>IMPRODUCT(V943,T943)</f>
        <v>0</v>
      </c>
      <c r="X943">
        <f>IMDIV(W943,S943)</f>
        <v>0</v>
      </c>
      <c r="Y943">
        <f>IMPRODUCT(X943,R943)</f>
        <v>0</v>
      </c>
      <c r="Z943">
        <f>IMDIV(Y943,Q943)</f>
        <v>0</v>
      </c>
      <c r="AA943">
        <f>IMPRODUCT(Z943,P943)</f>
        <v>0</v>
      </c>
      <c r="AB943">
        <f>AA943</f>
        <v>0</v>
      </c>
      <c r="AC943">
        <f>IMPRODUCT("-1",AB943)</f>
        <v>0</v>
      </c>
      <c r="AD943">
        <f>IMDIV(IMSUB(AB943,AC943),"2")</f>
        <v>0</v>
      </c>
      <c r="AE943" s="6">
        <f>IMABS(AB943)</f>
        <v>0</v>
      </c>
      <c r="AF943" s="6">
        <f>IMABS(AC943)</f>
        <v>0</v>
      </c>
      <c r="AG943" s="6">
        <f>IMABS(AD943)</f>
        <v>0</v>
      </c>
      <c r="AH943" s="7">
        <f>20*LOG10(MAX(AE943,1E-300)*1E6)</f>
        <v>0</v>
      </c>
      <c r="AI943" s="7">
        <f>20*LOG10(MAX(AF943,1E-300)*1E6)</f>
        <v>0</v>
      </c>
      <c r="AJ943" s="7">
        <f>20*LOG10(MAX(AG943,1E-300)*1E6)</f>
        <v>0</v>
      </c>
      <c r="AK943" s="7">
        <f>DEGREES(IMARGUMENT(AB943))</f>
        <v>0</v>
      </c>
      <c r="AL943" s="7">
        <f>DEGREES(IMARGUMENT(AC943))</f>
        <v>0</v>
      </c>
      <c r="AM943" s="7">
        <f>DEGREES(IMARGUMENT(AD943))</f>
        <v>0</v>
      </c>
    </row>
    <row r="944" spans="1:39">
      <c r="A944" s="6">
        <f>10^(LOG10(F_START)+(ROW()-ROW($A$2))*(LOG10(F_STOP)-LOG10(F_START))/(N_POINTS-1))</f>
        <v>0</v>
      </c>
      <c r="B944" s="6">
        <f>2*PI()*A944</f>
        <v>0</v>
      </c>
      <c r="C944">
        <f>COMPLEX(2*LINE_PS_DCR,2*B944*LINE_PS_L)</f>
        <v>0</v>
      </c>
      <c r="D944">
        <f>IMSUM(COMPLEX(0,B944*(LINE_PS_CLINE+LINE_PS_CCHA/2)),IMDIV("1",IMPRODUCT("2",COMPLEX(C_THROUGH_ESR,B944*C_THROUGH_ESL-1/(B944*C_THROUGH_C)))))</f>
        <v>0</v>
      </c>
      <c r="E944">
        <f>COMPLEX(2*LINE_INPUT_DCR,2*B944*LINE_INPUT_L)</f>
        <v>0</v>
      </c>
      <c r="F944">
        <f>COMPLEX(0,B944*(LINE_INPUT_CLINE+LINE_INPUT_CCHA/2))</f>
        <v>0</v>
      </c>
      <c r="G944">
        <f>IMPRODUCT("2",IMDIV("1",IMSUM(IMDIV("1",COMPLEX(LDM1_DCR,B944*LDM1_L)),COMPLEX(0,B944*LDM1_CPA))))</f>
        <v>0</v>
      </c>
      <c r="H944">
        <f>IMSUM(IMDIV("1",COMPLEX(CX1_ESR,B944*CX1_ESL-1/(B944*CX1_C))),IMDIV("1",IMSUM(COMPLEX(DUMP1_R,0),COMPLEX(DUMP1_ESR,B944*DUMP1_ESL-1/(B944*DUMP1_C)))))</f>
        <v>0</v>
      </c>
      <c r="I944">
        <f>IMPRODUCT("2",IMDIV("1",IMSUM(IMDIV("1",COMPLEX(LDM2_DCR,B944*LDM2_L)),COMPLEX(0,B944*LDM2_CPA))))</f>
        <v>0</v>
      </c>
      <c r="J944">
        <f>IMSUM(IMDIV("1",COMPLEX(CX2_ESR,B944*CX2_ESL-1/(B944*CX2_C))),IMDIV("1",IMSUM(COMPLEX(DUMP2_R,0),COMPLEX(DUMP2_ESR,B944*DUMP2_ESL-1/(B944*DUMP2_C)))))</f>
        <v>0</v>
      </c>
      <c r="K944">
        <f>IMPRODUCT("2",IMDIV("1",IMSUM(IMDIV("1",COMPLEX(CMC_DCR,B944*CMC_L*(1-CMC_K))),COMPLEX(0,B944*CMC_CPA))))</f>
        <v>0</v>
      </c>
      <c r="L944">
        <f>IMSUM(COMPLEX(0,B944*CMC_CLINE),IMDIV("1",IMPRODUCT("2",COMPLEX(CY_ESR,B944*CY_ESL-1/(B944*CY_C)))),COMPLEX(1/DUMMY_R,0))</f>
        <v>0</v>
      </c>
      <c r="M944">
        <f>IMSUM(D944,IMDIV("1",C944))</f>
        <v>0</v>
      </c>
      <c r="N944">
        <f>IMDIV("1",IMSUM(E944,IMDIV("1",M944)))</f>
        <v>0</v>
      </c>
      <c r="O944">
        <f>IMSUM(F944,N944)</f>
        <v>0</v>
      </c>
      <c r="P944">
        <f>IMDIV("1",IMSUM(G944,IMDIV("1",O944)))</f>
        <v>0</v>
      </c>
      <c r="Q944">
        <f>IMSUM(H944,P944)</f>
        <v>0</v>
      </c>
      <c r="R944">
        <f>IMDIV("1",IMSUM(I944,IMDIV("1",Q944)))</f>
        <v>0</v>
      </c>
      <c r="S944">
        <f>IMSUM(J944,R944)</f>
        <v>0</v>
      </c>
      <c r="T944">
        <f>IMDIV("1",IMSUM(K944,IMDIV("1",S944)))</f>
        <v>0</v>
      </c>
      <c r="U944">
        <f>IMSUM(L944,T944)</f>
        <v>0</v>
      </c>
      <c r="V944">
        <f>IMDIV(COMPLEX(I_DM_SOURCE,0),U944)</f>
        <v>0</v>
      </c>
      <c r="W944">
        <f>IMPRODUCT(V944,T944)</f>
        <v>0</v>
      </c>
      <c r="X944">
        <f>IMDIV(W944,S944)</f>
        <v>0</v>
      </c>
      <c r="Y944">
        <f>IMPRODUCT(X944,R944)</f>
        <v>0</v>
      </c>
      <c r="Z944">
        <f>IMDIV(Y944,Q944)</f>
        <v>0</v>
      </c>
      <c r="AA944">
        <f>IMPRODUCT(Z944,P944)</f>
        <v>0</v>
      </c>
      <c r="AB944">
        <f>AA944</f>
        <v>0</v>
      </c>
      <c r="AC944">
        <f>IMPRODUCT("-1",AB944)</f>
        <v>0</v>
      </c>
      <c r="AD944">
        <f>IMDIV(IMSUB(AB944,AC944),"2")</f>
        <v>0</v>
      </c>
      <c r="AE944" s="6">
        <f>IMABS(AB944)</f>
        <v>0</v>
      </c>
      <c r="AF944" s="6">
        <f>IMABS(AC944)</f>
        <v>0</v>
      </c>
      <c r="AG944" s="6">
        <f>IMABS(AD944)</f>
        <v>0</v>
      </c>
      <c r="AH944" s="7">
        <f>20*LOG10(MAX(AE944,1E-300)*1E6)</f>
        <v>0</v>
      </c>
      <c r="AI944" s="7">
        <f>20*LOG10(MAX(AF944,1E-300)*1E6)</f>
        <v>0</v>
      </c>
      <c r="AJ944" s="7">
        <f>20*LOG10(MAX(AG944,1E-300)*1E6)</f>
        <v>0</v>
      </c>
      <c r="AK944" s="7">
        <f>DEGREES(IMARGUMENT(AB944))</f>
        <v>0</v>
      </c>
      <c r="AL944" s="7">
        <f>DEGREES(IMARGUMENT(AC944))</f>
        <v>0</v>
      </c>
      <c r="AM944" s="7">
        <f>DEGREES(IMARGUMENT(AD944))</f>
        <v>0</v>
      </c>
    </row>
    <row r="945" spans="1:39">
      <c r="A945" s="6">
        <f>10^(LOG10(F_START)+(ROW()-ROW($A$2))*(LOG10(F_STOP)-LOG10(F_START))/(N_POINTS-1))</f>
        <v>0</v>
      </c>
      <c r="B945" s="6">
        <f>2*PI()*A945</f>
        <v>0</v>
      </c>
      <c r="C945">
        <f>COMPLEX(2*LINE_PS_DCR,2*B945*LINE_PS_L)</f>
        <v>0</v>
      </c>
      <c r="D945">
        <f>IMSUM(COMPLEX(0,B945*(LINE_PS_CLINE+LINE_PS_CCHA/2)),IMDIV("1",IMPRODUCT("2",COMPLEX(C_THROUGH_ESR,B945*C_THROUGH_ESL-1/(B945*C_THROUGH_C)))))</f>
        <v>0</v>
      </c>
      <c r="E945">
        <f>COMPLEX(2*LINE_INPUT_DCR,2*B945*LINE_INPUT_L)</f>
        <v>0</v>
      </c>
      <c r="F945">
        <f>COMPLEX(0,B945*(LINE_INPUT_CLINE+LINE_INPUT_CCHA/2))</f>
        <v>0</v>
      </c>
      <c r="G945">
        <f>IMPRODUCT("2",IMDIV("1",IMSUM(IMDIV("1",COMPLEX(LDM1_DCR,B945*LDM1_L)),COMPLEX(0,B945*LDM1_CPA))))</f>
        <v>0</v>
      </c>
      <c r="H945">
        <f>IMSUM(IMDIV("1",COMPLEX(CX1_ESR,B945*CX1_ESL-1/(B945*CX1_C))),IMDIV("1",IMSUM(COMPLEX(DUMP1_R,0),COMPLEX(DUMP1_ESR,B945*DUMP1_ESL-1/(B945*DUMP1_C)))))</f>
        <v>0</v>
      </c>
      <c r="I945">
        <f>IMPRODUCT("2",IMDIV("1",IMSUM(IMDIV("1",COMPLEX(LDM2_DCR,B945*LDM2_L)),COMPLEX(0,B945*LDM2_CPA))))</f>
        <v>0</v>
      </c>
      <c r="J945">
        <f>IMSUM(IMDIV("1",COMPLEX(CX2_ESR,B945*CX2_ESL-1/(B945*CX2_C))),IMDIV("1",IMSUM(COMPLEX(DUMP2_R,0),COMPLEX(DUMP2_ESR,B945*DUMP2_ESL-1/(B945*DUMP2_C)))))</f>
        <v>0</v>
      </c>
      <c r="K945">
        <f>IMPRODUCT("2",IMDIV("1",IMSUM(IMDIV("1",COMPLEX(CMC_DCR,B945*CMC_L*(1-CMC_K))),COMPLEX(0,B945*CMC_CPA))))</f>
        <v>0</v>
      </c>
      <c r="L945">
        <f>IMSUM(COMPLEX(0,B945*CMC_CLINE),IMDIV("1",IMPRODUCT("2",COMPLEX(CY_ESR,B945*CY_ESL-1/(B945*CY_C)))),COMPLEX(1/DUMMY_R,0))</f>
        <v>0</v>
      </c>
      <c r="M945">
        <f>IMSUM(D945,IMDIV("1",C945))</f>
        <v>0</v>
      </c>
      <c r="N945">
        <f>IMDIV("1",IMSUM(E945,IMDIV("1",M945)))</f>
        <v>0</v>
      </c>
      <c r="O945">
        <f>IMSUM(F945,N945)</f>
        <v>0</v>
      </c>
      <c r="P945">
        <f>IMDIV("1",IMSUM(G945,IMDIV("1",O945)))</f>
        <v>0</v>
      </c>
      <c r="Q945">
        <f>IMSUM(H945,P945)</f>
        <v>0</v>
      </c>
      <c r="R945">
        <f>IMDIV("1",IMSUM(I945,IMDIV("1",Q945)))</f>
        <v>0</v>
      </c>
      <c r="S945">
        <f>IMSUM(J945,R945)</f>
        <v>0</v>
      </c>
      <c r="T945">
        <f>IMDIV("1",IMSUM(K945,IMDIV("1",S945)))</f>
        <v>0</v>
      </c>
      <c r="U945">
        <f>IMSUM(L945,T945)</f>
        <v>0</v>
      </c>
      <c r="V945">
        <f>IMDIV(COMPLEX(I_DM_SOURCE,0),U945)</f>
        <v>0</v>
      </c>
      <c r="W945">
        <f>IMPRODUCT(V945,T945)</f>
        <v>0</v>
      </c>
      <c r="X945">
        <f>IMDIV(W945,S945)</f>
        <v>0</v>
      </c>
      <c r="Y945">
        <f>IMPRODUCT(X945,R945)</f>
        <v>0</v>
      </c>
      <c r="Z945">
        <f>IMDIV(Y945,Q945)</f>
        <v>0</v>
      </c>
      <c r="AA945">
        <f>IMPRODUCT(Z945,P945)</f>
        <v>0</v>
      </c>
      <c r="AB945">
        <f>AA945</f>
        <v>0</v>
      </c>
      <c r="AC945">
        <f>IMPRODUCT("-1",AB945)</f>
        <v>0</v>
      </c>
      <c r="AD945">
        <f>IMDIV(IMSUB(AB945,AC945),"2")</f>
        <v>0</v>
      </c>
      <c r="AE945" s="6">
        <f>IMABS(AB945)</f>
        <v>0</v>
      </c>
      <c r="AF945" s="6">
        <f>IMABS(AC945)</f>
        <v>0</v>
      </c>
      <c r="AG945" s="6">
        <f>IMABS(AD945)</f>
        <v>0</v>
      </c>
      <c r="AH945" s="7">
        <f>20*LOG10(MAX(AE945,1E-300)*1E6)</f>
        <v>0</v>
      </c>
      <c r="AI945" s="7">
        <f>20*LOG10(MAX(AF945,1E-300)*1E6)</f>
        <v>0</v>
      </c>
      <c r="AJ945" s="7">
        <f>20*LOG10(MAX(AG945,1E-300)*1E6)</f>
        <v>0</v>
      </c>
      <c r="AK945" s="7">
        <f>DEGREES(IMARGUMENT(AB945))</f>
        <v>0</v>
      </c>
      <c r="AL945" s="7">
        <f>DEGREES(IMARGUMENT(AC945))</f>
        <v>0</v>
      </c>
      <c r="AM945" s="7">
        <f>DEGREES(IMARGUMENT(AD945))</f>
        <v>0</v>
      </c>
    </row>
    <row r="946" spans="1:39">
      <c r="A946" s="6">
        <f>10^(LOG10(F_START)+(ROW()-ROW($A$2))*(LOG10(F_STOP)-LOG10(F_START))/(N_POINTS-1))</f>
        <v>0</v>
      </c>
      <c r="B946" s="6">
        <f>2*PI()*A946</f>
        <v>0</v>
      </c>
      <c r="C946">
        <f>COMPLEX(2*LINE_PS_DCR,2*B946*LINE_PS_L)</f>
        <v>0</v>
      </c>
      <c r="D946">
        <f>IMSUM(COMPLEX(0,B946*(LINE_PS_CLINE+LINE_PS_CCHA/2)),IMDIV("1",IMPRODUCT("2",COMPLEX(C_THROUGH_ESR,B946*C_THROUGH_ESL-1/(B946*C_THROUGH_C)))))</f>
        <v>0</v>
      </c>
      <c r="E946">
        <f>COMPLEX(2*LINE_INPUT_DCR,2*B946*LINE_INPUT_L)</f>
        <v>0</v>
      </c>
      <c r="F946">
        <f>COMPLEX(0,B946*(LINE_INPUT_CLINE+LINE_INPUT_CCHA/2))</f>
        <v>0</v>
      </c>
      <c r="G946">
        <f>IMPRODUCT("2",IMDIV("1",IMSUM(IMDIV("1",COMPLEX(LDM1_DCR,B946*LDM1_L)),COMPLEX(0,B946*LDM1_CPA))))</f>
        <v>0</v>
      </c>
      <c r="H946">
        <f>IMSUM(IMDIV("1",COMPLEX(CX1_ESR,B946*CX1_ESL-1/(B946*CX1_C))),IMDIV("1",IMSUM(COMPLEX(DUMP1_R,0),COMPLEX(DUMP1_ESR,B946*DUMP1_ESL-1/(B946*DUMP1_C)))))</f>
        <v>0</v>
      </c>
      <c r="I946">
        <f>IMPRODUCT("2",IMDIV("1",IMSUM(IMDIV("1",COMPLEX(LDM2_DCR,B946*LDM2_L)),COMPLEX(0,B946*LDM2_CPA))))</f>
        <v>0</v>
      </c>
      <c r="J946">
        <f>IMSUM(IMDIV("1",COMPLEX(CX2_ESR,B946*CX2_ESL-1/(B946*CX2_C))),IMDIV("1",IMSUM(COMPLEX(DUMP2_R,0),COMPLEX(DUMP2_ESR,B946*DUMP2_ESL-1/(B946*DUMP2_C)))))</f>
        <v>0</v>
      </c>
      <c r="K946">
        <f>IMPRODUCT("2",IMDIV("1",IMSUM(IMDIV("1",COMPLEX(CMC_DCR,B946*CMC_L*(1-CMC_K))),COMPLEX(0,B946*CMC_CPA))))</f>
        <v>0</v>
      </c>
      <c r="L946">
        <f>IMSUM(COMPLEX(0,B946*CMC_CLINE),IMDIV("1",IMPRODUCT("2",COMPLEX(CY_ESR,B946*CY_ESL-1/(B946*CY_C)))),COMPLEX(1/DUMMY_R,0))</f>
        <v>0</v>
      </c>
      <c r="M946">
        <f>IMSUM(D946,IMDIV("1",C946))</f>
        <v>0</v>
      </c>
      <c r="N946">
        <f>IMDIV("1",IMSUM(E946,IMDIV("1",M946)))</f>
        <v>0</v>
      </c>
      <c r="O946">
        <f>IMSUM(F946,N946)</f>
        <v>0</v>
      </c>
      <c r="P946">
        <f>IMDIV("1",IMSUM(G946,IMDIV("1",O946)))</f>
        <v>0</v>
      </c>
      <c r="Q946">
        <f>IMSUM(H946,P946)</f>
        <v>0</v>
      </c>
      <c r="R946">
        <f>IMDIV("1",IMSUM(I946,IMDIV("1",Q946)))</f>
        <v>0</v>
      </c>
      <c r="S946">
        <f>IMSUM(J946,R946)</f>
        <v>0</v>
      </c>
      <c r="T946">
        <f>IMDIV("1",IMSUM(K946,IMDIV("1",S946)))</f>
        <v>0</v>
      </c>
      <c r="U946">
        <f>IMSUM(L946,T946)</f>
        <v>0</v>
      </c>
      <c r="V946">
        <f>IMDIV(COMPLEX(I_DM_SOURCE,0),U946)</f>
        <v>0</v>
      </c>
      <c r="W946">
        <f>IMPRODUCT(V946,T946)</f>
        <v>0</v>
      </c>
      <c r="X946">
        <f>IMDIV(W946,S946)</f>
        <v>0</v>
      </c>
      <c r="Y946">
        <f>IMPRODUCT(X946,R946)</f>
        <v>0</v>
      </c>
      <c r="Z946">
        <f>IMDIV(Y946,Q946)</f>
        <v>0</v>
      </c>
      <c r="AA946">
        <f>IMPRODUCT(Z946,P946)</f>
        <v>0</v>
      </c>
      <c r="AB946">
        <f>AA946</f>
        <v>0</v>
      </c>
      <c r="AC946">
        <f>IMPRODUCT("-1",AB946)</f>
        <v>0</v>
      </c>
      <c r="AD946">
        <f>IMDIV(IMSUB(AB946,AC946),"2")</f>
        <v>0</v>
      </c>
      <c r="AE946" s="6">
        <f>IMABS(AB946)</f>
        <v>0</v>
      </c>
      <c r="AF946" s="6">
        <f>IMABS(AC946)</f>
        <v>0</v>
      </c>
      <c r="AG946" s="6">
        <f>IMABS(AD946)</f>
        <v>0</v>
      </c>
      <c r="AH946" s="7">
        <f>20*LOG10(MAX(AE946,1E-300)*1E6)</f>
        <v>0</v>
      </c>
      <c r="AI946" s="7">
        <f>20*LOG10(MAX(AF946,1E-300)*1E6)</f>
        <v>0</v>
      </c>
      <c r="AJ946" s="7">
        <f>20*LOG10(MAX(AG946,1E-300)*1E6)</f>
        <v>0</v>
      </c>
      <c r="AK946" s="7">
        <f>DEGREES(IMARGUMENT(AB946))</f>
        <v>0</v>
      </c>
      <c r="AL946" s="7">
        <f>DEGREES(IMARGUMENT(AC946))</f>
        <v>0</v>
      </c>
      <c r="AM946" s="7">
        <f>DEGREES(IMARGUMENT(AD946))</f>
        <v>0</v>
      </c>
    </row>
    <row r="947" spans="1:39">
      <c r="A947" s="6">
        <f>10^(LOG10(F_START)+(ROW()-ROW($A$2))*(LOG10(F_STOP)-LOG10(F_START))/(N_POINTS-1))</f>
        <v>0</v>
      </c>
      <c r="B947" s="6">
        <f>2*PI()*A947</f>
        <v>0</v>
      </c>
      <c r="C947">
        <f>COMPLEX(2*LINE_PS_DCR,2*B947*LINE_PS_L)</f>
        <v>0</v>
      </c>
      <c r="D947">
        <f>IMSUM(COMPLEX(0,B947*(LINE_PS_CLINE+LINE_PS_CCHA/2)),IMDIV("1",IMPRODUCT("2",COMPLEX(C_THROUGH_ESR,B947*C_THROUGH_ESL-1/(B947*C_THROUGH_C)))))</f>
        <v>0</v>
      </c>
      <c r="E947">
        <f>COMPLEX(2*LINE_INPUT_DCR,2*B947*LINE_INPUT_L)</f>
        <v>0</v>
      </c>
      <c r="F947">
        <f>COMPLEX(0,B947*(LINE_INPUT_CLINE+LINE_INPUT_CCHA/2))</f>
        <v>0</v>
      </c>
      <c r="G947">
        <f>IMPRODUCT("2",IMDIV("1",IMSUM(IMDIV("1",COMPLEX(LDM1_DCR,B947*LDM1_L)),COMPLEX(0,B947*LDM1_CPA))))</f>
        <v>0</v>
      </c>
      <c r="H947">
        <f>IMSUM(IMDIV("1",COMPLEX(CX1_ESR,B947*CX1_ESL-1/(B947*CX1_C))),IMDIV("1",IMSUM(COMPLEX(DUMP1_R,0),COMPLEX(DUMP1_ESR,B947*DUMP1_ESL-1/(B947*DUMP1_C)))))</f>
        <v>0</v>
      </c>
      <c r="I947">
        <f>IMPRODUCT("2",IMDIV("1",IMSUM(IMDIV("1",COMPLEX(LDM2_DCR,B947*LDM2_L)),COMPLEX(0,B947*LDM2_CPA))))</f>
        <v>0</v>
      </c>
      <c r="J947">
        <f>IMSUM(IMDIV("1",COMPLEX(CX2_ESR,B947*CX2_ESL-1/(B947*CX2_C))),IMDIV("1",IMSUM(COMPLEX(DUMP2_R,0),COMPLEX(DUMP2_ESR,B947*DUMP2_ESL-1/(B947*DUMP2_C)))))</f>
        <v>0</v>
      </c>
      <c r="K947">
        <f>IMPRODUCT("2",IMDIV("1",IMSUM(IMDIV("1",COMPLEX(CMC_DCR,B947*CMC_L*(1-CMC_K))),COMPLEX(0,B947*CMC_CPA))))</f>
        <v>0</v>
      </c>
      <c r="L947">
        <f>IMSUM(COMPLEX(0,B947*CMC_CLINE),IMDIV("1",IMPRODUCT("2",COMPLEX(CY_ESR,B947*CY_ESL-1/(B947*CY_C)))),COMPLEX(1/DUMMY_R,0))</f>
        <v>0</v>
      </c>
      <c r="M947">
        <f>IMSUM(D947,IMDIV("1",C947))</f>
        <v>0</v>
      </c>
      <c r="N947">
        <f>IMDIV("1",IMSUM(E947,IMDIV("1",M947)))</f>
        <v>0</v>
      </c>
      <c r="O947">
        <f>IMSUM(F947,N947)</f>
        <v>0</v>
      </c>
      <c r="P947">
        <f>IMDIV("1",IMSUM(G947,IMDIV("1",O947)))</f>
        <v>0</v>
      </c>
      <c r="Q947">
        <f>IMSUM(H947,P947)</f>
        <v>0</v>
      </c>
      <c r="R947">
        <f>IMDIV("1",IMSUM(I947,IMDIV("1",Q947)))</f>
        <v>0</v>
      </c>
      <c r="S947">
        <f>IMSUM(J947,R947)</f>
        <v>0</v>
      </c>
      <c r="T947">
        <f>IMDIV("1",IMSUM(K947,IMDIV("1",S947)))</f>
        <v>0</v>
      </c>
      <c r="U947">
        <f>IMSUM(L947,T947)</f>
        <v>0</v>
      </c>
      <c r="V947">
        <f>IMDIV(COMPLEX(I_DM_SOURCE,0),U947)</f>
        <v>0</v>
      </c>
      <c r="W947">
        <f>IMPRODUCT(V947,T947)</f>
        <v>0</v>
      </c>
      <c r="X947">
        <f>IMDIV(W947,S947)</f>
        <v>0</v>
      </c>
      <c r="Y947">
        <f>IMPRODUCT(X947,R947)</f>
        <v>0</v>
      </c>
      <c r="Z947">
        <f>IMDIV(Y947,Q947)</f>
        <v>0</v>
      </c>
      <c r="AA947">
        <f>IMPRODUCT(Z947,P947)</f>
        <v>0</v>
      </c>
      <c r="AB947">
        <f>AA947</f>
        <v>0</v>
      </c>
      <c r="AC947">
        <f>IMPRODUCT("-1",AB947)</f>
        <v>0</v>
      </c>
      <c r="AD947">
        <f>IMDIV(IMSUB(AB947,AC947),"2")</f>
        <v>0</v>
      </c>
      <c r="AE947" s="6">
        <f>IMABS(AB947)</f>
        <v>0</v>
      </c>
      <c r="AF947" s="6">
        <f>IMABS(AC947)</f>
        <v>0</v>
      </c>
      <c r="AG947" s="6">
        <f>IMABS(AD947)</f>
        <v>0</v>
      </c>
      <c r="AH947" s="7">
        <f>20*LOG10(MAX(AE947,1E-300)*1E6)</f>
        <v>0</v>
      </c>
      <c r="AI947" s="7">
        <f>20*LOG10(MAX(AF947,1E-300)*1E6)</f>
        <v>0</v>
      </c>
      <c r="AJ947" s="7">
        <f>20*LOG10(MAX(AG947,1E-300)*1E6)</f>
        <v>0</v>
      </c>
      <c r="AK947" s="7">
        <f>DEGREES(IMARGUMENT(AB947))</f>
        <v>0</v>
      </c>
      <c r="AL947" s="7">
        <f>DEGREES(IMARGUMENT(AC947))</f>
        <v>0</v>
      </c>
      <c r="AM947" s="7">
        <f>DEGREES(IMARGUMENT(AD947))</f>
        <v>0</v>
      </c>
    </row>
    <row r="948" spans="1:39">
      <c r="A948" s="6">
        <f>10^(LOG10(F_START)+(ROW()-ROW($A$2))*(LOG10(F_STOP)-LOG10(F_START))/(N_POINTS-1))</f>
        <v>0</v>
      </c>
      <c r="B948" s="6">
        <f>2*PI()*A948</f>
        <v>0</v>
      </c>
      <c r="C948">
        <f>COMPLEX(2*LINE_PS_DCR,2*B948*LINE_PS_L)</f>
        <v>0</v>
      </c>
      <c r="D948">
        <f>IMSUM(COMPLEX(0,B948*(LINE_PS_CLINE+LINE_PS_CCHA/2)),IMDIV("1",IMPRODUCT("2",COMPLEX(C_THROUGH_ESR,B948*C_THROUGH_ESL-1/(B948*C_THROUGH_C)))))</f>
        <v>0</v>
      </c>
      <c r="E948">
        <f>COMPLEX(2*LINE_INPUT_DCR,2*B948*LINE_INPUT_L)</f>
        <v>0</v>
      </c>
      <c r="F948">
        <f>COMPLEX(0,B948*(LINE_INPUT_CLINE+LINE_INPUT_CCHA/2))</f>
        <v>0</v>
      </c>
      <c r="G948">
        <f>IMPRODUCT("2",IMDIV("1",IMSUM(IMDIV("1",COMPLEX(LDM1_DCR,B948*LDM1_L)),COMPLEX(0,B948*LDM1_CPA))))</f>
        <v>0</v>
      </c>
      <c r="H948">
        <f>IMSUM(IMDIV("1",COMPLEX(CX1_ESR,B948*CX1_ESL-1/(B948*CX1_C))),IMDIV("1",IMSUM(COMPLEX(DUMP1_R,0),COMPLEX(DUMP1_ESR,B948*DUMP1_ESL-1/(B948*DUMP1_C)))))</f>
        <v>0</v>
      </c>
      <c r="I948">
        <f>IMPRODUCT("2",IMDIV("1",IMSUM(IMDIV("1",COMPLEX(LDM2_DCR,B948*LDM2_L)),COMPLEX(0,B948*LDM2_CPA))))</f>
        <v>0</v>
      </c>
      <c r="J948">
        <f>IMSUM(IMDIV("1",COMPLEX(CX2_ESR,B948*CX2_ESL-1/(B948*CX2_C))),IMDIV("1",IMSUM(COMPLEX(DUMP2_R,0),COMPLEX(DUMP2_ESR,B948*DUMP2_ESL-1/(B948*DUMP2_C)))))</f>
        <v>0</v>
      </c>
      <c r="K948">
        <f>IMPRODUCT("2",IMDIV("1",IMSUM(IMDIV("1",COMPLEX(CMC_DCR,B948*CMC_L*(1-CMC_K))),COMPLEX(0,B948*CMC_CPA))))</f>
        <v>0</v>
      </c>
      <c r="L948">
        <f>IMSUM(COMPLEX(0,B948*CMC_CLINE),IMDIV("1",IMPRODUCT("2",COMPLEX(CY_ESR,B948*CY_ESL-1/(B948*CY_C)))),COMPLEX(1/DUMMY_R,0))</f>
        <v>0</v>
      </c>
      <c r="M948">
        <f>IMSUM(D948,IMDIV("1",C948))</f>
        <v>0</v>
      </c>
      <c r="N948">
        <f>IMDIV("1",IMSUM(E948,IMDIV("1",M948)))</f>
        <v>0</v>
      </c>
      <c r="O948">
        <f>IMSUM(F948,N948)</f>
        <v>0</v>
      </c>
      <c r="P948">
        <f>IMDIV("1",IMSUM(G948,IMDIV("1",O948)))</f>
        <v>0</v>
      </c>
      <c r="Q948">
        <f>IMSUM(H948,P948)</f>
        <v>0</v>
      </c>
      <c r="R948">
        <f>IMDIV("1",IMSUM(I948,IMDIV("1",Q948)))</f>
        <v>0</v>
      </c>
      <c r="S948">
        <f>IMSUM(J948,R948)</f>
        <v>0</v>
      </c>
      <c r="T948">
        <f>IMDIV("1",IMSUM(K948,IMDIV("1",S948)))</f>
        <v>0</v>
      </c>
      <c r="U948">
        <f>IMSUM(L948,T948)</f>
        <v>0</v>
      </c>
      <c r="V948">
        <f>IMDIV(COMPLEX(I_DM_SOURCE,0),U948)</f>
        <v>0</v>
      </c>
      <c r="W948">
        <f>IMPRODUCT(V948,T948)</f>
        <v>0</v>
      </c>
      <c r="X948">
        <f>IMDIV(W948,S948)</f>
        <v>0</v>
      </c>
      <c r="Y948">
        <f>IMPRODUCT(X948,R948)</f>
        <v>0</v>
      </c>
      <c r="Z948">
        <f>IMDIV(Y948,Q948)</f>
        <v>0</v>
      </c>
      <c r="AA948">
        <f>IMPRODUCT(Z948,P948)</f>
        <v>0</v>
      </c>
      <c r="AB948">
        <f>AA948</f>
        <v>0</v>
      </c>
      <c r="AC948">
        <f>IMPRODUCT("-1",AB948)</f>
        <v>0</v>
      </c>
      <c r="AD948">
        <f>IMDIV(IMSUB(AB948,AC948),"2")</f>
        <v>0</v>
      </c>
      <c r="AE948" s="6">
        <f>IMABS(AB948)</f>
        <v>0</v>
      </c>
      <c r="AF948" s="6">
        <f>IMABS(AC948)</f>
        <v>0</v>
      </c>
      <c r="AG948" s="6">
        <f>IMABS(AD948)</f>
        <v>0</v>
      </c>
      <c r="AH948" s="7">
        <f>20*LOG10(MAX(AE948,1E-300)*1E6)</f>
        <v>0</v>
      </c>
      <c r="AI948" s="7">
        <f>20*LOG10(MAX(AF948,1E-300)*1E6)</f>
        <v>0</v>
      </c>
      <c r="AJ948" s="7">
        <f>20*LOG10(MAX(AG948,1E-300)*1E6)</f>
        <v>0</v>
      </c>
      <c r="AK948" s="7">
        <f>DEGREES(IMARGUMENT(AB948))</f>
        <v>0</v>
      </c>
      <c r="AL948" s="7">
        <f>DEGREES(IMARGUMENT(AC948))</f>
        <v>0</v>
      </c>
      <c r="AM948" s="7">
        <f>DEGREES(IMARGUMENT(AD948))</f>
        <v>0</v>
      </c>
    </row>
    <row r="949" spans="1:39">
      <c r="A949" s="6">
        <f>10^(LOG10(F_START)+(ROW()-ROW($A$2))*(LOG10(F_STOP)-LOG10(F_START))/(N_POINTS-1))</f>
        <v>0</v>
      </c>
      <c r="B949" s="6">
        <f>2*PI()*A949</f>
        <v>0</v>
      </c>
      <c r="C949">
        <f>COMPLEX(2*LINE_PS_DCR,2*B949*LINE_PS_L)</f>
        <v>0</v>
      </c>
      <c r="D949">
        <f>IMSUM(COMPLEX(0,B949*(LINE_PS_CLINE+LINE_PS_CCHA/2)),IMDIV("1",IMPRODUCT("2",COMPLEX(C_THROUGH_ESR,B949*C_THROUGH_ESL-1/(B949*C_THROUGH_C)))))</f>
        <v>0</v>
      </c>
      <c r="E949">
        <f>COMPLEX(2*LINE_INPUT_DCR,2*B949*LINE_INPUT_L)</f>
        <v>0</v>
      </c>
      <c r="F949">
        <f>COMPLEX(0,B949*(LINE_INPUT_CLINE+LINE_INPUT_CCHA/2))</f>
        <v>0</v>
      </c>
      <c r="G949">
        <f>IMPRODUCT("2",IMDIV("1",IMSUM(IMDIV("1",COMPLEX(LDM1_DCR,B949*LDM1_L)),COMPLEX(0,B949*LDM1_CPA))))</f>
        <v>0</v>
      </c>
      <c r="H949">
        <f>IMSUM(IMDIV("1",COMPLEX(CX1_ESR,B949*CX1_ESL-1/(B949*CX1_C))),IMDIV("1",IMSUM(COMPLEX(DUMP1_R,0),COMPLEX(DUMP1_ESR,B949*DUMP1_ESL-1/(B949*DUMP1_C)))))</f>
        <v>0</v>
      </c>
      <c r="I949">
        <f>IMPRODUCT("2",IMDIV("1",IMSUM(IMDIV("1",COMPLEX(LDM2_DCR,B949*LDM2_L)),COMPLEX(0,B949*LDM2_CPA))))</f>
        <v>0</v>
      </c>
      <c r="J949">
        <f>IMSUM(IMDIV("1",COMPLEX(CX2_ESR,B949*CX2_ESL-1/(B949*CX2_C))),IMDIV("1",IMSUM(COMPLEX(DUMP2_R,0),COMPLEX(DUMP2_ESR,B949*DUMP2_ESL-1/(B949*DUMP2_C)))))</f>
        <v>0</v>
      </c>
      <c r="K949">
        <f>IMPRODUCT("2",IMDIV("1",IMSUM(IMDIV("1",COMPLEX(CMC_DCR,B949*CMC_L*(1-CMC_K))),COMPLEX(0,B949*CMC_CPA))))</f>
        <v>0</v>
      </c>
      <c r="L949">
        <f>IMSUM(COMPLEX(0,B949*CMC_CLINE),IMDIV("1",IMPRODUCT("2",COMPLEX(CY_ESR,B949*CY_ESL-1/(B949*CY_C)))),COMPLEX(1/DUMMY_R,0))</f>
        <v>0</v>
      </c>
      <c r="M949">
        <f>IMSUM(D949,IMDIV("1",C949))</f>
        <v>0</v>
      </c>
      <c r="N949">
        <f>IMDIV("1",IMSUM(E949,IMDIV("1",M949)))</f>
        <v>0</v>
      </c>
      <c r="O949">
        <f>IMSUM(F949,N949)</f>
        <v>0</v>
      </c>
      <c r="P949">
        <f>IMDIV("1",IMSUM(G949,IMDIV("1",O949)))</f>
        <v>0</v>
      </c>
      <c r="Q949">
        <f>IMSUM(H949,P949)</f>
        <v>0</v>
      </c>
      <c r="R949">
        <f>IMDIV("1",IMSUM(I949,IMDIV("1",Q949)))</f>
        <v>0</v>
      </c>
      <c r="S949">
        <f>IMSUM(J949,R949)</f>
        <v>0</v>
      </c>
      <c r="T949">
        <f>IMDIV("1",IMSUM(K949,IMDIV("1",S949)))</f>
        <v>0</v>
      </c>
      <c r="U949">
        <f>IMSUM(L949,T949)</f>
        <v>0</v>
      </c>
      <c r="V949">
        <f>IMDIV(COMPLEX(I_DM_SOURCE,0),U949)</f>
        <v>0</v>
      </c>
      <c r="W949">
        <f>IMPRODUCT(V949,T949)</f>
        <v>0</v>
      </c>
      <c r="X949">
        <f>IMDIV(W949,S949)</f>
        <v>0</v>
      </c>
      <c r="Y949">
        <f>IMPRODUCT(X949,R949)</f>
        <v>0</v>
      </c>
      <c r="Z949">
        <f>IMDIV(Y949,Q949)</f>
        <v>0</v>
      </c>
      <c r="AA949">
        <f>IMPRODUCT(Z949,P949)</f>
        <v>0</v>
      </c>
      <c r="AB949">
        <f>AA949</f>
        <v>0</v>
      </c>
      <c r="AC949">
        <f>IMPRODUCT("-1",AB949)</f>
        <v>0</v>
      </c>
      <c r="AD949">
        <f>IMDIV(IMSUB(AB949,AC949),"2")</f>
        <v>0</v>
      </c>
      <c r="AE949" s="6">
        <f>IMABS(AB949)</f>
        <v>0</v>
      </c>
      <c r="AF949" s="6">
        <f>IMABS(AC949)</f>
        <v>0</v>
      </c>
      <c r="AG949" s="6">
        <f>IMABS(AD949)</f>
        <v>0</v>
      </c>
      <c r="AH949" s="7">
        <f>20*LOG10(MAX(AE949,1E-300)*1E6)</f>
        <v>0</v>
      </c>
      <c r="AI949" s="7">
        <f>20*LOG10(MAX(AF949,1E-300)*1E6)</f>
        <v>0</v>
      </c>
      <c r="AJ949" s="7">
        <f>20*LOG10(MAX(AG949,1E-300)*1E6)</f>
        <v>0</v>
      </c>
      <c r="AK949" s="7">
        <f>DEGREES(IMARGUMENT(AB949))</f>
        <v>0</v>
      </c>
      <c r="AL949" s="7">
        <f>DEGREES(IMARGUMENT(AC949))</f>
        <v>0</v>
      </c>
      <c r="AM949" s="7">
        <f>DEGREES(IMARGUMENT(AD949))</f>
        <v>0</v>
      </c>
    </row>
    <row r="950" spans="1:39">
      <c r="A950" s="6">
        <f>10^(LOG10(F_START)+(ROW()-ROW($A$2))*(LOG10(F_STOP)-LOG10(F_START))/(N_POINTS-1))</f>
        <v>0</v>
      </c>
      <c r="B950" s="6">
        <f>2*PI()*A950</f>
        <v>0</v>
      </c>
      <c r="C950">
        <f>COMPLEX(2*LINE_PS_DCR,2*B950*LINE_PS_L)</f>
        <v>0</v>
      </c>
      <c r="D950">
        <f>IMSUM(COMPLEX(0,B950*(LINE_PS_CLINE+LINE_PS_CCHA/2)),IMDIV("1",IMPRODUCT("2",COMPLEX(C_THROUGH_ESR,B950*C_THROUGH_ESL-1/(B950*C_THROUGH_C)))))</f>
        <v>0</v>
      </c>
      <c r="E950">
        <f>COMPLEX(2*LINE_INPUT_DCR,2*B950*LINE_INPUT_L)</f>
        <v>0</v>
      </c>
      <c r="F950">
        <f>COMPLEX(0,B950*(LINE_INPUT_CLINE+LINE_INPUT_CCHA/2))</f>
        <v>0</v>
      </c>
      <c r="G950">
        <f>IMPRODUCT("2",IMDIV("1",IMSUM(IMDIV("1",COMPLEX(LDM1_DCR,B950*LDM1_L)),COMPLEX(0,B950*LDM1_CPA))))</f>
        <v>0</v>
      </c>
      <c r="H950">
        <f>IMSUM(IMDIV("1",COMPLEX(CX1_ESR,B950*CX1_ESL-1/(B950*CX1_C))),IMDIV("1",IMSUM(COMPLEX(DUMP1_R,0),COMPLEX(DUMP1_ESR,B950*DUMP1_ESL-1/(B950*DUMP1_C)))))</f>
        <v>0</v>
      </c>
      <c r="I950">
        <f>IMPRODUCT("2",IMDIV("1",IMSUM(IMDIV("1",COMPLEX(LDM2_DCR,B950*LDM2_L)),COMPLEX(0,B950*LDM2_CPA))))</f>
        <v>0</v>
      </c>
      <c r="J950">
        <f>IMSUM(IMDIV("1",COMPLEX(CX2_ESR,B950*CX2_ESL-1/(B950*CX2_C))),IMDIV("1",IMSUM(COMPLEX(DUMP2_R,0),COMPLEX(DUMP2_ESR,B950*DUMP2_ESL-1/(B950*DUMP2_C)))))</f>
        <v>0</v>
      </c>
      <c r="K950">
        <f>IMPRODUCT("2",IMDIV("1",IMSUM(IMDIV("1",COMPLEX(CMC_DCR,B950*CMC_L*(1-CMC_K))),COMPLEX(0,B950*CMC_CPA))))</f>
        <v>0</v>
      </c>
      <c r="L950">
        <f>IMSUM(COMPLEX(0,B950*CMC_CLINE),IMDIV("1",IMPRODUCT("2",COMPLEX(CY_ESR,B950*CY_ESL-1/(B950*CY_C)))),COMPLEX(1/DUMMY_R,0))</f>
        <v>0</v>
      </c>
      <c r="M950">
        <f>IMSUM(D950,IMDIV("1",C950))</f>
        <v>0</v>
      </c>
      <c r="N950">
        <f>IMDIV("1",IMSUM(E950,IMDIV("1",M950)))</f>
        <v>0</v>
      </c>
      <c r="O950">
        <f>IMSUM(F950,N950)</f>
        <v>0</v>
      </c>
      <c r="P950">
        <f>IMDIV("1",IMSUM(G950,IMDIV("1",O950)))</f>
        <v>0</v>
      </c>
      <c r="Q950">
        <f>IMSUM(H950,P950)</f>
        <v>0</v>
      </c>
      <c r="R950">
        <f>IMDIV("1",IMSUM(I950,IMDIV("1",Q950)))</f>
        <v>0</v>
      </c>
      <c r="S950">
        <f>IMSUM(J950,R950)</f>
        <v>0</v>
      </c>
      <c r="T950">
        <f>IMDIV("1",IMSUM(K950,IMDIV("1",S950)))</f>
        <v>0</v>
      </c>
      <c r="U950">
        <f>IMSUM(L950,T950)</f>
        <v>0</v>
      </c>
      <c r="V950">
        <f>IMDIV(COMPLEX(I_DM_SOURCE,0),U950)</f>
        <v>0</v>
      </c>
      <c r="W950">
        <f>IMPRODUCT(V950,T950)</f>
        <v>0</v>
      </c>
      <c r="X950">
        <f>IMDIV(W950,S950)</f>
        <v>0</v>
      </c>
      <c r="Y950">
        <f>IMPRODUCT(X950,R950)</f>
        <v>0</v>
      </c>
      <c r="Z950">
        <f>IMDIV(Y950,Q950)</f>
        <v>0</v>
      </c>
      <c r="AA950">
        <f>IMPRODUCT(Z950,P950)</f>
        <v>0</v>
      </c>
      <c r="AB950">
        <f>AA950</f>
        <v>0</v>
      </c>
      <c r="AC950">
        <f>IMPRODUCT("-1",AB950)</f>
        <v>0</v>
      </c>
      <c r="AD950">
        <f>IMDIV(IMSUB(AB950,AC950),"2")</f>
        <v>0</v>
      </c>
      <c r="AE950" s="6">
        <f>IMABS(AB950)</f>
        <v>0</v>
      </c>
      <c r="AF950" s="6">
        <f>IMABS(AC950)</f>
        <v>0</v>
      </c>
      <c r="AG950" s="6">
        <f>IMABS(AD950)</f>
        <v>0</v>
      </c>
      <c r="AH950" s="7">
        <f>20*LOG10(MAX(AE950,1E-300)*1E6)</f>
        <v>0</v>
      </c>
      <c r="AI950" s="7">
        <f>20*LOG10(MAX(AF950,1E-300)*1E6)</f>
        <v>0</v>
      </c>
      <c r="AJ950" s="7">
        <f>20*LOG10(MAX(AG950,1E-300)*1E6)</f>
        <v>0</v>
      </c>
      <c r="AK950" s="7">
        <f>DEGREES(IMARGUMENT(AB950))</f>
        <v>0</v>
      </c>
      <c r="AL950" s="7">
        <f>DEGREES(IMARGUMENT(AC950))</f>
        <v>0</v>
      </c>
      <c r="AM950" s="7">
        <f>DEGREES(IMARGUMENT(AD950))</f>
        <v>0</v>
      </c>
    </row>
    <row r="951" spans="1:39">
      <c r="A951" s="6">
        <f>10^(LOG10(F_START)+(ROW()-ROW($A$2))*(LOG10(F_STOP)-LOG10(F_START))/(N_POINTS-1))</f>
        <v>0</v>
      </c>
      <c r="B951" s="6">
        <f>2*PI()*A951</f>
        <v>0</v>
      </c>
      <c r="C951">
        <f>COMPLEX(2*LINE_PS_DCR,2*B951*LINE_PS_L)</f>
        <v>0</v>
      </c>
      <c r="D951">
        <f>IMSUM(COMPLEX(0,B951*(LINE_PS_CLINE+LINE_PS_CCHA/2)),IMDIV("1",IMPRODUCT("2",COMPLEX(C_THROUGH_ESR,B951*C_THROUGH_ESL-1/(B951*C_THROUGH_C)))))</f>
        <v>0</v>
      </c>
      <c r="E951">
        <f>COMPLEX(2*LINE_INPUT_DCR,2*B951*LINE_INPUT_L)</f>
        <v>0</v>
      </c>
      <c r="F951">
        <f>COMPLEX(0,B951*(LINE_INPUT_CLINE+LINE_INPUT_CCHA/2))</f>
        <v>0</v>
      </c>
      <c r="G951">
        <f>IMPRODUCT("2",IMDIV("1",IMSUM(IMDIV("1",COMPLEX(LDM1_DCR,B951*LDM1_L)),COMPLEX(0,B951*LDM1_CPA))))</f>
        <v>0</v>
      </c>
      <c r="H951">
        <f>IMSUM(IMDIV("1",COMPLEX(CX1_ESR,B951*CX1_ESL-1/(B951*CX1_C))),IMDIV("1",IMSUM(COMPLEX(DUMP1_R,0),COMPLEX(DUMP1_ESR,B951*DUMP1_ESL-1/(B951*DUMP1_C)))))</f>
        <v>0</v>
      </c>
      <c r="I951">
        <f>IMPRODUCT("2",IMDIV("1",IMSUM(IMDIV("1",COMPLEX(LDM2_DCR,B951*LDM2_L)),COMPLEX(0,B951*LDM2_CPA))))</f>
        <v>0</v>
      </c>
      <c r="J951">
        <f>IMSUM(IMDIV("1",COMPLEX(CX2_ESR,B951*CX2_ESL-1/(B951*CX2_C))),IMDIV("1",IMSUM(COMPLEX(DUMP2_R,0),COMPLEX(DUMP2_ESR,B951*DUMP2_ESL-1/(B951*DUMP2_C)))))</f>
        <v>0</v>
      </c>
      <c r="K951">
        <f>IMPRODUCT("2",IMDIV("1",IMSUM(IMDIV("1",COMPLEX(CMC_DCR,B951*CMC_L*(1-CMC_K))),COMPLEX(0,B951*CMC_CPA))))</f>
        <v>0</v>
      </c>
      <c r="L951">
        <f>IMSUM(COMPLEX(0,B951*CMC_CLINE),IMDIV("1",IMPRODUCT("2",COMPLEX(CY_ESR,B951*CY_ESL-1/(B951*CY_C)))),COMPLEX(1/DUMMY_R,0))</f>
        <v>0</v>
      </c>
      <c r="M951">
        <f>IMSUM(D951,IMDIV("1",C951))</f>
        <v>0</v>
      </c>
      <c r="N951">
        <f>IMDIV("1",IMSUM(E951,IMDIV("1",M951)))</f>
        <v>0</v>
      </c>
      <c r="O951">
        <f>IMSUM(F951,N951)</f>
        <v>0</v>
      </c>
      <c r="P951">
        <f>IMDIV("1",IMSUM(G951,IMDIV("1",O951)))</f>
        <v>0</v>
      </c>
      <c r="Q951">
        <f>IMSUM(H951,P951)</f>
        <v>0</v>
      </c>
      <c r="R951">
        <f>IMDIV("1",IMSUM(I951,IMDIV("1",Q951)))</f>
        <v>0</v>
      </c>
      <c r="S951">
        <f>IMSUM(J951,R951)</f>
        <v>0</v>
      </c>
      <c r="T951">
        <f>IMDIV("1",IMSUM(K951,IMDIV("1",S951)))</f>
        <v>0</v>
      </c>
      <c r="U951">
        <f>IMSUM(L951,T951)</f>
        <v>0</v>
      </c>
      <c r="V951">
        <f>IMDIV(COMPLEX(I_DM_SOURCE,0),U951)</f>
        <v>0</v>
      </c>
      <c r="W951">
        <f>IMPRODUCT(V951,T951)</f>
        <v>0</v>
      </c>
      <c r="X951">
        <f>IMDIV(W951,S951)</f>
        <v>0</v>
      </c>
      <c r="Y951">
        <f>IMPRODUCT(X951,R951)</f>
        <v>0</v>
      </c>
      <c r="Z951">
        <f>IMDIV(Y951,Q951)</f>
        <v>0</v>
      </c>
      <c r="AA951">
        <f>IMPRODUCT(Z951,P951)</f>
        <v>0</v>
      </c>
      <c r="AB951">
        <f>AA951</f>
        <v>0</v>
      </c>
      <c r="AC951">
        <f>IMPRODUCT("-1",AB951)</f>
        <v>0</v>
      </c>
      <c r="AD951">
        <f>IMDIV(IMSUB(AB951,AC951),"2")</f>
        <v>0</v>
      </c>
      <c r="AE951" s="6">
        <f>IMABS(AB951)</f>
        <v>0</v>
      </c>
      <c r="AF951" s="6">
        <f>IMABS(AC951)</f>
        <v>0</v>
      </c>
      <c r="AG951" s="6">
        <f>IMABS(AD951)</f>
        <v>0</v>
      </c>
      <c r="AH951" s="7">
        <f>20*LOG10(MAX(AE951,1E-300)*1E6)</f>
        <v>0</v>
      </c>
      <c r="AI951" s="7">
        <f>20*LOG10(MAX(AF951,1E-300)*1E6)</f>
        <v>0</v>
      </c>
      <c r="AJ951" s="7">
        <f>20*LOG10(MAX(AG951,1E-300)*1E6)</f>
        <v>0</v>
      </c>
      <c r="AK951" s="7">
        <f>DEGREES(IMARGUMENT(AB951))</f>
        <v>0</v>
      </c>
      <c r="AL951" s="7">
        <f>DEGREES(IMARGUMENT(AC951))</f>
        <v>0</v>
      </c>
      <c r="AM951" s="7">
        <f>DEGREES(IMARGUMENT(AD951))</f>
        <v>0</v>
      </c>
    </row>
    <row r="952" spans="1:39">
      <c r="A952" s="6">
        <f>10^(LOG10(F_START)+(ROW()-ROW($A$2))*(LOG10(F_STOP)-LOG10(F_START))/(N_POINTS-1))</f>
        <v>0</v>
      </c>
      <c r="B952" s="6">
        <f>2*PI()*A952</f>
        <v>0</v>
      </c>
      <c r="C952">
        <f>COMPLEX(2*LINE_PS_DCR,2*B952*LINE_PS_L)</f>
        <v>0</v>
      </c>
      <c r="D952">
        <f>IMSUM(COMPLEX(0,B952*(LINE_PS_CLINE+LINE_PS_CCHA/2)),IMDIV("1",IMPRODUCT("2",COMPLEX(C_THROUGH_ESR,B952*C_THROUGH_ESL-1/(B952*C_THROUGH_C)))))</f>
        <v>0</v>
      </c>
      <c r="E952">
        <f>COMPLEX(2*LINE_INPUT_DCR,2*B952*LINE_INPUT_L)</f>
        <v>0</v>
      </c>
      <c r="F952">
        <f>COMPLEX(0,B952*(LINE_INPUT_CLINE+LINE_INPUT_CCHA/2))</f>
        <v>0</v>
      </c>
      <c r="G952">
        <f>IMPRODUCT("2",IMDIV("1",IMSUM(IMDIV("1",COMPLEX(LDM1_DCR,B952*LDM1_L)),COMPLEX(0,B952*LDM1_CPA))))</f>
        <v>0</v>
      </c>
      <c r="H952">
        <f>IMSUM(IMDIV("1",COMPLEX(CX1_ESR,B952*CX1_ESL-1/(B952*CX1_C))),IMDIV("1",IMSUM(COMPLEX(DUMP1_R,0),COMPLEX(DUMP1_ESR,B952*DUMP1_ESL-1/(B952*DUMP1_C)))))</f>
        <v>0</v>
      </c>
      <c r="I952">
        <f>IMPRODUCT("2",IMDIV("1",IMSUM(IMDIV("1",COMPLEX(LDM2_DCR,B952*LDM2_L)),COMPLEX(0,B952*LDM2_CPA))))</f>
        <v>0</v>
      </c>
      <c r="J952">
        <f>IMSUM(IMDIV("1",COMPLEX(CX2_ESR,B952*CX2_ESL-1/(B952*CX2_C))),IMDIV("1",IMSUM(COMPLEX(DUMP2_R,0),COMPLEX(DUMP2_ESR,B952*DUMP2_ESL-1/(B952*DUMP2_C)))))</f>
        <v>0</v>
      </c>
      <c r="K952">
        <f>IMPRODUCT("2",IMDIV("1",IMSUM(IMDIV("1",COMPLEX(CMC_DCR,B952*CMC_L*(1-CMC_K))),COMPLEX(0,B952*CMC_CPA))))</f>
        <v>0</v>
      </c>
      <c r="L952">
        <f>IMSUM(COMPLEX(0,B952*CMC_CLINE),IMDIV("1",IMPRODUCT("2",COMPLEX(CY_ESR,B952*CY_ESL-1/(B952*CY_C)))),COMPLEX(1/DUMMY_R,0))</f>
        <v>0</v>
      </c>
      <c r="M952">
        <f>IMSUM(D952,IMDIV("1",C952))</f>
        <v>0</v>
      </c>
      <c r="N952">
        <f>IMDIV("1",IMSUM(E952,IMDIV("1",M952)))</f>
        <v>0</v>
      </c>
      <c r="O952">
        <f>IMSUM(F952,N952)</f>
        <v>0</v>
      </c>
      <c r="P952">
        <f>IMDIV("1",IMSUM(G952,IMDIV("1",O952)))</f>
        <v>0</v>
      </c>
      <c r="Q952">
        <f>IMSUM(H952,P952)</f>
        <v>0</v>
      </c>
      <c r="R952">
        <f>IMDIV("1",IMSUM(I952,IMDIV("1",Q952)))</f>
        <v>0</v>
      </c>
      <c r="S952">
        <f>IMSUM(J952,R952)</f>
        <v>0</v>
      </c>
      <c r="T952">
        <f>IMDIV("1",IMSUM(K952,IMDIV("1",S952)))</f>
        <v>0</v>
      </c>
      <c r="U952">
        <f>IMSUM(L952,T952)</f>
        <v>0</v>
      </c>
      <c r="V952">
        <f>IMDIV(COMPLEX(I_DM_SOURCE,0),U952)</f>
        <v>0</v>
      </c>
      <c r="W952">
        <f>IMPRODUCT(V952,T952)</f>
        <v>0</v>
      </c>
      <c r="X952">
        <f>IMDIV(W952,S952)</f>
        <v>0</v>
      </c>
      <c r="Y952">
        <f>IMPRODUCT(X952,R952)</f>
        <v>0</v>
      </c>
      <c r="Z952">
        <f>IMDIV(Y952,Q952)</f>
        <v>0</v>
      </c>
      <c r="AA952">
        <f>IMPRODUCT(Z952,P952)</f>
        <v>0</v>
      </c>
      <c r="AB952">
        <f>AA952</f>
        <v>0</v>
      </c>
      <c r="AC952">
        <f>IMPRODUCT("-1",AB952)</f>
        <v>0</v>
      </c>
      <c r="AD952">
        <f>IMDIV(IMSUB(AB952,AC952),"2")</f>
        <v>0</v>
      </c>
      <c r="AE952" s="6">
        <f>IMABS(AB952)</f>
        <v>0</v>
      </c>
      <c r="AF952" s="6">
        <f>IMABS(AC952)</f>
        <v>0</v>
      </c>
      <c r="AG952" s="6">
        <f>IMABS(AD952)</f>
        <v>0</v>
      </c>
      <c r="AH952" s="7">
        <f>20*LOG10(MAX(AE952,1E-300)*1E6)</f>
        <v>0</v>
      </c>
      <c r="AI952" s="7">
        <f>20*LOG10(MAX(AF952,1E-300)*1E6)</f>
        <v>0</v>
      </c>
      <c r="AJ952" s="7">
        <f>20*LOG10(MAX(AG952,1E-300)*1E6)</f>
        <v>0</v>
      </c>
      <c r="AK952" s="7">
        <f>DEGREES(IMARGUMENT(AB952))</f>
        <v>0</v>
      </c>
      <c r="AL952" s="7">
        <f>DEGREES(IMARGUMENT(AC952))</f>
        <v>0</v>
      </c>
      <c r="AM952" s="7">
        <f>DEGREES(IMARGUMENT(AD952))</f>
        <v>0</v>
      </c>
    </row>
    <row r="953" spans="1:39">
      <c r="A953" s="6">
        <f>10^(LOG10(F_START)+(ROW()-ROW($A$2))*(LOG10(F_STOP)-LOG10(F_START))/(N_POINTS-1))</f>
        <v>0</v>
      </c>
      <c r="B953" s="6">
        <f>2*PI()*A953</f>
        <v>0</v>
      </c>
      <c r="C953">
        <f>COMPLEX(2*LINE_PS_DCR,2*B953*LINE_PS_L)</f>
        <v>0</v>
      </c>
      <c r="D953">
        <f>IMSUM(COMPLEX(0,B953*(LINE_PS_CLINE+LINE_PS_CCHA/2)),IMDIV("1",IMPRODUCT("2",COMPLEX(C_THROUGH_ESR,B953*C_THROUGH_ESL-1/(B953*C_THROUGH_C)))))</f>
        <v>0</v>
      </c>
      <c r="E953">
        <f>COMPLEX(2*LINE_INPUT_DCR,2*B953*LINE_INPUT_L)</f>
        <v>0</v>
      </c>
      <c r="F953">
        <f>COMPLEX(0,B953*(LINE_INPUT_CLINE+LINE_INPUT_CCHA/2))</f>
        <v>0</v>
      </c>
      <c r="G953">
        <f>IMPRODUCT("2",IMDIV("1",IMSUM(IMDIV("1",COMPLEX(LDM1_DCR,B953*LDM1_L)),COMPLEX(0,B953*LDM1_CPA))))</f>
        <v>0</v>
      </c>
      <c r="H953">
        <f>IMSUM(IMDIV("1",COMPLEX(CX1_ESR,B953*CX1_ESL-1/(B953*CX1_C))),IMDIV("1",IMSUM(COMPLEX(DUMP1_R,0),COMPLEX(DUMP1_ESR,B953*DUMP1_ESL-1/(B953*DUMP1_C)))))</f>
        <v>0</v>
      </c>
      <c r="I953">
        <f>IMPRODUCT("2",IMDIV("1",IMSUM(IMDIV("1",COMPLEX(LDM2_DCR,B953*LDM2_L)),COMPLEX(0,B953*LDM2_CPA))))</f>
        <v>0</v>
      </c>
      <c r="J953">
        <f>IMSUM(IMDIV("1",COMPLEX(CX2_ESR,B953*CX2_ESL-1/(B953*CX2_C))),IMDIV("1",IMSUM(COMPLEX(DUMP2_R,0),COMPLEX(DUMP2_ESR,B953*DUMP2_ESL-1/(B953*DUMP2_C)))))</f>
        <v>0</v>
      </c>
      <c r="K953">
        <f>IMPRODUCT("2",IMDIV("1",IMSUM(IMDIV("1",COMPLEX(CMC_DCR,B953*CMC_L*(1-CMC_K))),COMPLEX(0,B953*CMC_CPA))))</f>
        <v>0</v>
      </c>
      <c r="L953">
        <f>IMSUM(COMPLEX(0,B953*CMC_CLINE),IMDIV("1",IMPRODUCT("2",COMPLEX(CY_ESR,B953*CY_ESL-1/(B953*CY_C)))),COMPLEX(1/DUMMY_R,0))</f>
        <v>0</v>
      </c>
      <c r="M953">
        <f>IMSUM(D953,IMDIV("1",C953))</f>
        <v>0</v>
      </c>
      <c r="N953">
        <f>IMDIV("1",IMSUM(E953,IMDIV("1",M953)))</f>
        <v>0</v>
      </c>
      <c r="O953">
        <f>IMSUM(F953,N953)</f>
        <v>0</v>
      </c>
      <c r="P953">
        <f>IMDIV("1",IMSUM(G953,IMDIV("1",O953)))</f>
        <v>0</v>
      </c>
      <c r="Q953">
        <f>IMSUM(H953,P953)</f>
        <v>0</v>
      </c>
      <c r="R953">
        <f>IMDIV("1",IMSUM(I953,IMDIV("1",Q953)))</f>
        <v>0</v>
      </c>
      <c r="S953">
        <f>IMSUM(J953,R953)</f>
        <v>0</v>
      </c>
      <c r="T953">
        <f>IMDIV("1",IMSUM(K953,IMDIV("1",S953)))</f>
        <v>0</v>
      </c>
      <c r="U953">
        <f>IMSUM(L953,T953)</f>
        <v>0</v>
      </c>
      <c r="V953">
        <f>IMDIV(COMPLEX(I_DM_SOURCE,0),U953)</f>
        <v>0</v>
      </c>
      <c r="W953">
        <f>IMPRODUCT(V953,T953)</f>
        <v>0</v>
      </c>
      <c r="X953">
        <f>IMDIV(W953,S953)</f>
        <v>0</v>
      </c>
      <c r="Y953">
        <f>IMPRODUCT(X953,R953)</f>
        <v>0</v>
      </c>
      <c r="Z953">
        <f>IMDIV(Y953,Q953)</f>
        <v>0</v>
      </c>
      <c r="AA953">
        <f>IMPRODUCT(Z953,P953)</f>
        <v>0</v>
      </c>
      <c r="AB953">
        <f>AA953</f>
        <v>0</v>
      </c>
      <c r="AC953">
        <f>IMPRODUCT("-1",AB953)</f>
        <v>0</v>
      </c>
      <c r="AD953">
        <f>IMDIV(IMSUB(AB953,AC953),"2")</f>
        <v>0</v>
      </c>
      <c r="AE953" s="6">
        <f>IMABS(AB953)</f>
        <v>0</v>
      </c>
      <c r="AF953" s="6">
        <f>IMABS(AC953)</f>
        <v>0</v>
      </c>
      <c r="AG953" s="6">
        <f>IMABS(AD953)</f>
        <v>0</v>
      </c>
      <c r="AH953" s="7">
        <f>20*LOG10(MAX(AE953,1E-300)*1E6)</f>
        <v>0</v>
      </c>
      <c r="AI953" s="7">
        <f>20*LOG10(MAX(AF953,1E-300)*1E6)</f>
        <v>0</v>
      </c>
      <c r="AJ953" s="7">
        <f>20*LOG10(MAX(AG953,1E-300)*1E6)</f>
        <v>0</v>
      </c>
      <c r="AK953" s="7">
        <f>DEGREES(IMARGUMENT(AB953))</f>
        <v>0</v>
      </c>
      <c r="AL953" s="7">
        <f>DEGREES(IMARGUMENT(AC953))</f>
        <v>0</v>
      </c>
      <c r="AM953" s="7">
        <f>DEGREES(IMARGUMENT(AD953))</f>
        <v>0</v>
      </c>
    </row>
    <row r="954" spans="1:39">
      <c r="A954" s="6">
        <f>10^(LOG10(F_START)+(ROW()-ROW($A$2))*(LOG10(F_STOP)-LOG10(F_START))/(N_POINTS-1))</f>
        <v>0</v>
      </c>
      <c r="B954" s="6">
        <f>2*PI()*A954</f>
        <v>0</v>
      </c>
      <c r="C954">
        <f>COMPLEX(2*LINE_PS_DCR,2*B954*LINE_PS_L)</f>
        <v>0</v>
      </c>
      <c r="D954">
        <f>IMSUM(COMPLEX(0,B954*(LINE_PS_CLINE+LINE_PS_CCHA/2)),IMDIV("1",IMPRODUCT("2",COMPLEX(C_THROUGH_ESR,B954*C_THROUGH_ESL-1/(B954*C_THROUGH_C)))))</f>
        <v>0</v>
      </c>
      <c r="E954">
        <f>COMPLEX(2*LINE_INPUT_DCR,2*B954*LINE_INPUT_L)</f>
        <v>0</v>
      </c>
      <c r="F954">
        <f>COMPLEX(0,B954*(LINE_INPUT_CLINE+LINE_INPUT_CCHA/2))</f>
        <v>0</v>
      </c>
      <c r="G954">
        <f>IMPRODUCT("2",IMDIV("1",IMSUM(IMDIV("1",COMPLEX(LDM1_DCR,B954*LDM1_L)),COMPLEX(0,B954*LDM1_CPA))))</f>
        <v>0</v>
      </c>
      <c r="H954">
        <f>IMSUM(IMDIV("1",COMPLEX(CX1_ESR,B954*CX1_ESL-1/(B954*CX1_C))),IMDIV("1",IMSUM(COMPLEX(DUMP1_R,0),COMPLEX(DUMP1_ESR,B954*DUMP1_ESL-1/(B954*DUMP1_C)))))</f>
        <v>0</v>
      </c>
      <c r="I954">
        <f>IMPRODUCT("2",IMDIV("1",IMSUM(IMDIV("1",COMPLEX(LDM2_DCR,B954*LDM2_L)),COMPLEX(0,B954*LDM2_CPA))))</f>
        <v>0</v>
      </c>
      <c r="J954">
        <f>IMSUM(IMDIV("1",COMPLEX(CX2_ESR,B954*CX2_ESL-1/(B954*CX2_C))),IMDIV("1",IMSUM(COMPLEX(DUMP2_R,0),COMPLEX(DUMP2_ESR,B954*DUMP2_ESL-1/(B954*DUMP2_C)))))</f>
        <v>0</v>
      </c>
      <c r="K954">
        <f>IMPRODUCT("2",IMDIV("1",IMSUM(IMDIV("1",COMPLEX(CMC_DCR,B954*CMC_L*(1-CMC_K))),COMPLEX(0,B954*CMC_CPA))))</f>
        <v>0</v>
      </c>
      <c r="L954">
        <f>IMSUM(COMPLEX(0,B954*CMC_CLINE),IMDIV("1",IMPRODUCT("2",COMPLEX(CY_ESR,B954*CY_ESL-1/(B954*CY_C)))),COMPLEX(1/DUMMY_R,0))</f>
        <v>0</v>
      </c>
      <c r="M954">
        <f>IMSUM(D954,IMDIV("1",C954))</f>
        <v>0</v>
      </c>
      <c r="N954">
        <f>IMDIV("1",IMSUM(E954,IMDIV("1",M954)))</f>
        <v>0</v>
      </c>
      <c r="O954">
        <f>IMSUM(F954,N954)</f>
        <v>0</v>
      </c>
      <c r="P954">
        <f>IMDIV("1",IMSUM(G954,IMDIV("1",O954)))</f>
        <v>0</v>
      </c>
      <c r="Q954">
        <f>IMSUM(H954,P954)</f>
        <v>0</v>
      </c>
      <c r="R954">
        <f>IMDIV("1",IMSUM(I954,IMDIV("1",Q954)))</f>
        <v>0</v>
      </c>
      <c r="S954">
        <f>IMSUM(J954,R954)</f>
        <v>0</v>
      </c>
      <c r="T954">
        <f>IMDIV("1",IMSUM(K954,IMDIV("1",S954)))</f>
        <v>0</v>
      </c>
      <c r="U954">
        <f>IMSUM(L954,T954)</f>
        <v>0</v>
      </c>
      <c r="V954">
        <f>IMDIV(COMPLEX(I_DM_SOURCE,0),U954)</f>
        <v>0</v>
      </c>
      <c r="W954">
        <f>IMPRODUCT(V954,T954)</f>
        <v>0</v>
      </c>
      <c r="X954">
        <f>IMDIV(W954,S954)</f>
        <v>0</v>
      </c>
      <c r="Y954">
        <f>IMPRODUCT(X954,R954)</f>
        <v>0</v>
      </c>
      <c r="Z954">
        <f>IMDIV(Y954,Q954)</f>
        <v>0</v>
      </c>
      <c r="AA954">
        <f>IMPRODUCT(Z954,P954)</f>
        <v>0</v>
      </c>
      <c r="AB954">
        <f>AA954</f>
        <v>0</v>
      </c>
      <c r="AC954">
        <f>IMPRODUCT("-1",AB954)</f>
        <v>0</v>
      </c>
      <c r="AD954">
        <f>IMDIV(IMSUB(AB954,AC954),"2")</f>
        <v>0</v>
      </c>
      <c r="AE954" s="6">
        <f>IMABS(AB954)</f>
        <v>0</v>
      </c>
      <c r="AF954" s="6">
        <f>IMABS(AC954)</f>
        <v>0</v>
      </c>
      <c r="AG954" s="6">
        <f>IMABS(AD954)</f>
        <v>0</v>
      </c>
      <c r="AH954" s="7">
        <f>20*LOG10(MAX(AE954,1E-300)*1E6)</f>
        <v>0</v>
      </c>
      <c r="AI954" s="7">
        <f>20*LOG10(MAX(AF954,1E-300)*1E6)</f>
        <v>0</v>
      </c>
      <c r="AJ954" s="7">
        <f>20*LOG10(MAX(AG954,1E-300)*1E6)</f>
        <v>0</v>
      </c>
      <c r="AK954" s="7">
        <f>DEGREES(IMARGUMENT(AB954))</f>
        <v>0</v>
      </c>
      <c r="AL954" s="7">
        <f>DEGREES(IMARGUMENT(AC954))</f>
        <v>0</v>
      </c>
      <c r="AM954" s="7">
        <f>DEGREES(IMARGUMENT(AD954))</f>
        <v>0</v>
      </c>
    </row>
    <row r="955" spans="1:39">
      <c r="A955" s="6">
        <f>10^(LOG10(F_START)+(ROW()-ROW($A$2))*(LOG10(F_STOP)-LOG10(F_START))/(N_POINTS-1))</f>
        <v>0</v>
      </c>
      <c r="B955" s="6">
        <f>2*PI()*A955</f>
        <v>0</v>
      </c>
      <c r="C955">
        <f>COMPLEX(2*LINE_PS_DCR,2*B955*LINE_PS_L)</f>
        <v>0</v>
      </c>
      <c r="D955">
        <f>IMSUM(COMPLEX(0,B955*(LINE_PS_CLINE+LINE_PS_CCHA/2)),IMDIV("1",IMPRODUCT("2",COMPLEX(C_THROUGH_ESR,B955*C_THROUGH_ESL-1/(B955*C_THROUGH_C)))))</f>
        <v>0</v>
      </c>
      <c r="E955">
        <f>COMPLEX(2*LINE_INPUT_DCR,2*B955*LINE_INPUT_L)</f>
        <v>0</v>
      </c>
      <c r="F955">
        <f>COMPLEX(0,B955*(LINE_INPUT_CLINE+LINE_INPUT_CCHA/2))</f>
        <v>0</v>
      </c>
      <c r="G955">
        <f>IMPRODUCT("2",IMDIV("1",IMSUM(IMDIV("1",COMPLEX(LDM1_DCR,B955*LDM1_L)),COMPLEX(0,B955*LDM1_CPA))))</f>
        <v>0</v>
      </c>
      <c r="H955">
        <f>IMSUM(IMDIV("1",COMPLEX(CX1_ESR,B955*CX1_ESL-1/(B955*CX1_C))),IMDIV("1",IMSUM(COMPLEX(DUMP1_R,0),COMPLEX(DUMP1_ESR,B955*DUMP1_ESL-1/(B955*DUMP1_C)))))</f>
        <v>0</v>
      </c>
      <c r="I955">
        <f>IMPRODUCT("2",IMDIV("1",IMSUM(IMDIV("1",COMPLEX(LDM2_DCR,B955*LDM2_L)),COMPLEX(0,B955*LDM2_CPA))))</f>
        <v>0</v>
      </c>
      <c r="J955">
        <f>IMSUM(IMDIV("1",COMPLEX(CX2_ESR,B955*CX2_ESL-1/(B955*CX2_C))),IMDIV("1",IMSUM(COMPLEX(DUMP2_R,0),COMPLEX(DUMP2_ESR,B955*DUMP2_ESL-1/(B955*DUMP2_C)))))</f>
        <v>0</v>
      </c>
      <c r="K955">
        <f>IMPRODUCT("2",IMDIV("1",IMSUM(IMDIV("1",COMPLEX(CMC_DCR,B955*CMC_L*(1-CMC_K))),COMPLEX(0,B955*CMC_CPA))))</f>
        <v>0</v>
      </c>
      <c r="L955">
        <f>IMSUM(COMPLEX(0,B955*CMC_CLINE),IMDIV("1",IMPRODUCT("2",COMPLEX(CY_ESR,B955*CY_ESL-1/(B955*CY_C)))),COMPLEX(1/DUMMY_R,0))</f>
        <v>0</v>
      </c>
      <c r="M955">
        <f>IMSUM(D955,IMDIV("1",C955))</f>
        <v>0</v>
      </c>
      <c r="N955">
        <f>IMDIV("1",IMSUM(E955,IMDIV("1",M955)))</f>
        <v>0</v>
      </c>
      <c r="O955">
        <f>IMSUM(F955,N955)</f>
        <v>0</v>
      </c>
      <c r="P955">
        <f>IMDIV("1",IMSUM(G955,IMDIV("1",O955)))</f>
        <v>0</v>
      </c>
      <c r="Q955">
        <f>IMSUM(H955,P955)</f>
        <v>0</v>
      </c>
      <c r="R955">
        <f>IMDIV("1",IMSUM(I955,IMDIV("1",Q955)))</f>
        <v>0</v>
      </c>
      <c r="S955">
        <f>IMSUM(J955,R955)</f>
        <v>0</v>
      </c>
      <c r="T955">
        <f>IMDIV("1",IMSUM(K955,IMDIV("1",S955)))</f>
        <v>0</v>
      </c>
      <c r="U955">
        <f>IMSUM(L955,T955)</f>
        <v>0</v>
      </c>
      <c r="V955">
        <f>IMDIV(COMPLEX(I_DM_SOURCE,0),U955)</f>
        <v>0</v>
      </c>
      <c r="W955">
        <f>IMPRODUCT(V955,T955)</f>
        <v>0</v>
      </c>
      <c r="X955">
        <f>IMDIV(W955,S955)</f>
        <v>0</v>
      </c>
      <c r="Y955">
        <f>IMPRODUCT(X955,R955)</f>
        <v>0</v>
      </c>
      <c r="Z955">
        <f>IMDIV(Y955,Q955)</f>
        <v>0</v>
      </c>
      <c r="AA955">
        <f>IMPRODUCT(Z955,P955)</f>
        <v>0</v>
      </c>
      <c r="AB955">
        <f>AA955</f>
        <v>0</v>
      </c>
      <c r="AC955">
        <f>IMPRODUCT("-1",AB955)</f>
        <v>0</v>
      </c>
      <c r="AD955">
        <f>IMDIV(IMSUB(AB955,AC955),"2")</f>
        <v>0</v>
      </c>
      <c r="AE955" s="6">
        <f>IMABS(AB955)</f>
        <v>0</v>
      </c>
      <c r="AF955" s="6">
        <f>IMABS(AC955)</f>
        <v>0</v>
      </c>
      <c r="AG955" s="6">
        <f>IMABS(AD955)</f>
        <v>0</v>
      </c>
      <c r="AH955" s="7">
        <f>20*LOG10(MAX(AE955,1E-300)*1E6)</f>
        <v>0</v>
      </c>
      <c r="AI955" s="7">
        <f>20*LOG10(MAX(AF955,1E-300)*1E6)</f>
        <v>0</v>
      </c>
      <c r="AJ955" s="7">
        <f>20*LOG10(MAX(AG955,1E-300)*1E6)</f>
        <v>0</v>
      </c>
      <c r="AK955" s="7">
        <f>DEGREES(IMARGUMENT(AB955))</f>
        <v>0</v>
      </c>
      <c r="AL955" s="7">
        <f>DEGREES(IMARGUMENT(AC955))</f>
        <v>0</v>
      </c>
      <c r="AM955" s="7">
        <f>DEGREES(IMARGUMENT(AD955))</f>
        <v>0</v>
      </c>
    </row>
    <row r="956" spans="1:39">
      <c r="A956" s="6">
        <f>10^(LOG10(F_START)+(ROW()-ROW($A$2))*(LOG10(F_STOP)-LOG10(F_START))/(N_POINTS-1))</f>
        <v>0</v>
      </c>
      <c r="B956" s="6">
        <f>2*PI()*A956</f>
        <v>0</v>
      </c>
      <c r="C956">
        <f>COMPLEX(2*LINE_PS_DCR,2*B956*LINE_PS_L)</f>
        <v>0</v>
      </c>
      <c r="D956">
        <f>IMSUM(COMPLEX(0,B956*(LINE_PS_CLINE+LINE_PS_CCHA/2)),IMDIV("1",IMPRODUCT("2",COMPLEX(C_THROUGH_ESR,B956*C_THROUGH_ESL-1/(B956*C_THROUGH_C)))))</f>
        <v>0</v>
      </c>
      <c r="E956">
        <f>COMPLEX(2*LINE_INPUT_DCR,2*B956*LINE_INPUT_L)</f>
        <v>0</v>
      </c>
      <c r="F956">
        <f>COMPLEX(0,B956*(LINE_INPUT_CLINE+LINE_INPUT_CCHA/2))</f>
        <v>0</v>
      </c>
      <c r="G956">
        <f>IMPRODUCT("2",IMDIV("1",IMSUM(IMDIV("1",COMPLEX(LDM1_DCR,B956*LDM1_L)),COMPLEX(0,B956*LDM1_CPA))))</f>
        <v>0</v>
      </c>
      <c r="H956">
        <f>IMSUM(IMDIV("1",COMPLEX(CX1_ESR,B956*CX1_ESL-1/(B956*CX1_C))),IMDIV("1",IMSUM(COMPLEX(DUMP1_R,0),COMPLEX(DUMP1_ESR,B956*DUMP1_ESL-1/(B956*DUMP1_C)))))</f>
        <v>0</v>
      </c>
      <c r="I956">
        <f>IMPRODUCT("2",IMDIV("1",IMSUM(IMDIV("1",COMPLEX(LDM2_DCR,B956*LDM2_L)),COMPLEX(0,B956*LDM2_CPA))))</f>
        <v>0</v>
      </c>
      <c r="J956">
        <f>IMSUM(IMDIV("1",COMPLEX(CX2_ESR,B956*CX2_ESL-1/(B956*CX2_C))),IMDIV("1",IMSUM(COMPLEX(DUMP2_R,0),COMPLEX(DUMP2_ESR,B956*DUMP2_ESL-1/(B956*DUMP2_C)))))</f>
        <v>0</v>
      </c>
      <c r="K956">
        <f>IMPRODUCT("2",IMDIV("1",IMSUM(IMDIV("1",COMPLEX(CMC_DCR,B956*CMC_L*(1-CMC_K))),COMPLEX(0,B956*CMC_CPA))))</f>
        <v>0</v>
      </c>
      <c r="L956">
        <f>IMSUM(COMPLEX(0,B956*CMC_CLINE),IMDIV("1",IMPRODUCT("2",COMPLEX(CY_ESR,B956*CY_ESL-1/(B956*CY_C)))),COMPLEX(1/DUMMY_R,0))</f>
        <v>0</v>
      </c>
      <c r="M956">
        <f>IMSUM(D956,IMDIV("1",C956))</f>
        <v>0</v>
      </c>
      <c r="N956">
        <f>IMDIV("1",IMSUM(E956,IMDIV("1",M956)))</f>
        <v>0</v>
      </c>
      <c r="O956">
        <f>IMSUM(F956,N956)</f>
        <v>0</v>
      </c>
      <c r="P956">
        <f>IMDIV("1",IMSUM(G956,IMDIV("1",O956)))</f>
        <v>0</v>
      </c>
      <c r="Q956">
        <f>IMSUM(H956,P956)</f>
        <v>0</v>
      </c>
      <c r="R956">
        <f>IMDIV("1",IMSUM(I956,IMDIV("1",Q956)))</f>
        <v>0</v>
      </c>
      <c r="S956">
        <f>IMSUM(J956,R956)</f>
        <v>0</v>
      </c>
      <c r="T956">
        <f>IMDIV("1",IMSUM(K956,IMDIV("1",S956)))</f>
        <v>0</v>
      </c>
      <c r="U956">
        <f>IMSUM(L956,T956)</f>
        <v>0</v>
      </c>
      <c r="V956">
        <f>IMDIV(COMPLEX(I_DM_SOURCE,0),U956)</f>
        <v>0</v>
      </c>
      <c r="W956">
        <f>IMPRODUCT(V956,T956)</f>
        <v>0</v>
      </c>
      <c r="X956">
        <f>IMDIV(W956,S956)</f>
        <v>0</v>
      </c>
      <c r="Y956">
        <f>IMPRODUCT(X956,R956)</f>
        <v>0</v>
      </c>
      <c r="Z956">
        <f>IMDIV(Y956,Q956)</f>
        <v>0</v>
      </c>
      <c r="AA956">
        <f>IMPRODUCT(Z956,P956)</f>
        <v>0</v>
      </c>
      <c r="AB956">
        <f>AA956</f>
        <v>0</v>
      </c>
      <c r="AC956">
        <f>IMPRODUCT("-1",AB956)</f>
        <v>0</v>
      </c>
      <c r="AD956">
        <f>IMDIV(IMSUB(AB956,AC956),"2")</f>
        <v>0</v>
      </c>
      <c r="AE956" s="6">
        <f>IMABS(AB956)</f>
        <v>0</v>
      </c>
      <c r="AF956" s="6">
        <f>IMABS(AC956)</f>
        <v>0</v>
      </c>
      <c r="AG956" s="6">
        <f>IMABS(AD956)</f>
        <v>0</v>
      </c>
      <c r="AH956" s="7">
        <f>20*LOG10(MAX(AE956,1E-300)*1E6)</f>
        <v>0</v>
      </c>
      <c r="AI956" s="7">
        <f>20*LOG10(MAX(AF956,1E-300)*1E6)</f>
        <v>0</v>
      </c>
      <c r="AJ956" s="7">
        <f>20*LOG10(MAX(AG956,1E-300)*1E6)</f>
        <v>0</v>
      </c>
      <c r="AK956" s="7">
        <f>DEGREES(IMARGUMENT(AB956))</f>
        <v>0</v>
      </c>
      <c r="AL956" s="7">
        <f>DEGREES(IMARGUMENT(AC956))</f>
        <v>0</v>
      </c>
      <c r="AM956" s="7">
        <f>DEGREES(IMARGUMENT(AD956))</f>
        <v>0</v>
      </c>
    </row>
    <row r="957" spans="1:39">
      <c r="A957" s="6">
        <f>10^(LOG10(F_START)+(ROW()-ROW($A$2))*(LOG10(F_STOP)-LOG10(F_START))/(N_POINTS-1))</f>
        <v>0</v>
      </c>
      <c r="B957" s="6">
        <f>2*PI()*A957</f>
        <v>0</v>
      </c>
      <c r="C957">
        <f>COMPLEX(2*LINE_PS_DCR,2*B957*LINE_PS_L)</f>
        <v>0</v>
      </c>
      <c r="D957">
        <f>IMSUM(COMPLEX(0,B957*(LINE_PS_CLINE+LINE_PS_CCHA/2)),IMDIV("1",IMPRODUCT("2",COMPLEX(C_THROUGH_ESR,B957*C_THROUGH_ESL-1/(B957*C_THROUGH_C)))))</f>
        <v>0</v>
      </c>
      <c r="E957">
        <f>COMPLEX(2*LINE_INPUT_DCR,2*B957*LINE_INPUT_L)</f>
        <v>0</v>
      </c>
      <c r="F957">
        <f>COMPLEX(0,B957*(LINE_INPUT_CLINE+LINE_INPUT_CCHA/2))</f>
        <v>0</v>
      </c>
      <c r="G957">
        <f>IMPRODUCT("2",IMDIV("1",IMSUM(IMDIV("1",COMPLEX(LDM1_DCR,B957*LDM1_L)),COMPLEX(0,B957*LDM1_CPA))))</f>
        <v>0</v>
      </c>
      <c r="H957">
        <f>IMSUM(IMDIV("1",COMPLEX(CX1_ESR,B957*CX1_ESL-1/(B957*CX1_C))),IMDIV("1",IMSUM(COMPLEX(DUMP1_R,0),COMPLEX(DUMP1_ESR,B957*DUMP1_ESL-1/(B957*DUMP1_C)))))</f>
        <v>0</v>
      </c>
      <c r="I957">
        <f>IMPRODUCT("2",IMDIV("1",IMSUM(IMDIV("1",COMPLEX(LDM2_DCR,B957*LDM2_L)),COMPLEX(0,B957*LDM2_CPA))))</f>
        <v>0</v>
      </c>
      <c r="J957">
        <f>IMSUM(IMDIV("1",COMPLEX(CX2_ESR,B957*CX2_ESL-1/(B957*CX2_C))),IMDIV("1",IMSUM(COMPLEX(DUMP2_R,0),COMPLEX(DUMP2_ESR,B957*DUMP2_ESL-1/(B957*DUMP2_C)))))</f>
        <v>0</v>
      </c>
      <c r="K957">
        <f>IMPRODUCT("2",IMDIV("1",IMSUM(IMDIV("1",COMPLEX(CMC_DCR,B957*CMC_L*(1-CMC_K))),COMPLEX(0,B957*CMC_CPA))))</f>
        <v>0</v>
      </c>
      <c r="L957">
        <f>IMSUM(COMPLEX(0,B957*CMC_CLINE),IMDIV("1",IMPRODUCT("2",COMPLEX(CY_ESR,B957*CY_ESL-1/(B957*CY_C)))),COMPLEX(1/DUMMY_R,0))</f>
        <v>0</v>
      </c>
      <c r="M957">
        <f>IMSUM(D957,IMDIV("1",C957))</f>
        <v>0</v>
      </c>
      <c r="N957">
        <f>IMDIV("1",IMSUM(E957,IMDIV("1",M957)))</f>
        <v>0</v>
      </c>
      <c r="O957">
        <f>IMSUM(F957,N957)</f>
        <v>0</v>
      </c>
      <c r="P957">
        <f>IMDIV("1",IMSUM(G957,IMDIV("1",O957)))</f>
        <v>0</v>
      </c>
      <c r="Q957">
        <f>IMSUM(H957,P957)</f>
        <v>0</v>
      </c>
      <c r="R957">
        <f>IMDIV("1",IMSUM(I957,IMDIV("1",Q957)))</f>
        <v>0</v>
      </c>
      <c r="S957">
        <f>IMSUM(J957,R957)</f>
        <v>0</v>
      </c>
      <c r="T957">
        <f>IMDIV("1",IMSUM(K957,IMDIV("1",S957)))</f>
        <v>0</v>
      </c>
      <c r="U957">
        <f>IMSUM(L957,T957)</f>
        <v>0</v>
      </c>
      <c r="V957">
        <f>IMDIV(COMPLEX(I_DM_SOURCE,0),U957)</f>
        <v>0</v>
      </c>
      <c r="W957">
        <f>IMPRODUCT(V957,T957)</f>
        <v>0</v>
      </c>
      <c r="X957">
        <f>IMDIV(W957,S957)</f>
        <v>0</v>
      </c>
      <c r="Y957">
        <f>IMPRODUCT(X957,R957)</f>
        <v>0</v>
      </c>
      <c r="Z957">
        <f>IMDIV(Y957,Q957)</f>
        <v>0</v>
      </c>
      <c r="AA957">
        <f>IMPRODUCT(Z957,P957)</f>
        <v>0</v>
      </c>
      <c r="AB957">
        <f>AA957</f>
        <v>0</v>
      </c>
      <c r="AC957">
        <f>IMPRODUCT("-1",AB957)</f>
        <v>0</v>
      </c>
      <c r="AD957">
        <f>IMDIV(IMSUB(AB957,AC957),"2")</f>
        <v>0</v>
      </c>
      <c r="AE957" s="6">
        <f>IMABS(AB957)</f>
        <v>0</v>
      </c>
      <c r="AF957" s="6">
        <f>IMABS(AC957)</f>
        <v>0</v>
      </c>
      <c r="AG957" s="6">
        <f>IMABS(AD957)</f>
        <v>0</v>
      </c>
      <c r="AH957" s="7">
        <f>20*LOG10(MAX(AE957,1E-300)*1E6)</f>
        <v>0</v>
      </c>
      <c r="AI957" s="7">
        <f>20*LOG10(MAX(AF957,1E-300)*1E6)</f>
        <v>0</v>
      </c>
      <c r="AJ957" s="7">
        <f>20*LOG10(MAX(AG957,1E-300)*1E6)</f>
        <v>0</v>
      </c>
      <c r="AK957" s="7">
        <f>DEGREES(IMARGUMENT(AB957))</f>
        <v>0</v>
      </c>
      <c r="AL957" s="7">
        <f>DEGREES(IMARGUMENT(AC957))</f>
        <v>0</v>
      </c>
      <c r="AM957" s="7">
        <f>DEGREES(IMARGUMENT(AD957))</f>
        <v>0</v>
      </c>
    </row>
    <row r="958" spans="1:39">
      <c r="A958" s="6">
        <f>10^(LOG10(F_START)+(ROW()-ROW($A$2))*(LOG10(F_STOP)-LOG10(F_START))/(N_POINTS-1))</f>
        <v>0</v>
      </c>
      <c r="B958" s="6">
        <f>2*PI()*A958</f>
        <v>0</v>
      </c>
      <c r="C958">
        <f>COMPLEX(2*LINE_PS_DCR,2*B958*LINE_PS_L)</f>
        <v>0</v>
      </c>
      <c r="D958">
        <f>IMSUM(COMPLEX(0,B958*(LINE_PS_CLINE+LINE_PS_CCHA/2)),IMDIV("1",IMPRODUCT("2",COMPLEX(C_THROUGH_ESR,B958*C_THROUGH_ESL-1/(B958*C_THROUGH_C)))))</f>
        <v>0</v>
      </c>
      <c r="E958">
        <f>COMPLEX(2*LINE_INPUT_DCR,2*B958*LINE_INPUT_L)</f>
        <v>0</v>
      </c>
      <c r="F958">
        <f>COMPLEX(0,B958*(LINE_INPUT_CLINE+LINE_INPUT_CCHA/2))</f>
        <v>0</v>
      </c>
      <c r="G958">
        <f>IMPRODUCT("2",IMDIV("1",IMSUM(IMDIV("1",COMPLEX(LDM1_DCR,B958*LDM1_L)),COMPLEX(0,B958*LDM1_CPA))))</f>
        <v>0</v>
      </c>
      <c r="H958">
        <f>IMSUM(IMDIV("1",COMPLEX(CX1_ESR,B958*CX1_ESL-1/(B958*CX1_C))),IMDIV("1",IMSUM(COMPLEX(DUMP1_R,0),COMPLEX(DUMP1_ESR,B958*DUMP1_ESL-1/(B958*DUMP1_C)))))</f>
        <v>0</v>
      </c>
      <c r="I958">
        <f>IMPRODUCT("2",IMDIV("1",IMSUM(IMDIV("1",COMPLEX(LDM2_DCR,B958*LDM2_L)),COMPLEX(0,B958*LDM2_CPA))))</f>
        <v>0</v>
      </c>
      <c r="J958">
        <f>IMSUM(IMDIV("1",COMPLEX(CX2_ESR,B958*CX2_ESL-1/(B958*CX2_C))),IMDIV("1",IMSUM(COMPLEX(DUMP2_R,0),COMPLEX(DUMP2_ESR,B958*DUMP2_ESL-1/(B958*DUMP2_C)))))</f>
        <v>0</v>
      </c>
      <c r="K958">
        <f>IMPRODUCT("2",IMDIV("1",IMSUM(IMDIV("1",COMPLEX(CMC_DCR,B958*CMC_L*(1-CMC_K))),COMPLEX(0,B958*CMC_CPA))))</f>
        <v>0</v>
      </c>
      <c r="L958">
        <f>IMSUM(COMPLEX(0,B958*CMC_CLINE),IMDIV("1",IMPRODUCT("2",COMPLEX(CY_ESR,B958*CY_ESL-1/(B958*CY_C)))),COMPLEX(1/DUMMY_R,0))</f>
        <v>0</v>
      </c>
      <c r="M958">
        <f>IMSUM(D958,IMDIV("1",C958))</f>
        <v>0</v>
      </c>
      <c r="N958">
        <f>IMDIV("1",IMSUM(E958,IMDIV("1",M958)))</f>
        <v>0</v>
      </c>
      <c r="O958">
        <f>IMSUM(F958,N958)</f>
        <v>0</v>
      </c>
      <c r="P958">
        <f>IMDIV("1",IMSUM(G958,IMDIV("1",O958)))</f>
        <v>0</v>
      </c>
      <c r="Q958">
        <f>IMSUM(H958,P958)</f>
        <v>0</v>
      </c>
      <c r="R958">
        <f>IMDIV("1",IMSUM(I958,IMDIV("1",Q958)))</f>
        <v>0</v>
      </c>
      <c r="S958">
        <f>IMSUM(J958,R958)</f>
        <v>0</v>
      </c>
      <c r="T958">
        <f>IMDIV("1",IMSUM(K958,IMDIV("1",S958)))</f>
        <v>0</v>
      </c>
      <c r="U958">
        <f>IMSUM(L958,T958)</f>
        <v>0</v>
      </c>
      <c r="V958">
        <f>IMDIV(COMPLEX(I_DM_SOURCE,0),U958)</f>
        <v>0</v>
      </c>
      <c r="W958">
        <f>IMPRODUCT(V958,T958)</f>
        <v>0</v>
      </c>
      <c r="X958">
        <f>IMDIV(W958,S958)</f>
        <v>0</v>
      </c>
      <c r="Y958">
        <f>IMPRODUCT(X958,R958)</f>
        <v>0</v>
      </c>
      <c r="Z958">
        <f>IMDIV(Y958,Q958)</f>
        <v>0</v>
      </c>
      <c r="AA958">
        <f>IMPRODUCT(Z958,P958)</f>
        <v>0</v>
      </c>
      <c r="AB958">
        <f>AA958</f>
        <v>0</v>
      </c>
      <c r="AC958">
        <f>IMPRODUCT("-1",AB958)</f>
        <v>0</v>
      </c>
      <c r="AD958">
        <f>IMDIV(IMSUB(AB958,AC958),"2")</f>
        <v>0</v>
      </c>
      <c r="AE958" s="6">
        <f>IMABS(AB958)</f>
        <v>0</v>
      </c>
      <c r="AF958" s="6">
        <f>IMABS(AC958)</f>
        <v>0</v>
      </c>
      <c r="AG958" s="6">
        <f>IMABS(AD958)</f>
        <v>0</v>
      </c>
      <c r="AH958" s="7">
        <f>20*LOG10(MAX(AE958,1E-300)*1E6)</f>
        <v>0</v>
      </c>
      <c r="AI958" s="7">
        <f>20*LOG10(MAX(AF958,1E-300)*1E6)</f>
        <v>0</v>
      </c>
      <c r="AJ958" s="7">
        <f>20*LOG10(MAX(AG958,1E-300)*1E6)</f>
        <v>0</v>
      </c>
      <c r="AK958" s="7">
        <f>DEGREES(IMARGUMENT(AB958))</f>
        <v>0</v>
      </c>
      <c r="AL958" s="7">
        <f>DEGREES(IMARGUMENT(AC958))</f>
        <v>0</v>
      </c>
      <c r="AM958" s="7">
        <f>DEGREES(IMARGUMENT(AD958))</f>
        <v>0</v>
      </c>
    </row>
    <row r="959" spans="1:39">
      <c r="A959" s="6">
        <f>10^(LOG10(F_START)+(ROW()-ROW($A$2))*(LOG10(F_STOP)-LOG10(F_START))/(N_POINTS-1))</f>
        <v>0</v>
      </c>
      <c r="B959" s="6">
        <f>2*PI()*A959</f>
        <v>0</v>
      </c>
      <c r="C959">
        <f>COMPLEX(2*LINE_PS_DCR,2*B959*LINE_PS_L)</f>
        <v>0</v>
      </c>
      <c r="D959">
        <f>IMSUM(COMPLEX(0,B959*(LINE_PS_CLINE+LINE_PS_CCHA/2)),IMDIV("1",IMPRODUCT("2",COMPLEX(C_THROUGH_ESR,B959*C_THROUGH_ESL-1/(B959*C_THROUGH_C)))))</f>
        <v>0</v>
      </c>
      <c r="E959">
        <f>COMPLEX(2*LINE_INPUT_DCR,2*B959*LINE_INPUT_L)</f>
        <v>0</v>
      </c>
      <c r="F959">
        <f>COMPLEX(0,B959*(LINE_INPUT_CLINE+LINE_INPUT_CCHA/2))</f>
        <v>0</v>
      </c>
      <c r="G959">
        <f>IMPRODUCT("2",IMDIV("1",IMSUM(IMDIV("1",COMPLEX(LDM1_DCR,B959*LDM1_L)),COMPLEX(0,B959*LDM1_CPA))))</f>
        <v>0</v>
      </c>
      <c r="H959">
        <f>IMSUM(IMDIV("1",COMPLEX(CX1_ESR,B959*CX1_ESL-1/(B959*CX1_C))),IMDIV("1",IMSUM(COMPLEX(DUMP1_R,0),COMPLEX(DUMP1_ESR,B959*DUMP1_ESL-1/(B959*DUMP1_C)))))</f>
        <v>0</v>
      </c>
      <c r="I959">
        <f>IMPRODUCT("2",IMDIV("1",IMSUM(IMDIV("1",COMPLEX(LDM2_DCR,B959*LDM2_L)),COMPLEX(0,B959*LDM2_CPA))))</f>
        <v>0</v>
      </c>
      <c r="J959">
        <f>IMSUM(IMDIV("1",COMPLEX(CX2_ESR,B959*CX2_ESL-1/(B959*CX2_C))),IMDIV("1",IMSUM(COMPLEX(DUMP2_R,0),COMPLEX(DUMP2_ESR,B959*DUMP2_ESL-1/(B959*DUMP2_C)))))</f>
        <v>0</v>
      </c>
      <c r="K959">
        <f>IMPRODUCT("2",IMDIV("1",IMSUM(IMDIV("1",COMPLEX(CMC_DCR,B959*CMC_L*(1-CMC_K))),COMPLEX(0,B959*CMC_CPA))))</f>
        <v>0</v>
      </c>
      <c r="L959">
        <f>IMSUM(COMPLEX(0,B959*CMC_CLINE),IMDIV("1",IMPRODUCT("2",COMPLEX(CY_ESR,B959*CY_ESL-1/(B959*CY_C)))),COMPLEX(1/DUMMY_R,0))</f>
        <v>0</v>
      </c>
      <c r="M959">
        <f>IMSUM(D959,IMDIV("1",C959))</f>
        <v>0</v>
      </c>
      <c r="N959">
        <f>IMDIV("1",IMSUM(E959,IMDIV("1",M959)))</f>
        <v>0</v>
      </c>
      <c r="O959">
        <f>IMSUM(F959,N959)</f>
        <v>0</v>
      </c>
      <c r="P959">
        <f>IMDIV("1",IMSUM(G959,IMDIV("1",O959)))</f>
        <v>0</v>
      </c>
      <c r="Q959">
        <f>IMSUM(H959,P959)</f>
        <v>0</v>
      </c>
      <c r="R959">
        <f>IMDIV("1",IMSUM(I959,IMDIV("1",Q959)))</f>
        <v>0</v>
      </c>
      <c r="S959">
        <f>IMSUM(J959,R959)</f>
        <v>0</v>
      </c>
      <c r="T959">
        <f>IMDIV("1",IMSUM(K959,IMDIV("1",S959)))</f>
        <v>0</v>
      </c>
      <c r="U959">
        <f>IMSUM(L959,T959)</f>
        <v>0</v>
      </c>
      <c r="V959">
        <f>IMDIV(COMPLEX(I_DM_SOURCE,0),U959)</f>
        <v>0</v>
      </c>
      <c r="W959">
        <f>IMPRODUCT(V959,T959)</f>
        <v>0</v>
      </c>
      <c r="X959">
        <f>IMDIV(W959,S959)</f>
        <v>0</v>
      </c>
      <c r="Y959">
        <f>IMPRODUCT(X959,R959)</f>
        <v>0</v>
      </c>
      <c r="Z959">
        <f>IMDIV(Y959,Q959)</f>
        <v>0</v>
      </c>
      <c r="AA959">
        <f>IMPRODUCT(Z959,P959)</f>
        <v>0</v>
      </c>
      <c r="AB959">
        <f>AA959</f>
        <v>0</v>
      </c>
      <c r="AC959">
        <f>IMPRODUCT("-1",AB959)</f>
        <v>0</v>
      </c>
      <c r="AD959">
        <f>IMDIV(IMSUB(AB959,AC959),"2")</f>
        <v>0</v>
      </c>
      <c r="AE959" s="6">
        <f>IMABS(AB959)</f>
        <v>0</v>
      </c>
      <c r="AF959" s="6">
        <f>IMABS(AC959)</f>
        <v>0</v>
      </c>
      <c r="AG959" s="6">
        <f>IMABS(AD959)</f>
        <v>0</v>
      </c>
      <c r="AH959" s="7">
        <f>20*LOG10(MAX(AE959,1E-300)*1E6)</f>
        <v>0</v>
      </c>
      <c r="AI959" s="7">
        <f>20*LOG10(MAX(AF959,1E-300)*1E6)</f>
        <v>0</v>
      </c>
      <c r="AJ959" s="7">
        <f>20*LOG10(MAX(AG959,1E-300)*1E6)</f>
        <v>0</v>
      </c>
      <c r="AK959" s="7">
        <f>DEGREES(IMARGUMENT(AB959))</f>
        <v>0</v>
      </c>
      <c r="AL959" s="7">
        <f>DEGREES(IMARGUMENT(AC959))</f>
        <v>0</v>
      </c>
      <c r="AM959" s="7">
        <f>DEGREES(IMARGUMENT(AD959))</f>
        <v>0</v>
      </c>
    </row>
    <row r="960" spans="1:39">
      <c r="A960" s="6">
        <f>10^(LOG10(F_START)+(ROW()-ROW($A$2))*(LOG10(F_STOP)-LOG10(F_START))/(N_POINTS-1))</f>
        <v>0</v>
      </c>
      <c r="B960" s="6">
        <f>2*PI()*A960</f>
        <v>0</v>
      </c>
      <c r="C960">
        <f>COMPLEX(2*LINE_PS_DCR,2*B960*LINE_PS_L)</f>
        <v>0</v>
      </c>
      <c r="D960">
        <f>IMSUM(COMPLEX(0,B960*(LINE_PS_CLINE+LINE_PS_CCHA/2)),IMDIV("1",IMPRODUCT("2",COMPLEX(C_THROUGH_ESR,B960*C_THROUGH_ESL-1/(B960*C_THROUGH_C)))))</f>
        <v>0</v>
      </c>
      <c r="E960">
        <f>COMPLEX(2*LINE_INPUT_DCR,2*B960*LINE_INPUT_L)</f>
        <v>0</v>
      </c>
      <c r="F960">
        <f>COMPLEX(0,B960*(LINE_INPUT_CLINE+LINE_INPUT_CCHA/2))</f>
        <v>0</v>
      </c>
      <c r="G960">
        <f>IMPRODUCT("2",IMDIV("1",IMSUM(IMDIV("1",COMPLEX(LDM1_DCR,B960*LDM1_L)),COMPLEX(0,B960*LDM1_CPA))))</f>
        <v>0</v>
      </c>
      <c r="H960">
        <f>IMSUM(IMDIV("1",COMPLEX(CX1_ESR,B960*CX1_ESL-1/(B960*CX1_C))),IMDIV("1",IMSUM(COMPLEX(DUMP1_R,0),COMPLEX(DUMP1_ESR,B960*DUMP1_ESL-1/(B960*DUMP1_C)))))</f>
        <v>0</v>
      </c>
      <c r="I960">
        <f>IMPRODUCT("2",IMDIV("1",IMSUM(IMDIV("1",COMPLEX(LDM2_DCR,B960*LDM2_L)),COMPLEX(0,B960*LDM2_CPA))))</f>
        <v>0</v>
      </c>
      <c r="J960">
        <f>IMSUM(IMDIV("1",COMPLEX(CX2_ESR,B960*CX2_ESL-1/(B960*CX2_C))),IMDIV("1",IMSUM(COMPLEX(DUMP2_R,0),COMPLEX(DUMP2_ESR,B960*DUMP2_ESL-1/(B960*DUMP2_C)))))</f>
        <v>0</v>
      </c>
      <c r="K960">
        <f>IMPRODUCT("2",IMDIV("1",IMSUM(IMDIV("1",COMPLEX(CMC_DCR,B960*CMC_L*(1-CMC_K))),COMPLEX(0,B960*CMC_CPA))))</f>
        <v>0</v>
      </c>
      <c r="L960">
        <f>IMSUM(COMPLEX(0,B960*CMC_CLINE),IMDIV("1",IMPRODUCT("2",COMPLEX(CY_ESR,B960*CY_ESL-1/(B960*CY_C)))),COMPLEX(1/DUMMY_R,0))</f>
        <v>0</v>
      </c>
      <c r="M960">
        <f>IMSUM(D960,IMDIV("1",C960))</f>
        <v>0</v>
      </c>
      <c r="N960">
        <f>IMDIV("1",IMSUM(E960,IMDIV("1",M960)))</f>
        <v>0</v>
      </c>
      <c r="O960">
        <f>IMSUM(F960,N960)</f>
        <v>0</v>
      </c>
      <c r="P960">
        <f>IMDIV("1",IMSUM(G960,IMDIV("1",O960)))</f>
        <v>0</v>
      </c>
      <c r="Q960">
        <f>IMSUM(H960,P960)</f>
        <v>0</v>
      </c>
      <c r="R960">
        <f>IMDIV("1",IMSUM(I960,IMDIV("1",Q960)))</f>
        <v>0</v>
      </c>
      <c r="S960">
        <f>IMSUM(J960,R960)</f>
        <v>0</v>
      </c>
      <c r="T960">
        <f>IMDIV("1",IMSUM(K960,IMDIV("1",S960)))</f>
        <v>0</v>
      </c>
      <c r="U960">
        <f>IMSUM(L960,T960)</f>
        <v>0</v>
      </c>
      <c r="V960">
        <f>IMDIV(COMPLEX(I_DM_SOURCE,0),U960)</f>
        <v>0</v>
      </c>
      <c r="W960">
        <f>IMPRODUCT(V960,T960)</f>
        <v>0</v>
      </c>
      <c r="X960">
        <f>IMDIV(W960,S960)</f>
        <v>0</v>
      </c>
      <c r="Y960">
        <f>IMPRODUCT(X960,R960)</f>
        <v>0</v>
      </c>
      <c r="Z960">
        <f>IMDIV(Y960,Q960)</f>
        <v>0</v>
      </c>
      <c r="AA960">
        <f>IMPRODUCT(Z960,P960)</f>
        <v>0</v>
      </c>
      <c r="AB960">
        <f>AA960</f>
        <v>0</v>
      </c>
      <c r="AC960">
        <f>IMPRODUCT("-1",AB960)</f>
        <v>0</v>
      </c>
      <c r="AD960">
        <f>IMDIV(IMSUB(AB960,AC960),"2")</f>
        <v>0</v>
      </c>
      <c r="AE960" s="6">
        <f>IMABS(AB960)</f>
        <v>0</v>
      </c>
      <c r="AF960" s="6">
        <f>IMABS(AC960)</f>
        <v>0</v>
      </c>
      <c r="AG960" s="6">
        <f>IMABS(AD960)</f>
        <v>0</v>
      </c>
      <c r="AH960" s="7">
        <f>20*LOG10(MAX(AE960,1E-300)*1E6)</f>
        <v>0</v>
      </c>
      <c r="AI960" s="7">
        <f>20*LOG10(MAX(AF960,1E-300)*1E6)</f>
        <v>0</v>
      </c>
      <c r="AJ960" s="7">
        <f>20*LOG10(MAX(AG960,1E-300)*1E6)</f>
        <v>0</v>
      </c>
      <c r="AK960" s="7">
        <f>DEGREES(IMARGUMENT(AB960))</f>
        <v>0</v>
      </c>
      <c r="AL960" s="7">
        <f>DEGREES(IMARGUMENT(AC960))</f>
        <v>0</v>
      </c>
      <c r="AM960" s="7">
        <f>DEGREES(IMARGUMENT(AD960))</f>
        <v>0</v>
      </c>
    </row>
    <row r="961" spans="1:39">
      <c r="A961" s="6">
        <f>10^(LOG10(F_START)+(ROW()-ROW($A$2))*(LOG10(F_STOP)-LOG10(F_START))/(N_POINTS-1))</f>
        <v>0</v>
      </c>
      <c r="B961" s="6">
        <f>2*PI()*A961</f>
        <v>0</v>
      </c>
      <c r="C961">
        <f>COMPLEX(2*LINE_PS_DCR,2*B961*LINE_PS_L)</f>
        <v>0</v>
      </c>
      <c r="D961">
        <f>IMSUM(COMPLEX(0,B961*(LINE_PS_CLINE+LINE_PS_CCHA/2)),IMDIV("1",IMPRODUCT("2",COMPLEX(C_THROUGH_ESR,B961*C_THROUGH_ESL-1/(B961*C_THROUGH_C)))))</f>
        <v>0</v>
      </c>
      <c r="E961">
        <f>COMPLEX(2*LINE_INPUT_DCR,2*B961*LINE_INPUT_L)</f>
        <v>0</v>
      </c>
      <c r="F961">
        <f>COMPLEX(0,B961*(LINE_INPUT_CLINE+LINE_INPUT_CCHA/2))</f>
        <v>0</v>
      </c>
      <c r="G961">
        <f>IMPRODUCT("2",IMDIV("1",IMSUM(IMDIV("1",COMPLEX(LDM1_DCR,B961*LDM1_L)),COMPLEX(0,B961*LDM1_CPA))))</f>
        <v>0</v>
      </c>
      <c r="H961">
        <f>IMSUM(IMDIV("1",COMPLEX(CX1_ESR,B961*CX1_ESL-1/(B961*CX1_C))),IMDIV("1",IMSUM(COMPLEX(DUMP1_R,0),COMPLEX(DUMP1_ESR,B961*DUMP1_ESL-1/(B961*DUMP1_C)))))</f>
        <v>0</v>
      </c>
      <c r="I961">
        <f>IMPRODUCT("2",IMDIV("1",IMSUM(IMDIV("1",COMPLEX(LDM2_DCR,B961*LDM2_L)),COMPLEX(0,B961*LDM2_CPA))))</f>
        <v>0</v>
      </c>
      <c r="J961">
        <f>IMSUM(IMDIV("1",COMPLEX(CX2_ESR,B961*CX2_ESL-1/(B961*CX2_C))),IMDIV("1",IMSUM(COMPLEX(DUMP2_R,0),COMPLEX(DUMP2_ESR,B961*DUMP2_ESL-1/(B961*DUMP2_C)))))</f>
        <v>0</v>
      </c>
      <c r="K961">
        <f>IMPRODUCT("2",IMDIV("1",IMSUM(IMDIV("1",COMPLEX(CMC_DCR,B961*CMC_L*(1-CMC_K))),COMPLEX(0,B961*CMC_CPA))))</f>
        <v>0</v>
      </c>
      <c r="L961">
        <f>IMSUM(COMPLEX(0,B961*CMC_CLINE),IMDIV("1",IMPRODUCT("2",COMPLEX(CY_ESR,B961*CY_ESL-1/(B961*CY_C)))),COMPLEX(1/DUMMY_R,0))</f>
        <v>0</v>
      </c>
      <c r="M961">
        <f>IMSUM(D961,IMDIV("1",C961))</f>
        <v>0</v>
      </c>
      <c r="N961">
        <f>IMDIV("1",IMSUM(E961,IMDIV("1",M961)))</f>
        <v>0</v>
      </c>
      <c r="O961">
        <f>IMSUM(F961,N961)</f>
        <v>0</v>
      </c>
      <c r="P961">
        <f>IMDIV("1",IMSUM(G961,IMDIV("1",O961)))</f>
        <v>0</v>
      </c>
      <c r="Q961">
        <f>IMSUM(H961,P961)</f>
        <v>0</v>
      </c>
      <c r="R961">
        <f>IMDIV("1",IMSUM(I961,IMDIV("1",Q961)))</f>
        <v>0</v>
      </c>
      <c r="S961">
        <f>IMSUM(J961,R961)</f>
        <v>0</v>
      </c>
      <c r="T961">
        <f>IMDIV("1",IMSUM(K961,IMDIV("1",S961)))</f>
        <v>0</v>
      </c>
      <c r="U961">
        <f>IMSUM(L961,T961)</f>
        <v>0</v>
      </c>
      <c r="V961">
        <f>IMDIV(COMPLEX(I_DM_SOURCE,0),U961)</f>
        <v>0</v>
      </c>
      <c r="W961">
        <f>IMPRODUCT(V961,T961)</f>
        <v>0</v>
      </c>
      <c r="X961">
        <f>IMDIV(W961,S961)</f>
        <v>0</v>
      </c>
      <c r="Y961">
        <f>IMPRODUCT(X961,R961)</f>
        <v>0</v>
      </c>
      <c r="Z961">
        <f>IMDIV(Y961,Q961)</f>
        <v>0</v>
      </c>
      <c r="AA961">
        <f>IMPRODUCT(Z961,P961)</f>
        <v>0</v>
      </c>
      <c r="AB961">
        <f>AA961</f>
        <v>0</v>
      </c>
      <c r="AC961">
        <f>IMPRODUCT("-1",AB961)</f>
        <v>0</v>
      </c>
      <c r="AD961">
        <f>IMDIV(IMSUB(AB961,AC961),"2")</f>
        <v>0</v>
      </c>
      <c r="AE961" s="6">
        <f>IMABS(AB961)</f>
        <v>0</v>
      </c>
      <c r="AF961" s="6">
        <f>IMABS(AC961)</f>
        <v>0</v>
      </c>
      <c r="AG961" s="6">
        <f>IMABS(AD961)</f>
        <v>0</v>
      </c>
      <c r="AH961" s="7">
        <f>20*LOG10(MAX(AE961,1E-300)*1E6)</f>
        <v>0</v>
      </c>
      <c r="AI961" s="7">
        <f>20*LOG10(MAX(AF961,1E-300)*1E6)</f>
        <v>0</v>
      </c>
      <c r="AJ961" s="7">
        <f>20*LOG10(MAX(AG961,1E-300)*1E6)</f>
        <v>0</v>
      </c>
      <c r="AK961" s="7">
        <f>DEGREES(IMARGUMENT(AB961))</f>
        <v>0</v>
      </c>
      <c r="AL961" s="7">
        <f>DEGREES(IMARGUMENT(AC961))</f>
        <v>0</v>
      </c>
      <c r="AM961" s="7">
        <f>DEGREES(IMARGUMENT(AD961))</f>
        <v>0</v>
      </c>
    </row>
    <row r="962" spans="1:39">
      <c r="A962" s="6">
        <f>10^(LOG10(F_START)+(ROW()-ROW($A$2))*(LOG10(F_STOP)-LOG10(F_START))/(N_POINTS-1))</f>
        <v>0</v>
      </c>
      <c r="B962" s="6">
        <f>2*PI()*A962</f>
        <v>0</v>
      </c>
      <c r="C962">
        <f>COMPLEX(2*LINE_PS_DCR,2*B962*LINE_PS_L)</f>
        <v>0</v>
      </c>
      <c r="D962">
        <f>IMSUM(COMPLEX(0,B962*(LINE_PS_CLINE+LINE_PS_CCHA/2)),IMDIV("1",IMPRODUCT("2",COMPLEX(C_THROUGH_ESR,B962*C_THROUGH_ESL-1/(B962*C_THROUGH_C)))))</f>
        <v>0</v>
      </c>
      <c r="E962">
        <f>COMPLEX(2*LINE_INPUT_DCR,2*B962*LINE_INPUT_L)</f>
        <v>0</v>
      </c>
      <c r="F962">
        <f>COMPLEX(0,B962*(LINE_INPUT_CLINE+LINE_INPUT_CCHA/2))</f>
        <v>0</v>
      </c>
      <c r="G962">
        <f>IMPRODUCT("2",IMDIV("1",IMSUM(IMDIV("1",COMPLEX(LDM1_DCR,B962*LDM1_L)),COMPLEX(0,B962*LDM1_CPA))))</f>
        <v>0</v>
      </c>
      <c r="H962">
        <f>IMSUM(IMDIV("1",COMPLEX(CX1_ESR,B962*CX1_ESL-1/(B962*CX1_C))),IMDIV("1",IMSUM(COMPLEX(DUMP1_R,0),COMPLEX(DUMP1_ESR,B962*DUMP1_ESL-1/(B962*DUMP1_C)))))</f>
        <v>0</v>
      </c>
      <c r="I962">
        <f>IMPRODUCT("2",IMDIV("1",IMSUM(IMDIV("1",COMPLEX(LDM2_DCR,B962*LDM2_L)),COMPLEX(0,B962*LDM2_CPA))))</f>
        <v>0</v>
      </c>
      <c r="J962">
        <f>IMSUM(IMDIV("1",COMPLEX(CX2_ESR,B962*CX2_ESL-1/(B962*CX2_C))),IMDIV("1",IMSUM(COMPLEX(DUMP2_R,0),COMPLEX(DUMP2_ESR,B962*DUMP2_ESL-1/(B962*DUMP2_C)))))</f>
        <v>0</v>
      </c>
      <c r="K962">
        <f>IMPRODUCT("2",IMDIV("1",IMSUM(IMDIV("1",COMPLEX(CMC_DCR,B962*CMC_L*(1-CMC_K))),COMPLEX(0,B962*CMC_CPA))))</f>
        <v>0</v>
      </c>
      <c r="L962">
        <f>IMSUM(COMPLEX(0,B962*CMC_CLINE),IMDIV("1",IMPRODUCT("2",COMPLEX(CY_ESR,B962*CY_ESL-1/(B962*CY_C)))),COMPLEX(1/DUMMY_R,0))</f>
        <v>0</v>
      </c>
      <c r="M962">
        <f>IMSUM(D962,IMDIV("1",C962))</f>
        <v>0</v>
      </c>
      <c r="N962">
        <f>IMDIV("1",IMSUM(E962,IMDIV("1",M962)))</f>
        <v>0</v>
      </c>
      <c r="O962">
        <f>IMSUM(F962,N962)</f>
        <v>0</v>
      </c>
      <c r="P962">
        <f>IMDIV("1",IMSUM(G962,IMDIV("1",O962)))</f>
        <v>0</v>
      </c>
      <c r="Q962">
        <f>IMSUM(H962,P962)</f>
        <v>0</v>
      </c>
      <c r="R962">
        <f>IMDIV("1",IMSUM(I962,IMDIV("1",Q962)))</f>
        <v>0</v>
      </c>
      <c r="S962">
        <f>IMSUM(J962,R962)</f>
        <v>0</v>
      </c>
      <c r="T962">
        <f>IMDIV("1",IMSUM(K962,IMDIV("1",S962)))</f>
        <v>0</v>
      </c>
      <c r="U962">
        <f>IMSUM(L962,T962)</f>
        <v>0</v>
      </c>
      <c r="V962">
        <f>IMDIV(COMPLEX(I_DM_SOURCE,0),U962)</f>
        <v>0</v>
      </c>
      <c r="W962">
        <f>IMPRODUCT(V962,T962)</f>
        <v>0</v>
      </c>
      <c r="X962">
        <f>IMDIV(W962,S962)</f>
        <v>0</v>
      </c>
      <c r="Y962">
        <f>IMPRODUCT(X962,R962)</f>
        <v>0</v>
      </c>
      <c r="Z962">
        <f>IMDIV(Y962,Q962)</f>
        <v>0</v>
      </c>
      <c r="AA962">
        <f>IMPRODUCT(Z962,P962)</f>
        <v>0</v>
      </c>
      <c r="AB962">
        <f>AA962</f>
        <v>0</v>
      </c>
      <c r="AC962">
        <f>IMPRODUCT("-1",AB962)</f>
        <v>0</v>
      </c>
      <c r="AD962">
        <f>IMDIV(IMSUB(AB962,AC962),"2")</f>
        <v>0</v>
      </c>
      <c r="AE962" s="6">
        <f>IMABS(AB962)</f>
        <v>0</v>
      </c>
      <c r="AF962" s="6">
        <f>IMABS(AC962)</f>
        <v>0</v>
      </c>
      <c r="AG962" s="6">
        <f>IMABS(AD962)</f>
        <v>0</v>
      </c>
      <c r="AH962" s="7">
        <f>20*LOG10(MAX(AE962,1E-300)*1E6)</f>
        <v>0</v>
      </c>
      <c r="AI962" s="7">
        <f>20*LOG10(MAX(AF962,1E-300)*1E6)</f>
        <v>0</v>
      </c>
      <c r="AJ962" s="7">
        <f>20*LOG10(MAX(AG962,1E-300)*1E6)</f>
        <v>0</v>
      </c>
      <c r="AK962" s="7">
        <f>DEGREES(IMARGUMENT(AB962))</f>
        <v>0</v>
      </c>
      <c r="AL962" s="7">
        <f>DEGREES(IMARGUMENT(AC962))</f>
        <v>0</v>
      </c>
      <c r="AM962" s="7">
        <f>DEGREES(IMARGUMENT(AD962))</f>
        <v>0</v>
      </c>
    </row>
    <row r="963" spans="1:39">
      <c r="A963" s="6">
        <f>10^(LOG10(F_START)+(ROW()-ROW($A$2))*(LOG10(F_STOP)-LOG10(F_START))/(N_POINTS-1))</f>
        <v>0</v>
      </c>
      <c r="B963" s="6">
        <f>2*PI()*A963</f>
        <v>0</v>
      </c>
      <c r="C963">
        <f>COMPLEX(2*LINE_PS_DCR,2*B963*LINE_PS_L)</f>
        <v>0</v>
      </c>
      <c r="D963">
        <f>IMSUM(COMPLEX(0,B963*(LINE_PS_CLINE+LINE_PS_CCHA/2)),IMDIV("1",IMPRODUCT("2",COMPLEX(C_THROUGH_ESR,B963*C_THROUGH_ESL-1/(B963*C_THROUGH_C)))))</f>
        <v>0</v>
      </c>
      <c r="E963">
        <f>COMPLEX(2*LINE_INPUT_DCR,2*B963*LINE_INPUT_L)</f>
        <v>0</v>
      </c>
      <c r="F963">
        <f>COMPLEX(0,B963*(LINE_INPUT_CLINE+LINE_INPUT_CCHA/2))</f>
        <v>0</v>
      </c>
      <c r="G963">
        <f>IMPRODUCT("2",IMDIV("1",IMSUM(IMDIV("1",COMPLEX(LDM1_DCR,B963*LDM1_L)),COMPLEX(0,B963*LDM1_CPA))))</f>
        <v>0</v>
      </c>
      <c r="H963">
        <f>IMSUM(IMDIV("1",COMPLEX(CX1_ESR,B963*CX1_ESL-1/(B963*CX1_C))),IMDIV("1",IMSUM(COMPLEX(DUMP1_R,0),COMPLEX(DUMP1_ESR,B963*DUMP1_ESL-1/(B963*DUMP1_C)))))</f>
        <v>0</v>
      </c>
      <c r="I963">
        <f>IMPRODUCT("2",IMDIV("1",IMSUM(IMDIV("1",COMPLEX(LDM2_DCR,B963*LDM2_L)),COMPLEX(0,B963*LDM2_CPA))))</f>
        <v>0</v>
      </c>
      <c r="J963">
        <f>IMSUM(IMDIV("1",COMPLEX(CX2_ESR,B963*CX2_ESL-1/(B963*CX2_C))),IMDIV("1",IMSUM(COMPLEX(DUMP2_R,0),COMPLEX(DUMP2_ESR,B963*DUMP2_ESL-1/(B963*DUMP2_C)))))</f>
        <v>0</v>
      </c>
      <c r="K963">
        <f>IMPRODUCT("2",IMDIV("1",IMSUM(IMDIV("1",COMPLEX(CMC_DCR,B963*CMC_L*(1-CMC_K))),COMPLEX(0,B963*CMC_CPA))))</f>
        <v>0</v>
      </c>
      <c r="L963">
        <f>IMSUM(COMPLEX(0,B963*CMC_CLINE),IMDIV("1",IMPRODUCT("2",COMPLEX(CY_ESR,B963*CY_ESL-1/(B963*CY_C)))),COMPLEX(1/DUMMY_R,0))</f>
        <v>0</v>
      </c>
      <c r="M963">
        <f>IMSUM(D963,IMDIV("1",C963))</f>
        <v>0</v>
      </c>
      <c r="N963">
        <f>IMDIV("1",IMSUM(E963,IMDIV("1",M963)))</f>
        <v>0</v>
      </c>
      <c r="O963">
        <f>IMSUM(F963,N963)</f>
        <v>0</v>
      </c>
      <c r="P963">
        <f>IMDIV("1",IMSUM(G963,IMDIV("1",O963)))</f>
        <v>0</v>
      </c>
      <c r="Q963">
        <f>IMSUM(H963,P963)</f>
        <v>0</v>
      </c>
      <c r="R963">
        <f>IMDIV("1",IMSUM(I963,IMDIV("1",Q963)))</f>
        <v>0</v>
      </c>
      <c r="S963">
        <f>IMSUM(J963,R963)</f>
        <v>0</v>
      </c>
      <c r="T963">
        <f>IMDIV("1",IMSUM(K963,IMDIV("1",S963)))</f>
        <v>0</v>
      </c>
      <c r="U963">
        <f>IMSUM(L963,T963)</f>
        <v>0</v>
      </c>
      <c r="V963">
        <f>IMDIV(COMPLEX(I_DM_SOURCE,0),U963)</f>
        <v>0</v>
      </c>
      <c r="W963">
        <f>IMPRODUCT(V963,T963)</f>
        <v>0</v>
      </c>
      <c r="X963">
        <f>IMDIV(W963,S963)</f>
        <v>0</v>
      </c>
      <c r="Y963">
        <f>IMPRODUCT(X963,R963)</f>
        <v>0</v>
      </c>
      <c r="Z963">
        <f>IMDIV(Y963,Q963)</f>
        <v>0</v>
      </c>
      <c r="AA963">
        <f>IMPRODUCT(Z963,P963)</f>
        <v>0</v>
      </c>
      <c r="AB963">
        <f>AA963</f>
        <v>0</v>
      </c>
      <c r="AC963">
        <f>IMPRODUCT("-1",AB963)</f>
        <v>0</v>
      </c>
      <c r="AD963">
        <f>IMDIV(IMSUB(AB963,AC963),"2")</f>
        <v>0</v>
      </c>
      <c r="AE963" s="6">
        <f>IMABS(AB963)</f>
        <v>0</v>
      </c>
      <c r="AF963" s="6">
        <f>IMABS(AC963)</f>
        <v>0</v>
      </c>
      <c r="AG963" s="6">
        <f>IMABS(AD963)</f>
        <v>0</v>
      </c>
      <c r="AH963" s="7">
        <f>20*LOG10(MAX(AE963,1E-300)*1E6)</f>
        <v>0</v>
      </c>
      <c r="AI963" s="7">
        <f>20*LOG10(MAX(AF963,1E-300)*1E6)</f>
        <v>0</v>
      </c>
      <c r="AJ963" s="7">
        <f>20*LOG10(MAX(AG963,1E-300)*1E6)</f>
        <v>0</v>
      </c>
      <c r="AK963" s="7">
        <f>DEGREES(IMARGUMENT(AB963))</f>
        <v>0</v>
      </c>
      <c r="AL963" s="7">
        <f>DEGREES(IMARGUMENT(AC963))</f>
        <v>0</v>
      </c>
      <c r="AM963" s="7">
        <f>DEGREES(IMARGUMENT(AD963))</f>
        <v>0</v>
      </c>
    </row>
    <row r="964" spans="1:39">
      <c r="A964" s="6">
        <f>10^(LOG10(F_START)+(ROW()-ROW($A$2))*(LOG10(F_STOP)-LOG10(F_START))/(N_POINTS-1))</f>
        <v>0</v>
      </c>
      <c r="B964" s="6">
        <f>2*PI()*A964</f>
        <v>0</v>
      </c>
      <c r="C964">
        <f>COMPLEX(2*LINE_PS_DCR,2*B964*LINE_PS_L)</f>
        <v>0</v>
      </c>
      <c r="D964">
        <f>IMSUM(COMPLEX(0,B964*(LINE_PS_CLINE+LINE_PS_CCHA/2)),IMDIV("1",IMPRODUCT("2",COMPLEX(C_THROUGH_ESR,B964*C_THROUGH_ESL-1/(B964*C_THROUGH_C)))))</f>
        <v>0</v>
      </c>
      <c r="E964">
        <f>COMPLEX(2*LINE_INPUT_DCR,2*B964*LINE_INPUT_L)</f>
        <v>0</v>
      </c>
      <c r="F964">
        <f>COMPLEX(0,B964*(LINE_INPUT_CLINE+LINE_INPUT_CCHA/2))</f>
        <v>0</v>
      </c>
      <c r="G964">
        <f>IMPRODUCT("2",IMDIV("1",IMSUM(IMDIV("1",COMPLEX(LDM1_DCR,B964*LDM1_L)),COMPLEX(0,B964*LDM1_CPA))))</f>
        <v>0</v>
      </c>
      <c r="H964">
        <f>IMSUM(IMDIV("1",COMPLEX(CX1_ESR,B964*CX1_ESL-1/(B964*CX1_C))),IMDIV("1",IMSUM(COMPLEX(DUMP1_R,0),COMPLEX(DUMP1_ESR,B964*DUMP1_ESL-1/(B964*DUMP1_C)))))</f>
        <v>0</v>
      </c>
      <c r="I964">
        <f>IMPRODUCT("2",IMDIV("1",IMSUM(IMDIV("1",COMPLEX(LDM2_DCR,B964*LDM2_L)),COMPLEX(0,B964*LDM2_CPA))))</f>
        <v>0</v>
      </c>
      <c r="J964">
        <f>IMSUM(IMDIV("1",COMPLEX(CX2_ESR,B964*CX2_ESL-1/(B964*CX2_C))),IMDIV("1",IMSUM(COMPLEX(DUMP2_R,0),COMPLEX(DUMP2_ESR,B964*DUMP2_ESL-1/(B964*DUMP2_C)))))</f>
        <v>0</v>
      </c>
      <c r="K964">
        <f>IMPRODUCT("2",IMDIV("1",IMSUM(IMDIV("1",COMPLEX(CMC_DCR,B964*CMC_L*(1-CMC_K))),COMPLEX(0,B964*CMC_CPA))))</f>
        <v>0</v>
      </c>
      <c r="L964">
        <f>IMSUM(COMPLEX(0,B964*CMC_CLINE),IMDIV("1",IMPRODUCT("2",COMPLEX(CY_ESR,B964*CY_ESL-1/(B964*CY_C)))),COMPLEX(1/DUMMY_R,0))</f>
        <v>0</v>
      </c>
      <c r="M964">
        <f>IMSUM(D964,IMDIV("1",C964))</f>
        <v>0</v>
      </c>
      <c r="N964">
        <f>IMDIV("1",IMSUM(E964,IMDIV("1",M964)))</f>
        <v>0</v>
      </c>
      <c r="O964">
        <f>IMSUM(F964,N964)</f>
        <v>0</v>
      </c>
      <c r="P964">
        <f>IMDIV("1",IMSUM(G964,IMDIV("1",O964)))</f>
        <v>0</v>
      </c>
      <c r="Q964">
        <f>IMSUM(H964,P964)</f>
        <v>0</v>
      </c>
      <c r="R964">
        <f>IMDIV("1",IMSUM(I964,IMDIV("1",Q964)))</f>
        <v>0</v>
      </c>
      <c r="S964">
        <f>IMSUM(J964,R964)</f>
        <v>0</v>
      </c>
      <c r="T964">
        <f>IMDIV("1",IMSUM(K964,IMDIV("1",S964)))</f>
        <v>0</v>
      </c>
      <c r="U964">
        <f>IMSUM(L964,T964)</f>
        <v>0</v>
      </c>
      <c r="V964">
        <f>IMDIV(COMPLEX(I_DM_SOURCE,0),U964)</f>
        <v>0</v>
      </c>
      <c r="W964">
        <f>IMPRODUCT(V964,T964)</f>
        <v>0</v>
      </c>
      <c r="X964">
        <f>IMDIV(W964,S964)</f>
        <v>0</v>
      </c>
      <c r="Y964">
        <f>IMPRODUCT(X964,R964)</f>
        <v>0</v>
      </c>
      <c r="Z964">
        <f>IMDIV(Y964,Q964)</f>
        <v>0</v>
      </c>
      <c r="AA964">
        <f>IMPRODUCT(Z964,P964)</f>
        <v>0</v>
      </c>
      <c r="AB964">
        <f>AA964</f>
        <v>0</v>
      </c>
      <c r="AC964">
        <f>IMPRODUCT("-1",AB964)</f>
        <v>0</v>
      </c>
      <c r="AD964">
        <f>IMDIV(IMSUB(AB964,AC964),"2")</f>
        <v>0</v>
      </c>
      <c r="AE964" s="6">
        <f>IMABS(AB964)</f>
        <v>0</v>
      </c>
      <c r="AF964" s="6">
        <f>IMABS(AC964)</f>
        <v>0</v>
      </c>
      <c r="AG964" s="6">
        <f>IMABS(AD964)</f>
        <v>0</v>
      </c>
      <c r="AH964" s="7">
        <f>20*LOG10(MAX(AE964,1E-300)*1E6)</f>
        <v>0</v>
      </c>
      <c r="AI964" s="7">
        <f>20*LOG10(MAX(AF964,1E-300)*1E6)</f>
        <v>0</v>
      </c>
      <c r="AJ964" s="7">
        <f>20*LOG10(MAX(AG964,1E-300)*1E6)</f>
        <v>0</v>
      </c>
      <c r="AK964" s="7">
        <f>DEGREES(IMARGUMENT(AB964))</f>
        <v>0</v>
      </c>
      <c r="AL964" s="7">
        <f>DEGREES(IMARGUMENT(AC964))</f>
        <v>0</v>
      </c>
      <c r="AM964" s="7">
        <f>DEGREES(IMARGUMENT(AD964))</f>
        <v>0</v>
      </c>
    </row>
    <row r="965" spans="1:39">
      <c r="A965" s="6">
        <f>10^(LOG10(F_START)+(ROW()-ROW($A$2))*(LOG10(F_STOP)-LOG10(F_START))/(N_POINTS-1))</f>
        <v>0</v>
      </c>
      <c r="B965" s="6">
        <f>2*PI()*A965</f>
        <v>0</v>
      </c>
      <c r="C965">
        <f>COMPLEX(2*LINE_PS_DCR,2*B965*LINE_PS_L)</f>
        <v>0</v>
      </c>
      <c r="D965">
        <f>IMSUM(COMPLEX(0,B965*(LINE_PS_CLINE+LINE_PS_CCHA/2)),IMDIV("1",IMPRODUCT("2",COMPLEX(C_THROUGH_ESR,B965*C_THROUGH_ESL-1/(B965*C_THROUGH_C)))))</f>
        <v>0</v>
      </c>
      <c r="E965">
        <f>COMPLEX(2*LINE_INPUT_DCR,2*B965*LINE_INPUT_L)</f>
        <v>0</v>
      </c>
      <c r="F965">
        <f>COMPLEX(0,B965*(LINE_INPUT_CLINE+LINE_INPUT_CCHA/2))</f>
        <v>0</v>
      </c>
      <c r="G965">
        <f>IMPRODUCT("2",IMDIV("1",IMSUM(IMDIV("1",COMPLEX(LDM1_DCR,B965*LDM1_L)),COMPLEX(0,B965*LDM1_CPA))))</f>
        <v>0</v>
      </c>
      <c r="H965">
        <f>IMSUM(IMDIV("1",COMPLEX(CX1_ESR,B965*CX1_ESL-1/(B965*CX1_C))),IMDIV("1",IMSUM(COMPLEX(DUMP1_R,0),COMPLEX(DUMP1_ESR,B965*DUMP1_ESL-1/(B965*DUMP1_C)))))</f>
        <v>0</v>
      </c>
      <c r="I965">
        <f>IMPRODUCT("2",IMDIV("1",IMSUM(IMDIV("1",COMPLEX(LDM2_DCR,B965*LDM2_L)),COMPLEX(0,B965*LDM2_CPA))))</f>
        <v>0</v>
      </c>
      <c r="J965">
        <f>IMSUM(IMDIV("1",COMPLEX(CX2_ESR,B965*CX2_ESL-1/(B965*CX2_C))),IMDIV("1",IMSUM(COMPLEX(DUMP2_R,0),COMPLEX(DUMP2_ESR,B965*DUMP2_ESL-1/(B965*DUMP2_C)))))</f>
        <v>0</v>
      </c>
      <c r="K965">
        <f>IMPRODUCT("2",IMDIV("1",IMSUM(IMDIV("1",COMPLEX(CMC_DCR,B965*CMC_L*(1-CMC_K))),COMPLEX(0,B965*CMC_CPA))))</f>
        <v>0</v>
      </c>
      <c r="L965">
        <f>IMSUM(COMPLEX(0,B965*CMC_CLINE),IMDIV("1",IMPRODUCT("2",COMPLEX(CY_ESR,B965*CY_ESL-1/(B965*CY_C)))),COMPLEX(1/DUMMY_R,0))</f>
        <v>0</v>
      </c>
      <c r="M965">
        <f>IMSUM(D965,IMDIV("1",C965))</f>
        <v>0</v>
      </c>
      <c r="N965">
        <f>IMDIV("1",IMSUM(E965,IMDIV("1",M965)))</f>
        <v>0</v>
      </c>
      <c r="O965">
        <f>IMSUM(F965,N965)</f>
        <v>0</v>
      </c>
      <c r="P965">
        <f>IMDIV("1",IMSUM(G965,IMDIV("1",O965)))</f>
        <v>0</v>
      </c>
      <c r="Q965">
        <f>IMSUM(H965,P965)</f>
        <v>0</v>
      </c>
      <c r="R965">
        <f>IMDIV("1",IMSUM(I965,IMDIV("1",Q965)))</f>
        <v>0</v>
      </c>
      <c r="S965">
        <f>IMSUM(J965,R965)</f>
        <v>0</v>
      </c>
      <c r="T965">
        <f>IMDIV("1",IMSUM(K965,IMDIV("1",S965)))</f>
        <v>0</v>
      </c>
      <c r="U965">
        <f>IMSUM(L965,T965)</f>
        <v>0</v>
      </c>
      <c r="V965">
        <f>IMDIV(COMPLEX(I_DM_SOURCE,0),U965)</f>
        <v>0</v>
      </c>
      <c r="W965">
        <f>IMPRODUCT(V965,T965)</f>
        <v>0</v>
      </c>
      <c r="X965">
        <f>IMDIV(W965,S965)</f>
        <v>0</v>
      </c>
      <c r="Y965">
        <f>IMPRODUCT(X965,R965)</f>
        <v>0</v>
      </c>
      <c r="Z965">
        <f>IMDIV(Y965,Q965)</f>
        <v>0</v>
      </c>
      <c r="AA965">
        <f>IMPRODUCT(Z965,P965)</f>
        <v>0</v>
      </c>
      <c r="AB965">
        <f>AA965</f>
        <v>0</v>
      </c>
      <c r="AC965">
        <f>IMPRODUCT("-1",AB965)</f>
        <v>0</v>
      </c>
      <c r="AD965">
        <f>IMDIV(IMSUB(AB965,AC965),"2")</f>
        <v>0</v>
      </c>
      <c r="AE965" s="6">
        <f>IMABS(AB965)</f>
        <v>0</v>
      </c>
      <c r="AF965" s="6">
        <f>IMABS(AC965)</f>
        <v>0</v>
      </c>
      <c r="AG965" s="6">
        <f>IMABS(AD965)</f>
        <v>0</v>
      </c>
      <c r="AH965" s="7">
        <f>20*LOG10(MAX(AE965,1E-300)*1E6)</f>
        <v>0</v>
      </c>
      <c r="AI965" s="7">
        <f>20*LOG10(MAX(AF965,1E-300)*1E6)</f>
        <v>0</v>
      </c>
      <c r="AJ965" s="7">
        <f>20*LOG10(MAX(AG965,1E-300)*1E6)</f>
        <v>0</v>
      </c>
      <c r="AK965" s="7">
        <f>DEGREES(IMARGUMENT(AB965))</f>
        <v>0</v>
      </c>
      <c r="AL965" s="7">
        <f>DEGREES(IMARGUMENT(AC965))</f>
        <v>0</v>
      </c>
      <c r="AM965" s="7">
        <f>DEGREES(IMARGUMENT(AD965))</f>
        <v>0</v>
      </c>
    </row>
    <row r="966" spans="1:39">
      <c r="A966" s="6">
        <f>10^(LOG10(F_START)+(ROW()-ROW($A$2))*(LOG10(F_STOP)-LOG10(F_START))/(N_POINTS-1))</f>
        <v>0</v>
      </c>
      <c r="B966" s="6">
        <f>2*PI()*A966</f>
        <v>0</v>
      </c>
      <c r="C966">
        <f>COMPLEX(2*LINE_PS_DCR,2*B966*LINE_PS_L)</f>
        <v>0</v>
      </c>
      <c r="D966">
        <f>IMSUM(COMPLEX(0,B966*(LINE_PS_CLINE+LINE_PS_CCHA/2)),IMDIV("1",IMPRODUCT("2",COMPLEX(C_THROUGH_ESR,B966*C_THROUGH_ESL-1/(B966*C_THROUGH_C)))))</f>
        <v>0</v>
      </c>
      <c r="E966">
        <f>COMPLEX(2*LINE_INPUT_DCR,2*B966*LINE_INPUT_L)</f>
        <v>0</v>
      </c>
      <c r="F966">
        <f>COMPLEX(0,B966*(LINE_INPUT_CLINE+LINE_INPUT_CCHA/2))</f>
        <v>0</v>
      </c>
      <c r="G966">
        <f>IMPRODUCT("2",IMDIV("1",IMSUM(IMDIV("1",COMPLEX(LDM1_DCR,B966*LDM1_L)),COMPLEX(0,B966*LDM1_CPA))))</f>
        <v>0</v>
      </c>
      <c r="H966">
        <f>IMSUM(IMDIV("1",COMPLEX(CX1_ESR,B966*CX1_ESL-1/(B966*CX1_C))),IMDIV("1",IMSUM(COMPLEX(DUMP1_R,0),COMPLEX(DUMP1_ESR,B966*DUMP1_ESL-1/(B966*DUMP1_C)))))</f>
        <v>0</v>
      </c>
      <c r="I966">
        <f>IMPRODUCT("2",IMDIV("1",IMSUM(IMDIV("1",COMPLEX(LDM2_DCR,B966*LDM2_L)),COMPLEX(0,B966*LDM2_CPA))))</f>
        <v>0</v>
      </c>
      <c r="J966">
        <f>IMSUM(IMDIV("1",COMPLEX(CX2_ESR,B966*CX2_ESL-1/(B966*CX2_C))),IMDIV("1",IMSUM(COMPLEX(DUMP2_R,0),COMPLEX(DUMP2_ESR,B966*DUMP2_ESL-1/(B966*DUMP2_C)))))</f>
        <v>0</v>
      </c>
      <c r="K966">
        <f>IMPRODUCT("2",IMDIV("1",IMSUM(IMDIV("1",COMPLEX(CMC_DCR,B966*CMC_L*(1-CMC_K))),COMPLEX(0,B966*CMC_CPA))))</f>
        <v>0</v>
      </c>
      <c r="L966">
        <f>IMSUM(COMPLEX(0,B966*CMC_CLINE),IMDIV("1",IMPRODUCT("2",COMPLEX(CY_ESR,B966*CY_ESL-1/(B966*CY_C)))),COMPLEX(1/DUMMY_R,0))</f>
        <v>0</v>
      </c>
      <c r="M966">
        <f>IMSUM(D966,IMDIV("1",C966))</f>
        <v>0</v>
      </c>
      <c r="N966">
        <f>IMDIV("1",IMSUM(E966,IMDIV("1",M966)))</f>
        <v>0</v>
      </c>
      <c r="O966">
        <f>IMSUM(F966,N966)</f>
        <v>0</v>
      </c>
      <c r="P966">
        <f>IMDIV("1",IMSUM(G966,IMDIV("1",O966)))</f>
        <v>0</v>
      </c>
      <c r="Q966">
        <f>IMSUM(H966,P966)</f>
        <v>0</v>
      </c>
      <c r="R966">
        <f>IMDIV("1",IMSUM(I966,IMDIV("1",Q966)))</f>
        <v>0</v>
      </c>
      <c r="S966">
        <f>IMSUM(J966,R966)</f>
        <v>0</v>
      </c>
      <c r="T966">
        <f>IMDIV("1",IMSUM(K966,IMDIV("1",S966)))</f>
        <v>0</v>
      </c>
      <c r="U966">
        <f>IMSUM(L966,T966)</f>
        <v>0</v>
      </c>
      <c r="V966">
        <f>IMDIV(COMPLEX(I_DM_SOURCE,0),U966)</f>
        <v>0</v>
      </c>
      <c r="W966">
        <f>IMPRODUCT(V966,T966)</f>
        <v>0</v>
      </c>
      <c r="X966">
        <f>IMDIV(W966,S966)</f>
        <v>0</v>
      </c>
      <c r="Y966">
        <f>IMPRODUCT(X966,R966)</f>
        <v>0</v>
      </c>
      <c r="Z966">
        <f>IMDIV(Y966,Q966)</f>
        <v>0</v>
      </c>
      <c r="AA966">
        <f>IMPRODUCT(Z966,P966)</f>
        <v>0</v>
      </c>
      <c r="AB966">
        <f>AA966</f>
        <v>0</v>
      </c>
      <c r="AC966">
        <f>IMPRODUCT("-1",AB966)</f>
        <v>0</v>
      </c>
      <c r="AD966">
        <f>IMDIV(IMSUB(AB966,AC966),"2")</f>
        <v>0</v>
      </c>
      <c r="AE966" s="6">
        <f>IMABS(AB966)</f>
        <v>0</v>
      </c>
      <c r="AF966" s="6">
        <f>IMABS(AC966)</f>
        <v>0</v>
      </c>
      <c r="AG966" s="6">
        <f>IMABS(AD966)</f>
        <v>0</v>
      </c>
      <c r="AH966" s="7">
        <f>20*LOG10(MAX(AE966,1E-300)*1E6)</f>
        <v>0</v>
      </c>
      <c r="AI966" s="7">
        <f>20*LOG10(MAX(AF966,1E-300)*1E6)</f>
        <v>0</v>
      </c>
      <c r="AJ966" s="7">
        <f>20*LOG10(MAX(AG966,1E-300)*1E6)</f>
        <v>0</v>
      </c>
      <c r="AK966" s="7">
        <f>DEGREES(IMARGUMENT(AB966))</f>
        <v>0</v>
      </c>
      <c r="AL966" s="7">
        <f>DEGREES(IMARGUMENT(AC966))</f>
        <v>0</v>
      </c>
      <c r="AM966" s="7">
        <f>DEGREES(IMARGUMENT(AD966))</f>
        <v>0</v>
      </c>
    </row>
    <row r="967" spans="1:39">
      <c r="A967" s="6">
        <f>10^(LOG10(F_START)+(ROW()-ROW($A$2))*(LOG10(F_STOP)-LOG10(F_START))/(N_POINTS-1))</f>
        <v>0</v>
      </c>
      <c r="B967" s="6">
        <f>2*PI()*A967</f>
        <v>0</v>
      </c>
      <c r="C967">
        <f>COMPLEX(2*LINE_PS_DCR,2*B967*LINE_PS_L)</f>
        <v>0</v>
      </c>
      <c r="D967">
        <f>IMSUM(COMPLEX(0,B967*(LINE_PS_CLINE+LINE_PS_CCHA/2)),IMDIV("1",IMPRODUCT("2",COMPLEX(C_THROUGH_ESR,B967*C_THROUGH_ESL-1/(B967*C_THROUGH_C)))))</f>
        <v>0</v>
      </c>
      <c r="E967">
        <f>COMPLEX(2*LINE_INPUT_DCR,2*B967*LINE_INPUT_L)</f>
        <v>0</v>
      </c>
      <c r="F967">
        <f>COMPLEX(0,B967*(LINE_INPUT_CLINE+LINE_INPUT_CCHA/2))</f>
        <v>0</v>
      </c>
      <c r="G967">
        <f>IMPRODUCT("2",IMDIV("1",IMSUM(IMDIV("1",COMPLEX(LDM1_DCR,B967*LDM1_L)),COMPLEX(0,B967*LDM1_CPA))))</f>
        <v>0</v>
      </c>
      <c r="H967">
        <f>IMSUM(IMDIV("1",COMPLEX(CX1_ESR,B967*CX1_ESL-1/(B967*CX1_C))),IMDIV("1",IMSUM(COMPLEX(DUMP1_R,0),COMPLEX(DUMP1_ESR,B967*DUMP1_ESL-1/(B967*DUMP1_C)))))</f>
        <v>0</v>
      </c>
      <c r="I967">
        <f>IMPRODUCT("2",IMDIV("1",IMSUM(IMDIV("1",COMPLEX(LDM2_DCR,B967*LDM2_L)),COMPLEX(0,B967*LDM2_CPA))))</f>
        <v>0</v>
      </c>
      <c r="J967">
        <f>IMSUM(IMDIV("1",COMPLEX(CX2_ESR,B967*CX2_ESL-1/(B967*CX2_C))),IMDIV("1",IMSUM(COMPLEX(DUMP2_R,0),COMPLEX(DUMP2_ESR,B967*DUMP2_ESL-1/(B967*DUMP2_C)))))</f>
        <v>0</v>
      </c>
      <c r="K967">
        <f>IMPRODUCT("2",IMDIV("1",IMSUM(IMDIV("1",COMPLEX(CMC_DCR,B967*CMC_L*(1-CMC_K))),COMPLEX(0,B967*CMC_CPA))))</f>
        <v>0</v>
      </c>
      <c r="L967">
        <f>IMSUM(COMPLEX(0,B967*CMC_CLINE),IMDIV("1",IMPRODUCT("2",COMPLEX(CY_ESR,B967*CY_ESL-1/(B967*CY_C)))),COMPLEX(1/DUMMY_R,0))</f>
        <v>0</v>
      </c>
      <c r="M967">
        <f>IMSUM(D967,IMDIV("1",C967))</f>
        <v>0</v>
      </c>
      <c r="N967">
        <f>IMDIV("1",IMSUM(E967,IMDIV("1",M967)))</f>
        <v>0</v>
      </c>
      <c r="O967">
        <f>IMSUM(F967,N967)</f>
        <v>0</v>
      </c>
      <c r="P967">
        <f>IMDIV("1",IMSUM(G967,IMDIV("1",O967)))</f>
        <v>0</v>
      </c>
      <c r="Q967">
        <f>IMSUM(H967,P967)</f>
        <v>0</v>
      </c>
      <c r="R967">
        <f>IMDIV("1",IMSUM(I967,IMDIV("1",Q967)))</f>
        <v>0</v>
      </c>
      <c r="S967">
        <f>IMSUM(J967,R967)</f>
        <v>0</v>
      </c>
      <c r="T967">
        <f>IMDIV("1",IMSUM(K967,IMDIV("1",S967)))</f>
        <v>0</v>
      </c>
      <c r="U967">
        <f>IMSUM(L967,T967)</f>
        <v>0</v>
      </c>
      <c r="V967">
        <f>IMDIV(COMPLEX(I_DM_SOURCE,0),U967)</f>
        <v>0</v>
      </c>
      <c r="W967">
        <f>IMPRODUCT(V967,T967)</f>
        <v>0</v>
      </c>
      <c r="X967">
        <f>IMDIV(W967,S967)</f>
        <v>0</v>
      </c>
      <c r="Y967">
        <f>IMPRODUCT(X967,R967)</f>
        <v>0</v>
      </c>
      <c r="Z967">
        <f>IMDIV(Y967,Q967)</f>
        <v>0</v>
      </c>
      <c r="AA967">
        <f>IMPRODUCT(Z967,P967)</f>
        <v>0</v>
      </c>
      <c r="AB967">
        <f>AA967</f>
        <v>0</v>
      </c>
      <c r="AC967">
        <f>IMPRODUCT("-1",AB967)</f>
        <v>0</v>
      </c>
      <c r="AD967">
        <f>IMDIV(IMSUB(AB967,AC967),"2")</f>
        <v>0</v>
      </c>
      <c r="AE967" s="6">
        <f>IMABS(AB967)</f>
        <v>0</v>
      </c>
      <c r="AF967" s="6">
        <f>IMABS(AC967)</f>
        <v>0</v>
      </c>
      <c r="AG967" s="6">
        <f>IMABS(AD967)</f>
        <v>0</v>
      </c>
      <c r="AH967" s="7">
        <f>20*LOG10(MAX(AE967,1E-300)*1E6)</f>
        <v>0</v>
      </c>
      <c r="AI967" s="7">
        <f>20*LOG10(MAX(AF967,1E-300)*1E6)</f>
        <v>0</v>
      </c>
      <c r="AJ967" s="7">
        <f>20*LOG10(MAX(AG967,1E-300)*1E6)</f>
        <v>0</v>
      </c>
      <c r="AK967" s="7">
        <f>DEGREES(IMARGUMENT(AB967))</f>
        <v>0</v>
      </c>
      <c r="AL967" s="7">
        <f>DEGREES(IMARGUMENT(AC967))</f>
        <v>0</v>
      </c>
      <c r="AM967" s="7">
        <f>DEGREES(IMARGUMENT(AD967))</f>
        <v>0</v>
      </c>
    </row>
    <row r="968" spans="1:39">
      <c r="A968" s="6">
        <f>10^(LOG10(F_START)+(ROW()-ROW($A$2))*(LOG10(F_STOP)-LOG10(F_START))/(N_POINTS-1))</f>
        <v>0</v>
      </c>
      <c r="B968" s="6">
        <f>2*PI()*A968</f>
        <v>0</v>
      </c>
      <c r="C968">
        <f>COMPLEX(2*LINE_PS_DCR,2*B968*LINE_PS_L)</f>
        <v>0</v>
      </c>
      <c r="D968">
        <f>IMSUM(COMPLEX(0,B968*(LINE_PS_CLINE+LINE_PS_CCHA/2)),IMDIV("1",IMPRODUCT("2",COMPLEX(C_THROUGH_ESR,B968*C_THROUGH_ESL-1/(B968*C_THROUGH_C)))))</f>
        <v>0</v>
      </c>
      <c r="E968">
        <f>COMPLEX(2*LINE_INPUT_DCR,2*B968*LINE_INPUT_L)</f>
        <v>0</v>
      </c>
      <c r="F968">
        <f>COMPLEX(0,B968*(LINE_INPUT_CLINE+LINE_INPUT_CCHA/2))</f>
        <v>0</v>
      </c>
      <c r="G968">
        <f>IMPRODUCT("2",IMDIV("1",IMSUM(IMDIV("1",COMPLEX(LDM1_DCR,B968*LDM1_L)),COMPLEX(0,B968*LDM1_CPA))))</f>
        <v>0</v>
      </c>
      <c r="H968">
        <f>IMSUM(IMDIV("1",COMPLEX(CX1_ESR,B968*CX1_ESL-1/(B968*CX1_C))),IMDIV("1",IMSUM(COMPLEX(DUMP1_R,0),COMPLEX(DUMP1_ESR,B968*DUMP1_ESL-1/(B968*DUMP1_C)))))</f>
        <v>0</v>
      </c>
      <c r="I968">
        <f>IMPRODUCT("2",IMDIV("1",IMSUM(IMDIV("1",COMPLEX(LDM2_DCR,B968*LDM2_L)),COMPLEX(0,B968*LDM2_CPA))))</f>
        <v>0</v>
      </c>
      <c r="J968">
        <f>IMSUM(IMDIV("1",COMPLEX(CX2_ESR,B968*CX2_ESL-1/(B968*CX2_C))),IMDIV("1",IMSUM(COMPLEX(DUMP2_R,0),COMPLEX(DUMP2_ESR,B968*DUMP2_ESL-1/(B968*DUMP2_C)))))</f>
        <v>0</v>
      </c>
      <c r="K968">
        <f>IMPRODUCT("2",IMDIV("1",IMSUM(IMDIV("1",COMPLEX(CMC_DCR,B968*CMC_L*(1-CMC_K))),COMPLEX(0,B968*CMC_CPA))))</f>
        <v>0</v>
      </c>
      <c r="L968">
        <f>IMSUM(COMPLEX(0,B968*CMC_CLINE),IMDIV("1",IMPRODUCT("2",COMPLEX(CY_ESR,B968*CY_ESL-1/(B968*CY_C)))),COMPLEX(1/DUMMY_R,0))</f>
        <v>0</v>
      </c>
      <c r="M968">
        <f>IMSUM(D968,IMDIV("1",C968))</f>
        <v>0</v>
      </c>
      <c r="N968">
        <f>IMDIV("1",IMSUM(E968,IMDIV("1",M968)))</f>
        <v>0</v>
      </c>
      <c r="O968">
        <f>IMSUM(F968,N968)</f>
        <v>0</v>
      </c>
      <c r="P968">
        <f>IMDIV("1",IMSUM(G968,IMDIV("1",O968)))</f>
        <v>0</v>
      </c>
      <c r="Q968">
        <f>IMSUM(H968,P968)</f>
        <v>0</v>
      </c>
      <c r="R968">
        <f>IMDIV("1",IMSUM(I968,IMDIV("1",Q968)))</f>
        <v>0</v>
      </c>
      <c r="S968">
        <f>IMSUM(J968,R968)</f>
        <v>0</v>
      </c>
      <c r="T968">
        <f>IMDIV("1",IMSUM(K968,IMDIV("1",S968)))</f>
        <v>0</v>
      </c>
      <c r="U968">
        <f>IMSUM(L968,T968)</f>
        <v>0</v>
      </c>
      <c r="V968">
        <f>IMDIV(COMPLEX(I_DM_SOURCE,0),U968)</f>
        <v>0</v>
      </c>
      <c r="W968">
        <f>IMPRODUCT(V968,T968)</f>
        <v>0</v>
      </c>
      <c r="X968">
        <f>IMDIV(W968,S968)</f>
        <v>0</v>
      </c>
      <c r="Y968">
        <f>IMPRODUCT(X968,R968)</f>
        <v>0</v>
      </c>
      <c r="Z968">
        <f>IMDIV(Y968,Q968)</f>
        <v>0</v>
      </c>
      <c r="AA968">
        <f>IMPRODUCT(Z968,P968)</f>
        <v>0</v>
      </c>
      <c r="AB968">
        <f>AA968</f>
        <v>0</v>
      </c>
      <c r="AC968">
        <f>IMPRODUCT("-1",AB968)</f>
        <v>0</v>
      </c>
      <c r="AD968">
        <f>IMDIV(IMSUB(AB968,AC968),"2")</f>
        <v>0</v>
      </c>
      <c r="AE968" s="6">
        <f>IMABS(AB968)</f>
        <v>0</v>
      </c>
      <c r="AF968" s="6">
        <f>IMABS(AC968)</f>
        <v>0</v>
      </c>
      <c r="AG968" s="6">
        <f>IMABS(AD968)</f>
        <v>0</v>
      </c>
      <c r="AH968" s="7">
        <f>20*LOG10(MAX(AE968,1E-300)*1E6)</f>
        <v>0</v>
      </c>
      <c r="AI968" s="7">
        <f>20*LOG10(MAX(AF968,1E-300)*1E6)</f>
        <v>0</v>
      </c>
      <c r="AJ968" s="7">
        <f>20*LOG10(MAX(AG968,1E-300)*1E6)</f>
        <v>0</v>
      </c>
      <c r="AK968" s="7">
        <f>DEGREES(IMARGUMENT(AB968))</f>
        <v>0</v>
      </c>
      <c r="AL968" s="7">
        <f>DEGREES(IMARGUMENT(AC968))</f>
        <v>0</v>
      </c>
      <c r="AM968" s="7">
        <f>DEGREES(IMARGUMENT(AD968))</f>
        <v>0</v>
      </c>
    </row>
    <row r="969" spans="1:39">
      <c r="A969" s="6">
        <f>10^(LOG10(F_START)+(ROW()-ROW($A$2))*(LOG10(F_STOP)-LOG10(F_START))/(N_POINTS-1))</f>
        <v>0</v>
      </c>
      <c r="B969" s="6">
        <f>2*PI()*A969</f>
        <v>0</v>
      </c>
      <c r="C969">
        <f>COMPLEX(2*LINE_PS_DCR,2*B969*LINE_PS_L)</f>
        <v>0</v>
      </c>
      <c r="D969">
        <f>IMSUM(COMPLEX(0,B969*(LINE_PS_CLINE+LINE_PS_CCHA/2)),IMDIV("1",IMPRODUCT("2",COMPLEX(C_THROUGH_ESR,B969*C_THROUGH_ESL-1/(B969*C_THROUGH_C)))))</f>
        <v>0</v>
      </c>
      <c r="E969">
        <f>COMPLEX(2*LINE_INPUT_DCR,2*B969*LINE_INPUT_L)</f>
        <v>0</v>
      </c>
      <c r="F969">
        <f>COMPLEX(0,B969*(LINE_INPUT_CLINE+LINE_INPUT_CCHA/2))</f>
        <v>0</v>
      </c>
      <c r="G969">
        <f>IMPRODUCT("2",IMDIV("1",IMSUM(IMDIV("1",COMPLEX(LDM1_DCR,B969*LDM1_L)),COMPLEX(0,B969*LDM1_CPA))))</f>
        <v>0</v>
      </c>
      <c r="H969">
        <f>IMSUM(IMDIV("1",COMPLEX(CX1_ESR,B969*CX1_ESL-1/(B969*CX1_C))),IMDIV("1",IMSUM(COMPLEX(DUMP1_R,0),COMPLEX(DUMP1_ESR,B969*DUMP1_ESL-1/(B969*DUMP1_C)))))</f>
        <v>0</v>
      </c>
      <c r="I969">
        <f>IMPRODUCT("2",IMDIV("1",IMSUM(IMDIV("1",COMPLEX(LDM2_DCR,B969*LDM2_L)),COMPLEX(0,B969*LDM2_CPA))))</f>
        <v>0</v>
      </c>
      <c r="J969">
        <f>IMSUM(IMDIV("1",COMPLEX(CX2_ESR,B969*CX2_ESL-1/(B969*CX2_C))),IMDIV("1",IMSUM(COMPLEX(DUMP2_R,0),COMPLEX(DUMP2_ESR,B969*DUMP2_ESL-1/(B969*DUMP2_C)))))</f>
        <v>0</v>
      </c>
      <c r="K969">
        <f>IMPRODUCT("2",IMDIV("1",IMSUM(IMDIV("1",COMPLEX(CMC_DCR,B969*CMC_L*(1-CMC_K))),COMPLEX(0,B969*CMC_CPA))))</f>
        <v>0</v>
      </c>
      <c r="L969">
        <f>IMSUM(COMPLEX(0,B969*CMC_CLINE),IMDIV("1",IMPRODUCT("2",COMPLEX(CY_ESR,B969*CY_ESL-1/(B969*CY_C)))),COMPLEX(1/DUMMY_R,0))</f>
        <v>0</v>
      </c>
      <c r="M969">
        <f>IMSUM(D969,IMDIV("1",C969))</f>
        <v>0</v>
      </c>
      <c r="N969">
        <f>IMDIV("1",IMSUM(E969,IMDIV("1",M969)))</f>
        <v>0</v>
      </c>
      <c r="O969">
        <f>IMSUM(F969,N969)</f>
        <v>0</v>
      </c>
      <c r="P969">
        <f>IMDIV("1",IMSUM(G969,IMDIV("1",O969)))</f>
        <v>0</v>
      </c>
      <c r="Q969">
        <f>IMSUM(H969,P969)</f>
        <v>0</v>
      </c>
      <c r="R969">
        <f>IMDIV("1",IMSUM(I969,IMDIV("1",Q969)))</f>
        <v>0</v>
      </c>
      <c r="S969">
        <f>IMSUM(J969,R969)</f>
        <v>0</v>
      </c>
      <c r="T969">
        <f>IMDIV("1",IMSUM(K969,IMDIV("1",S969)))</f>
        <v>0</v>
      </c>
      <c r="U969">
        <f>IMSUM(L969,T969)</f>
        <v>0</v>
      </c>
      <c r="V969">
        <f>IMDIV(COMPLEX(I_DM_SOURCE,0),U969)</f>
        <v>0</v>
      </c>
      <c r="W969">
        <f>IMPRODUCT(V969,T969)</f>
        <v>0</v>
      </c>
      <c r="X969">
        <f>IMDIV(W969,S969)</f>
        <v>0</v>
      </c>
      <c r="Y969">
        <f>IMPRODUCT(X969,R969)</f>
        <v>0</v>
      </c>
      <c r="Z969">
        <f>IMDIV(Y969,Q969)</f>
        <v>0</v>
      </c>
      <c r="AA969">
        <f>IMPRODUCT(Z969,P969)</f>
        <v>0</v>
      </c>
      <c r="AB969">
        <f>AA969</f>
        <v>0</v>
      </c>
      <c r="AC969">
        <f>IMPRODUCT("-1",AB969)</f>
        <v>0</v>
      </c>
      <c r="AD969">
        <f>IMDIV(IMSUB(AB969,AC969),"2")</f>
        <v>0</v>
      </c>
      <c r="AE969" s="6">
        <f>IMABS(AB969)</f>
        <v>0</v>
      </c>
      <c r="AF969" s="6">
        <f>IMABS(AC969)</f>
        <v>0</v>
      </c>
      <c r="AG969" s="6">
        <f>IMABS(AD969)</f>
        <v>0</v>
      </c>
      <c r="AH969" s="7">
        <f>20*LOG10(MAX(AE969,1E-300)*1E6)</f>
        <v>0</v>
      </c>
      <c r="AI969" s="7">
        <f>20*LOG10(MAX(AF969,1E-300)*1E6)</f>
        <v>0</v>
      </c>
      <c r="AJ969" s="7">
        <f>20*LOG10(MAX(AG969,1E-300)*1E6)</f>
        <v>0</v>
      </c>
      <c r="AK969" s="7">
        <f>DEGREES(IMARGUMENT(AB969))</f>
        <v>0</v>
      </c>
      <c r="AL969" s="7">
        <f>DEGREES(IMARGUMENT(AC969))</f>
        <v>0</v>
      </c>
      <c r="AM969" s="7">
        <f>DEGREES(IMARGUMENT(AD969))</f>
        <v>0</v>
      </c>
    </row>
    <row r="970" spans="1:39">
      <c r="A970" s="6">
        <f>10^(LOG10(F_START)+(ROW()-ROW($A$2))*(LOG10(F_STOP)-LOG10(F_START))/(N_POINTS-1))</f>
        <v>0</v>
      </c>
      <c r="B970" s="6">
        <f>2*PI()*A970</f>
        <v>0</v>
      </c>
      <c r="C970">
        <f>COMPLEX(2*LINE_PS_DCR,2*B970*LINE_PS_L)</f>
        <v>0</v>
      </c>
      <c r="D970">
        <f>IMSUM(COMPLEX(0,B970*(LINE_PS_CLINE+LINE_PS_CCHA/2)),IMDIV("1",IMPRODUCT("2",COMPLEX(C_THROUGH_ESR,B970*C_THROUGH_ESL-1/(B970*C_THROUGH_C)))))</f>
        <v>0</v>
      </c>
      <c r="E970">
        <f>COMPLEX(2*LINE_INPUT_DCR,2*B970*LINE_INPUT_L)</f>
        <v>0</v>
      </c>
      <c r="F970">
        <f>COMPLEX(0,B970*(LINE_INPUT_CLINE+LINE_INPUT_CCHA/2))</f>
        <v>0</v>
      </c>
      <c r="G970">
        <f>IMPRODUCT("2",IMDIV("1",IMSUM(IMDIV("1",COMPLEX(LDM1_DCR,B970*LDM1_L)),COMPLEX(0,B970*LDM1_CPA))))</f>
        <v>0</v>
      </c>
      <c r="H970">
        <f>IMSUM(IMDIV("1",COMPLEX(CX1_ESR,B970*CX1_ESL-1/(B970*CX1_C))),IMDIV("1",IMSUM(COMPLEX(DUMP1_R,0),COMPLEX(DUMP1_ESR,B970*DUMP1_ESL-1/(B970*DUMP1_C)))))</f>
        <v>0</v>
      </c>
      <c r="I970">
        <f>IMPRODUCT("2",IMDIV("1",IMSUM(IMDIV("1",COMPLEX(LDM2_DCR,B970*LDM2_L)),COMPLEX(0,B970*LDM2_CPA))))</f>
        <v>0</v>
      </c>
      <c r="J970">
        <f>IMSUM(IMDIV("1",COMPLEX(CX2_ESR,B970*CX2_ESL-1/(B970*CX2_C))),IMDIV("1",IMSUM(COMPLEX(DUMP2_R,0),COMPLEX(DUMP2_ESR,B970*DUMP2_ESL-1/(B970*DUMP2_C)))))</f>
        <v>0</v>
      </c>
      <c r="K970">
        <f>IMPRODUCT("2",IMDIV("1",IMSUM(IMDIV("1",COMPLEX(CMC_DCR,B970*CMC_L*(1-CMC_K))),COMPLEX(0,B970*CMC_CPA))))</f>
        <v>0</v>
      </c>
      <c r="L970">
        <f>IMSUM(COMPLEX(0,B970*CMC_CLINE),IMDIV("1",IMPRODUCT("2",COMPLEX(CY_ESR,B970*CY_ESL-1/(B970*CY_C)))),COMPLEX(1/DUMMY_R,0))</f>
        <v>0</v>
      </c>
      <c r="M970">
        <f>IMSUM(D970,IMDIV("1",C970))</f>
        <v>0</v>
      </c>
      <c r="N970">
        <f>IMDIV("1",IMSUM(E970,IMDIV("1",M970)))</f>
        <v>0</v>
      </c>
      <c r="O970">
        <f>IMSUM(F970,N970)</f>
        <v>0</v>
      </c>
      <c r="P970">
        <f>IMDIV("1",IMSUM(G970,IMDIV("1",O970)))</f>
        <v>0</v>
      </c>
      <c r="Q970">
        <f>IMSUM(H970,P970)</f>
        <v>0</v>
      </c>
      <c r="R970">
        <f>IMDIV("1",IMSUM(I970,IMDIV("1",Q970)))</f>
        <v>0</v>
      </c>
      <c r="S970">
        <f>IMSUM(J970,R970)</f>
        <v>0</v>
      </c>
      <c r="T970">
        <f>IMDIV("1",IMSUM(K970,IMDIV("1",S970)))</f>
        <v>0</v>
      </c>
      <c r="U970">
        <f>IMSUM(L970,T970)</f>
        <v>0</v>
      </c>
      <c r="V970">
        <f>IMDIV(COMPLEX(I_DM_SOURCE,0),U970)</f>
        <v>0</v>
      </c>
      <c r="W970">
        <f>IMPRODUCT(V970,T970)</f>
        <v>0</v>
      </c>
      <c r="X970">
        <f>IMDIV(W970,S970)</f>
        <v>0</v>
      </c>
      <c r="Y970">
        <f>IMPRODUCT(X970,R970)</f>
        <v>0</v>
      </c>
      <c r="Z970">
        <f>IMDIV(Y970,Q970)</f>
        <v>0</v>
      </c>
      <c r="AA970">
        <f>IMPRODUCT(Z970,P970)</f>
        <v>0</v>
      </c>
      <c r="AB970">
        <f>AA970</f>
        <v>0</v>
      </c>
      <c r="AC970">
        <f>IMPRODUCT("-1",AB970)</f>
        <v>0</v>
      </c>
      <c r="AD970">
        <f>IMDIV(IMSUB(AB970,AC970),"2")</f>
        <v>0</v>
      </c>
      <c r="AE970" s="6">
        <f>IMABS(AB970)</f>
        <v>0</v>
      </c>
      <c r="AF970" s="6">
        <f>IMABS(AC970)</f>
        <v>0</v>
      </c>
      <c r="AG970" s="6">
        <f>IMABS(AD970)</f>
        <v>0</v>
      </c>
      <c r="AH970" s="7">
        <f>20*LOG10(MAX(AE970,1E-300)*1E6)</f>
        <v>0</v>
      </c>
      <c r="AI970" s="7">
        <f>20*LOG10(MAX(AF970,1E-300)*1E6)</f>
        <v>0</v>
      </c>
      <c r="AJ970" s="7">
        <f>20*LOG10(MAX(AG970,1E-300)*1E6)</f>
        <v>0</v>
      </c>
      <c r="AK970" s="7">
        <f>DEGREES(IMARGUMENT(AB970))</f>
        <v>0</v>
      </c>
      <c r="AL970" s="7">
        <f>DEGREES(IMARGUMENT(AC970))</f>
        <v>0</v>
      </c>
      <c r="AM970" s="7">
        <f>DEGREES(IMARGUMENT(AD970))</f>
        <v>0</v>
      </c>
    </row>
    <row r="971" spans="1:39">
      <c r="A971" s="6">
        <f>10^(LOG10(F_START)+(ROW()-ROW($A$2))*(LOG10(F_STOP)-LOG10(F_START))/(N_POINTS-1))</f>
        <v>0</v>
      </c>
      <c r="B971" s="6">
        <f>2*PI()*A971</f>
        <v>0</v>
      </c>
      <c r="C971">
        <f>COMPLEX(2*LINE_PS_DCR,2*B971*LINE_PS_L)</f>
        <v>0</v>
      </c>
      <c r="D971">
        <f>IMSUM(COMPLEX(0,B971*(LINE_PS_CLINE+LINE_PS_CCHA/2)),IMDIV("1",IMPRODUCT("2",COMPLEX(C_THROUGH_ESR,B971*C_THROUGH_ESL-1/(B971*C_THROUGH_C)))))</f>
        <v>0</v>
      </c>
      <c r="E971">
        <f>COMPLEX(2*LINE_INPUT_DCR,2*B971*LINE_INPUT_L)</f>
        <v>0</v>
      </c>
      <c r="F971">
        <f>COMPLEX(0,B971*(LINE_INPUT_CLINE+LINE_INPUT_CCHA/2))</f>
        <v>0</v>
      </c>
      <c r="G971">
        <f>IMPRODUCT("2",IMDIV("1",IMSUM(IMDIV("1",COMPLEX(LDM1_DCR,B971*LDM1_L)),COMPLEX(0,B971*LDM1_CPA))))</f>
        <v>0</v>
      </c>
      <c r="H971">
        <f>IMSUM(IMDIV("1",COMPLEX(CX1_ESR,B971*CX1_ESL-1/(B971*CX1_C))),IMDIV("1",IMSUM(COMPLEX(DUMP1_R,0),COMPLEX(DUMP1_ESR,B971*DUMP1_ESL-1/(B971*DUMP1_C)))))</f>
        <v>0</v>
      </c>
      <c r="I971">
        <f>IMPRODUCT("2",IMDIV("1",IMSUM(IMDIV("1",COMPLEX(LDM2_DCR,B971*LDM2_L)),COMPLEX(0,B971*LDM2_CPA))))</f>
        <v>0</v>
      </c>
      <c r="J971">
        <f>IMSUM(IMDIV("1",COMPLEX(CX2_ESR,B971*CX2_ESL-1/(B971*CX2_C))),IMDIV("1",IMSUM(COMPLEX(DUMP2_R,0),COMPLEX(DUMP2_ESR,B971*DUMP2_ESL-1/(B971*DUMP2_C)))))</f>
        <v>0</v>
      </c>
      <c r="K971">
        <f>IMPRODUCT("2",IMDIV("1",IMSUM(IMDIV("1",COMPLEX(CMC_DCR,B971*CMC_L*(1-CMC_K))),COMPLEX(0,B971*CMC_CPA))))</f>
        <v>0</v>
      </c>
      <c r="L971">
        <f>IMSUM(COMPLEX(0,B971*CMC_CLINE),IMDIV("1",IMPRODUCT("2",COMPLEX(CY_ESR,B971*CY_ESL-1/(B971*CY_C)))),COMPLEX(1/DUMMY_R,0))</f>
        <v>0</v>
      </c>
      <c r="M971">
        <f>IMSUM(D971,IMDIV("1",C971))</f>
        <v>0</v>
      </c>
      <c r="N971">
        <f>IMDIV("1",IMSUM(E971,IMDIV("1",M971)))</f>
        <v>0</v>
      </c>
      <c r="O971">
        <f>IMSUM(F971,N971)</f>
        <v>0</v>
      </c>
      <c r="P971">
        <f>IMDIV("1",IMSUM(G971,IMDIV("1",O971)))</f>
        <v>0</v>
      </c>
      <c r="Q971">
        <f>IMSUM(H971,P971)</f>
        <v>0</v>
      </c>
      <c r="R971">
        <f>IMDIV("1",IMSUM(I971,IMDIV("1",Q971)))</f>
        <v>0</v>
      </c>
      <c r="S971">
        <f>IMSUM(J971,R971)</f>
        <v>0</v>
      </c>
      <c r="T971">
        <f>IMDIV("1",IMSUM(K971,IMDIV("1",S971)))</f>
        <v>0</v>
      </c>
      <c r="U971">
        <f>IMSUM(L971,T971)</f>
        <v>0</v>
      </c>
      <c r="V971">
        <f>IMDIV(COMPLEX(I_DM_SOURCE,0),U971)</f>
        <v>0</v>
      </c>
      <c r="W971">
        <f>IMPRODUCT(V971,T971)</f>
        <v>0</v>
      </c>
      <c r="X971">
        <f>IMDIV(W971,S971)</f>
        <v>0</v>
      </c>
      <c r="Y971">
        <f>IMPRODUCT(X971,R971)</f>
        <v>0</v>
      </c>
      <c r="Z971">
        <f>IMDIV(Y971,Q971)</f>
        <v>0</v>
      </c>
      <c r="AA971">
        <f>IMPRODUCT(Z971,P971)</f>
        <v>0</v>
      </c>
      <c r="AB971">
        <f>AA971</f>
        <v>0</v>
      </c>
      <c r="AC971">
        <f>IMPRODUCT("-1",AB971)</f>
        <v>0</v>
      </c>
      <c r="AD971">
        <f>IMDIV(IMSUB(AB971,AC971),"2")</f>
        <v>0</v>
      </c>
      <c r="AE971" s="6">
        <f>IMABS(AB971)</f>
        <v>0</v>
      </c>
      <c r="AF971" s="6">
        <f>IMABS(AC971)</f>
        <v>0</v>
      </c>
      <c r="AG971" s="6">
        <f>IMABS(AD971)</f>
        <v>0</v>
      </c>
      <c r="AH971" s="7">
        <f>20*LOG10(MAX(AE971,1E-300)*1E6)</f>
        <v>0</v>
      </c>
      <c r="AI971" s="7">
        <f>20*LOG10(MAX(AF971,1E-300)*1E6)</f>
        <v>0</v>
      </c>
      <c r="AJ971" s="7">
        <f>20*LOG10(MAX(AG971,1E-300)*1E6)</f>
        <v>0</v>
      </c>
      <c r="AK971" s="7">
        <f>DEGREES(IMARGUMENT(AB971))</f>
        <v>0</v>
      </c>
      <c r="AL971" s="7">
        <f>DEGREES(IMARGUMENT(AC971))</f>
        <v>0</v>
      </c>
      <c r="AM971" s="7">
        <f>DEGREES(IMARGUMENT(AD971))</f>
        <v>0</v>
      </c>
    </row>
    <row r="972" spans="1:39">
      <c r="A972" s="6">
        <f>10^(LOG10(F_START)+(ROW()-ROW($A$2))*(LOG10(F_STOP)-LOG10(F_START))/(N_POINTS-1))</f>
        <v>0</v>
      </c>
      <c r="B972" s="6">
        <f>2*PI()*A972</f>
        <v>0</v>
      </c>
      <c r="C972">
        <f>COMPLEX(2*LINE_PS_DCR,2*B972*LINE_PS_L)</f>
        <v>0</v>
      </c>
      <c r="D972">
        <f>IMSUM(COMPLEX(0,B972*(LINE_PS_CLINE+LINE_PS_CCHA/2)),IMDIV("1",IMPRODUCT("2",COMPLEX(C_THROUGH_ESR,B972*C_THROUGH_ESL-1/(B972*C_THROUGH_C)))))</f>
        <v>0</v>
      </c>
      <c r="E972">
        <f>COMPLEX(2*LINE_INPUT_DCR,2*B972*LINE_INPUT_L)</f>
        <v>0</v>
      </c>
      <c r="F972">
        <f>COMPLEX(0,B972*(LINE_INPUT_CLINE+LINE_INPUT_CCHA/2))</f>
        <v>0</v>
      </c>
      <c r="G972">
        <f>IMPRODUCT("2",IMDIV("1",IMSUM(IMDIV("1",COMPLEX(LDM1_DCR,B972*LDM1_L)),COMPLEX(0,B972*LDM1_CPA))))</f>
        <v>0</v>
      </c>
      <c r="H972">
        <f>IMSUM(IMDIV("1",COMPLEX(CX1_ESR,B972*CX1_ESL-1/(B972*CX1_C))),IMDIV("1",IMSUM(COMPLEX(DUMP1_R,0),COMPLEX(DUMP1_ESR,B972*DUMP1_ESL-1/(B972*DUMP1_C)))))</f>
        <v>0</v>
      </c>
      <c r="I972">
        <f>IMPRODUCT("2",IMDIV("1",IMSUM(IMDIV("1",COMPLEX(LDM2_DCR,B972*LDM2_L)),COMPLEX(0,B972*LDM2_CPA))))</f>
        <v>0</v>
      </c>
      <c r="J972">
        <f>IMSUM(IMDIV("1",COMPLEX(CX2_ESR,B972*CX2_ESL-1/(B972*CX2_C))),IMDIV("1",IMSUM(COMPLEX(DUMP2_R,0),COMPLEX(DUMP2_ESR,B972*DUMP2_ESL-1/(B972*DUMP2_C)))))</f>
        <v>0</v>
      </c>
      <c r="K972">
        <f>IMPRODUCT("2",IMDIV("1",IMSUM(IMDIV("1",COMPLEX(CMC_DCR,B972*CMC_L*(1-CMC_K))),COMPLEX(0,B972*CMC_CPA))))</f>
        <v>0</v>
      </c>
      <c r="L972">
        <f>IMSUM(COMPLEX(0,B972*CMC_CLINE),IMDIV("1",IMPRODUCT("2",COMPLEX(CY_ESR,B972*CY_ESL-1/(B972*CY_C)))),COMPLEX(1/DUMMY_R,0))</f>
        <v>0</v>
      </c>
      <c r="M972">
        <f>IMSUM(D972,IMDIV("1",C972))</f>
        <v>0</v>
      </c>
      <c r="N972">
        <f>IMDIV("1",IMSUM(E972,IMDIV("1",M972)))</f>
        <v>0</v>
      </c>
      <c r="O972">
        <f>IMSUM(F972,N972)</f>
        <v>0</v>
      </c>
      <c r="P972">
        <f>IMDIV("1",IMSUM(G972,IMDIV("1",O972)))</f>
        <v>0</v>
      </c>
      <c r="Q972">
        <f>IMSUM(H972,P972)</f>
        <v>0</v>
      </c>
      <c r="R972">
        <f>IMDIV("1",IMSUM(I972,IMDIV("1",Q972)))</f>
        <v>0</v>
      </c>
      <c r="S972">
        <f>IMSUM(J972,R972)</f>
        <v>0</v>
      </c>
      <c r="T972">
        <f>IMDIV("1",IMSUM(K972,IMDIV("1",S972)))</f>
        <v>0</v>
      </c>
      <c r="U972">
        <f>IMSUM(L972,T972)</f>
        <v>0</v>
      </c>
      <c r="V972">
        <f>IMDIV(COMPLEX(I_DM_SOURCE,0),U972)</f>
        <v>0</v>
      </c>
      <c r="W972">
        <f>IMPRODUCT(V972,T972)</f>
        <v>0</v>
      </c>
      <c r="X972">
        <f>IMDIV(W972,S972)</f>
        <v>0</v>
      </c>
      <c r="Y972">
        <f>IMPRODUCT(X972,R972)</f>
        <v>0</v>
      </c>
      <c r="Z972">
        <f>IMDIV(Y972,Q972)</f>
        <v>0</v>
      </c>
      <c r="AA972">
        <f>IMPRODUCT(Z972,P972)</f>
        <v>0</v>
      </c>
      <c r="AB972">
        <f>AA972</f>
        <v>0</v>
      </c>
      <c r="AC972">
        <f>IMPRODUCT("-1",AB972)</f>
        <v>0</v>
      </c>
      <c r="AD972">
        <f>IMDIV(IMSUB(AB972,AC972),"2")</f>
        <v>0</v>
      </c>
      <c r="AE972" s="6">
        <f>IMABS(AB972)</f>
        <v>0</v>
      </c>
      <c r="AF972" s="6">
        <f>IMABS(AC972)</f>
        <v>0</v>
      </c>
      <c r="AG972" s="6">
        <f>IMABS(AD972)</f>
        <v>0</v>
      </c>
      <c r="AH972" s="7">
        <f>20*LOG10(MAX(AE972,1E-300)*1E6)</f>
        <v>0</v>
      </c>
      <c r="AI972" s="7">
        <f>20*LOG10(MAX(AF972,1E-300)*1E6)</f>
        <v>0</v>
      </c>
      <c r="AJ972" s="7">
        <f>20*LOG10(MAX(AG972,1E-300)*1E6)</f>
        <v>0</v>
      </c>
      <c r="AK972" s="7">
        <f>DEGREES(IMARGUMENT(AB972))</f>
        <v>0</v>
      </c>
      <c r="AL972" s="7">
        <f>DEGREES(IMARGUMENT(AC972))</f>
        <v>0</v>
      </c>
      <c r="AM972" s="7">
        <f>DEGREES(IMARGUMENT(AD972))</f>
        <v>0</v>
      </c>
    </row>
    <row r="973" spans="1:39">
      <c r="A973" s="6">
        <f>10^(LOG10(F_START)+(ROW()-ROW($A$2))*(LOG10(F_STOP)-LOG10(F_START))/(N_POINTS-1))</f>
        <v>0</v>
      </c>
      <c r="B973" s="6">
        <f>2*PI()*A973</f>
        <v>0</v>
      </c>
      <c r="C973">
        <f>COMPLEX(2*LINE_PS_DCR,2*B973*LINE_PS_L)</f>
        <v>0</v>
      </c>
      <c r="D973">
        <f>IMSUM(COMPLEX(0,B973*(LINE_PS_CLINE+LINE_PS_CCHA/2)),IMDIV("1",IMPRODUCT("2",COMPLEX(C_THROUGH_ESR,B973*C_THROUGH_ESL-1/(B973*C_THROUGH_C)))))</f>
        <v>0</v>
      </c>
      <c r="E973">
        <f>COMPLEX(2*LINE_INPUT_DCR,2*B973*LINE_INPUT_L)</f>
        <v>0</v>
      </c>
      <c r="F973">
        <f>COMPLEX(0,B973*(LINE_INPUT_CLINE+LINE_INPUT_CCHA/2))</f>
        <v>0</v>
      </c>
      <c r="G973">
        <f>IMPRODUCT("2",IMDIV("1",IMSUM(IMDIV("1",COMPLEX(LDM1_DCR,B973*LDM1_L)),COMPLEX(0,B973*LDM1_CPA))))</f>
        <v>0</v>
      </c>
      <c r="H973">
        <f>IMSUM(IMDIV("1",COMPLEX(CX1_ESR,B973*CX1_ESL-1/(B973*CX1_C))),IMDIV("1",IMSUM(COMPLEX(DUMP1_R,0),COMPLEX(DUMP1_ESR,B973*DUMP1_ESL-1/(B973*DUMP1_C)))))</f>
        <v>0</v>
      </c>
      <c r="I973">
        <f>IMPRODUCT("2",IMDIV("1",IMSUM(IMDIV("1",COMPLEX(LDM2_DCR,B973*LDM2_L)),COMPLEX(0,B973*LDM2_CPA))))</f>
        <v>0</v>
      </c>
      <c r="J973">
        <f>IMSUM(IMDIV("1",COMPLEX(CX2_ESR,B973*CX2_ESL-1/(B973*CX2_C))),IMDIV("1",IMSUM(COMPLEX(DUMP2_R,0),COMPLEX(DUMP2_ESR,B973*DUMP2_ESL-1/(B973*DUMP2_C)))))</f>
        <v>0</v>
      </c>
      <c r="K973">
        <f>IMPRODUCT("2",IMDIV("1",IMSUM(IMDIV("1",COMPLEX(CMC_DCR,B973*CMC_L*(1-CMC_K))),COMPLEX(0,B973*CMC_CPA))))</f>
        <v>0</v>
      </c>
      <c r="L973">
        <f>IMSUM(COMPLEX(0,B973*CMC_CLINE),IMDIV("1",IMPRODUCT("2",COMPLEX(CY_ESR,B973*CY_ESL-1/(B973*CY_C)))),COMPLEX(1/DUMMY_R,0))</f>
        <v>0</v>
      </c>
      <c r="M973">
        <f>IMSUM(D973,IMDIV("1",C973))</f>
        <v>0</v>
      </c>
      <c r="N973">
        <f>IMDIV("1",IMSUM(E973,IMDIV("1",M973)))</f>
        <v>0</v>
      </c>
      <c r="O973">
        <f>IMSUM(F973,N973)</f>
        <v>0</v>
      </c>
      <c r="P973">
        <f>IMDIV("1",IMSUM(G973,IMDIV("1",O973)))</f>
        <v>0</v>
      </c>
      <c r="Q973">
        <f>IMSUM(H973,P973)</f>
        <v>0</v>
      </c>
      <c r="R973">
        <f>IMDIV("1",IMSUM(I973,IMDIV("1",Q973)))</f>
        <v>0</v>
      </c>
      <c r="S973">
        <f>IMSUM(J973,R973)</f>
        <v>0</v>
      </c>
      <c r="T973">
        <f>IMDIV("1",IMSUM(K973,IMDIV("1",S973)))</f>
        <v>0</v>
      </c>
      <c r="U973">
        <f>IMSUM(L973,T973)</f>
        <v>0</v>
      </c>
      <c r="V973">
        <f>IMDIV(COMPLEX(I_DM_SOURCE,0),U973)</f>
        <v>0</v>
      </c>
      <c r="W973">
        <f>IMPRODUCT(V973,T973)</f>
        <v>0</v>
      </c>
      <c r="X973">
        <f>IMDIV(W973,S973)</f>
        <v>0</v>
      </c>
      <c r="Y973">
        <f>IMPRODUCT(X973,R973)</f>
        <v>0</v>
      </c>
      <c r="Z973">
        <f>IMDIV(Y973,Q973)</f>
        <v>0</v>
      </c>
      <c r="AA973">
        <f>IMPRODUCT(Z973,P973)</f>
        <v>0</v>
      </c>
      <c r="AB973">
        <f>AA973</f>
        <v>0</v>
      </c>
      <c r="AC973">
        <f>IMPRODUCT("-1",AB973)</f>
        <v>0</v>
      </c>
      <c r="AD973">
        <f>IMDIV(IMSUB(AB973,AC973),"2")</f>
        <v>0</v>
      </c>
      <c r="AE973" s="6">
        <f>IMABS(AB973)</f>
        <v>0</v>
      </c>
      <c r="AF973" s="6">
        <f>IMABS(AC973)</f>
        <v>0</v>
      </c>
      <c r="AG973" s="6">
        <f>IMABS(AD973)</f>
        <v>0</v>
      </c>
      <c r="AH973" s="7">
        <f>20*LOG10(MAX(AE973,1E-300)*1E6)</f>
        <v>0</v>
      </c>
      <c r="AI973" s="7">
        <f>20*LOG10(MAX(AF973,1E-300)*1E6)</f>
        <v>0</v>
      </c>
      <c r="AJ973" s="7">
        <f>20*LOG10(MAX(AG973,1E-300)*1E6)</f>
        <v>0</v>
      </c>
      <c r="AK973" s="7">
        <f>DEGREES(IMARGUMENT(AB973))</f>
        <v>0</v>
      </c>
      <c r="AL973" s="7">
        <f>DEGREES(IMARGUMENT(AC973))</f>
        <v>0</v>
      </c>
      <c r="AM973" s="7">
        <f>DEGREES(IMARGUMENT(AD973))</f>
        <v>0</v>
      </c>
    </row>
    <row r="974" spans="1:39">
      <c r="A974" s="6">
        <f>10^(LOG10(F_START)+(ROW()-ROW($A$2))*(LOG10(F_STOP)-LOG10(F_START))/(N_POINTS-1))</f>
        <v>0</v>
      </c>
      <c r="B974" s="6">
        <f>2*PI()*A974</f>
        <v>0</v>
      </c>
      <c r="C974">
        <f>COMPLEX(2*LINE_PS_DCR,2*B974*LINE_PS_L)</f>
        <v>0</v>
      </c>
      <c r="D974">
        <f>IMSUM(COMPLEX(0,B974*(LINE_PS_CLINE+LINE_PS_CCHA/2)),IMDIV("1",IMPRODUCT("2",COMPLEX(C_THROUGH_ESR,B974*C_THROUGH_ESL-1/(B974*C_THROUGH_C)))))</f>
        <v>0</v>
      </c>
      <c r="E974">
        <f>COMPLEX(2*LINE_INPUT_DCR,2*B974*LINE_INPUT_L)</f>
        <v>0</v>
      </c>
      <c r="F974">
        <f>COMPLEX(0,B974*(LINE_INPUT_CLINE+LINE_INPUT_CCHA/2))</f>
        <v>0</v>
      </c>
      <c r="G974">
        <f>IMPRODUCT("2",IMDIV("1",IMSUM(IMDIV("1",COMPLEX(LDM1_DCR,B974*LDM1_L)),COMPLEX(0,B974*LDM1_CPA))))</f>
        <v>0</v>
      </c>
      <c r="H974">
        <f>IMSUM(IMDIV("1",COMPLEX(CX1_ESR,B974*CX1_ESL-1/(B974*CX1_C))),IMDIV("1",IMSUM(COMPLEX(DUMP1_R,0),COMPLEX(DUMP1_ESR,B974*DUMP1_ESL-1/(B974*DUMP1_C)))))</f>
        <v>0</v>
      </c>
      <c r="I974">
        <f>IMPRODUCT("2",IMDIV("1",IMSUM(IMDIV("1",COMPLEX(LDM2_DCR,B974*LDM2_L)),COMPLEX(0,B974*LDM2_CPA))))</f>
        <v>0</v>
      </c>
      <c r="J974">
        <f>IMSUM(IMDIV("1",COMPLEX(CX2_ESR,B974*CX2_ESL-1/(B974*CX2_C))),IMDIV("1",IMSUM(COMPLEX(DUMP2_R,0),COMPLEX(DUMP2_ESR,B974*DUMP2_ESL-1/(B974*DUMP2_C)))))</f>
        <v>0</v>
      </c>
      <c r="K974">
        <f>IMPRODUCT("2",IMDIV("1",IMSUM(IMDIV("1",COMPLEX(CMC_DCR,B974*CMC_L*(1-CMC_K))),COMPLEX(0,B974*CMC_CPA))))</f>
        <v>0</v>
      </c>
      <c r="L974">
        <f>IMSUM(COMPLEX(0,B974*CMC_CLINE),IMDIV("1",IMPRODUCT("2",COMPLEX(CY_ESR,B974*CY_ESL-1/(B974*CY_C)))),COMPLEX(1/DUMMY_R,0))</f>
        <v>0</v>
      </c>
      <c r="M974">
        <f>IMSUM(D974,IMDIV("1",C974))</f>
        <v>0</v>
      </c>
      <c r="N974">
        <f>IMDIV("1",IMSUM(E974,IMDIV("1",M974)))</f>
        <v>0</v>
      </c>
      <c r="O974">
        <f>IMSUM(F974,N974)</f>
        <v>0</v>
      </c>
      <c r="P974">
        <f>IMDIV("1",IMSUM(G974,IMDIV("1",O974)))</f>
        <v>0</v>
      </c>
      <c r="Q974">
        <f>IMSUM(H974,P974)</f>
        <v>0</v>
      </c>
      <c r="R974">
        <f>IMDIV("1",IMSUM(I974,IMDIV("1",Q974)))</f>
        <v>0</v>
      </c>
      <c r="S974">
        <f>IMSUM(J974,R974)</f>
        <v>0</v>
      </c>
      <c r="T974">
        <f>IMDIV("1",IMSUM(K974,IMDIV("1",S974)))</f>
        <v>0</v>
      </c>
      <c r="U974">
        <f>IMSUM(L974,T974)</f>
        <v>0</v>
      </c>
      <c r="V974">
        <f>IMDIV(COMPLEX(I_DM_SOURCE,0),U974)</f>
        <v>0</v>
      </c>
      <c r="W974">
        <f>IMPRODUCT(V974,T974)</f>
        <v>0</v>
      </c>
      <c r="X974">
        <f>IMDIV(W974,S974)</f>
        <v>0</v>
      </c>
      <c r="Y974">
        <f>IMPRODUCT(X974,R974)</f>
        <v>0</v>
      </c>
      <c r="Z974">
        <f>IMDIV(Y974,Q974)</f>
        <v>0</v>
      </c>
      <c r="AA974">
        <f>IMPRODUCT(Z974,P974)</f>
        <v>0</v>
      </c>
      <c r="AB974">
        <f>AA974</f>
        <v>0</v>
      </c>
      <c r="AC974">
        <f>IMPRODUCT("-1",AB974)</f>
        <v>0</v>
      </c>
      <c r="AD974">
        <f>IMDIV(IMSUB(AB974,AC974),"2")</f>
        <v>0</v>
      </c>
      <c r="AE974" s="6">
        <f>IMABS(AB974)</f>
        <v>0</v>
      </c>
      <c r="AF974" s="6">
        <f>IMABS(AC974)</f>
        <v>0</v>
      </c>
      <c r="AG974" s="6">
        <f>IMABS(AD974)</f>
        <v>0</v>
      </c>
      <c r="AH974" s="7">
        <f>20*LOG10(MAX(AE974,1E-300)*1E6)</f>
        <v>0</v>
      </c>
      <c r="AI974" s="7">
        <f>20*LOG10(MAX(AF974,1E-300)*1E6)</f>
        <v>0</v>
      </c>
      <c r="AJ974" s="7">
        <f>20*LOG10(MAX(AG974,1E-300)*1E6)</f>
        <v>0</v>
      </c>
      <c r="AK974" s="7">
        <f>DEGREES(IMARGUMENT(AB974))</f>
        <v>0</v>
      </c>
      <c r="AL974" s="7">
        <f>DEGREES(IMARGUMENT(AC974))</f>
        <v>0</v>
      </c>
      <c r="AM974" s="7">
        <f>DEGREES(IMARGUMENT(AD974))</f>
        <v>0</v>
      </c>
    </row>
    <row r="975" spans="1:39">
      <c r="A975" s="6">
        <f>10^(LOG10(F_START)+(ROW()-ROW($A$2))*(LOG10(F_STOP)-LOG10(F_START))/(N_POINTS-1))</f>
        <v>0</v>
      </c>
      <c r="B975" s="6">
        <f>2*PI()*A975</f>
        <v>0</v>
      </c>
      <c r="C975">
        <f>COMPLEX(2*LINE_PS_DCR,2*B975*LINE_PS_L)</f>
        <v>0</v>
      </c>
      <c r="D975">
        <f>IMSUM(COMPLEX(0,B975*(LINE_PS_CLINE+LINE_PS_CCHA/2)),IMDIV("1",IMPRODUCT("2",COMPLEX(C_THROUGH_ESR,B975*C_THROUGH_ESL-1/(B975*C_THROUGH_C)))))</f>
        <v>0</v>
      </c>
      <c r="E975">
        <f>COMPLEX(2*LINE_INPUT_DCR,2*B975*LINE_INPUT_L)</f>
        <v>0</v>
      </c>
      <c r="F975">
        <f>COMPLEX(0,B975*(LINE_INPUT_CLINE+LINE_INPUT_CCHA/2))</f>
        <v>0</v>
      </c>
      <c r="G975">
        <f>IMPRODUCT("2",IMDIV("1",IMSUM(IMDIV("1",COMPLEX(LDM1_DCR,B975*LDM1_L)),COMPLEX(0,B975*LDM1_CPA))))</f>
        <v>0</v>
      </c>
      <c r="H975">
        <f>IMSUM(IMDIV("1",COMPLEX(CX1_ESR,B975*CX1_ESL-1/(B975*CX1_C))),IMDIV("1",IMSUM(COMPLEX(DUMP1_R,0),COMPLEX(DUMP1_ESR,B975*DUMP1_ESL-1/(B975*DUMP1_C)))))</f>
        <v>0</v>
      </c>
      <c r="I975">
        <f>IMPRODUCT("2",IMDIV("1",IMSUM(IMDIV("1",COMPLEX(LDM2_DCR,B975*LDM2_L)),COMPLEX(0,B975*LDM2_CPA))))</f>
        <v>0</v>
      </c>
      <c r="J975">
        <f>IMSUM(IMDIV("1",COMPLEX(CX2_ESR,B975*CX2_ESL-1/(B975*CX2_C))),IMDIV("1",IMSUM(COMPLEX(DUMP2_R,0),COMPLEX(DUMP2_ESR,B975*DUMP2_ESL-1/(B975*DUMP2_C)))))</f>
        <v>0</v>
      </c>
      <c r="K975">
        <f>IMPRODUCT("2",IMDIV("1",IMSUM(IMDIV("1",COMPLEX(CMC_DCR,B975*CMC_L*(1-CMC_K))),COMPLEX(0,B975*CMC_CPA))))</f>
        <v>0</v>
      </c>
      <c r="L975">
        <f>IMSUM(COMPLEX(0,B975*CMC_CLINE),IMDIV("1",IMPRODUCT("2",COMPLEX(CY_ESR,B975*CY_ESL-1/(B975*CY_C)))),COMPLEX(1/DUMMY_R,0))</f>
        <v>0</v>
      </c>
      <c r="M975">
        <f>IMSUM(D975,IMDIV("1",C975))</f>
        <v>0</v>
      </c>
      <c r="N975">
        <f>IMDIV("1",IMSUM(E975,IMDIV("1",M975)))</f>
        <v>0</v>
      </c>
      <c r="O975">
        <f>IMSUM(F975,N975)</f>
        <v>0</v>
      </c>
      <c r="P975">
        <f>IMDIV("1",IMSUM(G975,IMDIV("1",O975)))</f>
        <v>0</v>
      </c>
      <c r="Q975">
        <f>IMSUM(H975,P975)</f>
        <v>0</v>
      </c>
      <c r="R975">
        <f>IMDIV("1",IMSUM(I975,IMDIV("1",Q975)))</f>
        <v>0</v>
      </c>
      <c r="S975">
        <f>IMSUM(J975,R975)</f>
        <v>0</v>
      </c>
      <c r="T975">
        <f>IMDIV("1",IMSUM(K975,IMDIV("1",S975)))</f>
        <v>0</v>
      </c>
      <c r="U975">
        <f>IMSUM(L975,T975)</f>
        <v>0</v>
      </c>
      <c r="V975">
        <f>IMDIV(COMPLEX(I_DM_SOURCE,0),U975)</f>
        <v>0</v>
      </c>
      <c r="W975">
        <f>IMPRODUCT(V975,T975)</f>
        <v>0</v>
      </c>
      <c r="X975">
        <f>IMDIV(W975,S975)</f>
        <v>0</v>
      </c>
      <c r="Y975">
        <f>IMPRODUCT(X975,R975)</f>
        <v>0</v>
      </c>
      <c r="Z975">
        <f>IMDIV(Y975,Q975)</f>
        <v>0</v>
      </c>
      <c r="AA975">
        <f>IMPRODUCT(Z975,P975)</f>
        <v>0</v>
      </c>
      <c r="AB975">
        <f>AA975</f>
        <v>0</v>
      </c>
      <c r="AC975">
        <f>IMPRODUCT("-1",AB975)</f>
        <v>0</v>
      </c>
      <c r="AD975">
        <f>IMDIV(IMSUB(AB975,AC975),"2")</f>
        <v>0</v>
      </c>
      <c r="AE975" s="6">
        <f>IMABS(AB975)</f>
        <v>0</v>
      </c>
      <c r="AF975" s="6">
        <f>IMABS(AC975)</f>
        <v>0</v>
      </c>
      <c r="AG975" s="6">
        <f>IMABS(AD975)</f>
        <v>0</v>
      </c>
      <c r="AH975" s="7">
        <f>20*LOG10(MAX(AE975,1E-300)*1E6)</f>
        <v>0</v>
      </c>
      <c r="AI975" s="7">
        <f>20*LOG10(MAX(AF975,1E-300)*1E6)</f>
        <v>0</v>
      </c>
      <c r="AJ975" s="7">
        <f>20*LOG10(MAX(AG975,1E-300)*1E6)</f>
        <v>0</v>
      </c>
      <c r="AK975" s="7">
        <f>DEGREES(IMARGUMENT(AB975))</f>
        <v>0</v>
      </c>
      <c r="AL975" s="7">
        <f>DEGREES(IMARGUMENT(AC975))</f>
        <v>0</v>
      </c>
      <c r="AM975" s="7">
        <f>DEGREES(IMARGUMENT(AD975))</f>
        <v>0</v>
      </c>
    </row>
    <row r="976" spans="1:39">
      <c r="A976" s="6">
        <f>10^(LOG10(F_START)+(ROW()-ROW($A$2))*(LOG10(F_STOP)-LOG10(F_START))/(N_POINTS-1))</f>
        <v>0</v>
      </c>
      <c r="B976" s="6">
        <f>2*PI()*A976</f>
        <v>0</v>
      </c>
      <c r="C976">
        <f>COMPLEX(2*LINE_PS_DCR,2*B976*LINE_PS_L)</f>
        <v>0</v>
      </c>
      <c r="D976">
        <f>IMSUM(COMPLEX(0,B976*(LINE_PS_CLINE+LINE_PS_CCHA/2)),IMDIV("1",IMPRODUCT("2",COMPLEX(C_THROUGH_ESR,B976*C_THROUGH_ESL-1/(B976*C_THROUGH_C)))))</f>
        <v>0</v>
      </c>
      <c r="E976">
        <f>COMPLEX(2*LINE_INPUT_DCR,2*B976*LINE_INPUT_L)</f>
        <v>0</v>
      </c>
      <c r="F976">
        <f>COMPLEX(0,B976*(LINE_INPUT_CLINE+LINE_INPUT_CCHA/2))</f>
        <v>0</v>
      </c>
      <c r="G976">
        <f>IMPRODUCT("2",IMDIV("1",IMSUM(IMDIV("1",COMPLEX(LDM1_DCR,B976*LDM1_L)),COMPLEX(0,B976*LDM1_CPA))))</f>
        <v>0</v>
      </c>
      <c r="H976">
        <f>IMSUM(IMDIV("1",COMPLEX(CX1_ESR,B976*CX1_ESL-1/(B976*CX1_C))),IMDIV("1",IMSUM(COMPLEX(DUMP1_R,0),COMPLEX(DUMP1_ESR,B976*DUMP1_ESL-1/(B976*DUMP1_C)))))</f>
        <v>0</v>
      </c>
      <c r="I976">
        <f>IMPRODUCT("2",IMDIV("1",IMSUM(IMDIV("1",COMPLEX(LDM2_DCR,B976*LDM2_L)),COMPLEX(0,B976*LDM2_CPA))))</f>
        <v>0</v>
      </c>
      <c r="J976">
        <f>IMSUM(IMDIV("1",COMPLEX(CX2_ESR,B976*CX2_ESL-1/(B976*CX2_C))),IMDIV("1",IMSUM(COMPLEX(DUMP2_R,0),COMPLEX(DUMP2_ESR,B976*DUMP2_ESL-1/(B976*DUMP2_C)))))</f>
        <v>0</v>
      </c>
      <c r="K976">
        <f>IMPRODUCT("2",IMDIV("1",IMSUM(IMDIV("1",COMPLEX(CMC_DCR,B976*CMC_L*(1-CMC_K))),COMPLEX(0,B976*CMC_CPA))))</f>
        <v>0</v>
      </c>
      <c r="L976">
        <f>IMSUM(COMPLEX(0,B976*CMC_CLINE),IMDIV("1",IMPRODUCT("2",COMPLEX(CY_ESR,B976*CY_ESL-1/(B976*CY_C)))),COMPLEX(1/DUMMY_R,0))</f>
        <v>0</v>
      </c>
      <c r="M976">
        <f>IMSUM(D976,IMDIV("1",C976))</f>
        <v>0</v>
      </c>
      <c r="N976">
        <f>IMDIV("1",IMSUM(E976,IMDIV("1",M976)))</f>
        <v>0</v>
      </c>
      <c r="O976">
        <f>IMSUM(F976,N976)</f>
        <v>0</v>
      </c>
      <c r="P976">
        <f>IMDIV("1",IMSUM(G976,IMDIV("1",O976)))</f>
        <v>0</v>
      </c>
      <c r="Q976">
        <f>IMSUM(H976,P976)</f>
        <v>0</v>
      </c>
      <c r="R976">
        <f>IMDIV("1",IMSUM(I976,IMDIV("1",Q976)))</f>
        <v>0</v>
      </c>
      <c r="S976">
        <f>IMSUM(J976,R976)</f>
        <v>0</v>
      </c>
      <c r="T976">
        <f>IMDIV("1",IMSUM(K976,IMDIV("1",S976)))</f>
        <v>0</v>
      </c>
      <c r="U976">
        <f>IMSUM(L976,T976)</f>
        <v>0</v>
      </c>
      <c r="V976">
        <f>IMDIV(COMPLEX(I_DM_SOURCE,0),U976)</f>
        <v>0</v>
      </c>
      <c r="W976">
        <f>IMPRODUCT(V976,T976)</f>
        <v>0</v>
      </c>
      <c r="X976">
        <f>IMDIV(W976,S976)</f>
        <v>0</v>
      </c>
      <c r="Y976">
        <f>IMPRODUCT(X976,R976)</f>
        <v>0</v>
      </c>
      <c r="Z976">
        <f>IMDIV(Y976,Q976)</f>
        <v>0</v>
      </c>
      <c r="AA976">
        <f>IMPRODUCT(Z976,P976)</f>
        <v>0</v>
      </c>
      <c r="AB976">
        <f>AA976</f>
        <v>0</v>
      </c>
      <c r="AC976">
        <f>IMPRODUCT("-1",AB976)</f>
        <v>0</v>
      </c>
      <c r="AD976">
        <f>IMDIV(IMSUB(AB976,AC976),"2")</f>
        <v>0</v>
      </c>
      <c r="AE976" s="6">
        <f>IMABS(AB976)</f>
        <v>0</v>
      </c>
      <c r="AF976" s="6">
        <f>IMABS(AC976)</f>
        <v>0</v>
      </c>
      <c r="AG976" s="6">
        <f>IMABS(AD976)</f>
        <v>0</v>
      </c>
      <c r="AH976" s="7">
        <f>20*LOG10(MAX(AE976,1E-300)*1E6)</f>
        <v>0</v>
      </c>
      <c r="AI976" s="7">
        <f>20*LOG10(MAX(AF976,1E-300)*1E6)</f>
        <v>0</v>
      </c>
      <c r="AJ976" s="7">
        <f>20*LOG10(MAX(AG976,1E-300)*1E6)</f>
        <v>0</v>
      </c>
      <c r="AK976" s="7">
        <f>DEGREES(IMARGUMENT(AB976))</f>
        <v>0</v>
      </c>
      <c r="AL976" s="7">
        <f>DEGREES(IMARGUMENT(AC976))</f>
        <v>0</v>
      </c>
      <c r="AM976" s="7">
        <f>DEGREES(IMARGUMENT(AD976))</f>
        <v>0</v>
      </c>
    </row>
    <row r="977" spans="1:39">
      <c r="A977" s="6">
        <f>10^(LOG10(F_START)+(ROW()-ROW($A$2))*(LOG10(F_STOP)-LOG10(F_START))/(N_POINTS-1))</f>
        <v>0</v>
      </c>
      <c r="B977" s="6">
        <f>2*PI()*A977</f>
        <v>0</v>
      </c>
      <c r="C977">
        <f>COMPLEX(2*LINE_PS_DCR,2*B977*LINE_PS_L)</f>
        <v>0</v>
      </c>
      <c r="D977">
        <f>IMSUM(COMPLEX(0,B977*(LINE_PS_CLINE+LINE_PS_CCHA/2)),IMDIV("1",IMPRODUCT("2",COMPLEX(C_THROUGH_ESR,B977*C_THROUGH_ESL-1/(B977*C_THROUGH_C)))))</f>
        <v>0</v>
      </c>
      <c r="E977">
        <f>COMPLEX(2*LINE_INPUT_DCR,2*B977*LINE_INPUT_L)</f>
        <v>0</v>
      </c>
      <c r="F977">
        <f>COMPLEX(0,B977*(LINE_INPUT_CLINE+LINE_INPUT_CCHA/2))</f>
        <v>0</v>
      </c>
      <c r="G977">
        <f>IMPRODUCT("2",IMDIV("1",IMSUM(IMDIV("1",COMPLEX(LDM1_DCR,B977*LDM1_L)),COMPLEX(0,B977*LDM1_CPA))))</f>
        <v>0</v>
      </c>
      <c r="H977">
        <f>IMSUM(IMDIV("1",COMPLEX(CX1_ESR,B977*CX1_ESL-1/(B977*CX1_C))),IMDIV("1",IMSUM(COMPLEX(DUMP1_R,0),COMPLEX(DUMP1_ESR,B977*DUMP1_ESL-1/(B977*DUMP1_C)))))</f>
        <v>0</v>
      </c>
      <c r="I977">
        <f>IMPRODUCT("2",IMDIV("1",IMSUM(IMDIV("1",COMPLEX(LDM2_DCR,B977*LDM2_L)),COMPLEX(0,B977*LDM2_CPA))))</f>
        <v>0</v>
      </c>
      <c r="J977">
        <f>IMSUM(IMDIV("1",COMPLEX(CX2_ESR,B977*CX2_ESL-1/(B977*CX2_C))),IMDIV("1",IMSUM(COMPLEX(DUMP2_R,0),COMPLEX(DUMP2_ESR,B977*DUMP2_ESL-1/(B977*DUMP2_C)))))</f>
        <v>0</v>
      </c>
      <c r="K977">
        <f>IMPRODUCT("2",IMDIV("1",IMSUM(IMDIV("1",COMPLEX(CMC_DCR,B977*CMC_L*(1-CMC_K))),COMPLEX(0,B977*CMC_CPA))))</f>
        <v>0</v>
      </c>
      <c r="L977">
        <f>IMSUM(COMPLEX(0,B977*CMC_CLINE),IMDIV("1",IMPRODUCT("2",COMPLEX(CY_ESR,B977*CY_ESL-1/(B977*CY_C)))),COMPLEX(1/DUMMY_R,0))</f>
        <v>0</v>
      </c>
      <c r="M977">
        <f>IMSUM(D977,IMDIV("1",C977))</f>
        <v>0</v>
      </c>
      <c r="N977">
        <f>IMDIV("1",IMSUM(E977,IMDIV("1",M977)))</f>
        <v>0</v>
      </c>
      <c r="O977">
        <f>IMSUM(F977,N977)</f>
        <v>0</v>
      </c>
      <c r="P977">
        <f>IMDIV("1",IMSUM(G977,IMDIV("1",O977)))</f>
        <v>0</v>
      </c>
      <c r="Q977">
        <f>IMSUM(H977,P977)</f>
        <v>0</v>
      </c>
      <c r="R977">
        <f>IMDIV("1",IMSUM(I977,IMDIV("1",Q977)))</f>
        <v>0</v>
      </c>
      <c r="S977">
        <f>IMSUM(J977,R977)</f>
        <v>0</v>
      </c>
      <c r="T977">
        <f>IMDIV("1",IMSUM(K977,IMDIV("1",S977)))</f>
        <v>0</v>
      </c>
      <c r="U977">
        <f>IMSUM(L977,T977)</f>
        <v>0</v>
      </c>
      <c r="V977">
        <f>IMDIV(COMPLEX(I_DM_SOURCE,0),U977)</f>
        <v>0</v>
      </c>
      <c r="W977">
        <f>IMPRODUCT(V977,T977)</f>
        <v>0</v>
      </c>
      <c r="X977">
        <f>IMDIV(W977,S977)</f>
        <v>0</v>
      </c>
      <c r="Y977">
        <f>IMPRODUCT(X977,R977)</f>
        <v>0</v>
      </c>
      <c r="Z977">
        <f>IMDIV(Y977,Q977)</f>
        <v>0</v>
      </c>
      <c r="AA977">
        <f>IMPRODUCT(Z977,P977)</f>
        <v>0</v>
      </c>
      <c r="AB977">
        <f>AA977</f>
        <v>0</v>
      </c>
      <c r="AC977">
        <f>IMPRODUCT("-1",AB977)</f>
        <v>0</v>
      </c>
      <c r="AD977">
        <f>IMDIV(IMSUB(AB977,AC977),"2")</f>
        <v>0</v>
      </c>
      <c r="AE977" s="6">
        <f>IMABS(AB977)</f>
        <v>0</v>
      </c>
      <c r="AF977" s="6">
        <f>IMABS(AC977)</f>
        <v>0</v>
      </c>
      <c r="AG977" s="6">
        <f>IMABS(AD977)</f>
        <v>0</v>
      </c>
      <c r="AH977" s="7">
        <f>20*LOG10(MAX(AE977,1E-300)*1E6)</f>
        <v>0</v>
      </c>
      <c r="AI977" s="7">
        <f>20*LOG10(MAX(AF977,1E-300)*1E6)</f>
        <v>0</v>
      </c>
      <c r="AJ977" s="7">
        <f>20*LOG10(MAX(AG977,1E-300)*1E6)</f>
        <v>0</v>
      </c>
      <c r="AK977" s="7">
        <f>DEGREES(IMARGUMENT(AB977))</f>
        <v>0</v>
      </c>
      <c r="AL977" s="7">
        <f>DEGREES(IMARGUMENT(AC977))</f>
        <v>0</v>
      </c>
      <c r="AM977" s="7">
        <f>DEGREES(IMARGUMENT(AD977))</f>
        <v>0</v>
      </c>
    </row>
    <row r="978" spans="1:39">
      <c r="A978" s="6">
        <f>10^(LOG10(F_START)+(ROW()-ROW($A$2))*(LOG10(F_STOP)-LOG10(F_START))/(N_POINTS-1))</f>
        <v>0</v>
      </c>
      <c r="B978" s="6">
        <f>2*PI()*A978</f>
        <v>0</v>
      </c>
      <c r="C978">
        <f>COMPLEX(2*LINE_PS_DCR,2*B978*LINE_PS_L)</f>
        <v>0</v>
      </c>
      <c r="D978">
        <f>IMSUM(COMPLEX(0,B978*(LINE_PS_CLINE+LINE_PS_CCHA/2)),IMDIV("1",IMPRODUCT("2",COMPLEX(C_THROUGH_ESR,B978*C_THROUGH_ESL-1/(B978*C_THROUGH_C)))))</f>
        <v>0</v>
      </c>
      <c r="E978">
        <f>COMPLEX(2*LINE_INPUT_DCR,2*B978*LINE_INPUT_L)</f>
        <v>0</v>
      </c>
      <c r="F978">
        <f>COMPLEX(0,B978*(LINE_INPUT_CLINE+LINE_INPUT_CCHA/2))</f>
        <v>0</v>
      </c>
      <c r="G978">
        <f>IMPRODUCT("2",IMDIV("1",IMSUM(IMDIV("1",COMPLEX(LDM1_DCR,B978*LDM1_L)),COMPLEX(0,B978*LDM1_CPA))))</f>
        <v>0</v>
      </c>
      <c r="H978">
        <f>IMSUM(IMDIV("1",COMPLEX(CX1_ESR,B978*CX1_ESL-1/(B978*CX1_C))),IMDIV("1",IMSUM(COMPLEX(DUMP1_R,0),COMPLEX(DUMP1_ESR,B978*DUMP1_ESL-1/(B978*DUMP1_C)))))</f>
        <v>0</v>
      </c>
      <c r="I978">
        <f>IMPRODUCT("2",IMDIV("1",IMSUM(IMDIV("1",COMPLEX(LDM2_DCR,B978*LDM2_L)),COMPLEX(0,B978*LDM2_CPA))))</f>
        <v>0</v>
      </c>
      <c r="J978">
        <f>IMSUM(IMDIV("1",COMPLEX(CX2_ESR,B978*CX2_ESL-1/(B978*CX2_C))),IMDIV("1",IMSUM(COMPLEX(DUMP2_R,0),COMPLEX(DUMP2_ESR,B978*DUMP2_ESL-1/(B978*DUMP2_C)))))</f>
        <v>0</v>
      </c>
      <c r="K978">
        <f>IMPRODUCT("2",IMDIV("1",IMSUM(IMDIV("1",COMPLEX(CMC_DCR,B978*CMC_L*(1-CMC_K))),COMPLEX(0,B978*CMC_CPA))))</f>
        <v>0</v>
      </c>
      <c r="L978">
        <f>IMSUM(COMPLEX(0,B978*CMC_CLINE),IMDIV("1",IMPRODUCT("2",COMPLEX(CY_ESR,B978*CY_ESL-1/(B978*CY_C)))),COMPLEX(1/DUMMY_R,0))</f>
        <v>0</v>
      </c>
      <c r="M978">
        <f>IMSUM(D978,IMDIV("1",C978))</f>
        <v>0</v>
      </c>
      <c r="N978">
        <f>IMDIV("1",IMSUM(E978,IMDIV("1",M978)))</f>
        <v>0</v>
      </c>
      <c r="O978">
        <f>IMSUM(F978,N978)</f>
        <v>0</v>
      </c>
      <c r="P978">
        <f>IMDIV("1",IMSUM(G978,IMDIV("1",O978)))</f>
        <v>0</v>
      </c>
      <c r="Q978">
        <f>IMSUM(H978,P978)</f>
        <v>0</v>
      </c>
      <c r="R978">
        <f>IMDIV("1",IMSUM(I978,IMDIV("1",Q978)))</f>
        <v>0</v>
      </c>
      <c r="S978">
        <f>IMSUM(J978,R978)</f>
        <v>0</v>
      </c>
      <c r="T978">
        <f>IMDIV("1",IMSUM(K978,IMDIV("1",S978)))</f>
        <v>0</v>
      </c>
      <c r="U978">
        <f>IMSUM(L978,T978)</f>
        <v>0</v>
      </c>
      <c r="V978">
        <f>IMDIV(COMPLEX(I_DM_SOURCE,0),U978)</f>
        <v>0</v>
      </c>
      <c r="W978">
        <f>IMPRODUCT(V978,T978)</f>
        <v>0</v>
      </c>
      <c r="X978">
        <f>IMDIV(W978,S978)</f>
        <v>0</v>
      </c>
      <c r="Y978">
        <f>IMPRODUCT(X978,R978)</f>
        <v>0</v>
      </c>
      <c r="Z978">
        <f>IMDIV(Y978,Q978)</f>
        <v>0</v>
      </c>
      <c r="AA978">
        <f>IMPRODUCT(Z978,P978)</f>
        <v>0</v>
      </c>
      <c r="AB978">
        <f>AA978</f>
        <v>0</v>
      </c>
      <c r="AC978">
        <f>IMPRODUCT("-1",AB978)</f>
        <v>0</v>
      </c>
      <c r="AD978">
        <f>IMDIV(IMSUB(AB978,AC978),"2")</f>
        <v>0</v>
      </c>
      <c r="AE978" s="6">
        <f>IMABS(AB978)</f>
        <v>0</v>
      </c>
      <c r="AF978" s="6">
        <f>IMABS(AC978)</f>
        <v>0</v>
      </c>
      <c r="AG978" s="6">
        <f>IMABS(AD978)</f>
        <v>0</v>
      </c>
      <c r="AH978" s="7">
        <f>20*LOG10(MAX(AE978,1E-300)*1E6)</f>
        <v>0</v>
      </c>
      <c r="AI978" s="7">
        <f>20*LOG10(MAX(AF978,1E-300)*1E6)</f>
        <v>0</v>
      </c>
      <c r="AJ978" s="7">
        <f>20*LOG10(MAX(AG978,1E-300)*1E6)</f>
        <v>0</v>
      </c>
      <c r="AK978" s="7">
        <f>DEGREES(IMARGUMENT(AB978))</f>
        <v>0</v>
      </c>
      <c r="AL978" s="7">
        <f>DEGREES(IMARGUMENT(AC978))</f>
        <v>0</v>
      </c>
      <c r="AM978" s="7">
        <f>DEGREES(IMARGUMENT(AD978))</f>
        <v>0</v>
      </c>
    </row>
    <row r="979" spans="1:39">
      <c r="A979" s="6">
        <f>10^(LOG10(F_START)+(ROW()-ROW($A$2))*(LOG10(F_STOP)-LOG10(F_START))/(N_POINTS-1))</f>
        <v>0</v>
      </c>
      <c r="B979" s="6">
        <f>2*PI()*A979</f>
        <v>0</v>
      </c>
      <c r="C979">
        <f>COMPLEX(2*LINE_PS_DCR,2*B979*LINE_PS_L)</f>
        <v>0</v>
      </c>
      <c r="D979">
        <f>IMSUM(COMPLEX(0,B979*(LINE_PS_CLINE+LINE_PS_CCHA/2)),IMDIV("1",IMPRODUCT("2",COMPLEX(C_THROUGH_ESR,B979*C_THROUGH_ESL-1/(B979*C_THROUGH_C)))))</f>
        <v>0</v>
      </c>
      <c r="E979">
        <f>COMPLEX(2*LINE_INPUT_DCR,2*B979*LINE_INPUT_L)</f>
        <v>0</v>
      </c>
      <c r="F979">
        <f>COMPLEX(0,B979*(LINE_INPUT_CLINE+LINE_INPUT_CCHA/2))</f>
        <v>0</v>
      </c>
      <c r="G979">
        <f>IMPRODUCT("2",IMDIV("1",IMSUM(IMDIV("1",COMPLEX(LDM1_DCR,B979*LDM1_L)),COMPLEX(0,B979*LDM1_CPA))))</f>
        <v>0</v>
      </c>
      <c r="H979">
        <f>IMSUM(IMDIV("1",COMPLEX(CX1_ESR,B979*CX1_ESL-1/(B979*CX1_C))),IMDIV("1",IMSUM(COMPLEX(DUMP1_R,0),COMPLEX(DUMP1_ESR,B979*DUMP1_ESL-1/(B979*DUMP1_C)))))</f>
        <v>0</v>
      </c>
      <c r="I979">
        <f>IMPRODUCT("2",IMDIV("1",IMSUM(IMDIV("1",COMPLEX(LDM2_DCR,B979*LDM2_L)),COMPLEX(0,B979*LDM2_CPA))))</f>
        <v>0</v>
      </c>
      <c r="J979">
        <f>IMSUM(IMDIV("1",COMPLEX(CX2_ESR,B979*CX2_ESL-1/(B979*CX2_C))),IMDIV("1",IMSUM(COMPLEX(DUMP2_R,0),COMPLEX(DUMP2_ESR,B979*DUMP2_ESL-1/(B979*DUMP2_C)))))</f>
        <v>0</v>
      </c>
      <c r="K979">
        <f>IMPRODUCT("2",IMDIV("1",IMSUM(IMDIV("1",COMPLEX(CMC_DCR,B979*CMC_L*(1-CMC_K))),COMPLEX(0,B979*CMC_CPA))))</f>
        <v>0</v>
      </c>
      <c r="L979">
        <f>IMSUM(COMPLEX(0,B979*CMC_CLINE),IMDIV("1",IMPRODUCT("2",COMPLEX(CY_ESR,B979*CY_ESL-1/(B979*CY_C)))),COMPLEX(1/DUMMY_R,0))</f>
        <v>0</v>
      </c>
      <c r="M979">
        <f>IMSUM(D979,IMDIV("1",C979))</f>
        <v>0</v>
      </c>
      <c r="N979">
        <f>IMDIV("1",IMSUM(E979,IMDIV("1",M979)))</f>
        <v>0</v>
      </c>
      <c r="O979">
        <f>IMSUM(F979,N979)</f>
        <v>0</v>
      </c>
      <c r="P979">
        <f>IMDIV("1",IMSUM(G979,IMDIV("1",O979)))</f>
        <v>0</v>
      </c>
      <c r="Q979">
        <f>IMSUM(H979,P979)</f>
        <v>0</v>
      </c>
      <c r="R979">
        <f>IMDIV("1",IMSUM(I979,IMDIV("1",Q979)))</f>
        <v>0</v>
      </c>
      <c r="S979">
        <f>IMSUM(J979,R979)</f>
        <v>0</v>
      </c>
      <c r="T979">
        <f>IMDIV("1",IMSUM(K979,IMDIV("1",S979)))</f>
        <v>0</v>
      </c>
      <c r="U979">
        <f>IMSUM(L979,T979)</f>
        <v>0</v>
      </c>
      <c r="V979">
        <f>IMDIV(COMPLEX(I_DM_SOURCE,0),U979)</f>
        <v>0</v>
      </c>
      <c r="W979">
        <f>IMPRODUCT(V979,T979)</f>
        <v>0</v>
      </c>
      <c r="X979">
        <f>IMDIV(W979,S979)</f>
        <v>0</v>
      </c>
      <c r="Y979">
        <f>IMPRODUCT(X979,R979)</f>
        <v>0</v>
      </c>
      <c r="Z979">
        <f>IMDIV(Y979,Q979)</f>
        <v>0</v>
      </c>
      <c r="AA979">
        <f>IMPRODUCT(Z979,P979)</f>
        <v>0</v>
      </c>
      <c r="AB979">
        <f>AA979</f>
        <v>0</v>
      </c>
      <c r="AC979">
        <f>IMPRODUCT("-1",AB979)</f>
        <v>0</v>
      </c>
      <c r="AD979">
        <f>IMDIV(IMSUB(AB979,AC979),"2")</f>
        <v>0</v>
      </c>
      <c r="AE979" s="6">
        <f>IMABS(AB979)</f>
        <v>0</v>
      </c>
      <c r="AF979" s="6">
        <f>IMABS(AC979)</f>
        <v>0</v>
      </c>
      <c r="AG979" s="6">
        <f>IMABS(AD979)</f>
        <v>0</v>
      </c>
      <c r="AH979" s="7">
        <f>20*LOG10(MAX(AE979,1E-300)*1E6)</f>
        <v>0</v>
      </c>
      <c r="AI979" s="7">
        <f>20*LOG10(MAX(AF979,1E-300)*1E6)</f>
        <v>0</v>
      </c>
      <c r="AJ979" s="7">
        <f>20*LOG10(MAX(AG979,1E-300)*1E6)</f>
        <v>0</v>
      </c>
      <c r="AK979" s="7">
        <f>DEGREES(IMARGUMENT(AB979))</f>
        <v>0</v>
      </c>
      <c r="AL979" s="7">
        <f>DEGREES(IMARGUMENT(AC979))</f>
        <v>0</v>
      </c>
      <c r="AM979" s="7">
        <f>DEGREES(IMARGUMENT(AD979))</f>
        <v>0</v>
      </c>
    </row>
    <row r="980" spans="1:39">
      <c r="A980" s="6">
        <f>10^(LOG10(F_START)+(ROW()-ROW($A$2))*(LOG10(F_STOP)-LOG10(F_START))/(N_POINTS-1))</f>
        <v>0</v>
      </c>
      <c r="B980" s="6">
        <f>2*PI()*A980</f>
        <v>0</v>
      </c>
      <c r="C980">
        <f>COMPLEX(2*LINE_PS_DCR,2*B980*LINE_PS_L)</f>
        <v>0</v>
      </c>
      <c r="D980">
        <f>IMSUM(COMPLEX(0,B980*(LINE_PS_CLINE+LINE_PS_CCHA/2)),IMDIV("1",IMPRODUCT("2",COMPLEX(C_THROUGH_ESR,B980*C_THROUGH_ESL-1/(B980*C_THROUGH_C)))))</f>
        <v>0</v>
      </c>
      <c r="E980">
        <f>COMPLEX(2*LINE_INPUT_DCR,2*B980*LINE_INPUT_L)</f>
        <v>0</v>
      </c>
      <c r="F980">
        <f>COMPLEX(0,B980*(LINE_INPUT_CLINE+LINE_INPUT_CCHA/2))</f>
        <v>0</v>
      </c>
      <c r="G980">
        <f>IMPRODUCT("2",IMDIV("1",IMSUM(IMDIV("1",COMPLEX(LDM1_DCR,B980*LDM1_L)),COMPLEX(0,B980*LDM1_CPA))))</f>
        <v>0</v>
      </c>
      <c r="H980">
        <f>IMSUM(IMDIV("1",COMPLEX(CX1_ESR,B980*CX1_ESL-1/(B980*CX1_C))),IMDIV("1",IMSUM(COMPLEX(DUMP1_R,0),COMPLEX(DUMP1_ESR,B980*DUMP1_ESL-1/(B980*DUMP1_C)))))</f>
        <v>0</v>
      </c>
      <c r="I980">
        <f>IMPRODUCT("2",IMDIV("1",IMSUM(IMDIV("1",COMPLEX(LDM2_DCR,B980*LDM2_L)),COMPLEX(0,B980*LDM2_CPA))))</f>
        <v>0</v>
      </c>
      <c r="J980">
        <f>IMSUM(IMDIV("1",COMPLEX(CX2_ESR,B980*CX2_ESL-1/(B980*CX2_C))),IMDIV("1",IMSUM(COMPLEX(DUMP2_R,0),COMPLEX(DUMP2_ESR,B980*DUMP2_ESL-1/(B980*DUMP2_C)))))</f>
        <v>0</v>
      </c>
      <c r="K980">
        <f>IMPRODUCT("2",IMDIV("1",IMSUM(IMDIV("1",COMPLEX(CMC_DCR,B980*CMC_L*(1-CMC_K))),COMPLEX(0,B980*CMC_CPA))))</f>
        <v>0</v>
      </c>
      <c r="L980">
        <f>IMSUM(COMPLEX(0,B980*CMC_CLINE),IMDIV("1",IMPRODUCT("2",COMPLEX(CY_ESR,B980*CY_ESL-1/(B980*CY_C)))),COMPLEX(1/DUMMY_R,0))</f>
        <v>0</v>
      </c>
      <c r="M980">
        <f>IMSUM(D980,IMDIV("1",C980))</f>
        <v>0</v>
      </c>
      <c r="N980">
        <f>IMDIV("1",IMSUM(E980,IMDIV("1",M980)))</f>
        <v>0</v>
      </c>
      <c r="O980">
        <f>IMSUM(F980,N980)</f>
        <v>0</v>
      </c>
      <c r="P980">
        <f>IMDIV("1",IMSUM(G980,IMDIV("1",O980)))</f>
        <v>0</v>
      </c>
      <c r="Q980">
        <f>IMSUM(H980,P980)</f>
        <v>0</v>
      </c>
      <c r="R980">
        <f>IMDIV("1",IMSUM(I980,IMDIV("1",Q980)))</f>
        <v>0</v>
      </c>
      <c r="S980">
        <f>IMSUM(J980,R980)</f>
        <v>0</v>
      </c>
      <c r="T980">
        <f>IMDIV("1",IMSUM(K980,IMDIV("1",S980)))</f>
        <v>0</v>
      </c>
      <c r="U980">
        <f>IMSUM(L980,T980)</f>
        <v>0</v>
      </c>
      <c r="V980">
        <f>IMDIV(COMPLEX(I_DM_SOURCE,0),U980)</f>
        <v>0</v>
      </c>
      <c r="W980">
        <f>IMPRODUCT(V980,T980)</f>
        <v>0</v>
      </c>
      <c r="X980">
        <f>IMDIV(W980,S980)</f>
        <v>0</v>
      </c>
      <c r="Y980">
        <f>IMPRODUCT(X980,R980)</f>
        <v>0</v>
      </c>
      <c r="Z980">
        <f>IMDIV(Y980,Q980)</f>
        <v>0</v>
      </c>
      <c r="AA980">
        <f>IMPRODUCT(Z980,P980)</f>
        <v>0</v>
      </c>
      <c r="AB980">
        <f>AA980</f>
        <v>0</v>
      </c>
      <c r="AC980">
        <f>IMPRODUCT("-1",AB980)</f>
        <v>0</v>
      </c>
      <c r="AD980">
        <f>IMDIV(IMSUB(AB980,AC980),"2")</f>
        <v>0</v>
      </c>
      <c r="AE980" s="6">
        <f>IMABS(AB980)</f>
        <v>0</v>
      </c>
      <c r="AF980" s="6">
        <f>IMABS(AC980)</f>
        <v>0</v>
      </c>
      <c r="AG980" s="6">
        <f>IMABS(AD980)</f>
        <v>0</v>
      </c>
      <c r="AH980" s="7">
        <f>20*LOG10(MAX(AE980,1E-300)*1E6)</f>
        <v>0</v>
      </c>
      <c r="AI980" s="7">
        <f>20*LOG10(MAX(AF980,1E-300)*1E6)</f>
        <v>0</v>
      </c>
      <c r="AJ980" s="7">
        <f>20*LOG10(MAX(AG980,1E-300)*1E6)</f>
        <v>0</v>
      </c>
      <c r="AK980" s="7">
        <f>DEGREES(IMARGUMENT(AB980))</f>
        <v>0</v>
      </c>
      <c r="AL980" s="7">
        <f>DEGREES(IMARGUMENT(AC980))</f>
        <v>0</v>
      </c>
      <c r="AM980" s="7">
        <f>DEGREES(IMARGUMENT(AD980))</f>
        <v>0</v>
      </c>
    </row>
    <row r="981" spans="1:39">
      <c r="A981" s="6">
        <f>10^(LOG10(F_START)+(ROW()-ROW($A$2))*(LOG10(F_STOP)-LOG10(F_START))/(N_POINTS-1))</f>
        <v>0</v>
      </c>
      <c r="B981" s="6">
        <f>2*PI()*A981</f>
        <v>0</v>
      </c>
      <c r="C981">
        <f>COMPLEX(2*LINE_PS_DCR,2*B981*LINE_PS_L)</f>
        <v>0</v>
      </c>
      <c r="D981">
        <f>IMSUM(COMPLEX(0,B981*(LINE_PS_CLINE+LINE_PS_CCHA/2)),IMDIV("1",IMPRODUCT("2",COMPLEX(C_THROUGH_ESR,B981*C_THROUGH_ESL-1/(B981*C_THROUGH_C)))))</f>
        <v>0</v>
      </c>
      <c r="E981">
        <f>COMPLEX(2*LINE_INPUT_DCR,2*B981*LINE_INPUT_L)</f>
        <v>0</v>
      </c>
      <c r="F981">
        <f>COMPLEX(0,B981*(LINE_INPUT_CLINE+LINE_INPUT_CCHA/2))</f>
        <v>0</v>
      </c>
      <c r="G981">
        <f>IMPRODUCT("2",IMDIV("1",IMSUM(IMDIV("1",COMPLEX(LDM1_DCR,B981*LDM1_L)),COMPLEX(0,B981*LDM1_CPA))))</f>
        <v>0</v>
      </c>
      <c r="H981">
        <f>IMSUM(IMDIV("1",COMPLEX(CX1_ESR,B981*CX1_ESL-1/(B981*CX1_C))),IMDIV("1",IMSUM(COMPLEX(DUMP1_R,0),COMPLEX(DUMP1_ESR,B981*DUMP1_ESL-1/(B981*DUMP1_C)))))</f>
        <v>0</v>
      </c>
      <c r="I981">
        <f>IMPRODUCT("2",IMDIV("1",IMSUM(IMDIV("1",COMPLEX(LDM2_DCR,B981*LDM2_L)),COMPLEX(0,B981*LDM2_CPA))))</f>
        <v>0</v>
      </c>
      <c r="J981">
        <f>IMSUM(IMDIV("1",COMPLEX(CX2_ESR,B981*CX2_ESL-1/(B981*CX2_C))),IMDIV("1",IMSUM(COMPLEX(DUMP2_R,0),COMPLEX(DUMP2_ESR,B981*DUMP2_ESL-1/(B981*DUMP2_C)))))</f>
        <v>0</v>
      </c>
      <c r="K981">
        <f>IMPRODUCT("2",IMDIV("1",IMSUM(IMDIV("1",COMPLEX(CMC_DCR,B981*CMC_L*(1-CMC_K))),COMPLEX(0,B981*CMC_CPA))))</f>
        <v>0</v>
      </c>
      <c r="L981">
        <f>IMSUM(COMPLEX(0,B981*CMC_CLINE),IMDIV("1",IMPRODUCT("2",COMPLEX(CY_ESR,B981*CY_ESL-1/(B981*CY_C)))),COMPLEX(1/DUMMY_R,0))</f>
        <v>0</v>
      </c>
      <c r="M981">
        <f>IMSUM(D981,IMDIV("1",C981))</f>
        <v>0</v>
      </c>
      <c r="N981">
        <f>IMDIV("1",IMSUM(E981,IMDIV("1",M981)))</f>
        <v>0</v>
      </c>
      <c r="O981">
        <f>IMSUM(F981,N981)</f>
        <v>0</v>
      </c>
      <c r="P981">
        <f>IMDIV("1",IMSUM(G981,IMDIV("1",O981)))</f>
        <v>0</v>
      </c>
      <c r="Q981">
        <f>IMSUM(H981,P981)</f>
        <v>0</v>
      </c>
      <c r="R981">
        <f>IMDIV("1",IMSUM(I981,IMDIV("1",Q981)))</f>
        <v>0</v>
      </c>
      <c r="S981">
        <f>IMSUM(J981,R981)</f>
        <v>0</v>
      </c>
      <c r="T981">
        <f>IMDIV("1",IMSUM(K981,IMDIV("1",S981)))</f>
        <v>0</v>
      </c>
      <c r="U981">
        <f>IMSUM(L981,T981)</f>
        <v>0</v>
      </c>
      <c r="V981">
        <f>IMDIV(COMPLEX(I_DM_SOURCE,0),U981)</f>
        <v>0</v>
      </c>
      <c r="W981">
        <f>IMPRODUCT(V981,T981)</f>
        <v>0</v>
      </c>
      <c r="X981">
        <f>IMDIV(W981,S981)</f>
        <v>0</v>
      </c>
      <c r="Y981">
        <f>IMPRODUCT(X981,R981)</f>
        <v>0</v>
      </c>
      <c r="Z981">
        <f>IMDIV(Y981,Q981)</f>
        <v>0</v>
      </c>
      <c r="AA981">
        <f>IMPRODUCT(Z981,P981)</f>
        <v>0</v>
      </c>
      <c r="AB981">
        <f>AA981</f>
        <v>0</v>
      </c>
      <c r="AC981">
        <f>IMPRODUCT("-1",AB981)</f>
        <v>0</v>
      </c>
      <c r="AD981">
        <f>IMDIV(IMSUB(AB981,AC981),"2")</f>
        <v>0</v>
      </c>
      <c r="AE981" s="6">
        <f>IMABS(AB981)</f>
        <v>0</v>
      </c>
      <c r="AF981" s="6">
        <f>IMABS(AC981)</f>
        <v>0</v>
      </c>
      <c r="AG981" s="6">
        <f>IMABS(AD981)</f>
        <v>0</v>
      </c>
      <c r="AH981" s="7">
        <f>20*LOG10(MAX(AE981,1E-300)*1E6)</f>
        <v>0</v>
      </c>
      <c r="AI981" s="7">
        <f>20*LOG10(MAX(AF981,1E-300)*1E6)</f>
        <v>0</v>
      </c>
      <c r="AJ981" s="7">
        <f>20*LOG10(MAX(AG981,1E-300)*1E6)</f>
        <v>0</v>
      </c>
      <c r="AK981" s="7">
        <f>DEGREES(IMARGUMENT(AB981))</f>
        <v>0</v>
      </c>
      <c r="AL981" s="7">
        <f>DEGREES(IMARGUMENT(AC981))</f>
        <v>0</v>
      </c>
      <c r="AM981" s="7">
        <f>DEGREES(IMARGUMENT(AD981))</f>
        <v>0</v>
      </c>
    </row>
    <row r="982" spans="1:39">
      <c r="A982" s="6">
        <f>10^(LOG10(F_START)+(ROW()-ROW($A$2))*(LOG10(F_STOP)-LOG10(F_START))/(N_POINTS-1))</f>
        <v>0</v>
      </c>
      <c r="B982" s="6">
        <f>2*PI()*A982</f>
        <v>0</v>
      </c>
      <c r="C982">
        <f>COMPLEX(2*LINE_PS_DCR,2*B982*LINE_PS_L)</f>
        <v>0</v>
      </c>
      <c r="D982">
        <f>IMSUM(COMPLEX(0,B982*(LINE_PS_CLINE+LINE_PS_CCHA/2)),IMDIV("1",IMPRODUCT("2",COMPLEX(C_THROUGH_ESR,B982*C_THROUGH_ESL-1/(B982*C_THROUGH_C)))))</f>
        <v>0</v>
      </c>
      <c r="E982">
        <f>COMPLEX(2*LINE_INPUT_DCR,2*B982*LINE_INPUT_L)</f>
        <v>0</v>
      </c>
      <c r="F982">
        <f>COMPLEX(0,B982*(LINE_INPUT_CLINE+LINE_INPUT_CCHA/2))</f>
        <v>0</v>
      </c>
      <c r="G982">
        <f>IMPRODUCT("2",IMDIV("1",IMSUM(IMDIV("1",COMPLEX(LDM1_DCR,B982*LDM1_L)),COMPLEX(0,B982*LDM1_CPA))))</f>
        <v>0</v>
      </c>
      <c r="H982">
        <f>IMSUM(IMDIV("1",COMPLEX(CX1_ESR,B982*CX1_ESL-1/(B982*CX1_C))),IMDIV("1",IMSUM(COMPLEX(DUMP1_R,0),COMPLEX(DUMP1_ESR,B982*DUMP1_ESL-1/(B982*DUMP1_C)))))</f>
        <v>0</v>
      </c>
      <c r="I982">
        <f>IMPRODUCT("2",IMDIV("1",IMSUM(IMDIV("1",COMPLEX(LDM2_DCR,B982*LDM2_L)),COMPLEX(0,B982*LDM2_CPA))))</f>
        <v>0</v>
      </c>
      <c r="J982">
        <f>IMSUM(IMDIV("1",COMPLEX(CX2_ESR,B982*CX2_ESL-1/(B982*CX2_C))),IMDIV("1",IMSUM(COMPLEX(DUMP2_R,0),COMPLEX(DUMP2_ESR,B982*DUMP2_ESL-1/(B982*DUMP2_C)))))</f>
        <v>0</v>
      </c>
      <c r="K982">
        <f>IMPRODUCT("2",IMDIV("1",IMSUM(IMDIV("1",COMPLEX(CMC_DCR,B982*CMC_L*(1-CMC_K))),COMPLEX(0,B982*CMC_CPA))))</f>
        <v>0</v>
      </c>
      <c r="L982">
        <f>IMSUM(COMPLEX(0,B982*CMC_CLINE),IMDIV("1",IMPRODUCT("2",COMPLEX(CY_ESR,B982*CY_ESL-1/(B982*CY_C)))),COMPLEX(1/DUMMY_R,0))</f>
        <v>0</v>
      </c>
      <c r="M982">
        <f>IMSUM(D982,IMDIV("1",C982))</f>
        <v>0</v>
      </c>
      <c r="N982">
        <f>IMDIV("1",IMSUM(E982,IMDIV("1",M982)))</f>
        <v>0</v>
      </c>
      <c r="O982">
        <f>IMSUM(F982,N982)</f>
        <v>0</v>
      </c>
      <c r="P982">
        <f>IMDIV("1",IMSUM(G982,IMDIV("1",O982)))</f>
        <v>0</v>
      </c>
      <c r="Q982">
        <f>IMSUM(H982,P982)</f>
        <v>0</v>
      </c>
      <c r="R982">
        <f>IMDIV("1",IMSUM(I982,IMDIV("1",Q982)))</f>
        <v>0</v>
      </c>
      <c r="S982">
        <f>IMSUM(J982,R982)</f>
        <v>0</v>
      </c>
      <c r="T982">
        <f>IMDIV("1",IMSUM(K982,IMDIV("1",S982)))</f>
        <v>0</v>
      </c>
      <c r="U982">
        <f>IMSUM(L982,T982)</f>
        <v>0</v>
      </c>
      <c r="V982">
        <f>IMDIV(COMPLEX(I_DM_SOURCE,0),U982)</f>
        <v>0</v>
      </c>
      <c r="W982">
        <f>IMPRODUCT(V982,T982)</f>
        <v>0</v>
      </c>
      <c r="X982">
        <f>IMDIV(W982,S982)</f>
        <v>0</v>
      </c>
      <c r="Y982">
        <f>IMPRODUCT(X982,R982)</f>
        <v>0</v>
      </c>
      <c r="Z982">
        <f>IMDIV(Y982,Q982)</f>
        <v>0</v>
      </c>
      <c r="AA982">
        <f>IMPRODUCT(Z982,P982)</f>
        <v>0</v>
      </c>
      <c r="AB982">
        <f>AA982</f>
        <v>0</v>
      </c>
      <c r="AC982">
        <f>IMPRODUCT("-1",AB982)</f>
        <v>0</v>
      </c>
      <c r="AD982">
        <f>IMDIV(IMSUB(AB982,AC982),"2")</f>
        <v>0</v>
      </c>
      <c r="AE982" s="6">
        <f>IMABS(AB982)</f>
        <v>0</v>
      </c>
      <c r="AF982" s="6">
        <f>IMABS(AC982)</f>
        <v>0</v>
      </c>
      <c r="AG982" s="6">
        <f>IMABS(AD982)</f>
        <v>0</v>
      </c>
      <c r="AH982" s="7">
        <f>20*LOG10(MAX(AE982,1E-300)*1E6)</f>
        <v>0</v>
      </c>
      <c r="AI982" s="7">
        <f>20*LOG10(MAX(AF982,1E-300)*1E6)</f>
        <v>0</v>
      </c>
      <c r="AJ982" s="7">
        <f>20*LOG10(MAX(AG982,1E-300)*1E6)</f>
        <v>0</v>
      </c>
      <c r="AK982" s="7">
        <f>DEGREES(IMARGUMENT(AB982))</f>
        <v>0</v>
      </c>
      <c r="AL982" s="7">
        <f>DEGREES(IMARGUMENT(AC982))</f>
        <v>0</v>
      </c>
      <c r="AM982" s="7">
        <f>DEGREES(IMARGUMENT(AD982))</f>
        <v>0</v>
      </c>
    </row>
    <row r="983" spans="1:39">
      <c r="A983" s="6">
        <f>10^(LOG10(F_START)+(ROW()-ROW($A$2))*(LOG10(F_STOP)-LOG10(F_START))/(N_POINTS-1))</f>
        <v>0</v>
      </c>
      <c r="B983" s="6">
        <f>2*PI()*A983</f>
        <v>0</v>
      </c>
      <c r="C983">
        <f>COMPLEX(2*LINE_PS_DCR,2*B983*LINE_PS_L)</f>
        <v>0</v>
      </c>
      <c r="D983">
        <f>IMSUM(COMPLEX(0,B983*(LINE_PS_CLINE+LINE_PS_CCHA/2)),IMDIV("1",IMPRODUCT("2",COMPLEX(C_THROUGH_ESR,B983*C_THROUGH_ESL-1/(B983*C_THROUGH_C)))))</f>
        <v>0</v>
      </c>
      <c r="E983">
        <f>COMPLEX(2*LINE_INPUT_DCR,2*B983*LINE_INPUT_L)</f>
        <v>0</v>
      </c>
      <c r="F983">
        <f>COMPLEX(0,B983*(LINE_INPUT_CLINE+LINE_INPUT_CCHA/2))</f>
        <v>0</v>
      </c>
      <c r="G983">
        <f>IMPRODUCT("2",IMDIV("1",IMSUM(IMDIV("1",COMPLEX(LDM1_DCR,B983*LDM1_L)),COMPLEX(0,B983*LDM1_CPA))))</f>
        <v>0</v>
      </c>
      <c r="H983">
        <f>IMSUM(IMDIV("1",COMPLEX(CX1_ESR,B983*CX1_ESL-1/(B983*CX1_C))),IMDIV("1",IMSUM(COMPLEX(DUMP1_R,0),COMPLEX(DUMP1_ESR,B983*DUMP1_ESL-1/(B983*DUMP1_C)))))</f>
        <v>0</v>
      </c>
      <c r="I983">
        <f>IMPRODUCT("2",IMDIV("1",IMSUM(IMDIV("1",COMPLEX(LDM2_DCR,B983*LDM2_L)),COMPLEX(0,B983*LDM2_CPA))))</f>
        <v>0</v>
      </c>
      <c r="J983">
        <f>IMSUM(IMDIV("1",COMPLEX(CX2_ESR,B983*CX2_ESL-1/(B983*CX2_C))),IMDIV("1",IMSUM(COMPLEX(DUMP2_R,0),COMPLEX(DUMP2_ESR,B983*DUMP2_ESL-1/(B983*DUMP2_C)))))</f>
        <v>0</v>
      </c>
      <c r="K983">
        <f>IMPRODUCT("2",IMDIV("1",IMSUM(IMDIV("1",COMPLEX(CMC_DCR,B983*CMC_L*(1-CMC_K))),COMPLEX(0,B983*CMC_CPA))))</f>
        <v>0</v>
      </c>
      <c r="L983">
        <f>IMSUM(COMPLEX(0,B983*CMC_CLINE),IMDIV("1",IMPRODUCT("2",COMPLEX(CY_ESR,B983*CY_ESL-1/(B983*CY_C)))),COMPLEX(1/DUMMY_R,0))</f>
        <v>0</v>
      </c>
      <c r="M983">
        <f>IMSUM(D983,IMDIV("1",C983))</f>
        <v>0</v>
      </c>
      <c r="N983">
        <f>IMDIV("1",IMSUM(E983,IMDIV("1",M983)))</f>
        <v>0</v>
      </c>
      <c r="O983">
        <f>IMSUM(F983,N983)</f>
        <v>0</v>
      </c>
      <c r="P983">
        <f>IMDIV("1",IMSUM(G983,IMDIV("1",O983)))</f>
        <v>0</v>
      </c>
      <c r="Q983">
        <f>IMSUM(H983,P983)</f>
        <v>0</v>
      </c>
      <c r="R983">
        <f>IMDIV("1",IMSUM(I983,IMDIV("1",Q983)))</f>
        <v>0</v>
      </c>
      <c r="S983">
        <f>IMSUM(J983,R983)</f>
        <v>0</v>
      </c>
      <c r="T983">
        <f>IMDIV("1",IMSUM(K983,IMDIV("1",S983)))</f>
        <v>0</v>
      </c>
      <c r="U983">
        <f>IMSUM(L983,T983)</f>
        <v>0</v>
      </c>
      <c r="V983">
        <f>IMDIV(COMPLEX(I_DM_SOURCE,0),U983)</f>
        <v>0</v>
      </c>
      <c r="W983">
        <f>IMPRODUCT(V983,T983)</f>
        <v>0</v>
      </c>
      <c r="X983">
        <f>IMDIV(W983,S983)</f>
        <v>0</v>
      </c>
      <c r="Y983">
        <f>IMPRODUCT(X983,R983)</f>
        <v>0</v>
      </c>
      <c r="Z983">
        <f>IMDIV(Y983,Q983)</f>
        <v>0</v>
      </c>
      <c r="AA983">
        <f>IMPRODUCT(Z983,P983)</f>
        <v>0</v>
      </c>
      <c r="AB983">
        <f>AA983</f>
        <v>0</v>
      </c>
      <c r="AC983">
        <f>IMPRODUCT("-1",AB983)</f>
        <v>0</v>
      </c>
      <c r="AD983">
        <f>IMDIV(IMSUB(AB983,AC983),"2")</f>
        <v>0</v>
      </c>
      <c r="AE983" s="6">
        <f>IMABS(AB983)</f>
        <v>0</v>
      </c>
      <c r="AF983" s="6">
        <f>IMABS(AC983)</f>
        <v>0</v>
      </c>
      <c r="AG983" s="6">
        <f>IMABS(AD983)</f>
        <v>0</v>
      </c>
      <c r="AH983" s="7">
        <f>20*LOG10(MAX(AE983,1E-300)*1E6)</f>
        <v>0</v>
      </c>
      <c r="AI983" s="7">
        <f>20*LOG10(MAX(AF983,1E-300)*1E6)</f>
        <v>0</v>
      </c>
      <c r="AJ983" s="7">
        <f>20*LOG10(MAX(AG983,1E-300)*1E6)</f>
        <v>0</v>
      </c>
      <c r="AK983" s="7">
        <f>DEGREES(IMARGUMENT(AB983))</f>
        <v>0</v>
      </c>
      <c r="AL983" s="7">
        <f>DEGREES(IMARGUMENT(AC983))</f>
        <v>0</v>
      </c>
      <c r="AM983" s="7">
        <f>DEGREES(IMARGUMENT(AD983))</f>
        <v>0</v>
      </c>
    </row>
    <row r="984" spans="1:39">
      <c r="A984" s="6">
        <f>10^(LOG10(F_START)+(ROW()-ROW($A$2))*(LOG10(F_STOP)-LOG10(F_START))/(N_POINTS-1))</f>
        <v>0</v>
      </c>
      <c r="B984" s="6">
        <f>2*PI()*A984</f>
        <v>0</v>
      </c>
      <c r="C984">
        <f>COMPLEX(2*LINE_PS_DCR,2*B984*LINE_PS_L)</f>
        <v>0</v>
      </c>
      <c r="D984">
        <f>IMSUM(COMPLEX(0,B984*(LINE_PS_CLINE+LINE_PS_CCHA/2)),IMDIV("1",IMPRODUCT("2",COMPLEX(C_THROUGH_ESR,B984*C_THROUGH_ESL-1/(B984*C_THROUGH_C)))))</f>
        <v>0</v>
      </c>
      <c r="E984">
        <f>COMPLEX(2*LINE_INPUT_DCR,2*B984*LINE_INPUT_L)</f>
        <v>0</v>
      </c>
      <c r="F984">
        <f>COMPLEX(0,B984*(LINE_INPUT_CLINE+LINE_INPUT_CCHA/2))</f>
        <v>0</v>
      </c>
      <c r="G984">
        <f>IMPRODUCT("2",IMDIV("1",IMSUM(IMDIV("1",COMPLEX(LDM1_DCR,B984*LDM1_L)),COMPLEX(0,B984*LDM1_CPA))))</f>
        <v>0</v>
      </c>
      <c r="H984">
        <f>IMSUM(IMDIV("1",COMPLEX(CX1_ESR,B984*CX1_ESL-1/(B984*CX1_C))),IMDIV("1",IMSUM(COMPLEX(DUMP1_R,0),COMPLEX(DUMP1_ESR,B984*DUMP1_ESL-1/(B984*DUMP1_C)))))</f>
        <v>0</v>
      </c>
      <c r="I984">
        <f>IMPRODUCT("2",IMDIV("1",IMSUM(IMDIV("1",COMPLEX(LDM2_DCR,B984*LDM2_L)),COMPLEX(0,B984*LDM2_CPA))))</f>
        <v>0</v>
      </c>
      <c r="J984">
        <f>IMSUM(IMDIV("1",COMPLEX(CX2_ESR,B984*CX2_ESL-1/(B984*CX2_C))),IMDIV("1",IMSUM(COMPLEX(DUMP2_R,0),COMPLEX(DUMP2_ESR,B984*DUMP2_ESL-1/(B984*DUMP2_C)))))</f>
        <v>0</v>
      </c>
      <c r="K984">
        <f>IMPRODUCT("2",IMDIV("1",IMSUM(IMDIV("1",COMPLEX(CMC_DCR,B984*CMC_L*(1-CMC_K))),COMPLEX(0,B984*CMC_CPA))))</f>
        <v>0</v>
      </c>
      <c r="L984">
        <f>IMSUM(COMPLEX(0,B984*CMC_CLINE),IMDIV("1",IMPRODUCT("2",COMPLEX(CY_ESR,B984*CY_ESL-1/(B984*CY_C)))),COMPLEX(1/DUMMY_R,0))</f>
        <v>0</v>
      </c>
      <c r="M984">
        <f>IMSUM(D984,IMDIV("1",C984))</f>
        <v>0</v>
      </c>
      <c r="N984">
        <f>IMDIV("1",IMSUM(E984,IMDIV("1",M984)))</f>
        <v>0</v>
      </c>
      <c r="O984">
        <f>IMSUM(F984,N984)</f>
        <v>0</v>
      </c>
      <c r="P984">
        <f>IMDIV("1",IMSUM(G984,IMDIV("1",O984)))</f>
        <v>0</v>
      </c>
      <c r="Q984">
        <f>IMSUM(H984,P984)</f>
        <v>0</v>
      </c>
      <c r="R984">
        <f>IMDIV("1",IMSUM(I984,IMDIV("1",Q984)))</f>
        <v>0</v>
      </c>
      <c r="S984">
        <f>IMSUM(J984,R984)</f>
        <v>0</v>
      </c>
      <c r="T984">
        <f>IMDIV("1",IMSUM(K984,IMDIV("1",S984)))</f>
        <v>0</v>
      </c>
      <c r="U984">
        <f>IMSUM(L984,T984)</f>
        <v>0</v>
      </c>
      <c r="V984">
        <f>IMDIV(COMPLEX(I_DM_SOURCE,0),U984)</f>
        <v>0</v>
      </c>
      <c r="W984">
        <f>IMPRODUCT(V984,T984)</f>
        <v>0</v>
      </c>
      <c r="X984">
        <f>IMDIV(W984,S984)</f>
        <v>0</v>
      </c>
      <c r="Y984">
        <f>IMPRODUCT(X984,R984)</f>
        <v>0</v>
      </c>
      <c r="Z984">
        <f>IMDIV(Y984,Q984)</f>
        <v>0</v>
      </c>
      <c r="AA984">
        <f>IMPRODUCT(Z984,P984)</f>
        <v>0</v>
      </c>
      <c r="AB984">
        <f>AA984</f>
        <v>0</v>
      </c>
      <c r="AC984">
        <f>IMPRODUCT("-1",AB984)</f>
        <v>0</v>
      </c>
      <c r="AD984">
        <f>IMDIV(IMSUB(AB984,AC984),"2")</f>
        <v>0</v>
      </c>
      <c r="AE984" s="6">
        <f>IMABS(AB984)</f>
        <v>0</v>
      </c>
      <c r="AF984" s="6">
        <f>IMABS(AC984)</f>
        <v>0</v>
      </c>
      <c r="AG984" s="6">
        <f>IMABS(AD984)</f>
        <v>0</v>
      </c>
      <c r="AH984" s="7">
        <f>20*LOG10(MAX(AE984,1E-300)*1E6)</f>
        <v>0</v>
      </c>
      <c r="AI984" s="7">
        <f>20*LOG10(MAX(AF984,1E-300)*1E6)</f>
        <v>0</v>
      </c>
      <c r="AJ984" s="7">
        <f>20*LOG10(MAX(AG984,1E-300)*1E6)</f>
        <v>0</v>
      </c>
      <c r="AK984" s="7">
        <f>DEGREES(IMARGUMENT(AB984))</f>
        <v>0</v>
      </c>
      <c r="AL984" s="7">
        <f>DEGREES(IMARGUMENT(AC984))</f>
        <v>0</v>
      </c>
      <c r="AM984" s="7">
        <f>DEGREES(IMARGUMENT(AD984))</f>
        <v>0</v>
      </c>
    </row>
    <row r="985" spans="1:39">
      <c r="A985" s="6">
        <f>10^(LOG10(F_START)+(ROW()-ROW($A$2))*(LOG10(F_STOP)-LOG10(F_START))/(N_POINTS-1))</f>
        <v>0</v>
      </c>
      <c r="B985" s="6">
        <f>2*PI()*A985</f>
        <v>0</v>
      </c>
      <c r="C985">
        <f>COMPLEX(2*LINE_PS_DCR,2*B985*LINE_PS_L)</f>
        <v>0</v>
      </c>
      <c r="D985">
        <f>IMSUM(COMPLEX(0,B985*(LINE_PS_CLINE+LINE_PS_CCHA/2)),IMDIV("1",IMPRODUCT("2",COMPLEX(C_THROUGH_ESR,B985*C_THROUGH_ESL-1/(B985*C_THROUGH_C)))))</f>
        <v>0</v>
      </c>
      <c r="E985">
        <f>COMPLEX(2*LINE_INPUT_DCR,2*B985*LINE_INPUT_L)</f>
        <v>0</v>
      </c>
      <c r="F985">
        <f>COMPLEX(0,B985*(LINE_INPUT_CLINE+LINE_INPUT_CCHA/2))</f>
        <v>0</v>
      </c>
      <c r="G985">
        <f>IMPRODUCT("2",IMDIV("1",IMSUM(IMDIV("1",COMPLEX(LDM1_DCR,B985*LDM1_L)),COMPLEX(0,B985*LDM1_CPA))))</f>
        <v>0</v>
      </c>
      <c r="H985">
        <f>IMSUM(IMDIV("1",COMPLEX(CX1_ESR,B985*CX1_ESL-1/(B985*CX1_C))),IMDIV("1",IMSUM(COMPLEX(DUMP1_R,0),COMPLEX(DUMP1_ESR,B985*DUMP1_ESL-1/(B985*DUMP1_C)))))</f>
        <v>0</v>
      </c>
      <c r="I985">
        <f>IMPRODUCT("2",IMDIV("1",IMSUM(IMDIV("1",COMPLEX(LDM2_DCR,B985*LDM2_L)),COMPLEX(0,B985*LDM2_CPA))))</f>
        <v>0</v>
      </c>
      <c r="J985">
        <f>IMSUM(IMDIV("1",COMPLEX(CX2_ESR,B985*CX2_ESL-1/(B985*CX2_C))),IMDIV("1",IMSUM(COMPLEX(DUMP2_R,0),COMPLEX(DUMP2_ESR,B985*DUMP2_ESL-1/(B985*DUMP2_C)))))</f>
        <v>0</v>
      </c>
      <c r="K985">
        <f>IMPRODUCT("2",IMDIV("1",IMSUM(IMDIV("1",COMPLEX(CMC_DCR,B985*CMC_L*(1-CMC_K))),COMPLEX(0,B985*CMC_CPA))))</f>
        <v>0</v>
      </c>
      <c r="L985">
        <f>IMSUM(COMPLEX(0,B985*CMC_CLINE),IMDIV("1",IMPRODUCT("2",COMPLEX(CY_ESR,B985*CY_ESL-1/(B985*CY_C)))),COMPLEX(1/DUMMY_R,0))</f>
        <v>0</v>
      </c>
      <c r="M985">
        <f>IMSUM(D985,IMDIV("1",C985))</f>
        <v>0</v>
      </c>
      <c r="N985">
        <f>IMDIV("1",IMSUM(E985,IMDIV("1",M985)))</f>
        <v>0</v>
      </c>
      <c r="O985">
        <f>IMSUM(F985,N985)</f>
        <v>0</v>
      </c>
      <c r="P985">
        <f>IMDIV("1",IMSUM(G985,IMDIV("1",O985)))</f>
        <v>0</v>
      </c>
      <c r="Q985">
        <f>IMSUM(H985,P985)</f>
        <v>0</v>
      </c>
      <c r="R985">
        <f>IMDIV("1",IMSUM(I985,IMDIV("1",Q985)))</f>
        <v>0</v>
      </c>
      <c r="S985">
        <f>IMSUM(J985,R985)</f>
        <v>0</v>
      </c>
      <c r="T985">
        <f>IMDIV("1",IMSUM(K985,IMDIV("1",S985)))</f>
        <v>0</v>
      </c>
      <c r="U985">
        <f>IMSUM(L985,T985)</f>
        <v>0</v>
      </c>
      <c r="V985">
        <f>IMDIV(COMPLEX(I_DM_SOURCE,0),U985)</f>
        <v>0</v>
      </c>
      <c r="W985">
        <f>IMPRODUCT(V985,T985)</f>
        <v>0</v>
      </c>
      <c r="X985">
        <f>IMDIV(W985,S985)</f>
        <v>0</v>
      </c>
      <c r="Y985">
        <f>IMPRODUCT(X985,R985)</f>
        <v>0</v>
      </c>
      <c r="Z985">
        <f>IMDIV(Y985,Q985)</f>
        <v>0</v>
      </c>
      <c r="AA985">
        <f>IMPRODUCT(Z985,P985)</f>
        <v>0</v>
      </c>
      <c r="AB985">
        <f>AA985</f>
        <v>0</v>
      </c>
      <c r="AC985">
        <f>IMPRODUCT("-1",AB985)</f>
        <v>0</v>
      </c>
      <c r="AD985">
        <f>IMDIV(IMSUB(AB985,AC985),"2")</f>
        <v>0</v>
      </c>
      <c r="AE985" s="6">
        <f>IMABS(AB985)</f>
        <v>0</v>
      </c>
      <c r="AF985" s="6">
        <f>IMABS(AC985)</f>
        <v>0</v>
      </c>
      <c r="AG985" s="6">
        <f>IMABS(AD985)</f>
        <v>0</v>
      </c>
      <c r="AH985" s="7">
        <f>20*LOG10(MAX(AE985,1E-300)*1E6)</f>
        <v>0</v>
      </c>
      <c r="AI985" s="7">
        <f>20*LOG10(MAX(AF985,1E-300)*1E6)</f>
        <v>0</v>
      </c>
      <c r="AJ985" s="7">
        <f>20*LOG10(MAX(AG985,1E-300)*1E6)</f>
        <v>0</v>
      </c>
      <c r="AK985" s="7">
        <f>DEGREES(IMARGUMENT(AB985))</f>
        <v>0</v>
      </c>
      <c r="AL985" s="7">
        <f>DEGREES(IMARGUMENT(AC985))</f>
        <v>0</v>
      </c>
      <c r="AM985" s="7">
        <f>DEGREES(IMARGUMENT(AD985))</f>
        <v>0</v>
      </c>
    </row>
    <row r="986" spans="1:39">
      <c r="A986" s="6">
        <f>10^(LOG10(F_START)+(ROW()-ROW($A$2))*(LOG10(F_STOP)-LOG10(F_START))/(N_POINTS-1))</f>
        <v>0</v>
      </c>
      <c r="B986" s="6">
        <f>2*PI()*A986</f>
        <v>0</v>
      </c>
      <c r="C986">
        <f>COMPLEX(2*LINE_PS_DCR,2*B986*LINE_PS_L)</f>
        <v>0</v>
      </c>
      <c r="D986">
        <f>IMSUM(COMPLEX(0,B986*(LINE_PS_CLINE+LINE_PS_CCHA/2)),IMDIV("1",IMPRODUCT("2",COMPLEX(C_THROUGH_ESR,B986*C_THROUGH_ESL-1/(B986*C_THROUGH_C)))))</f>
        <v>0</v>
      </c>
      <c r="E986">
        <f>COMPLEX(2*LINE_INPUT_DCR,2*B986*LINE_INPUT_L)</f>
        <v>0</v>
      </c>
      <c r="F986">
        <f>COMPLEX(0,B986*(LINE_INPUT_CLINE+LINE_INPUT_CCHA/2))</f>
        <v>0</v>
      </c>
      <c r="G986">
        <f>IMPRODUCT("2",IMDIV("1",IMSUM(IMDIV("1",COMPLEX(LDM1_DCR,B986*LDM1_L)),COMPLEX(0,B986*LDM1_CPA))))</f>
        <v>0</v>
      </c>
      <c r="H986">
        <f>IMSUM(IMDIV("1",COMPLEX(CX1_ESR,B986*CX1_ESL-1/(B986*CX1_C))),IMDIV("1",IMSUM(COMPLEX(DUMP1_R,0),COMPLEX(DUMP1_ESR,B986*DUMP1_ESL-1/(B986*DUMP1_C)))))</f>
        <v>0</v>
      </c>
      <c r="I986">
        <f>IMPRODUCT("2",IMDIV("1",IMSUM(IMDIV("1",COMPLEX(LDM2_DCR,B986*LDM2_L)),COMPLEX(0,B986*LDM2_CPA))))</f>
        <v>0</v>
      </c>
      <c r="J986">
        <f>IMSUM(IMDIV("1",COMPLEX(CX2_ESR,B986*CX2_ESL-1/(B986*CX2_C))),IMDIV("1",IMSUM(COMPLEX(DUMP2_R,0),COMPLEX(DUMP2_ESR,B986*DUMP2_ESL-1/(B986*DUMP2_C)))))</f>
        <v>0</v>
      </c>
      <c r="K986">
        <f>IMPRODUCT("2",IMDIV("1",IMSUM(IMDIV("1",COMPLEX(CMC_DCR,B986*CMC_L*(1-CMC_K))),COMPLEX(0,B986*CMC_CPA))))</f>
        <v>0</v>
      </c>
      <c r="L986">
        <f>IMSUM(COMPLEX(0,B986*CMC_CLINE),IMDIV("1",IMPRODUCT("2",COMPLEX(CY_ESR,B986*CY_ESL-1/(B986*CY_C)))),COMPLEX(1/DUMMY_R,0))</f>
        <v>0</v>
      </c>
      <c r="M986">
        <f>IMSUM(D986,IMDIV("1",C986))</f>
        <v>0</v>
      </c>
      <c r="N986">
        <f>IMDIV("1",IMSUM(E986,IMDIV("1",M986)))</f>
        <v>0</v>
      </c>
      <c r="O986">
        <f>IMSUM(F986,N986)</f>
        <v>0</v>
      </c>
      <c r="P986">
        <f>IMDIV("1",IMSUM(G986,IMDIV("1",O986)))</f>
        <v>0</v>
      </c>
      <c r="Q986">
        <f>IMSUM(H986,P986)</f>
        <v>0</v>
      </c>
      <c r="R986">
        <f>IMDIV("1",IMSUM(I986,IMDIV("1",Q986)))</f>
        <v>0</v>
      </c>
      <c r="S986">
        <f>IMSUM(J986,R986)</f>
        <v>0</v>
      </c>
      <c r="T986">
        <f>IMDIV("1",IMSUM(K986,IMDIV("1",S986)))</f>
        <v>0</v>
      </c>
      <c r="U986">
        <f>IMSUM(L986,T986)</f>
        <v>0</v>
      </c>
      <c r="V986">
        <f>IMDIV(COMPLEX(I_DM_SOURCE,0),U986)</f>
        <v>0</v>
      </c>
      <c r="W986">
        <f>IMPRODUCT(V986,T986)</f>
        <v>0</v>
      </c>
      <c r="X986">
        <f>IMDIV(W986,S986)</f>
        <v>0</v>
      </c>
      <c r="Y986">
        <f>IMPRODUCT(X986,R986)</f>
        <v>0</v>
      </c>
      <c r="Z986">
        <f>IMDIV(Y986,Q986)</f>
        <v>0</v>
      </c>
      <c r="AA986">
        <f>IMPRODUCT(Z986,P986)</f>
        <v>0</v>
      </c>
      <c r="AB986">
        <f>AA986</f>
        <v>0</v>
      </c>
      <c r="AC986">
        <f>IMPRODUCT("-1",AB986)</f>
        <v>0</v>
      </c>
      <c r="AD986">
        <f>IMDIV(IMSUB(AB986,AC986),"2")</f>
        <v>0</v>
      </c>
      <c r="AE986" s="6">
        <f>IMABS(AB986)</f>
        <v>0</v>
      </c>
      <c r="AF986" s="6">
        <f>IMABS(AC986)</f>
        <v>0</v>
      </c>
      <c r="AG986" s="6">
        <f>IMABS(AD986)</f>
        <v>0</v>
      </c>
      <c r="AH986" s="7">
        <f>20*LOG10(MAX(AE986,1E-300)*1E6)</f>
        <v>0</v>
      </c>
      <c r="AI986" s="7">
        <f>20*LOG10(MAX(AF986,1E-300)*1E6)</f>
        <v>0</v>
      </c>
      <c r="AJ986" s="7">
        <f>20*LOG10(MAX(AG986,1E-300)*1E6)</f>
        <v>0</v>
      </c>
      <c r="AK986" s="7">
        <f>DEGREES(IMARGUMENT(AB986))</f>
        <v>0</v>
      </c>
      <c r="AL986" s="7">
        <f>DEGREES(IMARGUMENT(AC986))</f>
        <v>0</v>
      </c>
      <c r="AM986" s="7">
        <f>DEGREES(IMARGUMENT(AD986))</f>
        <v>0</v>
      </c>
    </row>
    <row r="987" spans="1:39">
      <c r="A987" s="6">
        <f>10^(LOG10(F_START)+(ROW()-ROW($A$2))*(LOG10(F_STOP)-LOG10(F_START))/(N_POINTS-1))</f>
        <v>0</v>
      </c>
      <c r="B987" s="6">
        <f>2*PI()*A987</f>
        <v>0</v>
      </c>
      <c r="C987">
        <f>COMPLEX(2*LINE_PS_DCR,2*B987*LINE_PS_L)</f>
        <v>0</v>
      </c>
      <c r="D987">
        <f>IMSUM(COMPLEX(0,B987*(LINE_PS_CLINE+LINE_PS_CCHA/2)),IMDIV("1",IMPRODUCT("2",COMPLEX(C_THROUGH_ESR,B987*C_THROUGH_ESL-1/(B987*C_THROUGH_C)))))</f>
        <v>0</v>
      </c>
      <c r="E987">
        <f>COMPLEX(2*LINE_INPUT_DCR,2*B987*LINE_INPUT_L)</f>
        <v>0</v>
      </c>
      <c r="F987">
        <f>COMPLEX(0,B987*(LINE_INPUT_CLINE+LINE_INPUT_CCHA/2))</f>
        <v>0</v>
      </c>
      <c r="G987">
        <f>IMPRODUCT("2",IMDIV("1",IMSUM(IMDIV("1",COMPLEX(LDM1_DCR,B987*LDM1_L)),COMPLEX(0,B987*LDM1_CPA))))</f>
        <v>0</v>
      </c>
      <c r="H987">
        <f>IMSUM(IMDIV("1",COMPLEX(CX1_ESR,B987*CX1_ESL-1/(B987*CX1_C))),IMDIV("1",IMSUM(COMPLEX(DUMP1_R,0),COMPLEX(DUMP1_ESR,B987*DUMP1_ESL-1/(B987*DUMP1_C)))))</f>
        <v>0</v>
      </c>
      <c r="I987">
        <f>IMPRODUCT("2",IMDIV("1",IMSUM(IMDIV("1",COMPLEX(LDM2_DCR,B987*LDM2_L)),COMPLEX(0,B987*LDM2_CPA))))</f>
        <v>0</v>
      </c>
      <c r="J987">
        <f>IMSUM(IMDIV("1",COMPLEX(CX2_ESR,B987*CX2_ESL-1/(B987*CX2_C))),IMDIV("1",IMSUM(COMPLEX(DUMP2_R,0),COMPLEX(DUMP2_ESR,B987*DUMP2_ESL-1/(B987*DUMP2_C)))))</f>
        <v>0</v>
      </c>
      <c r="K987">
        <f>IMPRODUCT("2",IMDIV("1",IMSUM(IMDIV("1",COMPLEX(CMC_DCR,B987*CMC_L*(1-CMC_K))),COMPLEX(0,B987*CMC_CPA))))</f>
        <v>0</v>
      </c>
      <c r="L987">
        <f>IMSUM(COMPLEX(0,B987*CMC_CLINE),IMDIV("1",IMPRODUCT("2",COMPLEX(CY_ESR,B987*CY_ESL-1/(B987*CY_C)))),COMPLEX(1/DUMMY_R,0))</f>
        <v>0</v>
      </c>
      <c r="M987">
        <f>IMSUM(D987,IMDIV("1",C987))</f>
        <v>0</v>
      </c>
      <c r="N987">
        <f>IMDIV("1",IMSUM(E987,IMDIV("1",M987)))</f>
        <v>0</v>
      </c>
      <c r="O987">
        <f>IMSUM(F987,N987)</f>
        <v>0</v>
      </c>
      <c r="P987">
        <f>IMDIV("1",IMSUM(G987,IMDIV("1",O987)))</f>
        <v>0</v>
      </c>
      <c r="Q987">
        <f>IMSUM(H987,P987)</f>
        <v>0</v>
      </c>
      <c r="R987">
        <f>IMDIV("1",IMSUM(I987,IMDIV("1",Q987)))</f>
        <v>0</v>
      </c>
      <c r="S987">
        <f>IMSUM(J987,R987)</f>
        <v>0</v>
      </c>
      <c r="T987">
        <f>IMDIV("1",IMSUM(K987,IMDIV("1",S987)))</f>
        <v>0</v>
      </c>
      <c r="U987">
        <f>IMSUM(L987,T987)</f>
        <v>0</v>
      </c>
      <c r="V987">
        <f>IMDIV(COMPLEX(I_DM_SOURCE,0),U987)</f>
        <v>0</v>
      </c>
      <c r="W987">
        <f>IMPRODUCT(V987,T987)</f>
        <v>0</v>
      </c>
      <c r="X987">
        <f>IMDIV(W987,S987)</f>
        <v>0</v>
      </c>
      <c r="Y987">
        <f>IMPRODUCT(X987,R987)</f>
        <v>0</v>
      </c>
      <c r="Z987">
        <f>IMDIV(Y987,Q987)</f>
        <v>0</v>
      </c>
      <c r="AA987">
        <f>IMPRODUCT(Z987,P987)</f>
        <v>0</v>
      </c>
      <c r="AB987">
        <f>AA987</f>
        <v>0</v>
      </c>
      <c r="AC987">
        <f>IMPRODUCT("-1",AB987)</f>
        <v>0</v>
      </c>
      <c r="AD987">
        <f>IMDIV(IMSUB(AB987,AC987),"2")</f>
        <v>0</v>
      </c>
      <c r="AE987" s="6">
        <f>IMABS(AB987)</f>
        <v>0</v>
      </c>
      <c r="AF987" s="6">
        <f>IMABS(AC987)</f>
        <v>0</v>
      </c>
      <c r="AG987" s="6">
        <f>IMABS(AD987)</f>
        <v>0</v>
      </c>
      <c r="AH987" s="7">
        <f>20*LOG10(MAX(AE987,1E-300)*1E6)</f>
        <v>0</v>
      </c>
      <c r="AI987" s="7">
        <f>20*LOG10(MAX(AF987,1E-300)*1E6)</f>
        <v>0</v>
      </c>
      <c r="AJ987" s="7">
        <f>20*LOG10(MAX(AG987,1E-300)*1E6)</f>
        <v>0</v>
      </c>
      <c r="AK987" s="7">
        <f>DEGREES(IMARGUMENT(AB987))</f>
        <v>0</v>
      </c>
      <c r="AL987" s="7">
        <f>DEGREES(IMARGUMENT(AC987))</f>
        <v>0</v>
      </c>
      <c r="AM987" s="7">
        <f>DEGREES(IMARGUMENT(AD987))</f>
        <v>0</v>
      </c>
    </row>
    <row r="988" spans="1:39">
      <c r="A988" s="6">
        <f>10^(LOG10(F_START)+(ROW()-ROW($A$2))*(LOG10(F_STOP)-LOG10(F_START))/(N_POINTS-1))</f>
        <v>0</v>
      </c>
      <c r="B988" s="6">
        <f>2*PI()*A988</f>
        <v>0</v>
      </c>
      <c r="C988">
        <f>COMPLEX(2*LINE_PS_DCR,2*B988*LINE_PS_L)</f>
        <v>0</v>
      </c>
      <c r="D988">
        <f>IMSUM(COMPLEX(0,B988*(LINE_PS_CLINE+LINE_PS_CCHA/2)),IMDIV("1",IMPRODUCT("2",COMPLEX(C_THROUGH_ESR,B988*C_THROUGH_ESL-1/(B988*C_THROUGH_C)))))</f>
        <v>0</v>
      </c>
      <c r="E988">
        <f>COMPLEX(2*LINE_INPUT_DCR,2*B988*LINE_INPUT_L)</f>
        <v>0</v>
      </c>
      <c r="F988">
        <f>COMPLEX(0,B988*(LINE_INPUT_CLINE+LINE_INPUT_CCHA/2))</f>
        <v>0</v>
      </c>
      <c r="G988">
        <f>IMPRODUCT("2",IMDIV("1",IMSUM(IMDIV("1",COMPLEX(LDM1_DCR,B988*LDM1_L)),COMPLEX(0,B988*LDM1_CPA))))</f>
        <v>0</v>
      </c>
      <c r="H988">
        <f>IMSUM(IMDIV("1",COMPLEX(CX1_ESR,B988*CX1_ESL-1/(B988*CX1_C))),IMDIV("1",IMSUM(COMPLEX(DUMP1_R,0),COMPLEX(DUMP1_ESR,B988*DUMP1_ESL-1/(B988*DUMP1_C)))))</f>
        <v>0</v>
      </c>
      <c r="I988">
        <f>IMPRODUCT("2",IMDIV("1",IMSUM(IMDIV("1",COMPLEX(LDM2_DCR,B988*LDM2_L)),COMPLEX(0,B988*LDM2_CPA))))</f>
        <v>0</v>
      </c>
      <c r="J988">
        <f>IMSUM(IMDIV("1",COMPLEX(CX2_ESR,B988*CX2_ESL-1/(B988*CX2_C))),IMDIV("1",IMSUM(COMPLEX(DUMP2_R,0),COMPLEX(DUMP2_ESR,B988*DUMP2_ESL-1/(B988*DUMP2_C)))))</f>
        <v>0</v>
      </c>
      <c r="K988">
        <f>IMPRODUCT("2",IMDIV("1",IMSUM(IMDIV("1",COMPLEX(CMC_DCR,B988*CMC_L*(1-CMC_K))),COMPLEX(0,B988*CMC_CPA))))</f>
        <v>0</v>
      </c>
      <c r="L988">
        <f>IMSUM(COMPLEX(0,B988*CMC_CLINE),IMDIV("1",IMPRODUCT("2",COMPLEX(CY_ESR,B988*CY_ESL-1/(B988*CY_C)))),COMPLEX(1/DUMMY_R,0))</f>
        <v>0</v>
      </c>
      <c r="M988">
        <f>IMSUM(D988,IMDIV("1",C988))</f>
        <v>0</v>
      </c>
      <c r="N988">
        <f>IMDIV("1",IMSUM(E988,IMDIV("1",M988)))</f>
        <v>0</v>
      </c>
      <c r="O988">
        <f>IMSUM(F988,N988)</f>
        <v>0</v>
      </c>
      <c r="P988">
        <f>IMDIV("1",IMSUM(G988,IMDIV("1",O988)))</f>
        <v>0</v>
      </c>
      <c r="Q988">
        <f>IMSUM(H988,P988)</f>
        <v>0</v>
      </c>
      <c r="R988">
        <f>IMDIV("1",IMSUM(I988,IMDIV("1",Q988)))</f>
        <v>0</v>
      </c>
      <c r="S988">
        <f>IMSUM(J988,R988)</f>
        <v>0</v>
      </c>
      <c r="T988">
        <f>IMDIV("1",IMSUM(K988,IMDIV("1",S988)))</f>
        <v>0</v>
      </c>
      <c r="U988">
        <f>IMSUM(L988,T988)</f>
        <v>0</v>
      </c>
      <c r="V988">
        <f>IMDIV(COMPLEX(I_DM_SOURCE,0),U988)</f>
        <v>0</v>
      </c>
      <c r="W988">
        <f>IMPRODUCT(V988,T988)</f>
        <v>0</v>
      </c>
      <c r="X988">
        <f>IMDIV(W988,S988)</f>
        <v>0</v>
      </c>
      <c r="Y988">
        <f>IMPRODUCT(X988,R988)</f>
        <v>0</v>
      </c>
      <c r="Z988">
        <f>IMDIV(Y988,Q988)</f>
        <v>0</v>
      </c>
      <c r="AA988">
        <f>IMPRODUCT(Z988,P988)</f>
        <v>0</v>
      </c>
      <c r="AB988">
        <f>AA988</f>
        <v>0</v>
      </c>
      <c r="AC988">
        <f>IMPRODUCT("-1",AB988)</f>
        <v>0</v>
      </c>
      <c r="AD988">
        <f>IMDIV(IMSUB(AB988,AC988),"2")</f>
        <v>0</v>
      </c>
      <c r="AE988" s="6">
        <f>IMABS(AB988)</f>
        <v>0</v>
      </c>
      <c r="AF988" s="6">
        <f>IMABS(AC988)</f>
        <v>0</v>
      </c>
      <c r="AG988" s="6">
        <f>IMABS(AD988)</f>
        <v>0</v>
      </c>
      <c r="AH988" s="7">
        <f>20*LOG10(MAX(AE988,1E-300)*1E6)</f>
        <v>0</v>
      </c>
      <c r="AI988" s="7">
        <f>20*LOG10(MAX(AF988,1E-300)*1E6)</f>
        <v>0</v>
      </c>
      <c r="AJ988" s="7">
        <f>20*LOG10(MAX(AG988,1E-300)*1E6)</f>
        <v>0</v>
      </c>
      <c r="AK988" s="7">
        <f>DEGREES(IMARGUMENT(AB988))</f>
        <v>0</v>
      </c>
      <c r="AL988" s="7">
        <f>DEGREES(IMARGUMENT(AC988))</f>
        <v>0</v>
      </c>
      <c r="AM988" s="7">
        <f>DEGREES(IMARGUMENT(AD988))</f>
        <v>0</v>
      </c>
    </row>
    <row r="989" spans="1:39">
      <c r="A989" s="6">
        <f>10^(LOG10(F_START)+(ROW()-ROW($A$2))*(LOG10(F_STOP)-LOG10(F_START))/(N_POINTS-1))</f>
        <v>0</v>
      </c>
      <c r="B989" s="6">
        <f>2*PI()*A989</f>
        <v>0</v>
      </c>
      <c r="C989">
        <f>COMPLEX(2*LINE_PS_DCR,2*B989*LINE_PS_L)</f>
        <v>0</v>
      </c>
      <c r="D989">
        <f>IMSUM(COMPLEX(0,B989*(LINE_PS_CLINE+LINE_PS_CCHA/2)),IMDIV("1",IMPRODUCT("2",COMPLEX(C_THROUGH_ESR,B989*C_THROUGH_ESL-1/(B989*C_THROUGH_C)))))</f>
        <v>0</v>
      </c>
      <c r="E989">
        <f>COMPLEX(2*LINE_INPUT_DCR,2*B989*LINE_INPUT_L)</f>
        <v>0</v>
      </c>
      <c r="F989">
        <f>COMPLEX(0,B989*(LINE_INPUT_CLINE+LINE_INPUT_CCHA/2))</f>
        <v>0</v>
      </c>
      <c r="G989">
        <f>IMPRODUCT("2",IMDIV("1",IMSUM(IMDIV("1",COMPLEX(LDM1_DCR,B989*LDM1_L)),COMPLEX(0,B989*LDM1_CPA))))</f>
        <v>0</v>
      </c>
      <c r="H989">
        <f>IMSUM(IMDIV("1",COMPLEX(CX1_ESR,B989*CX1_ESL-1/(B989*CX1_C))),IMDIV("1",IMSUM(COMPLEX(DUMP1_R,0),COMPLEX(DUMP1_ESR,B989*DUMP1_ESL-1/(B989*DUMP1_C)))))</f>
        <v>0</v>
      </c>
      <c r="I989">
        <f>IMPRODUCT("2",IMDIV("1",IMSUM(IMDIV("1",COMPLEX(LDM2_DCR,B989*LDM2_L)),COMPLEX(0,B989*LDM2_CPA))))</f>
        <v>0</v>
      </c>
      <c r="J989">
        <f>IMSUM(IMDIV("1",COMPLEX(CX2_ESR,B989*CX2_ESL-1/(B989*CX2_C))),IMDIV("1",IMSUM(COMPLEX(DUMP2_R,0),COMPLEX(DUMP2_ESR,B989*DUMP2_ESL-1/(B989*DUMP2_C)))))</f>
        <v>0</v>
      </c>
      <c r="K989">
        <f>IMPRODUCT("2",IMDIV("1",IMSUM(IMDIV("1",COMPLEX(CMC_DCR,B989*CMC_L*(1-CMC_K))),COMPLEX(0,B989*CMC_CPA))))</f>
        <v>0</v>
      </c>
      <c r="L989">
        <f>IMSUM(COMPLEX(0,B989*CMC_CLINE),IMDIV("1",IMPRODUCT("2",COMPLEX(CY_ESR,B989*CY_ESL-1/(B989*CY_C)))),COMPLEX(1/DUMMY_R,0))</f>
        <v>0</v>
      </c>
      <c r="M989">
        <f>IMSUM(D989,IMDIV("1",C989))</f>
        <v>0</v>
      </c>
      <c r="N989">
        <f>IMDIV("1",IMSUM(E989,IMDIV("1",M989)))</f>
        <v>0</v>
      </c>
      <c r="O989">
        <f>IMSUM(F989,N989)</f>
        <v>0</v>
      </c>
      <c r="P989">
        <f>IMDIV("1",IMSUM(G989,IMDIV("1",O989)))</f>
        <v>0</v>
      </c>
      <c r="Q989">
        <f>IMSUM(H989,P989)</f>
        <v>0</v>
      </c>
      <c r="R989">
        <f>IMDIV("1",IMSUM(I989,IMDIV("1",Q989)))</f>
        <v>0</v>
      </c>
      <c r="S989">
        <f>IMSUM(J989,R989)</f>
        <v>0</v>
      </c>
      <c r="T989">
        <f>IMDIV("1",IMSUM(K989,IMDIV("1",S989)))</f>
        <v>0</v>
      </c>
      <c r="U989">
        <f>IMSUM(L989,T989)</f>
        <v>0</v>
      </c>
      <c r="V989">
        <f>IMDIV(COMPLEX(I_DM_SOURCE,0),U989)</f>
        <v>0</v>
      </c>
      <c r="W989">
        <f>IMPRODUCT(V989,T989)</f>
        <v>0</v>
      </c>
      <c r="X989">
        <f>IMDIV(W989,S989)</f>
        <v>0</v>
      </c>
      <c r="Y989">
        <f>IMPRODUCT(X989,R989)</f>
        <v>0</v>
      </c>
      <c r="Z989">
        <f>IMDIV(Y989,Q989)</f>
        <v>0</v>
      </c>
      <c r="AA989">
        <f>IMPRODUCT(Z989,P989)</f>
        <v>0</v>
      </c>
      <c r="AB989">
        <f>AA989</f>
        <v>0</v>
      </c>
      <c r="AC989">
        <f>IMPRODUCT("-1",AB989)</f>
        <v>0</v>
      </c>
      <c r="AD989">
        <f>IMDIV(IMSUB(AB989,AC989),"2")</f>
        <v>0</v>
      </c>
      <c r="AE989" s="6">
        <f>IMABS(AB989)</f>
        <v>0</v>
      </c>
      <c r="AF989" s="6">
        <f>IMABS(AC989)</f>
        <v>0</v>
      </c>
      <c r="AG989" s="6">
        <f>IMABS(AD989)</f>
        <v>0</v>
      </c>
      <c r="AH989" s="7">
        <f>20*LOG10(MAX(AE989,1E-300)*1E6)</f>
        <v>0</v>
      </c>
      <c r="AI989" s="7">
        <f>20*LOG10(MAX(AF989,1E-300)*1E6)</f>
        <v>0</v>
      </c>
      <c r="AJ989" s="7">
        <f>20*LOG10(MAX(AG989,1E-300)*1E6)</f>
        <v>0</v>
      </c>
      <c r="AK989" s="7">
        <f>DEGREES(IMARGUMENT(AB989))</f>
        <v>0</v>
      </c>
      <c r="AL989" s="7">
        <f>DEGREES(IMARGUMENT(AC989))</f>
        <v>0</v>
      </c>
      <c r="AM989" s="7">
        <f>DEGREES(IMARGUMENT(AD989))</f>
        <v>0</v>
      </c>
    </row>
    <row r="990" spans="1:39">
      <c r="A990" s="6">
        <f>10^(LOG10(F_START)+(ROW()-ROW($A$2))*(LOG10(F_STOP)-LOG10(F_START))/(N_POINTS-1))</f>
        <v>0</v>
      </c>
      <c r="B990" s="6">
        <f>2*PI()*A990</f>
        <v>0</v>
      </c>
      <c r="C990">
        <f>COMPLEX(2*LINE_PS_DCR,2*B990*LINE_PS_L)</f>
        <v>0</v>
      </c>
      <c r="D990">
        <f>IMSUM(COMPLEX(0,B990*(LINE_PS_CLINE+LINE_PS_CCHA/2)),IMDIV("1",IMPRODUCT("2",COMPLEX(C_THROUGH_ESR,B990*C_THROUGH_ESL-1/(B990*C_THROUGH_C)))))</f>
        <v>0</v>
      </c>
      <c r="E990">
        <f>COMPLEX(2*LINE_INPUT_DCR,2*B990*LINE_INPUT_L)</f>
        <v>0</v>
      </c>
      <c r="F990">
        <f>COMPLEX(0,B990*(LINE_INPUT_CLINE+LINE_INPUT_CCHA/2))</f>
        <v>0</v>
      </c>
      <c r="G990">
        <f>IMPRODUCT("2",IMDIV("1",IMSUM(IMDIV("1",COMPLEX(LDM1_DCR,B990*LDM1_L)),COMPLEX(0,B990*LDM1_CPA))))</f>
        <v>0</v>
      </c>
      <c r="H990">
        <f>IMSUM(IMDIV("1",COMPLEX(CX1_ESR,B990*CX1_ESL-1/(B990*CX1_C))),IMDIV("1",IMSUM(COMPLEX(DUMP1_R,0),COMPLEX(DUMP1_ESR,B990*DUMP1_ESL-1/(B990*DUMP1_C)))))</f>
        <v>0</v>
      </c>
      <c r="I990">
        <f>IMPRODUCT("2",IMDIV("1",IMSUM(IMDIV("1",COMPLEX(LDM2_DCR,B990*LDM2_L)),COMPLEX(0,B990*LDM2_CPA))))</f>
        <v>0</v>
      </c>
      <c r="J990">
        <f>IMSUM(IMDIV("1",COMPLEX(CX2_ESR,B990*CX2_ESL-1/(B990*CX2_C))),IMDIV("1",IMSUM(COMPLEX(DUMP2_R,0),COMPLEX(DUMP2_ESR,B990*DUMP2_ESL-1/(B990*DUMP2_C)))))</f>
        <v>0</v>
      </c>
      <c r="K990">
        <f>IMPRODUCT("2",IMDIV("1",IMSUM(IMDIV("1",COMPLEX(CMC_DCR,B990*CMC_L*(1-CMC_K))),COMPLEX(0,B990*CMC_CPA))))</f>
        <v>0</v>
      </c>
      <c r="L990">
        <f>IMSUM(COMPLEX(0,B990*CMC_CLINE),IMDIV("1",IMPRODUCT("2",COMPLEX(CY_ESR,B990*CY_ESL-1/(B990*CY_C)))),COMPLEX(1/DUMMY_R,0))</f>
        <v>0</v>
      </c>
      <c r="M990">
        <f>IMSUM(D990,IMDIV("1",C990))</f>
        <v>0</v>
      </c>
      <c r="N990">
        <f>IMDIV("1",IMSUM(E990,IMDIV("1",M990)))</f>
        <v>0</v>
      </c>
      <c r="O990">
        <f>IMSUM(F990,N990)</f>
        <v>0</v>
      </c>
      <c r="P990">
        <f>IMDIV("1",IMSUM(G990,IMDIV("1",O990)))</f>
        <v>0</v>
      </c>
      <c r="Q990">
        <f>IMSUM(H990,P990)</f>
        <v>0</v>
      </c>
      <c r="R990">
        <f>IMDIV("1",IMSUM(I990,IMDIV("1",Q990)))</f>
        <v>0</v>
      </c>
      <c r="S990">
        <f>IMSUM(J990,R990)</f>
        <v>0</v>
      </c>
      <c r="T990">
        <f>IMDIV("1",IMSUM(K990,IMDIV("1",S990)))</f>
        <v>0</v>
      </c>
      <c r="U990">
        <f>IMSUM(L990,T990)</f>
        <v>0</v>
      </c>
      <c r="V990">
        <f>IMDIV(COMPLEX(I_DM_SOURCE,0),U990)</f>
        <v>0</v>
      </c>
      <c r="W990">
        <f>IMPRODUCT(V990,T990)</f>
        <v>0</v>
      </c>
      <c r="X990">
        <f>IMDIV(W990,S990)</f>
        <v>0</v>
      </c>
      <c r="Y990">
        <f>IMPRODUCT(X990,R990)</f>
        <v>0</v>
      </c>
      <c r="Z990">
        <f>IMDIV(Y990,Q990)</f>
        <v>0</v>
      </c>
      <c r="AA990">
        <f>IMPRODUCT(Z990,P990)</f>
        <v>0</v>
      </c>
      <c r="AB990">
        <f>AA990</f>
        <v>0</v>
      </c>
      <c r="AC990">
        <f>IMPRODUCT("-1",AB990)</f>
        <v>0</v>
      </c>
      <c r="AD990">
        <f>IMDIV(IMSUB(AB990,AC990),"2")</f>
        <v>0</v>
      </c>
      <c r="AE990" s="6">
        <f>IMABS(AB990)</f>
        <v>0</v>
      </c>
      <c r="AF990" s="6">
        <f>IMABS(AC990)</f>
        <v>0</v>
      </c>
      <c r="AG990" s="6">
        <f>IMABS(AD990)</f>
        <v>0</v>
      </c>
      <c r="AH990" s="7">
        <f>20*LOG10(MAX(AE990,1E-300)*1E6)</f>
        <v>0</v>
      </c>
      <c r="AI990" s="7">
        <f>20*LOG10(MAX(AF990,1E-300)*1E6)</f>
        <v>0</v>
      </c>
      <c r="AJ990" s="7">
        <f>20*LOG10(MAX(AG990,1E-300)*1E6)</f>
        <v>0</v>
      </c>
      <c r="AK990" s="7">
        <f>DEGREES(IMARGUMENT(AB990))</f>
        <v>0</v>
      </c>
      <c r="AL990" s="7">
        <f>DEGREES(IMARGUMENT(AC990))</f>
        <v>0</v>
      </c>
      <c r="AM990" s="7">
        <f>DEGREES(IMARGUMENT(AD990))</f>
        <v>0</v>
      </c>
    </row>
    <row r="991" spans="1:39">
      <c r="A991" s="6">
        <f>10^(LOG10(F_START)+(ROW()-ROW($A$2))*(LOG10(F_STOP)-LOG10(F_START))/(N_POINTS-1))</f>
        <v>0</v>
      </c>
      <c r="B991" s="6">
        <f>2*PI()*A991</f>
        <v>0</v>
      </c>
      <c r="C991">
        <f>COMPLEX(2*LINE_PS_DCR,2*B991*LINE_PS_L)</f>
        <v>0</v>
      </c>
      <c r="D991">
        <f>IMSUM(COMPLEX(0,B991*(LINE_PS_CLINE+LINE_PS_CCHA/2)),IMDIV("1",IMPRODUCT("2",COMPLEX(C_THROUGH_ESR,B991*C_THROUGH_ESL-1/(B991*C_THROUGH_C)))))</f>
        <v>0</v>
      </c>
      <c r="E991">
        <f>COMPLEX(2*LINE_INPUT_DCR,2*B991*LINE_INPUT_L)</f>
        <v>0</v>
      </c>
      <c r="F991">
        <f>COMPLEX(0,B991*(LINE_INPUT_CLINE+LINE_INPUT_CCHA/2))</f>
        <v>0</v>
      </c>
      <c r="G991">
        <f>IMPRODUCT("2",IMDIV("1",IMSUM(IMDIV("1",COMPLEX(LDM1_DCR,B991*LDM1_L)),COMPLEX(0,B991*LDM1_CPA))))</f>
        <v>0</v>
      </c>
      <c r="H991">
        <f>IMSUM(IMDIV("1",COMPLEX(CX1_ESR,B991*CX1_ESL-1/(B991*CX1_C))),IMDIV("1",IMSUM(COMPLEX(DUMP1_R,0),COMPLEX(DUMP1_ESR,B991*DUMP1_ESL-1/(B991*DUMP1_C)))))</f>
        <v>0</v>
      </c>
      <c r="I991">
        <f>IMPRODUCT("2",IMDIV("1",IMSUM(IMDIV("1",COMPLEX(LDM2_DCR,B991*LDM2_L)),COMPLEX(0,B991*LDM2_CPA))))</f>
        <v>0</v>
      </c>
      <c r="J991">
        <f>IMSUM(IMDIV("1",COMPLEX(CX2_ESR,B991*CX2_ESL-1/(B991*CX2_C))),IMDIV("1",IMSUM(COMPLEX(DUMP2_R,0),COMPLEX(DUMP2_ESR,B991*DUMP2_ESL-1/(B991*DUMP2_C)))))</f>
        <v>0</v>
      </c>
      <c r="K991">
        <f>IMPRODUCT("2",IMDIV("1",IMSUM(IMDIV("1",COMPLEX(CMC_DCR,B991*CMC_L*(1-CMC_K))),COMPLEX(0,B991*CMC_CPA))))</f>
        <v>0</v>
      </c>
      <c r="L991">
        <f>IMSUM(COMPLEX(0,B991*CMC_CLINE),IMDIV("1",IMPRODUCT("2",COMPLEX(CY_ESR,B991*CY_ESL-1/(B991*CY_C)))),COMPLEX(1/DUMMY_R,0))</f>
        <v>0</v>
      </c>
      <c r="M991">
        <f>IMSUM(D991,IMDIV("1",C991))</f>
        <v>0</v>
      </c>
      <c r="N991">
        <f>IMDIV("1",IMSUM(E991,IMDIV("1",M991)))</f>
        <v>0</v>
      </c>
      <c r="O991">
        <f>IMSUM(F991,N991)</f>
        <v>0</v>
      </c>
      <c r="P991">
        <f>IMDIV("1",IMSUM(G991,IMDIV("1",O991)))</f>
        <v>0</v>
      </c>
      <c r="Q991">
        <f>IMSUM(H991,P991)</f>
        <v>0</v>
      </c>
      <c r="R991">
        <f>IMDIV("1",IMSUM(I991,IMDIV("1",Q991)))</f>
        <v>0</v>
      </c>
      <c r="S991">
        <f>IMSUM(J991,R991)</f>
        <v>0</v>
      </c>
      <c r="T991">
        <f>IMDIV("1",IMSUM(K991,IMDIV("1",S991)))</f>
        <v>0</v>
      </c>
      <c r="U991">
        <f>IMSUM(L991,T991)</f>
        <v>0</v>
      </c>
      <c r="V991">
        <f>IMDIV(COMPLEX(I_DM_SOURCE,0),U991)</f>
        <v>0</v>
      </c>
      <c r="W991">
        <f>IMPRODUCT(V991,T991)</f>
        <v>0</v>
      </c>
      <c r="X991">
        <f>IMDIV(W991,S991)</f>
        <v>0</v>
      </c>
      <c r="Y991">
        <f>IMPRODUCT(X991,R991)</f>
        <v>0</v>
      </c>
      <c r="Z991">
        <f>IMDIV(Y991,Q991)</f>
        <v>0</v>
      </c>
      <c r="AA991">
        <f>IMPRODUCT(Z991,P991)</f>
        <v>0</v>
      </c>
      <c r="AB991">
        <f>AA991</f>
        <v>0</v>
      </c>
      <c r="AC991">
        <f>IMPRODUCT("-1",AB991)</f>
        <v>0</v>
      </c>
      <c r="AD991">
        <f>IMDIV(IMSUB(AB991,AC991),"2")</f>
        <v>0</v>
      </c>
      <c r="AE991" s="6">
        <f>IMABS(AB991)</f>
        <v>0</v>
      </c>
      <c r="AF991" s="6">
        <f>IMABS(AC991)</f>
        <v>0</v>
      </c>
      <c r="AG991" s="6">
        <f>IMABS(AD991)</f>
        <v>0</v>
      </c>
      <c r="AH991" s="7">
        <f>20*LOG10(MAX(AE991,1E-300)*1E6)</f>
        <v>0</v>
      </c>
      <c r="AI991" s="7">
        <f>20*LOG10(MAX(AF991,1E-300)*1E6)</f>
        <v>0</v>
      </c>
      <c r="AJ991" s="7">
        <f>20*LOG10(MAX(AG991,1E-300)*1E6)</f>
        <v>0</v>
      </c>
      <c r="AK991" s="7">
        <f>DEGREES(IMARGUMENT(AB991))</f>
        <v>0</v>
      </c>
      <c r="AL991" s="7">
        <f>DEGREES(IMARGUMENT(AC991))</f>
        <v>0</v>
      </c>
      <c r="AM991" s="7">
        <f>DEGREES(IMARGUMENT(AD991))</f>
        <v>0</v>
      </c>
    </row>
    <row r="992" spans="1:39">
      <c r="A992" s="6">
        <f>10^(LOG10(F_START)+(ROW()-ROW($A$2))*(LOG10(F_STOP)-LOG10(F_START))/(N_POINTS-1))</f>
        <v>0</v>
      </c>
      <c r="B992" s="6">
        <f>2*PI()*A992</f>
        <v>0</v>
      </c>
      <c r="C992">
        <f>COMPLEX(2*LINE_PS_DCR,2*B992*LINE_PS_L)</f>
        <v>0</v>
      </c>
      <c r="D992">
        <f>IMSUM(COMPLEX(0,B992*(LINE_PS_CLINE+LINE_PS_CCHA/2)),IMDIV("1",IMPRODUCT("2",COMPLEX(C_THROUGH_ESR,B992*C_THROUGH_ESL-1/(B992*C_THROUGH_C)))))</f>
        <v>0</v>
      </c>
      <c r="E992">
        <f>COMPLEX(2*LINE_INPUT_DCR,2*B992*LINE_INPUT_L)</f>
        <v>0</v>
      </c>
      <c r="F992">
        <f>COMPLEX(0,B992*(LINE_INPUT_CLINE+LINE_INPUT_CCHA/2))</f>
        <v>0</v>
      </c>
      <c r="G992">
        <f>IMPRODUCT("2",IMDIV("1",IMSUM(IMDIV("1",COMPLEX(LDM1_DCR,B992*LDM1_L)),COMPLEX(0,B992*LDM1_CPA))))</f>
        <v>0</v>
      </c>
      <c r="H992">
        <f>IMSUM(IMDIV("1",COMPLEX(CX1_ESR,B992*CX1_ESL-1/(B992*CX1_C))),IMDIV("1",IMSUM(COMPLEX(DUMP1_R,0),COMPLEX(DUMP1_ESR,B992*DUMP1_ESL-1/(B992*DUMP1_C)))))</f>
        <v>0</v>
      </c>
      <c r="I992">
        <f>IMPRODUCT("2",IMDIV("1",IMSUM(IMDIV("1",COMPLEX(LDM2_DCR,B992*LDM2_L)),COMPLEX(0,B992*LDM2_CPA))))</f>
        <v>0</v>
      </c>
      <c r="J992">
        <f>IMSUM(IMDIV("1",COMPLEX(CX2_ESR,B992*CX2_ESL-1/(B992*CX2_C))),IMDIV("1",IMSUM(COMPLEX(DUMP2_R,0),COMPLEX(DUMP2_ESR,B992*DUMP2_ESL-1/(B992*DUMP2_C)))))</f>
        <v>0</v>
      </c>
      <c r="K992">
        <f>IMPRODUCT("2",IMDIV("1",IMSUM(IMDIV("1",COMPLEX(CMC_DCR,B992*CMC_L*(1-CMC_K))),COMPLEX(0,B992*CMC_CPA))))</f>
        <v>0</v>
      </c>
      <c r="L992">
        <f>IMSUM(COMPLEX(0,B992*CMC_CLINE),IMDIV("1",IMPRODUCT("2",COMPLEX(CY_ESR,B992*CY_ESL-1/(B992*CY_C)))),COMPLEX(1/DUMMY_R,0))</f>
        <v>0</v>
      </c>
      <c r="M992">
        <f>IMSUM(D992,IMDIV("1",C992))</f>
        <v>0</v>
      </c>
      <c r="N992">
        <f>IMDIV("1",IMSUM(E992,IMDIV("1",M992)))</f>
        <v>0</v>
      </c>
      <c r="O992">
        <f>IMSUM(F992,N992)</f>
        <v>0</v>
      </c>
      <c r="P992">
        <f>IMDIV("1",IMSUM(G992,IMDIV("1",O992)))</f>
        <v>0</v>
      </c>
      <c r="Q992">
        <f>IMSUM(H992,P992)</f>
        <v>0</v>
      </c>
      <c r="R992">
        <f>IMDIV("1",IMSUM(I992,IMDIV("1",Q992)))</f>
        <v>0</v>
      </c>
      <c r="S992">
        <f>IMSUM(J992,R992)</f>
        <v>0</v>
      </c>
      <c r="T992">
        <f>IMDIV("1",IMSUM(K992,IMDIV("1",S992)))</f>
        <v>0</v>
      </c>
      <c r="U992">
        <f>IMSUM(L992,T992)</f>
        <v>0</v>
      </c>
      <c r="V992">
        <f>IMDIV(COMPLEX(I_DM_SOURCE,0),U992)</f>
        <v>0</v>
      </c>
      <c r="W992">
        <f>IMPRODUCT(V992,T992)</f>
        <v>0</v>
      </c>
      <c r="X992">
        <f>IMDIV(W992,S992)</f>
        <v>0</v>
      </c>
      <c r="Y992">
        <f>IMPRODUCT(X992,R992)</f>
        <v>0</v>
      </c>
      <c r="Z992">
        <f>IMDIV(Y992,Q992)</f>
        <v>0</v>
      </c>
      <c r="AA992">
        <f>IMPRODUCT(Z992,P992)</f>
        <v>0</v>
      </c>
      <c r="AB992">
        <f>AA992</f>
        <v>0</v>
      </c>
      <c r="AC992">
        <f>IMPRODUCT("-1",AB992)</f>
        <v>0</v>
      </c>
      <c r="AD992">
        <f>IMDIV(IMSUB(AB992,AC992),"2")</f>
        <v>0</v>
      </c>
      <c r="AE992" s="6">
        <f>IMABS(AB992)</f>
        <v>0</v>
      </c>
      <c r="AF992" s="6">
        <f>IMABS(AC992)</f>
        <v>0</v>
      </c>
      <c r="AG992" s="6">
        <f>IMABS(AD992)</f>
        <v>0</v>
      </c>
      <c r="AH992" s="7">
        <f>20*LOG10(MAX(AE992,1E-300)*1E6)</f>
        <v>0</v>
      </c>
      <c r="AI992" s="7">
        <f>20*LOG10(MAX(AF992,1E-300)*1E6)</f>
        <v>0</v>
      </c>
      <c r="AJ992" s="7">
        <f>20*LOG10(MAX(AG992,1E-300)*1E6)</f>
        <v>0</v>
      </c>
      <c r="AK992" s="7">
        <f>DEGREES(IMARGUMENT(AB992))</f>
        <v>0</v>
      </c>
      <c r="AL992" s="7">
        <f>DEGREES(IMARGUMENT(AC992))</f>
        <v>0</v>
      </c>
      <c r="AM992" s="7">
        <f>DEGREES(IMARGUMENT(AD992))</f>
        <v>0</v>
      </c>
    </row>
    <row r="993" spans="1:39">
      <c r="A993" s="6">
        <f>10^(LOG10(F_START)+(ROW()-ROW($A$2))*(LOG10(F_STOP)-LOG10(F_START))/(N_POINTS-1))</f>
        <v>0</v>
      </c>
      <c r="B993" s="6">
        <f>2*PI()*A993</f>
        <v>0</v>
      </c>
      <c r="C993">
        <f>COMPLEX(2*LINE_PS_DCR,2*B993*LINE_PS_L)</f>
        <v>0</v>
      </c>
      <c r="D993">
        <f>IMSUM(COMPLEX(0,B993*(LINE_PS_CLINE+LINE_PS_CCHA/2)),IMDIV("1",IMPRODUCT("2",COMPLEX(C_THROUGH_ESR,B993*C_THROUGH_ESL-1/(B993*C_THROUGH_C)))))</f>
        <v>0</v>
      </c>
      <c r="E993">
        <f>COMPLEX(2*LINE_INPUT_DCR,2*B993*LINE_INPUT_L)</f>
        <v>0</v>
      </c>
      <c r="F993">
        <f>COMPLEX(0,B993*(LINE_INPUT_CLINE+LINE_INPUT_CCHA/2))</f>
        <v>0</v>
      </c>
      <c r="G993">
        <f>IMPRODUCT("2",IMDIV("1",IMSUM(IMDIV("1",COMPLEX(LDM1_DCR,B993*LDM1_L)),COMPLEX(0,B993*LDM1_CPA))))</f>
        <v>0</v>
      </c>
      <c r="H993">
        <f>IMSUM(IMDIV("1",COMPLEX(CX1_ESR,B993*CX1_ESL-1/(B993*CX1_C))),IMDIV("1",IMSUM(COMPLEX(DUMP1_R,0),COMPLEX(DUMP1_ESR,B993*DUMP1_ESL-1/(B993*DUMP1_C)))))</f>
        <v>0</v>
      </c>
      <c r="I993">
        <f>IMPRODUCT("2",IMDIV("1",IMSUM(IMDIV("1",COMPLEX(LDM2_DCR,B993*LDM2_L)),COMPLEX(0,B993*LDM2_CPA))))</f>
        <v>0</v>
      </c>
      <c r="J993">
        <f>IMSUM(IMDIV("1",COMPLEX(CX2_ESR,B993*CX2_ESL-1/(B993*CX2_C))),IMDIV("1",IMSUM(COMPLEX(DUMP2_R,0),COMPLEX(DUMP2_ESR,B993*DUMP2_ESL-1/(B993*DUMP2_C)))))</f>
        <v>0</v>
      </c>
      <c r="K993">
        <f>IMPRODUCT("2",IMDIV("1",IMSUM(IMDIV("1",COMPLEX(CMC_DCR,B993*CMC_L*(1-CMC_K))),COMPLEX(0,B993*CMC_CPA))))</f>
        <v>0</v>
      </c>
      <c r="L993">
        <f>IMSUM(COMPLEX(0,B993*CMC_CLINE),IMDIV("1",IMPRODUCT("2",COMPLEX(CY_ESR,B993*CY_ESL-1/(B993*CY_C)))),COMPLEX(1/DUMMY_R,0))</f>
        <v>0</v>
      </c>
      <c r="M993">
        <f>IMSUM(D993,IMDIV("1",C993))</f>
        <v>0</v>
      </c>
      <c r="N993">
        <f>IMDIV("1",IMSUM(E993,IMDIV("1",M993)))</f>
        <v>0</v>
      </c>
      <c r="O993">
        <f>IMSUM(F993,N993)</f>
        <v>0</v>
      </c>
      <c r="P993">
        <f>IMDIV("1",IMSUM(G993,IMDIV("1",O993)))</f>
        <v>0</v>
      </c>
      <c r="Q993">
        <f>IMSUM(H993,P993)</f>
        <v>0</v>
      </c>
      <c r="R993">
        <f>IMDIV("1",IMSUM(I993,IMDIV("1",Q993)))</f>
        <v>0</v>
      </c>
      <c r="S993">
        <f>IMSUM(J993,R993)</f>
        <v>0</v>
      </c>
      <c r="T993">
        <f>IMDIV("1",IMSUM(K993,IMDIV("1",S993)))</f>
        <v>0</v>
      </c>
      <c r="U993">
        <f>IMSUM(L993,T993)</f>
        <v>0</v>
      </c>
      <c r="V993">
        <f>IMDIV(COMPLEX(I_DM_SOURCE,0),U993)</f>
        <v>0</v>
      </c>
      <c r="W993">
        <f>IMPRODUCT(V993,T993)</f>
        <v>0</v>
      </c>
      <c r="X993">
        <f>IMDIV(W993,S993)</f>
        <v>0</v>
      </c>
      <c r="Y993">
        <f>IMPRODUCT(X993,R993)</f>
        <v>0</v>
      </c>
      <c r="Z993">
        <f>IMDIV(Y993,Q993)</f>
        <v>0</v>
      </c>
      <c r="AA993">
        <f>IMPRODUCT(Z993,P993)</f>
        <v>0</v>
      </c>
      <c r="AB993">
        <f>AA993</f>
        <v>0</v>
      </c>
      <c r="AC993">
        <f>IMPRODUCT("-1",AB993)</f>
        <v>0</v>
      </c>
      <c r="AD993">
        <f>IMDIV(IMSUB(AB993,AC993),"2")</f>
        <v>0</v>
      </c>
      <c r="AE993" s="6">
        <f>IMABS(AB993)</f>
        <v>0</v>
      </c>
      <c r="AF993" s="6">
        <f>IMABS(AC993)</f>
        <v>0</v>
      </c>
      <c r="AG993" s="6">
        <f>IMABS(AD993)</f>
        <v>0</v>
      </c>
      <c r="AH993" s="7">
        <f>20*LOG10(MAX(AE993,1E-300)*1E6)</f>
        <v>0</v>
      </c>
      <c r="AI993" s="7">
        <f>20*LOG10(MAX(AF993,1E-300)*1E6)</f>
        <v>0</v>
      </c>
      <c r="AJ993" s="7">
        <f>20*LOG10(MAX(AG993,1E-300)*1E6)</f>
        <v>0</v>
      </c>
      <c r="AK993" s="7">
        <f>DEGREES(IMARGUMENT(AB993))</f>
        <v>0</v>
      </c>
      <c r="AL993" s="7">
        <f>DEGREES(IMARGUMENT(AC993))</f>
        <v>0</v>
      </c>
      <c r="AM993" s="7">
        <f>DEGREES(IMARGUMENT(AD993))</f>
        <v>0</v>
      </c>
    </row>
    <row r="994" spans="1:39">
      <c r="A994" s="6">
        <f>10^(LOG10(F_START)+(ROW()-ROW($A$2))*(LOG10(F_STOP)-LOG10(F_START))/(N_POINTS-1))</f>
        <v>0</v>
      </c>
      <c r="B994" s="6">
        <f>2*PI()*A994</f>
        <v>0</v>
      </c>
      <c r="C994">
        <f>COMPLEX(2*LINE_PS_DCR,2*B994*LINE_PS_L)</f>
        <v>0</v>
      </c>
      <c r="D994">
        <f>IMSUM(COMPLEX(0,B994*(LINE_PS_CLINE+LINE_PS_CCHA/2)),IMDIV("1",IMPRODUCT("2",COMPLEX(C_THROUGH_ESR,B994*C_THROUGH_ESL-1/(B994*C_THROUGH_C)))))</f>
        <v>0</v>
      </c>
      <c r="E994">
        <f>COMPLEX(2*LINE_INPUT_DCR,2*B994*LINE_INPUT_L)</f>
        <v>0</v>
      </c>
      <c r="F994">
        <f>COMPLEX(0,B994*(LINE_INPUT_CLINE+LINE_INPUT_CCHA/2))</f>
        <v>0</v>
      </c>
      <c r="G994">
        <f>IMPRODUCT("2",IMDIV("1",IMSUM(IMDIV("1",COMPLEX(LDM1_DCR,B994*LDM1_L)),COMPLEX(0,B994*LDM1_CPA))))</f>
        <v>0</v>
      </c>
      <c r="H994">
        <f>IMSUM(IMDIV("1",COMPLEX(CX1_ESR,B994*CX1_ESL-1/(B994*CX1_C))),IMDIV("1",IMSUM(COMPLEX(DUMP1_R,0),COMPLEX(DUMP1_ESR,B994*DUMP1_ESL-1/(B994*DUMP1_C)))))</f>
        <v>0</v>
      </c>
      <c r="I994">
        <f>IMPRODUCT("2",IMDIV("1",IMSUM(IMDIV("1",COMPLEX(LDM2_DCR,B994*LDM2_L)),COMPLEX(0,B994*LDM2_CPA))))</f>
        <v>0</v>
      </c>
      <c r="J994">
        <f>IMSUM(IMDIV("1",COMPLEX(CX2_ESR,B994*CX2_ESL-1/(B994*CX2_C))),IMDIV("1",IMSUM(COMPLEX(DUMP2_R,0),COMPLEX(DUMP2_ESR,B994*DUMP2_ESL-1/(B994*DUMP2_C)))))</f>
        <v>0</v>
      </c>
      <c r="K994">
        <f>IMPRODUCT("2",IMDIV("1",IMSUM(IMDIV("1",COMPLEX(CMC_DCR,B994*CMC_L*(1-CMC_K))),COMPLEX(0,B994*CMC_CPA))))</f>
        <v>0</v>
      </c>
      <c r="L994">
        <f>IMSUM(COMPLEX(0,B994*CMC_CLINE),IMDIV("1",IMPRODUCT("2",COMPLEX(CY_ESR,B994*CY_ESL-1/(B994*CY_C)))),COMPLEX(1/DUMMY_R,0))</f>
        <v>0</v>
      </c>
      <c r="M994">
        <f>IMSUM(D994,IMDIV("1",C994))</f>
        <v>0</v>
      </c>
      <c r="N994">
        <f>IMDIV("1",IMSUM(E994,IMDIV("1",M994)))</f>
        <v>0</v>
      </c>
      <c r="O994">
        <f>IMSUM(F994,N994)</f>
        <v>0</v>
      </c>
      <c r="P994">
        <f>IMDIV("1",IMSUM(G994,IMDIV("1",O994)))</f>
        <v>0</v>
      </c>
      <c r="Q994">
        <f>IMSUM(H994,P994)</f>
        <v>0</v>
      </c>
      <c r="R994">
        <f>IMDIV("1",IMSUM(I994,IMDIV("1",Q994)))</f>
        <v>0</v>
      </c>
      <c r="S994">
        <f>IMSUM(J994,R994)</f>
        <v>0</v>
      </c>
      <c r="T994">
        <f>IMDIV("1",IMSUM(K994,IMDIV("1",S994)))</f>
        <v>0</v>
      </c>
      <c r="U994">
        <f>IMSUM(L994,T994)</f>
        <v>0</v>
      </c>
      <c r="V994">
        <f>IMDIV(COMPLEX(I_DM_SOURCE,0),U994)</f>
        <v>0</v>
      </c>
      <c r="W994">
        <f>IMPRODUCT(V994,T994)</f>
        <v>0</v>
      </c>
      <c r="X994">
        <f>IMDIV(W994,S994)</f>
        <v>0</v>
      </c>
      <c r="Y994">
        <f>IMPRODUCT(X994,R994)</f>
        <v>0</v>
      </c>
      <c r="Z994">
        <f>IMDIV(Y994,Q994)</f>
        <v>0</v>
      </c>
      <c r="AA994">
        <f>IMPRODUCT(Z994,P994)</f>
        <v>0</v>
      </c>
      <c r="AB994">
        <f>AA994</f>
        <v>0</v>
      </c>
      <c r="AC994">
        <f>IMPRODUCT("-1",AB994)</f>
        <v>0</v>
      </c>
      <c r="AD994">
        <f>IMDIV(IMSUB(AB994,AC994),"2")</f>
        <v>0</v>
      </c>
      <c r="AE994" s="6">
        <f>IMABS(AB994)</f>
        <v>0</v>
      </c>
      <c r="AF994" s="6">
        <f>IMABS(AC994)</f>
        <v>0</v>
      </c>
      <c r="AG994" s="6">
        <f>IMABS(AD994)</f>
        <v>0</v>
      </c>
      <c r="AH994" s="7">
        <f>20*LOG10(MAX(AE994,1E-300)*1E6)</f>
        <v>0</v>
      </c>
      <c r="AI994" s="7">
        <f>20*LOG10(MAX(AF994,1E-300)*1E6)</f>
        <v>0</v>
      </c>
      <c r="AJ994" s="7">
        <f>20*LOG10(MAX(AG994,1E-300)*1E6)</f>
        <v>0</v>
      </c>
      <c r="AK994" s="7">
        <f>DEGREES(IMARGUMENT(AB994))</f>
        <v>0</v>
      </c>
      <c r="AL994" s="7">
        <f>DEGREES(IMARGUMENT(AC994))</f>
        <v>0</v>
      </c>
      <c r="AM994" s="7">
        <f>DEGREES(IMARGUMENT(AD994))</f>
        <v>0</v>
      </c>
    </row>
    <row r="995" spans="1:39">
      <c r="A995" s="6">
        <f>10^(LOG10(F_START)+(ROW()-ROW($A$2))*(LOG10(F_STOP)-LOG10(F_START))/(N_POINTS-1))</f>
        <v>0</v>
      </c>
      <c r="B995" s="6">
        <f>2*PI()*A995</f>
        <v>0</v>
      </c>
      <c r="C995">
        <f>COMPLEX(2*LINE_PS_DCR,2*B995*LINE_PS_L)</f>
        <v>0</v>
      </c>
      <c r="D995">
        <f>IMSUM(COMPLEX(0,B995*(LINE_PS_CLINE+LINE_PS_CCHA/2)),IMDIV("1",IMPRODUCT("2",COMPLEX(C_THROUGH_ESR,B995*C_THROUGH_ESL-1/(B995*C_THROUGH_C)))))</f>
        <v>0</v>
      </c>
      <c r="E995">
        <f>COMPLEX(2*LINE_INPUT_DCR,2*B995*LINE_INPUT_L)</f>
        <v>0</v>
      </c>
      <c r="F995">
        <f>COMPLEX(0,B995*(LINE_INPUT_CLINE+LINE_INPUT_CCHA/2))</f>
        <v>0</v>
      </c>
      <c r="G995">
        <f>IMPRODUCT("2",IMDIV("1",IMSUM(IMDIV("1",COMPLEX(LDM1_DCR,B995*LDM1_L)),COMPLEX(0,B995*LDM1_CPA))))</f>
        <v>0</v>
      </c>
      <c r="H995">
        <f>IMSUM(IMDIV("1",COMPLEX(CX1_ESR,B995*CX1_ESL-1/(B995*CX1_C))),IMDIV("1",IMSUM(COMPLEX(DUMP1_R,0),COMPLEX(DUMP1_ESR,B995*DUMP1_ESL-1/(B995*DUMP1_C)))))</f>
        <v>0</v>
      </c>
      <c r="I995">
        <f>IMPRODUCT("2",IMDIV("1",IMSUM(IMDIV("1",COMPLEX(LDM2_DCR,B995*LDM2_L)),COMPLEX(0,B995*LDM2_CPA))))</f>
        <v>0</v>
      </c>
      <c r="J995">
        <f>IMSUM(IMDIV("1",COMPLEX(CX2_ESR,B995*CX2_ESL-1/(B995*CX2_C))),IMDIV("1",IMSUM(COMPLEX(DUMP2_R,0),COMPLEX(DUMP2_ESR,B995*DUMP2_ESL-1/(B995*DUMP2_C)))))</f>
        <v>0</v>
      </c>
      <c r="K995">
        <f>IMPRODUCT("2",IMDIV("1",IMSUM(IMDIV("1",COMPLEX(CMC_DCR,B995*CMC_L*(1-CMC_K))),COMPLEX(0,B995*CMC_CPA))))</f>
        <v>0</v>
      </c>
      <c r="L995">
        <f>IMSUM(COMPLEX(0,B995*CMC_CLINE),IMDIV("1",IMPRODUCT("2",COMPLEX(CY_ESR,B995*CY_ESL-1/(B995*CY_C)))),COMPLEX(1/DUMMY_R,0))</f>
        <v>0</v>
      </c>
      <c r="M995">
        <f>IMSUM(D995,IMDIV("1",C995))</f>
        <v>0</v>
      </c>
      <c r="N995">
        <f>IMDIV("1",IMSUM(E995,IMDIV("1",M995)))</f>
        <v>0</v>
      </c>
      <c r="O995">
        <f>IMSUM(F995,N995)</f>
        <v>0</v>
      </c>
      <c r="P995">
        <f>IMDIV("1",IMSUM(G995,IMDIV("1",O995)))</f>
        <v>0</v>
      </c>
      <c r="Q995">
        <f>IMSUM(H995,P995)</f>
        <v>0</v>
      </c>
      <c r="R995">
        <f>IMDIV("1",IMSUM(I995,IMDIV("1",Q995)))</f>
        <v>0</v>
      </c>
      <c r="S995">
        <f>IMSUM(J995,R995)</f>
        <v>0</v>
      </c>
      <c r="T995">
        <f>IMDIV("1",IMSUM(K995,IMDIV("1",S995)))</f>
        <v>0</v>
      </c>
      <c r="U995">
        <f>IMSUM(L995,T995)</f>
        <v>0</v>
      </c>
      <c r="V995">
        <f>IMDIV(COMPLEX(I_DM_SOURCE,0),U995)</f>
        <v>0</v>
      </c>
      <c r="W995">
        <f>IMPRODUCT(V995,T995)</f>
        <v>0</v>
      </c>
      <c r="X995">
        <f>IMDIV(W995,S995)</f>
        <v>0</v>
      </c>
      <c r="Y995">
        <f>IMPRODUCT(X995,R995)</f>
        <v>0</v>
      </c>
      <c r="Z995">
        <f>IMDIV(Y995,Q995)</f>
        <v>0</v>
      </c>
      <c r="AA995">
        <f>IMPRODUCT(Z995,P995)</f>
        <v>0</v>
      </c>
      <c r="AB995">
        <f>AA995</f>
        <v>0</v>
      </c>
      <c r="AC995">
        <f>IMPRODUCT("-1",AB995)</f>
        <v>0</v>
      </c>
      <c r="AD995">
        <f>IMDIV(IMSUB(AB995,AC995),"2")</f>
        <v>0</v>
      </c>
      <c r="AE995" s="6">
        <f>IMABS(AB995)</f>
        <v>0</v>
      </c>
      <c r="AF995" s="6">
        <f>IMABS(AC995)</f>
        <v>0</v>
      </c>
      <c r="AG995" s="6">
        <f>IMABS(AD995)</f>
        <v>0</v>
      </c>
      <c r="AH995" s="7">
        <f>20*LOG10(MAX(AE995,1E-300)*1E6)</f>
        <v>0</v>
      </c>
      <c r="AI995" s="7">
        <f>20*LOG10(MAX(AF995,1E-300)*1E6)</f>
        <v>0</v>
      </c>
      <c r="AJ995" s="7">
        <f>20*LOG10(MAX(AG995,1E-300)*1E6)</f>
        <v>0</v>
      </c>
      <c r="AK995" s="7">
        <f>DEGREES(IMARGUMENT(AB995))</f>
        <v>0</v>
      </c>
      <c r="AL995" s="7">
        <f>DEGREES(IMARGUMENT(AC995))</f>
        <v>0</v>
      </c>
      <c r="AM995" s="7">
        <f>DEGREES(IMARGUMENT(AD995))</f>
        <v>0</v>
      </c>
    </row>
    <row r="996" spans="1:39">
      <c r="A996" s="6">
        <f>10^(LOG10(F_START)+(ROW()-ROW($A$2))*(LOG10(F_STOP)-LOG10(F_START))/(N_POINTS-1))</f>
        <v>0</v>
      </c>
      <c r="B996" s="6">
        <f>2*PI()*A996</f>
        <v>0</v>
      </c>
      <c r="C996">
        <f>COMPLEX(2*LINE_PS_DCR,2*B996*LINE_PS_L)</f>
        <v>0</v>
      </c>
      <c r="D996">
        <f>IMSUM(COMPLEX(0,B996*(LINE_PS_CLINE+LINE_PS_CCHA/2)),IMDIV("1",IMPRODUCT("2",COMPLEX(C_THROUGH_ESR,B996*C_THROUGH_ESL-1/(B996*C_THROUGH_C)))))</f>
        <v>0</v>
      </c>
      <c r="E996">
        <f>COMPLEX(2*LINE_INPUT_DCR,2*B996*LINE_INPUT_L)</f>
        <v>0</v>
      </c>
      <c r="F996">
        <f>COMPLEX(0,B996*(LINE_INPUT_CLINE+LINE_INPUT_CCHA/2))</f>
        <v>0</v>
      </c>
      <c r="G996">
        <f>IMPRODUCT("2",IMDIV("1",IMSUM(IMDIV("1",COMPLEX(LDM1_DCR,B996*LDM1_L)),COMPLEX(0,B996*LDM1_CPA))))</f>
        <v>0</v>
      </c>
      <c r="H996">
        <f>IMSUM(IMDIV("1",COMPLEX(CX1_ESR,B996*CX1_ESL-1/(B996*CX1_C))),IMDIV("1",IMSUM(COMPLEX(DUMP1_R,0),COMPLEX(DUMP1_ESR,B996*DUMP1_ESL-1/(B996*DUMP1_C)))))</f>
        <v>0</v>
      </c>
      <c r="I996">
        <f>IMPRODUCT("2",IMDIV("1",IMSUM(IMDIV("1",COMPLEX(LDM2_DCR,B996*LDM2_L)),COMPLEX(0,B996*LDM2_CPA))))</f>
        <v>0</v>
      </c>
      <c r="J996">
        <f>IMSUM(IMDIV("1",COMPLEX(CX2_ESR,B996*CX2_ESL-1/(B996*CX2_C))),IMDIV("1",IMSUM(COMPLEX(DUMP2_R,0),COMPLEX(DUMP2_ESR,B996*DUMP2_ESL-1/(B996*DUMP2_C)))))</f>
        <v>0</v>
      </c>
      <c r="K996">
        <f>IMPRODUCT("2",IMDIV("1",IMSUM(IMDIV("1",COMPLEX(CMC_DCR,B996*CMC_L*(1-CMC_K))),COMPLEX(0,B996*CMC_CPA))))</f>
        <v>0</v>
      </c>
      <c r="L996">
        <f>IMSUM(COMPLEX(0,B996*CMC_CLINE),IMDIV("1",IMPRODUCT("2",COMPLEX(CY_ESR,B996*CY_ESL-1/(B996*CY_C)))),COMPLEX(1/DUMMY_R,0))</f>
        <v>0</v>
      </c>
      <c r="M996">
        <f>IMSUM(D996,IMDIV("1",C996))</f>
        <v>0</v>
      </c>
      <c r="N996">
        <f>IMDIV("1",IMSUM(E996,IMDIV("1",M996)))</f>
        <v>0</v>
      </c>
      <c r="O996">
        <f>IMSUM(F996,N996)</f>
        <v>0</v>
      </c>
      <c r="P996">
        <f>IMDIV("1",IMSUM(G996,IMDIV("1",O996)))</f>
        <v>0</v>
      </c>
      <c r="Q996">
        <f>IMSUM(H996,P996)</f>
        <v>0</v>
      </c>
      <c r="R996">
        <f>IMDIV("1",IMSUM(I996,IMDIV("1",Q996)))</f>
        <v>0</v>
      </c>
      <c r="S996">
        <f>IMSUM(J996,R996)</f>
        <v>0</v>
      </c>
      <c r="T996">
        <f>IMDIV("1",IMSUM(K996,IMDIV("1",S996)))</f>
        <v>0</v>
      </c>
      <c r="U996">
        <f>IMSUM(L996,T996)</f>
        <v>0</v>
      </c>
      <c r="V996">
        <f>IMDIV(COMPLEX(I_DM_SOURCE,0),U996)</f>
        <v>0</v>
      </c>
      <c r="W996">
        <f>IMPRODUCT(V996,T996)</f>
        <v>0</v>
      </c>
      <c r="X996">
        <f>IMDIV(W996,S996)</f>
        <v>0</v>
      </c>
      <c r="Y996">
        <f>IMPRODUCT(X996,R996)</f>
        <v>0</v>
      </c>
      <c r="Z996">
        <f>IMDIV(Y996,Q996)</f>
        <v>0</v>
      </c>
      <c r="AA996">
        <f>IMPRODUCT(Z996,P996)</f>
        <v>0</v>
      </c>
      <c r="AB996">
        <f>AA996</f>
        <v>0</v>
      </c>
      <c r="AC996">
        <f>IMPRODUCT("-1",AB996)</f>
        <v>0</v>
      </c>
      <c r="AD996">
        <f>IMDIV(IMSUB(AB996,AC996),"2")</f>
        <v>0</v>
      </c>
      <c r="AE996" s="6">
        <f>IMABS(AB996)</f>
        <v>0</v>
      </c>
      <c r="AF996" s="6">
        <f>IMABS(AC996)</f>
        <v>0</v>
      </c>
      <c r="AG996" s="6">
        <f>IMABS(AD996)</f>
        <v>0</v>
      </c>
      <c r="AH996" s="7">
        <f>20*LOG10(MAX(AE996,1E-300)*1E6)</f>
        <v>0</v>
      </c>
      <c r="AI996" s="7">
        <f>20*LOG10(MAX(AF996,1E-300)*1E6)</f>
        <v>0</v>
      </c>
      <c r="AJ996" s="7">
        <f>20*LOG10(MAX(AG996,1E-300)*1E6)</f>
        <v>0</v>
      </c>
      <c r="AK996" s="7">
        <f>DEGREES(IMARGUMENT(AB996))</f>
        <v>0</v>
      </c>
      <c r="AL996" s="7">
        <f>DEGREES(IMARGUMENT(AC996))</f>
        <v>0</v>
      </c>
      <c r="AM996" s="7">
        <f>DEGREES(IMARGUMENT(AD996))</f>
        <v>0</v>
      </c>
    </row>
    <row r="997" spans="1:39">
      <c r="A997" s="6">
        <f>10^(LOG10(F_START)+(ROW()-ROW($A$2))*(LOG10(F_STOP)-LOG10(F_START))/(N_POINTS-1))</f>
        <v>0</v>
      </c>
      <c r="B997" s="6">
        <f>2*PI()*A997</f>
        <v>0</v>
      </c>
      <c r="C997">
        <f>COMPLEX(2*LINE_PS_DCR,2*B997*LINE_PS_L)</f>
        <v>0</v>
      </c>
      <c r="D997">
        <f>IMSUM(COMPLEX(0,B997*(LINE_PS_CLINE+LINE_PS_CCHA/2)),IMDIV("1",IMPRODUCT("2",COMPLEX(C_THROUGH_ESR,B997*C_THROUGH_ESL-1/(B997*C_THROUGH_C)))))</f>
        <v>0</v>
      </c>
      <c r="E997">
        <f>COMPLEX(2*LINE_INPUT_DCR,2*B997*LINE_INPUT_L)</f>
        <v>0</v>
      </c>
      <c r="F997">
        <f>COMPLEX(0,B997*(LINE_INPUT_CLINE+LINE_INPUT_CCHA/2))</f>
        <v>0</v>
      </c>
      <c r="G997">
        <f>IMPRODUCT("2",IMDIV("1",IMSUM(IMDIV("1",COMPLEX(LDM1_DCR,B997*LDM1_L)),COMPLEX(0,B997*LDM1_CPA))))</f>
        <v>0</v>
      </c>
      <c r="H997">
        <f>IMSUM(IMDIV("1",COMPLEX(CX1_ESR,B997*CX1_ESL-1/(B997*CX1_C))),IMDIV("1",IMSUM(COMPLEX(DUMP1_R,0),COMPLEX(DUMP1_ESR,B997*DUMP1_ESL-1/(B997*DUMP1_C)))))</f>
        <v>0</v>
      </c>
      <c r="I997">
        <f>IMPRODUCT("2",IMDIV("1",IMSUM(IMDIV("1",COMPLEX(LDM2_DCR,B997*LDM2_L)),COMPLEX(0,B997*LDM2_CPA))))</f>
        <v>0</v>
      </c>
      <c r="J997">
        <f>IMSUM(IMDIV("1",COMPLEX(CX2_ESR,B997*CX2_ESL-1/(B997*CX2_C))),IMDIV("1",IMSUM(COMPLEX(DUMP2_R,0),COMPLEX(DUMP2_ESR,B997*DUMP2_ESL-1/(B997*DUMP2_C)))))</f>
        <v>0</v>
      </c>
      <c r="K997">
        <f>IMPRODUCT("2",IMDIV("1",IMSUM(IMDIV("1",COMPLEX(CMC_DCR,B997*CMC_L*(1-CMC_K))),COMPLEX(0,B997*CMC_CPA))))</f>
        <v>0</v>
      </c>
      <c r="L997">
        <f>IMSUM(COMPLEX(0,B997*CMC_CLINE),IMDIV("1",IMPRODUCT("2",COMPLEX(CY_ESR,B997*CY_ESL-1/(B997*CY_C)))),COMPLEX(1/DUMMY_R,0))</f>
        <v>0</v>
      </c>
      <c r="M997">
        <f>IMSUM(D997,IMDIV("1",C997))</f>
        <v>0</v>
      </c>
      <c r="N997">
        <f>IMDIV("1",IMSUM(E997,IMDIV("1",M997)))</f>
        <v>0</v>
      </c>
      <c r="O997">
        <f>IMSUM(F997,N997)</f>
        <v>0</v>
      </c>
      <c r="P997">
        <f>IMDIV("1",IMSUM(G997,IMDIV("1",O997)))</f>
        <v>0</v>
      </c>
      <c r="Q997">
        <f>IMSUM(H997,P997)</f>
        <v>0</v>
      </c>
      <c r="R997">
        <f>IMDIV("1",IMSUM(I997,IMDIV("1",Q997)))</f>
        <v>0</v>
      </c>
      <c r="S997">
        <f>IMSUM(J997,R997)</f>
        <v>0</v>
      </c>
      <c r="T997">
        <f>IMDIV("1",IMSUM(K997,IMDIV("1",S997)))</f>
        <v>0</v>
      </c>
      <c r="U997">
        <f>IMSUM(L997,T997)</f>
        <v>0</v>
      </c>
      <c r="V997">
        <f>IMDIV(COMPLEX(I_DM_SOURCE,0),U997)</f>
        <v>0</v>
      </c>
      <c r="W997">
        <f>IMPRODUCT(V997,T997)</f>
        <v>0</v>
      </c>
      <c r="X997">
        <f>IMDIV(W997,S997)</f>
        <v>0</v>
      </c>
      <c r="Y997">
        <f>IMPRODUCT(X997,R997)</f>
        <v>0</v>
      </c>
      <c r="Z997">
        <f>IMDIV(Y997,Q997)</f>
        <v>0</v>
      </c>
      <c r="AA997">
        <f>IMPRODUCT(Z997,P997)</f>
        <v>0</v>
      </c>
      <c r="AB997">
        <f>AA997</f>
        <v>0</v>
      </c>
      <c r="AC997">
        <f>IMPRODUCT("-1",AB997)</f>
        <v>0</v>
      </c>
      <c r="AD997">
        <f>IMDIV(IMSUB(AB997,AC997),"2")</f>
        <v>0</v>
      </c>
      <c r="AE997" s="6">
        <f>IMABS(AB997)</f>
        <v>0</v>
      </c>
      <c r="AF997" s="6">
        <f>IMABS(AC997)</f>
        <v>0</v>
      </c>
      <c r="AG997" s="6">
        <f>IMABS(AD997)</f>
        <v>0</v>
      </c>
      <c r="AH997" s="7">
        <f>20*LOG10(MAX(AE997,1E-300)*1E6)</f>
        <v>0</v>
      </c>
      <c r="AI997" s="7">
        <f>20*LOG10(MAX(AF997,1E-300)*1E6)</f>
        <v>0</v>
      </c>
      <c r="AJ997" s="7">
        <f>20*LOG10(MAX(AG997,1E-300)*1E6)</f>
        <v>0</v>
      </c>
      <c r="AK997" s="7">
        <f>DEGREES(IMARGUMENT(AB997))</f>
        <v>0</v>
      </c>
      <c r="AL997" s="7">
        <f>DEGREES(IMARGUMENT(AC997))</f>
        <v>0</v>
      </c>
      <c r="AM997" s="7">
        <f>DEGREES(IMARGUMENT(AD997))</f>
        <v>0</v>
      </c>
    </row>
    <row r="998" spans="1:39">
      <c r="A998" s="6">
        <f>10^(LOG10(F_START)+(ROW()-ROW($A$2))*(LOG10(F_STOP)-LOG10(F_START))/(N_POINTS-1))</f>
        <v>0</v>
      </c>
      <c r="B998" s="6">
        <f>2*PI()*A998</f>
        <v>0</v>
      </c>
      <c r="C998">
        <f>COMPLEX(2*LINE_PS_DCR,2*B998*LINE_PS_L)</f>
        <v>0</v>
      </c>
      <c r="D998">
        <f>IMSUM(COMPLEX(0,B998*(LINE_PS_CLINE+LINE_PS_CCHA/2)),IMDIV("1",IMPRODUCT("2",COMPLEX(C_THROUGH_ESR,B998*C_THROUGH_ESL-1/(B998*C_THROUGH_C)))))</f>
        <v>0</v>
      </c>
      <c r="E998">
        <f>COMPLEX(2*LINE_INPUT_DCR,2*B998*LINE_INPUT_L)</f>
        <v>0</v>
      </c>
      <c r="F998">
        <f>COMPLEX(0,B998*(LINE_INPUT_CLINE+LINE_INPUT_CCHA/2))</f>
        <v>0</v>
      </c>
      <c r="G998">
        <f>IMPRODUCT("2",IMDIV("1",IMSUM(IMDIV("1",COMPLEX(LDM1_DCR,B998*LDM1_L)),COMPLEX(0,B998*LDM1_CPA))))</f>
        <v>0</v>
      </c>
      <c r="H998">
        <f>IMSUM(IMDIV("1",COMPLEX(CX1_ESR,B998*CX1_ESL-1/(B998*CX1_C))),IMDIV("1",IMSUM(COMPLEX(DUMP1_R,0),COMPLEX(DUMP1_ESR,B998*DUMP1_ESL-1/(B998*DUMP1_C)))))</f>
        <v>0</v>
      </c>
      <c r="I998">
        <f>IMPRODUCT("2",IMDIV("1",IMSUM(IMDIV("1",COMPLEX(LDM2_DCR,B998*LDM2_L)),COMPLEX(0,B998*LDM2_CPA))))</f>
        <v>0</v>
      </c>
      <c r="J998">
        <f>IMSUM(IMDIV("1",COMPLEX(CX2_ESR,B998*CX2_ESL-1/(B998*CX2_C))),IMDIV("1",IMSUM(COMPLEX(DUMP2_R,0),COMPLEX(DUMP2_ESR,B998*DUMP2_ESL-1/(B998*DUMP2_C)))))</f>
        <v>0</v>
      </c>
      <c r="K998">
        <f>IMPRODUCT("2",IMDIV("1",IMSUM(IMDIV("1",COMPLEX(CMC_DCR,B998*CMC_L*(1-CMC_K))),COMPLEX(0,B998*CMC_CPA))))</f>
        <v>0</v>
      </c>
      <c r="L998">
        <f>IMSUM(COMPLEX(0,B998*CMC_CLINE),IMDIV("1",IMPRODUCT("2",COMPLEX(CY_ESR,B998*CY_ESL-1/(B998*CY_C)))),COMPLEX(1/DUMMY_R,0))</f>
        <v>0</v>
      </c>
      <c r="M998">
        <f>IMSUM(D998,IMDIV("1",C998))</f>
        <v>0</v>
      </c>
      <c r="N998">
        <f>IMDIV("1",IMSUM(E998,IMDIV("1",M998)))</f>
        <v>0</v>
      </c>
      <c r="O998">
        <f>IMSUM(F998,N998)</f>
        <v>0</v>
      </c>
      <c r="P998">
        <f>IMDIV("1",IMSUM(G998,IMDIV("1",O998)))</f>
        <v>0</v>
      </c>
      <c r="Q998">
        <f>IMSUM(H998,P998)</f>
        <v>0</v>
      </c>
      <c r="R998">
        <f>IMDIV("1",IMSUM(I998,IMDIV("1",Q998)))</f>
        <v>0</v>
      </c>
      <c r="S998">
        <f>IMSUM(J998,R998)</f>
        <v>0</v>
      </c>
      <c r="T998">
        <f>IMDIV("1",IMSUM(K998,IMDIV("1",S998)))</f>
        <v>0</v>
      </c>
      <c r="U998">
        <f>IMSUM(L998,T998)</f>
        <v>0</v>
      </c>
      <c r="V998">
        <f>IMDIV(COMPLEX(I_DM_SOURCE,0),U998)</f>
        <v>0</v>
      </c>
      <c r="W998">
        <f>IMPRODUCT(V998,T998)</f>
        <v>0</v>
      </c>
      <c r="X998">
        <f>IMDIV(W998,S998)</f>
        <v>0</v>
      </c>
      <c r="Y998">
        <f>IMPRODUCT(X998,R998)</f>
        <v>0</v>
      </c>
      <c r="Z998">
        <f>IMDIV(Y998,Q998)</f>
        <v>0</v>
      </c>
      <c r="AA998">
        <f>IMPRODUCT(Z998,P998)</f>
        <v>0</v>
      </c>
      <c r="AB998">
        <f>AA998</f>
        <v>0</v>
      </c>
      <c r="AC998">
        <f>IMPRODUCT("-1",AB998)</f>
        <v>0</v>
      </c>
      <c r="AD998">
        <f>IMDIV(IMSUB(AB998,AC998),"2")</f>
        <v>0</v>
      </c>
      <c r="AE998" s="6">
        <f>IMABS(AB998)</f>
        <v>0</v>
      </c>
      <c r="AF998" s="6">
        <f>IMABS(AC998)</f>
        <v>0</v>
      </c>
      <c r="AG998" s="6">
        <f>IMABS(AD998)</f>
        <v>0</v>
      </c>
      <c r="AH998" s="7">
        <f>20*LOG10(MAX(AE998,1E-300)*1E6)</f>
        <v>0</v>
      </c>
      <c r="AI998" s="7">
        <f>20*LOG10(MAX(AF998,1E-300)*1E6)</f>
        <v>0</v>
      </c>
      <c r="AJ998" s="7">
        <f>20*LOG10(MAX(AG998,1E-300)*1E6)</f>
        <v>0</v>
      </c>
      <c r="AK998" s="7">
        <f>DEGREES(IMARGUMENT(AB998))</f>
        <v>0</v>
      </c>
      <c r="AL998" s="7">
        <f>DEGREES(IMARGUMENT(AC998))</f>
        <v>0</v>
      </c>
      <c r="AM998" s="7">
        <f>DEGREES(IMARGUMENT(AD998))</f>
        <v>0</v>
      </c>
    </row>
    <row r="999" spans="1:39">
      <c r="A999" s="6">
        <f>10^(LOG10(F_START)+(ROW()-ROW($A$2))*(LOG10(F_STOP)-LOG10(F_START))/(N_POINTS-1))</f>
        <v>0</v>
      </c>
      <c r="B999" s="6">
        <f>2*PI()*A999</f>
        <v>0</v>
      </c>
      <c r="C999">
        <f>COMPLEX(2*LINE_PS_DCR,2*B999*LINE_PS_L)</f>
        <v>0</v>
      </c>
      <c r="D999">
        <f>IMSUM(COMPLEX(0,B999*(LINE_PS_CLINE+LINE_PS_CCHA/2)),IMDIV("1",IMPRODUCT("2",COMPLEX(C_THROUGH_ESR,B999*C_THROUGH_ESL-1/(B999*C_THROUGH_C)))))</f>
        <v>0</v>
      </c>
      <c r="E999">
        <f>COMPLEX(2*LINE_INPUT_DCR,2*B999*LINE_INPUT_L)</f>
        <v>0</v>
      </c>
      <c r="F999">
        <f>COMPLEX(0,B999*(LINE_INPUT_CLINE+LINE_INPUT_CCHA/2))</f>
        <v>0</v>
      </c>
      <c r="G999">
        <f>IMPRODUCT("2",IMDIV("1",IMSUM(IMDIV("1",COMPLEX(LDM1_DCR,B999*LDM1_L)),COMPLEX(0,B999*LDM1_CPA))))</f>
        <v>0</v>
      </c>
      <c r="H999">
        <f>IMSUM(IMDIV("1",COMPLEX(CX1_ESR,B999*CX1_ESL-1/(B999*CX1_C))),IMDIV("1",IMSUM(COMPLEX(DUMP1_R,0),COMPLEX(DUMP1_ESR,B999*DUMP1_ESL-1/(B999*DUMP1_C)))))</f>
        <v>0</v>
      </c>
      <c r="I999">
        <f>IMPRODUCT("2",IMDIV("1",IMSUM(IMDIV("1",COMPLEX(LDM2_DCR,B999*LDM2_L)),COMPLEX(0,B999*LDM2_CPA))))</f>
        <v>0</v>
      </c>
      <c r="J999">
        <f>IMSUM(IMDIV("1",COMPLEX(CX2_ESR,B999*CX2_ESL-1/(B999*CX2_C))),IMDIV("1",IMSUM(COMPLEX(DUMP2_R,0),COMPLEX(DUMP2_ESR,B999*DUMP2_ESL-1/(B999*DUMP2_C)))))</f>
        <v>0</v>
      </c>
      <c r="K999">
        <f>IMPRODUCT("2",IMDIV("1",IMSUM(IMDIV("1",COMPLEX(CMC_DCR,B999*CMC_L*(1-CMC_K))),COMPLEX(0,B999*CMC_CPA))))</f>
        <v>0</v>
      </c>
      <c r="L999">
        <f>IMSUM(COMPLEX(0,B999*CMC_CLINE),IMDIV("1",IMPRODUCT("2",COMPLEX(CY_ESR,B999*CY_ESL-1/(B999*CY_C)))),COMPLEX(1/DUMMY_R,0))</f>
        <v>0</v>
      </c>
      <c r="M999">
        <f>IMSUM(D999,IMDIV("1",C999))</f>
        <v>0</v>
      </c>
      <c r="N999">
        <f>IMDIV("1",IMSUM(E999,IMDIV("1",M999)))</f>
        <v>0</v>
      </c>
      <c r="O999">
        <f>IMSUM(F999,N999)</f>
        <v>0</v>
      </c>
      <c r="P999">
        <f>IMDIV("1",IMSUM(G999,IMDIV("1",O999)))</f>
        <v>0</v>
      </c>
      <c r="Q999">
        <f>IMSUM(H999,P999)</f>
        <v>0</v>
      </c>
      <c r="R999">
        <f>IMDIV("1",IMSUM(I999,IMDIV("1",Q999)))</f>
        <v>0</v>
      </c>
      <c r="S999">
        <f>IMSUM(J999,R999)</f>
        <v>0</v>
      </c>
      <c r="T999">
        <f>IMDIV("1",IMSUM(K999,IMDIV("1",S999)))</f>
        <v>0</v>
      </c>
      <c r="U999">
        <f>IMSUM(L999,T999)</f>
        <v>0</v>
      </c>
      <c r="V999">
        <f>IMDIV(COMPLEX(I_DM_SOURCE,0),U999)</f>
        <v>0</v>
      </c>
      <c r="W999">
        <f>IMPRODUCT(V999,T999)</f>
        <v>0</v>
      </c>
      <c r="X999">
        <f>IMDIV(W999,S999)</f>
        <v>0</v>
      </c>
      <c r="Y999">
        <f>IMPRODUCT(X999,R999)</f>
        <v>0</v>
      </c>
      <c r="Z999">
        <f>IMDIV(Y999,Q999)</f>
        <v>0</v>
      </c>
      <c r="AA999">
        <f>IMPRODUCT(Z999,P999)</f>
        <v>0</v>
      </c>
      <c r="AB999">
        <f>AA999</f>
        <v>0</v>
      </c>
      <c r="AC999">
        <f>IMPRODUCT("-1",AB999)</f>
        <v>0</v>
      </c>
      <c r="AD999">
        <f>IMDIV(IMSUB(AB999,AC999),"2")</f>
        <v>0</v>
      </c>
      <c r="AE999" s="6">
        <f>IMABS(AB999)</f>
        <v>0</v>
      </c>
      <c r="AF999" s="6">
        <f>IMABS(AC999)</f>
        <v>0</v>
      </c>
      <c r="AG999" s="6">
        <f>IMABS(AD999)</f>
        <v>0</v>
      </c>
      <c r="AH999" s="7">
        <f>20*LOG10(MAX(AE999,1E-300)*1E6)</f>
        <v>0</v>
      </c>
      <c r="AI999" s="7">
        <f>20*LOG10(MAX(AF999,1E-300)*1E6)</f>
        <v>0</v>
      </c>
      <c r="AJ999" s="7">
        <f>20*LOG10(MAX(AG999,1E-300)*1E6)</f>
        <v>0</v>
      </c>
      <c r="AK999" s="7">
        <f>DEGREES(IMARGUMENT(AB999))</f>
        <v>0</v>
      </c>
      <c r="AL999" s="7">
        <f>DEGREES(IMARGUMENT(AC999))</f>
        <v>0</v>
      </c>
      <c r="AM999" s="7">
        <f>DEGREES(IMARGUMENT(AD999))</f>
        <v>0</v>
      </c>
    </row>
    <row r="1000" spans="1:39">
      <c r="A1000" s="6">
        <f>10^(LOG10(F_START)+(ROW()-ROW($A$2))*(LOG10(F_STOP)-LOG10(F_START))/(N_POINTS-1))</f>
        <v>0</v>
      </c>
      <c r="B1000" s="6">
        <f>2*PI()*A1000</f>
        <v>0</v>
      </c>
      <c r="C1000">
        <f>COMPLEX(2*LINE_PS_DCR,2*B1000*LINE_PS_L)</f>
        <v>0</v>
      </c>
      <c r="D1000">
        <f>IMSUM(COMPLEX(0,B1000*(LINE_PS_CLINE+LINE_PS_CCHA/2)),IMDIV("1",IMPRODUCT("2",COMPLEX(C_THROUGH_ESR,B1000*C_THROUGH_ESL-1/(B1000*C_THROUGH_C)))))</f>
        <v>0</v>
      </c>
      <c r="E1000">
        <f>COMPLEX(2*LINE_INPUT_DCR,2*B1000*LINE_INPUT_L)</f>
        <v>0</v>
      </c>
      <c r="F1000">
        <f>COMPLEX(0,B1000*(LINE_INPUT_CLINE+LINE_INPUT_CCHA/2))</f>
        <v>0</v>
      </c>
      <c r="G1000">
        <f>IMPRODUCT("2",IMDIV("1",IMSUM(IMDIV("1",COMPLEX(LDM1_DCR,B1000*LDM1_L)),COMPLEX(0,B1000*LDM1_CPA))))</f>
        <v>0</v>
      </c>
      <c r="H1000">
        <f>IMSUM(IMDIV("1",COMPLEX(CX1_ESR,B1000*CX1_ESL-1/(B1000*CX1_C))),IMDIV("1",IMSUM(COMPLEX(DUMP1_R,0),COMPLEX(DUMP1_ESR,B1000*DUMP1_ESL-1/(B1000*DUMP1_C)))))</f>
        <v>0</v>
      </c>
      <c r="I1000">
        <f>IMPRODUCT("2",IMDIV("1",IMSUM(IMDIV("1",COMPLEX(LDM2_DCR,B1000*LDM2_L)),COMPLEX(0,B1000*LDM2_CPA))))</f>
        <v>0</v>
      </c>
      <c r="J1000">
        <f>IMSUM(IMDIV("1",COMPLEX(CX2_ESR,B1000*CX2_ESL-1/(B1000*CX2_C))),IMDIV("1",IMSUM(COMPLEX(DUMP2_R,0),COMPLEX(DUMP2_ESR,B1000*DUMP2_ESL-1/(B1000*DUMP2_C)))))</f>
        <v>0</v>
      </c>
      <c r="K1000">
        <f>IMPRODUCT("2",IMDIV("1",IMSUM(IMDIV("1",COMPLEX(CMC_DCR,B1000*CMC_L*(1-CMC_K))),COMPLEX(0,B1000*CMC_CPA))))</f>
        <v>0</v>
      </c>
      <c r="L1000">
        <f>IMSUM(COMPLEX(0,B1000*CMC_CLINE),IMDIV("1",IMPRODUCT("2",COMPLEX(CY_ESR,B1000*CY_ESL-1/(B1000*CY_C)))),COMPLEX(1/DUMMY_R,0))</f>
        <v>0</v>
      </c>
      <c r="M1000">
        <f>IMSUM(D1000,IMDIV("1",C1000))</f>
        <v>0</v>
      </c>
      <c r="N1000">
        <f>IMDIV("1",IMSUM(E1000,IMDIV("1",M1000)))</f>
        <v>0</v>
      </c>
      <c r="O1000">
        <f>IMSUM(F1000,N1000)</f>
        <v>0</v>
      </c>
      <c r="P1000">
        <f>IMDIV("1",IMSUM(G1000,IMDIV("1",O1000)))</f>
        <v>0</v>
      </c>
      <c r="Q1000">
        <f>IMSUM(H1000,P1000)</f>
        <v>0</v>
      </c>
      <c r="R1000">
        <f>IMDIV("1",IMSUM(I1000,IMDIV("1",Q1000)))</f>
        <v>0</v>
      </c>
      <c r="S1000">
        <f>IMSUM(J1000,R1000)</f>
        <v>0</v>
      </c>
      <c r="T1000">
        <f>IMDIV("1",IMSUM(K1000,IMDIV("1",S1000)))</f>
        <v>0</v>
      </c>
      <c r="U1000">
        <f>IMSUM(L1000,T1000)</f>
        <v>0</v>
      </c>
      <c r="V1000">
        <f>IMDIV(COMPLEX(I_DM_SOURCE,0),U1000)</f>
        <v>0</v>
      </c>
      <c r="W1000">
        <f>IMPRODUCT(V1000,T1000)</f>
        <v>0</v>
      </c>
      <c r="X1000">
        <f>IMDIV(W1000,S1000)</f>
        <v>0</v>
      </c>
      <c r="Y1000">
        <f>IMPRODUCT(X1000,R1000)</f>
        <v>0</v>
      </c>
      <c r="Z1000">
        <f>IMDIV(Y1000,Q1000)</f>
        <v>0</v>
      </c>
      <c r="AA1000">
        <f>IMPRODUCT(Z1000,P1000)</f>
        <v>0</v>
      </c>
      <c r="AB1000">
        <f>AA1000</f>
        <v>0</v>
      </c>
      <c r="AC1000">
        <f>IMPRODUCT("-1",AB1000)</f>
        <v>0</v>
      </c>
      <c r="AD1000">
        <f>IMDIV(IMSUB(AB1000,AC1000),"2")</f>
        <v>0</v>
      </c>
      <c r="AE1000" s="6">
        <f>IMABS(AB1000)</f>
        <v>0</v>
      </c>
      <c r="AF1000" s="6">
        <f>IMABS(AC1000)</f>
        <v>0</v>
      </c>
      <c r="AG1000" s="6">
        <f>IMABS(AD1000)</f>
        <v>0</v>
      </c>
      <c r="AH1000" s="7">
        <f>20*LOG10(MAX(AE1000,1E-300)*1E6)</f>
        <v>0</v>
      </c>
      <c r="AI1000" s="7">
        <f>20*LOG10(MAX(AF1000,1E-300)*1E6)</f>
        <v>0</v>
      </c>
      <c r="AJ1000" s="7">
        <f>20*LOG10(MAX(AG1000,1E-300)*1E6)</f>
        <v>0</v>
      </c>
      <c r="AK1000" s="7">
        <f>DEGREES(IMARGUMENT(AB1000))</f>
        <v>0</v>
      </c>
      <c r="AL1000" s="7">
        <f>DEGREES(IMARGUMENT(AC1000))</f>
        <v>0</v>
      </c>
      <c r="AM1000" s="7">
        <f>DEGREES(IMARGUMENT(AD1000))</f>
        <v>0</v>
      </c>
    </row>
    <row r="1001" spans="1:39">
      <c r="A1001" s="6">
        <f>10^(LOG10(F_START)+(ROW()-ROW($A$2))*(LOG10(F_STOP)-LOG10(F_START))/(N_POINTS-1))</f>
        <v>0</v>
      </c>
      <c r="B1001" s="6">
        <f>2*PI()*A1001</f>
        <v>0</v>
      </c>
      <c r="C1001">
        <f>COMPLEX(2*LINE_PS_DCR,2*B1001*LINE_PS_L)</f>
        <v>0</v>
      </c>
      <c r="D1001">
        <f>IMSUM(COMPLEX(0,B1001*(LINE_PS_CLINE+LINE_PS_CCHA/2)),IMDIV("1",IMPRODUCT("2",COMPLEX(C_THROUGH_ESR,B1001*C_THROUGH_ESL-1/(B1001*C_THROUGH_C)))))</f>
        <v>0</v>
      </c>
      <c r="E1001">
        <f>COMPLEX(2*LINE_INPUT_DCR,2*B1001*LINE_INPUT_L)</f>
        <v>0</v>
      </c>
      <c r="F1001">
        <f>COMPLEX(0,B1001*(LINE_INPUT_CLINE+LINE_INPUT_CCHA/2))</f>
        <v>0</v>
      </c>
      <c r="G1001">
        <f>IMPRODUCT("2",IMDIV("1",IMSUM(IMDIV("1",COMPLEX(LDM1_DCR,B1001*LDM1_L)),COMPLEX(0,B1001*LDM1_CPA))))</f>
        <v>0</v>
      </c>
      <c r="H1001">
        <f>IMSUM(IMDIV("1",COMPLEX(CX1_ESR,B1001*CX1_ESL-1/(B1001*CX1_C))),IMDIV("1",IMSUM(COMPLEX(DUMP1_R,0),COMPLEX(DUMP1_ESR,B1001*DUMP1_ESL-1/(B1001*DUMP1_C)))))</f>
        <v>0</v>
      </c>
      <c r="I1001">
        <f>IMPRODUCT("2",IMDIV("1",IMSUM(IMDIV("1",COMPLEX(LDM2_DCR,B1001*LDM2_L)),COMPLEX(0,B1001*LDM2_CPA))))</f>
        <v>0</v>
      </c>
      <c r="J1001">
        <f>IMSUM(IMDIV("1",COMPLEX(CX2_ESR,B1001*CX2_ESL-1/(B1001*CX2_C))),IMDIV("1",IMSUM(COMPLEX(DUMP2_R,0),COMPLEX(DUMP2_ESR,B1001*DUMP2_ESL-1/(B1001*DUMP2_C)))))</f>
        <v>0</v>
      </c>
      <c r="K1001">
        <f>IMPRODUCT("2",IMDIV("1",IMSUM(IMDIV("1",COMPLEX(CMC_DCR,B1001*CMC_L*(1-CMC_K))),COMPLEX(0,B1001*CMC_CPA))))</f>
        <v>0</v>
      </c>
      <c r="L1001">
        <f>IMSUM(COMPLEX(0,B1001*CMC_CLINE),IMDIV("1",IMPRODUCT("2",COMPLEX(CY_ESR,B1001*CY_ESL-1/(B1001*CY_C)))),COMPLEX(1/DUMMY_R,0))</f>
        <v>0</v>
      </c>
      <c r="M1001">
        <f>IMSUM(D1001,IMDIV("1",C1001))</f>
        <v>0</v>
      </c>
      <c r="N1001">
        <f>IMDIV("1",IMSUM(E1001,IMDIV("1",M1001)))</f>
        <v>0</v>
      </c>
      <c r="O1001">
        <f>IMSUM(F1001,N1001)</f>
        <v>0</v>
      </c>
      <c r="P1001">
        <f>IMDIV("1",IMSUM(G1001,IMDIV("1",O1001)))</f>
        <v>0</v>
      </c>
      <c r="Q1001">
        <f>IMSUM(H1001,P1001)</f>
        <v>0</v>
      </c>
      <c r="R1001">
        <f>IMDIV("1",IMSUM(I1001,IMDIV("1",Q1001)))</f>
        <v>0</v>
      </c>
      <c r="S1001">
        <f>IMSUM(J1001,R1001)</f>
        <v>0</v>
      </c>
      <c r="T1001">
        <f>IMDIV("1",IMSUM(K1001,IMDIV("1",S1001)))</f>
        <v>0</v>
      </c>
      <c r="U1001">
        <f>IMSUM(L1001,T1001)</f>
        <v>0</v>
      </c>
      <c r="V1001">
        <f>IMDIV(COMPLEX(I_DM_SOURCE,0),U1001)</f>
        <v>0</v>
      </c>
      <c r="W1001">
        <f>IMPRODUCT(V1001,T1001)</f>
        <v>0</v>
      </c>
      <c r="X1001">
        <f>IMDIV(W1001,S1001)</f>
        <v>0</v>
      </c>
      <c r="Y1001">
        <f>IMPRODUCT(X1001,R1001)</f>
        <v>0</v>
      </c>
      <c r="Z1001">
        <f>IMDIV(Y1001,Q1001)</f>
        <v>0</v>
      </c>
      <c r="AA1001">
        <f>IMPRODUCT(Z1001,P1001)</f>
        <v>0</v>
      </c>
      <c r="AB1001">
        <f>AA1001</f>
        <v>0</v>
      </c>
      <c r="AC1001">
        <f>IMPRODUCT("-1",AB1001)</f>
        <v>0</v>
      </c>
      <c r="AD1001">
        <f>IMDIV(IMSUB(AB1001,AC1001),"2")</f>
        <v>0</v>
      </c>
      <c r="AE1001" s="6">
        <f>IMABS(AB1001)</f>
        <v>0</v>
      </c>
      <c r="AF1001" s="6">
        <f>IMABS(AC1001)</f>
        <v>0</v>
      </c>
      <c r="AG1001" s="6">
        <f>IMABS(AD1001)</f>
        <v>0</v>
      </c>
      <c r="AH1001" s="7">
        <f>20*LOG10(MAX(AE1001,1E-300)*1E6)</f>
        <v>0</v>
      </c>
      <c r="AI1001" s="7">
        <f>20*LOG10(MAX(AF1001,1E-300)*1E6)</f>
        <v>0</v>
      </c>
      <c r="AJ1001" s="7">
        <f>20*LOG10(MAX(AG1001,1E-300)*1E6)</f>
        <v>0</v>
      </c>
      <c r="AK1001" s="7">
        <f>DEGREES(IMARGUMENT(AB1001))</f>
        <v>0</v>
      </c>
      <c r="AL1001" s="7">
        <f>DEGREES(IMARGUMENT(AC1001))</f>
        <v>0</v>
      </c>
      <c r="AM1001" s="7">
        <f>DEGREES(IMARGUMENT(AD1001))</f>
        <v>0</v>
      </c>
    </row>
    <row r="1002" spans="1:39">
      <c r="A1002" s="6">
        <f>10^(LOG10(F_START)+(ROW()-ROW($A$2))*(LOG10(F_STOP)-LOG10(F_START))/(N_POINTS-1))</f>
        <v>0</v>
      </c>
      <c r="B1002" s="6">
        <f>2*PI()*A1002</f>
        <v>0</v>
      </c>
      <c r="C1002">
        <f>COMPLEX(2*LINE_PS_DCR,2*B1002*LINE_PS_L)</f>
        <v>0</v>
      </c>
      <c r="D1002">
        <f>IMSUM(COMPLEX(0,B1002*(LINE_PS_CLINE+LINE_PS_CCHA/2)),IMDIV("1",IMPRODUCT("2",COMPLEX(C_THROUGH_ESR,B1002*C_THROUGH_ESL-1/(B1002*C_THROUGH_C)))))</f>
        <v>0</v>
      </c>
      <c r="E1002">
        <f>COMPLEX(2*LINE_INPUT_DCR,2*B1002*LINE_INPUT_L)</f>
        <v>0</v>
      </c>
      <c r="F1002">
        <f>COMPLEX(0,B1002*(LINE_INPUT_CLINE+LINE_INPUT_CCHA/2))</f>
        <v>0</v>
      </c>
      <c r="G1002">
        <f>IMPRODUCT("2",IMDIV("1",IMSUM(IMDIV("1",COMPLEX(LDM1_DCR,B1002*LDM1_L)),COMPLEX(0,B1002*LDM1_CPA))))</f>
        <v>0</v>
      </c>
      <c r="H1002">
        <f>IMSUM(IMDIV("1",COMPLEX(CX1_ESR,B1002*CX1_ESL-1/(B1002*CX1_C))),IMDIV("1",IMSUM(COMPLEX(DUMP1_R,0),COMPLEX(DUMP1_ESR,B1002*DUMP1_ESL-1/(B1002*DUMP1_C)))))</f>
        <v>0</v>
      </c>
      <c r="I1002">
        <f>IMPRODUCT("2",IMDIV("1",IMSUM(IMDIV("1",COMPLEX(LDM2_DCR,B1002*LDM2_L)),COMPLEX(0,B1002*LDM2_CPA))))</f>
        <v>0</v>
      </c>
      <c r="J1002">
        <f>IMSUM(IMDIV("1",COMPLEX(CX2_ESR,B1002*CX2_ESL-1/(B1002*CX2_C))),IMDIV("1",IMSUM(COMPLEX(DUMP2_R,0),COMPLEX(DUMP2_ESR,B1002*DUMP2_ESL-1/(B1002*DUMP2_C)))))</f>
        <v>0</v>
      </c>
      <c r="K1002">
        <f>IMPRODUCT("2",IMDIV("1",IMSUM(IMDIV("1",COMPLEX(CMC_DCR,B1002*CMC_L*(1-CMC_K))),COMPLEX(0,B1002*CMC_CPA))))</f>
        <v>0</v>
      </c>
      <c r="L1002">
        <f>IMSUM(COMPLEX(0,B1002*CMC_CLINE),IMDIV("1",IMPRODUCT("2",COMPLEX(CY_ESR,B1002*CY_ESL-1/(B1002*CY_C)))),COMPLEX(1/DUMMY_R,0))</f>
        <v>0</v>
      </c>
      <c r="M1002">
        <f>IMSUM(D1002,IMDIV("1",C1002))</f>
        <v>0</v>
      </c>
      <c r="N1002">
        <f>IMDIV("1",IMSUM(E1002,IMDIV("1",M1002)))</f>
        <v>0</v>
      </c>
      <c r="O1002">
        <f>IMSUM(F1002,N1002)</f>
        <v>0</v>
      </c>
      <c r="P1002">
        <f>IMDIV("1",IMSUM(G1002,IMDIV("1",O1002)))</f>
        <v>0</v>
      </c>
      <c r="Q1002">
        <f>IMSUM(H1002,P1002)</f>
        <v>0</v>
      </c>
      <c r="R1002">
        <f>IMDIV("1",IMSUM(I1002,IMDIV("1",Q1002)))</f>
        <v>0</v>
      </c>
      <c r="S1002">
        <f>IMSUM(J1002,R1002)</f>
        <v>0</v>
      </c>
      <c r="T1002">
        <f>IMDIV("1",IMSUM(K1002,IMDIV("1",S1002)))</f>
        <v>0</v>
      </c>
      <c r="U1002">
        <f>IMSUM(L1002,T1002)</f>
        <v>0</v>
      </c>
      <c r="V1002">
        <f>IMDIV(COMPLEX(I_DM_SOURCE,0),U1002)</f>
        <v>0</v>
      </c>
      <c r="W1002">
        <f>IMPRODUCT(V1002,T1002)</f>
        <v>0</v>
      </c>
      <c r="X1002">
        <f>IMDIV(W1002,S1002)</f>
        <v>0</v>
      </c>
      <c r="Y1002">
        <f>IMPRODUCT(X1002,R1002)</f>
        <v>0</v>
      </c>
      <c r="Z1002">
        <f>IMDIV(Y1002,Q1002)</f>
        <v>0</v>
      </c>
      <c r="AA1002">
        <f>IMPRODUCT(Z1002,P1002)</f>
        <v>0</v>
      </c>
      <c r="AB1002">
        <f>AA1002</f>
        <v>0</v>
      </c>
      <c r="AC1002">
        <f>IMPRODUCT("-1",AB1002)</f>
        <v>0</v>
      </c>
      <c r="AD1002">
        <f>IMDIV(IMSUB(AB1002,AC1002),"2")</f>
        <v>0</v>
      </c>
      <c r="AE1002" s="6">
        <f>IMABS(AB1002)</f>
        <v>0</v>
      </c>
      <c r="AF1002" s="6">
        <f>IMABS(AC1002)</f>
        <v>0</v>
      </c>
      <c r="AG1002" s="6">
        <f>IMABS(AD1002)</f>
        <v>0</v>
      </c>
      <c r="AH1002" s="7">
        <f>20*LOG10(MAX(AE1002,1E-300)*1E6)</f>
        <v>0</v>
      </c>
      <c r="AI1002" s="7">
        <f>20*LOG10(MAX(AF1002,1E-300)*1E6)</f>
        <v>0</v>
      </c>
      <c r="AJ1002" s="7">
        <f>20*LOG10(MAX(AG1002,1E-300)*1E6)</f>
        <v>0</v>
      </c>
      <c r="AK1002" s="7">
        <f>DEGREES(IMARGUMENT(AB1002))</f>
        <v>0</v>
      </c>
      <c r="AL1002" s="7">
        <f>DEGREES(IMARGUMENT(AC1002))</f>
        <v>0</v>
      </c>
      <c r="AM1002" s="7">
        <f>DEGREES(IMARGUMENT(AD1002))</f>
        <v>0</v>
      </c>
    </row>
    <row r="1003" spans="1:39">
      <c r="A1003" s="6">
        <f>10^(LOG10(F_START)+(ROW()-ROW($A$2))*(LOG10(F_STOP)-LOG10(F_START))/(N_POINTS-1))</f>
        <v>0</v>
      </c>
      <c r="B1003" s="6">
        <f>2*PI()*A1003</f>
        <v>0</v>
      </c>
      <c r="C1003">
        <f>COMPLEX(2*LINE_PS_DCR,2*B1003*LINE_PS_L)</f>
        <v>0</v>
      </c>
      <c r="D1003">
        <f>IMSUM(COMPLEX(0,B1003*(LINE_PS_CLINE+LINE_PS_CCHA/2)),IMDIV("1",IMPRODUCT("2",COMPLEX(C_THROUGH_ESR,B1003*C_THROUGH_ESL-1/(B1003*C_THROUGH_C)))))</f>
        <v>0</v>
      </c>
      <c r="E1003">
        <f>COMPLEX(2*LINE_INPUT_DCR,2*B1003*LINE_INPUT_L)</f>
        <v>0</v>
      </c>
      <c r="F1003">
        <f>COMPLEX(0,B1003*(LINE_INPUT_CLINE+LINE_INPUT_CCHA/2))</f>
        <v>0</v>
      </c>
      <c r="G1003">
        <f>IMPRODUCT("2",IMDIV("1",IMSUM(IMDIV("1",COMPLEX(LDM1_DCR,B1003*LDM1_L)),COMPLEX(0,B1003*LDM1_CPA))))</f>
        <v>0</v>
      </c>
      <c r="H1003">
        <f>IMSUM(IMDIV("1",COMPLEX(CX1_ESR,B1003*CX1_ESL-1/(B1003*CX1_C))),IMDIV("1",IMSUM(COMPLEX(DUMP1_R,0),COMPLEX(DUMP1_ESR,B1003*DUMP1_ESL-1/(B1003*DUMP1_C)))))</f>
        <v>0</v>
      </c>
      <c r="I1003">
        <f>IMPRODUCT("2",IMDIV("1",IMSUM(IMDIV("1",COMPLEX(LDM2_DCR,B1003*LDM2_L)),COMPLEX(0,B1003*LDM2_CPA))))</f>
        <v>0</v>
      </c>
      <c r="J1003">
        <f>IMSUM(IMDIV("1",COMPLEX(CX2_ESR,B1003*CX2_ESL-1/(B1003*CX2_C))),IMDIV("1",IMSUM(COMPLEX(DUMP2_R,0),COMPLEX(DUMP2_ESR,B1003*DUMP2_ESL-1/(B1003*DUMP2_C)))))</f>
        <v>0</v>
      </c>
      <c r="K1003">
        <f>IMPRODUCT("2",IMDIV("1",IMSUM(IMDIV("1",COMPLEX(CMC_DCR,B1003*CMC_L*(1-CMC_K))),COMPLEX(0,B1003*CMC_CPA))))</f>
        <v>0</v>
      </c>
      <c r="L1003">
        <f>IMSUM(COMPLEX(0,B1003*CMC_CLINE),IMDIV("1",IMPRODUCT("2",COMPLEX(CY_ESR,B1003*CY_ESL-1/(B1003*CY_C)))),COMPLEX(1/DUMMY_R,0))</f>
        <v>0</v>
      </c>
      <c r="M1003">
        <f>IMSUM(D1003,IMDIV("1",C1003))</f>
        <v>0</v>
      </c>
      <c r="N1003">
        <f>IMDIV("1",IMSUM(E1003,IMDIV("1",M1003)))</f>
        <v>0</v>
      </c>
      <c r="O1003">
        <f>IMSUM(F1003,N1003)</f>
        <v>0</v>
      </c>
      <c r="P1003">
        <f>IMDIV("1",IMSUM(G1003,IMDIV("1",O1003)))</f>
        <v>0</v>
      </c>
      <c r="Q1003">
        <f>IMSUM(H1003,P1003)</f>
        <v>0</v>
      </c>
      <c r="R1003">
        <f>IMDIV("1",IMSUM(I1003,IMDIV("1",Q1003)))</f>
        <v>0</v>
      </c>
      <c r="S1003">
        <f>IMSUM(J1003,R1003)</f>
        <v>0</v>
      </c>
      <c r="T1003">
        <f>IMDIV("1",IMSUM(K1003,IMDIV("1",S1003)))</f>
        <v>0</v>
      </c>
      <c r="U1003">
        <f>IMSUM(L1003,T1003)</f>
        <v>0</v>
      </c>
      <c r="V1003">
        <f>IMDIV(COMPLEX(I_DM_SOURCE,0),U1003)</f>
        <v>0</v>
      </c>
      <c r="W1003">
        <f>IMPRODUCT(V1003,T1003)</f>
        <v>0</v>
      </c>
      <c r="X1003">
        <f>IMDIV(W1003,S1003)</f>
        <v>0</v>
      </c>
      <c r="Y1003">
        <f>IMPRODUCT(X1003,R1003)</f>
        <v>0</v>
      </c>
      <c r="Z1003">
        <f>IMDIV(Y1003,Q1003)</f>
        <v>0</v>
      </c>
      <c r="AA1003">
        <f>IMPRODUCT(Z1003,P1003)</f>
        <v>0</v>
      </c>
      <c r="AB1003">
        <f>AA1003</f>
        <v>0</v>
      </c>
      <c r="AC1003">
        <f>IMPRODUCT("-1",AB1003)</f>
        <v>0</v>
      </c>
      <c r="AD1003">
        <f>IMDIV(IMSUB(AB1003,AC1003),"2")</f>
        <v>0</v>
      </c>
      <c r="AE1003" s="6">
        <f>IMABS(AB1003)</f>
        <v>0</v>
      </c>
      <c r="AF1003" s="6">
        <f>IMABS(AC1003)</f>
        <v>0</v>
      </c>
      <c r="AG1003" s="6">
        <f>IMABS(AD1003)</f>
        <v>0</v>
      </c>
      <c r="AH1003" s="7">
        <f>20*LOG10(MAX(AE1003,1E-300)*1E6)</f>
        <v>0</v>
      </c>
      <c r="AI1003" s="7">
        <f>20*LOG10(MAX(AF1003,1E-300)*1E6)</f>
        <v>0</v>
      </c>
      <c r="AJ1003" s="7">
        <f>20*LOG10(MAX(AG1003,1E-300)*1E6)</f>
        <v>0</v>
      </c>
      <c r="AK1003" s="7">
        <f>DEGREES(IMARGUMENT(AB1003))</f>
        <v>0</v>
      </c>
      <c r="AL1003" s="7">
        <f>DEGREES(IMARGUMENT(AC1003))</f>
        <v>0</v>
      </c>
      <c r="AM1003" s="7">
        <f>DEGREES(IMARGUMENT(AD1003))</f>
        <v>0</v>
      </c>
    </row>
    <row r="1004" spans="1:39">
      <c r="A1004" s="6">
        <f>10^(LOG10(F_START)+(ROW()-ROW($A$2))*(LOG10(F_STOP)-LOG10(F_START))/(N_POINTS-1))</f>
        <v>0</v>
      </c>
      <c r="B1004" s="6">
        <f>2*PI()*A1004</f>
        <v>0</v>
      </c>
      <c r="C1004">
        <f>COMPLEX(2*LINE_PS_DCR,2*B1004*LINE_PS_L)</f>
        <v>0</v>
      </c>
      <c r="D1004">
        <f>IMSUM(COMPLEX(0,B1004*(LINE_PS_CLINE+LINE_PS_CCHA/2)),IMDIV("1",IMPRODUCT("2",COMPLEX(C_THROUGH_ESR,B1004*C_THROUGH_ESL-1/(B1004*C_THROUGH_C)))))</f>
        <v>0</v>
      </c>
      <c r="E1004">
        <f>COMPLEX(2*LINE_INPUT_DCR,2*B1004*LINE_INPUT_L)</f>
        <v>0</v>
      </c>
      <c r="F1004">
        <f>COMPLEX(0,B1004*(LINE_INPUT_CLINE+LINE_INPUT_CCHA/2))</f>
        <v>0</v>
      </c>
      <c r="G1004">
        <f>IMPRODUCT("2",IMDIV("1",IMSUM(IMDIV("1",COMPLEX(LDM1_DCR,B1004*LDM1_L)),COMPLEX(0,B1004*LDM1_CPA))))</f>
        <v>0</v>
      </c>
      <c r="H1004">
        <f>IMSUM(IMDIV("1",COMPLEX(CX1_ESR,B1004*CX1_ESL-1/(B1004*CX1_C))),IMDIV("1",IMSUM(COMPLEX(DUMP1_R,0),COMPLEX(DUMP1_ESR,B1004*DUMP1_ESL-1/(B1004*DUMP1_C)))))</f>
        <v>0</v>
      </c>
      <c r="I1004">
        <f>IMPRODUCT("2",IMDIV("1",IMSUM(IMDIV("1",COMPLEX(LDM2_DCR,B1004*LDM2_L)),COMPLEX(0,B1004*LDM2_CPA))))</f>
        <v>0</v>
      </c>
      <c r="J1004">
        <f>IMSUM(IMDIV("1",COMPLEX(CX2_ESR,B1004*CX2_ESL-1/(B1004*CX2_C))),IMDIV("1",IMSUM(COMPLEX(DUMP2_R,0),COMPLEX(DUMP2_ESR,B1004*DUMP2_ESL-1/(B1004*DUMP2_C)))))</f>
        <v>0</v>
      </c>
      <c r="K1004">
        <f>IMPRODUCT("2",IMDIV("1",IMSUM(IMDIV("1",COMPLEX(CMC_DCR,B1004*CMC_L*(1-CMC_K))),COMPLEX(0,B1004*CMC_CPA))))</f>
        <v>0</v>
      </c>
      <c r="L1004">
        <f>IMSUM(COMPLEX(0,B1004*CMC_CLINE),IMDIV("1",IMPRODUCT("2",COMPLEX(CY_ESR,B1004*CY_ESL-1/(B1004*CY_C)))),COMPLEX(1/DUMMY_R,0))</f>
        <v>0</v>
      </c>
      <c r="M1004">
        <f>IMSUM(D1004,IMDIV("1",C1004))</f>
        <v>0</v>
      </c>
      <c r="N1004">
        <f>IMDIV("1",IMSUM(E1004,IMDIV("1",M1004)))</f>
        <v>0</v>
      </c>
      <c r="O1004">
        <f>IMSUM(F1004,N1004)</f>
        <v>0</v>
      </c>
      <c r="P1004">
        <f>IMDIV("1",IMSUM(G1004,IMDIV("1",O1004)))</f>
        <v>0</v>
      </c>
      <c r="Q1004">
        <f>IMSUM(H1004,P1004)</f>
        <v>0</v>
      </c>
      <c r="R1004">
        <f>IMDIV("1",IMSUM(I1004,IMDIV("1",Q1004)))</f>
        <v>0</v>
      </c>
      <c r="S1004">
        <f>IMSUM(J1004,R1004)</f>
        <v>0</v>
      </c>
      <c r="T1004">
        <f>IMDIV("1",IMSUM(K1004,IMDIV("1",S1004)))</f>
        <v>0</v>
      </c>
      <c r="U1004">
        <f>IMSUM(L1004,T1004)</f>
        <v>0</v>
      </c>
      <c r="V1004">
        <f>IMDIV(COMPLEX(I_DM_SOURCE,0),U1004)</f>
        <v>0</v>
      </c>
      <c r="W1004">
        <f>IMPRODUCT(V1004,T1004)</f>
        <v>0</v>
      </c>
      <c r="X1004">
        <f>IMDIV(W1004,S1004)</f>
        <v>0</v>
      </c>
      <c r="Y1004">
        <f>IMPRODUCT(X1004,R1004)</f>
        <v>0</v>
      </c>
      <c r="Z1004">
        <f>IMDIV(Y1004,Q1004)</f>
        <v>0</v>
      </c>
      <c r="AA1004">
        <f>IMPRODUCT(Z1004,P1004)</f>
        <v>0</v>
      </c>
      <c r="AB1004">
        <f>AA1004</f>
        <v>0</v>
      </c>
      <c r="AC1004">
        <f>IMPRODUCT("-1",AB1004)</f>
        <v>0</v>
      </c>
      <c r="AD1004">
        <f>IMDIV(IMSUB(AB1004,AC1004),"2")</f>
        <v>0</v>
      </c>
      <c r="AE1004" s="6">
        <f>IMABS(AB1004)</f>
        <v>0</v>
      </c>
      <c r="AF1004" s="6">
        <f>IMABS(AC1004)</f>
        <v>0</v>
      </c>
      <c r="AG1004" s="6">
        <f>IMABS(AD1004)</f>
        <v>0</v>
      </c>
      <c r="AH1004" s="7">
        <f>20*LOG10(MAX(AE1004,1E-300)*1E6)</f>
        <v>0</v>
      </c>
      <c r="AI1004" s="7">
        <f>20*LOG10(MAX(AF1004,1E-300)*1E6)</f>
        <v>0</v>
      </c>
      <c r="AJ1004" s="7">
        <f>20*LOG10(MAX(AG1004,1E-300)*1E6)</f>
        <v>0</v>
      </c>
      <c r="AK1004" s="7">
        <f>DEGREES(IMARGUMENT(AB1004))</f>
        <v>0</v>
      </c>
      <c r="AL1004" s="7">
        <f>DEGREES(IMARGUMENT(AC1004))</f>
        <v>0</v>
      </c>
      <c r="AM1004" s="7">
        <f>DEGREES(IMARGUMENT(AD1004))</f>
        <v>0</v>
      </c>
    </row>
    <row r="1005" spans="1:39">
      <c r="A1005" s="6">
        <f>10^(LOG10(F_START)+(ROW()-ROW($A$2))*(LOG10(F_STOP)-LOG10(F_START))/(N_POINTS-1))</f>
        <v>0</v>
      </c>
      <c r="B1005" s="6">
        <f>2*PI()*A1005</f>
        <v>0</v>
      </c>
      <c r="C1005">
        <f>COMPLEX(2*LINE_PS_DCR,2*B1005*LINE_PS_L)</f>
        <v>0</v>
      </c>
      <c r="D1005">
        <f>IMSUM(COMPLEX(0,B1005*(LINE_PS_CLINE+LINE_PS_CCHA/2)),IMDIV("1",IMPRODUCT("2",COMPLEX(C_THROUGH_ESR,B1005*C_THROUGH_ESL-1/(B1005*C_THROUGH_C)))))</f>
        <v>0</v>
      </c>
      <c r="E1005">
        <f>COMPLEX(2*LINE_INPUT_DCR,2*B1005*LINE_INPUT_L)</f>
        <v>0</v>
      </c>
      <c r="F1005">
        <f>COMPLEX(0,B1005*(LINE_INPUT_CLINE+LINE_INPUT_CCHA/2))</f>
        <v>0</v>
      </c>
      <c r="G1005">
        <f>IMPRODUCT("2",IMDIV("1",IMSUM(IMDIV("1",COMPLEX(LDM1_DCR,B1005*LDM1_L)),COMPLEX(0,B1005*LDM1_CPA))))</f>
        <v>0</v>
      </c>
      <c r="H1005">
        <f>IMSUM(IMDIV("1",COMPLEX(CX1_ESR,B1005*CX1_ESL-1/(B1005*CX1_C))),IMDIV("1",IMSUM(COMPLEX(DUMP1_R,0),COMPLEX(DUMP1_ESR,B1005*DUMP1_ESL-1/(B1005*DUMP1_C)))))</f>
        <v>0</v>
      </c>
      <c r="I1005">
        <f>IMPRODUCT("2",IMDIV("1",IMSUM(IMDIV("1",COMPLEX(LDM2_DCR,B1005*LDM2_L)),COMPLEX(0,B1005*LDM2_CPA))))</f>
        <v>0</v>
      </c>
      <c r="J1005">
        <f>IMSUM(IMDIV("1",COMPLEX(CX2_ESR,B1005*CX2_ESL-1/(B1005*CX2_C))),IMDIV("1",IMSUM(COMPLEX(DUMP2_R,0),COMPLEX(DUMP2_ESR,B1005*DUMP2_ESL-1/(B1005*DUMP2_C)))))</f>
        <v>0</v>
      </c>
      <c r="K1005">
        <f>IMPRODUCT("2",IMDIV("1",IMSUM(IMDIV("1",COMPLEX(CMC_DCR,B1005*CMC_L*(1-CMC_K))),COMPLEX(0,B1005*CMC_CPA))))</f>
        <v>0</v>
      </c>
      <c r="L1005">
        <f>IMSUM(COMPLEX(0,B1005*CMC_CLINE),IMDIV("1",IMPRODUCT("2",COMPLEX(CY_ESR,B1005*CY_ESL-1/(B1005*CY_C)))),COMPLEX(1/DUMMY_R,0))</f>
        <v>0</v>
      </c>
      <c r="M1005">
        <f>IMSUM(D1005,IMDIV("1",C1005))</f>
        <v>0</v>
      </c>
      <c r="N1005">
        <f>IMDIV("1",IMSUM(E1005,IMDIV("1",M1005)))</f>
        <v>0</v>
      </c>
      <c r="O1005">
        <f>IMSUM(F1005,N1005)</f>
        <v>0</v>
      </c>
      <c r="P1005">
        <f>IMDIV("1",IMSUM(G1005,IMDIV("1",O1005)))</f>
        <v>0</v>
      </c>
      <c r="Q1005">
        <f>IMSUM(H1005,P1005)</f>
        <v>0</v>
      </c>
      <c r="R1005">
        <f>IMDIV("1",IMSUM(I1005,IMDIV("1",Q1005)))</f>
        <v>0</v>
      </c>
      <c r="S1005">
        <f>IMSUM(J1005,R1005)</f>
        <v>0</v>
      </c>
      <c r="T1005">
        <f>IMDIV("1",IMSUM(K1005,IMDIV("1",S1005)))</f>
        <v>0</v>
      </c>
      <c r="U1005">
        <f>IMSUM(L1005,T1005)</f>
        <v>0</v>
      </c>
      <c r="V1005">
        <f>IMDIV(COMPLEX(I_DM_SOURCE,0),U1005)</f>
        <v>0</v>
      </c>
      <c r="W1005">
        <f>IMPRODUCT(V1005,T1005)</f>
        <v>0</v>
      </c>
      <c r="X1005">
        <f>IMDIV(W1005,S1005)</f>
        <v>0</v>
      </c>
      <c r="Y1005">
        <f>IMPRODUCT(X1005,R1005)</f>
        <v>0</v>
      </c>
      <c r="Z1005">
        <f>IMDIV(Y1005,Q1005)</f>
        <v>0</v>
      </c>
      <c r="AA1005">
        <f>IMPRODUCT(Z1005,P1005)</f>
        <v>0</v>
      </c>
      <c r="AB1005">
        <f>AA1005</f>
        <v>0</v>
      </c>
      <c r="AC1005">
        <f>IMPRODUCT("-1",AB1005)</f>
        <v>0</v>
      </c>
      <c r="AD1005">
        <f>IMDIV(IMSUB(AB1005,AC1005),"2")</f>
        <v>0</v>
      </c>
      <c r="AE1005" s="6">
        <f>IMABS(AB1005)</f>
        <v>0</v>
      </c>
      <c r="AF1005" s="6">
        <f>IMABS(AC1005)</f>
        <v>0</v>
      </c>
      <c r="AG1005" s="6">
        <f>IMABS(AD1005)</f>
        <v>0</v>
      </c>
      <c r="AH1005" s="7">
        <f>20*LOG10(MAX(AE1005,1E-300)*1E6)</f>
        <v>0</v>
      </c>
      <c r="AI1005" s="7">
        <f>20*LOG10(MAX(AF1005,1E-300)*1E6)</f>
        <v>0</v>
      </c>
      <c r="AJ1005" s="7">
        <f>20*LOG10(MAX(AG1005,1E-300)*1E6)</f>
        <v>0</v>
      </c>
      <c r="AK1005" s="7">
        <f>DEGREES(IMARGUMENT(AB1005))</f>
        <v>0</v>
      </c>
      <c r="AL1005" s="7">
        <f>DEGREES(IMARGUMENT(AC1005))</f>
        <v>0</v>
      </c>
      <c r="AM1005" s="7">
        <f>DEGREES(IMARGUMENT(AD1005))</f>
        <v>0</v>
      </c>
    </row>
    <row r="1006" spans="1:39">
      <c r="A1006" s="6">
        <f>10^(LOG10(F_START)+(ROW()-ROW($A$2))*(LOG10(F_STOP)-LOG10(F_START))/(N_POINTS-1))</f>
        <v>0</v>
      </c>
      <c r="B1006" s="6">
        <f>2*PI()*A1006</f>
        <v>0</v>
      </c>
      <c r="C1006">
        <f>COMPLEX(2*LINE_PS_DCR,2*B1006*LINE_PS_L)</f>
        <v>0</v>
      </c>
      <c r="D1006">
        <f>IMSUM(COMPLEX(0,B1006*(LINE_PS_CLINE+LINE_PS_CCHA/2)),IMDIV("1",IMPRODUCT("2",COMPLEX(C_THROUGH_ESR,B1006*C_THROUGH_ESL-1/(B1006*C_THROUGH_C)))))</f>
        <v>0</v>
      </c>
      <c r="E1006">
        <f>COMPLEX(2*LINE_INPUT_DCR,2*B1006*LINE_INPUT_L)</f>
        <v>0</v>
      </c>
      <c r="F1006">
        <f>COMPLEX(0,B1006*(LINE_INPUT_CLINE+LINE_INPUT_CCHA/2))</f>
        <v>0</v>
      </c>
      <c r="G1006">
        <f>IMPRODUCT("2",IMDIV("1",IMSUM(IMDIV("1",COMPLEX(LDM1_DCR,B1006*LDM1_L)),COMPLEX(0,B1006*LDM1_CPA))))</f>
        <v>0</v>
      </c>
      <c r="H1006">
        <f>IMSUM(IMDIV("1",COMPLEX(CX1_ESR,B1006*CX1_ESL-1/(B1006*CX1_C))),IMDIV("1",IMSUM(COMPLEX(DUMP1_R,0),COMPLEX(DUMP1_ESR,B1006*DUMP1_ESL-1/(B1006*DUMP1_C)))))</f>
        <v>0</v>
      </c>
      <c r="I1006">
        <f>IMPRODUCT("2",IMDIV("1",IMSUM(IMDIV("1",COMPLEX(LDM2_DCR,B1006*LDM2_L)),COMPLEX(0,B1006*LDM2_CPA))))</f>
        <v>0</v>
      </c>
      <c r="J1006">
        <f>IMSUM(IMDIV("1",COMPLEX(CX2_ESR,B1006*CX2_ESL-1/(B1006*CX2_C))),IMDIV("1",IMSUM(COMPLEX(DUMP2_R,0),COMPLEX(DUMP2_ESR,B1006*DUMP2_ESL-1/(B1006*DUMP2_C)))))</f>
        <v>0</v>
      </c>
      <c r="K1006">
        <f>IMPRODUCT("2",IMDIV("1",IMSUM(IMDIV("1",COMPLEX(CMC_DCR,B1006*CMC_L*(1-CMC_K))),COMPLEX(0,B1006*CMC_CPA))))</f>
        <v>0</v>
      </c>
      <c r="L1006">
        <f>IMSUM(COMPLEX(0,B1006*CMC_CLINE),IMDIV("1",IMPRODUCT("2",COMPLEX(CY_ESR,B1006*CY_ESL-1/(B1006*CY_C)))),COMPLEX(1/DUMMY_R,0))</f>
        <v>0</v>
      </c>
      <c r="M1006">
        <f>IMSUM(D1006,IMDIV("1",C1006))</f>
        <v>0</v>
      </c>
      <c r="N1006">
        <f>IMDIV("1",IMSUM(E1006,IMDIV("1",M1006)))</f>
        <v>0</v>
      </c>
      <c r="O1006">
        <f>IMSUM(F1006,N1006)</f>
        <v>0</v>
      </c>
      <c r="P1006">
        <f>IMDIV("1",IMSUM(G1006,IMDIV("1",O1006)))</f>
        <v>0</v>
      </c>
      <c r="Q1006">
        <f>IMSUM(H1006,P1006)</f>
        <v>0</v>
      </c>
      <c r="R1006">
        <f>IMDIV("1",IMSUM(I1006,IMDIV("1",Q1006)))</f>
        <v>0</v>
      </c>
      <c r="S1006">
        <f>IMSUM(J1006,R1006)</f>
        <v>0</v>
      </c>
      <c r="T1006">
        <f>IMDIV("1",IMSUM(K1006,IMDIV("1",S1006)))</f>
        <v>0</v>
      </c>
      <c r="U1006">
        <f>IMSUM(L1006,T1006)</f>
        <v>0</v>
      </c>
      <c r="V1006">
        <f>IMDIV(COMPLEX(I_DM_SOURCE,0),U1006)</f>
        <v>0</v>
      </c>
      <c r="W1006">
        <f>IMPRODUCT(V1006,T1006)</f>
        <v>0</v>
      </c>
      <c r="X1006">
        <f>IMDIV(W1006,S1006)</f>
        <v>0</v>
      </c>
      <c r="Y1006">
        <f>IMPRODUCT(X1006,R1006)</f>
        <v>0</v>
      </c>
      <c r="Z1006">
        <f>IMDIV(Y1006,Q1006)</f>
        <v>0</v>
      </c>
      <c r="AA1006">
        <f>IMPRODUCT(Z1006,P1006)</f>
        <v>0</v>
      </c>
      <c r="AB1006">
        <f>AA1006</f>
        <v>0</v>
      </c>
      <c r="AC1006">
        <f>IMPRODUCT("-1",AB1006)</f>
        <v>0</v>
      </c>
      <c r="AD1006">
        <f>IMDIV(IMSUB(AB1006,AC1006),"2")</f>
        <v>0</v>
      </c>
      <c r="AE1006" s="6">
        <f>IMABS(AB1006)</f>
        <v>0</v>
      </c>
      <c r="AF1006" s="6">
        <f>IMABS(AC1006)</f>
        <v>0</v>
      </c>
      <c r="AG1006" s="6">
        <f>IMABS(AD1006)</f>
        <v>0</v>
      </c>
      <c r="AH1006" s="7">
        <f>20*LOG10(MAX(AE1006,1E-300)*1E6)</f>
        <v>0</v>
      </c>
      <c r="AI1006" s="7">
        <f>20*LOG10(MAX(AF1006,1E-300)*1E6)</f>
        <v>0</v>
      </c>
      <c r="AJ1006" s="7">
        <f>20*LOG10(MAX(AG1006,1E-300)*1E6)</f>
        <v>0</v>
      </c>
      <c r="AK1006" s="7">
        <f>DEGREES(IMARGUMENT(AB1006))</f>
        <v>0</v>
      </c>
      <c r="AL1006" s="7">
        <f>DEGREES(IMARGUMENT(AC1006))</f>
        <v>0</v>
      </c>
      <c r="AM1006" s="7">
        <f>DEGREES(IMARGUMENT(AD1006))</f>
        <v>0</v>
      </c>
    </row>
    <row r="1007" spans="1:39">
      <c r="A1007" s="6">
        <f>10^(LOG10(F_START)+(ROW()-ROW($A$2))*(LOG10(F_STOP)-LOG10(F_START))/(N_POINTS-1))</f>
        <v>0</v>
      </c>
      <c r="B1007" s="6">
        <f>2*PI()*A1007</f>
        <v>0</v>
      </c>
      <c r="C1007">
        <f>COMPLEX(2*LINE_PS_DCR,2*B1007*LINE_PS_L)</f>
        <v>0</v>
      </c>
      <c r="D1007">
        <f>IMSUM(COMPLEX(0,B1007*(LINE_PS_CLINE+LINE_PS_CCHA/2)),IMDIV("1",IMPRODUCT("2",COMPLEX(C_THROUGH_ESR,B1007*C_THROUGH_ESL-1/(B1007*C_THROUGH_C)))))</f>
        <v>0</v>
      </c>
      <c r="E1007">
        <f>COMPLEX(2*LINE_INPUT_DCR,2*B1007*LINE_INPUT_L)</f>
        <v>0</v>
      </c>
      <c r="F1007">
        <f>COMPLEX(0,B1007*(LINE_INPUT_CLINE+LINE_INPUT_CCHA/2))</f>
        <v>0</v>
      </c>
      <c r="G1007">
        <f>IMPRODUCT("2",IMDIV("1",IMSUM(IMDIV("1",COMPLEX(LDM1_DCR,B1007*LDM1_L)),COMPLEX(0,B1007*LDM1_CPA))))</f>
        <v>0</v>
      </c>
      <c r="H1007">
        <f>IMSUM(IMDIV("1",COMPLEX(CX1_ESR,B1007*CX1_ESL-1/(B1007*CX1_C))),IMDIV("1",IMSUM(COMPLEX(DUMP1_R,0),COMPLEX(DUMP1_ESR,B1007*DUMP1_ESL-1/(B1007*DUMP1_C)))))</f>
        <v>0</v>
      </c>
      <c r="I1007">
        <f>IMPRODUCT("2",IMDIV("1",IMSUM(IMDIV("1",COMPLEX(LDM2_DCR,B1007*LDM2_L)),COMPLEX(0,B1007*LDM2_CPA))))</f>
        <v>0</v>
      </c>
      <c r="J1007">
        <f>IMSUM(IMDIV("1",COMPLEX(CX2_ESR,B1007*CX2_ESL-1/(B1007*CX2_C))),IMDIV("1",IMSUM(COMPLEX(DUMP2_R,0),COMPLEX(DUMP2_ESR,B1007*DUMP2_ESL-1/(B1007*DUMP2_C)))))</f>
        <v>0</v>
      </c>
      <c r="K1007">
        <f>IMPRODUCT("2",IMDIV("1",IMSUM(IMDIV("1",COMPLEX(CMC_DCR,B1007*CMC_L*(1-CMC_K))),COMPLEX(0,B1007*CMC_CPA))))</f>
        <v>0</v>
      </c>
      <c r="L1007">
        <f>IMSUM(COMPLEX(0,B1007*CMC_CLINE),IMDIV("1",IMPRODUCT("2",COMPLEX(CY_ESR,B1007*CY_ESL-1/(B1007*CY_C)))),COMPLEX(1/DUMMY_R,0))</f>
        <v>0</v>
      </c>
      <c r="M1007">
        <f>IMSUM(D1007,IMDIV("1",C1007))</f>
        <v>0</v>
      </c>
      <c r="N1007">
        <f>IMDIV("1",IMSUM(E1007,IMDIV("1",M1007)))</f>
        <v>0</v>
      </c>
      <c r="O1007">
        <f>IMSUM(F1007,N1007)</f>
        <v>0</v>
      </c>
      <c r="P1007">
        <f>IMDIV("1",IMSUM(G1007,IMDIV("1",O1007)))</f>
        <v>0</v>
      </c>
      <c r="Q1007">
        <f>IMSUM(H1007,P1007)</f>
        <v>0</v>
      </c>
      <c r="R1007">
        <f>IMDIV("1",IMSUM(I1007,IMDIV("1",Q1007)))</f>
        <v>0</v>
      </c>
      <c r="S1007">
        <f>IMSUM(J1007,R1007)</f>
        <v>0</v>
      </c>
      <c r="T1007">
        <f>IMDIV("1",IMSUM(K1007,IMDIV("1",S1007)))</f>
        <v>0</v>
      </c>
      <c r="U1007">
        <f>IMSUM(L1007,T1007)</f>
        <v>0</v>
      </c>
      <c r="V1007">
        <f>IMDIV(COMPLEX(I_DM_SOURCE,0),U1007)</f>
        <v>0</v>
      </c>
      <c r="W1007">
        <f>IMPRODUCT(V1007,T1007)</f>
        <v>0</v>
      </c>
      <c r="X1007">
        <f>IMDIV(W1007,S1007)</f>
        <v>0</v>
      </c>
      <c r="Y1007">
        <f>IMPRODUCT(X1007,R1007)</f>
        <v>0</v>
      </c>
      <c r="Z1007">
        <f>IMDIV(Y1007,Q1007)</f>
        <v>0</v>
      </c>
      <c r="AA1007">
        <f>IMPRODUCT(Z1007,P1007)</f>
        <v>0</v>
      </c>
      <c r="AB1007">
        <f>AA1007</f>
        <v>0</v>
      </c>
      <c r="AC1007">
        <f>IMPRODUCT("-1",AB1007)</f>
        <v>0</v>
      </c>
      <c r="AD1007">
        <f>IMDIV(IMSUB(AB1007,AC1007),"2")</f>
        <v>0</v>
      </c>
      <c r="AE1007" s="6">
        <f>IMABS(AB1007)</f>
        <v>0</v>
      </c>
      <c r="AF1007" s="6">
        <f>IMABS(AC1007)</f>
        <v>0</v>
      </c>
      <c r="AG1007" s="6">
        <f>IMABS(AD1007)</f>
        <v>0</v>
      </c>
      <c r="AH1007" s="7">
        <f>20*LOG10(MAX(AE1007,1E-300)*1E6)</f>
        <v>0</v>
      </c>
      <c r="AI1007" s="7">
        <f>20*LOG10(MAX(AF1007,1E-300)*1E6)</f>
        <v>0</v>
      </c>
      <c r="AJ1007" s="7">
        <f>20*LOG10(MAX(AG1007,1E-300)*1E6)</f>
        <v>0</v>
      </c>
      <c r="AK1007" s="7">
        <f>DEGREES(IMARGUMENT(AB1007))</f>
        <v>0</v>
      </c>
      <c r="AL1007" s="7">
        <f>DEGREES(IMARGUMENT(AC1007))</f>
        <v>0</v>
      </c>
      <c r="AM1007" s="7">
        <f>DEGREES(IMARGUMENT(AD1007))</f>
        <v>0</v>
      </c>
    </row>
    <row r="1008" spans="1:39">
      <c r="A1008" s="6">
        <f>10^(LOG10(F_START)+(ROW()-ROW($A$2))*(LOG10(F_STOP)-LOG10(F_START))/(N_POINTS-1))</f>
        <v>0</v>
      </c>
      <c r="B1008" s="6">
        <f>2*PI()*A1008</f>
        <v>0</v>
      </c>
      <c r="C1008">
        <f>COMPLEX(2*LINE_PS_DCR,2*B1008*LINE_PS_L)</f>
        <v>0</v>
      </c>
      <c r="D1008">
        <f>IMSUM(COMPLEX(0,B1008*(LINE_PS_CLINE+LINE_PS_CCHA/2)),IMDIV("1",IMPRODUCT("2",COMPLEX(C_THROUGH_ESR,B1008*C_THROUGH_ESL-1/(B1008*C_THROUGH_C)))))</f>
        <v>0</v>
      </c>
      <c r="E1008">
        <f>COMPLEX(2*LINE_INPUT_DCR,2*B1008*LINE_INPUT_L)</f>
        <v>0</v>
      </c>
      <c r="F1008">
        <f>COMPLEX(0,B1008*(LINE_INPUT_CLINE+LINE_INPUT_CCHA/2))</f>
        <v>0</v>
      </c>
      <c r="G1008">
        <f>IMPRODUCT("2",IMDIV("1",IMSUM(IMDIV("1",COMPLEX(LDM1_DCR,B1008*LDM1_L)),COMPLEX(0,B1008*LDM1_CPA))))</f>
        <v>0</v>
      </c>
      <c r="H1008">
        <f>IMSUM(IMDIV("1",COMPLEX(CX1_ESR,B1008*CX1_ESL-1/(B1008*CX1_C))),IMDIV("1",IMSUM(COMPLEX(DUMP1_R,0),COMPLEX(DUMP1_ESR,B1008*DUMP1_ESL-1/(B1008*DUMP1_C)))))</f>
        <v>0</v>
      </c>
      <c r="I1008">
        <f>IMPRODUCT("2",IMDIV("1",IMSUM(IMDIV("1",COMPLEX(LDM2_DCR,B1008*LDM2_L)),COMPLEX(0,B1008*LDM2_CPA))))</f>
        <v>0</v>
      </c>
      <c r="J1008">
        <f>IMSUM(IMDIV("1",COMPLEX(CX2_ESR,B1008*CX2_ESL-1/(B1008*CX2_C))),IMDIV("1",IMSUM(COMPLEX(DUMP2_R,0),COMPLEX(DUMP2_ESR,B1008*DUMP2_ESL-1/(B1008*DUMP2_C)))))</f>
        <v>0</v>
      </c>
      <c r="K1008">
        <f>IMPRODUCT("2",IMDIV("1",IMSUM(IMDIV("1",COMPLEX(CMC_DCR,B1008*CMC_L*(1-CMC_K))),COMPLEX(0,B1008*CMC_CPA))))</f>
        <v>0</v>
      </c>
      <c r="L1008">
        <f>IMSUM(COMPLEX(0,B1008*CMC_CLINE),IMDIV("1",IMPRODUCT("2",COMPLEX(CY_ESR,B1008*CY_ESL-1/(B1008*CY_C)))),COMPLEX(1/DUMMY_R,0))</f>
        <v>0</v>
      </c>
      <c r="M1008">
        <f>IMSUM(D1008,IMDIV("1",C1008))</f>
        <v>0</v>
      </c>
      <c r="N1008">
        <f>IMDIV("1",IMSUM(E1008,IMDIV("1",M1008)))</f>
        <v>0</v>
      </c>
      <c r="O1008">
        <f>IMSUM(F1008,N1008)</f>
        <v>0</v>
      </c>
      <c r="P1008">
        <f>IMDIV("1",IMSUM(G1008,IMDIV("1",O1008)))</f>
        <v>0</v>
      </c>
      <c r="Q1008">
        <f>IMSUM(H1008,P1008)</f>
        <v>0</v>
      </c>
      <c r="R1008">
        <f>IMDIV("1",IMSUM(I1008,IMDIV("1",Q1008)))</f>
        <v>0</v>
      </c>
      <c r="S1008">
        <f>IMSUM(J1008,R1008)</f>
        <v>0</v>
      </c>
      <c r="T1008">
        <f>IMDIV("1",IMSUM(K1008,IMDIV("1",S1008)))</f>
        <v>0</v>
      </c>
      <c r="U1008">
        <f>IMSUM(L1008,T1008)</f>
        <v>0</v>
      </c>
      <c r="V1008">
        <f>IMDIV(COMPLEX(I_DM_SOURCE,0),U1008)</f>
        <v>0</v>
      </c>
      <c r="W1008">
        <f>IMPRODUCT(V1008,T1008)</f>
        <v>0</v>
      </c>
      <c r="X1008">
        <f>IMDIV(W1008,S1008)</f>
        <v>0</v>
      </c>
      <c r="Y1008">
        <f>IMPRODUCT(X1008,R1008)</f>
        <v>0</v>
      </c>
      <c r="Z1008">
        <f>IMDIV(Y1008,Q1008)</f>
        <v>0</v>
      </c>
      <c r="AA1008">
        <f>IMPRODUCT(Z1008,P1008)</f>
        <v>0</v>
      </c>
      <c r="AB1008">
        <f>AA1008</f>
        <v>0</v>
      </c>
      <c r="AC1008">
        <f>IMPRODUCT("-1",AB1008)</f>
        <v>0</v>
      </c>
      <c r="AD1008">
        <f>IMDIV(IMSUB(AB1008,AC1008),"2")</f>
        <v>0</v>
      </c>
      <c r="AE1008" s="6">
        <f>IMABS(AB1008)</f>
        <v>0</v>
      </c>
      <c r="AF1008" s="6">
        <f>IMABS(AC1008)</f>
        <v>0</v>
      </c>
      <c r="AG1008" s="6">
        <f>IMABS(AD1008)</f>
        <v>0</v>
      </c>
      <c r="AH1008" s="7">
        <f>20*LOG10(MAX(AE1008,1E-300)*1E6)</f>
        <v>0</v>
      </c>
      <c r="AI1008" s="7">
        <f>20*LOG10(MAX(AF1008,1E-300)*1E6)</f>
        <v>0</v>
      </c>
      <c r="AJ1008" s="7">
        <f>20*LOG10(MAX(AG1008,1E-300)*1E6)</f>
        <v>0</v>
      </c>
      <c r="AK1008" s="7">
        <f>DEGREES(IMARGUMENT(AB1008))</f>
        <v>0</v>
      </c>
      <c r="AL1008" s="7">
        <f>DEGREES(IMARGUMENT(AC1008))</f>
        <v>0</v>
      </c>
      <c r="AM1008" s="7">
        <f>DEGREES(IMARGUMENT(AD1008))</f>
        <v>0</v>
      </c>
    </row>
    <row r="1009" spans="1:39">
      <c r="A1009" s="6">
        <f>10^(LOG10(F_START)+(ROW()-ROW($A$2))*(LOG10(F_STOP)-LOG10(F_START))/(N_POINTS-1))</f>
        <v>0</v>
      </c>
      <c r="B1009" s="6">
        <f>2*PI()*A1009</f>
        <v>0</v>
      </c>
      <c r="C1009">
        <f>COMPLEX(2*LINE_PS_DCR,2*B1009*LINE_PS_L)</f>
        <v>0</v>
      </c>
      <c r="D1009">
        <f>IMSUM(COMPLEX(0,B1009*(LINE_PS_CLINE+LINE_PS_CCHA/2)),IMDIV("1",IMPRODUCT("2",COMPLEX(C_THROUGH_ESR,B1009*C_THROUGH_ESL-1/(B1009*C_THROUGH_C)))))</f>
        <v>0</v>
      </c>
      <c r="E1009">
        <f>COMPLEX(2*LINE_INPUT_DCR,2*B1009*LINE_INPUT_L)</f>
        <v>0</v>
      </c>
      <c r="F1009">
        <f>COMPLEX(0,B1009*(LINE_INPUT_CLINE+LINE_INPUT_CCHA/2))</f>
        <v>0</v>
      </c>
      <c r="G1009">
        <f>IMPRODUCT("2",IMDIV("1",IMSUM(IMDIV("1",COMPLEX(LDM1_DCR,B1009*LDM1_L)),COMPLEX(0,B1009*LDM1_CPA))))</f>
        <v>0</v>
      </c>
      <c r="H1009">
        <f>IMSUM(IMDIV("1",COMPLEX(CX1_ESR,B1009*CX1_ESL-1/(B1009*CX1_C))),IMDIV("1",IMSUM(COMPLEX(DUMP1_R,0),COMPLEX(DUMP1_ESR,B1009*DUMP1_ESL-1/(B1009*DUMP1_C)))))</f>
        <v>0</v>
      </c>
      <c r="I1009">
        <f>IMPRODUCT("2",IMDIV("1",IMSUM(IMDIV("1",COMPLEX(LDM2_DCR,B1009*LDM2_L)),COMPLEX(0,B1009*LDM2_CPA))))</f>
        <v>0</v>
      </c>
      <c r="J1009">
        <f>IMSUM(IMDIV("1",COMPLEX(CX2_ESR,B1009*CX2_ESL-1/(B1009*CX2_C))),IMDIV("1",IMSUM(COMPLEX(DUMP2_R,0),COMPLEX(DUMP2_ESR,B1009*DUMP2_ESL-1/(B1009*DUMP2_C)))))</f>
        <v>0</v>
      </c>
      <c r="K1009">
        <f>IMPRODUCT("2",IMDIV("1",IMSUM(IMDIV("1",COMPLEX(CMC_DCR,B1009*CMC_L*(1-CMC_K))),COMPLEX(0,B1009*CMC_CPA))))</f>
        <v>0</v>
      </c>
      <c r="L1009">
        <f>IMSUM(COMPLEX(0,B1009*CMC_CLINE),IMDIV("1",IMPRODUCT("2",COMPLEX(CY_ESR,B1009*CY_ESL-1/(B1009*CY_C)))),COMPLEX(1/DUMMY_R,0))</f>
        <v>0</v>
      </c>
      <c r="M1009">
        <f>IMSUM(D1009,IMDIV("1",C1009))</f>
        <v>0</v>
      </c>
      <c r="N1009">
        <f>IMDIV("1",IMSUM(E1009,IMDIV("1",M1009)))</f>
        <v>0</v>
      </c>
      <c r="O1009">
        <f>IMSUM(F1009,N1009)</f>
        <v>0</v>
      </c>
      <c r="P1009">
        <f>IMDIV("1",IMSUM(G1009,IMDIV("1",O1009)))</f>
        <v>0</v>
      </c>
      <c r="Q1009">
        <f>IMSUM(H1009,P1009)</f>
        <v>0</v>
      </c>
      <c r="R1009">
        <f>IMDIV("1",IMSUM(I1009,IMDIV("1",Q1009)))</f>
        <v>0</v>
      </c>
      <c r="S1009">
        <f>IMSUM(J1009,R1009)</f>
        <v>0</v>
      </c>
      <c r="T1009">
        <f>IMDIV("1",IMSUM(K1009,IMDIV("1",S1009)))</f>
        <v>0</v>
      </c>
      <c r="U1009">
        <f>IMSUM(L1009,T1009)</f>
        <v>0</v>
      </c>
      <c r="V1009">
        <f>IMDIV(COMPLEX(I_DM_SOURCE,0),U1009)</f>
        <v>0</v>
      </c>
      <c r="W1009">
        <f>IMPRODUCT(V1009,T1009)</f>
        <v>0</v>
      </c>
      <c r="X1009">
        <f>IMDIV(W1009,S1009)</f>
        <v>0</v>
      </c>
      <c r="Y1009">
        <f>IMPRODUCT(X1009,R1009)</f>
        <v>0</v>
      </c>
      <c r="Z1009">
        <f>IMDIV(Y1009,Q1009)</f>
        <v>0</v>
      </c>
      <c r="AA1009">
        <f>IMPRODUCT(Z1009,P1009)</f>
        <v>0</v>
      </c>
      <c r="AB1009">
        <f>AA1009</f>
        <v>0</v>
      </c>
      <c r="AC1009">
        <f>IMPRODUCT("-1",AB1009)</f>
        <v>0</v>
      </c>
      <c r="AD1009">
        <f>IMDIV(IMSUB(AB1009,AC1009),"2")</f>
        <v>0</v>
      </c>
      <c r="AE1009" s="6">
        <f>IMABS(AB1009)</f>
        <v>0</v>
      </c>
      <c r="AF1009" s="6">
        <f>IMABS(AC1009)</f>
        <v>0</v>
      </c>
      <c r="AG1009" s="6">
        <f>IMABS(AD1009)</f>
        <v>0</v>
      </c>
      <c r="AH1009" s="7">
        <f>20*LOG10(MAX(AE1009,1E-300)*1E6)</f>
        <v>0</v>
      </c>
      <c r="AI1009" s="7">
        <f>20*LOG10(MAX(AF1009,1E-300)*1E6)</f>
        <v>0</v>
      </c>
      <c r="AJ1009" s="7">
        <f>20*LOG10(MAX(AG1009,1E-300)*1E6)</f>
        <v>0</v>
      </c>
      <c r="AK1009" s="7">
        <f>DEGREES(IMARGUMENT(AB1009))</f>
        <v>0</v>
      </c>
      <c r="AL1009" s="7">
        <f>DEGREES(IMARGUMENT(AC1009))</f>
        <v>0</v>
      </c>
      <c r="AM1009" s="7">
        <f>DEGREES(IMARGUMENT(AD1009))</f>
        <v>0</v>
      </c>
    </row>
    <row r="1010" spans="1:39">
      <c r="A1010" s="6">
        <f>10^(LOG10(F_START)+(ROW()-ROW($A$2))*(LOG10(F_STOP)-LOG10(F_START))/(N_POINTS-1))</f>
        <v>0</v>
      </c>
      <c r="B1010" s="6">
        <f>2*PI()*A1010</f>
        <v>0</v>
      </c>
      <c r="C1010">
        <f>COMPLEX(2*LINE_PS_DCR,2*B1010*LINE_PS_L)</f>
        <v>0</v>
      </c>
      <c r="D1010">
        <f>IMSUM(COMPLEX(0,B1010*(LINE_PS_CLINE+LINE_PS_CCHA/2)),IMDIV("1",IMPRODUCT("2",COMPLEX(C_THROUGH_ESR,B1010*C_THROUGH_ESL-1/(B1010*C_THROUGH_C)))))</f>
        <v>0</v>
      </c>
      <c r="E1010">
        <f>COMPLEX(2*LINE_INPUT_DCR,2*B1010*LINE_INPUT_L)</f>
        <v>0</v>
      </c>
      <c r="F1010">
        <f>COMPLEX(0,B1010*(LINE_INPUT_CLINE+LINE_INPUT_CCHA/2))</f>
        <v>0</v>
      </c>
      <c r="G1010">
        <f>IMPRODUCT("2",IMDIV("1",IMSUM(IMDIV("1",COMPLEX(LDM1_DCR,B1010*LDM1_L)),COMPLEX(0,B1010*LDM1_CPA))))</f>
        <v>0</v>
      </c>
      <c r="H1010">
        <f>IMSUM(IMDIV("1",COMPLEX(CX1_ESR,B1010*CX1_ESL-1/(B1010*CX1_C))),IMDIV("1",IMSUM(COMPLEX(DUMP1_R,0),COMPLEX(DUMP1_ESR,B1010*DUMP1_ESL-1/(B1010*DUMP1_C)))))</f>
        <v>0</v>
      </c>
      <c r="I1010">
        <f>IMPRODUCT("2",IMDIV("1",IMSUM(IMDIV("1",COMPLEX(LDM2_DCR,B1010*LDM2_L)),COMPLEX(0,B1010*LDM2_CPA))))</f>
        <v>0</v>
      </c>
      <c r="J1010">
        <f>IMSUM(IMDIV("1",COMPLEX(CX2_ESR,B1010*CX2_ESL-1/(B1010*CX2_C))),IMDIV("1",IMSUM(COMPLEX(DUMP2_R,0),COMPLEX(DUMP2_ESR,B1010*DUMP2_ESL-1/(B1010*DUMP2_C)))))</f>
        <v>0</v>
      </c>
      <c r="K1010">
        <f>IMPRODUCT("2",IMDIV("1",IMSUM(IMDIV("1",COMPLEX(CMC_DCR,B1010*CMC_L*(1-CMC_K))),COMPLEX(0,B1010*CMC_CPA))))</f>
        <v>0</v>
      </c>
      <c r="L1010">
        <f>IMSUM(COMPLEX(0,B1010*CMC_CLINE),IMDIV("1",IMPRODUCT("2",COMPLEX(CY_ESR,B1010*CY_ESL-1/(B1010*CY_C)))),COMPLEX(1/DUMMY_R,0))</f>
        <v>0</v>
      </c>
      <c r="M1010">
        <f>IMSUM(D1010,IMDIV("1",C1010))</f>
        <v>0</v>
      </c>
      <c r="N1010">
        <f>IMDIV("1",IMSUM(E1010,IMDIV("1",M1010)))</f>
        <v>0</v>
      </c>
      <c r="O1010">
        <f>IMSUM(F1010,N1010)</f>
        <v>0</v>
      </c>
      <c r="P1010">
        <f>IMDIV("1",IMSUM(G1010,IMDIV("1",O1010)))</f>
        <v>0</v>
      </c>
      <c r="Q1010">
        <f>IMSUM(H1010,P1010)</f>
        <v>0</v>
      </c>
      <c r="R1010">
        <f>IMDIV("1",IMSUM(I1010,IMDIV("1",Q1010)))</f>
        <v>0</v>
      </c>
      <c r="S1010">
        <f>IMSUM(J1010,R1010)</f>
        <v>0</v>
      </c>
      <c r="T1010">
        <f>IMDIV("1",IMSUM(K1010,IMDIV("1",S1010)))</f>
        <v>0</v>
      </c>
      <c r="U1010">
        <f>IMSUM(L1010,T1010)</f>
        <v>0</v>
      </c>
      <c r="V1010">
        <f>IMDIV(COMPLEX(I_DM_SOURCE,0),U1010)</f>
        <v>0</v>
      </c>
      <c r="W1010">
        <f>IMPRODUCT(V1010,T1010)</f>
        <v>0</v>
      </c>
      <c r="X1010">
        <f>IMDIV(W1010,S1010)</f>
        <v>0</v>
      </c>
      <c r="Y1010">
        <f>IMPRODUCT(X1010,R1010)</f>
        <v>0</v>
      </c>
      <c r="Z1010">
        <f>IMDIV(Y1010,Q1010)</f>
        <v>0</v>
      </c>
      <c r="AA1010">
        <f>IMPRODUCT(Z1010,P1010)</f>
        <v>0</v>
      </c>
      <c r="AB1010">
        <f>AA1010</f>
        <v>0</v>
      </c>
      <c r="AC1010">
        <f>IMPRODUCT("-1",AB1010)</f>
        <v>0</v>
      </c>
      <c r="AD1010">
        <f>IMDIV(IMSUB(AB1010,AC1010),"2")</f>
        <v>0</v>
      </c>
      <c r="AE1010" s="6">
        <f>IMABS(AB1010)</f>
        <v>0</v>
      </c>
      <c r="AF1010" s="6">
        <f>IMABS(AC1010)</f>
        <v>0</v>
      </c>
      <c r="AG1010" s="6">
        <f>IMABS(AD1010)</f>
        <v>0</v>
      </c>
      <c r="AH1010" s="7">
        <f>20*LOG10(MAX(AE1010,1E-300)*1E6)</f>
        <v>0</v>
      </c>
      <c r="AI1010" s="7">
        <f>20*LOG10(MAX(AF1010,1E-300)*1E6)</f>
        <v>0</v>
      </c>
      <c r="AJ1010" s="7">
        <f>20*LOG10(MAX(AG1010,1E-300)*1E6)</f>
        <v>0</v>
      </c>
      <c r="AK1010" s="7">
        <f>DEGREES(IMARGUMENT(AB1010))</f>
        <v>0</v>
      </c>
      <c r="AL1010" s="7">
        <f>DEGREES(IMARGUMENT(AC1010))</f>
        <v>0</v>
      </c>
      <c r="AM1010" s="7">
        <f>DEGREES(IMARGUMENT(AD1010))</f>
        <v>0</v>
      </c>
    </row>
    <row r="1011" spans="1:39">
      <c r="A1011" s="6">
        <f>10^(LOG10(F_START)+(ROW()-ROW($A$2))*(LOG10(F_STOP)-LOG10(F_START))/(N_POINTS-1))</f>
        <v>0</v>
      </c>
      <c r="B1011" s="6">
        <f>2*PI()*A1011</f>
        <v>0</v>
      </c>
      <c r="C1011">
        <f>COMPLEX(2*LINE_PS_DCR,2*B1011*LINE_PS_L)</f>
        <v>0</v>
      </c>
      <c r="D1011">
        <f>IMSUM(COMPLEX(0,B1011*(LINE_PS_CLINE+LINE_PS_CCHA/2)),IMDIV("1",IMPRODUCT("2",COMPLEX(C_THROUGH_ESR,B1011*C_THROUGH_ESL-1/(B1011*C_THROUGH_C)))))</f>
        <v>0</v>
      </c>
      <c r="E1011">
        <f>COMPLEX(2*LINE_INPUT_DCR,2*B1011*LINE_INPUT_L)</f>
        <v>0</v>
      </c>
      <c r="F1011">
        <f>COMPLEX(0,B1011*(LINE_INPUT_CLINE+LINE_INPUT_CCHA/2))</f>
        <v>0</v>
      </c>
      <c r="G1011">
        <f>IMPRODUCT("2",IMDIV("1",IMSUM(IMDIV("1",COMPLEX(LDM1_DCR,B1011*LDM1_L)),COMPLEX(0,B1011*LDM1_CPA))))</f>
        <v>0</v>
      </c>
      <c r="H1011">
        <f>IMSUM(IMDIV("1",COMPLEX(CX1_ESR,B1011*CX1_ESL-1/(B1011*CX1_C))),IMDIV("1",IMSUM(COMPLEX(DUMP1_R,0),COMPLEX(DUMP1_ESR,B1011*DUMP1_ESL-1/(B1011*DUMP1_C)))))</f>
        <v>0</v>
      </c>
      <c r="I1011">
        <f>IMPRODUCT("2",IMDIV("1",IMSUM(IMDIV("1",COMPLEX(LDM2_DCR,B1011*LDM2_L)),COMPLEX(0,B1011*LDM2_CPA))))</f>
        <v>0</v>
      </c>
      <c r="J1011">
        <f>IMSUM(IMDIV("1",COMPLEX(CX2_ESR,B1011*CX2_ESL-1/(B1011*CX2_C))),IMDIV("1",IMSUM(COMPLEX(DUMP2_R,0),COMPLEX(DUMP2_ESR,B1011*DUMP2_ESL-1/(B1011*DUMP2_C)))))</f>
        <v>0</v>
      </c>
      <c r="K1011">
        <f>IMPRODUCT("2",IMDIV("1",IMSUM(IMDIV("1",COMPLEX(CMC_DCR,B1011*CMC_L*(1-CMC_K))),COMPLEX(0,B1011*CMC_CPA))))</f>
        <v>0</v>
      </c>
      <c r="L1011">
        <f>IMSUM(COMPLEX(0,B1011*CMC_CLINE),IMDIV("1",IMPRODUCT("2",COMPLEX(CY_ESR,B1011*CY_ESL-1/(B1011*CY_C)))),COMPLEX(1/DUMMY_R,0))</f>
        <v>0</v>
      </c>
      <c r="M1011">
        <f>IMSUM(D1011,IMDIV("1",C1011))</f>
        <v>0</v>
      </c>
      <c r="N1011">
        <f>IMDIV("1",IMSUM(E1011,IMDIV("1",M1011)))</f>
        <v>0</v>
      </c>
      <c r="O1011">
        <f>IMSUM(F1011,N1011)</f>
        <v>0</v>
      </c>
      <c r="P1011">
        <f>IMDIV("1",IMSUM(G1011,IMDIV("1",O1011)))</f>
        <v>0</v>
      </c>
      <c r="Q1011">
        <f>IMSUM(H1011,P1011)</f>
        <v>0</v>
      </c>
      <c r="R1011">
        <f>IMDIV("1",IMSUM(I1011,IMDIV("1",Q1011)))</f>
        <v>0</v>
      </c>
      <c r="S1011">
        <f>IMSUM(J1011,R1011)</f>
        <v>0</v>
      </c>
      <c r="T1011">
        <f>IMDIV("1",IMSUM(K1011,IMDIV("1",S1011)))</f>
        <v>0</v>
      </c>
      <c r="U1011">
        <f>IMSUM(L1011,T1011)</f>
        <v>0</v>
      </c>
      <c r="V1011">
        <f>IMDIV(COMPLEX(I_DM_SOURCE,0),U1011)</f>
        <v>0</v>
      </c>
      <c r="W1011">
        <f>IMPRODUCT(V1011,T1011)</f>
        <v>0</v>
      </c>
      <c r="X1011">
        <f>IMDIV(W1011,S1011)</f>
        <v>0</v>
      </c>
      <c r="Y1011">
        <f>IMPRODUCT(X1011,R1011)</f>
        <v>0</v>
      </c>
      <c r="Z1011">
        <f>IMDIV(Y1011,Q1011)</f>
        <v>0</v>
      </c>
      <c r="AA1011">
        <f>IMPRODUCT(Z1011,P1011)</f>
        <v>0</v>
      </c>
      <c r="AB1011">
        <f>AA1011</f>
        <v>0</v>
      </c>
      <c r="AC1011">
        <f>IMPRODUCT("-1",AB1011)</f>
        <v>0</v>
      </c>
      <c r="AD1011">
        <f>IMDIV(IMSUB(AB1011,AC1011),"2")</f>
        <v>0</v>
      </c>
      <c r="AE1011" s="6">
        <f>IMABS(AB1011)</f>
        <v>0</v>
      </c>
      <c r="AF1011" s="6">
        <f>IMABS(AC1011)</f>
        <v>0</v>
      </c>
      <c r="AG1011" s="6">
        <f>IMABS(AD1011)</f>
        <v>0</v>
      </c>
      <c r="AH1011" s="7">
        <f>20*LOG10(MAX(AE1011,1E-300)*1E6)</f>
        <v>0</v>
      </c>
      <c r="AI1011" s="7">
        <f>20*LOG10(MAX(AF1011,1E-300)*1E6)</f>
        <v>0</v>
      </c>
      <c r="AJ1011" s="7">
        <f>20*LOG10(MAX(AG1011,1E-300)*1E6)</f>
        <v>0</v>
      </c>
      <c r="AK1011" s="7">
        <f>DEGREES(IMARGUMENT(AB1011))</f>
        <v>0</v>
      </c>
      <c r="AL1011" s="7">
        <f>DEGREES(IMARGUMENT(AC1011))</f>
        <v>0</v>
      </c>
      <c r="AM1011" s="7">
        <f>DEGREES(IMARGUMENT(AD1011))</f>
        <v>0</v>
      </c>
    </row>
    <row r="1012" spans="1:39">
      <c r="A1012" s="6">
        <f>10^(LOG10(F_START)+(ROW()-ROW($A$2))*(LOG10(F_STOP)-LOG10(F_START))/(N_POINTS-1))</f>
        <v>0</v>
      </c>
      <c r="B1012" s="6">
        <f>2*PI()*A1012</f>
        <v>0</v>
      </c>
      <c r="C1012">
        <f>COMPLEX(2*LINE_PS_DCR,2*B1012*LINE_PS_L)</f>
        <v>0</v>
      </c>
      <c r="D1012">
        <f>IMSUM(COMPLEX(0,B1012*(LINE_PS_CLINE+LINE_PS_CCHA/2)),IMDIV("1",IMPRODUCT("2",COMPLEX(C_THROUGH_ESR,B1012*C_THROUGH_ESL-1/(B1012*C_THROUGH_C)))))</f>
        <v>0</v>
      </c>
      <c r="E1012">
        <f>COMPLEX(2*LINE_INPUT_DCR,2*B1012*LINE_INPUT_L)</f>
        <v>0</v>
      </c>
      <c r="F1012">
        <f>COMPLEX(0,B1012*(LINE_INPUT_CLINE+LINE_INPUT_CCHA/2))</f>
        <v>0</v>
      </c>
      <c r="G1012">
        <f>IMPRODUCT("2",IMDIV("1",IMSUM(IMDIV("1",COMPLEX(LDM1_DCR,B1012*LDM1_L)),COMPLEX(0,B1012*LDM1_CPA))))</f>
        <v>0</v>
      </c>
      <c r="H1012">
        <f>IMSUM(IMDIV("1",COMPLEX(CX1_ESR,B1012*CX1_ESL-1/(B1012*CX1_C))),IMDIV("1",IMSUM(COMPLEX(DUMP1_R,0),COMPLEX(DUMP1_ESR,B1012*DUMP1_ESL-1/(B1012*DUMP1_C)))))</f>
        <v>0</v>
      </c>
      <c r="I1012">
        <f>IMPRODUCT("2",IMDIV("1",IMSUM(IMDIV("1",COMPLEX(LDM2_DCR,B1012*LDM2_L)),COMPLEX(0,B1012*LDM2_CPA))))</f>
        <v>0</v>
      </c>
      <c r="J1012">
        <f>IMSUM(IMDIV("1",COMPLEX(CX2_ESR,B1012*CX2_ESL-1/(B1012*CX2_C))),IMDIV("1",IMSUM(COMPLEX(DUMP2_R,0),COMPLEX(DUMP2_ESR,B1012*DUMP2_ESL-1/(B1012*DUMP2_C)))))</f>
        <v>0</v>
      </c>
      <c r="K1012">
        <f>IMPRODUCT("2",IMDIV("1",IMSUM(IMDIV("1",COMPLEX(CMC_DCR,B1012*CMC_L*(1-CMC_K))),COMPLEX(0,B1012*CMC_CPA))))</f>
        <v>0</v>
      </c>
      <c r="L1012">
        <f>IMSUM(COMPLEX(0,B1012*CMC_CLINE),IMDIV("1",IMPRODUCT("2",COMPLEX(CY_ESR,B1012*CY_ESL-1/(B1012*CY_C)))),COMPLEX(1/DUMMY_R,0))</f>
        <v>0</v>
      </c>
      <c r="M1012">
        <f>IMSUM(D1012,IMDIV("1",C1012))</f>
        <v>0</v>
      </c>
      <c r="N1012">
        <f>IMDIV("1",IMSUM(E1012,IMDIV("1",M1012)))</f>
        <v>0</v>
      </c>
      <c r="O1012">
        <f>IMSUM(F1012,N1012)</f>
        <v>0</v>
      </c>
      <c r="P1012">
        <f>IMDIV("1",IMSUM(G1012,IMDIV("1",O1012)))</f>
        <v>0</v>
      </c>
      <c r="Q1012">
        <f>IMSUM(H1012,P1012)</f>
        <v>0</v>
      </c>
      <c r="R1012">
        <f>IMDIV("1",IMSUM(I1012,IMDIV("1",Q1012)))</f>
        <v>0</v>
      </c>
      <c r="S1012">
        <f>IMSUM(J1012,R1012)</f>
        <v>0</v>
      </c>
      <c r="T1012">
        <f>IMDIV("1",IMSUM(K1012,IMDIV("1",S1012)))</f>
        <v>0</v>
      </c>
      <c r="U1012">
        <f>IMSUM(L1012,T1012)</f>
        <v>0</v>
      </c>
      <c r="V1012">
        <f>IMDIV(COMPLEX(I_DM_SOURCE,0),U1012)</f>
        <v>0</v>
      </c>
      <c r="W1012">
        <f>IMPRODUCT(V1012,T1012)</f>
        <v>0</v>
      </c>
      <c r="X1012">
        <f>IMDIV(W1012,S1012)</f>
        <v>0</v>
      </c>
      <c r="Y1012">
        <f>IMPRODUCT(X1012,R1012)</f>
        <v>0</v>
      </c>
      <c r="Z1012">
        <f>IMDIV(Y1012,Q1012)</f>
        <v>0</v>
      </c>
      <c r="AA1012">
        <f>IMPRODUCT(Z1012,P1012)</f>
        <v>0</v>
      </c>
      <c r="AB1012">
        <f>AA1012</f>
        <v>0</v>
      </c>
      <c r="AC1012">
        <f>IMPRODUCT("-1",AB1012)</f>
        <v>0</v>
      </c>
      <c r="AD1012">
        <f>IMDIV(IMSUB(AB1012,AC1012),"2")</f>
        <v>0</v>
      </c>
      <c r="AE1012" s="6">
        <f>IMABS(AB1012)</f>
        <v>0</v>
      </c>
      <c r="AF1012" s="6">
        <f>IMABS(AC1012)</f>
        <v>0</v>
      </c>
      <c r="AG1012" s="6">
        <f>IMABS(AD1012)</f>
        <v>0</v>
      </c>
      <c r="AH1012" s="7">
        <f>20*LOG10(MAX(AE1012,1E-300)*1E6)</f>
        <v>0</v>
      </c>
      <c r="AI1012" s="7">
        <f>20*LOG10(MAX(AF1012,1E-300)*1E6)</f>
        <v>0</v>
      </c>
      <c r="AJ1012" s="7">
        <f>20*LOG10(MAX(AG1012,1E-300)*1E6)</f>
        <v>0</v>
      </c>
      <c r="AK1012" s="7">
        <f>DEGREES(IMARGUMENT(AB1012))</f>
        <v>0</v>
      </c>
      <c r="AL1012" s="7">
        <f>DEGREES(IMARGUMENT(AC1012))</f>
        <v>0</v>
      </c>
      <c r="AM1012" s="7">
        <f>DEGREES(IMARGUMENT(AD1012))</f>
        <v>0</v>
      </c>
    </row>
    <row r="1013" spans="1:39">
      <c r="A1013" s="6">
        <f>10^(LOG10(F_START)+(ROW()-ROW($A$2))*(LOG10(F_STOP)-LOG10(F_START))/(N_POINTS-1))</f>
        <v>0</v>
      </c>
      <c r="B1013" s="6">
        <f>2*PI()*A1013</f>
        <v>0</v>
      </c>
      <c r="C1013">
        <f>COMPLEX(2*LINE_PS_DCR,2*B1013*LINE_PS_L)</f>
        <v>0</v>
      </c>
      <c r="D1013">
        <f>IMSUM(COMPLEX(0,B1013*(LINE_PS_CLINE+LINE_PS_CCHA/2)),IMDIV("1",IMPRODUCT("2",COMPLEX(C_THROUGH_ESR,B1013*C_THROUGH_ESL-1/(B1013*C_THROUGH_C)))))</f>
        <v>0</v>
      </c>
      <c r="E1013">
        <f>COMPLEX(2*LINE_INPUT_DCR,2*B1013*LINE_INPUT_L)</f>
        <v>0</v>
      </c>
      <c r="F1013">
        <f>COMPLEX(0,B1013*(LINE_INPUT_CLINE+LINE_INPUT_CCHA/2))</f>
        <v>0</v>
      </c>
      <c r="G1013">
        <f>IMPRODUCT("2",IMDIV("1",IMSUM(IMDIV("1",COMPLEX(LDM1_DCR,B1013*LDM1_L)),COMPLEX(0,B1013*LDM1_CPA))))</f>
        <v>0</v>
      </c>
      <c r="H1013">
        <f>IMSUM(IMDIV("1",COMPLEX(CX1_ESR,B1013*CX1_ESL-1/(B1013*CX1_C))),IMDIV("1",IMSUM(COMPLEX(DUMP1_R,0),COMPLEX(DUMP1_ESR,B1013*DUMP1_ESL-1/(B1013*DUMP1_C)))))</f>
        <v>0</v>
      </c>
      <c r="I1013">
        <f>IMPRODUCT("2",IMDIV("1",IMSUM(IMDIV("1",COMPLEX(LDM2_DCR,B1013*LDM2_L)),COMPLEX(0,B1013*LDM2_CPA))))</f>
        <v>0</v>
      </c>
      <c r="J1013">
        <f>IMSUM(IMDIV("1",COMPLEX(CX2_ESR,B1013*CX2_ESL-1/(B1013*CX2_C))),IMDIV("1",IMSUM(COMPLEX(DUMP2_R,0),COMPLEX(DUMP2_ESR,B1013*DUMP2_ESL-1/(B1013*DUMP2_C)))))</f>
        <v>0</v>
      </c>
      <c r="K1013">
        <f>IMPRODUCT("2",IMDIV("1",IMSUM(IMDIV("1",COMPLEX(CMC_DCR,B1013*CMC_L*(1-CMC_K))),COMPLEX(0,B1013*CMC_CPA))))</f>
        <v>0</v>
      </c>
      <c r="L1013">
        <f>IMSUM(COMPLEX(0,B1013*CMC_CLINE),IMDIV("1",IMPRODUCT("2",COMPLEX(CY_ESR,B1013*CY_ESL-1/(B1013*CY_C)))),COMPLEX(1/DUMMY_R,0))</f>
        <v>0</v>
      </c>
      <c r="M1013">
        <f>IMSUM(D1013,IMDIV("1",C1013))</f>
        <v>0</v>
      </c>
      <c r="N1013">
        <f>IMDIV("1",IMSUM(E1013,IMDIV("1",M1013)))</f>
        <v>0</v>
      </c>
      <c r="O1013">
        <f>IMSUM(F1013,N1013)</f>
        <v>0</v>
      </c>
      <c r="P1013">
        <f>IMDIV("1",IMSUM(G1013,IMDIV("1",O1013)))</f>
        <v>0</v>
      </c>
      <c r="Q1013">
        <f>IMSUM(H1013,P1013)</f>
        <v>0</v>
      </c>
      <c r="R1013">
        <f>IMDIV("1",IMSUM(I1013,IMDIV("1",Q1013)))</f>
        <v>0</v>
      </c>
      <c r="S1013">
        <f>IMSUM(J1013,R1013)</f>
        <v>0</v>
      </c>
      <c r="T1013">
        <f>IMDIV("1",IMSUM(K1013,IMDIV("1",S1013)))</f>
        <v>0</v>
      </c>
      <c r="U1013">
        <f>IMSUM(L1013,T1013)</f>
        <v>0</v>
      </c>
      <c r="V1013">
        <f>IMDIV(COMPLEX(I_DM_SOURCE,0),U1013)</f>
        <v>0</v>
      </c>
      <c r="W1013">
        <f>IMPRODUCT(V1013,T1013)</f>
        <v>0</v>
      </c>
      <c r="X1013">
        <f>IMDIV(W1013,S1013)</f>
        <v>0</v>
      </c>
      <c r="Y1013">
        <f>IMPRODUCT(X1013,R1013)</f>
        <v>0</v>
      </c>
      <c r="Z1013">
        <f>IMDIV(Y1013,Q1013)</f>
        <v>0</v>
      </c>
      <c r="AA1013">
        <f>IMPRODUCT(Z1013,P1013)</f>
        <v>0</v>
      </c>
      <c r="AB1013">
        <f>AA1013</f>
        <v>0</v>
      </c>
      <c r="AC1013">
        <f>IMPRODUCT("-1",AB1013)</f>
        <v>0</v>
      </c>
      <c r="AD1013">
        <f>IMDIV(IMSUB(AB1013,AC1013),"2")</f>
        <v>0</v>
      </c>
      <c r="AE1013" s="6">
        <f>IMABS(AB1013)</f>
        <v>0</v>
      </c>
      <c r="AF1013" s="6">
        <f>IMABS(AC1013)</f>
        <v>0</v>
      </c>
      <c r="AG1013" s="6">
        <f>IMABS(AD1013)</f>
        <v>0</v>
      </c>
      <c r="AH1013" s="7">
        <f>20*LOG10(MAX(AE1013,1E-300)*1E6)</f>
        <v>0</v>
      </c>
      <c r="AI1013" s="7">
        <f>20*LOG10(MAX(AF1013,1E-300)*1E6)</f>
        <v>0</v>
      </c>
      <c r="AJ1013" s="7">
        <f>20*LOG10(MAX(AG1013,1E-300)*1E6)</f>
        <v>0</v>
      </c>
      <c r="AK1013" s="7">
        <f>DEGREES(IMARGUMENT(AB1013))</f>
        <v>0</v>
      </c>
      <c r="AL1013" s="7">
        <f>DEGREES(IMARGUMENT(AC1013))</f>
        <v>0</v>
      </c>
      <c r="AM1013" s="7">
        <f>DEGREES(IMARGUMENT(AD1013))</f>
        <v>0</v>
      </c>
    </row>
    <row r="1014" spans="1:39">
      <c r="A1014" s="6">
        <f>10^(LOG10(F_START)+(ROW()-ROW($A$2))*(LOG10(F_STOP)-LOG10(F_START))/(N_POINTS-1))</f>
        <v>0</v>
      </c>
      <c r="B1014" s="6">
        <f>2*PI()*A1014</f>
        <v>0</v>
      </c>
      <c r="C1014">
        <f>COMPLEX(2*LINE_PS_DCR,2*B1014*LINE_PS_L)</f>
        <v>0</v>
      </c>
      <c r="D1014">
        <f>IMSUM(COMPLEX(0,B1014*(LINE_PS_CLINE+LINE_PS_CCHA/2)),IMDIV("1",IMPRODUCT("2",COMPLEX(C_THROUGH_ESR,B1014*C_THROUGH_ESL-1/(B1014*C_THROUGH_C)))))</f>
        <v>0</v>
      </c>
      <c r="E1014">
        <f>COMPLEX(2*LINE_INPUT_DCR,2*B1014*LINE_INPUT_L)</f>
        <v>0</v>
      </c>
      <c r="F1014">
        <f>COMPLEX(0,B1014*(LINE_INPUT_CLINE+LINE_INPUT_CCHA/2))</f>
        <v>0</v>
      </c>
      <c r="G1014">
        <f>IMPRODUCT("2",IMDIV("1",IMSUM(IMDIV("1",COMPLEX(LDM1_DCR,B1014*LDM1_L)),COMPLEX(0,B1014*LDM1_CPA))))</f>
        <v>0</v>
      </c>
      <c r="H1014">
        <f>IMSUM(IMDIV("1",COMPLEX(CX1_ESR,B1014*CX1_ESL-1/(B1014*CX1_C))),IMDIV("1",IMSUM(COMPLEX(DUMP1_R,0),COMPLEX(DUMP1_ESR,B1014*DUMP1_ESL-1/(B1014*DUMP1_C)))))</f>
        <v>0</v>
      </c>
      <c r="I1014">
        <f>IMPRODUCT("2",IMDIV("1",IMSUM(IMDIV("1",COMPLEX(LDM2_DCR,B1014*LDM2_L)),COMPLEX(0,B1014*LDM2_CPA))))</f>
        <v>0</v>
      </c>
      <c r="J1014">
        <f>IMSUM(IMDIV("1",COMPLEX(CX2_ESR,B1014*CX2_ESL-1/(B1014*CX2_C))),IMDIV("1",IMSUM(COMPLEX(DUMP2_R,0),COMPLEX(DUMP2_ESR,B1014*DUMP2_ESL-1/(B1014*DUMP2_C)))))</f>
        <v>0</v>
      </c>
      <c r="K1014">
        <f>IMPRODUCT("2",IMDIV("1",IMSUM(IMDIV("1",COMPLEX(CMC_DCR,B1014*CMC_L*(1-CMC_K))),COMPLEX(0,B1014*CMC_CPA))))</f>
        <v>0</v>
      </c>
      <c r="L1014">
        <f>IMSUM(COMPLEX(0,B1014*CMC_CLINE),IMDIV("1",IMPRODUCT("2",COMPLEX(CY_ESR,B1014*CY_ESL-1/(B1014*CY_C)))),COMPLEX(1/DUMMY_R,0))</f>
        <v>0</v>
      </c>
      <c r="M1014">
        <f>IMSUM(D1014,IMDIV("1",C1014))</f>
        <v>0</v>
      </c>
      <c r="N1014">
        <f>IMDIV("1",IMSUM(E1014,IMDIV("1",M1014)))</f>
        <v>0</v>
      </c>
      <c r="O1014">
        <f>IMSUM(F1014,N1014)</f>
        <v>0</v>
      </c>
      <c r="P1014">
        <f>IMDIV("1",IMSUM(G1014,IMDIV("1",O1014)))</f>
        <v>0</v>
      </c>
      <c r="Q1014">
        <f>IMSUM(H1014,P1014)</f>
        <v>0</v>
      </c>
      <c r="R1014">
        <f>IMDIV("1",IMSUM(I1014,IMDIV("1",Q1014)))</f>
        <v>0</v>
      </c>
      <c r="S1014">
        <f>IMSUM(J1014,R1014)</f>
        <v>0</v>
      </c>
      <c r="T1014">
        <f>IMDIV("1",IMSUM(K1014,IMDIV("1",S1014)))</f>
        <v>0</v>
      </c>
      <c r="U1014">
        <f>IMSUM(L1014,T1014)</f>
        <v>0</v>
      </c>
      <c r="V1014">
        <f>IMDIV(COMPLEX(I_DM_SOURCE,0),U1014)</f>
        <v>0</v>
      </c>
      <c r="W1014">
        <f>IMPRODUCT(V1014,T1014)</f>
        <v>0</v>
      </c>
      <c r="X1014">
        <f>IMDIV(W1014,S1014)</f>
        <v>0</v>
      </c>
      <c r="Y1014">
        <f>IMPRODUCT(X1014,R1014)</f>
        <v>0</v>
      </c>
      <c r="Z1014">
        <f>IMDIV(Y1014,Q1014)</f>
        <v>0</v>
      </c>
      <c r="AA1014">
        <f>IMPRODUCT(Z1014,P1014)</f>
        <v>0</v>
      </c>
      <c r="AB1014">
        <f>AA1014</f>
        <v>0</v>
      </c>
      <c r="AC1014">
        <f>IMPRODUCT("-1",AB1014)</f>
        <v>0</v>
      </c>
      <c r="AD1014">
        <f>IMDIV(IMSUB(AB1014,AC1014),"2")</f>
        <v>0</v>
      </c>
      <c r="AE1014" s="6">
        <f>IMABS(AB1014)</f>
        <v>0</v>
      </c>
      <c r="AF1014" s="6">
        <f>IMABS(AC1014)</f>
        <v>0</v>
      </c>
      <c r="AG1014" s="6">
        <f>IMABS(AD1014)</f>
        <v>0</v>
      </c>
      <c r="AH1014" s="7">
        <f>20*LOG10(MAX(AE1014,1E-300)*1E6)</f>
        <v>0</v>
      </c>
      <c r="AI1014" s="7">
        <f>20*LOG10(MAX(AF1014,1E-300)*1E6)</f>
        <v>0</v>
      </c>
      <c r="AJ1014" s="7">
        <f>20*LOG10(MAX(AG1014,1E-300)*1E6)</f>
        <v>0</v>
      </c>
      <c r="AK1014" s="7">
        <f>DEGREES(IMARGUMENT(AB1014))</f>
        <v>0</v>
      </c>
      <c r="AL1014" s="7">
        <f>DEGREES(IMARGUMENT(AC1014))</f>
        <v>0</v>
      </c>
      <c r="AM1014" s="7">
        <f>DEGREES(IMARGUMENT(AD1014))</f>
        <v>0</v>
      </c>
    </row>
    <row r="1015" spans="1:39">
      <c r="A1015" s="6">
        <f>10^(LOG10(F_START)+(ROW()-ROW($A$2))*(LOG10(F_STOP)-LOG10(F_START))/(N_POINTS-1))</f>
        <v>0</v>
      </c>
      <c r="B1015" s="6">
        <f>2*PI()*A1015</f>
        <v>0</v>
      </c>
      <c r="C1015">
        <f>COMPLEX(2*LINE_PS_DCR,2*B1015*LINE_PS_L)</f>
        <v>0</v>
      </c>
      <c r="D1015">
        <f>IMSUM(COMPLEX(0,B1015*(LINE_PS_CLINE+LINE_PS_CCHA/2)),IMDIV("1",IMPRODUCT("2",COMPLEX(C_THROUGH_ESR,B1015*C_THROUGH_ESL-1/(B1015*C_THROUGH_C)))))</f>
        <v>0</v>
      </c>
      <c r="E1015">
        <f>COMPLEX(2*LINE_INPUT_DCR,2*B1015*LINE_INPUT_L)</f>
        <v>0</v>
      </c>
      <c r="F1015">
        <f>COMPLEX(0,B1015*(LINE_INPUT_CLINE+LINE_INPUT_CCHA/2))</f>
        <v>0</v>
      </c>
      <c r="G1015">
        <f>IMPRODUCT("2",IMDIV("1",IMSUM(IMDIV("1",COMPLEX(LDM1_DCR,B1015*LDM1_L)),COMPLEX(0,B1015*LDM1_CPA))))</f>
        <v>0</v>
      </c>
      <c r="H1015">
        <f>IMSUM(IMDIV("1",COMPLEX(CX1_ESR,B1015*CX1_ESL-1/(B1015*CX1_C))),IMDIV("1",IMSUM(COMPLEX(DUMP1_R,0),COMPLEX(DUMP1_ESR,B1015*DUMP1_ESL-1/(B1015*DUMP1_C)))))</f>
        <v>0</v>
      </c>
      <c r="I1015">
        <f>IMPRODUCT("2",IMDIV("1",IMSUM(IMDIV("1",COMPLEX(LDM2_DCR,B1015*LDM2_L)),COMPLEX(0,B1015*LDM2_CPA))))</f>
        <v>0</v>
      </c>
      <c r="J1015">
        <f>IMSUM(IMDIV("1",COMPLEX(CX2_ESR,B1015*CX2_ESL-1/(B1015*CX2_C))),IMDIV("1",IMSUM(COMPLEX(DUMP2_R,0),COMPLEX(DUMP2_ESR,B1015*DUMP2_ESL-1/(B1015*DUMP2_C)))))</f>
        <v>0</v>
      </c>
      <c r="K1015">
        <f>IMPRODUCT("2",IMDIV("1",IMSUM(IMDIV("1",COMPLEX(CMC_DCR,B1015*CMC_L*(1-CMC_K))),COMPLEX(0,B1015*CMC_CPA))))</f>
        <v>0</v>
      </c>
      <c r="L1015">
        <f>IMSUM(COMPLEX(0,B1015*CMC_CLINE),IMDIV("1",IMPRODUCT("2",COMPLEX(CY_ESR,B1015*CY_ESL-1/(B1015*CY_C)))),COMPLEX(1/DUMMY_R,0))</f>
        <v>0</v>
      </c>
      <c r="M1015">
        <f>IMSUM(D1015,IMDIV("1",C1015))</f>
        <v>0</v>
      </c>
      <c r="N1015">
        <f>IMDIV("1",IMSUM(E1015,IMDIV("1",M1015)))</f>
        <v>0</v>
      </c>
      <c r="O1015">
        <f>IMSUM(F1015,N1015)</f>
        <v>0</v>
      </c>
      <c r="P1015">
        <f>IMDIV("1",IMSUM(G1015,IMDIV("1",O1015)))</f>
        <v>0</v>
      </c>
      <c r="Q1015">
        <f>IMSUM(H1015,P1015)</f>
        <v>0</v>
      </c>
      <c r="R1015">
        <f>IMDIV("1",IMSUM(I1015,IMDIV("1",Q1015)))</f>
        <v>0</v>
      </c>
      <c r="S1015">
        <f>IMSUM(J1015,R1015)</f>
        <v>0</v>
      </c>
      <c r="T1015">
        <f>IMDIV("1",IMSUM(K1015,IMDIV("1",S1015)))</f>
        <v>0</v>
      </c>
      <c r="U1015">
        <f>IMSUM(L1015,T1015)</f>
        <v>0</v>
      </c>
      <c r="V1015">
        <f>IMDIV(COMPLEX(I_DM_SOURCE,0),U1015)</f>
        <v>0</v>
      </c>
      <c r="W1015">
        <f>IMPRODUCT(V1015,T1015)</f>
        <v>0</v>
      </c>
      <c r="X1015">
        <f>IMDIV(W1015,S1015)</f>
        <v>0</v>
      </c>
      <c r="Y1015">
        <f>IMPRODUCT(X1015,R1015)</f>
        <v>0</v>
      </c>
      <c r="Z1015">
        <f>IMDIV(Y1015,Q1015)</f>
        <v>0</v>
      </c>
      <c r="AA1015">
        <f>IMPRODUCT(Z1015,P1015)</f>
        <v>0</v>
      </c>
      <c r="AB1015">
        <f>AA1015</f>
        <v>0</v>
      </c>
      <c r="AC1015">
        <f>IMPRODUCT("-1",AB1015)</f>
        <v>0</v>
      </c>
      <c r="AD1015">
        <f>IMDIV(IMSUB(AB1015,AC1015),"2")</f>
        <v>0</v>
      </c>
      <c r="AE1015" s="6">
        <f>IMABS(AB1015)</f>
        <v>0</v>
      </c>
      <c r="AF1015" s="6">
        <f>IMABS(AC1015)</f>
        <v>0</v>
      </c>
      <c r="AG1015" s="6">
        <f>IMABS(AD1015)</f>
        <v>0</v>
      </c>
      <c r="AH1015" s="7">
        <f>20*LOG10(MAX(AE1015,1E-300)*1E6)</f>
        <v>0</v>
      </c>
      <c r="AI1015" s="7">
        <f>20*LOG10(MAX(AF1015,1E-300)*1E6)</f>
        <v>0</v>
      </c>
      <c r="AJ1015" s="7">
        <f>20*LOG10(MAX(AG1015,1E-300)*1E6)</f>
        <v>0</v>
      </c>
      <c r="AK1015" s="7">
        <f>DEGREES(IMARGUMENT(AB1015))</f>
        <v>0</v>
      </c>
      <c r="AL1015" s="7">
        <f>DEGREES(IMARGUMENT(AC1015))</f>
        <v>0</v>
      </c>
      <c r="AM1015" s="7">
        <f>DEGREES(IMARGUMENT(AD1015))</f>
        <v>0</v>
      </c>
    </row>
    <row r="1016" spans="1:39">
      <c r="A1016" s="6">
        <f>10^(LOG10(F_START)+(ROW()-ROW($A$2))*(LOG10(F_STOP)-LOG10(F_START))/(N_POINTS-1))</f>
        <v>0</v>
      </c>
      <c r="B1016" s="6">
        <f>2*PI()*A1016</f>
        <v>0</v>
      </c>
      <c r="C1016">
        <f>COMPLEX(2*LINE_PS_DCR,2*B1016*LINE_PS_L)</f>
        <v>0</v>
      </c>
      <c r="D1016">
        <f>IMSUM(COMPLEX(0,B1016*(LINE_PS_CLINE+LINE_PS_CCHA/2)),IMDIV("1",IMPRODUCT("2",COMPLEX(C_THROUGH_ESR,B1016*C_THROUGH_ESL-1/(B1016*C_THROUGH_C)))))</f>
        <v>0</v>
      </c>
      <c r="E1016">
        <f>COMPLEX(2*LINE_INPUT_DCR,2*B1016*LINE_INPUT_L)</f>
        <v>0</v>
      </c>
      <c r="F1016">
        <f>COMPLEX(0,B1016*(LINE_INPUT_CLINE+LINE_INPUT_CCHA/2))</f>
        <v>0</v>
      </c>
      <c r="G1016">
        <f>IMPRODUCT("2",IMDIV("1",IMSUM(IMDIV("1",COMPLEX(LDM1_DCR,B1016*LDM1_L)),COMPLEX(0,B1016*LDM1_CPA))))</f>
        <v>0</v>
      </c>
      <c r="H1016">
        <f>IMSUM(IMDIV("1",COMPLEX(CX1_ESR,B1016*CX1_ESL-1/(B1016*CX1_C))),IMDIV("1",IMSUM(COMPLEX(DUMP1_R,0),COMPLEX(DUMP1_ESR,B1016*DUMP1_ESL-1/(B1016*DUMP1_C)))))</f>
        <v>0</v>
      </c>
      <c r="I1016">
        <f>IMPRODUCT("2",IMDIV("1",IMSUM(IMDIV("1",COMPLEX(LDM2_DCR,B1016*LDM2_L)),COMPLEX(0,B1016*LDM2_CPA))))</f>
        <v>0</v>
      </c>
      <c r="J1016">
        <f>IMSUM(IMDIV("1",COMPLEX(CX2_ESR,B1016*CX2_ESL-1/(B1016*CX2_C))),IMDIV("1",IMSUM(COMPLEX(DUMP2_R,0),COMPLEX(DUMP2_ESR,B1016*DUMP2_ESL-1/(B1016*DUMP2_C)))))</f>
        <v>0</v>
      </c>
      <c r="K1016">
        <f>IMPRODUCT("2",IMDIV("1",IMSUM(IMDIV("1",COMPLEX(CMC_DCR,B1016*CMC_L*(1-CMC_K))),COMPLEX(0,B1016*CMC_CPA))))</f>
        <v>0</v>
      </c>
      <c r="L1016">
        <f>IMSUM(COMPLEX(0,B1016*CMC_CLINE),IMDIV("1",IMPRODUCT("2",COMPLEX(CY_ESR,B1016*CY_ESL-1/(B1016*CY_C)))),COMPLEX(1/DUMMY_R,0))</f>
        <v>0</v>
      </c>
      <c r="M1016">
        <f>IMSUM(D1016,IMDIV("1",C1016))</f>
        <v>0</v>
      </c>
      <c r="N1016">
        <f>IMDIV("1",IMSUM(E1016,IMDIV("1",M1016)))</f>
        <v>0</v>
      </c>
      <c r="O1016">
        <f>IMSUM(F1016,N1016)</f>
        <v>0</v>
      </c>
      <c r="P1016">
        <f>IMDIV("1",IMSUM(G1016,IMDIV("1",O1016)))</f>
        <v>0</v>
      </c>
      <c r="Q1016">
        <f>IMSUM(H1016,P1016)</f>
        <v>0</v>
      </c>
      <c r="R1016">
        <f>IMDIV("1",IMSUM(I1016,IMDIV("1",Q1016)))</f>
        <v>0</v>
      </c>
      <c r="S1016">
        <f>IMSUM(J1016,R1016)</f>
        <v>0</v>
      </c>
      <c r="T1016">
        <f>IMDIV("1",IMSUM(K1016,IMDIV("1",S1016)))</f>
        <v>0</v>
      </c>
      <c r="U1016">
        <f>IMSUM(L1016,T1016)</f>
        <v>0</v>
      </c>
      <c r="V1016">
        <f>IMDIV(COMPLEX(I_DM_SOURCE,0),U1016)</f>
        <v>0</v>
      </c>
      <c r="W1016">
        <f>IMPRODUCT(V1016,T1016)</f>
        <v>0</v>
      </c>
      <c r="X1016">
        <f>IMDIV(W1016,S1016)</f>
        <v>0</v>
      </c>
      <c r="Y1016">
        <f>IMPRODUCT(X1016,R1016)</f>
        <v>0</v>
      </c>
      <c r="Z1016">
        <f>IMDIV(Y1016,Q1016)</f>
        <v>0</v>
      </c>
      <c r="AA1016">
        <f>IMPRODUCT(Z1016,P1016)</f>
        <v>0</v>
      </c>
      <c r="AB1016">
        <f>AA1016</f>
        <v>0</v>
      </c>
      <c r="AC1016">
        <f>IMPRODUCT("-1",AB1016)</f>
        <v>0</v>
      </c>
      <c r="AD1016">
        <f>IMDIV(IMSUB(AB1016,AC1016),"2")</f>
        <v>0</v>
      </c>
      <c r="AE1016" s="6">
        <f>IMABS(AB1016)</f>
        <v>0</v>
      </c>
      <c r="AF1016" s="6">
        <f>IMABS(AC1016)</f>
        <v>0</v>
      </c>
      <c r="AG1016" s="6">
        <f>IMABS(AD1016)</f>
        <v>0</v>
      </c>
      <c r="AH1016" s="7">
        <f>20*LOG10(MAX(AE1016,1E-300)*1E6)</f>
        <v>0</v>
      </c>
      <c r="AI1016" s="7">
        <f>20*LOG10(MAX(AF1016,1E-300)*1E6)</f>
        <v>0</v>
      </c>
      <c r="AJ1016" s="7">
        <f>20*LOG10(MAX(AG1016,1E-300)*1E6)</f>
        <v>0</v>
      </c>
      <c r="AK1016" s="7">
        <f>DEGREES(IMARGUMENT(AB1016))</f>
        <v>0</v>
      </c>
      <c r="AL1016" s="7">
        <f>DEGREES(IMARGUMENT(AC1016))</f>
        <v>0</v>
      </c>
      <c r="AM1016" s="7">
        <f>DEGREES(IMARGUMENT(AD1016))</f>
        <v>0</v>
      </c>
    </row>
    <row r="1017" spans="1:39">
      <c r="A1017" s="6">
        <f>10^(LOG10(F_START)+(ROW()-ROW($A$2))*(LOG10(F_STOP)-LOG10(F_START))/(N_POINTS-1))</f>
        <v>0</v>
      </c>
      <c r="B1017" s="6">
        <f>2*PI()*A1017</f>
        <v>0</v>
      </c>
      <c r="C1017">
        <f>COMPLEX(2*LINE_PS_DCR,2*B1017*LINE_PS_L)</f>
        <v>0</v>
      </c>
      <c r="D1017">
        <f>IMSUM(COMPLEX(0,B1017*(LINE_PS_CLINE+LINE_PS_CCHA/2)),IMDIV("1",IMPRODUCT("2",COMPLEX(C_THROUGH_ESR,B1017*C_THROUGH_ESL-1/(B1017*C_THROUGH_C)))))</f>
        <v>0</v>
      </c>
      <c r="E1017">
        <f>COMPLEX(2*LINE_INPUT_DCR,2*B1017*LINE_INPUT_L)</f>
        <v>0</v>
      </c>
      <c r="F1017">
        <f>COMPLEX(0,B1017*(LINE_INPUT_CLINE+LINE_INPUT_CCHA/2))</f>
        <v>0</v>
      </c>
      <c r="G1017">
        <f>IMPRODUCT("2",IMDIV("1",IMSUM(IMDIV("1",COMPLEX(LDM1_DCR,B1017*LDM1_L)),COMPLEX(0,B1017*LDM1_CPA))))</f>
        <v>0</v>
      </c>
      <c r="H1017">
        <f>IMSUM(IMDIV("1",COMPLEX(CX1_ESR,B1017*CX1_ESL-1/(B1017*CX1_C))),IMDIV("1",IMSUM(COMPLEX(DUMP1_R,0),COMPLEX(DUMP1_ESR,B1017*DUMP1_ESL-1/(B1017*DUMP1_C)))))</f>
        <v>0</v>
      </c>
      <c r="I1017">
        <f>IMPRODUCT("2",IMDIV("1",IMSUM(IMDIV("1",COMPLEX(LDM2_DCR,B1017*LDM2_L)),COMPLEX(0,B1017*LDM2_CPA))))</f>
        <v>0</v>
      </c>
      <c r="J1017">
        <f>IMSUM(IMDIV("1",COMPLEX(CX2_ESR,B1017*CX2_ESL-1/(B1017*CX2_C))),IMDIV("1",IMSUM(COMPLEX(DUMP2_R,0),COMPLEX(DUMP2_ESR,B1017*DUMP2_ESL-1/(B1017*DUMP2_C)))))</f>
        <v>0</v>
      </c>
      <c r="K1017">
        <f>IMPRODUCT("2",IMDIV("1",IMSUM(IMDIV("1",COMPLEX(CMC_DCR,B1017*CMC_L*(1-CMC_K))),COMPLEX(0,B1017*CMC_CPA))))</f>
        <v>0</v>
      </c>
      <c r="L1017">
        <f>IMSUM(COMPLEX(0,B1017*CMC_CLINE),IMDIV("1",IMPRODUCT("2",COMPLEX(CY_ESR,B1017*CY_ESL-1/(B1017*CY_C)))),COMPLEX(1/DUMMY_R,0))</f>
        <v>0</v>
      </c>
      <c r="M1017">
        <f>IMSUM(D1017,IMDIV("1",C1017))</f>
        <v>0</v>
      </c>
      <c r="N1017">
        <f>IMDIV("1",IMSUM(E1017,IMDIV("1",M1017)))</f>
        <v>0</v>
      </c>
      <c r="O1017">
        <f>IMSUM(F1017,N1017)</f>
        <v>0</v>
      </c>
      <c r="P1017">
        <f>IMDIV("1",IMSUM(G1017,IMDIV("1",O1017)))</f>
        <v>0</v>
      </c>
      <c r="Q1017">
        <f>IMSUM(H1017,P1017)</f>
        <v>0</v>
      </c>
      <c r="R1017">
        <f>IMDIV("1",IMSUM(I1017,IMDIV("1",Q1017)))</f>
        <v>0</v>
      </c>
      <c r="S1017">
        <f>IMSUM(J1017,R1017)</f>
        <v>0</v>
      </c>
      <c r="T1017">
        <f>IMDIV("1",IMSUM(K1017,IMDIV("1",S1017)))</f>
        <v>0</v>
      </c>
      <c r="U1017">
        <f>IMSUM(L1017,T1017)</f>
        <v>0</v>
      </c>
      <c r="V1017">
        <f>IMDIV(COMPLEX(I_DM_SOURCE,0),U1017)</f>
        <v>0</v>
      </c>
      <c r="W1017">
        <f>IMPRODUCT(V1017,T1017)</f>
        <v>0</v>
      </c>
      <c r="X1017">
        <f>IMDIV(W1017,S1017)</f>
        <v>0</v>
      </c>
      <c r="Y1017">
        <f>IMPRODUCT(X1017,R1017)</f>
        <v>0</v>
      </c>
      <c r="Z1017">
        <f>IMDIV(Y1017,Q1017)</f>
        <v>0</v>
      </c>
      <c r="AA1017">
        <f>IMPRODUCT(Z1017,P1017)</f>
        <v>0</v>
      </c>
      <c r="AB1017">
        <f>AA1017</f>
        <v>0</v>
      </c>
      <c r="AC1017">
        <f>IMPRODUCT("-1",AB1017)</f>
        <v>0</v>
      </c>
      <c r="AD1017">
        <f>IMDIV(IMSUB(AB1017,AC1017),"2")</f>
        <v>0</v>
      </c>
      <c r="AE1017" s="6">
        <f>IMABS(AB1017)</f>
        <v>0</v>
      </c>
      <c r="AF1017" s="6">
        <f>IMABS(AC1017)</f>
        <v>0</v>
      </c>
      <c r="AG1017" s="6">
        <f>IMABS(AD1017)</f>
        <v>0</v>
      </c>
      <c r="AH1017" s="7">
        <f>20*LOG10(MAX(AE1017,1E-300)*1E6)</f>
        <v>0</v>
      </c>
      <c r="AI1017" s="7">
        <f>20*LOG10(MAX(AF1017,1E-300)*1E6)</f>
        <v>0</v>
      </c>
      <c r="AJ1017" s="7">
        <f>20*LOG10(MAX(AG1017,1E-300)*1E6)</f>
        <v>0</v>
      </c>
      <c r="AK1017" s="7">
        <f>DEGREES(IMARGUMENT(AB1017))</f>
        <v>0</v>
      </c>
      <c r="AL1017" s="7">
        <f>DEGREES(IMARGUMENT(AC1017))</f>
        <v>0</v>
      </c>
      <c r="AM1017" s="7">
        <f>DEGREES(IMARGUMENT(AD1017))</f>
        <v>0</v>
      </c>
    </row>
    <row r="1018" spans="1:39">
      <c r="A1018" s="6">
        <f>10^(LOG10(F_START)+(ROW()-ROW($A$2))*(LOG10(F_STOP)-LOG10(F_START))/(N_POINTS-1))</f>
        <v>0</v>
      </c>
      <c r="B1018" s="6">
        <f>2*PI()*A1018</f>
        <v>0</v>
      </c>
      <c r="C1018">
        <f>COMPLEX(2*LINE_PS_DCR,2*B1018*LINE_PS_L)</f>
        <v>0</v>
      </c>
      <c r="D1018">
        <f>IMSUM(COMPLEX(0,B1018*(LINE_PS_CLINE+LINE_PS_CCHA/2)),IMDIV("1",IMPRODUCT("2",COMPLEX(C_THROUGH_ESR,B1018*C_THROUGH_ESL-1/(B1018*C_THROUGH_C)))))</f>
        <v>0</v>
      </c>
      <c r="E1018">
        <f>COMPLEX(2*LINE_INPUT_DCR,2*B1018*LINE_INPUT_L)</f>
        <v>0</v>
      </c>
      <c r="F1018">
        <f>COMPLEX(0,B1018*(LINE_INPUT_CLINE+LINE_INPUT_CCHA/2))</f>
        <v>0</v>
      </c>
      <c r="G1018">
        <f>IMPRODUCT("2",IMDIV("1",IMSUM(IMDIV("1",COMPLEX(LDM1_DCR,B1018*LDM1_L)),COMPLEX(0,B1018*LDM1_CPA))))</f>
        <v>0</v>
      </c>
      <c r="H1018">
        <f>IMSUM(IMDIV("1",COMPLEX(CX1_ESR,B1018*CX1_ESL-1/(B1018*CX1_C))),IMDIV("1",IMSUM(COMPLEX(DUMP1_R,0),COMPLEX(DUMP1_ESR,B1018*DUMP1_ESL-1/(B1018*DUMP1_C)))))</f>
        <v>0</v>
      </c>
      <c r="I1018">
        <f>IMPRODUCT("2",IMDIV("1",IMSUM(IMDIV("1",COMPLEX(LDM2_DCR,B1018*LDM2_L)),COMPLEX(0,B1018*LDM2_CPA))))</f>
        <v>0</v>
      </c>
      <c r="J1018">
        <f>IMSUM(IMDIV("1",COMPLEX(CX2_ESR,B1018*CX2_ESL-1/(B1018*CX2_C))),IMDIV("1",IMSUM(COMPLEX(DUMP2_R,0),COMPLEX(DUMP2_ESR,B1018*DUMP2_ESL-1/(B1018*DUMP2_C)))))</f>
        <v>0</v>
      </c>
      <c r="K1018">
        <f>IMPRODUCT("2",IMDIV("1",IMSUM(IMDIV("1",COMPLEX(CMC_DCR,B1018*CMC_L*(1-CMC_K))),COMPLEX(0,B1018*CMC_CPA))))</f>
        <v>0</v>
      </c>
      <c r="L1018">
        <f>IMSUM(COMPLEX(0,B1018*CMC_CLINE),IMDIV("1",IMPRODUCT("2",COMPLEX(CY_ESR,B1018*CY_ESL-1/(B1018*CY_C)))),COMPLEX(1/DUMMY_R,0))</f>
        <v>0</v>
      </c>
      <c r="M1018">
        <f>IMSUM(D1018,IMDIV("1",C1018))</f>
        <v>0</v>
      </c>
      <c r="N1018">
        <f>IMDIV("1",IMSUM(E1018,IMDIV("1",M1018)))</f>
        <v>0</v>
      </c>
      <c r="O1018">
        <f>IMSUM(F1018,N1018)</f>
        <v>0</v>
      </c>
      <c r="P1018">
        <f>IMDIV("1",IMSUM(G1018,IMDIV("1",O1018)))</f>
        <v>0</v>
      </c>
      <c r="Q1018">
        <f>IMSUM(H1018,P1018)</f>
        <v>0</v>
      </c>
      <c r="R1018">
        <f>IMDIV("1",IMSUM(I1018,IMDIV("1",Q1018)))</f>
        <v>0</v>
      </c>
      <c r="S1018">
        <f>IMSUM(J1018,R1018)</f>
        <v>0</v>
      </c>
      <c r="T1018">
        <f>IMDIV("1",IMSUM(K1018,IMDIV("1",S1018)))</f>
        <v>0</v>
      </c>
      <c r="U1018">
        <f>IMSUM(L1018,T1018)</f>
        <v>0</v>
      </c>
      <c r="V1018">
        <f>IMDIV(COMPLEX(I_DM_SOURCE,0),U1018)</f>
        <v>0</v>
      </c>
      <c r="W1018">
        <f>IMPRODUCT(V1018,T1018)</f>
        <v>0</v>
      </c>
      <c r="X1018">
        <f>IMDIV(W1018,S1018)</f>
        <v>0</v>
      </c>
      <c r="Y1018">
        <f>IMPRODUCT(X1018,R1018)</f>
        <v>0</v>
      </c>
      <c r="Z1018">
        <f>IMDIV(Y1018,Q1018)</f>
        <v>0</v>
      </c>
      <c r="AA1018">
        <f>IMPRODUCT(Z1018,P1018)</f>
        <v>0</v>
      </c>
      <c r="AB1018">
        <f>AA1018</f>
        <v>0</v>
      </c>
      <c r="AC1018">
        <f>IMPRODUCT("-1",AB1018)</f>
        <v>0</v>
      </c>
      <c r="AD1018">
        <f>IMDIV(IMSUB(AB1018,AC1018),"2")</f>
        <v>0</v>
      </c>
      <c r="AE1018" s="6">
        <f>IMABS(AB1018)</f>
        <v>0</v>
      </c>
      <c r="AF1018" s="6">
        <f>IMABS(AC1018)</f>
        <v>0</v>
      </c>
      <c r="AG1018" s="6">
        <f>IMABS(AD1018)</f>
        <v>0</v>
      </c>
      <c r="AH1018" s="7">
        <f>20*LOG10(MAX(AE1018,1E-300)*1E6)</f>
        <v>0</v>
      </c>
      <c r="AI1018" s="7">
        <f>20*LOG10(MAX(AF1018,1E-300)*1E6)</f>
        <v>0</v>
      </c>
      <c r="AJ1018" s="7">
        <f>20*LOG10(MAX(AG1018,1E-300)*1E6)</f>
        <v>0</v>
      </c>
      <c r="AK1018" s="7">
        <f>DEGREES(IMARGUMENT(AB1018))</f>
        <v>0</v>
      </c>
      <c r="AL1018" s="7">
        <f>DEGREES(IMARGUMENT(AC1018))</f>
        <v>0</v>
      </c>
      <c r="AM1018" s="7">
        <f>DEGREES(IMARGUMENT(AD1018))</f>
        <v>0</v>
      </c>
    </row>
    <row r="1019" spans="1:39">
      <c r="A1019" s="6">
        <f>10^(LOG10(F_START)+(ROW()-ROW($A$2))*(LOG10(F_STOP)-LOG10(F_START))/(N_POINTS-1))</f>
        <v>0</v>
      </c>
      <c r="B1019" s="6">
        <f>2*PI()*A1019</f>
        <v>0</v>
      </c>
      <c r="C1019">
        <f>COMPLEX(2*LINE_PS_DCR,2*B1019*LINE_PS_L)</f>
        <v>0</v>
      </c>
      <c r="D1019">
        <f>IMSUM(COMPLEX(0,B1019*(LINE_PS_CLINE+LINE_PS_CCHA/2)),IMDIV("1",IMPRODUCT("2",COMPLEX(C_THROUGH_ESR,B1019*C_THROUGH_ESL-1/(B1019*C_THROUGH_C)))))</f>
        <v>0</v>
      </c>
      <c r="E1019">
        <f>COMPLEX(2*LINE_INPUT_DCR,2*B1019*LINE_INPUT_L)</f>
        <v>0</v>
      </c>
      <c r="F1019">
        <f>COMPLEX(0,B1019*(LINE_INPUT_CLINE+LINE_INPUT_CCHA/2))</f>
        <v>0</v>
      </c>
      <c r="G1019">
        <f>IMPRODUCT("2",IMDIV("1",IMSUM(IMDIV("1",COMPLEX(LDM1_DCR,B1019*LDM1_L)),COMPLEX(0,B1019*LDM1_CPA))))</f>
        <v>0</v>
      </c>
      <c r="H1019">
        <f>IMSUM(IMDIV("1",COMPLEX(CX1_ESR,B1019*CX1_ESL-1/(B1019*CX1_C))),IMDIV("1",IMSUM(COMPLEX(DUMP1_R,0),COMPLEX(DUMP1_ESR,B1019*DUMP1_ESL-1/(B1019*DUMP1_C)))))</f>
        <v>0</v>
      </c>
      <c r="I1019">
        <f>IMPRODUCT("2",IMDIV("1",IMSUM(IMDIV("1",COMPLEX(LDM2_DCR,B1019*LDM2_L)),COMPLEX(0,B1019*LDM2_CPA))))</f>
        <v>0</v>
      </c>
      <c r="J1019">
        <f>IMSUM(IMDIV("1",COMPLEX(CX2_ESR,B1019*CX2_ESL-1/(B1019*CX2_C))),IMDIV("1",IMSUM(COMPLEX(DUMP2_R,0),COMPLEX(DUMP2_ESR,B1019*DUMP2_ESL-1/(B1019*DUMP2_C)))))</f>
        <v>0</v>
      </c>
      <c r="K1019">
        <f>IMPRODUCT("2",IMDIV("1",IMSUM(IMDIV("1",COMPLEX(CMC_DCR,B1019*CMC_L*(1-CMC_K))),COMPLEX(0,B1019*CMC_CPA))))</f>
        <v>0</v>
      </c>
      <c r="L1019">
        <f>IMSUM(COMPLEX(0,B1019*CMC_CLINE),IMDIV("1",IMPRODUCT("2",COMPLEX(CY_ESR,B1019*CY_ESL-1/(B1019*CY_C)))),COMPLEX(1/DUMMY_R,0))</f>
        <v>0</v>
      </c>
      <c r="M1019">
        <f>IMSUM(D1019,IMDIV("1",C1019))</f>
        <v>0</v>
      </c>
      <c r="N1019">
        <f>IMDIV("1",IMSUM(E1019,IMDIV("1",M1019)))</f>
        <v>0</v>
      </c>
      <c r="O1019">
        <f>IMSUM(F1019,N1019)</f>
        <v>0</v>
      </c>
      <c r="P1019">
        <f>IMDIV("1",IMSUM(G1019,IMDIV("1",O1019)))</f>
        <v>0</v>
      </c>
      <c r="Q1019">
        <f>IMSUM(H1019,P1019)</f>
        <v>0</v>
      </c>
      <c r="R1019">
        <f>IMDIV("1",IMSUM(I1019,IMDIV("1",Q1019)))</f>
        <v>0</v>
      </c>
      <c r="S1019">
        <f>IMSUM(J1019,R1019)</f>
        <v>0</v>
      </c>
      <c r="T1019">
        <f>IMDIV("1",IMSUM(K1019,IMDIV("1",S1019)))</f>
        <v>0</v>
      </c>
      <c r="U1019">
        <f>IMSUM(L1019,T1019)</f>
        <v>0</v>
      </c>
      <c r="V1019">
        <f>IMDIV(COMPLEX(I_DM_SOURCE,0),U1019)</f>
        <v>0</v>
      </c>
      <c r="W1019">
        <f>IMPRODUCT(V1019,T1019)</f>
        <v>0</v>
      </c>
      <c r="X1019">
        <f>IMDIV(W1019,S1019)</f>
        <v>0</v>
      </c>
      <c r="Y1019">
        <f>IMPRODUCT(X1019,R1019)</f>
        <v>0</v>
      </c>
      <c r="Z1019">
        <f>IMDIV(Y1019,Q1019)</f>
        <v>0</v>
      </c>
      <c r="AA1019">
        <f>IMPRODUCT(Z1019,P1019)</f>
        <v>0</v>
      </c>
      <c r="AB1019">
        <f>AA1019</f>
        <v>0</v>
      </c>
      <c r="AC1019">
        <f>IMPRODUCT("-1",AB1019)</f>
        <v>0</v>
      </c>
      <c r="AD1019">
        <f>IMDIV(IMSUB(AB1019,AC1019),"2")</f>
        <v>0</v>
      </c>
      <c r="AE1019" s="6">
        <f>IMABS(AB1019)</f>
        <v>0</v>
      </c>
      <c r="AF1019" s="6">
        <f>IMABS(AC1019)</f>
        <v>0</v>
      </c>
      <c r="AG1019" s="6">
        <f>IMABS(AD1019)</f>
        <v>0</v>
      </c>
      <c r="AH1019" s="7">
        <f>20*LOG10(MAX(AE1019,1E-300)*1E6)</f>
        <v>0</v>
      </c>
      <c r="AI1019" s="7">
        <f>20*LOG10(MAX(AF1019,1E-300)*1E6)</f>
        <v>0</v>
      </c>
      <c r="AJ1019" s="7">
        <f>20*LOG10(MAX(AG1019,1E-300)*1E6)</f>
        <v>0</v>
      </c>
      <c r="AK1019" s="7">
        <f>DEGREES(IMARGUMENT(AB1019))</f>
        <v>0</v>
      </c>
      <c r="AL1019" s="7">
        <f>DEGREES(IMARGUMENT(AC1019))</f>
        <v>0</v>
      </c>
      <c r="AM1019" s="7">
        <f>DEGREES(IMARGUMENT(AD1019))</f>
        <v>0</v>
      </c>
    </row>
    <row r="1020" spans="1:39">
      <c r="A1020" s="6">
        <f>10^(LOG10(F_START)+(ROW()-ROW($A$2))*(LOG10(F_STOP)-LOG10(F_START))/(N_POINTS-1))</f>
        <v>0</v>
      </c>
      <c r="B1020" s="6">
        <f>2*PI()*A1020</f>
        <v>0</v>
      </c>
      <c r="C1020">
        <f>COMPLEX(2*LINE_PS_DCR,2*B1020*LINE_PS_L)</f>
        <v>0</v>
      </c>
      <c r="D1020">
        <f>IMSUM(COMPLEX(0,B1020*(LINE_PS_CLINE+LINE_PS_CCHA/2)),IMDIV("1",IMPRODUCT("2",COMPLEX(C_THROUGH_ESR,B1020*C_THROUGH_ESL-1/(B1020*C_THROUGH_C)))))</f>
        <v>0</v>
      </c>
      <c r="E1020">
        <f>COMPLEX(2*LINE_INPUT_DCR,2*B1020*LINE_INPUT_L)</f>
        <v>0</v>
      </c>
      <c r="F1020">
        <f>COMPLEX(0,B1020*(LINE_INPUT_CLINE+LINE_INPUT_CCHA/2))</f>
        <v>0</v>
      </c>
      <c r="G1020">
        <f>IMPRODUCT("2",IMDIV("1",IMSUM(IMDIV("1",COMPLEX(LDM1_DCR,B1020*LDM1_L)),COMPLEX(0,B1020*LDM1_CPA))))</f>
        <v>0</v>
      </c>
      <c r="H1020">
        <f>IMSUM(IMDIV("1",COMPLEX(CX1_ESR,B1020*CX1_ESL-1/(B1020*CX1_C))),IMDIV("1",IMSUM(COMPLEX(DUMP1_R,0),COMPLEX(DUMP1_ESR,B1020*DUMP1_ESL-1/(B1020*DUMP1_C)))))</f>
        <v>0</v>
      </c>
      <c r="I1020">
        <f>IMPRODUCT("2",IMDIV("1",IMSUM(IMDIV("1",COMPLEX(LDM2_DCR,B1020*LDM2_L)),COMPLEX(0,B1020*LDM2_CPA))))</f>
        <v>0</v>
      </c>
      <c r="J1020">
        <f>IMSUM(IMDIV("1",COMPLEX(CX2_ESR,B1020*CX2_ESL-1/(B1020*CX2_C))),IMDIV("1",IMSUM(COMPLEX(DUMP2_R,0),COMPLEX(DUMP2_ESR,B1020*DUMP2_ESL-1/(B1020*DUMP2_C)))))</f>
        <v>0</v>
      </c>
      <c r="K1020">
        <f>IMPRODUCT("2",IMDIV("1",IMSUM(IMDIV("1",COMPLEX(CMC_DCR,B1020*CMC_L*(1-CMC_K))),COMPLEX(0,B1020*CMC_CPA))))</f>
        <v>0</v>
      </c>
      <c r="L1020">
        <f>IMSUM(COMPLEX(0,B1020*CMC_CLINE),IMDIV("1",IMPRODUCT("2",COMPLEX(CY_ESR,B1020*CY_ESL-1/(B1020*CY_C)))),COMPLEX(1/DUMMY_R,0))</f>
        <v>0</v>
      </c>
      <c r="M1020">
        <f>IMSUM(D1020,IMDIV("1",C1020))</f>
        <v>0</v>
      </c>
      <c r="N1020">
        <f>IMDIV("1",IMSUM(E1020,IMDIV("1",M1020)))</f>
        <v>0</v>
      </c>
      <c r="O1020">
        <f>IMSUM(F1020,N1020)</f>
        <v>0</v>
      </c>
      <c r="P1020">
        <f>IMDIV("1",IMSUM(G1020,IMDIV("1",O1020)))</f>
        <v>0</v>
      </c>
      <c r="Q1020">
        <f>IMSUM(H1020,P1020)</f>
        <v>0</v>
      </c>
      <c r="R1020">
        <f>IMDIV("1",IMSUM(I1020,IMDIV("1",Q1020)))</f>
        <v>0</v>
      </c>
      <c r="S1020">
        <f>IMSUM(J1020,R1020)</f>
        <v>0</v>
      </c>
      <c r="T1020">
        <f>IMDIV("1",IMSUM(K1020,IMDIV("1",S1020)))</f>
        <v>0</v>
      </c>
      <c r="U1020">
        <f>IMSUM(L1020,T1020)</f>
        <v>0</v>
      </c>
      <c r="V1020">
        <f>IMDIV(COMPLEX(I_DM_SOURCE,0),U1020)</f>
        <v>0</v>
      </c>
      <c r="W1020">
        <f>IMPRODUCT(V1020,T1020)</f>
        <v>0</v>
      </c>
      <c r="X1020">
        <f>IMDIV(W1020,S1020)</f>
        <v>0</v>
      </c>
      <c r="Y1020">
        <f>IMPRODUCT(X1020,R1020)</f>
        <v>0</v>
      </c>
      <c r="Z1020">
        <f>IMDIV(Y1020,Q1020)</f>
        <v>0</v>
      </c>
      <c r="AA1020">
        <f>IMPRODUCT(Z1020,P1020)</f>
        <v>0</v>
      </c>
      <c r="AB1020">
        <f>AA1020</f>
        <v>0</v>
      </c>
      <c r="AC1020">
        <f>IMPRODUCT("-1",AB1020)</f>
        <v>0</v>
      </c>
      <c r="AD1020">
        <f>IMDIV(IMSUB(AB1020,AC1020),"2")</f>
        <v>0</v>
      </c>
      <c r="AE1020" s="6">
        <f>IMABS(AB1020)</f>
        <v>0</v>
      </c>
      <c r="AF1020" s="6">
        <f>IMABS(AC1020)</f>
        <v>0</v>
      </c>
      <c r="AG1020" s="6">
        <f>IMABS(AD1020)</f>
        <v>0</v>
      </c>
      <c r="AH1020" s="7">
        <f>20*LOG10(MAX(AE1020,1E-300)*1E6)</f>
        <v>0</v>
      </c>
      <c r="AI1020" s="7">
        <f>20*LOG10(MAX(AF1020,1E-300)*1E6)</f>
        <v>0</v>
      </c>
      <c r="AJ1020" s="7">
        <f>20*LOG10(MAX(AG1020,1E-300)*1E6)</f>
        <v>0</v>
      </c>
      <c r="AK1020" s="7">
        <f>DEGREES(IMARGUMENT(AB1020))</f>
        <v>0</v>
      </c>
      <c r="AL1020" s="7">
        <f>DEGREES(IMARGUMENT(AC1020))</f>
        <v>0</v>
      </c>
      <c r="AM1020" s="7">
        <f>DEGREES(IMARGUMENT(AD1020))</f>
        <v>0</v>
      </c>
    </row>
    <row r="1021" spans="1:39">
      <c r="A1021" s="6">
        <f>10^(LOG10(F_START)+(ROW()-ROW($A$2))*(LOG10(F_STOP)-LOG10(F_START))/(N_POINTS-1))</f>
        <v>0</v>
      </c>
      <c r="B1021" s="6">
        <f>2*PI()*A1021</f>
        <v>0</v>
      </c>
      <c r="C1021">
        <f>COMPLEX(2*LINE_PS_DCR,2*B1021*LINE_PS_L)</f>
        <v>0</v>
      </c>
      <c r="D1021">
        <f>IMSUM(COMPLEX(0,B1021*(LINE_PS_CLINE+LINE_PS_CCHA/2)),IMDIV("1",IMPRODUCT("2",COMPLEX(C_THROUGH_ESR,B1021*C_THROUGH_ESL-1/(B1021*C_THROUGH_C)))))</f>
        <v>0</v>
      </c>
      <c r="E1021">
        <f>COMPLEX(2*LINE_INPUT_DCR,2*B1021*LINE_INPUT_L)</f>
        <v>0</v>
      </c>
      <c r="F1021">
        <f>COMPLEX(0,B1021*(LINE_INPUT_CLINE+LINE_INPUT_CCHA/2))</f>
        <v>0</v>
      </c>
      <c r="G1021">
        <f>IMPRODUCT("2",IMDIV("1",IMSUM(IMDIV("1",COMPLEX(LDM1_DCR,B1021*LDM1_L)),COMPLEX(0,B1021*LDM1_CPA))))</f>
        <v>0</v>
      </c>
      <c r="H1021">
        <f>IMSUM(IMDIV("1",COMPLEX(CX1_ESR,B1021*CX1_ESL-1/(B1021*CX1_C))),IMDIV("1",IMSUM(COMPLEX(DUMP1_R,0),COMPLEX(DUMP1_ESR,B1021*DUMP1_ESL-1/(B1021*DUMP1_C)))))</f>
        <v>0</v>
      </c>
      <c r="I1021">
        <f>IMPRODUCT("2",IMDIV("1",IMSUM(IMDIV("1",COMPLEX(LDM2_DCR,B1021*LDM2_L)),COMPLEX(0,B1021*LDM2_CPA))))</f>
        <v>0</v>
      </c>
      <c r="J1021">
        <f>IMSUM(IMDIV("1",COMPLEX(CX2_ESR,B1021*CX2_ESL-1/(B1021*CX2_C))),IMDIV("1",IMSUM(COMPLEX(DUMP2_R,0),COMPLEX(DUMP2_ESR,B1021*DUMP2_ESL-1/(B1021*DUMP2_C)))))</f>
        <v>0</v>
      </c>
      <c r="K1021">
        <f>IMPRODUCT("2",IMDIV("1",IMSUM(IMDIV("1",COMPLEX(CMC_DCR,B1021*CMC_L*(1-CMC_K))),COMPLEX(0,B1021*CMC_CPA))))</f>
        <v>0</v>
      </c>
      <c r="L1021">
        <f>IMSUM(COMPLEX(0,B1021*CMC_CLINE),IMDIV("1",IMPRODUCT("2",COMPLEX(CY_ESR,B1021*CY_ESL-1/(B1021*CY_C)))),COMPLEX(1/DUMMY_R,0))</f>
        <v>0</v>
      </c>
      <c r="M1021">
        <f>IMSUM(D1021,IMDIV("1",C1021))</f>
        <v>0</v>
      </c>
      <c r="N1021">
        <f>IMDIV("1",IMSUM(E1021,IMDIV("1",M1021)))</f>
        <v>0</v>
      </c>
      <c r="O1021">
        <f>IMSUM(F1021,N1021)</f>
        <v>0</v>
      </c>
      <c r="P1021">
        <f>IMDIV("1",IMSUM(G1021,IMDIV("1",O1021)))</f>
        <v>0</v>
      </c>
      <c r="Q1021">
        <f>IMSUM(H1021,P1021)</f>
        <v>0</v>
      </c>
      <c r="R1021">
        <f>IMDIV("1",IMSUM(I1021,IMDIV("1",Q1021)))</f>
        <v>0</v>
      </c>
      <c r="S1021">
        <f>IMSUM(J1021,R1021)</f>
        <v>0</v>
      </c>
      <c r="T1021">
        <f>IMDIV("1",IMSUM(K1021,IMDIV("1",S1021)))</f>
        <v>0</v>
      </c>
      <c r="U1021">
        <f>IMSUM(L1021,T1021)</f>
        <v>0</v>
      </c>
      <c r="V1021">
        <f>IMDIV(COMPLEX(I_DM_SOURCE,0),U1021)</f>
        <v>0</v>
      </c>
      <c r="W1021">
        <f>IMPRODUCT(V1021,T1021)</f>
        <v>0</v>
      </c>
      <c r="X1021">
        <f>IMDIV(W1021,S1021)</f>
        <v>0</v>
      </c>
      <c r="Y1021">
        <f>IMPRODUCT(X1021,R1021)</f>
        <v>0</v>
      </c>
      <c r="Z1021">
        <f>IMDIV(Y1021,Q1021)</f>
        <v>0</v>
      </c>
      <c r="AA1021">
        <f>IMPRODUCT(Z1021,P1021)</f>
        <v>0</v>
      </c>
      <c r="AB1021">
        <f>AA1021</f>
        <v>0</v>
      </c>
      <c r="AC1021">
        <f>IMPRODUCT("-1",AB1021)</f>
        <v>0</v>
      </c>
      <c r="AD1021">
        <f>IMDIV(IMSUB(AB1021,AC1021),"2")</f>
        <v>0</v>
      </c>
      <c r="AE1021" s="6">
        <f>IMABS(AB1021)</f>
        <v>0</v>
      </c>
      <c r="AF1021" s="6">
        <f>IMABS(AC1021)</f>
        <v>0</v>
      </c>
      <c r="AG1021" s="6">
        <f>IMABS(AD1021)</f>
        <v>0</v>
      </c>
      <c r="AH1021" s="7">
        <f>20*LOG10(MAX(AE1021,1E-300)*1E6)</f>
        <v>0</v>
      </c>
      <c r="AI1021" s="7">
        <f>20*LOG10(MAX(AF1021,1E-300)*1E6)</f>
        <v>0</v>
      </c>
      <c r="AJ1021" s="7">
        <f>20*LOG10(MAX(AG1021,1E-300)*1E6)</f>
        <v>0</v>
      </c>
      <c r="AK1021" s="7">
        <f>DEGREES(IMARGUMENT(AB1021))</f>
        <v>0</v>
      </c>
      <c r="AL1021" s="7">
        <f>DEGREES(IMARGUMENT(AC1021))</f>
        <v>0</v>
      </c>
      <c r="AM1021" s="7">
        <f>DEGREES(IMARGUMENT(AD1021))</f>
        <v>0</v>
      </c>
    </row>
    <row r="1022" spans="1:39">
      <c r="A1022" s="6">
        <f>10^(LOG10(F_START)+(ROW()-ROW($A$2))*(LOG10(F_STOP)-LOG10(F_START))/(N_POINTS-1))</f>
        <v>0</v>
      </c>
      <c r="B1022" s="6">
        <f>2*PI()*A1022</f>
        <v>0</v>
      </c>
      <c r="C1022">
        <f>COMPLEX(2*LINE_PS_DCR,2*B1022*LINE_PS_L)</f>
        <v>0</v>
      </c>
      <c r="D1022">
        <f>IMSUM(COMPLEX(0,B1022*(LINE_PS_CLINE+LINE_PS_CCHA/2)),IMDIV("1",IMPRODUCT("2",COMPLEX(C_THROUGH_ESR,B1022*C_THROUGH_ESL-1/(B1022*C_THROUGH_C)))))</f>
        <v>0</v>
      </c>
      <c r="E1022">
        <f>COMPLEX(2*LINE_INPUT_DCR,2*B1022*LINE_INPUT_L)</f>
        <v>0</v>
      </c>
      <c r="F1022">
        <f>COMPLEX(0,B1022*(LINE_INPUT_CLINE+LINE_INPUT_CCHA/2))</f>
        <v>0</v>
      </c>
      <c r="G1022">
        <f>IMPRODUCT("2",IMDIV("1",IMSUM(IMDIV("1",COMPLEX(LDM1_DCR,B1022*LDM1_L)),COMPLEX(0,B1022*LDM1_CPA))))</f>
        <v>0</v>
      </c>
      <c r="H1022">
        <f>IMSUM(IMDIV("1",COMPLEX(CX1_ESR,B1022*CX1_ESL-1/(B1022*CX1_C))),IMDIV("1",IMSUM(COMPLEX(DUMP1_R,0),COMPLEX(DUMP1_ESR,B1022*DUMP1_ESL-1/(B1022*DUMP1_C)))))</f>
        <v>0</v>
      </c>
      <c r="I1022">
        <f>IMPRODUCT("2",IMDIV("1",IMSUM(IMDIV("1",COMPLEX(LDM2_DCR,B1022*LDM2_L)),COMPLEX(0,B1022*LDM2_CPA))))</f>
        <v>0</v>
      </c>
      <c r="J1022">
        <f>IMSUM(IMDIV("1",COMPLEX(CX2_ESR,B1022*CX2_ESL-1/(B1022*CX2_C))),IMDIV("1",IMSUM(COMPLEX(DUMP2_R,0),COMPLEX(DUMP2_ESR,B1022*DUMP2_ESL-1/(B1022*DUMP2_C)))))</f>
        <v>0</v>
      </c>
      <c r="K1022">
        <f>IMPRODUCT("2",IMDIV("1",IMSUM(IMDIV("1",COMPLEX(CMC_DCR,B1022*CMC_L*(1-CMC_K))),COMPLEX(0,B1022*CMC_CPA))))</f>
        <v>0</v>
      </c>
      <c r="L1022">
        <f>IMSUM(COMPLEX(0,B1022*CMC_CLINE),IMDIV("1",IMPRODUCT("2",COMPLEX(CY_ESR,B1022*CY_ESL-1/(B1022*CY_C)))),COMPLEX(1/DUMMY_R,0))</f>
        <v>0</v>
      </c>
      <c r="M1022">
        <f>IMSUM(D1022,IMDIV("1",C1022))</f>
        <v>0</v>
      </c>
      <c r="N1022">
        <f>IMDIV("1",IMSUM(E1022,IMDIV("1",M1022)))</f>
        <v>0</v>
      </c>
      <c r="O1022">
        <f>IMSUM(F1022,N1022)</f>
        <v>0</v>
      </c>
      <c r="P1022">
        <f>IMDIV("1",IMSUM(G1022,IMDIV("1",O1022)))</f>
        <v>0</v>
      </c>
      <c r="Q1022">
        <f>IMSUM(H1022,P1022)</f>
        <v>0</v>
      </c>
      <c r="R1022">
        <f>IMDIV("1",IMSUM(I1022,IMDIV("1",Q1022)))</f>
        <v>0</v>
      </c>
      <c r="S1022">
        <f>IMSUM(J1022,R1022)</f>
        <v>0</v>
      </c>
      <c r="T1022">
        <f>IMDIV("1",IMSUM(K1022,IMDIV("1",S1022)))</f>
        <v>0</v>
      </c>
      <c r="U1022">
        <f>IMSUM(L1022,T1022)</f>
        <v>0</v>
      </c>
      <c r="V1022">
        <f>IMDIV(COMPLEX(I_DM_SOURCE,0),U1022)</f>
        <v>0</v>
      </c>
      <c r="W1022">
        <f>IMPRODUCT(V1022,T1022)</f>
        <v>0</v>
      </c>
      <c r="X1022">
        <f>IMDIV(W1022,S1022)</f>
        <v>0</v>
      </c>
      <c r="Y1022">
        <f>IMPRODUCT(X1022,R1022)</f>
        <v>0</v>
      </c>
      <c r="Z1022">
        <f>IMDIV(Y1022,Q1022)</f>
        <v>0</v>
      </c>
      <c r="AA1022">
        <f>IMPRODUCT(Z1022,P1022)</f>
        <v>0</v>
      </c>
      <c r="AB1022">
        <f>AA1022</f>
        <v>0</v>
      </c>
      <c r="AC1022">
        <f>IMPRODUCT("-1",AB1022)</f>
        <v>0</v>
      </c>
      <c r="AD1022">
        <f>IMDIV(IMSUB(AB1022,AC1022),"2")</f>
        <v>0</v>
      </c>
      <c r="AE1022" s="6">
        <f>IMABS(AB1022)</f>
        <v>0</v>
      </c>
      <c r="AF1022" s="6">
        <f>IMABS(AC1022)</f>
        <v>0</v>
      </c>
      <c r="AG1022" s="6">
        <f>IMABS(AD1022)</f>
        <v>0</v>
      </c>
      <c r="AH1022" s="7">
        <f>20*LOG10(MAX(AE1022,1E-300)*1E6)</f>
        <v>0</v>
      </c>
      <c r="AI1022" s="7">
        <f>20*LOG10(MAX(AF1022,1E-300)*1E6)</f>
        <v>0</v>
      </c>
      <c r="AJ1022" s="7">
        <f>20*LOG10(MAX(AG1022,1E-300)*1E6)</f>
        <v>0</v>
      </c>
      <c r="AK1022" s="7">
        <f>DEGREES(IMARGUMENT(AB1022))</f>
        <v>0</v>
      </c>
      <c r="AL1022" s="7">
        <f>DEGREES(IMARGUMENT(AC1022))</f>
        <v>0</v>
      </c>
      <c r="AM1022" s="7">
        <f>DEGREES(IMARGUMENT(AD1022))</f>
        <v>0</v>
      </c>
    </row>
    <row r="1023" spans="1:39">
      <c r="A1023" s="6">
        <f>10^(LOG10(F_START)+(ROW()-ROW($A$2))*(LOG10(F_STOP)-LOG10(F_START))/(N_POINTS-1))</f>
        <v>0</v>
      </c>
      <c r="B1023" s="6">
        <f>2*PI()*A1023</f>
        <v>0</v>
      </c>
      <c r="C1023">
        <f>COMPLEX(2*LINE_PS_DCR,2*B1023*LINE_PS_L)</f>
        <v>0</v>
      </c>
      <c r="D1023">
        <f>IMSUM(COMPLEX(0,B1023*(LINE_PS_CLINE+LINE_PS_CCHA/2)),IMDIV("1",IMPRODUCT("2",COMPLEX(C_THROUGH_ESR,B1023*C_THROUGH_ESL-1/(B1023*C_THROUGH_C)))))</f>
        <v>0</v>
      </c>
      <c r="E1023">
        <f>COMPLEX(2*LINE_INPUT_DCR,2*B1023*LINE_INPUT_L)</f>
        <v>0</v>
      </c>
      <c r="F1023">
        <f>COMPLEX(0,B1023*(LINE_INPUT_CLINE+LINE_INPUT_CCHA/2))</f>
        <v>0</v>
      </c>
      <c r="G1023">
        <f>IMPRODUCT("2",IMDIV("1",IMSUM(IMDIV("1",COMPLEX(LDM1_DCR,B1023*LDM1_L)),COMPLEX(0,B1023*LDM1_CPA))))</f>
        <v>0</v>
      </c>
      <c r="H1023">
        <f>IMSUM(IMDIV("1",COMPLEX(CX1_ESR,B1023*CX1_ESL-1/(B1023*CX1_C))),IMDIV("1",IMSUM(COMPLEX(DUMP1_R,0),COMPLEX(DUMP1_ESR,B1023*DUMP1_ESL-1/(B1023*DUMP1_C)))))</f>
        <v>0</v>
      </c>
      <c r="I1023">
        <f>IMPRODUCT("2",IMDIV("1",IMSUM(IMDIV("1",COMPLEX(LDM2_DCR,B1023*LDM2_L)),COMPLEX(0,B1023*LDM2_CPA))))</f>
        <v>0</v>
      </c>
      <c r="J1023">
        <f>IMSUM(IMDIV("1",COMPLEX(CX2_ESR,B1023*CX2_ESL-1/(B1023*CX2_C))),IMDIV("1",IMSUM(COMPLEX(DUMP2_R,0),COMPLEX(DUMP2_ESR,B1023*DUMP2_ESL-1/(B1023*DUMP2_C)))))</f>
        <v>0</v>
      </c>
      <c r="K1023">
        <f>IMPRODUCT("2",IMDIV("1",IMSUM(IMDIV("1",COMPLEX(CMC_DCR,B1023*CMC_L*(1-CMC_K))),COMPLEX(0,B1023*CMC_CPA))))</f>
        <v>0</v>
      </c>
      <c r="L1023">
        <f>IMSUM(COMPLEX(0,B1023*CMC_CLINE),IMDIV("1",IMPRODUCT("2",COMPLEX(CY_ESR,B1023*CY_ESL-1/(B1023*CY_C)))),COMPLEX(1/DUMMY_R,0))</f>
        <v>0</v>
      </c>
      <c r="M1023">
        <f>IMSUM(D1023,IMDIV("1",C1023))</f>
        <v>0</v>
      </c>
      <c r="N1023">
        <f>IMDIV("1",IMSUM(E1023,IMDIV("1",M1023)))</f>
        <v>0</v>
      </c>
      <c r="O1023">
        <f>IMSUM(F1023,N1023)</f>
        <v>0</v>
      </c>
      <c r="P1023">
        <f>IMDIV("1",IMSUM(G1023,IMDIV("1",O1023)))</f>
        <v>0</v>
      </c>
      <c r="Q1023">
        <f>IMSUM(H1023,P1023)</f>
        <v>0</v>
      </c>
      <c r="R1023">
        <f>IMDIV("1",IMSUM(I1023,IMDIV("1",Q1023)))</f>
        <v>0</v>
      </c>
      <c r="S1023">
        <f>IMSUM(J1023,R1023)</f>
        <v>0</v>
      </c>
      <c r="T1023">
        <f>IMDIV("1",IMSUM(K1023,IMDIV("1",S1023)))</f>
        <v>0</v>
      </c>
      <c r="U1023">
        <f>IMSUM(L1023,T1023)</f>
        <v>0</v>
      </c>
      <c r="V1023">
        <f>IMDIV(COMPLEX(I_DM_SOURCE,0),U1023)</f>
        <v>0</v>
      </c>
      <c r="W1023">
        <f>IMPRODUCT(V1023,T1023)</f>
        <v>0</v>
      </c>
      <c r="X1023">
        <f>IMDIV(W1023,S1023)</f>
        <v>0</v>
      </c>
      <c r="Y1023">
        <f>IMPRODUCT(X1023,R1023)</f>
        <v>0</v>
      </c>
      <c r="Z1023">
        <f>IMDIV(Y1023,Q1023)</f>
        <v>0</v>
      </c>
      <c r="AA1023">
        <f>IMPRODUCT(Z1023,P1023)</f>
        <v>0</v>
      </c>
      <c r="AB1023">
        <f>AA1023</f>
        <v>0</v>
      </c>
      <c r="AC1023">
        <f>IMPRODUCT("-1",AB1023)</f>
        <v>0</v>
      </c>
      <c r="AD1023">
        <f>IMDIV(IMSUB(AB1023,AC1023),"2")</f>
        <v>0</v>
      </c>
      <c r="AE1023" s="6">
        <f>IMABS(AB1023)</f>
        <v>0</v>
      </c>
      <c r="AF1023" s="6">
        <f>IMABS(AC1023)</f>
        <v>0</v>
      </c>
      <c r="AG1023" s="6">
        <f>IMABS(AD1023)</f>
        <v>0</v>
      </c>
      <c r="AH1023" s="7">
        <f>20*LOG10(MAX(AE1023,1E-300)*1E6)</f>
        <v>0</v>
      </c>
      <c r="AI1023" s="7">
        <f>20*LOG10(MAX(AF1023,1E-300)*1E6)</f>
        <v>0</v>
      </c>
      <c r="AJ1023" s="7">
        <f>20*LOG10(MAX(AG1023,1E-300)*1E6)</f>
        <v>0</v>
      </c>
      <c r="AK1023" s="7">
        <f>DEGREES(IMARGUMENT(AB1023))</f>
        <v>0</v>
      </c>
      <c r="AL1023" s="7">
        <f>DEGREES(IMARGUMENT(AC1023))</f>
        <v>0</v>
      </c>
      <c r="AM1023" s="7">
        <f>DEGREES(IMARGUMENT(AD1023))</f>
        <v>0</v>
      </c>
    </row>
    <row r="1024" spans="1:39">
      <c r="A1024" s="6">
        <f>10^(LOG10(F_START)+(ROW()-ROW($A$2))*(LOG10(F_STOP)-LOG10(F_START))/(N_POINTS-1))</f>
        <v>0</v>
      </c>
      <c r="B1024" s="6">
        <f>2*PI()*A1024</f>
        <v>0</v>
      </c>
      <c r="C1024">
        <f>COMPLEX(2*LINE_PS_DCR,2*B1024*LINE_PS_L)</f>
        <v>0</v>
      </c>
      <c r="D1024">
        <f>IMSUM(COMPLEX(0,B1024*(LINE_PS_CLINE+LINE_PS_CCHA/2)),IMDIV("1",IMPRODUCT("2",COMPLEX(C_THROUGH_ESR,B1024*C_THROUGH_ESL-1/(B1024*C_THROUGH_C)))))</f>
        <v>0</v>
      </c>
      <c r="E1024">
        <f>COMPLEX(2*LINE_INPUT_DCR,2*B1024*LINE_INPUT_L)</f>
        <v>0</v>
      </c>
      <c r="F1024">
        <f>COMPLEX(0,B1024*(LINE_INPUT_CLINE+LINE_INPUT_CCHA/2))</f>
        <v>0</v>
      </c>
      <c r="G1024">
        <f>IMPRODUCT("2",IMDIV("1",IMSUM(IMDIV("1",COMPLEX(LDM1_DCR,B1024*LDM1_L)),COMPLEX(0,B1024*LDM1_CPA))))</f>
        <v>0</v>
      </c>
      <c r="H1024">
        <f>IMSUM(IMDIV("1",COMPLEX(CX1_ESR,B1024*CX1_ESL-1/(B1024*CX1_C))),IMDIV("1",IMSUM(COMPLEX(DUMP1_R,0),COMPLEX(DUMP1_ESR,B1024*DUMP1_ESL-1/(B1024*DUMP1_C)))))</f>
        <v>0</v>
      </c>
      <c r="I1024">
        <f>IMPRODUCT("2",IMDIV("1",IMSUM(IMDIV("1",COMPLEX(LDM2_DCR,B1024*LDM2_L)),COMPLEX(0,B1024*LDM2_CPA))))</f>
        <v>0</v>
      </c>
      <c r="J1024">
        <f>IMSUM(IMDIV("1",COMPLEX(CX2_ESR,B1024*CX2_ESL-1/(B1024*CX2_C))),IMDIV("1",IMSUM(COMPLEX(DUMP2_R,0),COMPLEX(DUMP2_ESR,B1024*DUMP2_ESL-1/(B1024*DUMP2_C)))))</f>
        <v>0</v>
      </c>
      <c r="K1024">
        <f>IMPRODUCT("2",IMDIV("1",IMSUM(IMDIV("1",COMPLEX(CMC_DCR,B1024*CMC_L*(1-CMC_K))),COMPLEX(0,B1024*CMC_CPA))))</f>
        <v>0</v>
      </c>
      <c r="L1024">
        <f>IMSUM(COMPLEX(0,B1024*CMC_CLINE),IMDIV("1",IMPRODUCT("2",COMPLEX(CY_ESR,B1024*CY_ESL-1/(B1024*CY_C)))),COMPLEX(1/DUMMY_R,0))</f>
        <v>0</v>
      </c>
      <c r="M1024">
        <f>IMSUM(D1024,IMDIV("1",C1024))</f>
        <v>0</v>
      </c>
      <c r="N1024">
        <f>IMDIV("1",IMSUM(E1024,IMDIV("1",M1024)))</f>
        <v>0</v>
      </c>
      <c r="O1024">
        <f>IMSUM(F1024,N1024)</f>
        <v>0</v>
      </c>
      <c r="P1024">
        <f>IMDIV("1",IMSUM(G1024,IMDIV("1",O1024)))</f>
        <v>0</v>
      </c>
      <c r="Q1024">
        <f>IMSUM(H1024,P1024)</f>
        <v>0</v>
      </c>
      <c r="R1024">
        <f>IMDIV("1",IMSUM(I1024,IMDIV("1",Q1024)))</f>
        <v>0</v>
      </c>
      <c r="S1024">
        <f>IMSUM(J1024,R1024)</f>
        <v>0</v>
      </c>
      <c r="T1024">
        <f>IMDIV("1",IMSUM(K1024,IMDIV("1",S1024)))</f>
        <v>0</v>
      </c>
      <c r="U1024">
        <f>IMSUM(L1024,T1024)</f>
        <v>0</v>
      </c>
      <c r="V1024">
        <f>IMDIV(COMPLEX(I_DM_SOURCE,0),U1024)</f>
        <v>0</v>
      </c>
      <c r="W1024">
        <f>IMPRODUCT(V1024,T1024)</f>
        <v>0</v>
      </c>
      <c r="X1024">
        <f>IMDIV(W1024,S1024)</f>
        <v>0</v>
      </c>
      <c r="Y1024">
        <f>IMPRODUCT(X1024,R1024)</f>
        <v>0</v>
      </c>
      <c r="Z1024">
        <f>IMDIV(Y1024,Q1024)</f>
        <v>0</v>
      </c>
      <c r="AA1024">
        <f>IMPRODUCT(Z1024,P1024)</f>
        <v>0</v>
      </c>
      <c r="AB1024">
        <f>AA1024</f>
        <v>0</v>
      </c>
      <c r="AC1024">
        <f>IMPRODUCT("-1",AB1024)</f>
        <v>0</v>
      </c>
      <c r="AD1024">
        <f>IMDIV(IMSUB(AB1024,AC1024),"2")</f>
        <v>0</v>
      </c>
      <c r="AE1024" s="6">
        <f>IMABS(AB1024)</f>
        <v>0</v>
      </c>
      <c r="AF1024" s="6">
        <f>IMABS(AC1024)</f>
        <v>0</v>
      </c>
      <c r="AG1024" s="6">
        <f>IMABS(AD1024)</f>
        <v>0</v>
      </c>
      <c r="AH1024" s="7">
        <f>20*LOG10(MAX(AE1024,1E-300)*1E6)</f>
        <v>0</v>
      </c>
      <c r="AI1024" s="7">
        <f>20*LOG10(MAX(AF1024,1E-300)*1E6)</f>
        <v>0</v>
      </c>
      <c r="AJ1024" s="7">
        <f>20*LOG10(MAX(AG1024,1E-300)*1E6)</f>
        <v>0</v>
      </c>
      <c r="AK1024" s="7">
        <f>DEGREES(IMARGUMENT(AB1024))</f>
        <v>0</v>
      </c>
      <c r="AL1024" s="7">
        <f>DEGREES(IMARGUMENT(AC1024))</f>
        <v>0</v>
      </c>
      <c r="AM1024" s="7">
        <f>DEGREES(IMARGUMENT(AD1024))</f>
        <v>0</v>
      </c>
    </row>
    <row r="1025" spans="1:39">
      <c r="A1025" s="6">
        <f>10^(LOG10(F_START)+(ROW()-ROW($A$2))*(LOG10(F_STOP)-LOG10(F_START))/(N_POINTS-1))</f>
        <v>0</v>
      </c>
      <c r="B1025" s="6">
        <f>2*PI()*A1025</f>
        <v>0</v>
      </c>
      <c r="C1025">
        <f>COMPLEX(2*LINE_PS_DCR,2*B1025*LINE_PS_L)</f>
        <v>0</v>
      </c>
      <c r="D1025">
        <f>IMSUM(COMPLEX(0,B1025*(LINE_PS_CLINE+LINE_PS_CCHA/2)),IMDIV("1",IMPRODUCT("2",COMPLEX(C_THROUGH_ESR,B1025*C_THROUGH_ESL-1/(B1025*C_THROUGH_C)))))</f>
        <v>0</v>
      </c>
      <c r="E1025">
        <f>COMPLEX(2*LINE_INPUT_DCR,2*B1025*LINE_INPUT_L)</f>
        <v>0</v>
      </c>
      <c r="F1025">
        <f>COMPLEX(0,B1025*(LINE_INPUT_CLINE+LINE_INPUT_CCHA/2))</f>
        <v>0</v>
      </c>
      <c r="G1025">
        <f>IMPRODUCT("2",IMDIV("1",IMSUM(IMDIV("1",COMPLEX(LDM1_DCR,B1025*LDM1_L)),COMPLEX(0,B1025*LDM1_CPA))))</f>
        <v>0</v>
      </c>
      <c r="H1025">
        <f>IMSUM(IMDIV("1",COMPLEX(CX1_ESR,B1025*CX1_ESL-1/(B1025*CX1_C))),IMDIV("1",IMSUM(COMPLEX(DUMP1_R,0),COMPLEX(DUMP1_ESR,B1025*DUMP1_ESL-1/(B1025*DUMP1_C)))))</f>
        <v>0</v>
      </c>
      <c r="I1025">
        <f>IMPRODUCT("2",IMDIV("1",IMSUM(IMDIV("1",COMPLEX(LDM2_DCR,B1025*LDM2_L)),COMPLEX(0,B1025*LDM2_CPA))))</f>
        <v>0</v>
      </c>
      <c r="J1025">
        <f>IMSUM(IMDIV("1",COMPLEX(CX2_ESR,B1025*CX2_ESL-1/(B1025*CX2_C))),IMDIV("1",IMSUM(COMPLEX(DUMP2_R,0),COMPLEX(DUMP2_ESR,B1025*DUMP2_ESL-1/(B1025*DUMP2_C)))))</f>
        <v>0</v>
      </c>
      <c r="K1025">
        <f>IMPRODUCT("2",IMDIV("1",IMSUM(IMDIV("1",COMPLEX(CMC_DCR,B1025*CMC_L*(1-CMC_K))),COMPLEX(0,B1025*CMC_CPA))))</f>
        <v>0</v>
      </c>
      <c r="L1025">
        <f>IMSUM(COMPLEX(0,B1025*CMC_CLINE),IMDIV("1",IMPRODUCT("2",COMPLEX(CY_ESR,B1025*CY_ESL-1/(B1025*CY_C)))),COMPLEX(1/DUMMY_R,0))</f>
        <v>0</v>
      </c>
      <c r="M1025">
        <f>IMSUM(D1025,IMDIV("1",C1025))</f>
        <v>0</v>
      </c>
      <c r="N1025">
        <f>IMDIV("1",IMSUM(E1025,IMDIV("1",M1025)))</f>
        <v>0</v>
      </c>
      <c r="O1025">
        <f>IMSUM(F1025,N1025)</f>
        <v>0</v>
      </c>
      <c r="P1025">
        <f>IMDIV("1",IMSUM(G1025,IMDIV("1",O1025)))</f>
        <v>0</v>
      </c>
      <c r="Q1025">
        <f>IMSUM(H1025,P1025)</f>
        <v>0</v>
      </c>
      <c r="R1025">
        <f>IMDIV("1",IMSUM(I1025,IMDIV("1",Q1025)))</f>
        <v>0</v>
      </c>
      <c r="S1025">
        <f>IMSUM(J1025,R1025)</f>
        <v>0</v>
      </c>
      <c r="T1025">
        <f>IMDIV("1",IMSUM(K1025,IMDIV("1",S1025)))</f>
        <v>0</v>
      </c>
      <c r="U1025">
        <f>IMSUM(L1025,T1025)</f>
        <v>0</v>
      </c>
      <c r="V1025">
        <f>IMDIV(COMPLEX(I_DM_SOURCE,0),U1025)</f>
        <v>0</v>
      </c>
      <c r="W1025">
        <f>IMPRODUCT(V1025,T1025)</f>
        <v>0</v>
      </c>
      <c r="X1025">
        <f>IMDIV(W1025,S1025)</f>
        <v>0</v>
      </c>
      <c r="Y1025">
        <f>IMPRODUCT(X1025,R1025)</f>
        <v>0</v>
      </c>
      <c r="Z1025">
        <f>IMDIV(Y1025,Q1025)</f>
        <v>0</v>
      </c>
      <c r="AA1025">
        <f>IMPRODUCT(Z1025,P1025)</f>
        <v>0</v>
      </c>
      <c r="AB1025">
        <f>AA1025</f>
        <v>0</v>
      </c>
      <c r="AC1025">
        <f>IMPRODUCT("-1",AB1025)</f>
        <v>0</v>
      </c>
      <c r="AD1025">
        <f>IMDIV(IMSUB(AB1025,AC1025),"2")</f>
        <v>0</v>
      </c>
      <c r="AE1025" s="6">
        <f>IMABS(AB1025)</f>
        <v>0</v>
      </c>
      <c r="AF1025" s="6">
        <f>IMABS(AC1025)</f>
        <v>0</v>
      </c>
      <c r="AG1025" s="6">
        <f>IMABS(AD1025)</f>
        <v>0</v>
      </c>
      <c r="AH1025" s="7">
        <f>20*LOG10(MAX(AE1025,1E-300)*1E6)</f>
        <v>0</v>
      </c>
      <c r="AI1025" s="7">
        <f>20*LOG10(MAX(AF1025,1E-300)*1E6)</f>
        <v>0</v>
      </c>
      <c r="AJ1025" s="7">
        <f>20*LOG10(MAX(AG1025,1E-300)*1E6)</f>
        <v>0</v>
      </c>
      <c r="AK1025" s="7">
        <f>DEGREES(IMARGUMENT(AB1025))</f>
        <v>0</v>
      </c>
      <c r="AL1025" s="7">
        <f>DEGREES(IMARGUMENT(AC1025))</f>
        <v>0</v>
      </c>
      <c r="AM1025" s="7">
        <f>DEGREES(IMARGUMENT(AD1025))</f>
        <v>0</v>
      </c>
    </row>
    <row r="1026" spans="1:39">
      <c r="A1026" s="6">
        <f>10^(LOG10(F_START)+(ROW()-ROW($A$2))*(LOG10(F_STOP)-LOG10(F_START))/(N_POINTS-1))</f>
        <v>0</v>
      </c>
      <c r="B1026" s="6">
        <f>2*PI()*A1026</f>
        <v>0</v>
      </c>
      <c r="C1026">
        <f>COMPLEX(2*LINE_PS_DCR,2*B1026*LINE_PS_L)</f>
        <v>0</v>
      </c>
      <c r="D1026">
        <f>IMSUM(COMPLEX(0,B1026*(LINE_PS_CLINE+LINE_PS_CCHA/2)),IMDIV("1",IMPRODUCT("2",COMPLEX(C_THROUGH_ESR,B1026*C_THROUGH_ESL-1/(B1026*C_THROUGH_C)))))</f>
        <v>0</v>
      </c>
      <c r="E1026">
        <f>COMPLEX(2*LINE_INPUT_DCR,2*B1026*LINE_INPUT_L)</f>
        <v>0</v>
      </c>
      <c r="F1026">
        <f>COMPLEX(0,B1026*(LINE_INPUT_CLINE+LINE_INPUT_CCHA/2))</f>
        <v>0</v>
      </c>
      <c r="G1026">
        <f>IMPRODUCT("2",IMDIV("1",IMSUM(IMDIV("1",COMPLEX(LDM1_DCR,B1026*LDM1_L)),COMPLEX(0,B1026*LDM1_CPA))))</f>
        <v>0</v>
      </c>
      <c r="H1026">
        <f>IMSUM(IMDIV("1",COMPLEX(CX1_ESR,B1026*CX1_ESL-1/(B1026*CX1_C))),IMDIV("1",IMSUM(COMPLEX(DUMP1_R,0),COMPLEX(DUMP1_ESR,B1026*DUMP1_ESL-1/(B1026*DUMP1_C)))))</f>
        <v>0</v>
      </c>
      <c r="I1026">
        <f>IMPRODUCT("2",IMDIV("1",IMSUM(IMDIV("1",COMPLEX(LDM2_DCR,B1026*LDM2_L)),COMPLEX(0,B1026*LDM2_CPA))))</f>
        <v>0</v>
      </c>
      <c r="J1026">
        <f>IMSUM(IMDIV("1",COMPLEX(CX2_ESR,B1026*CX2_ESL-1/(B1026*CX2_C))),IMDIV("1",IMSUM(COMPLEX(DUMP2_R,0),COMPLEX(DUMP2_ESR,B1026*DUMP2_ESL-1/(B1026*DUMP2_C)))))</f>
        <v>0</v>
      </c>
      <c r="K1026">
        <f>IMPRODUCT("2",IMDIV("1",IMSUM(IMDIV("1",COMPLEX(CMC_DCR,B1026*CMC_L*(1-CMC_K))),COMPLEX(0,B1026*CMC_CPA))))</f>
        <v>0</v>
      </c>
      <c r="L1026">
        <f>IMSUM(COMPLEX(0,B1026*CMC_CLINE),IMDIV("1",IMPRODUCT("2",COMPLEX(CY_ESR,B1026*CY_ESL-1/(B1026*CY_C)))),COMPLEX(1/DUMMY_R,0))</f>
        <v>0</v>
      </c>
      <c r="M1026">
        <f>IMSUM(D1026,IMDIV("1",C1026))</f>
        <v>0</v>
      </c>
      <c r="N1026">
        <f>IMDIV("1",IMSUM(E1026,IMDIV("1",M1026)))</f>
        <v>0</v>
      </c>
      <c r="O1026">
        <f>IMSUM(F1026,N1026)</f>
        <v>0</v>
      </c>
      <c r="P1026">
        <f>IMDIV("1",IMSUM(G1026,IMDIV("1",O1026)))</f>
        <v>0</v>
      </c>
      <c r="Q1026">
        <f>IMSUM(H1026,P1026)</f>
        <v>0</v>
      </c>
      <c r="R1026">
        <f>IMDIV("1",IMSUM(I1026,IMDIV("1",Q1026)))</f>
        <v>0</v>
      </c>
      <c r="S1026">
        <f>IMSUM(J1026,R1026)</f>
        <v>0</v>
      </c>
      <c r="T1026">
        <f>IMDIV("1",IMSUM(K1026,IMDIV("1",S1026)))</f>
        <v>0</v>
      </c>
      <c r="U1026">
        <f>IMSUM(L1026,T1026)</f>
        <v>0</v>
      </c>
      <c r="V1026">
        <f>IMDIV(COMPLEX(I_DM_SOURCE,0),U1026)</f>
        <v>0</v>
      </c>
      <c r="W1026">
        <f>IMPRODUCT(V1026,T1026)</f>
        <v>0</v>
      </c>
      <c r="X1026">
        <f>IMDIV(W1026,S1026)</f>
        <v>0</v>
      </c>
      <c r="Y1026">
        <f>IMPRODUCT(X1026,R1026)</f>
        <v>0</v>
      </c>
      <c r="Z1026">
        <f>IMDIV(Y1026,Q1026)</f>
        <v>0</v>
      </c>
      <c r="AA1026">
        <f>IMPRODUCT(Z1026,P1026)</f>
        <v>0</v>
      </c>
      <c r="AB1026">
        <f>AA1026</f>
        <v>0</v>
      </c>
      <c r="AC1026">
        <f>IMPRODUCT("-1",AB1026)</f>
        <v>0</v>
      </c>
      <c r="AD1026">
        <f>IMDIV(IMSUB(AB1026,AC1026),"2")</f>
        <v>0</v>
      </c>
      <c r="AE1026" s="6">
        <f>IMABS(AB1026)</f>
        <v>0</v>
      </c>
      <c r="AF1026" s="6">
        <f>IMABS(AC1026)</f>
        <v>0</v>
      </c>
      <c r="AG1026" s="6">
        <f>IMABS(AD1026)</f>
        <v>0</v>
      </c>
      <c r="AH1026" s="7">
        <f>20*LOG10(MAX(AE1026,1E-300)*1E6)</f>
        <v>0</v>
      </c>
      <c r="AI1026" s="7">
        <f>20*LOG10(MAX(AF1026,1E-300)*1E6)</f>
        <v>0</v>
      </c>
      <c r="AJ1026" s="7">
        <f>20*LOG10(MAX(AG1026,1E-300)*1E6)</f>
        <v>0</v>
      </c>
      <c r="AK1026" s="7">
        <f>DEGREES(IMARGUMENT(AB1026))</f>
        <v>0</v>
      </c>
      <c r="AL1026" s="7">
        <f>DEGREES(IMARGUMENT(AC1026))</f>
        <v>0</v>
      </c>
      <c r="AM1026" s="7">
        <f>DEGREES(IMARGUMENT(AD1026))</f>
        <v>0</v>
      </c>
    </row>
    <row r="1027" spans="1:39">
      <c r="A1027" s="6">
        <f>10^(LOG10(F_START)+(ROW()-ROW($A$2))*(LOG10(F_STOP)-LOG10(F_START))/(N_POINTS-1))</f>
        <v>0</v>
      </c>
      <c r="B1027" s="6">
        <f>2*PI()*A1027</f>
        <v>0</v>
      </c>
      <c r="C1027">
        <f>COMPLEX(2*LINE_PS_DCR,2*B1027*LINE_PS_L)</f>
        <v>0</v>
      </c>
      <c r="D1027">
        <f>IMSUM(COMPLEX(0,B1027*(LINE_PS_CLINE+LINE_PS_CCHA/2)),IMDIV("1",IMPRODUCT("2",COMPLEX(C_THROUGH_ESR,B1027*C_THROUGH_ESL-1/(B1027*C_THROUGH_C)))))</f>
        <v>0</v>
      </c>
      <c r="E1027">
        <f>COMPLEX(2*LINE_INPUT_DCR,2*B1027*LINE_INPUT_L)</f>
        <v>0</v>
      </c>
      <c r="F1027">
        <f>COMPLEX(0,B1027*(LINE_INPUT_CLINE+LINE_INPUT_CCHA/2))</f>
        <v>0</v>
      </c>
      <c r="G1027">
        <f>IMPRODUCT("2",IMDIV("1",IMSUM(IMDIV("1",COMPLEX(LDM1_DCR,B1027*LDM1_L)),COMPLEX(0,B1027*LDM1_CPA))))</f>
        <v>0</v>
      </c>
      <c r="H1027">
        <f>IMSUM(IMDIV("1",COMPLEX(CX1_ESR,B1027*CX1_ESL-1/(B1027*CX1_C))),IMDIV("1",IMSUM(COMPLEX(DUMP1_R,0),COMPLEX(DUMP1_ESR,B1027*DUMP1_ESL-1/(B1027*DUMP1_C)))))</f>
        <v>0</v>
      </c>
      <c r="I1027">
        <f>IMPRODUCT("2",IMDIV("1",IMSUM(IMDIV("1",COMPLEX(LDM2_DCR,B1027*LDM2_L)),COMPLEX(0,B1027*LDM2_CPA))))</f>
        <v>0</v>
      </c>
      <c r="J1027">
        <f>IMSUM(IMDIV("1",COMPLEX(CX2_ESR,B1027*CX2_ESL-1/(B1027*CX2_C))),IMDIV("1",IMSUM(COMPLEX(DUMP2_R,0),COMPLEX(DUMP2_ESR,B1027*DUMP2_ESL-1/(B1027*DUMP2_C)))))</f>
        <v>0</v>
      </c>
      <c r="K1027">
        <f>IMPRODUCT("2",IMDIV("1",IMSUM(IMDIV("1",COMPLEX(CMC_DCR,B1027*CMC_L*(1-CMC_K))),COMPLEX(0,B1027*CMC_CPA))))</f>
        <v>0</v>
      </c>
      <c r="L1027">
        <f>IMSUM(COMPLEX(0,B1027*CMC_CLINE),IMDIV("1",IMPRODUCT("2",COMPLEX(CY_ESR,B1027*CY_ESL-1/(B1027*CY_C)))),COMPLEX(1/DUMMY_R,0))</f>
        <v>0</v>
      </c>
      <c r="M1027">
        <f>IMSUM(D1027,IMDIV("1",C1027))</f>
        <v>0</v>
      </c>
      <c r="N1027">
        <f>IMDIV("1",IMSUM(E1027,IMDIV("1",M1027)))</f>
        <v>0</v>
      </c>
      <c r="O1027">
        <f>IMSUM(F1027,N1027)</f>
        <v>0</v>
      </c>
      <c r="P1027">
        <f>IMDIV("1",IMSUM(G1027,IMDIV("1",O1027)))</f>
        <v>0</v>
      </c>
      <c r="Q1027">
        <f>IMSUM(H1027,P1027)</f>
        <v>0</v>
      </c>
      <c r="R1027">
        <f>IMDIV("1",IMSUM(I1027,IMDIV("1",Q1027)))</f>
        <v>0</v>
      </c>
      <c r="S1027">
        <f>IMSUM(J1027,R1027)</f>
        <v>0</v>
      </c>
      <c r="T1027">
        <f>IMDIV("1",IMSUM(K1027,IMDIV("1",S1027)))</f>
        <v>0</v>
      </c>
      <c r="U1027">
        <f>IMSUM(L1027,T1027)</f>
        <v>0</v>
      </c>
      <c r="V1027">
        <f>IMDIV(COMPLEX(I_DM_SOURCE,0),U1027)</f>
        <v>0</v>
      </c>
      <c r="W1027">
        <f>IMPRODUCT(V1027,T1027)</f>
        <v>0</v>
      </c>
      <c r="X1027">
        <f>IMDIV(W1027,S1027)</f>
        <v>0</v>
      </c>
      <c r="Y1027">
        <f>IMPRODUCT(X1027,R1027)</f>
        <v>0</v>
      </c>
      <c r="Z1027">
        <f>IMDIV(Y1027,Q1027)</f>
        <v>0</v>
      </c>
      <c r="AA1027">
        <f>IMPRODUCT(Z1027,P1027)</f>
        <v>0</v>
      </c>
      <c r="AB1027">
        <f>AA1027</f>
        <v>0</v>
      </c>
      <c r="AC1027">
        <f>IMPRODUCT("-1",AB1027)</f>
        <v>0</v>
      </c>
      <c r="AD1027">
        <f>IMDIV(IMSUB(AB1027,AC1027),"2")</f>
        <v>0</v>
      </c>
      <c r="AE1027" s="6">
        <f>IMABS(AB1027)</f>
        <v>0</v>
      </c>
      <c r="AF1027" s="6">
        <f>IMABS(AC1027)</f>
        <v>0</v>
      </c>
      <c r="AG1027" s="6">
        <f>IMABS(AD1027)</f>
        <v>0</v>
      </c>
      <c r="AH1027" s="7">
        <f>20*LOG10(MAX(AE1027,1E-300)*1E6)</f>
        <v>0</v>
      </c>
      <c r="AI1027" s="7">
        <f>20*LOG10(MAX(AF1027,1E-300)*1E6)</f>
        <v>0</v>
      </c>
      <c r="AJ1027" s="7">
        <f>20*LOG10(MAX(AG1027,1E-300)*1E6)</f>
        <v>0</v>
      </c>
      <c r="AK1027" s="7">
        <f>DEGREES(IMARGUMENT(AB1027))</f>
        <v>0</v>
      </c>
      <c r="AL1027" s="7">
        <f>DEGREES(IMARGUMENT(AC1027))</f>
        <v>0</v>
      </c>
      <c r="AM1027" s="7">
        <f>DEGREES(IMARGUMENT(AD1027))</f>
        <v>0</v>
      </c>
    </row>
    <row r="1028" spans="1:39">
      <c r="A1028" s="6">
        <f>10^(LOG10(F_START)+(ROW()-ROW($A$2))*(LOG10(F_STOP)-LOG10(F_START))/(N_POINTS-1))</f>
        <v>0</v>
      </c>
      <c r="B1028" s="6">
        <f>2*PI()*A1028</f>
        <v>0</v>
      </c>
      <c r="C1028">
        <f>COMPLEX(2*LINE_PS_DCR,2*B1028*LINE_PS_L)</f>
        <v>0</v>
      </c>
      <c r="D1028">
        <f>IMSUM(COMPLEX(0,B1028*(LINE_PS_CLINE+LINE_PS_CCHA/2)),IMDIV("1",IMPRODUCT("2",COMPLEX(C_THROUGH_ESR,B1028*C_THROUGH_ESL-1/(B1028*C_THROUGH_C)))))</f>
        <v>0</v>
      </c>
      <c r="E1028">
        <f>COMPLEX(2*LINE_INPUT_DCR,2*B1028*LINE_INPUT_L)</f>
        <v>0</v>
      </c>
      <c r="F1028">
        <f>COMPLEX(0,B1028*(LINE_INPUT_CLINE+LINE_INPUT_CCHA/2))</f>
        <v>0</v>
      </c>
      <c r="G1028">
        <f>IMPRODUCT("2",IMDIV("1",IMSUM(IMDIV("1",COMPLEX(LDM1_DCR,B1028*LDM1_L)),COMPLEX(0,B1028*LDM1_CPA))))</f>
        <v>0</v>
      </c>
      <c r="H1028">
        <f>IMSUM(IMDIV("1",COMPLEX(CX1_ESR,B1028*CX1_ESL-1/(B1028*CX1_C))),IMDIV("1",IMSUM(COMPLEX(DUMP1_R,0),COMPLEX(DUMP1_ESR,B1028*DUMP1_ESL-1/(B1028*DUMP1_C)))))</f>
        <v>0</v>
      </c>
      <c r="I1028">
        <f>IMPRODUCT("2",IMDIV("1",IMSUM(IMDIV("1",COMPLEX(LDM2_DCR,B1028*LDM2_L)),COMPLEX(0,B1028*LDM2_CPA))))</f>
        <v>0</v>
      </c>
      <c r="J1028">
        <f>IMSUM(IMDIV("1",COMPLEX(CX2_ESR,B1028*CX2_ESL-1/(B1028*CX2_C))),IMDIV("1",IMSUM(COMPLEX(DUMP2_R,0),COMPLEX(DUMP2_ESR,B1028*DUMP2_ESL-1/(B1028*DUMP2_C)))))</f>
        <v>0</v>
      </c>
      <c r="K1028">
        <f>IMPRODUCT("2",IMDIV("1",IMSUM(IMDIV("1",COMPLEX(CMC_DCR,B1028*CMC_L*(1-CMC_K))),COMPLEX(0,B1028*CMC_CPA))))</f>
        <v>0</v>
      </c>
      <c r="L1028">
        <f>IMSUM(COMPLEX(0,B1028*CMC_CLINE),IMDIV("1",IMPRODUCT("2",COMPLEX(CY_ESR,B1028*CY_ESL-1/(B1028*CY_C)))),COMPLEX(1/DUMMY_R,0))</f>
        <v>0</v>
      </c>
      <c r="M1028">
        <f>IMSUM(D1028,IMDIV("1",C1028))</f>
        <v>0</v>
      </c>
      <c r="N1028">
        <f>IMDIV("1",IMSUM(E1028,IMDIV("1",M1028)))</f>
        <v>0</v>
      </c>
      <c r="O1028">
        <f>IMSUM(F1028,N1028)</f>
        <v>0</v>
      </c>
      <c r="P1028">
        <f>IMDIV("1",IMSUM(G1028,IMDIV("1",O1028)))</f>
        <v>0</v>
      </c>
      <c r="Q1028">
        <f>IMSUM(H1028,P1028)</f>
        <v>0</v>
      </c>
      <c r="R1028">
        <f>IMDIV("1",IMSUM(I1028,IMDIV("1",Q1028)))</f>
        <v>0</v>
      </c>
      <c r="S1028">
        <f>IMSUM(J1028,R1028)</f>
        <v>0</v>
      </c>
      <c r="T1028">
        <f>IMDIV("1",IMSUM(K1028,IMDIV("1",S1028)))</f>
        <v>0</v>
      </c>
      <c r="U1028">
        <f>IMSUM(L1028,T1028)</f>
        <v>0</v>
      </c>
      <c r="V1028">
        <f>IMDIV(COMPLEX(I_DM_SOURCE,0),U1028)</f>
        <v>0</v>
      </c>
      <c r="W1028">
        <f>IMPRODUCT(V1028,T1028)</f>
        <v>0</v>
      </c>
      <c r="X1028">
        <f>IMDIV(W1028,S1028)</f>
        <v>0</v>
      </c>
      <c r="Y1028">
        <f>IMPRODUCT(X1028,R1028)</f>
        <v>0</v>
      </c>
      <c r="Z1028">
        <f>IMDIV(Y1028,Q1028)</f>
        <v>0</v>
      </c>
      <c r="AA1028">
        <f>IMPRODUCT(Z1028,P1028)</f>
        <v>0</v>
      </c>
      <c r="AB1028">
        <f>AA1028</f>
        <v>0</v>
      </c>
      <c r="AC1028">
        <f>IMPRODUCT("-1",AB1028)</f>
        <v>0</v>
      </c>
      <c r="AD1028">
        <f>IMDIV(IMSUB(AB1028,AC1028),"2")</f>
        <v>0</v>
      </c>
      <c r="AE1028" s="6">
        <f>IMABS(AB1028)</f>
        <v>0</v>
      </c>
      <c r="AF1028" s="6">
        <f>IMABS(AC1028)</f>
        <v>0</v>
      </c>
      <c r="AG1028" s="6">
        <f>IMABS(AD1028)</f>
        <v>0</v>
      </c>
      <c r="AH1028" s="7">
        <f>20*LOG10(MAX(AE1028,1E-300)*1E6)</f>
        <v>0</v>
      </c>
      <c r="AI1028" s="7">
        <f>20*LOG10(MAX(AF1028,1E-300)*1E6)</f>
        <v>0</v>
      </c>
      <c r="AJ1028" s="7">
        <f>20*LOG10(MAX(AG1028,1E-300)*1E6)</f>
        <v>0</v>
      </c>
      <c r="AK1028" s="7">
        <f>DEGREES(IMARGUMENT(AB1028))</f>
        <v>0</v>
      </c>
      <c r="AL1028" s="7">
        <f>DEGREES(IMARGUMENT(AC1028))</f>
        <v>0</v>
      </c>
      <c r="AM1028" s="7">
        <f>DEGREES(IMARGUMENT(AD1028))</f>
        <v>0</v>
      </c>
    </row>
    <row r="1029" spans="1:39">
      <c r="A1029" s="6">
        <f>10^(LOG10(F_START)+(ROW()-ROW($A$2))*(LOG10(F_STOP)-LOG10(F_START))/(N_POINTS-1))</f>
        <v>0</v>
      </c>
      <c r="B1029" s="6">
        <f>2*PI()*A1029</f>
        <v>0</v>
      </c>
      <c r="C1029">
        <f>COMPLEX(2*LINE_PS_DCR,2*B1029*LINE_PS_L)</f>
        <v>0</v>
      </c>
      <c r="D1029">
        <f>IMSUM(COMPLEX(0,B1029*(LINE_PS_CLINE+LINE_PS_CCHA/2)),IMDIV("1",IMPRODUCT("2",COMPLEX(C_THROUGH_ESR,B1029*C_THROUGH_ESL-1/(B1029*C_THROUGH_C)))))</f>
        <v>0</v>
      </c>
      <c r="E1029">
        <f>COMPLEX(2*LINE_INPUT_DCR,2*B1029*LINE_INPUT_L)</f>
        <v>0</v>
      </c>
      <c r="F1029">
        <f>COMPLEX(0,B1029*(LINE_INPUT_CLINE+LINE_INPUT_CCHA/2))</f>
        <v>0</v>
      </c>
      <c r="G1029">
        <f>IMPRODUCT("2",IMDIV("1",IMSUM(IMDIV("1",COMPLEX(LDM1_DCR,B1029*LDM1_L)),COMPLEX(0,B1029*LDM1_CPA))))</f>
        <v>0</v>
      </c>
      <c r="H1029">
        <f>IMSUM(IMDIV("1",COMPLEX(CX1_ESR,B1029*CX1_ESL-1/(B1029*CX1_C))),IMDIV("1",IMSUM(COMPLEX(DUMP1_R,0),COMPLEX(DUMP1_ESR,B1029*DUMP1_ESL-1/(B1029*DUMP1_C)))))</f>
        <v>0</v>
      </c>
      <c r="I1029">
        <f>IMPRODUCT("2",IMDIV("1",IMSUM(IMDIV("1",COMPLEX(LDM2_DCR,B1029*LDM2_L)),COMPLEX(0,B1029*LDM2_CPA))))</f>
        <v>0</v>
      </c>
      <c r="J1029">
        <f>IMSUM(IMDIV("1",COMPLEX(CX2_ESR,B1029*CX2_ESL-1/(B1029*CX2_C))),IMDIV("1",IMSUM(COMPLEX(DUMP2_R,0),COMPLEX(DUMP2_ESR,B1029*DUMP2_ESL-1/(B1029*DUMP2_C)))))</f>
        <v>0</v>
      </c>
      <c r="K1029">
        <f>IMPRODUCT("2",IMDIV("1",IMSUM(IMDIV("1",COMPLEX(CMC_DCR,B1029*CMC_L*(1-CMC_K))),COMPLEX(0,B1029*CMC_CPA))))</f>
        <v>0</v>
      </c>
      <c r="L1029">
        <f>IMSUM(COMPLEX(0,B1029*CMC_CLINE),IMDIV("1",IMPRODUCT("2",COMPLEX(CY_ESR,B1029*CY_ESL-1/(B1029*CY_C)))),COMPLEX(1/DUMMY_R,0))</f>
        <v>0</v>
      </c>
      <c r="M1029">
        <f>IMSUM(D1029,IMDIV("1",C1029))</f>
        <v>0</v>
      </c>
      <c r="N1029">
        <f>IMDIV("1",IMSUM(E1029,IMDIV("1",M1029)))</f>
        <v>0</v>
      </c>
      <c r="O1029">
        <f>IMSUM(F1029,N1029)</f>
        <v>0</v>
      </c>
      <c r="P1029">
        <f>IMDIV("1",IMSUM(G1029,IMDIV("1",O1029)))</f>
        <v>0</v>
      </c>
      <c r="Q1029">
        <f>IMSUM(H1029,P1029)</f>
        <v>0</v>
      </c>
      <c r="R1029">
        <f>IMDIV("1",IMSUM(I1029,IMDIV("1",Q1029)))</f>
        <v>0</v>
      </c>
      <c r="S1029">
        <f>IMSUM(J1029,R1029)</f>
        <v>0</v>
      </c>
      <c r="T1029">
        <f>IMDIV("1",IMSUM(K1029,IMDIV("1",S1029)))</f>
        <v>0</v>
      </c>
      <c r="U1029">
        <f>IMSUM(L1029,T1029)</f>
        <v>0</v>
      </c>
      <c r="V1029">
        <f>IMDIV(COMPLEX(I_DM_SOURCE,0),U1029)</f>
        <v>0</v>
      </c>
      <c r="W1029">
        <f>IMPRODUCT(V1029,T1029)</f>
        <v>0</v>
      </c>
      <c r="X1029">
        <f>IMDIV(W1029,S1029)</f>
        <v>0</v>
      </c>
      <c r="Y1029">
        <f>IMPRODUCT(X1029,R1029)</f>
        <v>0</v>
      </c>
      <c r="Z1029">
        <f>IMDIV(Y1029,Q1029)</f>
        <v>0</v>
      </c>
      <c r="AA1029">
        <f>IMPRODUCT(Z1029,P1029)</f>
        <v>0</v>
      </c>
      <c r="AB1029">
        <f>AA1029</f>
        <v>0</v>
      </c>
      <c r="AC1029">
        <f>IMPRODUCT("-1",AB1029)</f>
        <v>0</v>
      </c>
      <c r="AD1029">
        <f>IMDIV(IMSUB(AB1029,AC1029),"2")</f>
        <v>0</v>
      </c>
      <c r="AE1029" s="6">
        <f>IMABS(AB1029)</f>
        <v>0</v>
      </c>
      <c r="AF1029" s="6">
        <f>IMABS(AC1029)</f>
        <v>0</v>
      </c>
      <c r="AG1029" s="6">
        <f>IMABS(AD1029)</f>
        <v>0</v>
      </c>
      <c r="AH1029" s="7">
        <f>20*LOG10(MAX(AE1029,1E-300)*1E6)</f>
        <v>0</v>
      </c>
      <c r="AI1029" s="7">
        <f>20*LOG10(MAX(AF1029,1E-300)*1E6)</f>
        <v>0</v>
      </c>
      <c r="AJ1029" s="7">
        <f>20*LOG10(MAX(AG1029,1E-300)*1E6)</f>
        <v>0</v>
      </c>
      <c r="AK1029" s="7">
        <f>DEGREES(IMARGUMENT(AB1029))</f>
        <v>0</v>
      </c>
      <c r="AL1029" s="7">
        <f>DEGREES(IMARGUMENT(AC1029))</f>
        <v>0</v>
      </c>
      <c r="AM1029" s="7">
        <f>DEGREES(IMARGUMENT(AD1029))</f>
        <v>0</v>
      </c>
    </row>
    <row r="1030" spans="1:39">
      <c r="A1030" s="6">
        <f>10^(LOG10(F_START)+(ROW()-ROW($A$2))*(LOG10(F_STOP)-LOG10(F_START))/(N_POINTS-1))</f>
        <v>0</v>
      </c>
      <c r="B1030" s="6">
        <f>2*PI()*A1030</f>
        <v>0</v>
      </c>
      <c r="C1030">
        <f>COMPLEX(2*LINE_PS_DCR,2*B1030*LINE_PS_L)</f>
        <v>0</v>
      </c>
      <c r="D1030">
        <f>IMSUM(COMPLEX(0,B1030*(LINE_PS_CLINE+LINE_PS_CCHA/2)),IMDIV("1",IMPRODUCT("2",COMPLEX(C_THROUGH_ESR,B1030*C_THROUGH_ESL-1/(B1030*C_THROUGH_C)))))</f>
        <v>0</v>
      </c>
      <c r="E1030">
        <f>COMPLEX(2*LINE_INPUT_DCR,2*B1030*LINE_INPUT_L)</f>
        <v>0</v>
      </c>
      <c r="F1030">
        <f>COMPLEX(0,B1030*(LINE_INPUT_CLINE+LINE_INPUT_CCHA/2))</f>
        <v>0</v>
      </c>
      <c r="G1030">
        <f>IMPRODUCT("2",IMDIV("1",IMSUM(IMDIV("1",COMPLEX(LDM1_DCR,B1030*LDM1_L)),COMPLEX(0,B1030*LDM1_CPA))))</f>
        <v>0</v>
      </c>
      <c r="H1030">
        <f>IMSUM(IMDIV("1",COMPLEX(CX1_ESR,B1030*CX1_ESL-1/(B1030*CX1_C))),IMDIV("1",IMSUM(COMPLEX(DUMP1_R,0),COMPLEX(DUMP1_ESR,B1030*DUMP1_ESL-1/(B1030*DUMP1_C)))))</f>
        <v>0</v>
      </c>
      <c r="I1030">
        <f>IMPRODUCT("2",IMDIV("1",IMSUM(IMDIV("1",COMPLEX(LDM2_DCR,B1030*LDM2_L)),COMPLEX(0,B1030*LDM2_CPA))))</f>
        <v>0</v>
      </c>
      <c r="J1030">
        <f>IMSUM(IMDIV("1",COMPLEX(CX2_ESR,B1030*CX2_ESL-1/(B1030*CX2_C))),IMDIV("1",IMSUM(COMPLEX(DUMP2_R,0),COMPLEX(DUMP2_ESR,B1030*DUMP2_ESL-1/(B1030*DUMP2_C)))))</f>
        <v>0</v>
      </c>
      <c r="K1030">
        <f>IMPRODUCT("2",IMDIV("1",IMSUM(IMDIV("1",COMPLEX(CMC_DCR,B1030*CMC_L*(1-CMC_K))),COMPLEX(0,B1030*CMC_CPA))))</f>
        <v>0</v>
      </c>
      <c r="L1030">
        <f>IMSUM(COMPLEX(0,B1030*CMC_CLINE),IMDIV("1",IMPRODUCT("2",COMPLEX(CY_ESR,B1030*CY_ESL-1/(B1030*CY_C)))),COMPLEX(1/DUMMY_R,0))</f>
        <v>0</v>
      </c>
      <c r="M1030">
        <f>IMSUM(D1030,IMDIV("1",C1030))</f>
        <v>0</v>
      </c>
      <c r="N1030">
        <f>IMDIV("1",IMSUM(E1030,IMDIV("1",M1030)))</f>
        <v>0</v>
      </c>
      <c r="O1030">
        <f>IMSUM(F1030,N1030)</f>
        <v>0</v>
      </c>
      <c r="P1030">
        <f>IMDIV("1",IMSUM(G1030,IMDIV("1",O1030)))</f>
        <v>0</v>
      </c>
      <c r="Q1030">
        <f>IMSUM(H1030,P1030)</f>
        <v>0</v>
      </c>
      <c r="R1030">
        <f>IMDIV("1",IMSUM(I1030,IMDIV("1",Q1030)))</f>
        <v>0</v>
      </c>
      <c r="S1030">
        <f>IMSUM(J1030,R1030)</f>
        <v>0</v>
      </c>
      <c r="T1030">
        <f>IMDIV("1",IMSUM(K1030,IMDIV("1",S1030)))</f>
        <v>0</v>
      </c>
      <c r="U1030">
        <f>IMSUM(L1030,T1030)</f>
        <v>0</v>
      </c>
      <c r="V1030">
        <f>IMDIV(COMPLEX(I_DM_SOURCE,0),U1030)</f>
        <v>0</v>
      </c>
      <c r="W1030">
        <f>IMPRODUCT(V1030,T1030)</f>
        <v>0</v>
      </c>
      <c r="X1030">
        <f>IMDIV(W1030,S1030)</f>
        <v>0</v>
      </c>
      <c r="Y1030">
        <f>IMPRODUCT(X1030,R1030)</f>
        <v>0</v>
      </c>
      <c r="Z1030">
        <f>IMDIV(Y1030,Q1030)</f>
        <v>0</v>
      </c>
      <c r="AA1030">
        <f>IMPRODUCT(Z1030,P1030)</f>
        <v>0</v>
      </c>
      <c r="AB1030">
        <f>AA1030</f>
        <v>0</v>
      </c>
      <c r="AC1030">
        <f>IMPRODUCT("-1",AB1030)</f>
        <v>0</v>
      </c>
      <c r="AD1030">
        <f>IMDIV(IMSUB(AB1030,AC1030),"2")</f>
        <v>0</v>
      </c>
      <c r="AE1030" s="6">
        <f>IMABS(AB1030)</f>
        <v>0</v>
      </c>
      <c r="AF1030" s="6">
        <f>IMABS(AC1030)</f>
        <v>0</v>
      </c>
      <c r="AG1030" s="6">
        <f>IMABS(AD1030)</f>
        <v>0</v>
      </c>
      <c r="AH1030" s="7">
        <f>20*LOG10(MAX(AE1030,1E-300)*1E6)</f>
        <v>0</v>
      </c>
      <c r="AI1030" s="7">
        <f>20*LOG10(MAX(AF1030,1E-300)*1E6)</f>
        <v>0</v>
      </c>
      <c r="AJ1030" s="7">
        <f>20*LOG10(MAX(AG1030,1E-300)*1E6)</f>
        <v>0</v>
      </c>
      <c r="AK1030" s="7">
        <f>DEGREES(IMARGUMENT(AB1030))</f>
        <v>0</v>
      </c>
      <c r="AL1030" s="7">
        <f>DEGREES(IMARGUMENT(AC1030))</f>
        <v>0</v>
      </c>
      <c r="AM1030" s="7">
        <f>DEGREES(IMARGUMENT(AD1030))</f>
        <v>0</v>
      </c>
    </row>
    <row r="1031" spans="1:39">
      <c r="A1031" s="6">
        <f>10^(LOG10(F_START)+(ROW()-ROW($A$2))*(LOG10(F_STOP)-LOG10(F_START))/(N_POINTS-1))</f>
        <v>0</v>
      </c>
      <c r="B1031" s="6">
        <f>2*PI()*A1031</f>
        <v>0</v>
      </c>
      <c r="C1031">
        <f>COMPLEX(2*LINE_PS_DCR,2*B1031*LINE_PS_L)</f>
        <v>0</v>
      </c>
      <c r="D1031">
        <f>IMSUM(COMPLEX(0,B1031*(LINE_PS_CLINE+LINE_PS_CCHA/2)),IMDIV("1",IMPRODUCT("2",COMPLEX(C_THROUGH_ESR,B1031*C_THROUGH_ESL-1/(B1031*C_THROUGH_C)))))</f>
        <v>0</v>
      </c>
      <c r="E1031">
        <f>COMPLEX(2*LINE_INPUT_DCR,2*B1031*LINE_INPUT_L)</f>
        <v>0</v>
      </c>
      <c r="F1031">
        <f>COMPLEX(0,B1031*(LINE_INPUT_CLINE+LINE_INPUT_CCHA/2))</f>
        <v>0</v>
      </c>
      <c r="G1031">
        <f>IMPRODUCT("2",IMDIV("1",IMSUM(IMDIV("1",COMPLEX(LDM1_DCR,B1031*LDM1_L)),COMPLEX(0,B1031*LDM1_CPA))))</f>
        <v>0</v>
      </c>
      <c r="H1031">
        <f>IMSUM(IMDIV("1",COMPLEX(CX1_ESR,B1031*CX1_ESL-1/(B1031*CX1_C))),IMDIV("1",IMSUM(COMPLEX(DUMP1_R,0),COMPLEX(DUMP1_ESR,B1031*DUMP1_ESL-1/(B1031*DUMP1_C)))))</f>
        <v>0</v>
      </c>
      <c r="I1031">
        <f>IMPRODUCT("2",IMDIV("1",IMSUM(IMDIV("1",COMPLEX(LDM2_DCR,B1031*LDM2_L)),COMPLEX(0,B1031*LDM2_CPA))))</f>
        <v>0</v>
      </c>
      <c r="J1031">
        <f>IMSUM(IMDIV("1",COMPLEX(CX2_ESR,B1031*CX2_ESL-1/(B1031*CX2_C))),IMDIV("1",IMSUM(COMPLEX(DUMP2_R,0),COMPLEX(DUMP2_ESR,B1031*DUMP2_ESL-1/(B1031*DUMP2_C)))))</f>
        <v>0</v>
      </c>
      <c r="K1031">
        <f>IMPRODUCT("2",IMDIV("1",IMSUM(IMDIV("1",COMPLEX(CMC_DCR,B1031*CMC_L*(1-CMC_K))),COMPLEX(0,B1031*CMC_CPA))))</f>
        <v>0</v>
      </c>
      <c r="L1031">
        <f>IMSUM(COMPLEX(0,B1031*CMC_CLINE),IMDIV("1",IMPRODUCT("2",COMPLEX(CY_ESR,B1031*CY_ESL-1/(B1031*CY_C)))),COMPLEX(1/DUMMY_R,0))</f>
        <v>0</v>
      </c>
      <c r="M1031">
        <f>IMSUM(D1031,IMDIV("1",C1031))</f>
        <v>0</v>
      </c>
      <c r="N1031">
        <f>IMDIV("1",IMSUM(E1031,IMDIV("1",M1031)))</f>
        <v>0</v>
      </c>
      <c r="O1031">
        <f>IMSUM(F1031,N1031)</f>
        <v>0</v>
      </c>
      <c r="P1031">
        <f>IMDIV("1",IMSUM(G1031,IMDIV("1",O1031)))</f>
        <v>0</v>
      </c>
      <c r="Q1031">
        <f>IMSUM(H1031,P1031)</f>
        <v>0</v>
      </c>
      <c r="R1031">
        <f>IMDIV("1",IMSUM(I1031,IMDIV("1",Q1031)))</f>
        <v>0</v>
      </c>
      <c r="S1031">
        <f>IMSUM(J1031,R1031)</f>
        <v>0</v>
      </c>
      <c r="T1031">
        <f>IMDIV("1",IMSUM(K1031,IMDIV("1",S1031)))</f>
        <v>0</v>
      </c>
      <c r="U1031">
        <f>IMSUM(L1031,T1031)</f>
        <v>0</v>
      </c>
      <c r="V1031">
        <f>IMDIV(COMPLEX(I_DM_SOURCE,0),U1031)</f>
        <v>0</v>
      </c>
      <c r="W1031">
        <f>IMPRODUCT(V1031,T1031)</f>
        <v>0</v>
      </c>
      <c r="X1031">
        <f>IMDIV(W1031,S1031)</f>
        <v>0</v>
      </c>
      <c r="Y1031">
        <f>IMPRODUCT(X1031,R1031)</f>
        <v>0</v>
      </c>
      <c r="Z1031">
        <f>IMDIV(Y1031,Q1031)</f>
        <v>0</v>
      </c>
      <c r="AA1031">
        <f>IMPRODUCT(Z1031,P1031)</f>
        <v>0</v>
      </c>
      <c r="AB1031">
        <f>AA1031</f>
        <v>0</v>
      </c>
      <c r="AC1031">
        <f>IMPRODUCT("-1",AB1031)</f>
        <v>0</v>
      </c>
      <c r="AD1031">
        <f>IMDIV(IMSUB(AB1031,AC1031),"2")</f>
        <v>0</v>
      </c>
      <c r="AE1031" s="6">
        <f>IMABS(AB1031)</f>
        <v>0</v>
      </c>
      <c r="AF1031" s="6">
        <f>IMABS(AC1031)</f>
        <v>0</v>
      </c>
      <c r="AG1031" s="6">
        <f>IMABS(AD1031)</f>
        <v>0</v>
      </c>
      <c r="AH1031" s="7">
        <f>20*LOG10(MAX(AE1031,1E-300)*1E6)</f>
        <v>0</v>
      </c>
      <c r="AI1031" s="7">
        <f>20*LOG10(MAX(AF1031,1E-300)*1E6)</f>
        <v>0</v>
      </c>
      <c r="AJ1031" s="7">
        <f>20*LOG10(MAX(AG1031,1E-300)*1E6)</f>
        <v>0</v>
      </c>
      <c r="AK1031" s="7">
        <f>DEGREES(IMARGUMENT(AB1031))</f>
        <v>0</v>
      </c>
      <c r="AL1031" s="7">
        <f>DEGREES(IMARGUMENT(AC1031))</f>
        <v>0</v>
      </c>
      <c r="AM1031" s="7">
        <f>DEGREES(IMARGUMENT(AD1031))</f>
        <v>0</v>
      </c>
    </row>
    <row r="1032" spans="1:39">
      <c r="A1032" s="6">
        <f>10^(LOG10(F_START)+(ROW()-ROW($A$2))*(LOG10(F_STOP)-LOG10(F_START))/(N_POINTS-1))</f>
        <v>0</v>
      </c>
      <c r="B1032" s="6">
        <f>2*PI()*A1032</f>
        <v>0</v>
      </c>
      <c r="C1032">
        <f>COMPLEX(2*LINE_PS_DCR,2*B1032*LINE_PS_L)</f>
        <v>0</v>
      </c>
      <c r="D1032">
        <f>IMSUM(COMPLEX(0,B1032*(LINE_PS_CLINE+LINE_PS_CCHA/2)),IMDIV("1",IMPRODUCT("2",COMPLEX(C_THROUGH_ESR,B1032*C_THROUGH_ESL-1/(B1032*C_THROUGH_C)))))</f>
        <v>0</v>
      </c>
      <c r="E1032">
        <f>COMPLEX(2*LINE_INPUT_DCR,2*B1032*LINE_INPUT_L)</f>
        <v>0</v>
      </c>
      <c r="F1032">
        <f>COMPLEX(0,B1032*(LINE_INPUT_CLINE+LINE_INPUT_CCHA/2))</f>
        <v>0</v>
      </c>
      <c r="G1032">
        <f>IMPRODUCT("2",IMDIV("1",IMSUM(IMDIV("1",COMPLEX(LDM1_DCR,B1032*LDM1_L)),COMPLEX(0,B1032*LDM1_CPA))))</f>
        <v>0</v>
      </c>
      <c r="H1032">
        <f>IMSUM(IMDIV("1",COMPLEX(CX1_ESR,B1032*CX1_ESL-1/(B1032*CX1_C))),IMDIV("1",IMSUM(COMPLEX(DUMP1_R,0),COMPLEX(DUMP1_ESR,B1032*DUMP1_ESL-1/(B1032*DUMP1_C)))))</f>
        <v>0</v>
      </c>
      <c r="I1032">
        <f>IMPRODUCT("2",IMDIV("1",IMSUM(IMDIV("1",COMPLEX(LDM2_DCR,B1032*LDM2_L)),COMPLEX(0,B1032*LDM2_CPA))))</f>
        <v>0</v>
      </c>
      <c r="J1032">
        <f>IMSUM(IMDIV("1",COMPLEX(CX2_ESR,B1032*CX2_ESL-1/(B1032*CX2_C))),IMDIV("1",IMSUM(COMPLEX(DUMP2_R,0),COMPLEX(DUMP2_ESR,B1032*DUMP2_ESL-1/(B1032*DUMP2_C)))))</f>
        <v>0</v>
      </c>
      <c r="K1032">
        <f>IMPRODUCT("2",IMDIV("1",IMSUM(IMDIV("1",COMPLEX(CMC_DCR,B1032*CMC_L*(1-CMC_K))),COMPLEX(0,B1032*CMC_CPA))))</f>
        <v>0</v>
      </c>
      <c r="L1032">
        <f>IMSUM(COMPLEX(0,B1032*CMC_CLINE),IMDIV("1",IMPRODUCT("2",COMPLEX(CY_ESR,B1032*CY_ESL-1/(B1032*CY_C)))),COMPLEX(1/DUMMY_R,0))</f>
        <v>0</v>
      </c>
      <c r="M1032">
        <f>IMSUM(D1032,IMDIV("1",C1032))</f>
        <v>0</v>
      </c>
      <c r="N1032">
        <f>IMDIV("1",IMSUM(E1032,IMDIV("1",M1032)))</f>
        <v>0</v>
      </c>
      <c r="O1032">
        <f>IMSUM(F1032,N1032)</f>
        <v>0</v>
      </c>
      <c r="P1032">
        <f>IMDIV("1",IMSUM(G1032,IMDIV("1",O1032)))</f>
        <v>0</v>
      </c>
      <c r="Q1032">
        <f>IMSUM(H1032,P1032)</f>
        <v>0</v>
      </c>
      <c r="R1032">
        <f>IMDIV("1",IMSUM(I1032,IMDIV("1",Q1032)))</f>
        <v>0</v>
      </c>
      <c r="S1032">
        <f>IMSUM(J1032,R1032)</f>
        <v>0</v>
      </c>
      <c r="T1032">
        <f>IMDIV("1",IMSUM(K1032,IMDIV("1",S1032)))</f>
        <v>0</v>
      </c>
      <c r="U1032">
        <f>IMSUM(L1032,T1032)</f>
        <v>0</v>
      </c>
      <c r="V1032">
        <f>IMDIV(COMPLEX(I_DM_SOURCE,0),U1032)</f>
        <v>0</v>
      </c>
      <c r="W1032">
        <f>IMPRODUCT(V1032,T1032)</f>
        <v>0</v>
      </c>
      <c r="X1032">
        <f>IMDIV(W1032,S1032)</f>
        <v>0</v>
      </c>
      <c r="Y1032">
        <f>IMPRODUCT(X1032,R1032)</f>
        <v>0</v>
      </c>
      <c r="Z1032">
        <f>IMDIV(Y1032,Q1032)</f>
        <v>0</v>
      </c>
      <c r="AA1032">
        <f>IMPRODUCT(Z1032,P1032)</f>
        <v>0</v>
      </c>
      <c r="AB1032">
        <f>AA1032</f>
        <v>0</v>
      </c>
      <c r="AC1032">
        <f>IMPRODUCT("-1",AB1032)</f>
        <v>0</v>
      </c>
      <c r="AD1032">
        <f>IMDIV(IMSUB(AB1032,AC1032),"2")</f>
        <v>0</v>
      </c>
      <c r="AE1032" s="6">
        <f>IMABS(AB1032)</f>
        <v>0</v>
      </c>
      <c r="AF1032" s="6">
        <f>IMABS(AC1032)</f>
        <v>0</v>
      </c>
      <c r="AG1032" s="6">
        <f>IMABS(AD1032)</f>
        <v>0</v>
      </c>
      <c r="AH1032" s="7">
        <f>20*LOG10(MAX(AE1032,1E-300)*1E6)</f>
        <v>0</v>
      </c>
      <c r="AI1032" s="7">
        <f>20*LOG10(MAX(AF1032,1E-300)*1E6)</f>
        <v>0</v>
      </c>
      <c r="AJ1032" s="7">
        <f>20*LOG10(MAX(AG1032,1E-300)*1E6)</f>
        <v>0</v>
      </c>
      <c r="AK1032" s="7">
        <f>DEGREES(IMARGUMENT(AB1032))</f>
        <v>0</v>
      </c>
      <c r="AL1032" s="7">
        <f>DEGREES(IMARGUMENT(AC1032))</f>
        <v>0</v>
      </c>
      <c r="AM1032" s="7">
        <f>DEGREES(IMARGUMENT(AD1032))</f>
        <v>0</v>
      </c>
    </row>
    <row r="1033" spans="1:39">
      <c r="A1033" s="6">
        <f>10^(LOG10(F_START)+(ROW()-ROW($A$2))*(LOG10(F_STOP)-LOG10(F_START))/(N_POINTS-1))</f>
        <v>0</v>
      </c>
      <c r="B1033" s="6">
        <f>2*PI()*A1033</f>
        <v>0</v>
      </c>
      <c r="C1033">
        <f>COMPLEX(2*LINE_PS_DCR,2*B1033*LINE_PS_L)</f>
        <v>0</v>
      </c>
      <c r="D1033">
        <f>IMSUM(COMPLEX(0,B1033*(LINE_PS_CLINE+LINE_PS_CCHA/2)),IMDIV("1",IMPRODUCT("2",COMPLEX(C_THROUGH_ESR,B1033*C_THROUGH_ESL-1/(B1033*C_THROUGH_C)))))</f>
        <v>0</v>
      </c>
      <c r="E1033">
        <f>COMPLEX(2*LINE_INPUT_DCR,2*B1033*LINE_INPUT_L)</f>
        <v>0</v>
      </c>
      <c r="F1033">
        <f>COMPLEX(0,B1033*(LINE_INPUT_CLINE+LINE_INPUT_CCHA/2))</f>
        <v>0</v>
      </c>
      <c r="G1033">
        <f>IMPRODUCT("2",IMDIV("1",IMSUM(IMDIV("1",COMPLEX(LDM1_DCR,B1033*LDM1_L)),COMPLEX(0,B1033*LDM1_CPA))))</f>
        <v>0</v>
      </c>
      <c r="H1033">
        <f>IMSUM(IMDIV("1",COMPLEX(CX1_ESR,B1033*CX1_ESL-1/(B1033*CX1_C))),IMDIV("1",IMSUM(COMPLEX(DUMP1_R,0),COMPLEX(DUMP1_ESR,B1033*DUMP1_ESL-1/(B1033*DUMP1_C)))))</f>
        <v>0</v>
      </c>
      <c r="I1033">
        <f>IMPRODUCT("2",IMDIV("1",IMSUM(IMDIV("1",COMPLEX(LDM2_DCR,B1033*LDM2_L)),COMPLEX(0,B1033*LDM2_CPA))))</f>
        <v>0</v>
      </c>
      <c r="J1033">
        <f>IMSUM(IMDIV("1",COMPLEX(CX2_ESR,B1033*CX2_ESL-1/(B1033*CX2_C))),IMDIV("1",IMSUM(COMPLEX(DUMP2_R,0),COMPLEX(DUMP2_ESR,B1033*DUMP2_ESL-1/(B1033*DUMP2_C)))))</f>
        <v>0</v>
      </c>
      <c r="K1033">
        <f>IMPRODUCT("2",IMDIV("1",IMSUM(IMDIV("1",COMPLEX(CMC_DCR,B1033*CMC_L*(1-CMC_K))),COMPLEX(0,B1033*CMC_CPA))))</f>
        <v>0</v>
      </c>
      <c r="L1033">
        <f>IMSUM(COMPLEX(0,B1033*CMC_CLINE),IMDIV("1",IMPRODUCT("2",COMPLEX(CY_ESR,B1033*CY_ESL-1/(B1033*CY_C)))),COMPLEX(1/DUMMY_R,0))</f>
        <v>0</v>
      </c>
      <c r="M1033">
        <f>IMSUM(D1033,IMDIV("1",C1033))</f>
        <v>0</v>
      </c>
      <c r="N1033">
        <f>IMDIV("1",IMSUM(E1033,IMDIV("1",M1033)))</f>
        <v>0</v>
      </c>
      <c r="O1033">
        <f>IMSUM(F1033,N1033)</f>
        <v>0</v>
      </c>
      <c r="P1033">
        <f>IMDIV("1",IMSUM(G1033,IMDIV("1",O1033)))</f>
        <v>0</v>
      </c>
      <c r="Q1033">
        <f>IMSUM(H1033,P1033)</f>
        <v>0</v>
      </c>
      <c r="R1033">
        <f>IMDIV("1",IMSUM(I1033,IMDIV("1",Q1033)))</f>
        <v>0</v>
      </c>
      <c r="S1033">
        <f>IMSUM(J1033,R1033)</f>
        <v>0</v>
      </c>
      <c r="T1033">
        <f>IMDIV("1",IMSUM(K1033,IMDIV("1",S1033)))</f>
        <v>0</v>
      </c>
      <c r="U1033">
        <f>IMSUM(L1033,T1033)</f>
        <v>0</v>
      </c>
      <c r="V1033">
        <f>IMDIV(COMPLEX(I_DM_SOURCE,0),U1033)</f>
        <v>0</v>
      </c>
      <c r="W1033">
        <f>IMPRODUCT(V1033,T1033)</f>
        <v>0</v>
      </c>
      <c r="X1033">
        <f>IMDIV(W1033,S1033)</f>
        <v>0</v>
      </c>
      <c r="Y1033">
        <f>IMPRODUCT(X1033,R1033)</f>
        <v>0</v>
      </c>
      <c r="Z1033">
        <f>IMDIV(Y1033,Q1033)</f>
        <v>0</v>
      </c>
      <c r="AA1033">
        <f>IMPRODUCT(Z1033,P1033)</f>
        <v>0</v>
      </c>
      <c r="AB1033">
        <f>AA1033</f>
        <v>0</v>
      </c>
      <c r="AC1033">
        <f>IMPRODUCT("-1",AB1033)</f>
        <v>0</v>
      </c>
      <c r="AD1033">
        <f>IMDIV(IMSUB(AB1033,AC1033),"2")</f>
        <v>0</v>
      </c>
      <c r="AE1033" s="6">
        <f>IMABS(AB1033)</f>
        <v>0</v>
      </c>
      <c r="AF1033" s="6">
        <f>IMABS(AC1033)</f>
        <v>0</v>
      </c>
      <c r="AG1033" s="6">
        <f>IMABS(AD1033)</f>
        <v>0</v>
      </c>
      <c r="AH1033" s="7">
        <f>20*LOG10(MAX(AE1033,1E-300)*1E6)</f>
        <v>0</v>
      </c>
      <c r="AI1033" s="7">
        <f>20*LOG10(MAX(AF1033,1E-300)*1E6)</f>
        <v>0</v>
      </c>
      <c r="AJ1033" s="7">
        <f>20*LOG10(MAX(AG1033,1E-300)*1E6)</f>
        <v>0</v>
      </c>
      <c r="AK1033" s="7">
        <f>DEGREES(IMARGUMENT(AB1033))</f>
        <v>0</v>
      </c>
      <c r="AL1033" s="7">
        <f>DEGREES(IMARGUMENT(AC1033))</f>
        <v>0</v>
      </c>
      <c r="AM1033" s="7">
        <f>DEGREES(IMARGUMENT(AD1033))</f>
        <v>0</v>
      </c>
    </row>
    <row r="1034" spans="1:39">
      <c r="A1034" s="6">
        <f>10^(LOG10(F_START)+(ROW()-ROW($A$2))*(LOG10(F_STOP)-LOG10(F_START))/(N_POINTS-1))</f>
        <v>0</v>
      </c>
      <c r="B1034" s="6">
        <f>2*PI()*A1034</f>
        <v>0</v>
      </c>
      <c r="C1034">
        <f>COMPLEX(2*LINE_PS_DCR,2*B1034*LINE_PS_L)</f>
        <v>0</v>
      </c>
      <c r="D1034">
        <f>IMSUM(COMPLEX(0,B1034*(LINE_PS_CLINE+LINE_PS_CCHA/2)),IMDIV("1",IMPRODUCT("2",COMPLEX(C_THROUGH_ESR,B1034*C_THROUGH_ESL-1/(B1034*C_THROUGH_C)))))</f>
        <v>0</v>
      </c>
      <c r="E1034">
        <f>COMPLEX(2*LINE_INPUT_DCR,2*B1034*LINE_INPUT_L)</f>
        <v>0</v>
      </c>
      <c r="F1034">
        <f>COMPLEX(0,B1034*(LINE_INPUT_CLINE+LINE_INPUT_CCHA/2))</f>
        <v>0</v>
      </c>
      <c r="G1034">
        <f>IMPRODUCT("2",IMDIV("1",IMSUM(IMDIV("1",COMPLEX(LDM1_DCR,B1034*LDM1_L)),COMPLEX(0,B1034*LDM1_CPA))))</f>
        <v>0</v>
      </c>
      <c r="H1034">
        <f>IMSUM(IMDIV("1",COMPLEX(CX1_ESR,B1034*CX1_ESL-1/(B1034*CX1_C))),IMDIV("1",IMSUM(COMPLEX(DUMP1_R,0),COMPLEX(DUMP1_ESR,B1034*DUMP1_ESL-1/(B1034*DUMP1_C)))))</f>
        <v>0</v>
      </c>
      <c r="I1034">
        <f>IMPRODUCT("2",IMDIV("1",IMSUM(IMDIV("1",COMPLEX(LDM2_DCR,B1034*LDM2_L)),COMPLEX(0,B1034*LDM2_CPA))))</f>
        <v>0</v>
      </c>
      <c r="J1034">
        <f>IMSUM(IMDIV("1",COMPLEX(CX2_ESR,B1034*CX2_ESL-1/(B1034*CX2_C))),IMDIV("1",IMSUM(COMPLEX(DUMP2_R,0),COMPLEX(DUMP2_ESR,B1034*DUMP2_ESL-1/(B1034*DUMP2_C)))))</f>
        <v>0</v>
      </c>
      <c r="K1034">
        <f>IMPRODUCT("2",IMDIV("1",IMSUM(IMDIV("1",COMPLEX(CMC_DCR,B1034*CMC_L*(1-CMC_K))),COMPLEX(0,B1034*CMC_CPA))))</f>
        <v>0</v>
      </c>
      <c r="L1034">
        <f>IMSUM(COMPLEX(0,B1034*CMC_CLINE),IMDIV("1",IMPRODUCT("2",COMPLEX(CY_ESR,B1034*CY_ESL-1/(B1034*CY_C)))),COMPLEX(1/DUMMY_R,0))</f>
        <v>0</v>
      </c>
      <c r="M1034">
        <f>IMSUM(D1034,IMDIV("1",C1034))</f>
        <v>0</v>
      </c>
      <c r="N1034">
        <f>IMDIV("1",IMSUM(E1034,IMDIV("1",M1034)))</f>
        <v>0</v>
      </c>
      <c r="O1034">
        <f>IMSUM(F1034,N1034)</f>
        <v>0</v>
      </c>
      <c r="P1034">
        <f>IMDIV("1",IMSUM(G1034,IMDIV("1",O1034)))</f>
        <v>0</v>
      </c>
      <c r="Q1034">
        <f>IMSUM(H1034,P1034)</f>
        <v>0</v>
      </c>
      <c r="R1034">
        <f>IMDIV("1",IMSUM(I1034,IMDIV("1",Q1034)))</f>
        <v>0</v>
      </c>
      <c r="S1034">
        <f>IMSUM(J1034,R1034)</f>
        <v>0</v>
      </c>
      <c r="T1034">
        <f>IMDIV("1",IMSUM(K1034,IMDIV("1",S1034)))</f>
        <v>0</v>
      </c>
      <c r="U1034">
        <f>IMSUM(L1034,T1034)</f>
        <v>0</v>
      </c>
      <c r="V1034">
        <f>IMDIV(COMPLEX(I_DM_SOURCE,0),U1034)</f>
        <v>0</v>
      </c>
      <c r="W1034">
        <f>IMPRODUCT(V1034,T1034)</f>
        <v>0</v>
      </c>
      <c r="X1034">
        <f>IMDIV(W1034,S1034)</f>
        <v>0</v>
      </c>
      <c r="Y1034">
        <f>IMPRODUCT(X1034,R1034)</f>
        <v>0</v>
      </c>
      <c r="Z1034">
        <f>IMDIV(Y1034,Q1034)</f>
        <v>0</v>
      </c>
      <c r="AA1034">
        <f>IMPRODUCT(Z1034,P1034)</f>
        <v>0</v>
      </c>
      <c r="AB1034">
        <f>AA1034</f>
        <v>0</v>
      </c>
      <c r="AC1034">
        <f>IMPRODUCT("-1",AB1034)</f>
        <v>0</v>
      </c>
      <c r="AD1034">
        <f>IMDIV(IMSUB(AB1034,AC1034),"2")</f>
        <v>0</v>
      </c>
      <c r="AE1034" s="6">
        <f>IMABS(AB1034)</f>
        <v>0</v>
      </c>
      <c r="AF1034" s="6">
        <f>IMABS(AC1034)</f>
        <v>0</v>
      </c>
      <c r="AG1034" s="6">
        <f>IMABS(AD1034)</f>
        <v>0</v>
      </c>
      <c r="AH1034" s="7">
        <f>20*LOG10(MAX(AE1034,1E-300)*1E6)</f>
        <v>0</v>
      </c>
      <c r="AI1034" s="7">
        <f>20*LOG10(MAX(AF1034,1E-300)*1E6)</f>
        <v>0</v>
      </c>
      <c r="AJ1034" s="7">
        <f>20*LOG10(MAX(AG1034,1E-300)*1E6)</f>
        <v>0</v>
      </c>
      <c r="AK1034" s="7">
        <f>DEGREES(IMARGUMENT(AB1034))</f>
        <v>0</v>
      </c>
      <c r="AL1034" s="7">
        <f>DEGREES(IMARGUMENT(AC1034))</f>
        <v>0</v>
      </c>
      <c r="AM1034" s="7">
        <f>DEGREES(IMARGUMENT(AD1034))</f>
        <v>0</v>
      </c>
    </row>
    <row r="1035" spans="1:39">
      <c r="A1035" s="6">
        <f>10^(LOG10(F_START)+(ROW()-ROW($A$2))*(LOG10(F_STOP)-LOG10(F_START))/(N_POINTS-1))</f>
        <v>0</v>
      </c>
      <c r="B1035" s="6">
        <f>2*PI()*A1035</f>
        <v>0</v>
      </c>
      <c r="C1035">
        <f>COMPLEX(2*LINE_PS_DCR,2*B1035*LINE_PS_L)</f>
        <v>0</v>
      </c>
      <c r="D1035">
        <f>IMSUM(COMPLEX(0,B1035*(LINE_PS_CLINE+LINE_PS_CCHA/2)),IMDIV("1",IMPRODUCT("2",COMPLEX(C_THROUGH_ESR,B1035*C_THROUGH_ESL-1/(B1035*C_THROUGH_C)))))</f>
        <v>0</v>
      </c>
      <c r="E1035">
        <f>COMPLEX(2*LINE_INPUT_DCR,2*B1035*LINE_INPUT_L)</f>
        <v>0</v>
      </c>
      <c r="F1035">
        <f>COMPLEX(0,B1035*(LINE_INPUT_CLINE+LINE_INPUT_CCHA/2))</f>
        <v>0</v>
      </c>
      <c r="G1035">
        <f>IMPRODUCT("2",IMDIV("1",IMSUM(IMDIV("1",COMPLEX(LDM1_DCR,B1035*LDM1_L)),COMPLEX(0,B1035*LDM1_CPA))))</f>
        <v>0</v>
      </c>
      <c r="H1035">
        <f>IMSUM(IMDIV("1",COMPLEX(CX1_ESR,B1035*CX1_ESL-1/(B1035*CX1_C))),IMDIV("1",IMSUM(COMPLEX(DUMP1_R,0),COMPLEX(DUMP1_ESR,B1035*DUMP1_ESL-1/(B1035*DUMP1_C)))))</f>
        <v>0</v>
      </c>
      <c r="I1035">
        <f>IMPRODUCT("2",IMDIV("1",IMSUM(IMDIV("1",COMPLEX(LDM2_DCR,B1035*LDM2_L)),COMPLEX(0,B1035*LDM2_CPA))))</f>
        <v>0</v>
      </c>
      <c r="J1035">
        <f>IMSUM(IMDIV("1",COMPLEX(CX2_ESR,B1035*CX2_ESL-1/(B1035*CX2_C))),IMDIV("1",IMSUM(COMPLEX(DUMP2_R,0),COMPLEX(DUMP2_ESR,B1035*DUMP2_ESL-1/(B1035*DUMP2_C)))))</f>
        <v>0</v>
      </c>
      <c r="K1035">
        <f>IMPRODUCT("2",IMDIV("1",IMSUM(IMDIV("1",COMPLEX(CMC_DCR,B1035*CMC_L*(1-CMC_K))),COMPLEX(0,B1035*CMC_CPA))))</f>
        <v>0</v>
      </c>
      <c r="L1035">
        <f>IMSUM(COMPLEX(0,B1035*CMC_CLINE),IMDIV("1",IMPRODUCT("2",COMPLEX(CY_ESR,B1035*CY_ESL-1/(B1035*CY_C)))),COMPLEX(1/DUMMY_R,0))</f>
        <v>0</v>
      </c>
      <c r="M1035">
        <f>IMSUM(D1035,IMDIV("1",C1035))</f>
        <v>0</v>
      </c>
      <c r="N1035">
        <f>IMDIV("1",IMSUM(E1035,IMDIV("1",M1035)))</f>
        <v>0</v>
      </c>
      <c r="O1035">
        <f>IMSUM(F1035,N1035)</f>
        <v>0</v>
      </c>
      <c r="P1035">
        <f>IMDIV("1",IMSUM(G1035,IMDIV("1",O1035)))</f>
        <v>0</v>
      </c>
      <c r="Q1035">
        <f>IMSUM(H1035,P1035)</f>
        <v>0</v>
      </c>
      <c r="R1035">
        <f>IMDIV("1",IMSUM(I1035,IMDIV("1",Q1035)))</f>
        <v>0</v>
      </c>
      <c r="S1035">
        <f>IMSUM(J1035,R1035)</f>
        <v>0</v>
      </c>
      <c r="T1035">
        <f>IMDIV("1",IMSUM(K1035,IMDIV("1",S1035)))</f>
        <v>0</v>
      </c>
      <c r="U1035">
        <f>IMSUM(L1035,T1035)</f>
        <v>0</v>
      </c>
      <c r="V1035">
        <f>IMDIV(COMPLEX(I_DM_SOURCE,0),U1035)</f>
        <v>0</v>
      </c>
      <c r="W1035">
        <f>IMPRODUCT(V1035,T1035)</f>
        <v>0</v>
      </c>
      <c r="X1035">
        <f>IMDIV(W1035,S1035)</f>
        <v>0</v>
      </c>
      <c r="Y1035">
        <f>IMPRODUCT(X1035,R1035)</f>
        <v>0</v>
      </c>
      <c r="Z1035">
        <f>IMDIV(Y1035,Q1035)</f>
        <v>0</v>
      </c>
      <c r="AA1035">
        <f>IMPRODUCT(Z1035,P1035)</f>
        <v>0</v>
      </c>
      <c r="AB1035">
        <f>AA1035</f>
        <v>0</v>
      </c>
      <c r="AC1035">
        <f>IMPRODUCT("-1",AB1035)</f>
        <v>0</v>
      </c>
      <c r="AD1035">
        <f>IMDIV(IMSUB(AB1035,AC1035),"2")</f>
        <v>0</v>
      </c>
      <c r="AE1035" s="6">
        <f>IMABS(AB1035)</f>
        <v>0</v>
      </c>
      <c r="AF1035" s="6">
        <f>IMABS(AC1035)</f>
        <v>0</v>
      </c>
      <c r="AG1035" s="6">
        <f>IMABS(AD1035)</f>
        <v>0</v>
      </c>
      <c r="AH1035" s="7">
        <f>20*LOG10(MAX(AE1035,1E-300)*1E6)</f>
        <v>0</v>
      </c>
      <c r="AI1035" s="7">
        <f>20*LOG10(MAX(AF1035,1E-300)*1E6)</f>
        <v>0</v>
      </c>
      <c r="AJ1035" s="7">
        <f>20*LOG10(MAX(AG1035,1E-300)*1E6)</f>
        <v>0</v>
      </c>
      <c r="AK1035" s="7">
        <f>DEGREES(IMARGUMENT(AB1035))</f>
        <v>0</v>
      </c>
      <c r="AL1035" s="7">
        <f>DEGREES(IMARGUMENT(AC1035))</f>
        <v>0</v>
      </c>
      <c r="AM1035" s="7">
        <f>DEGREES(IMARGUMENT(AD1035))</f>
        <v>0</v>
      </c>
    </row>
    <row r="1036" spans="1:39">
      <c r="A1036" s="6">
        <f>10^(LOG10(F_START)+(ROW()-ROW($A$2))*(LOG10(F_STOP)-LOG10(F_START))/(N_POINTS-1))</f>
        <v>0</v>
      </c>
      <c r="B1036" s="6">
        <f>2*PI()*A1036</f>
        <v>0</v>
      </c>
      <c r="C1036">
        <f>COMPLEX(2*LINE_PS_DCR,2*B1036*LINE_PS_L)</f>
        <v>0</v>
      </c>
      <c r="D1036">
        <f>IMSUM(COMPLEX(0,B1036*(LINE_PS_CLINE+LINE_PS_CCHA/2)),IMDIV("1",IMPRODUCT("2",COMPLEX(C_THROUGH_ESR,B1036*C_THROUGH_ESL-1/(B1036*C_THROUGH_C)))))</f>
        <v>0</v>
      </c>
      <c r="E1036">
        <f>COMPLEX(2*LINE_INPUT_DCR,2*B1036*LINE_INPUT_L)</f>
        <v>0</v>
      </c>
      <c r="F1036">
        <f>COMPLEX(0,B1036*(LINE_INPUT_CLINE+LINE_INPUT_CCHA/2))</f>
        <v>0</v>
      </c>
      <c r="G1036">
        <f>IMPRODUCT("2",IMDIV("1",IMSUM(IMDIV("1",COMPLEX(LDM1_DCR,B1036*LDM1_L)),COMPLEX(0,B1036*LDM1_CPA))))</f>
        <v>0</v>
      </c>
      <c r="H1036">
        <f>IMSUM(IMDIV("1",COMPLEX(CX1_ESR,B1036*CX1_ESL-1/(B1036*CX1_C))),IMDIV("1",IMSUM(COMPLEX(DUMP1_R,0),COMPLEX(DUMP1_ESR,B1036*DUMP1_ESL-1/(B1036*DUMP1_C)))))</f>
        <v>0</v>
      </c>
      <c r="I1036">
        <f>IMPRODUCT("2",IMDIV("1",IMSUM(IMDIV("1",COMPLEX(LDM2_DCR,B1036*LDM2_L)),COMPLEX(0,B1036*LDM2_CPA))))</f>
        <v>0</v>
      </c>
      <c r="J1036">
        <f>IMSUM(IMDIV("1",COMPLEX(CX2_ESR,B1036*CX2_ESL-1/(B1036*CX2_C))),IMDIV("1",IMSUM(COMPLEX(DUMP2_R,0),COMPLEX(DUMP2_ESR,B1036*DUMP2_ESL-1/(B1036*DUMP2_C)))))</f>
        <v>0</v>
      </c>
      <c r="K1036">
        <f>IMPRODUCT("2",IMDIV("1",IMSUM(IMDIV("1",COMPLEX(CMC_DCR,B1036*CMC_L*(1-CMC_K))),COMPLEX(0,B1036*CMC_CPA))))</f>
        <v>0</v>
      </c>
      <c r="L1036">
        <f>IMSUM(COMPLEX(0,B1036*CMC_CLINE),IMDIV("1",IMPRODUCT("2",COMPLEX(CY_ESR,B1036*CY_ESL-1/(B1036*CY_C)))),COMPLEX(1/DUMMY_R,0))</f>
        <v>0</v>
      </c>
      <c r="M1036">
        <f>IMSUM(D1036,IMDIV("1",C1036))</f>
        <v>0</v>
      </c>
      <c r="N1036">
        <f>IMDIV("1",IMSUM(E1036,IMDIV("1",M1036)))</f>
        <v>0</v>
      </c>
      <c r="O1036">
        <f>IMSUM(F1036,N1036)</f>
        <v>0</v>
      </c>
      <c r="P1036">
        <f>IMDIV("1",IMSUM(G1036,IMDIV("1",O1036)))</f>
        <v>0</v>
      </c>
      <c r="Q1036">
        <f>IMSUM(H1036,P1036)</f>
        <v>0</v>
      </c>
      <c r="R1036">
        <f>IMDIV("1",IMSUM(I1036,IMDIV("1",Q1036)))</f>
        <v>0</v>
      </c>
      <c r="S1036">
        <f>IMSUM(J1036,R1036)</f>
        <v>0</v>
      </c>
      <c r="T1036">
        <f>IMDIV("1",IMSUM(K1036,IMDIV("1",S1036)))</f>
        <v>0</v>
      </c>
      <c r="U1036">
        <f>IMSUM(L1036,T1036)</f>
        <v>0</v>
      </c>
      <c r="V1036">
        <f>IMDIV(COMPLEX(I_DM_SOURCE,0),U1036)</f>
        <v>0</v>
      </c>
      <c r="W1036">
        <f>IMPRODUCT(V1036,T1036)</f>
        <v>0</v>
      </c>
      <c r="X1036">
        <f>IMDIV(W1036,S1036)</f>
        <v>0</v>
      </c>
      <c r="Y1036">
        <f>IMPRODUCT(X1036,R1036)</f>
        <v>0</v>
      </c>
      <c r="Z1036">
        <f>IMDIV(Y1036,Q1036)</f>
        <v>0</v>
      </c>
      <c r="AA1036">
        <f>IMPRODUCT(Z1036,P1036)</f>
        <v>0</v>
      </c>
      <c r="AB1036">
        <f>AA1036</f>
        <v>0</v>
      </c>
      <c r="AC1036">
        <f>IMPRODUCT("-1",AB1036)</f>
        <v>0</v>
      </c>
      <c r="AD1036">
        <f>IMDIV(IMSUB(AB1036,AC1036),"2")</f>
        <v>0</v>
      </c>
      <c r="AE1036" s="6">
        <f>IMABS(AB1036)</f>
        <v>0</v>
      </c>
      <c r="AF1036" s="6">
        <f>IMABS(AC1036)</f>
        <v>0</v>
      </c>
      <c r="AG1036" s="6">
        <f>IMABS(AD1036)</f>
        <v>0</v>
      </c>
      <c r="AH1036" s="7">
        <f>20*LOG10(MAX(AE1036,1E-300)*1E6)</f>
        <v>0</v>
      </c>
      <c r="AI1036" s="7">
        <f>20*LOG10(MAX(AF1036,1E-300)*1E6)</f>
        <v>0</v>
      </c>
      <c r="AJ1036" s="7">
        <f>20*LOG10(MAX(AG1036,1E-300)*1E6)</f>
        <v>0</v>
      </c>
      <c r="AK1036" s="7">
        <f>DEGREES(IMARGUMENT(AB1036))</f>
        <v>0</v>
      </c>
      <c r="AL1036" s="7">
        <f>DEGREES(IMARGUMENT(AC1036))</f>
        <v>0</v>
      </c>
      <c r="AM1036" s="7">
        <f>DEGREES(IMARGUMENT(AD1036))</f>
        <v>0</v>
      </c>
    </row>
    <row r="1037" spans="1:39">
      <c r="A1037" s="6">
        <f>10^(LOG10(F_START)+(ROW()-ROW($A$2))*(LOG10(F_STOP)-LOG10(F_START))/(N_POINTS-1))</f>
        <v>0</v>
      </c>
      <c r="B1037" s="6">
        <f>2*PI()*A1037</f>
        <v>0</v>
      </c>
      <c r="C1037">
        <f>COMPLEX(2*LINE_PS_DCR,2*B1037*LINE_PS_L)</f>
        <v>0</v>
      </c>
      <c r="D1037">
        <f>IMSUM(COMPLEX(0,B1037*(LINE_PS_CLINE+LINE_PS_CCHA/2)),IMDIV("1",IMPRODUCT("2",COMPLEX(C_THROUGH_ESR,B1037*C_THROUGH_ESL-1/(B1037*C_THROUGH_C)))))</f>
        <v>0</v>
      </c>
      <c r="E1037">
        <f>COMPLEX(2*LINE_INPUT_DCR,2*B1037*LINE_INPUT_L)</f>
        <v>0</v>
      </c>
      <c r="F1037">
        <f>COMPLEX(0,B1037*(LINE_INPUT_CLINE+LINE_INPUT_CCHA/2))</f>
        <v>0</v>
      </c>
      <c r="G1037">
        <f>IMPRODUCT("2",IMDIV("1",IMSUM(IMDIV("1",COMPLEX(LDM1_DCR,B1037*LDM1_L)),COMPLEX(0,B1037*LDM1_CPA))))</f>
        <v>0</v>
      </c>
      <c r="H1037">
        <f>IMSUM(IMDIV("1",COMPLEX(CX1_ESR,B1037*CX1_ESL-1/(B1037*CX1_C))),IMDIV("1",IMSUM(COMPLEX(DUMP1_R,0),COMPLEX(DUMP1_ESR,B1037*DUMP1_ESL-1/(B1037*DUMP1_C)))))</f>
        <v>0</v>
      </c>
      <c r="I1037">
        <f>IMPRODUCT("2",IMDIV("1",IMSUM(IMDIV("1",COMPLEX(LDM2_DCR,B1037*LDM2_L)),COMPLEX(0,B1037*LDM2_CPA))))</f>
        <v>0</v>
      </c>
      <c r="J1037">
        <f>IMSUM(IMDIV("1",COMPLEX(CX2_ESR,B1037*CX2_ESL-1/(B1037*CX2_C))),IMDIV("1",IMSUM(COMPLEX(DUMP2_R,0),COMPLEX(DUMP2_ESR,B1037*DUMP2_ESL-1/(B1037*DUMP2_C)))))</f>
        <v>0</v>
      </c>
      <c r="K1037">
        <f>IMPRODUCT("2",IMDIV("1",IMSUM(IMDIV("1",COMPLEX(CMC_DCR,B1037*CMC_L*(1-CMC_K))),COMPLEX(0,B1037*CMC_CPA))))</f>
        <v>0</v>
      </c>
      <c r="L1037">
        <f>IMSUM(COMPLEX(0,B1037*CMC_CLINE),IMDIV("1",IMPRODUCT("2",COMPLEX(CY_ESR,B1037*CY_ESL-1/(B1037*CY_C)))),COMPLEX(1/DUMMY_R,0))</f>
        <v>0</v>
      </c>
      <c r="M1037">
        <f>IMSUM(D1037,IMDIV("1",C1037))</f>
        <v>0</v>
      </c>
      <c r="N1037">
        <f>IMDIV("1",IMSUM(E1037,IMDIV("1",M1037)))</f>
        <v>0</v>
      </c>
      <c r="O1037">
        <f>IMSUM(F1037,N1037)</f>
        <v>0</v>
      </c>
      <c r="P1037">
        <f>IMDIV("1",IMSUM(G1037,IMDIV("1",O1037)))</f>
        <v>0</v>
      </c>
      <c r="Q1037">
        <f>IMSUM(H1037,P1037)</f>
        <v>0</v>
      </c>
      <c r="R1037">
        <f>IMDIV("1",IMSUM(I1037,IMDIV("1",Q1037)))</f>
        <v>0</v>
      </c>
      <c r="S1037">
        <f>IMSUM(J1037,R1037)</f>
        <v>0</v>
      </c>
      <c r="T1037">
        <f>IMDIV("1",IMSUM(K1037,IMDIV("1",S1037)))</f>
        <v>0</v>
      </c>
      <c r="U1037">
        <f>IMSUM(L1037,T1037)</f>
        <v>0</v>
      </c>
      <c r="V1037">
        <f>IMDIV(COMPLEX(I_DM_SOURCE,0),U1037)</f>
        <v>0</v>
      </c>
      <c r="W1037">
        <f>IMPRODUCT(V1037,T1037)</f>
        <v>0</v>
      </c>
      <c r="X1037">
        <f>IMDIV(W1037,S1037)</f>
        <v>0</v>
      </c>
      <c r="Y1037">
        <f>IMPRODUCT(X1037,R1037)</f>
        <v>0</v>
      </c>
      <c r="Z1037">
        <f>IMDIV(Y1037,Q1037)</f>
        <v>0</v>
      </c>
      <c r="AA1037">
        <f>IMPRODUCT(Z1037,P1037)</f>
        <v>0</v>
      </c>
      <c r="AB1037">
        <f>AA1037</f>
        <v>0</v>
      </c>
      <c r="AC1037">
        <f>IMPRODUCT("-1",AB1037)</f>
        <v>0</v>
      </c>
      <c r="AD1037">
        <f>IMDIV(IMSUB(AB1037,AC1037),"2")</f>
        <v>0</v>
      </c>
      <c r="AE1037" s="6">
        <f>IMABS(AB1037)</f>
        <v>0</v>
      </c>
      <c r="AF1037" s="6">
        <f>IMABS(AC1037)</f>
        <v>0</v>
      </c>
      <c r="AG1037" s="6">
        <f>IMABS(AD1037)</f>
        <v>0</v>
      </c>
      <c r="AH1037" s="7">
        <f>20*LOG10(MAX(AE1037,1E-300)*1E6)</f>
        <v>0</v>
      </c>
      <c r="AI1037" s="7">
        <f>20*LOG10(MAX(AF1037,1E-300)*1E6)</f>
        <v>0</v>
      </c>
      <c r="AJ1037" s="7">
        <f>20*LOG10(MAX(AG1037,1E-300)*1E6)</f>
        <v>0</v>
      </c>
      <c r="AK1037" s="7">
        <f>DEGREES(IMARGUMENT(AB1037))</f>
        <v>0</v>
      </c>
      <c r="AL1037" s="7">
        <f>DEGREES(IMARGUMENT(AC1037))</f>
        <v>0</v>
      </c>
      <c r="AM1037" s="7">
        <f>DEGREES(IMARGUMENT(AD1037))</f>
        <v>0</v>
      </c>
    </row>
    <row r="1038" spans="1:39">
      <c r="A1038" s="6">
        <f>10^(LOG10(F_START)+(ROW()-ROW($A$2))*(LOG10(F_STOP)-LOG10(F_START))/(N_POINTS-1))</f>
        <v>0</v>
      </c>
      <c r="B1038" s="6">
        <f>2*PI()*A1038</f>
        <v>0</v>
      </c>
      <c r="C1038">
        <f>COMPLEX(2*LINE_PS_DCR,2*B1038*LINE_PS_L)</f>
        <v>0</v>
      </c>
      <c r="D1038">
        <f>IMSUM(COMPLEX(0,B1038*(LINE_PS_CLINE+LINE_PS_CCHA/2)),IMDIV("1",IMPRODUCT("2",COMPLEX(C_THROUGH_ESR,B1038*C_THROUGH_ESL-1/(B1038*C_THROUGH_C)))))</f>
        <v>0</v>
      </c>
      <c r="E1038">
        <f>COMPLEX(2*LINE_INPUT_DCR,2*B1038*LINE_INPUT_L)</f>
        <v>0</v>
      </c>
      <c r="F1038">
        <f>COMPLEX(0,B1038*(LINE_INPUT_CLINE+LINE_INPUT_CCHA/2))</f>
        <v>0</v>
      </c>
      <c r="G1038">
        <f>IMPRODUCT("2",IMDIV("1",IMSUM(IMDIV("1",COMPLEX(LDM1_DCR,B1038*LDM1_L)),COMPLEX(0,B1038*LDM1_CPA))))</f>
        <v>0</v>
      </c>
      <c r="H1038">
        <f>IMSUM(IMDIV("1",COMPLEX(CX1_ESR,B1038*CX1_ESL-1/(B1038*CX1_C))),IMDIV("1",IMSUM(COMPLEX(DUMP1_R,0),COMPLEX(DUMP1_ESR,B1038*DUMP1_ESL-1/(B1038*DUMP1_C)))))</f>
        <v>0</v>
      </c>
      <c r="I1038">
        <f>IMPRODUCT("2",IMDIV("1",IMSUM(IMDIV("1",COMPLEX(LDM2_DCR,B1038*LDM2_L)),COMPLEX(0,B1038*LDM2_CPA))))</f>
        <v>0</v>
      </c>
      <c r="J1038">
        <f>IMSUM(IMDIV("1",COMPLEX(CX2_ESR,B1038*CX2_ESL-1/(B1038*CX2_C))),IMDIV("1",IMSUM(COMPLEX(DUMP2_R,0),COMPLEX(DUMP2_ESR,B1038*DUMP2_ESL-1/(B1038*DUMP2_C)))))</f>
        <v>0</v>
      </c>
      <c r="K1038">
        <f>IMPRODUCT("2",IMDIV("1",IMSUM(IMDIV("1",COMPLEX(CMC_DCR,B1038*CMC_L*(1-CMC_K))),COMPLEX(0,B1038*CMC_CPA))))</f>
        <v>0</v>
      </c>
      <c r="L1038">
        <f>IMSUM(COMPLEX(0,B1038*CMC_CLINE),IMDIV("1",IMPRODUCT("2",COMPLEX(CY_ESR,B1038*CY_ESL-1/(B1038*CY_C)))),COMPLEX(1/DUMMY_R,0))</f>
        <v>0</v>
      </c>
      <c r="M1038">
        <f>IMSUM(D1038,IMDIV("1",C1038))</f>
        <v>0</v>
      </c>
      <c r="N1038">
        <f>IMDIV("1",IMSUM(E1038,IMDIV("1",M1038)))</f>
        <v>0</v>
      </c>
      <c r="O1038">
        <f>IMSUM(F1038,N1038)</f>
        <v>0</v>
      </c>
      <c r="P1038">
        <f>IMDIV("1",IMSUM(G1038,IMDIV("1",O1038)))</f>
        <v>0</v>
      </c>
      <c r="Q1038">
        <f>IMSUM(H1038,P1038)</f>
        <v>0</v>
      </c>
      <c r="R1038">
        <f>IMDIV("1",IMSUM(I1038,IMDIV("1",Q1038)))</f>
        <v>0</v>
      </c>
      <c r="S1038">
        <f>IMSUM(J1038,R1038)</f>
        <v>0</v>
      </c>
      <c r="T1038">
        <f>IMDIV("1",IMSUM(K1038,IMDIV("1",S1038)))</f>
        <v>0</v>
      </c>
      <c r="U1038">
        <f>IMSUM(L1038,T1038)</f>
        <v>0</v>
      </c>
      <c r="V1038">
        <f>IMDIV(COMPLEX(I_DM_SOURCE,0),U1038)</f>
        <v>0</v>
      </c>
      <c r="W1038">
        <f>IMPRODUCT(V1038,T1038)</f>
        <v>0</v>
      </c>
      <c r="X1038">
        <f>IMDIV(W1038,S1038)</f>
        <v>0</v>
      </c>
      <c r="Y1038">
        <f>IMPRODUCT(X1038,R1038)</f>
        <v>0</v>
      </c>
      <c r="Z1038">
        <f>IMDIV(Y1038,Q1038)</f>
        <v>0</v>
      </c>
      <c r="AA1038">
        <f>IMPRODUCT(Z1038,P1038)</f>
        <v>0</v>
      </c>
      <c r="AB1038">
        <f>AA1038</f>
        <v>0</v>
      </c>
      <c r="AC1038">
        <f>IMPRODUCT("-1",AB1038)</f>
        <v>0</v>
      </c>
      <c r="AD1038">
        <f>IMDIV(IMSUB(AB1038,AC1038),"2")</f>
        <v>0</v>
      </c>
      <c r="AE1038" s="6">
        <f>IMABS(AB1038)</f>
        <v>0</v>
      </c>
      <c r="AF1038" s="6">
        <f>IMABS(AC1038)</f>
        <v>0</v>
      </c>
      <c r="AG1038" s="6">
        <f>IMABS(AD1038)</f>
        <v>0</v>
      </c>
      <c r="AH1038" s="7">
        <f>20*LOG10(MAX(AE1038,1E-300)*1E6)</f>
        <v>0</v>
      </c>
      <c r="AI1038" s="7">
        <f>20*LOG10(MAX(AF1038,1E-300)*1E6)</f>
        <v>0</v>
      </c>
      <c r="AJ1038" s="7">
        <f>20*LOG10(MAX(AG1038,1E-300)*1E6)</f>
        <v>0</v>
      </c>
      <c r="AK1038" s="7">
        <f>DEGREES(IMARGUMENT(AB1038))</f>
        <v>0</v>
      </c>
      <c r="AL1038" s="7">
        <f>DEGREES(IMARGUMENT(AC1038))</f>
        <v>0</v>
      </c>
      <c r="AM1038" s="7">
        <f>DEGREES(IMARGUMENT(AD1038))</f>
        <v>0</v>
      </c>
    </row>
    <row r="1039" spans="1:39">
      <c r="A1039" s="6">
        <f>10^(LOG10(F_START)+(ROW()-ROW($A$2))*(LOG10(F_STOP)-LOG10(F_START))/(N_POINTS-1))</f>
        <v>0</v>
      </c>
      <c r="B1039" s="6">
        <f>2*PI()*A1039</f>
        <v>0</v>
      </c>
      <c r="C1039">
        <f>COMPLEX(2*LINE_PS_DCR,2*B1039*LINE_PS_L)</f>
        <v>0</v>
      </c>
      <c r="D1039">
        <f>IMSUM(COMPLEX(0,B1039*(LINE_PS_CLINE+LINE_PS_CCHA/2)),IMDIV("1",IMPRODUCT("2",COMPLEX(C_THROUGH_ESR,B1039*C_THROUGH_ESL-1/(B1039*C_THROUGH_C)))))</f>
        <v>0</v>
      </c>
      <c r="E1039">
        <f>COMPLEX(2*LINE_INPUT_DCR,2*B1039*LINE_INPUT_L)</f>
        <v>0</v>
      </c>
      <c r="F1039">
        <f>COMPLEX(0,B1039*(LINE_INPUT_CLINE+LINE_INPUT_CCHA/2))</f>
        <v>0</v>
      </c>
      <c r="G1039">
        <f>IMPRODUCT("2",IMDIV("1",IMSUM(IMDIV("1",COMPLEX(LDM1_DCR,B1039*LDM1_L)),COMPLEX(0,B1039*LDM1_CPA))))</f>
        <v>0</v>
      </c>
      <c r="H1039">
        <f>IMSUM(IMDIV("1",COMPLEX(CX1_ESR,B1039*CX1_ESL-1/(B1039*CX1_C))),IMDIV("1",IMSUM(COMPLEX(DUMP1_R,0),COMPLEX(DUMP1_ESR,B1039*DUMP1_ESL-1/(B1039*DUMP1_C)))))</f>
        <v>0</v>
      </c>
      <c r="I1039">
        <f>IMPRODUCT("2",IMDIV("1",IMSUM(IMDIV("1",COMPLEX(LDM2_DCR,B1039*LDM2_L)),COMPLEX(0,B1039*LDM2_CPA))))</f>
        <v>0</v>
      </c>
      <c r="J1039">
        <f>IMSUM(IMDIV("1",COMPLEX(CX2_ESR,B1039*CX2_ESL-1/(B1039*CX2_C))),IMDIV("1",IMSUM(COMPLEX(DUMP2_R,0),COMPLEX(DUMP2_ESR,B1039*DUMP2_ESL-1/(B1039*DUMP2_C)))))</f>
        <v>0</v>
      </c>
      <c r="K1039">
        <f>IMPRODUCT("2",IMDIV("1",IMSUM(IMDIV("1",COMPLEX(CMC_DCR,B1039*CMC_L*(1-CMC_K))),COMPLEX(0,B1039*CMC_CPA))))</f>
        <v>0</v>
      </c>
      <c r="L1039">
        <f>IMSUM(COMPLEX(0,B1039*CMC_CLINE),IMDIV("1",IMPRODUCT("2",COMPLEX(CY_ESR,B1039*CY_ESL-1/(B1039*CY_C)))),COMPLEX(1/DUMMY_R,0))</f>
        <v>0</v>
      </c>
      <c r="M1039">
        <f>IMSUM(D1039,IMDIV("1",C1039))</f>
        <v>0</v>
      </c>
      <c r="N1039">
        <f>IMDIV("1",IMSUM(E1039,IMDIV("1",M1039)))</f>
        <v>0</v>
      </c>
      <c r="O1039">
        <f>IMSUM(F1039,N1039)</f>
        <v>0</v>
      </c>
      <c r="P1039">
        <f>IMDIV("1",IMSUM(G1039,IMDIV("1",O1039)))</f>
        <v>0</v>
      </c>
      <c r="Q1039">
        <f>IMSUM(H1039,P1039)</f>
        <v>0</v>
      </c>
      <c r="R1039">
        <f>IMDIV("1",IMSUM(I1039,IMDIV("1",Q1039)))</f>
        <v>0</v>
      </c>
      <c r="S1039">
        <f>IMSUM(J1039,R1039)</f>
        <v>0</v>
      </c>
      <c r="T1039">
        <f>IMDIV("1",IMSUM(K1039,IMDIV("1",S1039)))</f>
        <v>0</v>
      </c>
      <c r="U1039">
        <f>IMSUM(L1039,T1039)</f>
        <v>0</v>
      </c>
      <c r="V1039">
        <f>IMDIV(COMPLEX(I_DM_SOURCE,0),U1039)</f>
        <v>0</v>
      </c>
      <c r="W1039">
        <f>IMPRODUCT(V1039,T1039)</f>
        <v>0</v>
      </c>
      <c r="X1039">
        <f>IMDIV(W1039,S1039)</f>
        <v>0</v>
      </c>
      <c r="Y1039">
        <f>IMPRODUCT(X1039,R1039)</f>
        <v>0</v>
      </c>
      <c r="Z1039">
        <f>IMDIV(Y1039,Q1039)</f>
        <v>0</v>
      </c>
      <c r="AA1039">
        <f>IMPRODUCT(Z1039,P1039)</f>
        <v>0</v>
      </c>
      <c r="AB1039">
        <f>AA1039</f>
        <v>0</v>
      </c>
      <c r="AC1039">
        <f>IMPRODUCT("-1",AB1039)</f>
        <v>0</v>
      </c>
      <c r="AD1039">
        <f>IMDIV(IMSUB(AB1039,AC1039),"2")</f>
        <v>0</v>
      </c>
      <c r="AE1039" s="6">
        <f>IMABS(AB1039)</f>
        <v>0</v>
      </c>
      <c r="AF1039" s="6">
        <f>IMABS(AC1039)</f>
        <v>0</v>
      </c>
      <c r="AG1039" s="6">
        <f>IMABS(AD1039)</f>
        <v>0</v>
      </c>
      <c r="AH1039" s="7">
        <f>20*LOG10(MAX(AE1039,1E-300)*1E6)</f>
        <v>0</v>
      </c>
      <c r="AI1039" s="7">
        <f>20*LOG10(MAX(AF1039,1E-300)*1E6)</f>
        <v>0</v>
      </c>
      <c r="AJ1039" s="7">
        <f>20*LOG10(MAX(AG1039,1E-300)*1E6)</f>
        <v>0</v>
      </c>
      <c r="AK1039" s="7">
        <f>DEGREES(IMARGUMENT(AB1039))</f>
        <v>0</v>
      </c>
      <c r="AL1039" s="7">
        <f>DEGREES(IMARGUMENT(AC1039))</f>
        <v>0</v>
      </c>
      <c r="AM1039" s="7">
        <f>DEGREES(IMARGUMENT(AD1039))</f>
        <v>0</v>
      </c>
    </row>
    <row r="1040" spans="1:39">
      <c r="A1040" s="6">
        <f>10^(LOG10(F_START)+(ROW()-ROW($A$2))*(LOG10(F_STOP)-LOG10(F_START))/(N_POINTS-1))</f>
        <v>0</v>
      </c>
      <c r="B1040" s="6">
        <f>2*PI()*A1040</f>
        <v>0</v>
      </c>
      <c r="C1040">
        <f>COMPLEX(2*LINE_PS_DCR,2*B1040*LINE_PS_L)</f>
        <v>0</v>
      </c>
      <c r="D1040">
        <f>IMSUM(COMPLEX(0,B1040*(LINE_PS_CLINE+LINE_PS_CCHA/2)),IMDIV("1",IMPRODUCT("2",COMPLEX(C_THROUGH_ESR,B1040*C_THROUGH_ESL-1/(B1040*C_THROUGH_C)))))</f>
        <v>0</v>
      </c>
      <c r="E1040">
        <f>COMPLEX(2*LINE_INPUT_DCR,2*B1040*LINE_INPUT_L)</f>
        <v>0</v>
      </c>
      <c r="F1040">
        <f>COMPLEX(0,B1040*(LINE_INPUT_CLINE+LINE_INPUT_CCHA/2))</f>
        <v>0</v>
      </c>
      <c r="G1040">
        <f>IMPRODUCT("2",IMDIV("1",IMSUM(IMDIV("1",COMPLEX(LDM1_DCR,B1040*LDM1_L)),COMPLEX(0,B1040*LDM1_CPA))))</f>
        <v>0</v>
      </c>
      <c r="H1040">
        <f>IMSUM(IMDIV("1",COMPLEX(CX1_ESR,B1040*CX1_ESL-1/(B1040*CX1_C))),IMDIV("1",IMSUM(COMPLEX(DUMP1_R,0),COMPLEX(DUMP1_ESR,B1040*DUMP1_ESL-1/(B1040*DUMP1_C)))))</f>
        <v>0</v>
      </c>
      <c r="I1040">
        <f>IMPRODUCT("2",IMDIV("1",IMSUM(IMDIV("1",COMPLEX(LDM2_DCR,B1040*LDM2_L)),COMPLEX(0,B1040*LDM2_CPA))))</f>
        <v>0</v>
      </c>
      <c r="J1040">
        <f>IMSUM(IMDIV("1",COMPLEX(CX2_ESR,B1040*CX2_ESL-1/(B1040*CX2_C))),IMDIV("1",IMSUM(COMPLEX(DUMP2_R,0),COMPLEX(DUMP2_ESR,B1040*DUMP2_ESL-1/(B1040*DUMP2_C)))))</f>
        <v>0</v>
      </c>
      <c r="K1040">
        <f>IMPRODUCT("2",IMDIV("1",IMSUM(IMDIV("1",COMPLEX(CMC_DCR,B1040*CMC_L*(1-CMC_K))),COMPLEX(0,B1040*CMC_CPA))))</f>
        <v>0</v>
      </c>
      <c r="L1040">
        <f>IMSUM(COMPLEX(0,B1040*CMC_CLINE),IMDIV("1",IMPRODUCT("2",COMPLEX(CY_ESR,B1040*CY_ESL-1/(B1040*CY_C)))),COMPLEX(1/DUMMY_R,0))</f>
        <v>0</v>
      </c>
      <c r="M1040">
        <f>IMSUM(D1040,IMDIV("1",C1040))</f>
        <v>0</v>
      </c>
      <c r="N1040">
        <f>IMDIV("1",IMSUM(E1040,IMDIV("1",M1040)))</f>
        <v>0</v>
      </c>
      <c r="O1040">
        <f>IMSUM(F1040,N1040)</f>
        <v>0</v>
      </c>
      <c r="P1040">
        <f>IMDIV("1",IMSUM(G1040,IMDIV("1",O1040)))</f>
        <v>0</v>
      </c>
      <c r="Q1040">
        <f>IMSUM(H1040,P1040)</f>
        <v>0</v>
      </c>
      <c r="R1040">
        <f>IMDIV("1",IMSUM(I1040,IMDIV("1",Q1040)))</f>
        <v>0</v>
      </c>
      <c r="S1040">
        <f>IMSUM(J1040,R1040)</f>
        <v>0</v>
      </c>
      <c r="T1040">
        <f>IMDIV("1",IMSUM(K1040,IMDIV("1",S1040)))</f>
        <v>0</v>
      </c>
      <c r="U1040">
        <f>IMSUM(L1040,T1040)</f>
        <v>0</v>
      </c>
      <c r="V1040">
        <f>IMDIV(COMPLEX(I_DM_SOURCE,0),U1040)</f>
        <v>0</v>
      </c>
      <c r="W1040">
        <f>IMPRODUCT(V1040,T1040)</f>
        <v>0</v>
      </c>
      <c r="X1040">
        <f>IMDIV(W1040,S1040)</f>
        <v>0</v>
      </c>
      <c r="Y1040">
        <f>IMPRODUCT(X1040,R1040)</f>
        <v>0</v>
      </c>
      <c r="Z1040">
        <f>IMDIV(Y1040,Q1040)</f>
        <v>0</v>
      </c>
      <c r="AA1040">
        <f>IMPRODUCT(Z1040,P1040)</f>
        <v>0</v>
      </c>
      <c r="AB1040">
        <f>AA1040</f>
        <v>0</v>
      </c>
      <c r="AC1040">
        <f>IMPRODUCT("-1",AB1040)</f>
        <v>0</v>
      </c>
      <c r="AD1040">
        <f>IMDIV(IMSUB(AB1040,AC1040),"2")</f>
        <v>0</v>
      </c>
      <c r="AE1040" s="6">
        <f>IMABS(AB1040)</f>
        <v>0</v>
      </c>
      <c r="AF1040" s="6">
        <f>IMABS(AC1040)</f>
        <v>0</v>
      </c>
      <c r="AG1040" s="6">
        <f>IMABS(AD1040)</f>
        <v>0</v>
      </c>
      <c r="AH1040" s="7">
        <f>20*LOG10(MAX(AE1040,1E-300)*1E6)</f>
        <v>0</v>
      </c>
      <c r="AI1040" s="7">
        <f>20*LOG10(MAX(AF1040,1E-300)*1E6)</f>
        <v>0</v>
      </c>
      <c r="AJ1040" s="7">
        <f>20*LOG10(MAX(AG1040,1E-300)*1E6)</f>
        <v>0</v>
      </c>
      <c r="AK1040" s="7">
        <f>DEGREES(IMARGUMENT(AB1040))</f>
        <v>0</v>
      </c>
      <c r="AL1040" s="7">
        <f>DEGREES(IMARGUMENT(AC1040))</f>
        <v>0</v>
      </c>
      <c r="AM1040" s="7">
        <f>DEGREES(IMARGUMENT(AD1040))</f>
        <v>0</v>
      </c>
    </row>
    <row r="1041" spans="1:39">
      <c r="A1041" s="6">
        <f>10^(LOG10(F_START)+(ROW()-ROW($A$2))*(LOG10(F_STOP)-LOG10(F_START))/(N_POINTS-1))</f>
        <v>0</v>
      </c>
      <c r="B1041" s="6">
        <f>2*PI()*A1041</f>
        <v>0</v>
      </c>
      <c r="C1041">
        <f>COMPLEX(2*LINE_PS_DCR,2*B1041*LINE_PS_L)</f>
        <v>0</v>
      </c>
      <c r="D1041">
        <f>IMSUM(COMPLEX(0,B1041*(LINE_PS_CLINE+LINE_PS_CCHA/2)),IMDIV("1",IMPRODUCT("2",COMPLEX(C_THROUGH_ESR,B1041*C_THROUGH_ESL-1/(B1041*C_THROUGH_C)))))</f>
        <v>0</v>
      </c>
      <c r="E1041">
        <f>COMPLEX(2*LINE_INPUT_DCR,2*B1041*LINE_INPUT_L)</f>
        <v>0</v>
      </c>
      <c r="F1041">
        <f>COMPLEX(0,B1041*(LINE_INPUT_CLINE+LINE_INPUT_CCHA/2))</f>
        <v>0</v>
      </c>
      <c r="G1041">
        <f>IMPRODUCT("2",IMDIV("1",IMSUM(IMDIV("1",COMPLEX(LDM1_DCR,B1041*LDM1_L)),COMPLEX(0,B1041*LDM1_CPA))))</f>
        <v>0</v>
      </c>
      <c r="H1041">
        <f>IMSUM(IMDIV("1",COMPLEX(CX1_ESR,B1041*CX1_ESL-1/(B1041*CX1_C))),IMDIV("1",IMSUM(COMPLEX(DUMP1_R,0),COMPLEX(DUMP1_ESR,B1041*DUMP1_ESL-1/(B1041*DUMP1_C)))))</f>
        <v>0</v>
      </c>
      <c r="I1041">
        <f>IMPRODUCT("2",IMDIV("1",IMSUM(IMDIV("1",COMPLEX(LDM2_DCR,B1041*LDM2_L)),COMPLEX(0,B1041*LDM2_CPA))))</f>
        <v>0</v>
      </c>
      <c r="J1041">
        <f>IMSUM(IMDIV("1",COMPLEX(CX2_ESR,B1041*CX2_ESL-1/(B1041*CX2_C))),IMDIV("1",IMSUM(COMPLEX(DUMP2_R,0),COMPLEX(DUMP2_ESR,B1041*DUMP2_ESL-1/(B1041*DUMP2_C)))))</f>
        <v>0</v>
      </c>
      <c r="K1041">
        <f>IMPRODUCT("2",IMDIV("1",IMSUM(IMDIV("1",COMPLEX(CMC_DCR,B1041*CMC_L*(1-CMC_K))),COMPLEX(0,B1041*CMC_CPA))))</f>
        <v>0</v>
      </c>
      <c r="L1041">
        <f>IMSUM(COMPLEX(0,B1041*CMC_CLINE),IMDIV("1",IMPRODUCT("2",COMPLEX(CY_ESR,B1041*CY_ESL-1/(B1041*CY_C)))),COMPLEX(1/DUMMY_R,0))</f>
        <v>0</v>
      </c>
      <c r="M1041">
        <f>IMSUM(D1041,IMDIV("1",C1041))</f>
        <v>0</v>
      </c>
      <c r="N1041">
        <f>IMDIV("1",IMSUM(E1041,IMDIV("1",M1041)))</f>
        <v>0</v>
      </c>
      <c r="O1041">
        <f>IMSUM(F1041,N1041)</f>
        <v>0</v>
      </c>
      <c r="P1041">
        <f>IMDIV("1",IMSUM(G1041,IMDIV("1",O1041)))</f>
        <v>0</v>
      </c>
      <c r="Q1041">
        <f>IMSUM(H1041,P1041)</f>
        <v>0</v>
      </c>
      <c r="R1041">
        <f>IMDIV("1",IMSUM(I1041,IMDIV("1",Q1041)))</f>
        <v>0</v>
      </c>
      <c r="S1041">
        <f>IMSUM(J1041,R1041)</f>
        <v>0</v>
      </c>
      <c r="T1041">
        <f>IMDIV("1",IMSUM(K1041,IMDIV("1",S1041)))</f>
        <v>0</v>
      </c>
      <c r="U1041">
        <f>IMSUM(L1041,T1041)</f>
        <v>0</v>
      </c>
      <c r="V1041">
        <f>IMDIV(COMPLEX(I_DM_SOURCE,0),U1041)</f>
        <v>0</v>
      </c>
      <c r="W1041">
        <f>IMPRODUCT(V1041,T1041)</f>
        <v>0</v>
      </c>
      <c r="X1041">
        <f>IMDIV(W1041,S1041)</f>
        <v>0</v>
      </c>
      <c r="Y1041">
        <f>IMPRODUCT(X1041,R1041)</f>
        <v>0</v>
      </c>
      <c r="Z1041">
        <f>IMDIV(Y1041,Q1041)</f>
        <v>0</v>
      </c>
      <c r="AA1041">
        <f>IMPRODUCT(Z1041,P1041)</f>
        <v>0</v>
      </c>
      <c r="AB1041">
        <f>AA1041</f>
        <v>0</v>
      </c>
      <c r="AC1041">
        <f>IMPRODUCT("-1",AB1041)</f>
        <v>0</v>
      </c>
      <c r="AD1041">
        <f>IMDIV(IMSUB(AB1041,AC1041),"2")</f>
        <v>0</v>
      </c>
      <c r="AE1041" s="6">
        <f>IMABS(AB1041)</f>
        <v>0</v>
      </c>
      <c r="AF1041" s="6">
        <f>IMABS(AC1041)</f>
        <v>0</v>
      </c>
      <c r="AG1041" s="6">
        <f>IMABS(AD1041)</f>
        <v>0</v>
      </c>
      <c r="AH1041" s="7">
        <f>20*LOG10(MAX(AE1041,1E-300)*1E6)</f>
        <v>0</v>
      </c>
      <c r="AI1041" s="7">
        <f>20*LOG10(MAX(AF1041,1E-300)*1E6)</f>
        <v>0</v>
      </c>
      <c r="AJ1041" s="7">
        <f>20*LOG10(MAX(AG1041,1E-300)*1E6)</f>
        <v>0</v>
      </c>
      <c r="AK1041" s="7">
        <f>DEGREES(IMARGUMENT(AB1041))</f>
        <v>0</v>
      </c>
      <c r="AL1041" s="7">
        <f>DEGREES(IMARGUMENT(AC1041))</f>
        <v>0</v>
      </c>
      <c r="AM1041" s="7">
        <f>DEGREES(IMARGUMENT(AD1041))</f>
        <v>0</v>
      </c>
    </row>
    <row r="1042" spans="1:39">
      <c r="A1042" s="6">
        <f>10^(LOG10(F_START)+(ROW()-ROW($A$2))*(LOG10(F_STOP)-LOG10(F_START))/(N_POINTS-1))</f>
        <v>0</v>
      </c>
      <c r="B1042" s="6">
        <f>2*PI()*A1042</f>
        <v>0</v>
      </c>
      <c r="C1042">
        <f>COMPLEX(2*LINE_PS_DCR,2*B1042*LINE_PS_L)</f>
        <v>0</v>
      </c>
      <c r="D1042">
        <f>IMSUM(COMPLEX(0,B1042*(LINE_PS_CLINE+LINE_PS_CCHA/2)),IMDIV("1",IMPRODUCT("2",COMPLEX(C_THROUGH_ESR,B1042*C_THROUGH_ESL-1/(B1042*C_THROUGH_C)))))</f>
        <v>0</v>
      </c>
      <c r="E1042">
        <f>COMPLEX(2*LINE_INPUT_DCR,2*B1042*LINE_INPUT_L)</f>
        <v>0</v>
      </c>
      <c r="F1042">
        <f>COMPLEX(0,B1042*(LINE_INPUT_CLINE+LINE_INPUT_CCHA/2))</f>
        <v>0</v>
      </c>
      <c r="G1042">
        <f>IMPRODUCT("2",IMDIV("1",IMSUM(IMDIV("1",COMPLEX(LDM1_DCR,B1042*LDM1_L)),COMPLEX(0,B1042*LDM1_CPA))))</f>
        <v>0</v>
      </c>
      <c r="H1042">
        <f>IMSUM(IMDIV("1",COMPLEX(CX1_ESR,B1042*CX1_ESL-1/(B1042*CX1_C))),IMDIV("1",IMSUM(COMPLEX(DUMP1_R,0),COMPLEX(DUMP1_ESR,B1042*DUMP1_ESL-1/(B1042*DUMP1_C)))))</f>
        <v>0</v>
      </c>
      <c r="I1042">
        <f>IMPRODUCT("2",IMDIV("1",IMSUM(IMDIV("1",COMPLEX(LDM2_DCR,B1042*LDM2_L)),COMPLEX(0,B1042*LDM2_CPA))))</f>
        <v>0</v>
      </c>
      <c r="J1042">
        <f>IMSUM(IMDIV("1",COMPLEX(CX2_ESR,B1042*CX2_ESL-1/(B1042*CX2_C))),IMDIV("1",IMSUM(COMPLEX(DUMP2_R,0),COMPLEX(DUMP2_ESR,B1042*DUMP2_ESL-1/(B1042*DUMP2_C)))))</f>
        <v>0</v>
      </c>
      <c r="K1042">
        <f>IMPRODUCT("2",IMDIV("1",IMSUM(IMDIV("1",COMPLEX(CMC_DCR,B1042*CMC_L*(1-CMC_K))),COMPLEX(0,B1042*CMC_CPA))))</f>
        <v>0</v>
      </c>
      <c r="L1042">
        <f>IMSUM(COMPLEX(0,B1042*CMC_CLINE),IMDIV("1",IMPRODUCT("2",COMPLEX(CY_ESR,B1042*CY_ESL-1/(B1042*CY_C)))),COMPLEX(1/DUMMY_R,0))</f>
        <v>0</v>
      </c>
      <c r="M1042">
        <f>IMSUM(D1042,IMDIV("1",C1042))</f>
        <v>0</v>
      </c>
      <c r="N1042">
        <f>IMDIV("1",IMSUM(E1042,IMDIV("1",M1042)))</f>
        <v>0</v>
      </c>
      <c r="O1042">
        <f>IMSUM(F1042,N1042)</f>
        <v>0</v>
      </c>
      <c r="P1042">
        <f>IMDIV("1",IMSUM(G1042,IMDIV("1",O1042)))</f>
        <v>0</v>
      </c>
      <c r="Q1042">
        <f>IMSUM(H1042,P1042)</f>
        <v>0</v>
      </c>
      <c r="R1042">
        <f>IMDIV("1",IMSUM(I1042,IMDIV("1",Q1042)))</f>
        <v>0</v>
      </c>
      <c r="S1042">
        <f>IMSUM(J1042,R1042)</f>
        <v>0</v>
      </c>
      <c r="T1042">
        <f>IMDIV("1",IMSUM(K1042,IMDIV("1",S1042)))</f>
        <v>0</v>
      </c>
      <c r="U1042">
        <f>IMSUM(L1042,T1042)</f>
        <v>0</v>
      </c>
      <c r="V1042">
        <f>IMDIV(COMPLEX(I_DM_SOURCE,0),U1042)</f>
        <v>0</v>
      </c>
      <c r="W1042">
        <f>IMPRODUCT(V1042,T1042)</f>
        <v>0</v>
      </c>
      <c r="X1042">
        <f>IMDIV(W1042,S1042)</f>
        <v>0</v>
      </c>
      <c r="Y1042">
        <f>IMPRODUCT(X1042,R1042)</f>
        <v>0</v>
      </c>
      <c r="Z1042">
        <f>IMDIV(Y1042,Q1042)</f>
        <v>0</v>
      </c>
      <c r="AA1042">
        <f>IMPRODUCT(Z1042,P1042)</f>
        <v>0</v>
      </c>
      <c r="AB1042">
        <f>AA1042</f>
        <v>0</v>
      </c>
      <c r="AC1042">
        <f>IMPRODUCT("-1",AB1042)</f>
        <v>0</v>
      </c>
      <c r="AD1042">
        <f>IMDIV(IMSUB(AB1042,AC1042),"2")</f>
        <v>0</v>
      </c>
      <c r="AE1042" s="6">
        <f>IMABS(AB1042)</f>
        <v>0</v>
      </c>
      <c r="AF1042" s="6">
        <f>IMABS(AC1042)</f>
        <v>0</v>
      </c>
      <c r="AG1042" s="6">
        <f>IMABS(AD1042)</f>
        <v>0</v>
      </c>
      <c r="AH1042" s="7">
        <f>20*LOG10(MAX(AE1042,1E-300)*1E6)</f>
        <v>0</v>
      </c>
      <c r="AI1042" s="7">
        <f>20*LOG10(MAX(AF1042,1E-300)*1E6)</f>
        <v>0</v>
      </c>
      <c r="AJ1042" s="7">
        <f>20*LOG10(MAX(AG1042,1E-300)*1E6)</f>
        <v>0</v>
      </c>
      <c r="AK1042" s="7">
        <f>DEGREES(IMARGUMENT(AB1042))</f>
        <v>0</v>
      </c>
      <c r="AL1042" s="7">
        <f>DEGREES(IMARGUMENT(AC1042))</f>
        <v>0</v>
      </c>
      <c r="AM1042" s="7">
        <f>DEGREES(IMARGUMENT(AD1042))</f>
        <v>0</v>
      </c>
    </row>
    <row r="1043" spans="1:39">
      <c r="A1043" s="6">
        <f>10^(LOG10(F_START)+(ROW()-ROW($A$2))*(LOG10(F_STOP)-LOG10(F_START))/(N_POINTS-1))</f>
        <v>0</v>
      </c>
      <c r="B1043" s="6">
        <f>2*PI()*A1043</f>
        <v>0</v>
      </c>
      <c r="C1043">
        <f>COMPLEX(2*LINE_PS_DCR,2*B1043*LINE_PS_L)</f>
        <v>0</v>
      </c>
      <c r="D1043">
        <f>IMSUM(COMPLEX(0,B1043*(LINE_PS_CLINE+LINE_PS_CCHA/2)),IMDIV("1",IMPRODUCT("2",COMPLEX(C_THROUGH_ESR,B1043*C_THROUGH_ESL-1/(B1043*C_THROUGH_C)))))</f>
        <v>0</v>
      </c>
      <c r="E1043">
        <f>COMPLEX(2*LINE_INPUT_DCR,2*B1043*LINE_INPUT_L)</f>
        <v>0</v>
      </c>
      <c r="F1043">
        <f>COMPLEX(0,B1043*(LINE_INPUT_CLINE+LINE_INPUT_CCHA/2))</f>
        <v>0</v>
      </c>
      <c r="G1043">
        <f>IMPRODUCT("2",IMDIV("1",IMSUM(IMDIV("1",COMPLEX(LDM1_DCR,B1043*LDM1_L)),COMPLEX(0,B1043*LDM1_CPA))))</f>
        <v>0</v>
      </c>
      <c r="H1043">
        <f>IMSUM(IMDIV("1",COMPLEX(CX1_ESR,B1043*CX1_ESL-1/(B1043*CX1_C))),IMDIV("1",IMSUM(COMPLEX(DUMP1_R,0),COMPLEX(DUMP1_ESR,B1043*DUMP1_ESL-1/(B1043*DUMP1_C)))))</f>
        <v>0</v>
      </c>
      <c r="I1043">
        <f>IMPRODUCT("2",IMDIV("1",IMSUM(IMDIV("1",COMPLEX(LDM2_DCR,B1043*LDM2_L)),COMPLEX(0,B1043*LDM2_CPA))))</f>
        <v>0</v>
      </c>
      <c r="J1043">
        <f>IMSUM(IMDIV("1",COMPLEX(CX2_ESR,B1043*CX2_ESL-1/(B1043*CX2_C))),IMDIV("1",IMSUM(COMPLEX(DUMP2_R,0),COMPLEX(DUMP2_ESR,B1043*DUMP2_ESL-1/(B1043*DUMP2_C)))))</f>
        <v>0</v>
      </c>
      <c r="K1043">
        <f>IMPRODUCT("2",IMDIV("1",IMSUM(IMDIV("1",COMPLEX(CMC_DCR,B1043*CMC_L*(1-CMC_K))),COMPLEX(0,B1043*CMC_CPA))))</f>
        <v>0</v>
      </c>
      <c r="L1043">
        <f>IMSUM(COMPLEX(0,B1043*CMC_CLINE),IMDIV("1",IMPRODUCT("2",COMPLEX(CY_ESR,B1043*CY_ESL-1/(B1043*CY_C)))),COMPLEX(1/DUMMY_R,0))</f>
        <v>0</v>
      </c>
      <c r="M1043">
        <f>IMSUM(D1043,IMDIV("1",C1043))</f>
        <v>0</v>
      </c>
      <c r="N1043">
        <f>IMDIV("1",IMSUM(E1043,IMDIV("1",M1043)))</f>
        <v>0</v>
      </c>
      <c r="O1043">
        <f>IMSUM(F1043,N1043)</f>
        <v>0</v>
      </c>
      <c r="P1043">
        <f>IMDIV("1",IMSUM(G1043,IMDIV("1",O1043)))</f>
        <v>0</v>
      </c>
      <c r="Q1043">
        <f>IMSUM(H1043,P1043)</f>
        <v>0</v>
      </c>
      <c r="R1043">
        <f>IMDIV("1",IMSUM(I1043,IMDIV("1",Q1043)))</f>
        <v>0</v>
      </c>
      <c r="S1043">
        <f>IMSUM(J1043,R1043)</f>
        <v>0</v>
      </c>
      <c r="T1043">
        <f>IMDIV("1",IMSUM(K1043,IMDIV("1",S1043)))</f>
        <v>0</v>
      </c>
      <c r="U1043">
        <f>IMSUM(L1043,T1043)</f>
        <v>0</v>
      </c>
      <c r="V1043">
        <f>IMDIV(COMPLEX(I_DM_SOURCE,0),U1043)</f>
        <v>0</v>
      </c>
      <c r="W1043">
        <f>IMPRODUCT(V1043,T1043)</f>
        <v>0</v>
      </c>
      <c r="X1043">
        <f>IMDIV(W1043,S1043)</f>
        <v>0</v>
      </c>
      <c r="Y1043">
        <f>IMPRODUCT(X1043,R1043)</f>
        <v>0</v>
      </c>
      <c r="Z1043">
        <f>IMDIV(Y1043,Q1043)</f>
        <v>0</v>
      </c>
      <c r="AA1043">
        <f>IMPRODUCT(Z1043,P1043)</f>
        <v>0</v>
      </c>
      <c r="AB1043">
        <f>AA1043</f>
        <v>0</v>
      </c>
      <c r="AC1043">
        <f>IMPRODUCT("-1",AB1043)</f>
        <v>0</v>
      </c>
      <c r="AD1043">
        <f>IMDIV(IMSUB(AB1043,AC1043),"2")</f>
        <v>0</v>
      </c>
      <c r="AE1043" s="6">
        <f>IMABS(AB1043)</f>
        <v>0</v>
      </c>
      <c r="AF1043" s="6">
        <f>IMABS(AC1043)</f>
        <v>0</v>
      </c>
      <c r="AG1043" s="6">
        <f>IMABS(AD1043)</f>
        <v>0</v>
      </c>
      <c r="AH1043" s="7">
        <f>20*LOG10(MAX(AE1043,1E-300)*1E6)</f>
        <v>0</v>
      </c>
      <c r="AI1043" s="7">
        <f>20*LOG10(MAX(AF1043,1E-300)*1E6)</f>
        <v>0</v>
      </c>
      <c r="AJ1043" s="7">
        <f>20*LOG10(MAX(AG1043,1E-300)*1E6)</f>
        <v>0</v>
      </c>
      <c r="AK1043" s="7">
        <f>DEGREES(IMARGUMENT(AB1043))</f>
        <v>0</v>
      </c>
      <c r="AL1043" s="7">
        <f>DEGREES(IMARGUMENT(AC1043))</f>
        <v>0</v>
      </c>
      <c r="AM1043" s="7">
        <f>DEGREES(IMARGUMENT(AD1043))</f>
        <v>0</v>
      </c>
    </row>
    <row r="1044" spans="1:39">
      <c r="A1044" s="6">
        <f>10^(LOG10(F_START)+(ROW()-ROW($A$2))*(LOG10(F_STOP)-LOG10(F_START))/(N_POINTS-1))</f>
        <v>0</v>
      </c>
      <c r="B1044" s="6">
        <f>2*PI()*A1044</f>
        <v>0</v>
      </c>
      <c r="C1044">
        <f>COMPLEX(2*LINE_PS_DCR,2*B1044*LINE_PS_L)</f>
        <v>0</v>
      </c>
      <c r="D1044">
        <f>IMSUM(COMPLEX(0,B1044*(LINE_PS_CLINE+LINE_PS_CCHA/2)),IMDIV("1",IMPRODUCT("2",COMPLEX(C_THROUGH_ESR,B1044*C_THROUGH_ESL-1/(B1044*C_THROUGH_C)))))</f>
        <v>0</v>
      </c>
      <c r="E1044">
        <f>COMPLEX(2*LINE_INPUT_DCR,2*B1044*LINE_INPUT_L)</f>
        <v>0</v>
      </c>
      <c r="F1044">
        <f>COMPLEX(0,B1044*(LINE_INPUT_CLINE+LINE_INPUT_CCHA/2))</f>
        <v>0</v>
      </c>
      <c r="G1044">
        <f>IMPRODUCT("2",IMDIV("1",IMSUM(IMDIV("1",COMPLEX(LDM1_DCR,B1044*LDM1_L)),COMPLEX(0,B1044*LDM1_CPA))))</f>
        <v>0</v>
      </c>
      <c r="H1044">
        <f>IMSUM(IMDIV("1",COMPLEX(CX1_ESR,B1044*CX1_ESL-1/(B1044*CX1_C))),IMDIV("1",IMSUM(COMPLEX(DUMP1_R,0),COMPLEX(DUMP1_ESR,B1044*DUMP1_ESL-1/(B1044*DUMP1_C)))))</f>
        <v>0</v>
      </c>
      <c r="I1044">
        <f>IMPRODUCT("2",IMDIV("1",IMSUM(IMDIV("1",COMPLEX(LDM2_DCR,B1044*LDM2_L)),COMPLEX(0,B1044*LDM2_CPA))))</f>
        <v>0</v>
      </c>
      <c r="J1044">
        <f>IMSUM(IMDIV("1",COMPLEX(CX2_ESR,B1044*CX2_ESL-1/(B1044*CX2_C))),IMDIV("1",IMSUM(COMPLEX(DUMP2_R,0),COMPLEX(DUMP2_ESR,B1044*DUMP2_ESL-1/(B1044*DUMP2_C)))))</f>
        <v>0</v>
      </c>
      <c r="K1044">
        <f>IMPRODUCT("2",IMDIV("1",IMSUM(IMDIV("1",COMPLEX(CMC_DCR,B1044*CMC_L*(1-CMC_K))),COMPLEX(0,B1044*CMC_CPA))))</f>
        <v>0</v>
      </c>
      <c r="L1044">
        <f>IMSUM(COMPLEX(0,B1044*CMC_CLINE),IMDIV("1",IMPRODUCT("2",COMPLEX(CY_ESR,B1044*CY_ESL-1/(B1044*CY_C)))),COMPLEX(1/DUMMY_R,0))</f>
        <v>0</v>
      </c>
      <c r="M1044">
        <f>IMSUM(D1044,IMDIV("1",C1044))</f>
        <v>0</v>
      </c>
      <c r="N1044">
        <f>IMDIV("1",IMSUM(E1044,IMDIV("1",M1044)))</f>
        <v>0</v>
      </c>
      <c r="O1044">
        <f>IMSUM(F1044,N1044)</f>
        <v>0</v>
      </c>
      <c r="P1044">
        <f>IMDIV("1",IMSUM(G1044,IMDIV("1",O1044)))</f>
        <v>0</v>
      </c>
      <c r="Q1044">
        <f>IMSUM(H1044,P1044)</f>
        <v>0</v>
      </c>
      <c r="R1044">
        <f>IMDIV("1",IMSUM(I1044,IMDIV("1",Q1044)))</f>
        <v>0</v>
      </c>
      <c r="S1044">
        <f>IMSUM(J1044,R1044)</f>
        <v>0</v>
      </c>
      <c r="T1044">
        <f>IMDIV("1",IMSUM(K1044,IMDIV("1",S1044)))</f>
        <v>0</v>
      </c>
      <c r="U1044">
        <f>IMSUM(L1044,T1044)</f>
        <v>0</v>
      </c>
      <c r="V1044">
        <f>IMDIV(COMPLEX(I_DM_SOURCE,0),U1044)</f>
        <v>0</v>
      </c>
      <c r="W1044">
        <f>IMPRODUCT(V1044,T1044)</f>
        <v>0</v>
      </c>
      <c r="X1044">
        <f>IMDIV(W1044,S1044)</f>
        <v>0</v>
      </c>
      <c r="Y1044">
        <f>IMPRODUCT(X1044,R1044)</f>
        <v>0</v>
      </c>
      <c r="Z1044">
        <f>IMDIV(Y1044,Q1044)</f>
        <v>0</v>
      </c>
      <c r="AA1044">
        <f>IMPRODUCT(Z1044,P1044)</f>
        <v>0</v>
      </c>
      <c r="AB1044">
        <f>AA1044</f>
        <v>0</v>
      </c>
      <c r="AC1044">
        <f>IMPRODUCT("-1",AB1044)</f>
        <v>0</v>
      </c>
      <c r="AD1044">
        <f>IMDIV(IMSUB(AB1044,AC1044),"2")</f>
        <v>0</v>
      </c>
      <c r="AE1044" s="6">
        <f>IMABS(AB1044)</f>
        <v>0</v>
      </c>
      <c r="AF1044" s="6">
        <f>IMABS(AC1044)</f>
        <v>0</v>
      </c>
      <c r="AG1044" s="6">
        <f>IMABS(AD1044)</f>
        <v>0</v>
      </c>
      <c r="AH1044" s="7">
        <f>20*LOG10(MAX(AE1044,1E-300)*1E6)</f>
        <v>0</v>
      </c>
      <c r="AI1044" s="7">
        <f>20*LOG10(MAX(AF1044,1E-300)*1E6)</f>
        <v>0</v>
      </c>
      <c r="AJ1044" s="7">
        <f>20*LOG10(MAX(AG1044,1E-300)*1E6)</f>
        <v>0</v>
      </c>
      <c r="AK1044" s="7">
        <f>DEGREES(IMARGUMENT(AB1044))</f>
        <v>0</v>
      </c>
      <c r="AL1044" s="7">
        <f>DEGREES(IMARGUMENT(AC1044))</f>
        <v>0</v>
      </c>
      <c r="AM1044" s="7">
        <f>DEGREES(IMARGUMENT(AD1044))</f>
        <v>0</v>
      </c>
    </row>
    <row r="1045" spans="1:39">
      <c r="A1045" s="6">
        <f>10^(LOG10(F_START)+(ROW()-ROW($A$2))*(LOG10(F_STOP)-LOG10(F_START))/(N_POINTS-1))</f>
        <v>0</v>
      </c>
      <c r="B1045" s="6">
        <f>2*PI()*A1045</f>
        <v>0</v>
      </c>
      <c r="C1045">
        <f>COMPLEX(2*LINE_PS_DCR,2*B1045*LINE_PS_L)</f>
        <v>0</v>
      </c>
      <c r="D1045">
        <f>IMSUM(COMPLEX(0,B1045*(LINE_PS_CLINE+LINE_PS_CCHA/2)),IMDIV("1",IMPRODUCT("2",COMPLEX(C_THROUGH_ESR,B1045*C_THROUGH_ESL-1/(B1045*C_THROUGH_C)))))</f>
        <v>0</v>
      </c>
      <c r="E1045">
        <f>COMPLEX(2*LINE_INPUT_DCR,2*B1045*LINE_INPUT_L)</f>
        <v>0</v>
      </c>
      <c r="F1045">
        <f>COMPLEX(0,B1045*(LINE_INPUT_CLINE+LINE_INPUT_CCHA/2))</f>
        <v>0</v>
      </c>
      <c r="G1045">
        <f>IMPRODUCT("2",IMDIV("1",IMSUM(IMDIV("1",COMPLEX(LDM1_DCR,B1045*LDM1_L)),COMPLEX(0,B1045*LDM1_CPA))))</f>
        <v>0</v>
      </c>
      <c r="H1045">
        <f>IMSUM(IMDIV("1",COMPLEX(CX1_ESR,B1045*CX1_ESL-1/(B1045*CX1_C))),IMDIV("1",IMSUM(COMPLEX(DUMP1_R,0),COMPLEX(DUMP1_ESR,B1045*DUMP1_ESL-1/(B1045*DUMP1_C)))))</f>
        <v>0</v>
      </c>
      <c r="I1045">
        <f>IMPRODUCT("2",IMDIV("1",IMSUM(IMDIV("1",COMPLEX(LDM2_DCR,B1045*LDM2_L)),COMPLEX(0,B1045*LDM2_CPA))))</f>
        <v>0</v>
      </c>
      <c r="J1045">
        <f>IMSUM(IMDIV("1",COMPLEX(CX2_ESR,B1045*CX2_ESL-1/(B1045*CX2_C))),IMDIV("1",IMSUM(COMPLEX(DUMP2_R,0),COMPLEX(DUMP2_ESR,B1045*DUMP2_ESL-1/(B1045*DUMP2_C)))))</f>
        <v>0</v>
      </c>
      <c r="K1045">
        <f>IMPRODUCT("2",IMDIV("1",IMSUM(IMDIV("1",COMPLEX(CMC_DCR,B1045*CMC_L*(1-CMC_K))),COMPLEX(0,B1045*CMC_CPA))))</f>
        <v>0</v>
      </c>
      <c r="L1045">
        <f>IMSUM(COMPLEX(0,B1045*CMC_CLINE),IMDIV("1",IMPRODUCT("2",COMPLEX(CY_ESR,B1045*CY_ESL-1/(B1045*CY_C)))),COMPLEX(1/DUMMY_R,0))</f>
        <v>0</v>
      </c>
      <c r="M1045">
        <f>IMSUM(D1045,IMDIV("1",C1045))</f>
        <v>0</v>
      </c>
      <c r="N1045">
        <f>IMDIV("1",IMSUM(E1045,IMDIV("1",M1045)))</f>
        <v>0</v>
      </c>
      <c r="O1045">
        <f>IMSUM(F1045,N1045)</f>
        <v>0</v>
      </c>
      <c r="P1045">
        <f>IMDIV("1",IMSUM(G1045,IMDIV("1",O1045)))</f>
        <v>0</v>
      </c>
      <c r="Q1045">
        <f>IMSUM(H1045,P1045)</f>
        <v>0</v>
      </c>
      <c r="R1045">
        <f>IMDIV("1",IMSUM(I1045,IMDIV("1",Q1045)))</f>
        <v>0</v>
      </c>
      <c r="S1045">
        <f>IMSUM(J1045,R1045)</f>
        <v>0</v>
      </c>
      <c r="T1045">
        <f>IMDIV("1",IMSUM(K1045,IMDIV("1",S1045)))</f>
        <v>0</v>
      </c>
      <c r="U1045">
        <f>IMSUM(L1045,T1045)</f>
        <v>0</v>
      </c>
      <c r="V1045">
        <f>IMDIV(COMPLEX(I_DM_SOURCE,0),U1045)</f>
        <v>0</v>
      </c>
      <c r="W1045">
        <f>IMPRODUCT(V1045,T1045)</f>
        <v>0</v>
      </c>
      <c r="X1045">
        <f>IMDIV(W1045,S1045)</f>
        <v>0</v>
      </c>
      <c r="Y1045">
        <f>IMPRODUCT(X1045,R1045)</f>
        <v>0</v>
      </c>
      <c r="Z1045">
        <f>IMDIV(Y1045,Q1045)</f>
        <v>0</v>
      </c>
      <c r="AA1045">
        <f>IMPRODUCT(Z1045,P1045)</f>
        <v>0</v>
      </c>
      <c r="AB1045">
        <f>AA1045</f>
        <v>0</v>
      </c>
      <c r="AC1045">
        <f>IMPRODUCT("-1",AB1045)</f>
        <v>0</v>
      </c>
      <c r="AD1045">
        <f>IMDIV(IMSUB(AB1045,AC1045),"2")</f>
        <v>0</v>
      </c>
      <c r="AE1045" s="6">
        <f>IMABS(AB1045)</f>
        <v>0</v>
      </c>
      <c r="AF1045" s="6">
        <f>IMABS(AC1045)</f>
        <v>0</v>
      </c>
      <c r="AG1045" s="6">
        <f>IMABS(AD1045)</f>
        <v>0</v>
      </c>
      <c r="AH1045" s="7">
        <f>20*LOG10(MAX(AE1045,1E-300)*1E6)</f>
        <v>0</v>
      </c>
      <c r="AI1045" s="7">
        <f>20*LOG10(MAX(AF1045,1E-300)*1E6)</f>
        <v>0</v>
      </c>
      <c r="AJ1045" s="7">
        <f>20*LOG10(MAX(AG1045,1E-300)*1E6)</f>
        <v>0</v>
      </c>
      <c r="AK1045" s="7">
        <f>DEGREES(IMARGUMENT(AB1045))</f>
        <v>0</v>
      </c>
      <c r="AL1045" s="7">
        <f>DEGREES(IMARGUMENT(AC1045))</f>
        <v>0</v>
      </c>
      <c r="AM1045" s="7">
        <f>DEGREES(IMARGUMENT(AD1045))</f>
        <v>0</v>
      </c>
    </row>
    <row r="1046" spans="1:39">
      <c r="A1046" s="6">
        <f>10^(LOG10(F_START)+(ROW()-ROW($A$2))*(LOG10(F_STOP)-LOG10(F_START))/(N_POINTS-1))</f>
        <v>0</v>
      </c>
      <c r="B1046" s="6">
        <f>2*PI()*A1046</f>
        <v>0</v>
      </c>
      <c r="C1046">
        <f>COMPLEX(2*LINE_PS_DCR,2*B1046*LINE_PS_L)</f>
        <v>0</v>
      </c>
      <c r="D1046">
        <f>IMSUM(COMPLEX(0,B1046*(LINE_PS_CLINE+LINE_PS_CCHA/2)),IMDIV("1",IMPRODUCT("2",COMPLEX(C_THROUGH_ESR,B1046*C_THROUGH_ESL-1/(B1046*C_THROUGH_C)))))</f>
        <v>0</v>
      </c>
      <c r="E1046">
        <f>COMPLEX(2*LINE_INPUT_DCR,2*B1046*LINE_INPUT_L)</f>
        <v>0</v>
      </c>
      <c r="F1046">
        <f>COMPLEX(0,B1046*(LINE_INPUT_CLINE+LINE_INPUT_CCHA/2))</f>
        <v>0</v>
      </c>
      <c r="G1046">
        <f>IMPRODUCT("2",IMDIV("1",IMSUM(IMDIV("1",COMPLEX(LDM1_DCR,B1046*LDM1_L)),COMPLEX(0,B1046*LDM1_CPA))))</f>
        <v>0</v>
      </c>
      <c r="H1046">
        <f>IMSUM(IMDIV("1",COMPLEX(CX1_ESR,B1046*CX1_ESL-1/(B1046*CX1_C))),IMDIV("1",IMSUM(COMPLEX(DUMP1_R,0),COMPLEX(DUMP1_ESR,B1046*DUMP1_ESL-1/(B1046*DUMP1_C)))))</f>
        <v>0</v>
      </c>
      <c r="I1046">
        <f>IMPRODUCT("2",IMDIV("1",IMSUM(IMDIV("1",COMPLEX(LDM2_DCR,B1046*LDM2_L)),COMPLEX(0,B1046*LDM2_CPA))))</f>
        <v>0</v>
      </c>
      <c r="J1046">
        <f>IMSUM(IMDIV("1",COMPLEX(CX2_ESR,B1046*CX2_ESL-1/(B1046*CX2_C))),IMDIV("1",IMSUM(COMPLEX(DUMP2_R,0),COMPLEX(DUMP2_ESR,B1046*DUMP2_ESL-1/(B1046*DUMP2_C)))))</f>
        <v>0</v>
      </c>
      <c r="K1046">
        <f>IMPRODUCT("2",IMDIV("1",IMSUM(IMDIV("1",COMPLEX(CMC_DCR,B1046*CMC_L*(1-CMC_K))),COMPLEX(0,B1046*CMC_CPA))))</f>
        <v>0</v>
      </c>
      <c r="L1046">
        <f>IMSUM(COMPLEX(0,B1046*CMC_CLINE),IMDIV("1",IMPRODUCT("2",COMPLEX(CY_ESR,B1046*CY_ESL-1/(B1046*CY_C)))),COMPLEX(1/DUMMY_R,0))</f>
        <v>0</v>
      </c>
      <c r="M1046">
        <f>IMSUM(D1046,IMDIV("1",C1046))</f>
        <v>0</v>
      </c>
      <c r="N1046">
        <f>IMDIV("1",IMSUM(E1046,IMDIV("1",M1046)))</f>
        <v>0</v>
      </c>
      <c r="O1046">
        <f>IMSUM(F1046,N1046)</f>
        <v>0</v>
      </c>
      <c r="P1046">
        <f>IMDIV("1",IMSUM(G1046,IMDIV("1",O1046)))</f>
        <v>0</v>
      </c>
      <c r="Q1046">
        <f>IMSUM(H1046,P1046)</f>
        <v>0</v>
      </c>
      <c r="R1046">
        <f>IMDIV("1",IMSUM(I1046,IMDIV("1",Q1046)))</f>
        <v>0</v>
      </c>
      <c r="S1046">
        <f>IMSUM(J1046,R1046)</f>
        <v>0</v>
      </c>
      <c r="T1046">
        <f>IMDIV("1",IMSUM(K1046,IMDIV("1",S1046)))</f>
        <v>0</v>
      </c>
      <c r="U1046">
        <f>IMSUM(L1046,T1046)</f>
        <v>0</v>
      </c>
      <c r="V1046">
        <f>IMDIV(COMPLEX(I_DM_SOURCE,0),U1046)</f>
        <v>0</v>
      </c>
      <c r="W1046">
        <f>IMPRODUCT(V1046,T1046)</f>
        <v>0</v>
      </c>
      <c r="X1046">
        <f>IMDIV(W1046,S1046)</f>
        <v>0</v>
      </c>
      <c r="Y1046">
        <f>IMPRODUCT(X1046,R1046)</f>
        <v>0</v>
      </c>
      <c r="Z1046">
        <f>IMDIV(Y1046,Q1046)</f>
        <v>0</v>
      </c>
      <c r="AA1046">
        <f>IMPRODUCT(Z1046,P1046)</f>
        <v>0</v>
      </c>
      <c r="AB1046">
        <f>AA1046</f>
        <v>0</v>
      </c>
      <c r="AC1046">
        <f>IMPRODUCT("-1",AB1046)</f>
        <v>0</v>
      </c>
      <c r="AD1046">
        <f>IMDIV(IMSUB(AB1046,AC1046),"2")</f>
        <v>0</v>
      </c>
      <c r="AE1046" s="6">
        <f>IMABS(AB1046)</f>
        <v>0</v>
      </c>
      <c r="AF1046" s="6">
        <f>IMABS(AC1046)</f>
        <v>0</v>
      </c>
      <c r="AG1046" s="6">
        <f>IMABS(AD1046)</f>
        <v>0</v>
      </c>
      <c r="AH1046" s="7">
        <f>20*LOG10(MAX(AE1046,1E-300)*1E6)</f>
        <v>0</v>
      </c>
      <c r="AI1046" s="7">
        <f>20*LOG10(MAX(AF1046,1E-300)*1E6)</f>
        <v>0</v>
      </c>
      <c r="AJ1046" s="7">
        <f>20*LOG10(MAX(AG1046,1E-300)*1E6)</f>
        <v>0</v>
      </c>
      <c r="AK1046" s="7">
        <f>DEGREES(IMARGUMENT(AB1046))</f>
        <v>0</v>
      </c>
      <c r="AL1046" s="7">
        <f>DEGREES(IMARGUMENT(AC1046))</f>
        <v>0</v>
      </c>
      <c r="AM1046" s="7">
        <f>DEGREES(IMARGUMENT(AD1046))</f>
        <v>0</v>
      </c>
    </row>
    <row r="1047" spans="1:39">
      <c r="A1047" s="6">
        <f>10^(LOG10(F_START)+(ROW()-ROW($A$2))*(LOG10(F_STOP)-LOG10(F_START))/(N_POINTS-1))</f>
        <v>0</v>
      </c>
      <c r="B1047" s="6">
        <f>2*PI()*A1047</f>
        <v>0</v>
      </c>
      <c r="C1047">
        <f>COMPLEX(2*LINE_PS_DCR,2*B1047*LINE_PS_L)</f>
        <v>0</v>
      </c>
      <c r="D1047">
        <f>IMSUM(COMPLEX(0,B1047*(LINE_PS_CLINE+LINE_PS_CCHA/2)),IMDIV("1",IMPRODUCT("2",COMPLEX(C_THROUGH_ESR,B1047*C_THROUGH_ESL-1/(B1047*C_THROUGH_C)))))</f>
        <v>0</v>
      </c>
      <c r="E1047">
        <f>COMPLEX(2*LINE_INPUT_DCR,2*B1047*LINE_INPUT_L)</f>
        <v>0</v>
      </c>
      <c r="F1047">
        <f>COMPLEX(0,B1047*(LINE_INPUT_CLINE+LINE_INPUT_CCHA/2))</f>
        <v>0</v>
      </c>
      <c r="G1047">
        <f>IMPRODUCT("2",IMDIV("1",IMSUM(IMDIV("1",COMPLEX(LDM1_DCR,B1047*LDM1_L)),COMPLEX(0,B1047*LDM1_CPA))))</f>
        <v>0</v>
      </c>
      <c r="H1047">
        <f>IMSUM(IMDIV("1",COMPLEX(CX1_ESR,B1047*CX1_ESL-1/(B1047*CX1_C))),IMDIV("1",IMSUM(COMPLEX(DUMP1_R,0),COMPLEX(DUMP1_ESR,B1047*DUMP1_ESL-1/(B1047*DUMP1_C)))))</f>
        <v>0</v>
      </c>
      <c r="I1047">
        <f>IMPRODUCT("2",IMDIV("1",IMSUM(IMDIV("1",COMPLEX(LDM2_DCR,B1047*LDM2_L)),COMPLEX(0,B1047*LDM2_CPA))))</f>
        <v>0</v>
      </c>
      <c r="J1047">
        <f>IMSUM(IMDIV("1",COMPLEX(CX2_ESR,B1047*CX2_ESL-1/(B1047*CX2_C))),IMDIV("1",IMSUM(COMPLEX(DUMP2_R,0),COMPLEX(DUMP2_ESR,B1047*DUMP2_ESL-1/(B1047*DUMP2_C)))))</f>
        <v>0</v>
      </c>
      <c r="K1047">
        <f>IMPRODUCT("2",IMDIV("1",IMSUM(IMDIV("1",COMPLEX(CMC_DCR,B1047*CMC_L*(1-CMC_K))),COMPLEX(0,B1047*CMC_CPA))))</f>
        <v>0</v>
      </c>
      <c r="L1047">
        <f>IMSUM(COMPLEX(0,B1047*CMC_CLINE),IMDIV("1",IMPRODUCT("2",COMPLEX(CY_ESR,B1047*CY_ESL-1/(B1047*CY_C)))),COMPLEX(1/DUMMY_R,0))</f>
        <v>0</v>
      </c>
      <c r="M1047">
        <f>IMSUM(D1047,IMDIV("1",C1047))</f>
        <v>0</v>
      </c>
      <c r="N1047">
        <f>IMDIV("1",IMSUM(E1047,IMDIV("1",M1047)))</f>
        <v>0</v>
      </c>
      <c r="O1047">
        <f>IMSUM(F1047,N1047)</f>
        <v>0</v>
      </c>
      <c r="P1047">
        <f>IMDIV("1",IMSUM(G1047,IMDIV("1",O1047)))</f>
        <v>0</v>
      </c>
      <c r="Q1047">
        <f>IMSUM(H1047,P1047)</f>
        <v>0</v>
      </c>
      <c r="R1047">
        <f>IMDIV("1",IMSUM(I1047,IMDIV("1",Q1047)))</f>
        <v>0</v>
      </c>
      <c r="S1047">
        <f>IMSUM(J1047,R1047)</f>
        <v>0</v>
      </c>
      <c r="T1047">
        <f>IMDIV("1",IMSUM(K1047,IMDIV("1",S1047)))</f>
        <v>0</v>
      </c>
      <c r="U1047">
        <f>IMSUM(L1047,T1047)</f>
        <v>0</v>
      </c>
      <c r="V1047">
        <f>IMDIV(COMPLEX(I_DM_SOURCE,0),U1047)</f>
        <v>0</v>
      </c>
      <c r="W1047">
        <f>IMPRODUCT(V1047,T1047)</f>
        <v>0</v>
      </c>
      <c r="X1047">
        <f>IMDIV(W1047,S1047)</f>
        <v>0</v>
      </c>
      <c r="Y1047">
        <f>IMPRODUCT(X1047,R1047)</f>
        <v>0</v>
      </c>
      <c r="Z1047">
        <f>IMDIV(Y1047,Q1047)</f>
        <v>0</v>
      </c>
      <c r="AA1047">
        <f>IMPRODUCT(Z1047,P1047)</f>
        <v>0</v>
      </c>
      <c r="AB1047">
        <f>AA1047</f>
        <v>0</v>
      </c>
      <c r="AC1047">
        <f>IMPRODUCT("-1",AB1047)</f>
        <v>0</v>
      </c>
      <c r="AD1047">
        <f>IMDIV(IMSUB(AB1047,AC1047),"2")</f>
        <v>0</v>
      </c>
      <c r="AE1047" s="6">
        <f>IMABS(AB1047)</f>
        <v>0</v>
      </c>
      <c r="AF1047" s="6">
        <f>IMABS(AC1047)</f>
        <v>0</v>
      </c>
      <c r="AG1047" s="6">
        <f>IMABS(AD1047)</f>
        <v>0</v>
      </c>
      <c r="AH1047" s="7">
        <f>20*LOG10(MAX(AE1047,1E-300)*1E6)</f>
        <v>0</v>
      </c>
      <c r="AI1047" s="7">
        <f>20*LOG10(MAX(AF1047,1E-300)*1E6)</f>
        <v>0</v>
      </c>
      <c r="AJ1047" s="7">
        <f>20*LOG10(MAX(AG1047,1E-300)*1E6)</f>
        <v>0</v>
      </c>
      <c r="AK1047" s="7">
        <f>DEGREES(IMARGUMENT(AB1047))</f>
        <v>0</v>
      </c>
      <c r="AL1047" s="7">
        <f>DEGREES(IMARGUMENT(AC1047))</f>
        <v>0</v>
      </c>
      <c r="AM1047" s="7">
        <f>DEGREES(IMARGUMENT(AD1047))</f>
        <v>0</v>
      </c>
    </row>
    <row r="1048" spans="1:39">
      <c r="A1048" s="6">
        <f>10^(LOG10(F_START)+(ROW()-ROW($A$2))*(LOG10(F_STOP)-LOG10(F_START))/(N_POINTS-1))</f>
        <v>0</v>
      </c>
      <c r="B1048" s="6">
        <f>2*PI()*A1048</f>
        <v>0</v>
      </c>
      <c r="C1048">
        <f>COMPLEX(2*LINE_PS_DCR,2*B1048*LINE_PS_L)</f>
        <v>0</v>
      </c>
      <c r="D1048">
        <f>IMSUM(COMPLEX(0,B1048*(LINE_PS_CLINE+LINE_PS_CCHA/2)),IMDIV("1",IMPRODUCT("2",COMPLEX(C_THROUGH_ESR,B1048*C_THROUGH_ESL-1/(B1048*C_THROUGH_C)))))</f>
        <v>0</v>
      </c>
      <c r="E1048">
        <f>COMPLEX(2*LINE_INPUT_DCR,2*B1048*LINE_INPUT_L)</f>
        <v>0</v>
      </c>
      <c r="F1048">
        <f>COMPLEX(0,B1048*(LINE_INPUT_CLINE+LINE_INPUT_CCHA/2))</f>
        <v>0</v>
      </c>
      <c r="G1048">
        <f>IMPRODUCT("2",IMDIV("1",IMSUM(IMDIV("1",COMPLEX(LDM1_DCR,B1048*LDM1_L)),COMPLEX(0,B1048*LDM1_CPA))))</f>
        <v>0</v>
      </c>
      <c r="H1048">
        <f>IMSUM(IMDIV("1",COMPLEX(CX1_ESR,B1048*CX1_ESL-1/(B1048*CX1_C))),IMDIV("1",IMSUM(COMPLEX(DUMP1_R,0),COMPLEX(DUMP1_ESR,B1048*DUMP1_ESL-1/(B1048*DUMP1_C)))))</f>
        <v>0</v>
      </c>
      <c r="I1048">
        <f>IMPRODUCT("2",IMDIV("1",IMSUM(IMDIV("1",COMPLEX(LDM2_DCR,B1048*LDM2_L)),COMPLEX(0,B1048*LDM2_CPA))))</f>
        <v>0</v>
      </c>
      <c r="J1048">
        <f>IMSUM(IMDIV("1",COMPLEX(CX2_ESR,B1048*CX2_ESL-1/(B1048*CX2_C))),IMDIV("1",IMSUM(COMPLEX(DUMP2_R,0),COMPLEX(DUMP2_ESR,B1048*DUMP2_ESL-1/(B1048*DUMP2_C)))))</f>
        <v>0</v>
      </c>
      <c r="K1048">
        <f>IMPRODUCT("2",IMDIV("1",IMSUM(IMDIV("1",COMPLEX(CMC_DCR,B1048*CMC_L*(1-CMC_K))),COMPLEX(0,B1048*CMC_CPA))))</f>
        <v>0</v>
      </c>
      <c r="L1048">
        <f>IMSUM(COMPLEX(0,B1048*CMC_CLINE),IMDIV("1",IMPRODUCT("2",COMPLEX(CY_ESR,B1048*CY_ESL-1/(B1048*CY_C)))),COMPLEX(1/DUMMY_R,0))</f>
        <v>0</v>
      </c>
      <c r="M1048">
        <f>IMSUM(D1048,IMDIV("1",C1048))</f>
        <v>0</v>
      </c>
      <c r="N1048">
        <f>IMDIV("1",IMSUM(E1048,IMDIV("1",M1048)))</f>
        <v>0</v>
      </c>
      <c r="O1048">
        <f>IMSUM(F1048,N1048)</f>
        <v>0</v>
      </c>
      <c r="P1048">
        <f>IMDIV("1",IMSUM(G1048,IMDIV("1",O1048)))</f>
        <v>0</v>
      </c>
      <c r="Q1048">
        <f>IMSUM(H1048,P1048)</f>
        <v>0</v>
      </c>
      <c r="R1048">
        <f>IMDIV("1",IMSUM(I1048,IMDIV("1",Q1048)))</f>
        <v>0</v>
      </c>
      <c r="S1048">
        <f>IMSUM(J1048,R1048)</f>
        <v>0</v>
      </c>
      <c r="T1048">
        <f>IMDIV("1",IMSUM(K1048,IMDIV("1",S1048)))</f>
        <v>0</v>
      </c>
      <c r="U1048">
        <f>IMSUM(L1048,T1048)</f>
        <v>0</v>
      </c>
      <c r="V1048">
        <f>IMDIV(COMPLEX(I_DM_SOURCE,0),U1048)</f>
        <v>0</v>
      </c>
      <c r="W1048">
        <f>IMPRODUCT(V1048,T1048)</f>
        <v>0</v>
      </c>
      <c r="X1048">
        <f>IMDIV(W1048,S1048)</f>
        <v>0</v>
      </c>
      <c r="Y1048">
        <f>IMPRODUCT(X1048,R1048)</f>
        <v>0</v>
      </c>
      <c r="Z1048">
        <f>IMDIV(Y1048,Q1048)</f>
        <v>0</v>
      </c>
      <c r="AA1048">
        <f>IMPRODUCT(Z1048,P1048)</f>
        <v>0</v>
      </c>
      <c r="AB1048">
        <f>AA1048</f>
        <v>0</v>
      </c>
      <c r="AC1048">
        <f>IMPRODUCT("-1",AB1048)</f>
        <v>0</v>
      </c>
      <c r="AD1048">
        <f>IMDIV(IMSUB(AB1048,AC1048),"2")</f>
        <v>0</v>
      </c>
      <c r="AE1048" s="6">
        <f>IMABS(AB1048)</f>
        <v>0</v>
      </c>
      <c r="AF1048" s="6">
        <f>IMABS(AC1048)</f>
        <v>0</v>
      </c>
      <c r="AG1048" s="6">
        <f>IMABS(AD1048)</f>
        <v>0</v>
      </c>
      <c r="AH1048" s="7">
        <f>20*LOG10(MAX(AE1048,1E-300)*1E6)</f>
        <v>0</v>
      </c>
      <c r="AI1048" s="7">
        <f>20*LOG10(MAX(AF1048,1E-300)*1E6)</f>
        <v>0</v>
      </c>
      <c r="AJ1048" s="7">
        <f>20*LOG10(MAX(AG1048,1E-300)*1E6)</f>
        <v>0</v>
      </c>
      <c r="AK1048" s="7">
        <f>DEGREES(IMARGUMENT(AB1048))</f>
        <v>0</v>
      </c>
      <c r="AL1048" s="7">
        <f>DEGREES(IMARGUMENT(AC1048))</f>
        <v>0</v>
      </c>
      <c r="AM1048" s="7">
        <f>DEGREES(IMARGUMENT(AD1048))</f>
        <v>0</v>
      </c>
    </row>
    <row r="1049" spans="1:39">
      <c r="A1049" s="6">
        <f>10^(LOG10(F_START)+(ROW()-ROW($A$2))*(LOG10(F_STOP)-LOG10(F_START))/(N_POINTS-1))</f>
        <v>0</v>
      </c>
      <c r="B1049" s="6">
        <f>2*PI()*A1049</f>
        <v>0</v>
      </c>
      <c r="C1049">
        <f>COMPLEX(2*LINE_PS_DCR,2*B1049*LINE_PS_L)</f>
        <v>0</v>
      </c>
      <c r="D1049">
        <f>IMSUM(COMPLEX(0,B1049*(LINE_PS_CLINE+LINE_PS_CCHA/2)),IMDIV("1",IMPRODUCT("2",COMPLEX(C_THROUGH_ESR,B1049*C_THROUGH_ESL-1/(B1049*C_THROUGH_C)))))</f>
        <v>0</v>
      </c>
      <c r="E1049">
        <f>COMPLEX(2*LINE_INPUT_DCR,2*B1049*LINE_INPUT_L)</f>
        <v>0</v>
      </c>
      <c r="F1049">
        <f>COMPLEX(0,B1049*(LINE_INPUT_CLINE+LINE_INPUT_CCHA/2))</f>
        <v>0</v>
      </c>
      <c r="G1049">
        <f>IMPRODUCT("2",IMDIV("1",IMSUM(IMDIV("1",COMPLEX(LDM1_DCR,B1049*LDM1_L)),COMPLEX(0,B1049*LDM1_CPA))))</f>
        <v>0</v>
      </c>
      <c r="H1049">
        <f>IMSUM(IMDIV("1",COMPLEX(CX1_ESR,B1049*CX1_ESL-1/(B1049*CX1_C))),IMDIV("1",IMSUM(COMPLEX(DUMP1_R,0),COMPLEX(DUMP1_ESR,B1049*DUMP1_ESL-1/(B1049*DUMP1_C)))))</f>
        <v>0</v>
      </c>
      <c r="I1049">
        <f>IMPRODUCT("2",IMDIV("1",IMSUM(IMDIV("1",COMPLEX(LDM2_DCR,B1049*LDM2_L)),COMPLEX(0,B1049*LDM2_CPA))))</f>
        <v>0</v>
      </c>
      <c r="J1049">
        <f>IMSUM(IMDIV("1",COMPLEX(CX2_ESR,B1049*CX2_ESL-1/(B1049*CX2_C))),IMDIV("1",IMSUM(COMPLEX(DUMP2_R,0),COMPLEX(DUMP2_ESR,B1049*DUMP2_ESL-1/(B1049*DUMP2_C)))))</f>
        <v>0</v>
      </c>
      <c r="K1049">
        <f>IMPRODUCT("2",IMDIV("1",IMSUM(IMDIV("1",COMPLEX(CMC_DCR,B1049*CMC_L*(1-CMC_K))),COMPLEX(0,B1049*CMC_CPA))))</f>
        <v>0</v>
      </c>
      <c r="L1049">
        <f>IMSUM(COMPLEX(0,B1049*CMC_CLINE),IMDIV("1",IMPRODUCT("2",COMPLEX(CY_ESR,B1049*CY_ESL-1/(B1049*CY_C)))),COMPLEX(1/DUMMY_R,0))</f>
        <v>0</v>
      </c>
      <c r="M1049">
        <f>IMSUM(D1049,IMDIV("1",C1049))</f>
        <v>0</v>
      </c>
      <c r="N1049">
        <f>IMDIV("1",IMSUM(E1049,IMDIV("1",M1049)))</f>
        <v>0</v>
      </c>
      <c r="O1049">
        <f>IMSUM(F1049,N1049)</f>
        <v>0</v>
      </c>
      <c r="P1049">
        <f>IMDIV("1",IMSUM(G1049,IMDIV("1",O1049)))</f>
        <v>0</v>
      </c>
      <c r="Q1049">
        <f>IMSUM(H1049,P1049)</f>
        <v>0</v>
      </c>
      <c r="R1049">
        <f>IMDIV("1",IMSUM(I1049,IMDIV("1",Q1049)))</f>
        <v>0</v>
      </c>
      <c r="S1049">
        <f>IMSUM(J1049,R1049)</f>
        <v>0</v>
      </c>
      <c r="T1049">
        <f>IMDIV("1",IMSUM(K1049,IMDIV("1",S1049)))</f>
        <v>0</v>
      </c>
      <c r="U1049">
        <f>IMSUM(L1049,T1049)</f>
        <v>0</v>
      </c>
      <c r="V1049">
        <f>IMDIV(COMPLEX(I_DM_SOURCE,0),U1049)</f>
        <v>0</v>
      </c>
      <c r="W1049">
        <f>IMPRODUCT(V1049,T1049)</f>
        <v>0</v>
      </c>
      <c r="X1049">
        <f>IMDIV(W1049,S1049)</f>
        <v>0</v>
      </c>
      <c r="Y1049">
        <f>IMPRODUCT(X1049,R1049)</f>
        <v>0</v>
      </c>
      <c r="Z1049">
        <f>IMDIV(Y1049,Q1049)</f>
        <v>0</v>
      </c>
      <c r="AA1049">
        <f>IMPRODUCT(Z1049,P1049)</f>
        <v>0</v>
      </c>
      <c r="AB1049">
        <f>AA1049</f>
        <v>0</v>
      </c>
      <c r="AC1049">
        <f>IMPRODUCT("-1",AB1049)</f>
        <v>0</v>
      </c>
      <c r="AD1049">
        <f>IMDIV(IMSUB(AB1049,AC1049),"2")</f>
        <v>0</v>
      </c>
      <c r="AE1049" s="6">
        <f>IMABS(AB1049)</f>
        <v>0</v>
      </c>
      <c r="AF1049" s="6">
        <f>IMABS(AC1049)</f>
        <v>0</v>
      </c>
      <c r="AG1049" s="6">
        <f>IMABS(AD1049)</f>
        <v>0</v>
      </c>
      <c r="AH1049" s="7">
        <f>20*LOG10(MAX(AE1049,1E-300)*1E6)</f>
        <v>0</v>
      </c>
      <c r="AI1049" s="7">
        <f>20*LOG10(MAX(AF1049,1E-300)*1E6)</f>
        <v>0</v>
      </c>
      <c r="AJ1049" s="7">
        <f>20*LOG10(MAX(AG1049,1E-300)*1E6)</f>
        <v>0</v>
      </c>
      <c r="AK1049" s="7">
        <f>DEGREES(IMARGUMENT(AB1049))</f>
        <v>0</v>
      </c>
      <c r="AL1049" s="7">
        <f>DEGREES(IMARGUMENT(AC1049))</f>
        <v>0</v>
      </c>
      <c r="AM1049" s="7">
        <f>DEGREES(IMARGUMENT(AD1049))</f>
        <v>0</v>
      </c>
    </row>
    <row r="1050" spans="1:39">
      <c r="A1050" s="6">
        <f>10^(LOG10(F_START)+(ROW()-ROW($A$2))*(LOG10(F_STOP)-LOG10(F_START))/(N_POINTS-1))</f>
        <v>0</v>
      </c>
      <c r="B1050" s="6">
        <f>2*PI()*A1050</f>
        <v>0</v>
      </c>
      <c r="C1050">
        <f>COMPLEX(2*LINE_PS_DCR,2*B1050*LINE_PS_L)</f>
        <v>0</v>
      </c>
      <c r="D1050">
        <f>IMSUM(COMPLEX(0,B1050*(LINE_PS_CLINE+LINE_PS_CCHA/2)),IMDIV("1",IMPRODUCT("2",COMPLEX(C_THROUGH_ESR,B1050*C_THROUGH_ESL-1/(B1050*C_THROUGH_C)))))</f>
        <v>0</v>
      </c>
      <c r="E1050">
        <f>COMPLEX(2*LINE_INPUT_DCR,2*B1050*LINE_INPUT_L)</f>
        <v>0</v>
      </c>
      <c r="F1050">
        <f>COMPLEX(0,B1050*(LINE_INPUT_CLINE+LINE_INPUT_CCHA/2))</f>
        <v>0</v>
      </c>
      <c r="G1050">
        <f>IMPRODUCT("2",IMDIV("1",IMSUM(IMDIV("1",COMPLEX(LDM1_DCR,B1050*LDM1_L)),COMPLEX(0,B1050*LDM1_CPA))))</f>
        <v>0</v>
      </c>
      <c r="H1050">
        <f>IMSUM(IMDIV("1",COMPLEX(CX1_ESR,B1050*CX1_ESL-1/(B1050*CX1_C))),IMDIV("1",IMSUM(COMPLEX(DUMP1_R,0),COMPLEX(DUMP1_ESR,B1050*DUMP1_ESL-1/(B1050*DUMP1_C)))))</f>
        <v>0</v>
      </c>
      <c r="I1050">
        <f>IMPRODUCT("2",IMDIV("1",IMSUM(IMDIV("1",COMPLEX(LDM2_DCR,B1050*LDM2_L)),COMPLEX(0,B1050*LDM2_CPA))))</f>
        <v>0</v>
      </c>
      <c r="J1050">
        <f>IMSUM(IMDIV("1",COMPLEX(CX2_ESR,B1050*CX2_ESL-1/(B1050*CX2_C))),IMDIV("1",IMSUM(COMPLEX(DUMP2_R,0),COMPLEX(DUMP2_ESR,B1050*DUMP2_ESL-1/(B1050*DUMP2_C)))))</f>
        <v>0</v>
      </c>
      <c r="K1050">
        <f>IMPRODUCT("2",IMDIV("1",IMSUM(IMDIV("1",COMPLEX(CMC_DCR,B1050*CMC_L*(1-CMC_K))),COMPLEX(0,B1050*CMC_CPA))))</f>
        <v>0</v>
      </c>
      <c r="L1050">
        <f>IMSUM(COMPLEX(0,B1050*CMC_CLINE),IMDIV("1",IMPRODUCT("2",COMPLEX(CY_ESR,B1050*CY_ESL-1/(B1050*CY_C)))),COMPLEX(1/DUMMY_R,0))</f>
        <v>0</v>
      </c>
      <c r="M1050">
        <f>IMSUM(D1050,IMDIV("1",C1050))</f>
        <v>0</v>
      </c>
      <c r="N1050">
        <f>IMDIV("1",IMSUM(E1050,IMDIV("1",M1050)))</f>
        <v>0</v>
      </c>
      <c r="O1050">
        <f>IMSUM(F1050,N1050)</f>
        <v>0</v>
      </c>
      <c r="P1050">
        <f>IMDIV("1",IMSUM(G1050,IMDIV("1",O1050)))</f>
        <v>0</v>
      </c>
      <c r="Q1050">
        <f>IMSUM(H1050,P1050)</f>
        <v>0</v>
      </c>
      <c r="R1050">
        <f>IMDIV("1",IMSUM(I1050,IMDIV("1",Q1050)))</f>
        <v>0</v>
      </c>
      <c r="S1050">
        <f>IMSUM(J1050,R1050)</f>
        <v>0</v>
      </c>
      <c r="T1050">
        <f>IMDIV("1",IMSUM(K1050,IMDIV("1",S1050)))</f>
        <v>0</v>
      </c>
      <c r="U1050">
        <f>IMSUM(L1050,T1050)</f>
        <v>0</v>
      </c>
      <c r="V1050">
        <f>IMDIV(COMPLEX(I_DM_SOURCE,0),U1050)</f>
        <v>0</v>
      </c>
      <c r="W1050">
        <f>IMPRODUCT(V1050,T1050)</f>
        <v>0</v>
      </c>
      <c r="X1050">
        <f>IMDIV(W1050,S1050)</f>
        <v>0</v>
      </c>
      <c r="Y1050">
        <f>IMPRODUCT(X1050,R1050)</f>
        <v>0</v>
      </c>
      <c r="Z1050">
        <f>IMDIV(Y1050,Q1050)</f>
        <v>0</v>
      </c>
      <c r="AA1050">
        <f>IMPRODUCT(Z1050,P1050)</f>
        <v>0</v>
      </c>
      <c r="AB1050">
        <f>AA1050</f>
        <v>0</v>
      </c>
      <c r="AC1050">
        <f>IMPRODUCT("-1",AB1050)</f>
        <v>0</v>
      </c>
      <c r="AD1050">
        <f>IMDIV(IMSUB(AB1050,AC1050),"2")</f>
        <v>0</v>
      </c>
      <c r="AE1050" s="6">
        <f>IMABS(AB1050)</f>
        <v>0</v>
      </c>
      <c r="AF1050" s="6">
        <f>IMABS(AC1050)</f>
        <v>0</v>
      </c>
      <c r="AG1050" s="6">
        <f>IMABS(AD1050)</f>
        <v>0</v>
      </c>
      <c r="AH1050" s="7">
        <f>20*LOG10(MAX(AE1050,1E-300)*1E6)</f>
        <v>0</v>
      </c>
      <c r="AI1050" s="7">
        <f>20*LOG10(MAX(AF1050,1E-300)*1E6)</f>
        <v>0</v>
      </c>
      <c r="AJ1050" s="7">
        <f>20*LOG10(MAX(AG1050,1E-300)*1E6)</f>
        <v>0</v>
      </c>
      <c r="AK1050" s="7">
        <f>DEGREES(IMARGUMENT(AB1050))</f>
        <v>0</v>
      </c>
      <c r="AL1050" s="7">
        <f>DEGREES(IMARGUMENT(AC1050))</f>
        <v>0</v>
      </c>
      <c r="AM1050" s="7">
        <f>DEGREES(IMARGUMENT(AD1050))</f>
        <v>0</v>
      </c>
    </row>
    <row r="1051" spans="1:39">
      <c r="A1051" s="6">
        <f>10^(LOG10(F_START)+(ROW()-ROW($A$2))*(LOG10(F_STOP)-LOG10(F_START))/(N_POINTS-1))</f>
        <v>0</v>
      </c>
      <c r="B1051" s="6">
        <f>2*PI()*A1051</f>
        <v>0</v>
      </c>
      <c r="C1051">
        <f>COMPLEX(2*LINE_PS_DCR,2*B1051*LINE_PS_L)</f>
        <v>0</v>
      </c>
      <c r="D1051">
        <f>IMSUM(COMPLEX(0,B1051*(LINE_PS_CLINE+LINE_PS_CCHA/2)),IMDIV("1",IMPRODUCT("2",COMPLEX(C_THROUGH_ESR,B1051*C_THROUGH_ESL-1/(B1051*C_THROUGH_C)))))</f>
        <v>0</v>
      </c>
      <c r="E1051">
        <f>COMPLEX(2*LINE_INPUT_DCR,2*B1051*LINE_INPUT_L)</f>
        <v>0</v>
      </c>
      <c r="F1051">
        <f>COMPLEX(0,B1051*(LINE_INPUT_CLINE+LINE_INPUT_CCHA/2))</f>
        <v>0</v>
      </c>
      <c r="G1051">
        <f>IMPRODUCT("2",IMDIV("1",IMSUM(IMDIV("1",COMPLEX(LDM1_DCR,B1051*LDM1_L)),COMPLEX(0,B1051*LDM1_CPA))))</f>
        <v>0</v>
      </c>
      <c r="H1051">
        <f>IMSUM(IMDIV("1",COMPLEX(CX1_ESR,B1051*CX1_ESL-1/(B1051*CX1_C))),IMDIV("1",IMSUM(COMPLEX(DUMP1_R,0),COMPLEX(DUMP1_ESR,B1051*DUMP1_ESL-1/(B1051*DUMP1_C)))))</f>
        <v>0</v>
      </c>
      <c r="I1051">
        <f>IMPRODUCT("2",IMDIV("1",IMSUM(IMDIV("1",COMPLEX(LDM2_DCR,B1051*LDM2_L)),COMPLEX(0,B1051*LDM2_CPA))))</f>
        <v>0</v>
      </c>
      <c r="J1051">
        <f>IMSUM(IMDIV("1",COMPLEX(CX2_ESR,B1051*CX2_ESL-1/(B1051*CX2_C))),IMDIV("1",IMSUM(COMPLEX(DUMP2_R,0),COMPLEX(DUMP2_ESR,B1051*DUMP2_ESL-1/(B1051*DUMP2_C)))))</f>
        <v>0</v>
      </c>
      <c r="K1051">
        <f>IMPRODUCT("2",IMDIV("1",IMSUM(IMDIV("1",COMPLEX(CMC_DCR,B1051*CMC_L*(1-CMC_K))),COMPLEX(0,B1051*CMC_CPA))))</f>
        <v>0</v>
      </c>
      <c r="L1051">
        <f>IMSUM(COMPLEX(0,B1051*CMC_CLINE),IMDIV("1",IMPRODUCT("2",COMPLEX(CY_ESR,B1051*CY_ESL-1/(B1051*CY_C)))),COMPLEX(1/DUMMY_R,0))</f>
        <v>0</v>
      </c>
      <c r="M1051">
        <f>IMSUM(D1051,IMDIV("1",C1051))</f>
        <v>0</v>
      </c>
      <c r="N1051">
        <f>IMDIV("1",IMSUM(E1051,IMDIV("1",M1051)))</f>
        <v>0</v>
      </c>
      <c r="O1051">
        <f>IMSUM(F1051,N1051)</f>
        <v>0</v>
      </c>
      <c r="P1051">
        <f>IMDIV("1",IMSUM(G1051,IMDIV("1",O1051)))</f>
        <v>0</v>
      </c>
      <c r="Q1051">
        <f>IMSUM(H1051,P1051)</f>
        <v>0</v>
      </c>
      <c r="R1051">
        <f>IMDIV("1",IMSUM(I1051,IMDIV("1",Q1051)))</f>
        <v>0</v>
      </c>
      <c r="S1051">
        <f>IMSUM(J1051,R1051)</f>
        <v>0</v>
      </c>
      <c r="T1051">
        <f>IMDIV("1",IMSUM(K1051,IMDIV("1",S1051)))</f>
        <v>0</v>
      </c>
      <c r="U1051">
        <f>IMSUM(L1051,T1051)</f>
        <v>0</v>
      </c>
      <c r="V1051">
        <f>IMDIV(COMPLEX(I_DM_SOURCE,0),U1051)</f>
        <v>0</v>
      </c>
      <c r="W1051">
        <f>IMPRODUCT(V1051,T1051)</f>
        <v>0</v>
      </c>
      <c r="X1051">
        <f>IMDIV(W1051,S1051)</f>
        <v>0</v>
      </c>
      <c r="Y1051">
        <f>IMPRODUCT(X1051,R1051)</f>
        <v>0</v>
      </c>
      <c r="Z1051">
        <f>IMDIV(Y1051,Q1051)</f>
        <v>0</v>
      </c>
      <c r="AA1051">
        <f>IMPRODUCT(Z1051,P1051)</f>
        <v>0</v>
      </c>
      <c r="AB1051">
        <f>AA1051</f>
        <v>0</v>
      </c>
      <c r="AC1051">
        <f>IMPRODUCT("-1",AB1051)</f>
        <v>0</v>
      </c>
      <c r="AD1051">
        <f>IMDIV(IMSUB(AB1051,AC1051),"2")</f>
        <v>0</v>
      </c>
      <c r="AE1051" s="6">
        <f>IMABS(AB1051)</f>
        <v>0</v>
      </c>
      <c r="AF1051" s="6">
        <f>IMABS(AC1051)</f>
        <v>0</v>
      </c>
      <c r="AG1051" s="6">
        <f>IMABS(AD1051)</f>
        <v>0</v>
      </c>
      <c r="AH1051" s="7">
        <f>20*LOG10(MAX(AE1051,1E-300)*1E6)</f>
        <v>0</v>
      </c>
      <c r="AI1051" s="7">
        <f>20*LOG10(MAX(AF1051,1E-300)*1E6)</f>
        <v>0</v>
      </c>
      <c r="AJ1051" s="7">
        <f>20*LOG10(MAX(AG1051,1E-300)*1E6)</f>
        <v>0</v>
      </c>
      <c r="AK1051" s="7">
        <f>DEGREES(IMARGUMENT(AB1051))</f>
        <v>0</v>
      </c>
      <c r="AL1051" s="7">
        <f>DEGREES(IMARGUMENT(AC1051))</f>
        <v>0</v>
      </c>
      <c r="AM1051" s="7">
        <f>DEGREES(IMARGUMENT(AD1051))</f>
        <v>0</v>
      </c>
    </row>
    <row r="1052" spans="1:39">
      <c r="A1052" s="6">
        <f>10^(LOG10(F_START)+(ROW()-ROW($A$2))*(LOG10(F_STOP)-LOG10(F_START))/(N_POINTS-1))</f>
        <v>0</v>
      </c>
      <c r="B1052" s="6">
        <f>2*PI()*A1052</f>
        <v>0</v>
      </c>
      <c r="C1052">
        <f>COMPLEX(2*LINE_PS_DCR,2*B1052*LINE_PS_L)</f>
        <v>0</v>
      </c>
      <c r="D1052">
        <f>IMSUM(COMPLEX(0,B1052*(LINE_PS_CLINE+LINE_PS_CCHA/2)),IMDIV("1",IMPRODUCT("2",COMPLEX(C_THROUGH_ESR,B1052*C_THROUGH_ESL-1/(B1052*C_THROUGH_C)))))</f>
        <v>0</v>
      </c>
      <c r="E1052">
        <f>COMPLEX(2*LINE_INPUT_DCR,2*B1052*LINE_INPUT_L)</f>
        <v>0</v>
      </c>
      <c r="F1052">
        <f>COMPLEX(0,B1052*(LINE_INPUT_CLINE+LINE_INPUT_CCHA/2))</f>
        <v>0</v>
      </c>
      <c r="G1052">
        <f>IMPRODUCT("2",IMDIV("1",IMSUM(IMDIV("1",COMPLEX(LDM1_DCR,B1052*LDM1_L)),COMPLEX(0,B1052*LDM1_CPA))))</f>
        <v>0</v>
      </c>
      <c r="H1052">
        <f>IMSUM(IMDIV("1",COMPLEX(CX1_ESR,B1052*CX1_ESL-1/(B1052*CX1_C))),IMDIV("1",IMSUM(COMPLEX(DUMP1_R,0),COMPLEX(DUMP1_ESR,B1052*DUMP1_ESL-1/(B1052*DUMP1_C)))))</f>
        <v>0</v>
      </c>
      <c r="I1052">
        <f>IMPRODUCT("2",IMDIV("1",IMSUM(IMDIV("1",COMPLEX(LDM2_DCR,B1052*LDM2_L)),COMPLEX(0,B1052*LDM2_CPA))))</f>
        <v>0</v>
      </c>
      <c r="J1052">
        <f>IMSUM(IMDIV("1",COMPLEX(CX2_ESR,B1052*CX2_ESL-1/(B1052*CX2_C))),IMDIV("1",IMSUM(COMPLEX(DUMP2_R,0),COMPLEX(DUMP2_ESR,B1052*DUMP2_ESL-1/(B1052*DUMP2_C)))))</f>
        <v>0</v>
      </c>
      <c r="K1052">
        <f>IMPRODUCT("2",IMDIV("1",IMSUM(IMDIV("1",COMPLEX(CMC_DCR,B1052*CMC_L*(1-CMC_K))),COMPLEX(0,B1052*CMC_CPA))))</f>
        <v>0</v>
      </c>
      <c r="L1052">
        <f>IMSUM(COMPLEX(0,B1052*CMC_CLINE),IMDIV("1",IMPRODUCT("2",COMPLEX(CY_ESR,B1052*CY_ESL-1/(B1052*CY_C)))),COMPLEX(1/DUMMY_R,0))</f>
        <v>0</v>
      </c>
      <c r="M1052">
        <f>IMSUM(D1052,IMDIV("1",C1052))</f>
        <v>0</v>
      </c>
      <c r="N1052">
        <f>IMDIV("1",IMSUM(E1052,IMDIV("1",M1052)))</f>
        <v>0</v>
      </c>
      <c r="O1052">
        <f>IMSUM(F1052,N1052)</f>
        <v>0</v>
      </c>
      <c r="P1052">
        <f>IMDIV("1",IMSUM(G1052,IMDIV("1",O1052)))</f>
        <v>0</v>
      </c>
      <c r="Q1052">
        <f>IMSUM(H1052,P1052)</f>
        <v>0</v>
      </c>
      <c r="R1052">
        <f>IMDIV("1",IMSUM(I1052,IMDIV("1",Q1052)))</f>
        <v>0</v>
      </c>
      <c r="S1052">
        <f>IMSUM(J1052,R1052)</f>
        <v>0</v>
      </c>
      <c r="T1052">
        <f>IMDIV("1",IMSUM(K1052,IMDIV("1",S1052)))</f>
        <v>0</v>
      </c>
      <c r="U1052">
        <f>IMSUM(L1052,T1052)</f>
        <v>0</v>
      </c>
      <c r="V1052">
        <f>IMDIV(COMPLEX(I_DM_SOURCE,0),U1052)</f>
        <v>0</v>
      </c>
      <c r="W1052">
        <f>IMPRODUCT(V1052,T1052)</f>
        <v>0</v>
      </c>
      <c r="X1052">
        <f>IMDIV(W1052,S1052)</f>
        <v>0</v>
      </c>
      <c r="Y1052">
        <f>IMPRODUCT(X1052,R1052)</f>
        <v>0</v>
      </c>
      <c r="Z1052">
        <f>IMDIV(Y1052,Q1052)</f>
        <v>0</v>
      </c>
      <c r="AA1052">
        <f>IMPRODUCT(Z1052,P1052)</f>
        <v>0</v>
      </c>
      <c r="AB1052">
        <f>AA1052</f>
        <v>0</v>
      </c>
      <c r="AC1052">
        <f>IMPRODUCT("-1",AB1052)</f>
        <v>0</v>
      </c>
      <c r="AD1052">
        <f>IMDIV(IMSUB(AB1052,AC1052),"2")</f>
        <v>0</v>
      </c>
      <c r="AE1052" s="6">
        <f>IMABS(AB1052)</f>
        <v>0</v>
      </c>
      <c r="AF1052" s="6">
        <f>IMABS(AC1052)</f>
        <v>0</v>
      </c>
      <c r="AG1052" s="6">
        <f>IMABS(AD1052)</f>
        <v>0</v>
      </c>
      <c r="AH1052" s="7">
        <f>20*LOG10(MAX(AE1052,1E-300)*1E6)</f>
        <v>0</v>
      </c>
      <c r="AI1052" s="7">
        <f>20*LOG10(MAX(AF1052,1E-300)*1E6)</f>
        <v>0</v>
      </c>
      <c r="AJ1052" s="7">
        <f>20*LOG10(MAX(AG1052,1E-300)*1E6)</f>
        <v>0</v>
      </c>
      <c r="AK1052" s="7">
        <f>DEGREES(IMARGUMENT(AB1052))</f>
        <v>0</v>
      </c>
      <c r="AL1052" s="7">
        <f>DEGREES(IMARGUMENT(AC1052))</f>
        <v>0</v>
      </c>
      <c r="AM1052" s="7">
        <f>DEGREES(IMARGUMENT(AD1052))</f>
        <v>0</v>
      </c>
    </row>
    <row r="1053" spans="1:39">
      <c r="A1053" s="6">
        <f>10^(LOG10(F_START)+(ROW()-ROW($A$2))*(LOG10(F_STOP)-LOG10(F_START))/(N_POINTS-1))</f>
        <v>0</v>
      </c>
      <c r="B1053" s="6">
        <f>2*PI()*A1053</f>
        <v>0</v>
      </c>
      <c r="C1053">
        <f>COMPLEX(2*LINE_PS_DCR,2*B1053*LINE_PS_L)</f>
        <v>0</v>
      </c>
      <c r="D1053">
        <f>IMSUM(COMPLEX(0,B1053*(LINE_PS_CLINE+LINE_PS_CCHA/2)),IMDIV("1",IMPRODUCT("2",COMPLEX(C_THROUGH_ESR,B1053*C_THROUGH_ESL-1/(B1053*C_THROUGH_C)))))</f>
        <v>0</v>
      </c>
      <c r="E1053">
        <f>COMPLEX(2*LINE_INPUT_DCR,2*B1053*LINE_INPUT_L)</f>
        <v>0</v>
      </c>
      <c r="F1053">
        <f>COMPLEX(0,B1053*(LINE_INPUT_CLINE+LINE_INPUT_CCHA/2))</f>
        <v>0</v>
      </c>
      <c r="G1053">
        <f>IMPRODUCT("2",IMDIV("1",IMSUM(IMDIV("1",COMPLEX(LDM1_DCR,B1053*LDM1_L)),COMPLEX(0,B1053*LDM1_CPA))))</f>
        <v>0</v>
      </c>
      <c r="H1053">
        <f>IMSUM(IMDIV("1",COMPLEX(CX1_ESR,B1053*CX1_ESL-1/(B1053*CX1_C))),IMDIV("1",IMSUM(COMPLEX(DUMP1_R,0),COMPLEX(DUMP1_ESR,B1053*DUMP1_ESL-1/(B1053*DUMP1_C)))))</f>
        <v>0</v>
      </c>
      <c r="I1053">
        <f>IMPRODUCT("2",IMDIV("1",IMSUM(IMDIV("1",COMPLEX(LDM2_DCR,B1053*LDM2_L)),COMPLEX(0,B1053*LDM2_CPA))))</f>
        <v>0</v>
      </c>
      <c r="J1053">
        <f>IMSUM(IMDIV("1",COMPLEX(CX2_ESR,B1053*CX2_ESL-1/(B1053*CX2_C))),IMDIV("1",IMSUM(COMPLEX(DUMP2_R,0),COMPLEX(DUMP2_ESR,B1053*DUMP2_ESL-1/(B1053*DUMP2_C)))))</f>
        <v>0</v>
      </c>
      <c r="K1053">
        <f>IMPRODUCT("2",IMDIV("1",IMSUM(IMDIV("1",COMPLEX(CMC_DCR,B1053*CMC_L*(1-CMC_K))),COMPLEX(0,B1053*CMC_CPA))))</f>
        <v>0</v>
      </c>
      <c r="L1053">
        <f>IMSUM(COMPLEX(0,B1053*CMC_CLINE),IMDIV("1",IMPRODUCT("2",COMPLEX(CY_ESR,B1053*CY_ESL-1/(B1053*CY_C)))),COMPLEX(1/DUMMY_R,0))</f>
        <v>0</v>
      </c>
      <c r="M1053">
        <f>IMSUM(D1053,IMDIV("1",C1053))</f>
        <v>0</v>
      </c>
      <c r="N1053">
        <f>IMDIV("1",IMSUM(E1053,IMDIV("1",M1053)))</f>
        <v>0</v>
      </c>
      <c r="O1053">
        <f>IMSUM(F1053,N1053)</f>
        <v>0</v>
      </c>
      <c r="P1053">
        <f>IMDIV("1",IMSUM(G1053,IMDIV("1",O1053)))</f>
        <v>0</v>
      </c>
      <c r="Q1053">
        <f>IMSUM(H1053,P1053)</f>
        <v>0</v>
      </c>
      <c r="R1053">
        <f>IMDIV("1",IMSUM(I1053,IMDIV("1",Q1053)))</f>
        <v>0</v>
      </c>
      <c r="S1053">
        <f>IMSUM(J1053,R1053)</f>
        <v>0</v>
      </c>
      <c r="T1053">
        <f>IMDIV("1",IMSUM(K1053,IMDIV("1",S1053)))</f>
        <v>0</v>
      </c>
      <c r="U1053">
        <f>IMSUM(L1053,T1053)</f>
        <v>0</v>
      </c>
      <c r="V1053">
        <f>IMDIV(COMPLEX(I_DM_SOURCE,0),U1053)</f>
        <v>0</v>
      </c>
      <c r="W1053">
        <f>IMPRODUCT(V1053,T1053)</f>
        <v>0</v>
      </c>
      <c r="X1053">
        <f>IMDIV(W1053,S1053)</f>
        <v>0</v>
      </c>
      <c r="Y1053">
        <f>IMPRODUCT(X1053,R1053)</f>
        <v>0</v>
      </c>
      <c r="Z1053">
        <f>IMDIV(Y1053,Q1053)</f>
        <v>0</v>
      </c>
      <c r="AA1053">
        <f>IMPRODUCT(Z1053,P1053)</f>
        <v>0</v>
      </c>
      <c r="AB1053">
        <f>AA1053</f>
        <v>0</v>
      </c>
      <c r="AC1053">
        <f>IMPRODUCT("-1",AB1053)</f>
        <v>0</v>
      </c>
      <c r="AD1053">
        <f>IMDIV(IMSUB(AB1053,AC1053),"2")</f>
        <v>0</v>
      </c>
      <c r="AE1053" s="6">
        <f>IMABS(AB1053)</f>
        <v>0</v>
      </c>
      <c r="AF1053" s="6">
        <f>IMABS(AC1053)</f>
        <v>0</v>
      </c>
      <c r="AG1053" s="6">
        <f>IMABS(AD1053)</f>
        <v>0</v>
      </c>
      <c r="AH1053" s="7">
        <f>20*LOG10(MAX(AE1053,1E-300)*1E6)</f>
        <v>0</v>
      </c>
      <c r="AI1053" s="7">
        <f>20*LOG10(MAX(AF1053,1E-300)*1E6)</f>
        <v>0</v>
      </c>
      <c r="AJ1053" s="7">
        <f>20*LOG10(MAX(AG1053,1E-300)*1E6)</f>
        <v>0</v>
      </c>
      <c r="AK1053" s="7">
        <f>DEGREES(IMARGUMENT(AB1053))</f>
        <v>0</v>
      </c>
      <c r="AL1053" s="7">
        <f>DEGREES(IMARGUMENT(AC1053))</f>
        <v>0</v>
      </c>
      <c r="AM1053" s="7">
        <f>DEGREES(IMARGUMENT(AD1053))</f>
        <v>0</v>
      </c>
    </row>
    <row r="1054" spans="1:39">
      <c r="A1054" s="6">
        <f>10^(LOG10(F_START)+(ROW()-ROW($A$2))*(LOG10(F_STOP)-LOG10(F_START))/(N_POINTS-1))</f>
        <v>0</v>
      </c>
      <c r="B1054" s="6">
        <f>2*PI()*A1054</f>
        <v>0</v>
      </c>
      <c r="C1054">
        <f>COMPLEX(2*LINE_PS_DCR,2*B1054*LINE_PS_L)</f>
        <v>0</v>
      </c>
      <c r="D1054">
        <f>IMSUM(COMPLEX(0,B1054*(LINE_PS_CLINE+LINE_PS_CCHA/2)),IMDIV("1",IMPRODUCT("2",COMPLEX(C_THROUGH_ESR,B1054*C_THROUGH_ESL-1/(B1054*C_THROUGH_C)))))</f>
        <v>0</v>
      </c>
      <c r="E1054">
        <f>COMPLEX(2*LINE_INPUT_DCR,2*B1054*LINE_INPUT_L)</f>
        <v>0</v>
      </c>
      <c r="F1054">
        <f>COMPLEX(0,B1054*(LINE_INPUT_CLINE+LINE_INPUT_CCHA/2))</f>
        <v>0</v>
      </c>
      <c r="G1054">
        <f>IMPRODUCT("2",IMDIV("1",IMSUM(IMDIV("1",COMPLEX(LDM1_DCR,B1054*LDM1_L)),COMPLEX(0,B1054*LDM1_CPA))))</f>
        <v>0</v>
      </c>
      <c r="H1054">
        <f>IMSUM(IMDIV("1",COMPLEX(CX1_ESR,B1054*CX1_ESL-1/(B1054*CX1_C))),IMDIV("1",IMSUM(COMPLEX(DUMP1_R,0),COMPLEX(DUMP1_ESR,B1054*DUMP1_ESL-1/(B1054*DUMP1_C)))))</f>
        <v>0</v>
      </c>
      <c r="I1054">
        <f>IMPRODUCT("2",IMDIV("1",IMSUM(IMDIV("1",COMPLEX(LDM2_DCR,B1054*LDM2_L)),COMPLEX(0,B1054*LDM2_CPA))))</f>
        <v>0</v>
      </c>
      <c r="J1054">
        <f>IMSUM(IMDIV("1",COMPLEX(CX2_ESR,B1054*CX2_ESL-1/(B1054*CX2_C))),IMDIV("1",IMSUM(COMPLEX(DUMP2_R,0),COMPLEX(DUMP2_ESR,B1054*DUMP2_ESL-1/(B1054*DUMP2_C)))))</f>
        <v>0</v>
      </c>
      <c r="K1054">
        <f>IMPRODUCT("2",IMDIV("1",IMSUM(IMDIV("1",COMPLEX(CMC_DCR,B1054*CMC_L*(1-CMC_K))),COMPLEX(0,B1054*CMC_CPA))))</f>
        <v>0</v>
      </c>
      <c r="L1054">
        <f>IMSUM(COMPLEX(0,B1054*CMC_CLINE),IMDIV("1",IMPRODUCT("2",COMPLEX(CY_ESR,B1054*CY_ESL-1/(B1054*CY_C)))),COMPLEX(1/DUMMY_R,0))</f>
        <v>0</v>
      </c>
      <c r="M1054">
        <f>IMSUM(D1054,IMDIV("1",C1054))</f>
        <v>0</v>
      </c>
      <c r="N1054">
        <f>IMDIV("1",IMSUM(E1054,IMDIV("1",M1054)))</f>
        <v>0</v>
      </c>
      <c r="O1054">
        <f>IMSUM(F1054,N1054)</f>
        <v>0</v>
      </c>
      <c r="P1054">
        <f>IMDIV("1",IMSUM(G1054,IMDIV("1",O1054)))</f>
        <v>0</v>
      </c>
      <c r="Q1054">
        <f>IMSUM(H1054,P1054)</f>
        <v>0</v>
      </c>
      <c r="R1054">
        <f>IMDIV("1",IMSUM(I1054,IMDIV("1",Q1054)))</f>
        <v>0</v>
      </c>
      <c r="S1054">
        <f>IMSUM(J1054,R1054)</f>
        <v>0</v>
      </c>
      <c r="T1054">
        <f>IMDIV("1",IMSUM(K1054,IMDIV("1",S1054)))</f>
        <v>0</v>
      </c>
      <c r="U1054">
        <f>IMSUM(L1054,T1054)</f>
        <v>0</v>
      </c>
      <c r="V1054">
        <f>IMDIV(COMPLEX(I_DM_SOURCE,0),U1054)</f>
        <v>0</v>
      </c>
      <c r="W1054">
        <f>IMPRODUCT(V1054,T1054)</f>
        <v>0</v>
      </c>
      <c r="X1054">
        <f>IMDIV(W1054,S1054)</f>
        <v>0</v>
      </c>
      <c r="Y1054">
        <f>IMPRODUCT(X1054,R1054)</f>
        <v>0</v>
      </c>
      <c r="Z1054">
        <f>IMDIV(Y1054,Q1054)</f>
        <v>0</v>
      </c>
      <c r="AA1054">
        <f>IMPRODUCT(Z1054,P1054)</f>
        <v>0</v>
      </c>
      <c r="AB1054">
        <f>AA1054</f>
        <v>0</v>
      </c>
      <c r="AC1054">
        <f>IMPRODUCT("-1",AB1054)</f>
        <v>0</v>
      </c>
      <c r="AD1054">
        <f>IMDIV(IMSUB(AB1054,AC1054),"2")</f>
        <v>0</v>
      </c>
      <c r="AE1054" s="6">
        <f>IMABS(AB1054)</f>
        <v>0</v>
      </c>
      <c r="AF1054" s="6">
        <f>IMABS(AC1054)</f>
        <v>0</v>
      </c>
      <c r="AG1054" s="6">
        <f>IMABS(AD1054)</f>
        <v>0</v>
      </c>
      <c r="AH1054" s="7">
        <f>20*LOG10(MAX(AE1054,1E-300)*1E6)</f>
        <v>0</v>
      </c>
      <c r="AI1054" s="7">
        <f>20*LOG10(MAX(AF1054,1E-300)*1E6)</f>
        <v>0</v>
      </c>
      <c r="AJ1054" s="7">
        <f>20*LOG10(MAX(AG1054,1E-300)*1E6)</f>
        <v>0</v>
      </c>
      <c r="AK1054" s="7">
        <f>DEGREES(IMARGUMENT(AB1054))</f>
        <v>0</v>
      </c>
      <c r="AL1054" s="7">
        <f>DEGREES(IMARGUMENT(AC1054))</f>
        <v>0</v>
      </c>
      <c r="AM1054" s="7">
        <f>DEGREES(IMARGUMENT(AD1054))</f>
        <v>0</v>
      </c>
    </row>
    <row r="1055" spans="1:39">
      <c r="A1055" s="6">
        <f>10^(LOG10(F_START)+(ROW()-ROW($A$2))*(LOG10(F_STOP)-LOG10(F_START))/(N_POINTS-1))</f>
        <v>0</v>
      </c>
      <c r="B1055" s="6">
        <f>2*PI()*A1055</f>
        <v>0</v>
      </c>
      <c r="C1055">
        <f>COMPLEX(2*LINE_PS_DCR,2*B1055*LINE_PS_L)</f>
        <v>0</v>
      </c>
      <c r="D1055">
        <f>IMSUM(COMPLEX(0,B1055*(LINE_PS_CLINE+LINE_PS_CCHA/2)),IMDIV("1",IMPRODUCT("2",COMPLEX(C_THROUGH_ESR,B1055*C_THROUGH_ESL-1/(B1055*C_THROUGH_C)))))</f>
        <v>0</v>
      </c>
      <c r="E1055">
        <f>COMPLEX(2*LINE_INPUT_DCR,2*B1055*LINE_INPUT_L)</f>
        <v>0</v>
      </c>
      <c r="F1055">
        <f>COMPLEX(0,B1055*(LINE_INPUT_CLINE+LINE_INPUT_CCHA/2))</f>
        <v>0</v>
      </c>
      <c r="G1055">
        <f>IMPRODUCT("2",IMDIV("1",IMSUM(IMDIV("1",COMPLEX(LDM1_DCR,B1055*LDM1_L)),COMPLEX(0,B1055*LDM1_CPA))))</f>
        <v>0</v>
      </c>
      <c r="H1055">
        <f>IMSUM(IMDIV("1",COMPLEX(CX1_ESR,B1055*CX1_ESL-1/(B1055*CX1_C))),IMDIV("1",IMSUM(COMPLEX(DUMP1_R,0),COMPLEX(DUMP1_ESR,B1055*DUMP1_ESL-1/(B1055*DUMP1_C)))))</f>
        <v>0</v>
      </c>
      <c r="I1055">
        <f>IMPRODUCT("2",IMDIV("1",IMSUM(IMDIV("1",COMPLEX(LDM2_DCR,B1055*LDM2_L)),COMPLEX(0,B1055*LDM2_CPA))))</f>
        <v>0</v>
      </c>
      <c r="J1055">
        <f>IMSUM(IMDIV("1",COMPLEX(CX2_ESR,B1055*CX2_ESL-1/(B1055*CX2_C))),IMDIV("1",IMSUM(COMPLEX(DUMP2_R,0),COMPLEX(DUMP2_ESR,B1055*DUMP2_ESL-1/(B1055*DUMP2_C)))))</f>
        <v>0</v>
      </c>
      <c r="K1055">
        <f>IMPRODUCT("2",IMDIV("1",IMSUM(IMDIV("1",COMPLEX(CMC_DCR,B1055*CMC_L*(1-CMC_K))),COMPLEX(0,B1055*CMC_CPA))))</f>
        <v>0</v>
      </c>
      <c r="L1055">
        <f>IMSUM(COMPLEX(0,B1055*CMC_CLINE),IMDIV("1",IMPRODUCT("2",COMPLEX(CY_ESR,B1055*CY_ESL-1/(B1055*CY_C)))),COMPLEX(1/DUMMY_R,0))</f>
        <v>0</v>
      </c>
      <c r="M1055">
        <f>IMSUM(D1055,IMDIV("1",C1055))</f>
        <v>0</v>
      </c>
      <c r="N1055">
        <f>IMDIV("1",IMSUM(E1055,IMDIV("1",M1055)))</f>
        <v>0</v>
      </c>
      <c r="O1055">
        <f>IMSUM(F1055,N1055)</f>
        <v>0</v>
      </c>
      <c r="P1055">
        <f>IMDIV("1",IMSUM(G1055,IMDIV("1",O1055)))</f>
        <v>0</v>
      </c>
      <c r="Q1055">
        <f>IMSUM(H1055,P1055)</f>
        <v>0</v>
      </c>
      <c r="R1055">
        <f>IMDIV("1",IMSUM(I1055,IMDIV("1",Q1055)))</f>
        <v>0</v>
      </c>
      <c r="S1055">
        <f>IMSUM(J1055,R1055)</f>
        <v>0</v>
      </c>
      <c r="T1055">
        <f>IMDIV("1",IMSUM(K1055,IMDIV("1",S1055)))</f>
        <v>0</v>
      </c>
      <c r="U1055">
        <f>IMSUM(L1055,T1055)</f>
        <v>0</v>
      </c>
      <c r="V1055">
        <f>IMDIV(COMPLEX(I_DM_SOURCE,0),U1055)</f>
        <v>0</v>
      </c>
      <c r="W1055">
        <f>IMPRODUCT(V1055,T1055)</f>
        <v>0</v>
      </c>
      <c r="X1055">
        <f>IMDIV(W1055,S1055)</f>
        <v>0</v>
      </c>
      <c r="Y1055">
        <f>IMPRODUCT(X1055,R1055)</f>
        <v>0</v>
      </c>
      <c r="Z1055">
        <f>IMDIV(Y1055,Q1055)</f>
        <v>0</v>
      </c>
      <c r="AA1055">
        <f>IMPRODUCT(Z1055,P1055)</f>
        <v>0</v>
      </c>
      <c r="AB1055">
        <f>AA1055</f>
        <v>0</v>
      </c>
      <c r="AC1055">
        <f>IMPRODUCT("-1",AB1055)</f>
        <v>0</v>
      </c>
      <c r="AD1055">
        <f>IMDIV(IMSUB(AB1055,AC1055),"2")</f>
        <v>0</v>
      </c>
      <c r="AE1055" s="6">
        <f>IMABS(AB1055)</f>
        <v>0</v>
      </c>
      <c r="AF1055" s="6">
        <f>IMABS(AC1055)</f>
        <v>0</v>
      </c>
      <c r="AG1055" s="6">
        <f>IMABS(AD1055)</f>
        <v>0</v>
      </c>
      <c r="AH1055" s="7">
        <f>20*LOG10(MAX(AE1055,1E-300)*1E6)</f>
        <v>0</v>
      </c>
      <c r="AI1055" s="7">
        <f>20*LOG10(MAX(AF1055,1E-300)*1E6)</f>
        <v>0</v>
      </c>
      <c r="AJ1055" s="7">
        <f>20*LOG10(MAX(AG1055,1E-300)*1E6)</f>
        <v>0</v>
      </c>
      <c r="AK1055" s="7">
        <f>DEGREES(IMARGUMENT(AB1055))</f>
        <v>0</v>
      </c>
      <c r="AL1055" s="7">
        <f>DEGREES(IMARGUMENT(AC1055))</f>
        <v>0</v>
      </c>
      <c r="AM1055" s="7">
        <f>DEGREES(IMARGUMENT(AD1055))</f>
        <v>0</v>
      </c>
    </row>
    <row r="1056" spans="1:39">
      <c r="A1056" s="6">
        <f>10^(LOG10(F_START)+(ROW()-ROW($A$2))*(LOG10(F_STOP)-LOG10(F_START))/(N_POINTS-1))</f>
        <v>0</v>
      </c>
      <c r="B1056" s="6">
        <f>2*PI()*A1056</f>
        <v>0</v>
      </c>
      <c r="C1056">
        <f>COMPLEX(2*LINE_PS_DCR,2*B1056*LINE_PS_L)</f>
        <v>0</v>
      </c>
      <c r="D1056">
        <f>IMSUM(COMPLEX(0,B1056*(LINE_PS_CLINE+LINE_PS_CCHA/2)),IMDIV("1",IMPRODUCT("2",COMPLEX(C_THROUGH_ESR,B1056*C_THROUGH_ESL-1/(B1056*C_THROUGH_C)))))</f>
        <v>0</v>
      </c>
      <c r="E1056">
        <f>COMPLEX(2*LINE_INPUT_DCR,2*B1056*LINE_INPUT_L)</f>
        <v>0</v>
      </c>
      <c r="F1056">
        <f>COMPLEX(0,B1056*(LINE_INPUT_CLINE+LINE_INPUT_CCHA/2))</f>
        <v>0</v>
      </c>
      <c r="G1056">
        <f>IMPRODUCT("2",IMDIV("1",IMSUM(IMDIV("1",COMPLEX(LDM1_DCR,B1056*LDM1_L)),COMPLEX(0,B1056*LDM1_CPA))))</f>
        <v>0</v>
      </c>
      <c r="H1056">
        <f>IMSUM(IMDIV("1",COMPLEX(CX1_ESR,B1056*CX1_ESL-1/(B1056*CX1_C))),IMDIV("1",IMSUM(COMPLEX(DUMP1_R,0),COMPLEX(DUMP1_ESR,B1056*DUMP1_ESL-1/(B1056*DUMP1_C)))))</f>
        <v>0</v>
      </c>
      <c r="I1056">
        <f>IMPRODUCT("2",IMDIV("1",IMSUM(IMDIV("1",COMPLEX(LDM2_DCR,B1056*LDM2_L)),COMPLEX(0,B1056*LDM2_CPA))))</f>
        <v>0</v>
      </c>
      <c r="J1056">
        <f>IMSUM(IMDIV("1",COMPLEX(CX2_ESR,B1056*CX2_ESL-1/(B1056*CX2_C))),IMDIV("1",IMSUM(COMPLEX(DUMP2_R,0),COMPLEX(DUMP2_ESR,B1056*DUMP2_ESL-1/(B1056*DUMP2_C)))))</f>
        <v>0</v>
      </c>
      <c r="K1056">
        <f>IMPRODUCT("2",IMDIV("1",IMSUM(IMDIV("1",COMPLEX(CMC_DCR,B1056*CMC_L*(1-CMC_K))),COMPLEX(0,B1056*CMC_CPA))))</f>
        <v>0</v>
      </c>
      <c r="L1056">
        <f>IMSUM(COMPLEX(0,B1056*CMC_CLINE),IMDIV("1",IMPRODUCT("2",COMPLEX(CY_ESR,B1056*CY_ESL-1/(B1056*CY_C)))),COMPLEX(1/DUMMY_R,0))</f>
        <v>0</v>
      </c>
      <c r="M1056">
        <f>IMSUM(D1056,IMDIV("1",C1056))</f>
        <v>0</v>
      </c>
      <c r="N1056">
        <f>IMDIV("1",IMSUM(E1056,IMDIV("1",M1056)))</f>
        <v>0</v>
      </c>
      <c r="O1056">
        <f>IMSUM(F1056,N1056)</f>
        <v>0</v>
      </c>
      <c r="P1056">
        <f>IMDIV("1",IMSUM(G1056,IMDIV("1",O1056)))</f>
        <v>0</v>
      </c>
      <c r="Q1056">
        <f>IMSUM(H1056,P1056)</f>
        <v>0</v>
      </c>
      <c r="R1056">
        <f>IMDIV("1",IMSUM(I1056,IMDIV("1",Q1056)))</f>
        <v>0</v>
      </c>
      <c r="S1056">
        <f>IMSUM(J1056,R1056)</f>
        <v>0</v>
      </c>
      <c r="T1056">
        <f>IMDIV("1",IMSUM(K1056,IMDIV("1",S1056)))</f>
        <v>0</v>
      </c>
      <c r="U1056">
        <f>IMSUM(L1056,T1056)</f>
        <v>0</v>
      </c>
      <c r="V1056">
        <f>IMDIV(COMPLEX(I_DM_SOURCE,0),U1056)</f>
        <v>0</v>
      </c>
      <c r="W1056">
        <f>IMPRODUCT(V1056,T1056)</f>
        <v>0</v>
      </c>
      <c r="X1056">
        <f>IMDIV(W1056,S1056)</f>
        <v>0</v>
      </c>
      <c r="Y1056">
        <f>IMPRODUCT(X1056,R1056)</f>
        <v>0</v>
      </c>
      <c r="Z1056">
        <f>IMDIV(Y1056,Q1056)</f>
        <v>0</v>
      </c>
      <c r="AA1056">
        <f>IMPRODUCT(Z1056,P1056)</f>
        <v>0</v>
      </c>
      <c r="AB1056">
        <f>AA1056</f>
        <v>0</v>
      </c>
      <c r="AC1056">
        <f>IMPRODUCT("-1",AB1056)</f>
        <v>0</v>
      </c>
      <c r="AD1056">
        <f>IMDIV(IMSUB(AB1056,AC1056),"2")</f>
        <v>0</v>
      </c>
      <c r="AE1056" s="6">
        <f>IMABS(AB1056)</f>
        <v>0</v>
      </c>
      <c r="AF1056" s="6">
        <f>IMABS(AC1056)</f>
        <v>0</v>
      </c>
      <c r="AG1056" s="6">
        <f>IMABS(AD1056)</f>
        <v>0</v>
      </c>
      <c r="AH1056" s="7">
        <f>20*LOG10(MAX(AE1056,1E-300)*1E6)</f>
        <v>0</v>
      </c>
      <c r="AI1056" s="7">
        <f>20*LOG10(MAX(AF1056,1E-300)*1E6)</f>
        <v>0</v>
      </c>
      <c r="AJ1056" s="7">
        <f>20*LOG10(MAX(AG1056,1E-300)*1E6)</f>
        <v>0</v>
      </c>
      <c r="AK1056" s="7">
        <f>DEGREES(IMARGUMENT(AB1056))</f>
        <v>0</v>
      </c>
      <c r="AL1056" s="7">
        <f>DEGREES(IMARGUMENT(AC1056))</f>
        <v>0</v>
      </c>
      <c r="AM1056" s="7">
        <f>DEGREES(IMARGUMENT(AD1056))</f>
        <v>0</v>
      </c>
    </row>
    <row r="1057" spans="1:39">
      <c r="A1057" s="6">
        <f>10^(LOG10(F_START)+(ROW()-ROW($A$2))*(LOG10(F_STOP)-LOG10(F_START))/(N_POINTS-1))</f>
        <v>0</v>
      </c>
      <c r="B1057" s="6">
        <f>2*PI()*A1057</f>
        <v>0</v>
      </c>
      <c r="C1057">
        <f>COMPLEX(2*LINE_PS_DCR,2*B1057*LINE_PS_L)</f>
        <v>0</v>
      </c>
      <c r="D1057">
        <f>IMSUM(COMPLEX(0,B1057*(LINE_PS_CLINE+LINE_PS_CCHA/2)),IMDIV("1",IMPRODUCT("2",COMPLEX(C_THROUGH_ESR,B1057*C_THROUGH_ESL-1/(B1057*C_THROUGH_C)))))</f>
        <v>0</v>
      </c>
      <c r="E1057">
        <f>COMPLEX(2*LINE_INPUT_DCR,2*B1057*LINE_INPUT_L)</f>
        <v>0</v>
      </c>
      <c r="F1057">
        <f>COMPLEX(0,B1057*(LINE_INPUT_CLINE+LINE_INPUT_CCHA/2))</f>
        <v>0</v>
      </c>
      <c r="G1057">
        <f>IMPRODUCT("2",IMDIV("1",IMSUM(IMDIV("1",COMPLEX(LDM1_DCR,B1057*LDM1_L)),COMPLEX(0,B1057*LDM1_CPA))))</f>
        <v>0</v>
      </c>
      <c r="H1057">
        <f>IMSUM(IMDIV("1",COMPLEX(CX1_ESR,B1057*CX1_ESL-1/(B1057*CX1_C))),IMDIV("1",IMSUM(COMPLEX(DUMP1_R,0),COMPLEX(DUMP1_ESR,B1057*DUMP1_ESL-1/(B1057*DUMP1_C)))))</f>
        <v>0</v>
      </c>
      <c r="I1057">
        <f>IMPRODUCT("2",IMDIV("1",IMSUM(IMDIV("1",COMPLEX(LDM2_DCR,B1057*LDM2_L)),COMPLEX(0,B1057*LDM2_CPA))))</f>
        <v>0</v>
      </c>
      <c r="J1057">
        <f>IMSUM(IMDIV("1",COMPLEX(CX2_ESR,B1057*CX2_ESL-1/(B1057*CX2_C))),IMDIV("1",IMSUM(COMPLEX(DUMP2_R,0),COMPLEX(DUMP2_ESR,B1057*DUMP2_ESL-1/(B1057*DUMP2_C)))))</f>
        <v>0</v>
      </c>
      <c r="K1057">
        <f>IMPRODUCT("2",IMDIV("1",IMSUM(IMDIV("1",COMPLEX(CMC_DCR,B1057*CMC_L*(1-CMC_K))),COMPLEX(0,B1057*CMC_CPA))))</f>
        <v>0</v>
      </c>
      <c r="L1057">
        <f>IMSUM(COMPLEX(0,B1057*CMC_CLINE),IMDIV("1",IMPRODUCT("2",COMPLEX(CY_ESR,B1057*CY_ESL-1/(B1057*CY_C)))),COMPLEX(1/DUMMY_R,0))</f>
        <v>0</v>
      </c>
      <c r="M1057">
        <f>IMSUM(D1057,IMDIV("1",C1057))</f>
        <v>0</v>
      </c>
      <c r="N1057">
        <f>IMDIV("1",IMSUM(E1057,IMDIV("1",M1057)))</f>
        <v>0</v>
      </c>
      <c r="O1057">
        <f>IMSUM(F1057,N1057)</f>
        <v>0</v>
      </c>
      <c r="P1057">
        <f>IMDIV("1",IMSUM(G1057,IMDIV("1",O1057)))</f>
        <v>0</v>
      </c>
      <c r="Q1057">
        <f>IMSUM(H1057,P1057)</f>
        <v>0</v>
      </c>
      <c r="R1057">
        <f>IMDIV("1",IMSUM(I1057,IMDIV("1",Q1057)))</f>
        <v>0</v>
      </c>
      <c r="S1057">
        <f>IMSUM(J1057,R1057)</f>
        <v>0</v>
      </c>
      <c r="T1057">
        <f>IMDIV("1",IMSUM(K1057,IMDIV("1",S1057)))</f>
        <v>0</v>
      </c>
      <c r="U1057">
        <f>IMSUM(L1057,T1057)</f>
        <v>0</v>
      </c>
      <c r="V1057">
        <f>IMDIV(COMPLEX(I_DM_SOURCE,0),U1057)</f>
        <v>0</v>
      </c>
      <c r="W1057">
        <f>IMPRODUCT(V1057,T1057)</f>
        <v>0</v>
      </c>
      <c r="X1057">
        <f>IMDIV(W1057,S1057)</f>
        <v>0</v>
      </c>
      <c r="Y1057">
        <f>IMPRODUCT(X1057,R1057)</f>
        <v>0</v>
      </c>
      <c r="Z1057">
        <f>IMDIV(Y1057,Q1057)</f>
        <v>0</v>
      </c>
      <c r="AA1057">
        <f>IMPRODUCT(Z1057,P1057)</f>
        <v>0</v>
      </c>
      <c r="AB1057">
        <f>AA1057</f>
        <v>0</v>
      </c>
      <c r="AC1057">
        <f>IMPRODUCT("-1",AB1057)</f>
        <v>0</v>
      </c>
      <c r="AD1057">
        <f>IMDIV(IMSUB(AB1057,AC1057),"2")</f>
        <v>0</v>
      </c>
      <c r="AE1057" s="6">
        <f>IMABS(AB1057)</f>
        <v>0</v>
      </c>
      <c r="AF1057" s="6">
        <f>IMABS(AC1057)</f>
        <v>0</v>
      </c>
      <c r="AG1057" s="6">
        <f>IMABS(AD1057)</f>
        <v>0</v>
      </c>
      <c r="AH1057" s="7">
        <f>20*LOG10(MAX(AE1057,1E-300)*1E6)</f>
        <v>0</v>
      </c>
      <c r="AI1057" s="7">
        <f>20*LOG10(MAX(AF1057,1E-300)*1E6)</f>
        <v>0</v>
      </c>
      <c r="AJ1057" s="7">
        <f>20*LOG10(MAX(AG1057,1E-300)*1E6)</f>
        <v>0</v>
      </c>
      <c r="AK1057" s="7">
        <f>DEGREES(IMARGUMENT(AB1057))</f>
        <v>0</v>
      </c>
      <c r="AL1057" s="7">
        <f>DEGREES(IMARGUMENT(AC1057))</f>
        <v>0</v>
      </c>
      <c r="AM1057" s="7">
        <f>DEGREES(IMARGUMENT(AD1057))</f>
        <v>0</v>
      </c>
    </row>
    <row r="1058" spans="1:39">
      <c r="A1058" s="6">
        <f>10^(LOG10(F_START)+(ROW()-ROW($A$2))*(LOG10(F_STOP)-LOG10(F_START))/(N_POINTS-1))</f>
        <v>0</v>
      </c>
      <c r="B1058" s="6">
        <f>2*PI()*A1058</f>
        <v>0</v>
      </c>
      <c r="C1058">
        <f>COMPLEX(2*LINE_PS_DCR,2*B1058*LINE_PS_L)</f>
        <v>0</v>
      </c>
      <c r="D1058">
        <f>IMSUM(COMPLEX(0,B1058*(LINE_PS_CLINE+LINE_PS_CCHA/2)),IMDIV("1",IMPRODUCT("2",COMPLEX(C_THROUGH_ESR,B1058*C_THROUGH_ESL-1/(B1058*C_THROUGH_C)))))</f>
        <v>0</v>
      </c>
      <c r="E1058">
        <f>COMPLEX(2*LINE_INPUT_DCR,2*B1058*LINE_INPUT_L)</f>
        <v>0</v>
      </c>
      <c r="F1058">
        <f>COMPLEX(0,B1058*(LINE_INPUT_CLINE+LINE_INPUT_CCHA/2))</f>
        <v>0</v>
      </c>
      <c r="G1058">
        <f>IMPRODUCT("2",IMDIV("1",IMSUM(IMDIV("1",COMPLEX(LDM1_DCR,B1058*LDM1_L)),COMPLEX(0,B1058*LDM1_CPA))))</f>
        <v>0</v>
      </c>
      <c r="H1058">
        <f>IMSUM(IMDIV("1",COMPLEX(CX1_ESR,B1058*CX1_ESL-1/(B1058*CX1_C))),IMDIV("1",IMSUM(COMPLEX(DUMP1_R,0),COMPLEX(DUMP1_ESR,B1058*DUMP1_ESL-1/(B1058*DUMP1_C)))))</f>
        <v>0</v>
      </c>
      <c r="I1058">
        <f>IMPRODUCT("2",IMDIV("1",IMSUM(IMDIV("1",COMPLEX(LDM2_DCR,B1058*LDM2_L)),COMPLEX(0,B1058*LDM2_CPA))))</f>
        <v>0</v>
      </c>
      <c r="J1058">
        <f>IMSUM(IMDIV("1",COMPLEX(CX2_ESR,B1058*CX2_ESL-1/(B1058*CX2_C))),IMDIV("1",IMSUM(COMPLEX(DUMP2_R,0),COMPLEX(DUMP2_ESR,B1058*DUMP2_ESL-1/(B1058*DUMP2_C)))))</f>
        <v>0</v>
      </c>
      <c r="K1058">
        <f>IMPRODUCT("2",IMDIV("1",IMSUM(IMDIV("1",COMPLEX(CMC_DCR,B1058*CMC_L*(1-CMC_K))),COMPLEX(0,B1058*CMC_CPA))))</f>
        <v>0</v>
      </c>
      <c r="L1058">
        <f>IMSUM(COMPLEX(0,B1058*CMC_CLINE),IMDIV("1",IMPRODUCT("2",COMPLEX(CY_ESR,B1058*CY_ESL-1/(B1058*CY_C)))),COMPLEX(1/DUMMY_R,0))</f>
        <v>0</v>
      </c>
      <c r="M1058">
        <f>IMSUM(D1058,IMDIV("1",C1058))</f>
        <v>0</v>
      </c>
      <c r="N1058">
        <f>IMDIV("1",IMSUM(E1058,IMDIV("1",M1058)))</f>
        <v>0</v>
      </c>
      <c r="O1058">
        <f>IMSUM(F1058,N1058)</f>
        <v>0</v>
      </c>
      <c r="P1058">
        <f>IMDIV("1",IMSUM(G1058,IMDIV("1",O1058)))</f>
        <v>0</v>
      </c>
      <c r="Q1058">
        <f>IMSUM(H1058,P1058)</f>
        <v>0</v>
      </c>
      <c r="R1058">
        <f>IMDIV("1",IMSUM(I1058,IMDIV("1",Q1058)))</f>
        <v>0</v>
      </c>
      <c r="S1058">
        <f>IMSUM(J1058,R1058)</f>
        <v>0</v>
      </c>
      <c r="T1058">
        <f>IMDIV("1",IMSUM(K1058,IMDIV("1",S1058)))</f>
        <v>0</v>
      </c>
      <c r="U1058">
        <f>IMSUM(L1058,T1058)</f>
        <v>0</v>
      </c>
      <c r="V1058">
        <f>IMDIV(COMPLEX(I_DM_SOURCE,0),U1058)</f>
        <v>0</v>
      </c>
      <c r="W1058">
        <f>IMPRODUCT(V1058,T1058)</f>
        <v>0</v>
      </c>
      <c r="X1058">
        <f>IMDIV(W1058,S1058)</f>
        <v>0</v>
      </c>
      <c r="Y1058">
        <f>IMPRODUCT(X1058,R1058)</f>
        <v>0</v>
      </c>
      <c r="Z1058">
        <f>IMDIV(Y1058,Q1058)</f>
        <v>0</v>
      </c>
      <c r="AA1058">
        <f>IMPRODUCT(Z1058,P1058)</f>
        <v>0</v>
      </c>
      <c r="AB1058">
        <f>AA1058</f>
        <v>0</v>
      </c>
      <c r="AC1058">
        <f>IMPRODUCT("-1",AB1058)</f>
        <v>0</v>
      </c>
      <c r="AD1058">
        <f>IMDIV(IMSUB(AB1058,AC1058),"2")</f>
        <v>0</v>
      </c>
      <c r="AE1058" s="6">
        <f>IMABS(AB1058)</f>
        <v>0</v>
      </c>
      <c r="AF1058" s="6">
        <f>IMABS(AC1058)</f>
        <v>0</v>
      </c>
      <c r="AG1058" s="6">
        <f>IMABS(AD1058)</f>
        <v>0</v>
      </c>
      <c r="AH1058" s="7">
        <f>20*LOG10(MAX(AE1058,1E-300)*1E6)</f>
        <v>0</v>
      </c>
      <c r="AI1058" s="7">
        <f>20*LOG10(MAX(AF1058,1E-300)*1E6)</f>
        <v>0</v>
      </c>
      <c r="AJ1058" s="7">
        <f>20*LOG10(MAX(AG1058,1E-300)*1E6)</f>
        <v>0</v>
      </c>
      <c r="AK1058" s="7">
        <f>DEGREES(IMARGUMENT(AB1058))</f>
        <v>0</v>
      </c>
      <c r="AL1058" s="7">
        <f>DEGREES(IMARGUMENT(AC1058))</f>
        <v>0</v>
      </c>
      <c r="AM1058" s="7">
        <f>DEGREES(IMARGUMENT(AD1058))</f>
        <v>0</v>
      </c>
    </row>
    <row r="1059" spans="1:39">
      <c r="A1059" s="6">
        <f>10^(LOG10(F_START)+(ROW()-ROW($A$2))*(LOG10(F_STOP)-LOG10(F_START))/(N_POINTS-1))</f>
        <v>0</v>
      </c>
      <c r="B1059" s="6">
        <f>2*PI()*A1059</f>
        <v>0</v>
      </c>
      <c r="C1059">
        <f>COMPLEX(2*LINE_PS_DCR,2*B1059*LINE_PS_L)</f>
        <v>0</v>
      </c>
      <c r="D1059">
        <f>IMSUM(COMPLEX(0,B1059*(LINE_PS_CLINE+LINE_PS_CCHA/2)),IMDIV("1",IMPRODUCT("2",COMPLEX(C_THROUGH_ESR,B1059*C_THROUGH_ESL-1/(B1059*C_THROUGH_C)))))</f>
        <v>0</v>
      </c>
      <c r="E1059">
        <f>COMPLEX(2*LINE_INPUT_DCR,2*B1059*LINE_INPUT_L)</f>
        <v>0</v>
      </c>
      <c r="F1059">
        <f>COMPLEX(0,B1059*(LINE_INPUT_CLINE+LINE_INPUT_CCHA/2))</f>
        <v>0</v>
      </c>
      <c r="G1059">
        <f>IMPRODUCT("2",IMDIV("1",IMSUM(IMDIV("1",COMPLEX(LDM1_DCR,B1059*LDM1_L)),COMPLEX(0,B1059*LDM1_CPA))))</f>
        <v>0</v>
      </c>
      <c r="H1059">
        <f>IMSUM(IMDIV("1",COMPLEX(CX1_ESR,B1059*CX1_ESL-1/(B1059*CX1_C))),IMDIV("1",IMSUM(COMPLEX(DUMP1_R,0),COMPLEX(DUMP1_ESR,B1059*DUMP1_ESL-1/(B1059*DUMP1_C)))))</f>
        <v>0</v>
      </c>
      <c r="I1059">
        <f>IMPRODUCT("2",IMDIV("1",IMSUM(IMDIV("1",COMPLEX(LDM2_DCR,B1059*LDM2_L)),COMPLEX(0,B1059*LDM2_CPA))))</f>
        <v>0</v>
      </c>
      <c r="J1059">
        <f>IMSUM(IMDIV("1",COMPLEX(CX2_ESR,B1059*CX2_ESL-1/(B1059*CX2_C))),IMDIV("1",IMSUM(COMPLEX(DUMP2_R,0),COMPLEX(DUMP2_ESR,B1059*DUMP2_ESL-1/(B1059*DUMP2_C)))))</f>
        <v>0</v>
      </c>
      <c r="K1059">
        <f>IMPRODUCT("2",IMDIV("1",IMSUM(IMDIV("1",COMPLEX(CMC_DCR,B1059*CMC_L*(1-CMC_K))),COMPLEX(0,B1059*CMC_CPA))))</f>
        <v>0</v>
      </c>
      <c r="L1059">
        <f>IMSUM(COMPLEX(0,B1059*CMC_CLINE),IMDIV("1",IMPRODUCT("2",COMPLEX(CY_ESR,B1059*CY_ESL-1/(B1059*CY_C)))),COMPLEX(1/DUMMY_R,0))</f>
        <v>0</v>
      </c>
      <c r="M1059">
        <f>IMSUM(D1059,IMDIV("1",C1059))</f>
        <v>0</v>
      </c>
      <c r="N1059">
        <f>IMDIV("1",IMSUM(E1059,IMDIV("1",M1059)))</f>
        <v>0</v>
      </c>
      <c r="O1059">
        <f>IMSUM(F1059,N1059)</f>
        <v>0</v>
      </c>
      <c r="P1059">
        <f>IMDIV("1",IMSUM(G1059,IMDIV("1",O1059)))</f>
        <v>0</v>
      </c>
      <c r="Q1059">
        <f>IMSUM(H1059,P1059)</f>
        <v>0</v>
      </c>
      <c r="R1059">
        <f>IMDIV("1",IMSUM(I1059,IMDIV("1",Q1059)))</f>
        <v>0</v>
      </c>
      <c r="S1059">
        <f>IMSUM(J1059,R1059)</f>
        <v>0</v>
      </c>
      <c r="T1059">
        <f>IMDIV("1",IMSUM(K1059,IMDIV("1",S1059)))</f>
        <v>0</v>
      </c>
      <c r="U1059">
        <f>IMSUM(L1059,T1059)</f>
        <v>0</v>
      </c>
      <c r="V1059">
        <f>IMDIV(COMPLEX(I_DM_SOURCE,0),U1059)</f>
        <v>0</v>
      </c>
      <c r="W1059">
        <f>IMPRODUCT(V1059,T1059)</f>
        <v>0</v>
      </c>
      <c r="X1059">
        <f>IMDIV(W1059,S1059)</f>
        <v>0</v>
      </c>
      <c r="Y1059">
        <f>IMPRODUCT(X1059,R1059)</f>
        <v>0</v>
      </c>
      <c r="Z1059">
        <f>IMDIV(Y1059,Q1059)</f>
        <v>0</v>
      </c>
      <c r="AA1059">
        <f>IMPRODUCT(Z1059,P1059)</f>
        <v>0</v>
      </c>
      <c r="AB1059">
        <f>AA1059</f>
        <v>0</v>
      </c>
      <c r="AC1059">
        <f>IMPRODUCT("-1",AB1059)</f>
        <v>0</v>
      </c>
      <c r="AD1059">
        <f>IMDIV(IMSUB(AB1059,AC1059),"2")</f>
        <v>0</v>
      </c>
      <c r="AE1059" s="6">
        <f>IMABS(AB1059)</f>
        <v>0</v>
      </c>
      <c r="AF1059" s="6">
        <f>IMABS(AC1059)</f>
        <v>0</v>
      </c>
      <c r="AG1059" s="6">
        <f>IMABS(AD1059)</f>
        <v>0</v>
      </c>
      <c r="AH1059" s="7">
        <f>20*LOG10(MAX(AE1059,1E-300)*1E6)</f>
        <v>0</v>
      </c>
      <c r="AI1059" s="7">
        <f>20*LOG10(MAX(AF1059,1E-300)*1E6)</f>
        <v>0</v>
      </c>
      <c r="AJ1059" s="7">
        <f>20*LOG10(MAX(AG1059,1E-300)*1E6)</f>
        <v>0</v>
      </c>
      <c r="AK1059" s="7">
        <f>DEGREES(IMARGUMENT(AB1059))</f>
        <v>0</v>
      </c>
      <c r="AL1059" s="7">
        <f>DEGREES(IMARGUMENT(AC1059))</f>
        <v>0</v>
      </c>
      <c r="AM1059" s="7">
        <f>DEGREES(IMARGUMENT(AD1059))</f>
        <v>0</v>
      </c>
    </row>
    <row r="1060" spans="1:39">
      <c r="A1060" s="6">
        <f>10^(LOG10(F_START)+(ROW()-ROW($A$2))*(LOG10(F_STOP)-LOG10(F_START))/(N_POINTS-1))</f>
        <v>0</v>
      </c>
      <c r="B1060" s="6">
        <f>2*PI()*A1060</f>
        <v>0</v>
      </c>
      <c r="C1060">
        <f>COMPLEX(2*LINE_PS_DCR,2*B1060*LINE_PS_L)</f>
        <v>0</v>
      </c>
      <c r="D1060">
        <f>IMSUM(COMPLEX(0,B1060*(LINE_PS_CLINE+LINE_PS_CCHA/2)),IMDIV("1",IMPRODUCT("2",COMPLEX(C_THROUGH_ESR,B1060*C_THROUGH_ESL-1/(B1060*C_THROUGH_C)))))</f>
        <v>0</v>
      </c>
      <c r="E1060">
        <f>COMPLEX(2*LINE_INPUT_DCR,2*B1060*LINE_INPUT_L)</f>
        <v>0</v>
      </c>
      <c r="F1060">
        <f>COMPLEX(0,B1060*(LINE_INPUT_CLINE+LINE_INPUT_CCHA/2))</f>
        <v>0</v>
      </c>
      <c r="G1060">
        <f>IMPRODUCT("2",IMDIV("1",IMSUM(IMDIV("1",COMPLEX(LDM1_DCR,B1060*LDM1_L)),COMPLEX(0,B1060*LDM1_CPA))))</f>
        <v>0</v>
      </c>
      <c r="H1060">
        <f>IMSUM(IMDIV("1",COMPLEX(CX1_ESR,B1060*CX1_ESL-1/(B1060*CX1_C))),IMDIV("1",IMSUM(COMPLEX(DUMP1_R,0),COMPLEX(DUMP1_ESR,B1060*DUMP1_ESL-1/(B1060*DUMP1_C)))))</f>
        <v>0</v>
      </c>
      <c r="I1060">
        <f>IMPRODUCT("2",IMDIV("1",IMSUM(IMDIV("1",COMPLEX(LDM2_DCR,B1060*LDM2_L)),COMPLEX(0,B1060*LDM2_CPA))))</f>
        <v>0</v>
      </c>
      <c r="J1060">
        <f>IMSUM(IMDIV("1",COMPLEX(CX2_ESR,B1060*CX2_ESL-1/(B1060*CX2_C))),IMDIV("1",IMSUM(COMPLEX(DUMP2_R,0),COMPLEX(DUMP2_ESR,B1060*DUMP2_ESL-1/(B1060*DUMP2_C)))))</f>
        <v>0</v>
      </c>
      <c r="K1060">
        <f>IMPRODUCT("2",IMDIV("1",IMSUM(IMDIV("1",COMPLEX(CMC_DCR,B1060*CMC_L*(1-CMC_K))),COMPLEX(0,B1060*CMC_CPA))))</f>
        <v>0</v>
      </c>
      <c r="L1060">
        <f>IMSUM(COMPLEX(0,B1060*CMC_CLINE),IMDIV("1",IMPRODUCT("2",COMPLEX(CY_ESR,B1060*CY_ESL-1/(B1060*CY_C)))),COMPLEX(1/DUMMY_R,0))</f>
        <v>0</v>
      </c>
      <c r="M1060">
        <f>IMSUM(D1060,IMDIV("1",C1060))</f>
        <v>0</v>
      </c>
      <c r="N1060">
        <f>IMDIV("1",IMSUM(E1060,IMDIV("1",M1060)))</f>
        <v>0</v>
      </c>
      <c r="O1060">
        <f>IMSUM(F1060,N1060)</f>
        <v>0</v>
      </c>
      <c r="P1060">
        <f>IMDIV("1",IMSUM(G1060,IMDIV("1",O1060)))</f>
        <v>0</v>
      </c>
      <c r="Q1060">
        <f>IMSUM(H1060,P1060)</f>
        <v>0</v>
      </c>
      <c r="R1060">
        <f>IMDIV("1",IMSUM(I1060,IMDIV("1",Q1060)))</f>
        <v>0</v>
      </c>
      <c r="S1060">
        <f>IMSUM(J1060,R1060)</f>
        <v>0</v>
      </c>
      <c r="T1060">
        <f>IMDIV("1",IMSUM(K1060,IMDIV("1",S1060)))</f>
        <v>0</v>
      </c>
      <c r="U1060">
        <f>IMSUM(L1060,T1060)</f>
        <v>0</v>
      </c>
      <c r="V1060">
        <f>IMDIV(COMPLEX(I_DM_SOURCE,0),U1060)</f>
        <v>0</v>
      </c>
      <c r="W1060">
        <f>IMPRODUCT(V1060,T1060)</f>
        <v>0</v>
      </c>
      <c r="X1060">
        <f>IMDIV(W1060,S1060)</f>
        <v>0</v>
      </c>
      <c r="Y1060">
        <f>IMPRODUCT(X1060,R1060)</f>
        <v>0</v>
      </c>
      <c r="Z1060">
        <f>IMDIV(Y1060,Q1060)</f>
        <v>0</v>
      </c>
      <c r="AA1060">
        <f>IMPRODUCT(Z1060,P1060)</f>
        <v>0</v>
      </c>
      <c r="AB1060">
        <f>AA1060</f>
        <v>0</v>
      </c>
      <c r="AC1060">
        <f>IMPRODUCT("-1",AB1060)</f>
        <v>0</v>
      </c>
      <c r="AD1060">
        <f>IMDIV(IMSUB(AB1060,AC1060),"2")</f>
        <v>0</v>
      </c>
      <c r="AE1060" s="6">
        <f>IMABS(AB1060)</f>
        <v>0</v>
      </c>
      <c r="AF1060" s="6">
        <f>IMABS(AC1060)</f>
        <v>0</v>
      </c>
      <c r="AG1060" s="6">
        <f>IMABS(AD1060)</f>
        <v>0</v>
      </c>
      <c r="AH1060" s="7">
        <f>20*LOG10(MAX(AE1060,1E-300)*1E6)</f>
        <v>0</v>
      </c>
      <c r="AI1060" s="7">
        <f>20*LOG10(MAX(AF1060,1E-300)*1E6)</f>
        <v>0</v>
      </c>
      <c r="AJ1060" s="7">
        <f>20*LOG10(MAX(AG1060,1E-300)*1E6)</f>
        <v>0</v>
      </c>
      <c r="AK1060" s="7">
        <f>DEGREES(IMARGUMENT(AB1060))</f>
        <v>0</v>
      </c>
      <c r="AL1060" s="7">
        <f>DEGREES(IMARGUMENT(AC1060))</f>
        <v>0</v>
      </c>
      <c r="AM1060" s="7">
        <f>DEGREES(IMARGUMENT(AD1060))</f>
        <v>0</v>
      </c>
    </row>
    <row r="1061" spans="1:39">
      <c r="A1061" s="6">
        <f>10^(LOG10(F_START)+(ROW()-ROW($A$2))*(LOG10(F_STOP)-LOG10(F_START))/(N_POINTS-1))</f>
        <v>0</v>
      </c>
      <c r="B1061" s="6">
        <f>2*PI()*A1061</f>
        <v>0</v>
      </c>
      <c r="C1061">
        <f>COMPLEX(2*LINE_PS_DCR,2*B1061*LINE_PS_L)</f>
        <v>0</v>
      </c>
      <c r="D1061">
        <f>IMSUM(COMPLEX(0,B1061*(LINE_PS_CLINE+LINE_PS_CCHA/2)),IMDIV("1",IMPRODUCT("2",COMPLEX(C_THROUGH_ESR,B1061*C_THROUGH_ESL-1/(B1061*C_THROUGH_C)))))</f>
        <v>0</v>
      </c>
      <c r="E1061">
        <f>COMPLEX(2*LINE_INPUT_DCR,2*B1061*LINE_INPUT_L)</f>
        <v>0</v>
      </c>
      <c r="F1061">
        <f>COMPLEX(0,B1061*(LINE_INPUT_CLINE+LINE_INPUT_CCHA/2))</f>
        <v>0</v>
      </c>
      <c r="G1061">
        <f>IMPRODUCT("2",IMDIV("1",IMSUM(IMDIV("1",COMPLEX(LDM1_DCR,B1061*LDM1_L)),COMPLEX(0,B1061*LDM1_CPA))))</f>
        <v>0</v>
      </c>
      <c r="H1061">
        <f>IMSUM(IMDIV("1",COMPLEX(CX1_ESR,B1061*CX1_ESL-1/(B1061*CX1_C))),IMDIV("1",IMSUM(COMPLEX(DUMP1_R,0),COMPLEX(DUMP1_ESR,B1061*DUMP1_ESL-1/(B1061*DUMP1_C)))))</f>
        <v>0</v>
      </c>
      <c r="I1061">
        <f>IMPRODUCT("2",IMDIV("1",IMSUM(IMDIV("1",COMPLEX(LDM2_DCR,B1061*LDM2_L)),COMPLEX(0,B1061*LDM2_CPA))))</f>
        <v>0</v>
      </c>
      <c r="J1061">
        <f>IMSUM(IMDIV("1",COMPLEX(CX2_ESR,B1061*CX2_ESL-1/(B1061*CX2_C))),IMDIV("1",IMSUM(COMPLEX(DUMP2_R,0),COMPLEX(DUMP2_ESR,B1061*DUMP2_ESL-1/(B1061*DUMP2_C)))))</f>
        <v>0</v>
      </c>
      <c r="K1061">
        <f>IMPRODUCT("2",IMDIV("1",IMSUM(IMDIV("1",COMPLEX(CMC_DCR,B1061*CMC_L*(1-CMC_K))),COMPLEX(0,B1061*CMC_CPA))))</f>
        <v>0</v>
      </c>
      <c r="L1061">
        <f>IMSUM(COMPLEX(0,B1061*CMC_CLINE),IMDIV("1",IMPRODUCT("2",COMPLEX(CY_ESR,B1061*CY_ESL-1/(B1061*CY_C)))),COMPLEX(1/DUMMY_R,0))</f>
        <v>0</v>
      </c>
      <c r="M1061">
        <f>IMSUM(D1061,IMDIV("1",C1061))</f>
        <v>0</v>
      </c>
      <c r="N1061">
        <f>IMDIV("1",IMSUM(E1061,IMDIV("1",M1061)))</f>
        <v>0</v>
      </c>
      <c r="O1061">
        <f>IMSUM(F1061,N1061)</f>
        <v>0</v>
      </c>
      <c r="P1061">
        <f>IMDIV("1",IMSUM(G1061,IMDIV("1",O1061)))</f>
        <v>0</v>
      </c>
      <c r="Q1061">
        <f>IMSUM(H1061,P1061)</f>
        <v>0</v>
      </c>
      <c r="R1061">
        <f>IMDIV("1",IMSUM(I1061,IMDIV("1",Q1061)))</f>
        <v>0</v>
      </c>
      <c r="S1061">
        <f>IMSUM(J1061,R1061)</f>
        <v>0</v>
      </c>
      <c r="T1061">
        <f>IMDIV("1",IMSUM(K1061,IMDIV("1",S1061)))</f>
        <v>0</v>
      </c>
      <c r="U1061">
        <f>IMSUM(L1061,T1061)</f>
        <v>0</v>
      </c>
      <c r="V1061">
        <f>IMDIV(COMPLEX(I_DM_SOURCE,0),U1061)</f>
        <v>0</v>
      </c>
      <c r="W1061">
        <f>IMPRODUCT(V1061,T1061)</f>
        <v>0</v>
      </c>
      <c r="X1061">
        <f>IMDIV(W1061,S1061)</f>
        <v>0</v>
      </c>
      <c r="Y1061">
        <f>IMPRODUCT(X1061,R1061)</f>
        <v>0</v>
      </c>
      <c r="Z1061">
        <f>IMDIV(Y1061,Q1061)</f>
        <v>0</v>
      </c>
      <c r="AA1061">
        <f>IMPRODUCT(Z1061,P1061)</f>
        <v>0</v>
      </c>
      <c r="AB1061">
        <f>AA1061</f>
        <v>0</v>
      </c>
      <c r="AC1061">
        <f>IMPRODUCT("-1",AB1061)</f>
        <v>0</v>
      </c>
      <c r="AD1061">
        <f>IMDIV(IMSUB(AB1061,AC1061),"2")</f>
        <v>0</v>
      </c>
      <c r="AE1061" s="6">
        <f>IMABS(AB1061)</f>
        <v>0</v>
      </c>
      <c r="AF1061" s="6">
        <f>IMABS(AC1061)</f>
        <v>0</v>
      </c>
      <c r="AG1061" s="6">
        <f>IMABS(AD1061)</f>
        <v>0</v>
      </c>
      <c r="AH1061" s="7">
        <f>20*LOG10(MAX(AE1061,1E-300)*1E6)</f>
        <v>0</v>
      </c>
      <c r="AI1061" s="7">
        <f>20*LOG10(MAX(AF1061,1E-300)*1E6)</f>
        <v>0</v>
      </c>
      <c r="AJ1061" s="7">
        <f>20*LOG10(MAX(AG1061,1E-300)*1E6)</f>
        <v>0</v>
      </c>
      <c r="AK1061" s="7">
        <f>DEGREES(IMARGUMENT(AB1061))</f>
        <v>0</v>
      </c>
      <c r="AL1061" s="7">
        <f>DEGREES(IMARGUMENT(AC1061))</f>
        <v>0</v>
      </c>
      <c r="AM1061" s="7">
        <f>DEGREES(IMARGUMENT(AD1061))</f>
        <v>0</v>
      </c>
    </row>
    <row r="1062" spans="1:39">
      <c r="A1062" s="6">
        <f>10^(LOG10(F_START)+(ROW()-ROW($A$2))*(LOG10(F_STOP)-LOG10(F_START))/(N_POINTS-1))</f>
        <v>0</v>
      </c>
      <c r="B1062" s="6">
        <f>2*PI()*A1062</f>
        <v>0</v>
      </c>
      <c r="C1062">
        <f>COMPLEX(2*LINE_PS_DCR,2*B1062*LINE_PS_L)</f>
        <v>0</v>
      </c>
      <c r="D1062">
        <f>IMSUM(COMPLEX(0,B1062*(LINE_PS_CLINE+LINE_PS_CCHA/2)),IMDIV("1",IMPRODUCT("2",COMPLEX(C_THROUGH_ESR,B1062*C_THROUGH_ESL-1/(B1062*C_THROUGH_C)))))</f>
        <v>0</v>
      </c>
      <c r="E1062">
        <f>COMPLEX(2*LINE_INPUT_DCR,2*B1062*LINE_INPUT_L)</f>
        <v>0</v>
      </c>
      <c r="F1062">
        <f>COMPLEX(0,B1062*(LINE_INPUT_CLINE+LINE_INPUT_CCHA/2))</f>
        <v>0</v>
      </c>
      <c r="G1062">
        <f>IMPRODUCT("2",IMDIV("1",IMSUM(IMDIV("1",COMPLEX(LDM1_DCR,B1062*LDM1_L)),COMPLEX(0,B1062*LDM1_CPA))))</f>
        <v>0</v>
      </c>
      <c r="H1062">
        <f>IMSUM(IMDIV("1",COMPLEX(CX1_ESR,B1062*CX1_ESL-1/(B1062*CX1_C))),IMDIV("1",IMSUM(COMPLEX(DUMP1_R,0),COMPLEX(DUMP1_ESR,B1062*DUMP1_ESL-1/(B1062*DUMP1_C)))))</f>
        <v>0</v>
      </c>
      <c r="I1062">
        <f>IMPRODUCT("2",IMDIV("1",IMSUM(IMDIV("1",COMPLEX(LDM2_DCR,B1062*LDM2_L)),COMPLEX(0,B1062*LDM2_CPA))))</f>
        <v>0</v>
      </c>
      <c r="J1062">
        <f>IMSUM(IMDIV("1",COMPLEX(CX2_ESR,B1062*CX2_ESL-1/(B1062*CX2_C))),IMDIV("1",IMSUM(COMPLEX(DUMP2_R,0),COMPLEX(DUMP2_ESR,B1062*DUMP2_ESL-1/(B1062*DUMP2_C)))))</f>
        <v>0</v>
      </c>
      <c r="K1062">
        <f>IMPRODUCT("2",IMDIV("1",IMSUM(IMDIV("1",COMPLEX(CMC_DCR,B1062*CMC_L*(1-CMC_K))),COMPLEX(0,B1062*CMC_CPA))))</f>
        <v>0</v>
      </c>
      <c r="L1062">
        <f>IMSUM(COMPLEX(0,B1062*CMC_CLINE),IMDIV("1",IMPRODUCT("2",COMPLEX(CY_ESR,B1062*CY_ESL-1/(B1062*CY_C)))),COMPLEX(1/DUMMY_R,0))</f>
        <v>0</v>
      </c>
      <c r="M1062">
        <f>IMSUM(D1062,IMDIV("1",C1062))</f>
        <v>0</v>
      </c>
      <c r="N1062">
        <f>IMDIV("1",IMSUM(E1062,IMDIV("1",M1062)))</f>
        <v>0</v>
      </c>
      <c r="O1062">
        <f>IMSUM(F1062,N1062)</f>
        <v>0</v>
      </c>
      <c r="P1062">
        <f>IMDIV("1",IMSUM(G1062,IMDIV("1",O1062)))</f>
        <v>0</v>
      </c>
      <c r="Q1062">
        <f>IMSUM(H1062,P1062)</f>
        <v>0</v>
      </c>
      <c r="R1062">
        <f>IMDIV("1",IMSUM(I1062,IMDIV("1",Q1062)))</f>
        <v>0</v>
      </c>
      <c r="S1062">
        <f>IMSUM(J1062,R1062)</f>
        <v>0</v>
      </c>
      <c r="T1062">
        <f>IMDIV("1",IMSUM(K1062,IMDIV("1",S1062)))</f>
        <v>0</v>
      </c>
      <c r="U1062">
        <f>IMSUM(L1062,T1062)</f>
        <v>0</v>
      </c>
      <c r="V1062">
        <f>IMDIV(COMPLEX(I_DM_SOURCE,0),U1062)</f>
        <v>0</v>
      </c>
      <c r="W1062">
        <f>IMPRODUCT(V1062,T1062)</f>
        <v>0</v>
      </c>
      <c r="X1062">
        <f>IMDIV(W1062,S1062)</f>
        <v>0</v>
      </c>
      <c r="Y1062">
        <f>IMPRODUCT(X1062,R1062)</f>
        <v>0</v>
      </c>
      <c r="Z1062">
        <f>IMDIV(Y1062,Q1062)</f>
        <v>0</v>
      </c>
      <c r="AA1062">
        <f>IMPRODUCT(Z1062,P1062)</f>
        <v>0</v>
      </c>
      <c r="AB1062">
        <f>AA1062</f>
        <v>0</v>
      </c>
      <c r="AC1062">
        <f>IMPRODUCT("-1",AB1062)</f>
        <v>0</v>
      </c>
      <c r="AD1062">
        <f>IMDIV(IMSUB(AB1062,AC1062),"2")</f>
        <v>0</v>
      </c>
      <c r="AE1062" s="6">
        <f>IMABS(AB1062)</f>
        <v>0</v>
      </c>
      <c r="AF1062" s="6">
        <f>IMABS(AC1062)</f>
        <v>0</v>
      </c>
      <c r="AG1062" s="6">
        <f>IMABS(AD1062)</f>
        <v>0</v>
      </c>
      <c r="AH1062" s="7">
        <f>20*LOG10(MAX(AE1062,1E-300)*1E6)</f>
        <v>0</v>
      </c>
      <c r="AI1062" s="7">
        <f>20*LOG10(MAX(AF1062,1E-300)*1E6)</f>
        <v>0</v>
      </c>
      <c r="AJ1062" s="7">
        <f>20*LOG10(MAX(AG1062,1E-300)*1E6)</f>
        <v>0</v>
      </c>
      <c r="AK1062" s="7">
        <f>DEGREES(IMARGUMENT(AB1062))</f>
        <v>0</v>
      </c>
      <c r="AL1062" s="7">
        <f>DEGREES(IMARGUMENT(AC1062))</f>
        <v>0</v>
      </c>
      <c r="AM1062" s="7">
        <f>DEGREES(IMARGUMENT(AD1062))</f>
        <v>0</v>
      </c>
    </row>
    <row r="1063" spans="1:39">
      <c r="A1063" s="6">
        <f>10^(LOG10(F_START)+(ROW()-ROW($A$2))*(LOG10(F_STOP)-LOG10(F_START))/(N_POINTS-1))</f>
        <v>0</v>
      </c>
      <c r="B1063" s="6">
        <f>2*PI()*A1063</f>
        <v>0</v>
      </c>
      <c r="C1063">
        <f>COMPLEX(2*LINE_PS_DCR,2*B1063*LINE_PS_L)</f>
        <v>0</v>
      </c>
      <c r="D1063">
        <f>IMSUM(COMPLEX(0,B1063*(LINE_PS_CLINE+LINE_PS_CCHA/2)),IMDIV("1",IMPRODUCT("2",COMPLEX(C_THROUGH_ESR,B1063*C_THROUGH_ESL-1/(B1063*C_THROUGH_C)))))</f>
        <v>0</v>
      </c>
      <c r="E1063">
        <f>COMPLEX(2*LINE_INPUT_DCR,2*B1063*LINE_INPUT_L)</f>
        <v>0</v>
      </c>
      <c r="F1063">
        <f>COMPLEX(0,B1063*(LINE_INPUT_CLINE+LINE_INPUT_CCHA/2))</f>
        <v>0</v>
      </c>
      <c r="G1063">
        <f>IMPRODUCT("2",IMDIV("1",IMSUM(IMDIV("1",COMPLEX(LDM1_DCR,B1063*LDM1_L)),COMPLEX(0,B1063*LDM1_CPA))))</f>
        <v>0</v>
      </c>
      <c r="H1063">
        <f>IMSUM(IMDIV("1",COMPLEX(CX1_ESR,B1063*CX1_ESL-1/(B1063*CX1_C))),IMDIV("1",IMSUM(COMPLEX(DUMP1_R,0),COMPLEX(DUMP1_ESR,B1063*DUMP1_ESL-1/(B1063*DUMP1_C)))))</f>
        <v>0</v>
      </c>
      <c r="I1063">
        <f>IMPRODUCT("2",IMDIV("1",IMSUM(IMDIV("1",COMPLEX(LDM2_DCR,B1063*LDM2_L)),COMPLEX(0,B1063*LDM2_CPA))))</f>
        <v>0</v>
      </c>
      <c r="J1063">
        <f>IMSUM(IMDIV("1",COMPLEX(CX2_ESR,B1063*CX2_ESL-1/(B1063*CX2_C))),IMDIV("1",IMSUM(COMPLEX(DUMP2_R,0),COMPLEX(DUMP2_ESR,B1063*DUMP2_ESL-1/(B1063*DUMP2_C)))))</f>
        <v>0</v>
      </c>
      <c r="K1063">
        <f>IMPRODUCT("2",IMDIV("1",IMSUM(IMDIV("1",COMPLEX(CMC_DCR,B1063*CMC_L*(1-CMC_K))),COMPLEX(0,B1063*CMC_CPA))))</f>
        <v>0</v>
      </c>
      <c r="L1063">
        <f>IMSUM(COMPLEX(0,B1063*CMC_CLINE),IMDIV("1",IMPRODUCT("2",COMPLEX(CY_ESR,B1063*CY_ESL-1/(B1063*CY_C)))),COMPLEX(1/DUMMY_R,0))</f>
        <v>0</v>
      </c>
      <c r="M1063">
        <f>IMSUM(D1063,IMDIV("1",C1063))</f>
        <v>0</v>
      </c>
      <c r="N1063">
        <f>IMDIV("1",IMSUM(E1063,IMDIV("1",M1063)))</f>
        <v>0</v>
      </c>
      <c r="O1063">
        <f>IMSUM(F1063,N1063)</f>
        <v>0</v>
      </c>
      <c r="P1063">
        <f>IMDIV("1",IMSUM(G1063,IMDIV("1",O1063)))</f>
        <v>0</v>
      </c>
      <c r="Q1063">
        <f>IMSUM(H1063,P1063)</f>
        <v>0</v>
      </c>
      <c r="R1063">
        <f>IMDIV("1",IMSUM(I1063,IMDIV("1",Q1063)))</f>
        <v>0</v>
      </c>
      <c r="S1063">
        <f>IMSUM(J1063,R1063)</f>
        <v>0</v>
      </c>
      <c r="T1063">
        <f>IMDIV("1",IMSUM(K1063,IMDIV("1",S1063)))</f>
        <v>0</v>
      </c>
      <c r="U1063">
        <f>IMSUM(L1063,T1063)</f>
        <v>0</v>
      </c>
      <c r="V1063">
        <f>IMDIV(COMPLEX(I_DM_SOURCE,0),U1063)</f>
        <v>0</v>
      </c>
      <c r="W1063">
        <f>IMPRODUCT(V1063,T1063)</f>
        <v>0</v>
      </c>
      <c r="X1063">
        <f>IMDIV(W1063,S1063)</f>
        <v>0</v>
      </c>
      <c r="Y1063">
        <f>IMPRODUCT(X1063,R1063)</f>
        <v>0</v>
      </c>
      <c r="Z1063">
        <f>IMDIV(Y1063,Q1063)</f>
        <v>0</v>
      </c>
      <c r="AA1063">
        <f>IMPRODUCT(Z1063,P1063)</f>
        <v>0</v>
      </c>
      <c r="AB1063">
        <f>AA1063</f>
        <v>0</v>
      </c>
      <c r="AC1063">
        <f>IMPRODUCT("-1",AB1063)</f>
        <v>0</v>
      </c>
      <c r="AD1063">
        <f>IMDIV(IMSUB(AB1063,AC1063),"2")</f>
        <v>0</v>
      </c>
      <c r="AE1063" s="6">
        <f>IMABS(AB1063)</f>
        <v>0</v>
      </c>
      <c r="AF1063" s="6">
        <f>IMABS(AC1063)</f>
        <v>0</v>
      </c>
      <c r="AG1063" s="6">
        <f>IMABS(AD1063)</f>
        <v>0</v>
      </c>
      <c r="AH1063" s="7">
        <f>20*LOG10(MAX(AE1063,1E-300)*1E6)</f>
        <v>0</v>
      </c>
      <c r="AI1063" s="7">
        <f>20*LOG10(MAX(AF1063,1E-300)*1E6)</f>
        <v>0</v>
      </c>
      <c r="AJ1063" s="7">
        <f>20*LOG10(MAX(AG1063,1E-300)*1E6)</f>
        <v>0</v>
      </c>
      <c r="AK1063" s="7">
        <f>DEGREES(IMARGUMENT(AB1063))</f>
        <v>0</v>
      </c>
      <c r="AL1063" s="7">
        <f>DEGREES(IMARGUMENT(AC1063))</f>
        <v>0</v>
      </c>
      <c r="AM1063" s="7">
        <f>DEGREES(IMARGUMENT(AD1063))</f>
        <v>0</v>
      </c>
    </row>
    <row r="1064" spans="1:39">
      <c r="A1064" s="6">
        <f>10^(LOG10(F_START)+(ROW()-ROW($A$2))*(LOG10(F_STOP)-LOG10(F_START))/(N_POINTS-1))</f>
        <v>0</v>
      </c>
      <c r="B1064" s="6">
        <f>2*PI()*A1064</f>
        <v>0</v>
      </c>
      <c r="C1064">
        <f>COMPLEX(2*LINE_PS_DCR,2*B1064*LINE_PS_L)</f>
        <v>0</v>
      </c>
      <c r="D1064">
        <f>IMSUM(COMPLEX(0,B1064*(LINE_PS_CLINE+LINE_PS_CCHA/2)),IMDIV("1",IMPRODUCT("2",COMPLEX(C_THROUGH_ESR,B1064*C_THROUGH_ESL-1/(B1064*C_THROUGH_C)))))</f>
        <v>0</v>
      </c>
      <c r="E1064">
        <f>COMPLEX(2*LINE_INPUT_DCR,2*B1064*LINE_INPUT_L)</f>
        <v>0</v>
      </c>
      <c r="F1064">
        <f>COMPLEX(0,B1064*(LINE_INPUT_CLINE+LINE_INPUT_CCHA/2))</f>
        <v>0</v>
      </c>
      <c r="G1064">
        <f>IMPRODUCT("2",IMDIV("1",IMSUM(IMDIV("1",COMPLEX(LDM1_DCR,B1064*LDM1_L)),COMPLEX(0,B1064*LDM1_CPA))))</f>
        <v>0</v>
      </c>
      <c r="H1064">
        <f>IMSUM(IMDIV("1",COMPLEX(CX1_ESR,B1064*CX1_ESL-1/(B1064*CX1_C))),IMDIV("1",IMSUM(COMPLEX(DUMP1_R,0),COMPLEX(DUMP1_ESR,B1064*DUMP1_ESL-1/(B1064*DUMP1_C)))))</f>
        <v>0</v>
      </c>
      <c r="I1064">
        <f>IMPRODUCT("2",IMDIV("1",IMSUM(IMDIV("1",COMPLEX(LDM2_DCR,B1064*LDM2_L)),COMPLEX(0,B1064*LDM2_CPA))))</f>
        <v>0</v>
      </c>
      <c r="J1064">
        <f>IMSUM(IMDIV("1",COMPLEX(CX2_ESR,B1064*CX2_ESL-1/(B1064*CX2_C))),IMDIV("1",IMSUM(COMPLEX(DUMP2_R,0),COMPLEX(DUMP2_ESR,B1064*DUMP2_ESL-1/(B1064*DUMP2_C)))))</f>
        <v>0</v>
      </c>
      <c r="K1064">
        <f>IMPRODUCT("2",IMDIV("1",IMSUM(IMDIV("1",COMPLEX(CMC_DCR,B1064*CMC_L*(1-CMC_K))),COMPLEX(0,B1064*CMC_CPA))))</f>
        <v>0</v>
      </c>
      <c r="L1064">
        <f>IMSUM(COMPLEX(0,B1064*CMC_CLINE),IMDIV("1",IMPRODUCT("2",COMPLEX(CY_ESR,B1064*CY_ESL-1/(B1064*CY_C)))),COMPLEX(1/DUMMY_R,0))</f>
        <v>0</v>
      </c>
      <c r="M1064">
        <f>IMSUM(D1064,IMDIV("1",C1064))</f>
        <v>0</v>
      </c>
      <c r="N1064">
        <f>IMDIV("1",IMSUM(E1064,IMDIV("1",M1064)))</f>
        <v>0</v>
      </c>
      <c r="O1064">
        <f>IMSUM(F1064,N1064)</f>
        <v>0</v>
      </c>
      <c r="P1064">
        <f>IMDIV("1",IMSUM(G1064,IMDIV("1",O1064)))</f>
        <v>0</v>
      </c>
      <c r="Q1064">
        <f>IMSUM(H1064,P1064)</f>
        <v>0</v>
      </c>
      <c r="R1064">
        <f>IMDIV("1",IMSUM(I1064,IMDIV("1",Q1064)))</f>
        <v>0</v>
      </c>
      <c r="S1064">
        <f>IMSUM(J1064,R1064)</f>
        <v>0</v>
      </c>
      <c r="T1064">
        <f>IMDIV("1",IMSUM(K1064,IMDIV("1",S1064)))</f>
        <v>0</v>
      </c>
      <c r="U1064">
        <f>IMSUM(L1064,T1064)</f>
        <v>0</v>
      </c>
      <c r="V1064">
        <f>IMDIV(COMPLEX(I_DM_SOURCE,0),U1064)</f>
        <v>0</v>
      </c>
      <c r="W1064">
        <f>IMPRODUCT(V1064,T1064)</f>
        <v>0</v>
      </c>
      <c r="X1064">
        <f>IMDIV(W1064,S1064)</f>
        <v>0</v>
      </c>
      <c r="Y1064">
        <f>IMPRODUCT(X1064,R1064)</f>
        <v>0</v>
      </c>
      <c r="Z1064">
        <f>IMDIV(Y1064,Q1064)</f>
        <v>0</v>
      </c>
      <c r="AA1064">
        <f>IMPRODUCT(Z1064,P1064)</f>
        <v>0</v>
      </c>
      <c r="AB1064">
        <f>AA1064</f>
        <v>0</v>
      </c>
      <c r="AC1064">
        <f>IMPRODUCT("-1",AB1064)</f>
        <v>0</v>
      </c>
      <c r="AD1064">
        <f>IMDIV(IMSUB(AB1064,AC1064),"2")</f>
        <v>0</v>
      </c>
      <c r="AE1064" s="6">
        <f>IMABS(AB1064)</f>
        <v>0</v>
      </c>
      <c r="AF1064" s="6">
        <f>IMABS(AC1064)</f>
        <v>0</v>
      </c>
      <c r="AG1064" s="6">
        <f>IMABS(AD1064)</f>
        <v>0</v>
      </c>
      <c r="AH1064" s="7">
        <f>20*LOG10(MAX(AE1064,1E-300)*1E6)</f>
        <v>0</v>
      </c>
      <c r="AI1064" s="7">
        <f>20*LOG10(MAX(AF1064,1E-300)*1E6)</f>
        <v>0</v>
      </c>
      <c r="AJ1064" s="7">
        <f>20*LOG10(MAX(AG1064,1E-300)*1E6)</f>
        <v>0</v>
      </c>
      <c r="AK1064" s="7">
        <f>DEGREES(IMARGUMENT(AB1064))</f>
        <v>0</v>
      </c>
      <c r="AL1064" s="7">
        <f>DEGREES(IMARGUMENT(AC1064))</f>
        <v>0</v>
      </c>
      <c r="AM1064" s="7">
        <f>DEGREES(IMARGUMENT(AD1064))</f>
        <v>0</v>
      </c>
    </row>
    <row r="1065" spans="1:39">
      <c r="A1065" s="6">
        <f>10^(LOG10(F_START)+(ROW()-ROW($A$2))*(LOG10(F_STOP)-LOG10(F_START))/(N_POINTS-1))</f>
        <v>0</v>
      </c>
      <c r="B1065" s="6">
        <f>2*PI()*A1065</f>
        <v>0</v>
      </c>
      <c r="C1065">
        <f>COMPLEX(2*LINE_PS_DCR,2*B1065*LINE_PS_L)</f>
        <v>0</v>
      </c>
      <c r="D1065">
        <f>IMSUM(COMPLEX(0,B1065*(LINE_PS_CLINE+LINE_PS_CCHA/2)),IMDIV("1",IMPRODUCT("2",COMPLEX(C_THROUGH_ESR,B1065*C_THROUGH_ESL-1/(B1065*C_THROUGH_C)))))</f>
        <v>0</v>
      </c>
      <c r="E1065">
        <f>COMPLEX(2*LINE_INPUT_DCR,2*B1065*LINE_INPUT_L)</f>
        <v>0</v>
      </c>
      <c r="F1065">
        <f>COMPLEX(0,B1065*(LINE_INPUT_CLINE+LINE_INPUT_CCHA/2))</f>
        <v>0</v>
      </c>
      <c r="G1065">
        <f>IMPRODUCT("2",IMDIV("1",IMSUM(IMDIV("1",COMPLEX(LDM1_DCR,B1065*LDM1_L)),COMPLEX(0,B1065*LDM1_CPA))))</f>
        <v>0</v>
      </c>
      <c r="H1065">
        <f>IMSUM(IMDIV("1",COMPLEX(CX1_ESR,B1065*CX1_ESL-1/(B1065*CX1_C))),IMDIV("1",IMSUM(COMPLEX(DUMP1_R,0),COMPLEX(DUMP1_ESR,B1065*DUMP1_ESL-1/(B1065*DUMP1_C)))))</f>
        <v>0</v>
      </c>
      <c r="I1065">
        <f>IMPRODUCT("2",IMDIV("1",IMSUM(IMDIV("1",COMPLEX(LDM2_DCR,B1065*LDM2_L)),COMPLEX(0,B1065*LDM2_CPA))))</f>
        <v>0</v>
      </c>
      <c r="J1065">
        <f>IMSUM(IMDIV("1",COMPLEX(CX2_ESR,B1065*CX2_ESL-1/(B1065*CX2_C))),IMDIV("1",IMSUM(COMPLEX(DUMP2_R,0),COMPLEX(DUMP2_ESR,B1065*DUMP2_ESL-1/(B1065*DUMP2_C)))))</f>
        <v>0</v>
      </c>
      <c r="K1065">
        <f>IMPRODUCT("2",IMDIV("1",IMSUM(IMDIV("1",COMPLEX(CMC_DCR,B1065*CMC_L*(1-CMC_K))),COMPLEX(0,B1065*CMC_CPA))))</f>
        <v>0</v>
      </c>
      <c r="L1065">
        <f>IMSUM(COMPLEX(0,B1065*CMC_CLINE),IMDIV("1",IMPRODUCT("2",COMPLEX(CY_ESR,B1065*CY_ESL-1/(B1065*CY_C)))),COMPLEX(1/DUMMY_R,0))</f>
        <v>0</v>
      </c>
      <c r="M1065">
        <f>IMSUM(D1065,IMDIV("1",C1065))</f>
        <v>0</v>
      </c>
      <c r="N1065">
        <f>IMDIV("1",IMSUM(E1065,IMDIV("1",M1065)))</f>
        <v>0</v>
      </c>
      <c r="O1065">
        <f>IMSUM(F1065,N1065)</f>
        <v>0</v>
      </c>
      <c r="P1065">
        <f>IMDIV("1",IMSUM(G1065,IMDIV("1",O1065)))</f>
        <v>0</v>
      </c>
      <c r="Q1065">
        <f>IMSUM(H1065,P1065)</f>
        <v>0</v>
      </c>
      <c r="R1065">
        <f>IMDIV("1",IMSUM(I1065,IMDIV("1",Q1065)))</f>
        <v>0</v>
      </c>
      <c r="S1065">
        <f>IMSUM(J1065,R1065)</f>
        <v>0</v>
      </c>
      <c r="T1065">
        <f>IMDIV("1",IMSUM(K1065,IMDIV("1",S1065)))</f>
        <v>0</v>
      </c>
      <c r="U1065">
        <f>IMSUM(L1065,T1065)</f>
        <v>0</v>
      </c>
      <c r="V1065">
        <f>IMDIV(COMPLEX(I_DM_SOURCE,0),U1065)</f>
        <v>0</v>
      </c>
      <c r="W1065">
        <f>IMPRODUCT(V1065,T1065)</f>
        <v>0</v>
      </c>
      <c r="X1065">
        <f>IMDIV(W1065,S1065)</f>
        <v>0</v>
      </c>
      <c r="Y1065">
        <f>IMPRODUCT(X1065,R1065)</f>
        <v>0</v>
      </c>
      <c r="Z1065">
        <f>IMDIV(Y1065,Q1065)</f>
        <v>0</v>
      </c>
      <c r="AA1065">
        <f>IMPRODUCT(Z1065,P1065)</f>
        <v>0</v>
      </c>
      <c r="AB1065">
        <f>AA1065</f>
        <v>0</v>
      </c>
      <c r="AC1065">
        <f>IMPRODUCT("-1",AB1065)</f>
        <v>0</v>
      </c>
      <c r="AD1065">
        <f>IMDIV(IMSUB(AB1065,AC1065),"2")</f>
        <v>0</v>
      </c>
      <c r="AE1065" s="6">
        <f>IMABS(AB1065)</f>
        <v>0</v>
      </c>
      <c r="AF1065" s="6">
        <f>IMABS(AC1065)</f>
        <v>0</v>
      </c>
      <c r="AG1065" s="6">
        <f>IMABS(AD1065)</f>
        <v>0</v>
      </c>
      <c r="AH1065" s="7">
        <f>20*LOG10(MAX(AE1065,1E-300)*1E6)</f>
        <v>0</v>
      </c>
      <c r="AI1065" s="7">
        <f>20*LOG10(MAX(AF1065,1E-300)*1E6)</f>
        <v>0</v>
      </c>
      <c r="AJ1065" s="7">
        <f>20*LOG10(MAX(AG1065,1E-300)*1E6)</f>
        <v>0</v>
      </c>
      <c r="AK1065" s="7">
        <f>DEGREES(IMARGUMENT(AB1065))</f>
        <v>0</v>
      </c>
      <c r="AL1065" s="7">
        <f>DEGREES(IMARGUMENT(AC1065))</f>
        <v>0</v>
      </c>
      <c r="AM1065" s="7">
        <f>DEGREES(IMARGUMENT(AD1065))</f>
        <v>0</v>
      </c>
    </row>
    <row r="1066" spans="1:39">
      <c r="A1066" s="6">
        <f>10^(LOG10(F_START)+(ROW()-ROW($A$2))*(LOG10(F_STOP)-LOG10(F_START))/(N_POINTS-1))</f>
        <v>0</v>
      </c>
      <c r="B1066" s="6">
        <f>2*PI()*A1066</f>
        <v>0</v>
      </c>
      <c r="C1066">
        <f>COMPLEX(2*LINE_PS_DCR,2*B1066*LINE_PS_L)</f>
        <v>0</v>
      </c>
      <c r="D1066">
        <f>IMSUM(COMPLEX(0,B1066*(LINE_PS_CLINE+LINE_PS_CCHA/2)),IMDIV("1",IMPRODUCT("2",COMPLEX(C_THROUGH_ESR,B1066*C_THROUGH_ESL-1/(B1066*C_THROUGH_C)))))</f>
        <v>0</v>
      </c>
      <c r="E1066">
        <f>COMPLEX(2*LINE_INPUT_DCR,2*B1066*LINE_INPUT_L)</f>
        <v>0</v>
      </c>
      <c r="F1066">
        <f>COMPLEX(0,B1066*(LINE_INPUT_CLINE+LINE_INPUT_CCHA/2))</f>
        <v>0</v>
      </c>
      <c r="G1066">
        <f>IMPRODUCT("2",IMDIV("1",IMSUM(IMDIV("1",COMPLEX(LDM1_DCR,B1066*LDM1_L)),COMPLEX(0,B1066*LDM1_CPA))))</f>
        <v>0</v>
      </c>
      <c r="H1066">
        <f>IMSUM(IMDIV("1",COMPLEX(CX1_ESR,B1066*CX1_ESL-1/(B1066*CX1_C))),IMDIV("1",IMSUM(COMPLEX(DUMP1_R,0),COMPLEX(DUMP1_ESR,B1066*DUMP1_ESL-1/(B1066*DUMP1_C)))))</f>
        <v>0</v>
      </c>
      <c r="I1066">
        <f>IMPRODUCT("2",IMDIV("1",IMSUM(IMDIV("1",COMPLEX(LDM2_DCR,B1066*LDM2_L)),COMPLEX(0,B1066*LDM2_CPA))))</f>
        <v>0</v>
      </c>
      <c r="J1066">
        <f>IMSUM(IMDIV("1",COMPLEX(CX2_ESR,B1066*CX2_ESL-1/(B1066*CX2_C))),IMDIV("1",IMSUM(COMPLEX(DUMP2_R,0),COMPLEX(DUMP2_ESR,B1066*DUMP2_ESL-1/(B1066*DUMP2_C)))))</f>
        <v>0</v>
      </c>
      <c r="K1066">
        <f>IMPRODUCT("2",IMDIV("1",IMSUM(IMDIV("1",COMPLEX(CMC_DCR,B1066*CMC_L*(1-CMC_K))),COMPLEX(0,B1066*CMC_CPA))))</f>
        <v>0</v>
      </c>
      <c r="L1066">
        <f>IMSUM(COMPLEX(0,B1066*CMC_CLINE),IMDIV("1",IMPRODUCT("2",COMPLEX(CY_ESR,B1066*CY_ESL-1/(B1066*CY_C)))),COMPLEX(1/DUMMY_R,0))</f>
        <v>0</v>
      </c>
      <c r="M1066">
        <f>IMSUM(D1066,IMDIV("1",C1066))</f>
        <v>0</v>
      </c>
      <c r="N1066">
        <f>IMDIV("1",IMSUM(E1066,IMDIV("1",M1066)))</f>
        <v>0</v>
      </c>
      <c r="O1066">
        <f>IMSUM(F1066,N1066)</f>
        <v>0</v>
      </c>
      <c r="P1066">
        <f>IMDIV("1",IMSUM(G1066,IMDIV("1",O1066)))</f>
        <v>0</v>
      </c>
      <c r="Q1066">
        <f>IMSUM(H1066,P1066)</f>
        <v>0</v>
      </c>
      <c r="R1066">
        <f>IMDIV("1",IMSUM(I1066,IMDIV("1",Q1066)))</f>
        <v>0</v>
      </c>
      <c r="S1066">
        <f>IMSUM(J1066,R1066)</f>
        <v>0</v>
      </c>
      <c r="T1066">
        <f>IMDIV("1",IMSUM(K1066,IMDIV("1",S1066)))</f>
        <v>0</v>
      </c>
      <c r="U1066">
        <f>IMSUM(L1066,T1066)</f>
        <v>0</v>
      </c>
      <c r="V1066">
        <f>IMDIV(COMPLEX(I_DM_SOURCE,0),U1066)</f>
        <v>0</v>
      </c>
      <c r="W1066">
        <f>IMPRODUCT(V1066,T1066)</f>
        <v>0</v>
      </c>
      <c r="X1066">
        <f>IMDIV(W1066,S1066)</f>
        <v>0</v>
      </c>
      <c r="Y1066">
        <f>IMPRODUCT(X1066,R1066)</f>
        <v>0</v>
      </c>
      <c r="Z1066">
        <f>IMDIV(Y1066,Q1066)</f>
        <v>0</v>
      </c>
      <c r="AA1066">
        <f>IMPRODUCT(Z1066,P1066)</f>
        <v>0</v>
      </c>
      <c r="AB1066">
        <f>AA1066</f>
        <v>0</v>
      </c>
      <c r="AC1066">
        <f>IMPRODUCT("-1",AB1066)</f>
        <v>0</v>
      </c>
      <c r="AD1066">
        <f>IMDIV(IMSUB(AB1066,AC1066),"2")</f>
        <v>0</v>
      </c>
      <c r="AE1066" s="6">
        <f>IMABS(AB1066)</f>
        <v>0</v>
      </c>
      <c r="AF1066" s="6">
        <f>IMABS(AC1066)</f>
        <v>0</v>
      </c>
      <c r="AG1066" s="6">
        <f>IMABS(AD1066)</f>
        <v>0</v>
      </c>
      <c r="AH1066" s="7">
        <f>20*LOG10(MAX(AE1066,1E-300)*1E6)</f>
        <v>0</v>
      </c>
      <c r="AI1066" s="7">
        <f>20*LOG10(MAX(AF1066,1E-300)*1E6)</f>
        <v>0</v>
      </c>
      <c r="AJ1066" s="7">
        <f>20*LOG10(MAX(AG1066,1E-300)*1E6)</f>
        <v>0</v>
      </c>
      <c r="AK1066" s="7">
        <f>DEGREES(IMARGUMENT(AB1066))</f>
        <v>0</v>
      </c>
      <c r="AL1066" s="7">
        <f>DEGREES(IMARGUMENT(AC1066))</f>
        <v>0</v>
      </c>
      <c r="AM1066" s="7">
        <f>DEGREES(IMARGUMENT(AD1066))</f>
        <v>0</v>
      </c>
    </row>
    <row r="1067" spans="1:39">
      <c r="A1067" s="6">
        <f>10^(LOG10(F_START)+(ROW()-ROW($A$2))*(LOG10(F_STOP)-LOG10(F_START))/(N_POINTS-1))</f>
        <v>0</v>
      </c>
      <c r="B1067" s="6">
        <f>2*PI()*A1067</f>
        <v>0</v>
      </c>
      <c r="C1067">
        <f>COMPLEX(2*LINE_PS_DCR,2*B1067*LINE_PS_L)</f>
        <v>0</v>
      </c>
      <c r="D1067">
        <f>IMSUM(COMPLEX(0,B1067*(LINE_PS_CLINE+LINE_PS_CCHA/2)),IMDIV("1",IMPRODUCT("2",COMPLEX(C_THROUGH_ESR,B1067*C_THROUGH_ESL-1/(B1067*C_THROUGH_C)))))</f>
        <v>0</v>
      </c>
      <c r="E1067">
        <f>COMPLEX(2*LINE_INPUT_DCR,2*B1067*LINE_INPUT_L)</f>
        <v>0</v>
      </c>
      <c r="F1067">
        <f>COMPLEX(0,B1067*(LINE_INPUT_CLINE+LINE_INPUT_CCHA/2))</f>
        <v>0</v>
      </c>
      <c r="G1067">
        <f>IMPRODUCT("2",IMDIV("1",IMSUM(IMDIV("1",COMPLEX(LDM1_DCR,B1067*LDM1_L)),COMPLEX(0,B1067*LDM1_CPA))))</f>
        <v>0</v>
      </c>
      <c r="H1067">
        <f>IMSUM(IMDIV("1",COMPLEX(CX1_ESR,B1067*CX1_ESL-1/(B1067*CX1_C))),IMDIV("1",IMSUM(COMPLEX(DUMP1_R,0),COMPLEX(DUMP1_ESR,B1067*DUMP1_ESL-1/(B1067*DUMP1_C)))))</f>
        <v>0</v>
      </c>
      <c r="I1067">
        <f>IMPRODUCT("2",IMDIV("1",IMSUM(IMDIV("1",COMPLEX(LDM2_DCR,B1067*LDM2_L)),COMPLEX(0,B1067*LDM2_CPA))))</f>
        <v>0</v>
      </c>
      <c r="J1067">
        <f>IMSUM(IMDIV("1",COMPLEX(CX2_ESR,B1067*CX2_ESL-1/(B1067*CX2_C))),IMDIV("1",IMSUM(COMPLEX(DUMP2_R,0),COMPLEX(DUMP2_ESR,B1067*DUMP2_ESL-1/(B1067*DUMP2_C)))))</f>
        <v>0</v>
      </c>
      <c r="K1067">
        <f>IMPRODUCT("2",IMDIV("1",IMSUM(IMDIV("1",COMPLEX(CMC_DCR,B1067*CMC_L*(1-CMC_K))),COMPLEX(0,B1067*CMC_CPA))))</f>
        <v>0</v>
      </c>
      <c r="L1067">
        <f>IMSUM(COMPLEX(0,B1067*CMC_CLINE),IMDIV("1",IMPRODUCT("2",COMPLEX(CY_ESR,B1067*CY_ESL-1/(B1067*CY_C)))),COMPLEX(1/DUMMY_R,0))</f>
        <v>0</v>
      </c>
      <c r="M1067">
        <f>IMSUM(D1067,IMDIV("1",C1067))</f>
        <v>0</v>
      </c>
      <c r="N1067">
        <f>IMDIV("1",IMSUM(E1067,IMDIV("1",M1067)))</f>
        <v>0</v>
      </c>
      <c r="O1067">
        <f>IMSUM(F1067,N1067)</f>
        <v>0</v>
      </c>
      <c r="P1067">
        <f>IMDIV("1",IMSUM(G1067,IMDIV("1",O1067)))</f>
        <v>0</v>
      </c>
      <c r="Q1067">
        <f>IMSUM(H1067,P1067)</f>
        <v>0</v>
      </c>
      <c r="R1067">
        <f>IMDIV("1",IMSUM(I1067,IMDIV("1",Q1067)))</f>
        <v>0</v>
      </c>
      <c r="S1067">
        <f>IMSUM(J1067,R1067)</f>
        <v>0</v>
      </c>
      <c r="T1067">
        <f>IMDIV("1",IMSUM(K1067,IMDIV("1",S1067)))</f>
        <v>0</v>
      </c>
      <c r="U1067">
        <f>IMSUM(L1067,T1067)</f>
        <v>0</v>
      </c>
      <c r="V1067">
        <f>IMDIV(COMPLEX(I_DM_SOURCE,0),U1067)</f>
        <v>0</v>
      </c>
      <c r="W1067">
        <f>IMPRODUCT(V1067,T1067)</f>
        <v>0</v>
      </c>
      <c r="X1067">
        <f>IMDIV(W1067,S1067)</f>
        <v>0</v>
      </c>
      <c r="Y1067">
        <f>IMPRODUCT(X1067,R1067)</f>
        <v>0</v>
      </c>
      <c r="Z1067">
        <f>IMDIV(Y1067,Q1067)</f>
        <v>0</v>
      </c>
      <c r="AA1067">
        <f>IMPRODUCT(Z1067,P1067)</f>
        <v>0</v>
      </c>
      <c r="AB1067">
        <f>AA1067</f>
        <v>0</v>
      </c>
      <c r="AC1067">
        <f>IMPRODUCT("-1",AB1067)</f>
        <v>0</v>
      </c>
      <c r="AD1067">
        <f>IMDIV(IMSUB(AB1067,AC1067),"2")</f>
        <v>0</v>
      </c>
      <c r="AE1067" s="6">
        <f>IMABS(AB1067)</f>
        <v>0</v>
      </c>
      <c r="AF1067" s="6">
        <f>IMABS(AC1067)</f>
        <v>0</v>
      </c>
      <c r="AG1067" s="6">
        <f>IMABS(AD1067)</f>
        <v>0</v>
      </c>
      <c r="AH1067" s="7">
        <f>20*LOG10(MAX(AE1067,1E-300)*1E6)</f>
        <v>0</v>
      </c>
      <c r="AI1067" s="7">
        <f>20*LOG10(MAX(AF1067,1E-300)*1E6)</f>
        <v>0</v>
      </c>
      <c r="AJ1067" s="7">
        <f>20*LOG10(MAX(AG1067,1E-300)*1E6)</f>
        <v>0</v>
      </c>
      <c r="AK1067" s="7">
        <f>DEGREES(IMARGUMENT(AB1067))</f>
        <v>0</v>
      </c>
      <c r="AL1067" s="7">
        <f>DEGREES(IMARGUMENT(AC1067))</f>
        <v>0</v>
      </c>
      <c r="AM1067" s="7">
        <f>DEGREES(IMARGUMENT(AD1067))</f>
        <v>0</v>
      </c>
    </row>
    <row r="1068" spans="1:39">
      <c r="A1068" s="6">
        <f>10^(LOG10(F_START)+(ROW()-ROW($A$2))*(LOG10(F_STOP)-LOG10(F_START))/(N_POINTS-1))</f>
        <v>0</v>
      </c>
      <c r="B1068" s="6">
        <f>2*PI()*A1068</f>
        <v>0</v>
      </c>
      <c r="C1068">
        <f>COMPLEX(2*LINE_PS_DCR,2*B1068*LINE_PS_L)</f>
        <v>0</v>
      </c>
      <c r="D1068">
        <f>IMSUM(COMPLEX(0,B1068*(LINE_PS_CLINE+LINE_PS_CCHA/2)),IMDIV("1",IMPRODUCT("2",COMPLEX(C_THROUGH_ESR,B1068*C_THROUGH_ESL-1/(B1068*C_THROUGH_C)))))</f>
        <v>0</v>
      </c>
      <c r="E1068">
        <f>COMPLEX(2*LINE_INPUT_DCR,2*B1068*LINE_INPUT_L)</f>
        <v>0</v>
      </c>
      <c r="F1068">
        <f>COMPLEX(0,B1068*(LINE_INPUT_CLINE+LINE_INPUT_CCHA/2))</f>
        <v>0</v>
      </c>
      <c r="G1068">
        <f>IMPRODUCT("2",IMDIV("1",IMSUM(IMDIV("1",COMPLEX(LDM1_DCR,B1068*LDM1_L)),COMPLEX(0,B1068*LDM1_CPA))))</f>
        <v>0</v>
      </c>
      <c r="H1068">
        <f>IMSUM(IMDIV("1",COMPLEX(CX1_ESR,B1068*CX1_ESL-1/(B1068*CX1_C))),IMDIV("1",IMSUM(COMPLEX(DUMP1_R,0),COMPLEX(DUMP1_ESR,B1068*DUMP1_ESL-1/(B1068*DUMP1_C)))))</f>
        <v>0</v>
      </c>
      <c r="I1068">
        <f>IMPRODUCT("2",IMDIV("1",IMSUM(IMDIV("1",COMPLEX(LDM2_DCR,B1068*LDM2_L)),COMPLEX(0,B1068*LDM2_CPA))))</f>
        <v>0</v>
      </c>
      <c r="J1068">
        <f>IMSUM(IMDIV("1",COMPLEX(CX2_ESR,B1068*CX2_ESL-1/(B1068*CX2_C))),IMDIV("1",IMSUM(COMPLEX(DUMP2_R,0),COMPLEX(DUMP2_ESR,B1068*DUMP2_ESL-1/(B1068*DUMP2_C)))))</f>
        <v>0</v>
      </c>
      <c r="K1068">
        <f>IMPRODUCT("2",IMDIV("1",IMSUM(IMDIV("1",COMPLEX(CMC_DCR,B1068*CMC_L*(1-CMC_K))),COMPLEX(0,B1068*CMC_CPA))))</f>
        <v>0</v>
      </c>
      <c r="L1068">
        <f>IMSUM(COMPLEX(0,B1068*CMC_CLINE),IMDIV("1",IMPRODUCT("2",COMPLEX(CY_ESR,B1068*CY_ESL-1/(B1068*CY_C)))),COMPLEX(1/DUMMY_R,0))</f>
        <v>0</v>
      </c>
      <c r="M1068">
        <f>IMSUM(D1068,IMDIV("1",C1068))</f>
        <v>0</v>
      </c>
      <c r="N1068">
        <f>IMDIV("1",IMSUM(E1068,IMDIV("1",M1068)))</f>
        <v>0</v>
      </c>
      <c r="O1068">
        <f>IMSUM(F1068,N1068)</f>
        <v>0</v>
      </c>
      <c r="P1068">
        <f>IMDIV("1",IMSUM(G1068,IMDIV("1",O1068)))</f>
        <v>0</v>
      </c>
      <c r="Q1068">
        <f>IMSUM(H1068,P1068)</f>
        <v>0</v>
      </c>
      <c r="R1068">
        <f>IMDIV("1",IMSUM(I1068,IMDIV("1",Q1068)))</f>
        <v>0</v>
      </c>
      <c r="S1068">
        <f>IMSUM(J1068,R1068)</f>
        <v>0</v>
      </c>
      <c r="T1068">
        <f>IMDIV("1",IMSUM(K1068,IMDIV("1",S1068)))</f>
        <v>0</v>
      </c>
      <c r="U1068">
        <f>IMSUM(L1068,T1068)</f>
        <v>0</v>
      </c>
      <c r="V1068">
        <f>IMDIV(COMPLEX(I_DM_SOURCE,0),U1068)</f>
        <v>0</v>
      </c>
      <c r="W1068">
        <f>IMPRODUCT(V1068,T1068)</f>
        <v>0</v>
      </c>
      <c r="X1068">
        <f>IMDIV(W1068,S1068)</f>
        <v>0</v>
      </c>
      <c r="Y1068">
        <f>IMPRODUCT(X1068,R1068)</f>
        <v>0</v>
      </c>
      <c r="Z1068">
        <f>IMDIV(Y1068,Q1068)</f>
        <v>0</v>
      </c>
      <c r="AA1068">
        <f>IMPRODUCT(Z1068,P1068)</f>
        <v>0</v>
      </c>
      <c r="AB1068">
        <f>AA1068</f>
        <v>0</v>
      </c>
      <c r="AC1068">
        <f>IMPRODUCT("-1",AB1068)</f>
        <v>0</v>
      </c>
      <c r="AD1068">
        <f>IMDIV(IMSUB(AB1068,AC1068),"2")</f>
        <v>0</v>
      </c>
      <c r="AE1068" s="6">
        <f>IMABS(AB1068)</f>
        <v>0</v>
      </c>
      <c r="AF1068" s="6">
        <f>IMABS(AC1068)</f>
        <v>0</v>
      </c>
      <c r="AG1068" s="6">
        <f>IMABS(AD1068)</f>
        <v>0</v>
      </c>
      <c r="AH1068" s="7">
        <f>20*LOG10(MAX(AE1068,1E-300)*1E6)</f>
        <v>0</v>
      </c>
      <c r="AI1068" s="7">
        <f>20*LOG10(MAX(AF1068,1E-300)*1E6)</f>
        <v>0</v>
      </c>
      <c r="AJ1068" s="7">
        <f>20*LOG10(MAX(AG1068,1E-300)*1E6)</f>
        <v>0</v>
      </c>
      <c r="AK1068" s="7">
        <f>DEGREES(IMARGUMENT(AB1068))</f>
        <v>0</v>
      </c>
      <c r="AL1068" s="7">
        <f>DEGREES(IMARGUMENT(AC1068))</f>
        <v>0</v>
      </c>
      <c r="AM1068" s="7">
        <f>DEGREES(IMARGUMENT(AD1068))</f>
        <v>0</v>
      </c>
    </row>
    <row r="1069" spans="1:39">
      <c r="A1069" s="6">
        <f>10^(LOG10(F_START)+(ROW()-ROW($A$2))*(LOG10(F_STOP)-LOG10(F_START))/(N_POINTS-1))</f>
        <v>0</v>
      </c>
      <c r="B1069" s="6">
        <f>2*PI()*A1069</f>
        <v>0</v>
      </c>
      <c r="C1069">
        <f>COMPLEX(2*LINE_PS_DCR,2*B1069*LINE_PS_L)</f>
        <v>0</v>
      </c>
      <c r="D1069">
        <f>IMSUM(COMPLEX(0,B1069*(LINE_PS_CLINE+LINE_PS_CCHA/2)),IMDIV("1",IMPRODUCT("2",COMPLEX(C_THROUGH_ESR,B1069*C_THROUGH_ESL-1/(B1069*C_THROUGH_C)))))</f>
        <v>0</v>
      </c>
      <c r="E1069">
        <f>COMPLEX(2*LINE_INPUT_DCR,2*B1069*LINE_INPUT_L)</f>
        <v>0</v>
      </c>
      <c r="F1069">
        <f>COMPLEX(0,B1069*(LINE_INPUT_CLINE+LINE_INPUT_CCHA/2))</f>
        <v>0</v>
      </c>
      <c r="G1069">
        <f>IMPRODUCT("2",IMDIV("1",IMSUM(IMDIV("1",COMPLEX(LDM1_DCR,B1069*LDM1_L)),COMPLEX(0,B1069*LDM1_CPA))))</f>
        <v>0</v>
      </c>
      <c r="H1069">
        <f>IMSUM(IMDIV("1",COMPLEX(CX1_ESR,B1069*CX1_ESL-1/(B1069*CX1_C))),IMDIV("1",IMSUM(COMPLEX(DUMP1_R,0),COMPLEX(DUMP1_ESR,B1069*DUMP1_ESL-1/(B1069*DUMP1_C)))))</f>
        <v>0</v>
      </c>
      <c r="I1069">
        <f>IMPRODUCT("2",IMDIV("1",IMSUM(IMDIV("1",COMPLEX(LDM2_DCR,B1069*LDM2_L)),COMPLEX(0,B1069*LDM2_CPA))))</f>
        <v>0</v>
      </c>
      <c r="J1069">
        <f>IMSUM(IMDIV("1",COMPLEX(CX2_ESR,B1069*CX2_ESL-1/(B1069*CX2_C))),IMDIV("1",IMSUM(COMPLEX(DUMP2_R,0),COMPLEX(DUMP2_ESR,B1069*DUMP2_ESL-1/(B1069*DUMP2_C)))))</f>
        <v>0</v>
      </c>
      <c r="K1069">
        <f>IMPRODUCT("2",IMDIV("1",IMSUM(IMDIV("1",COMPLEX(CMC_DCR,B1069*CMC_L*(1-CMC_K))),COMPLEX(0,B1069*CMC_CPA))))</f>
        <v>0</v>
      </c>
      <c r="L1069">
        <f>IMSUM(COMPLEX(0,B1069*CMC_CLINE),IMDIV("1",IMPRODUCT("2",COMPLEX(CY_ESR,B1069*CY_ESL-1/(B1069*CY_C)))),COMPLEX(1/DUMMY_R,0))</f>
        <v>0</v>
      </c>
      <c r="M1069">
        <f>IMSUM(D1069,IMDIV("1",C1069))</f>
        <v>0</v>
      </c>
      <c r="N1069">
        <f>IMDIV("1",IMSUM(E1069,IMDIV("1",M1069)))</f>
        <v>0</v>
      </c>
      <c r="O1069">
        <f>IMSUM(F1069,N1069)</f>
        <v>0</v>
      </c>
      <c r="P1069">
        <f>IMDIV("1",IMSUM(G1069,IMDIV("1",O1069)))</f>
        <v>0</v>
      </c>
      <c r="Q1069">
        <f>IMSUM(H1069,P1069)</f>
        <v>0</v>
      </c>
      <c r="R1069">
        <f>IMDIV("1",IMSUM(I1069,IMDIV("1",Q1069)))</f>
        <v>0</v>
      </c>
      <c r="S1069">
        <f>IMSUM(J1069,R1069)</f>
        <v>0</v>
      </c>
      <c r="T1069">
        <f>IMDIV("1",IMSUM(K1069,IMDIV("1",S1069)))</f>
        <v>0</v>
      </c>
      <c r="U1069">
        <f>IMSUM(L1069,T1069)</f>
        <v>0</v>
      </c>
      <c r="V1069">
        <f>IMDIV(COMPLEX(I_DM_SOURCE,0),U1069)</f>
        <v>0</v>
      </c>
      <c r="W1069">
        <f>IMPRODUCT(V1069,T1069)</f>
        <v>0</v>
      </c>
      <c r="X1069">
        <f>IMDIV(W1069,S1069)</f>
        <v>0</v>
      </c>
      <c r="Y1069">
        <f>IMPRODUCT(X1069,R1069)</f>
        <v>0</v>
      </c>
      <c r="Z1069">
        <f>IMDIV(Y1069,Q1069)</f>
        <v>0</v>
      </c>
      <c r="AA1069">
        <f>IMPRODUCT(Z1069,P1069)</f>
        <v>0</v>
      </c>
      <c r="AB1069">
        <f>AA1069</f>
        <v>0</v>
      </c>
      <c r="AC1069">
        <f>IMPRODUCT("-1",AB1069)</f>
        <v>0</v>
      </c>
      <c r="AD1069">
        <f>IMDIV(IMSUB(AB1069,AC1069),"2")</f>
        <v>0</v>
      </c>
      <c r="AE1069" s="6">
        <f>IMABS(AB1069)</f>
        <v>0</v>
      </c>
      <c r="AF1069" s="6">
        <f>IMABS(AC1069)</f>
        <v>0</v>
      </c>
      <c r="AG1069" s="6">
        <f>IMABS(AD1069)</f>
        <v>0</v>
      </c>
      <c r="AH1069" s="7">
        <f>20*LOG10(MAX(AE1069,1E-300)*1E6)</f>
        <v>0</v>
      </c>
      <c r="AI1069" s="7">
        <f>20*LOG10(MAX(AF1069,1E-300)*1E6)</f>
        <v>0</v>
      </c>
      <c r="AJ1069" s="7">
        <f>20*LOG10(MAX(AG1069,1E-300)*1E6)</f>
        <v>0</v>
      </c>
      <c r="AK1069" s="7">
        <f>DEGREES(IMARGUMENT(AB1069))</f>
        <v>0</v>
      </c>
      <c r="AL1069" s="7">
        <f>DEGREES(IMARGUMENT(AC1069))</f>
        <v>0</v>
      </c>
      <c r="AM1069" s="7">
        <f>DEGREES(IMARGUMENT(AD1069))</f>
        <v>0</v>
      </c>
    </row>
    <row r="1070" spans="1:39">
      <c r="A1070" s="6">
        <f>10^(LOG10(F_START)+(ROW()-ROW($A$2))*(LOG10(F_STOP)-LOG10(F_START))/(N_POINTS-1))</f>
        <v>0</v>
      </c>
      <c r="B1070" s="6">
        <f>2*PI()*A1070</f>
        <v>0</v>
      </c>
      <c r="C1070">
        <f>COMPLEX(2*LINE_PS_DCR,2*B1070*LINE_PS_L)</f>
        <v>0</v>
      </c>
      <c r="D1070">
        <f>IMSUM(COMPLEX(0,B1070*(LINE_PS_CLINE+LINE_PS_CCHA/2)),IMDIV("1",IMPRODUCT("2",COMPLEX(C_THROUGH_ESR,B1070*C_THROUGH_ESL-1/(B1070*C_THROUGH_C)))))</f>
        <v>0</v>
      </c>
      <c r="E1070">
        <f>COMPLEX(2*LINE_INPUT_DCR,2*B1070*LINE_INPUT_L)</f>
        <v>0</v>
      </c>
      <c r="F1070">
        <f>COMPLEX(0,B1070*(LINE_INPUT_CLINE+LINE_INPUT_CCHA/2))</f>
        <v>0</v>
      </c>
      <c r="G1070">
        <f>IMPRODUCT("2",IMDIV("1",IMSUM(IMDIV("1",COMPLEX(LDM1_DCR,B1070*LDM1_L)),COMPLEX(0,B1070*LDM1_CPA))))</f>
        <v>0</v>
      </c>
      <c r="H1070">
        <f>IMSUM(IMDIV("1",COMPLEX(CX1_ESR,B1070*CX1_ESL-1/(B1070*CX1_C))),IMDIV("1",IMSUM(COMPLEX(DUMP1_R,0),COMPLEX(DUMP1_ESR,B1070*DUMP1_ESL-1/(B1070*DUMP1_C)))))</f>
        <v>0</v>
      </c>
      <c r="I1070">
        <f>IMPRODUCT("2",IMDIV("1",IMSUM(IMDIV("1",COMPLEX(LDM2_DCR,B1070*LDM2_L)),COMPLEX(0,B1070*LDM2_CPA))))</f>
        <v>0</v>
      </c>
      <c r="J1070">
        <f>IMSUM(IMDIV("1",COMPLEX(CX2_ESR,B1070*CX2_ESL-1/(B1070*CX2_C))),IMDIV("1",IMSUM(COMPLEX(DUMP2_R,0),COMPLEX(DUMP2_ESR,B1070*DUMP2_ESL-1/(B1070*DUMP2_C)))))</f>
        <v>0</v>
      </c>
      <c r="K1070">
        <f>IMPRODUCT("2",IMDIV("1",IMSUM(IMDIV("1",COMPLEX(CMC_DCR,B1070*CMC_L*(1-CMC_K))),COMPLEX(0,B1070*CMC_CPA))))</f>
        <v>0</v>
      </c>
      <c r="L1070">
        <f>IMSUM(COMPLEX(0,B1070*CMC_CLINE),IMDIV("1",IMPRODUCT("2",COMPLEX(CY_ESR,B1070*CY_ESL-1/(B1070*CY_C)))),COMPLEX(1/DUMMY_R,0))</f>
        <v>0</v>
      </c>
      <c r="M1070">
        <f>IMSUM(D1070,IMDIV("1",C1070))</f>
        <v>0</v>
      </c>
      <c r="N1070">
        <f>IMDIV("1",IMSUM(E1070,IMDIV("1",M1070)))</f>
        <v>0</v>
      </c>
      <c r="O1070">
        <f>IMSUM(F1070,N1070)</f>
        <v>0</v>
      </c>
      <c r="P1070">
        <f>IMDIV("1",IMSUM(G1070,IMDIV("1",O1070)))</f>
        <v>0</v>
      </c>
      <c r="Q1070">
        <f>IMSUM(H1070,P1070)</f>
        <v>0</v>
      </c>
      <c r="R1070">
        <f>IMDIV("1",IMSUM(I1070,IMDIV("1",Q1070)))</f>
        <v>0</v>
      </c>
      <c r="S1070">
        <f>IMSUM(J1070,R1070)</f>
        <v>0</v>
      </c>
      <c r="T1070">
        <f>IMDIV("1",IMSUM(K1070,IMDIV("1",S1070)))</f>
        <v>0</v>
      </c>
      <c r="U1070">
        <f>IMSUM(L1070,T1070)</f>
        <v>0</v>
      </c>
      <c r="V1070">
        <f>IMDIV(COMPLEX(I_DM_SOURCE,0),U1070)</f>
        <v>0</v>
      </c>
      <c r="W1070">
        <f>IMPRODUCT(V1070,T1070)</f>
        <v>0</v>
      </c>
      <c r="X1070">
        <f>IMDIV(W1070,S1070)</f>
        <v>0</v>
      </c>
      <c r="Y1070">
        <f>IMPRODUCT(X1070,R1070)</f>
        <v>0</v>
      </c>
      <c r="Z1070">
        <f>IMDIV(Y1070,Q1070)</f>
        <v>0</v>
      </c>
      <c r="AA1070">
        <f>IMPRODUCT(Z1070,P1070)</f>
        <v>0</v>
      </c>
      <c r="AB1070">
        <f>AA1070</f>
        <v>0</v>
      </c>
      <c r="AC1070">
        <f>IMPRODUCT("-1",AB1070)</f>
        <v>0</v>
      </c>
      <c r="AD1070">
        <f>IMDIV(IMSUB(AB1070,AC1070),"2")</f>
        <v>0</v>
      </c>
      <c r="AE1070" s="6">
        <f>IMABS(AB1070)</f>
        <v>0</v>
      </c>
      <c r="AF1070" s="6">
        <f>IMABS(AC1070)</f>
        <v>0</v>
      </c>
      <c r="AG1070" s="6">
        <f>IMABS(AD1070)</f>
        <v>0</v>
      </c>
      <c r="AH1070" s="7">
        <f>20*LOG10(MAX(AE1070,1E-300)*1E6)</f>
        <v>0</v>
      </c>
      <c r="AI1070" s="7">
        <f>20*LOG10(MAX(AF1070,1E-300)*1E6)</f>
        <v>0</v>
      </c>
      <c r="AJ1070" s="7">
        <f>20*LOG10(MAX(AG1070,1E-300)*1E6)</f>
        <v>0</v>
      </c>
      <c r="AK1070" s="7">
        <f>DEGREES(IMARGUMENT(AB1070))</f>
        <v>0</v>
      </c>
      <c r="AL1070" s="7">
        <f>DEGREES(IMARGUMENT(AC1070))</f>
        <v>0</v>
      </c>
      <c r="AM1070" s="7">
        <f>DEGREES(IMARGUMENT(AD1070))</f>
        <v>0</v>
      </c>
    </row>
    <row r="1071" spans="1:39">
      <c r="A1071" s="6">
        <f>10^(LOG10(F_START)+(ROW()-ROW($A$2))*(LOG10(F_STOP)-LOG10(F_START))/(N_POINTS-1))</f>
        <v>0</v>
      </c>
      <c r="B1071" s="6">
        <f>2*PI()*A1071</f>
        <v>0</v>
      </c>
      <c r="C1071">
        <f>COMPLEX(2*LINE_PS_DCR,2*B1071*LINE_PS_L)</f>
        <v>0</v>
      </c>
      <c r="D1071">
        <f>IMSUM(COMPLEX(0,B1071*(LINE_PS_CLINE+LINE_PS_CCHA/2)),IMDIV("1",IMPRODUCT("2",COMPLEX(C_THROUGH_ESR,B1071*C_THROUGH_ESL-1/(B1071*C_THROUGH_C)))))</f>
        <v>0</v>
      </c>
      <c r="E1071">
        <f>COMPLEX(2*LINE_INPUT_DCR,2*B1071*LINE_INPUT_L)</f>
        <v>0</v>
      </c>
      <c r="F1071">
        <f>COMPLEX(0,B1071*(LINE_INPUT_CLINE+LINE_INPUT_CCHA/2))</f>
        <v>0</v>
      </c>
      <c r="G1071">
        <f>IMPRODUCT("2",IMDIV("1",IMSUM(IMDIV("1",COMPLEX(LDM1_DCR,B1071*LDM1_L)),COMPLEX(0,B1071*LDM1_CPA))))</f>
        <v>0</v>
      </c>
      <c r="H1071">
        <f>IMSUM(IMDIV("1",COMPLEX(CX1_ESR,B1071*CX1_ESL-1/(B1071*CX1_C))),IMDIV("1",IMSUM(COMPLEX(DUMP1_R,0),COMPLEX(DUMP1_ESR,B1071*DUMP1_ESL-1/(B1071*DUMP1_C)))))</f>
        <v>0</v>
      </c>
      <c r="I1071">
        <f>IMPRODUCT("2",IMDIV("1",IMSUM(IMDIV("1",COMPLEX(LDM2_DCR,B1071*LDM2_L)),COMPLEX(0,B1071*LDM2_CPA))))</f>
        <v>0</v>
      </c>
      <c r="J1071">
        <f>IMSUM(IMDIV("1",COMPLEX(CX2_ESR,B1071*CX2_ESL-1/(B1071*CX2_C))),IMDIV("1",IMSUM(COMPLEX(DUMP2_R,0),COMPLEX(DUMP2_ESR,B1071*DUMP2_ESL-1/(B1071*DUMP2_C)))))</f>
        <v>0</v>
      </c>
      <c r="K1071">
        <f>IMPRODUCT("2",IMDIV("1",IMSUM(IMDIV("1",COMPLEX(CMC_DCR,B1071*CMC_L*(1-CMC_K))),COMPLEX(0,B1071*CMC_CPA))))</f>
        <v>0</v>
      </c>
      <c r="L1071">
        <f>IMSUM(COMPLEX(0,B1071*CMC_CLINE),IMDIV("1",IMPRODUCT("2",COMPLEX(CY_ESR,B1071*CY_ESL-1/(B1071*CY_C)))),COMPLEX(1/DUMMY_R,0))</f>
        <v>0</v>
      </c>
      <c r="M1071">
        <f>IMSUM(D1071,IMDIV("1",C1071))</f>
        <v>0</v>
      </c>
      <c r="N1071">
        <f>IMDIV("1",IMSUM(E1071,IMDIV("1",M1071)))</f>
        <v>0</v>
      </c>
      <c r="O1071">
        <f>IMSUM(F1071,N1071)</f>
        <v>0</v>
      </c>
      <c r="P1071">
        <f>IMDIV("1",IMSUM(G1071,IMDIV("1",O1071)))</f>
        <v>0</v>
      </c>
      <c r="Q1071">
        <f>IMSUM(H1071,P1071)</f>
        <v>0</v>
      </c>
      <c r="R1071">
        <f>IMDIV("1",IMSUM(I1071,IMDIV("1",Q1071)))</f>
        <v>0</v>
      </c>
      <c r="S1071">
        <f>IMSUM(J1071,R1071)</f>
        <v>0</v>
      </c>
      <c r="T1071">
        <f>IMDIV("1",IMSUM(K1071,IMDIV("1",S1071)))</f>
        <v>0</v>
      </c>
      <c r="U1071">
        <f>IMSUM(L1071,T1071)</f>
        <v>0</v>
      </c>
      <c r="V1071">
        <f>IMDIV(COMPLEX(I_DM_SOURCE,0),U1071)</f>
        <v>0</v>
      </c>
      <c r="W1071">
        <f>IMPRODUCT(V1071,T1071)</f>
        <v>0</v>
      </c>
      <c r="X1071">
        <f>IMDIV(W1071,S1071)</f>
        <v>0</v>
      </c>
      <c r="Y1071">
        <f>IMPRODUCT(X1071,R1071)</f>
        <v>0</v>
      </c>
      <c r="Z1071">
        <f>IMDIV(Y1071,Q1071)</f>
        <v>0</v>
      </c>
      <c r="AA1071">
        <f>IMPRODUCT(Z1071,P1071)</f>
        <v>0</v>
      </c>
      <c r="AB1071">
        <f>AA1071</f>
        <v>0</v>
      </c>
      <c r="AC1071">
        <f>IMPRODUCT("-1",AB1071)</f>
        <v>0</v>
      </c>
      <c r="AD1071">
        <f>IMDIV(IMSUB(AB1071,AC1071),"2")</f>
        <v>0</v>
      </c>
      <c r="AE1071" s="6">
        <f>IMABS(AB1071)</f>
        <v>0</v>
      </c>
      <c r="AF1071" s="6">
        <f>IMABS(AC1071)</f>
        <v>0</v>
      </c>
      <c r="AG1071" s="6">
        <f>IMABS(AD1071)</f>
        <v>0</v>
      </c>
      <c r="AH1071" s="7">
        <f>20*LOG10(MAX(AE1071,1E-300)*1E6)</f>
        <v>0</v>
      </c>
      <c r="AI1071" s="7">
        <f>20*LOG10(MAX(AF1071,1E-300)*1E6)</f>
        <v>0</v>
      </c>
      <c r="AJ1071" s="7">
        <f>20*LOG10(MAX(AG1071,1E-300)*1E6)</f>
        <v>0</v>
      </c>
      <c r="AK1071" s="7">
        <f>DEGREES(IMARGUMENT(AB1071))</f>
        <v>0</v>
      </c>
      <c r="AL1071" s="7">
        <f>DEGREES(IMARGUMENT(AC1071))</f>
        <v>0</v>
      </c>
      <c r="AM1071" s="7">
        <f>DEGREES(IMARGUMENT(AD1071))</f>
        <v>0</v>
      </c>
    </row>
    <row r="1072" spans="1:39">
      <c r="A1072" s="6">
        <f>10^(LOG10(F_START)+(ROW()-ROW($A$2))*(LOG10(F_STOP)-LOG10(F_START))/(N_POINTS-1))</f>
        <v>0</v>
      </c>
      <c r="B1072" s="6">
        <f>2*PI()*A1072</f>
        <v>0</v>
      </c>
      <c r="C1072">
        <f>COMPLEX(2*LINE_PS_DCR,2*B1072*LINE_PS_L)</f>
        <v>0</v>
      </c>
      <c r="D1072">
        <f>IMSUM(COMPLEX(0,B1072*(LINE_PS_CLINE+LINE_PS_CCHA/2)),IMDIV("1",IMPRODUCT("2",COMPLEX(C_THROUGH_ESR,B1072*C_THROUGH_ESL-1/(B1072*C_THROUGH_C)))))</f>
        <v>0</v>
      </c>
      <c r="E1072">
        <f>COMPLEX(2*LINE_INPUT_DCR,2*B1072*LINE_INPUT_L)</f>
        <v>0</v>
      </c>
      <c r="F1072">
        <f>COMPLEX(0,B1072*(LINE_INPUT_CLINE+LINE_INPUT_CCHA/2))</f>
        <v>0</v>
      </c>
      <c r="G1072">
        <f>IMPRODUCT("2",IMDIV("1",IMSUM(IMDIV("1",COMPLEX(LDM1_DCR,B1072*LDM1_L)),COMPLEX(0,B1072*LDM1_CPA))))</f>
        <v>0</v>
      </c>
      <c r="H1072">
        <f>IMSUM(IMDIV("1",COMPLEX(CX1_ESR,B1072*CX1_ESL-1/(B1072*CX1_C))),IMDIV("1",IMSUM(COMPLEX(DUMP1_R,0),COMPLEX(DUMP1_ESR,B1072*DUMP1_ESL-1/(B1072*DUMP1_C)))))</f>
        <v>0</v>
      </c>
      <c r="I1072">
        <f>IMPRODUCT("2",IMDIV("1",IMSUM(IMDIV("1",COMPLEX(LDM2_DCR,B1072*LDM2_L)),COMPLEX(0,B1072*LDM2_CPA))))</f>
        <v>0</v>
      </c>
      <c r="J1072">
        <f>IMSUM(IMDIV("1",COMPLEX(CX2_ESR,B1072*CX2_ESL-1/(B1072*CX2_C))),IMDIV("1",IMSUM(COMPLEX(DUMP2_R,0),COMPLEX(DUMP2_ESR,B1072*DUMP2_ESL-1/(B1072*DUMP2_C)))))</f>
        <v>0</v>
      </c>
      <c r="K1072">
        <f>IMPRODUCT("2",IMDIV("1",IMSUM(IMDIV("1",COMPLEX(CMC_DCR,B1072*CMC_L*(1-CMC_K))),COMPLEX(0,B1072*CMC_CPA))))</f>
        <v>0</v>
      </c>
      <c r="L1072">
        <f>IMSUM(COMPLEX(0,B1072*CMC_CLINE),IMDIV("1",IMPRODUCT("2",COMPLEX(CY_ESR,B1072*CY_ESL-1/(B1072*CY_C)))),COMPLEX(1/DUMMY_R,0))</f>
        <v>0</v>
      </c>
      <c r="M1072">
        <f>IMSUM(D1072,IMDIV("1",C1072))</f>
        <v>0</v>
      </c>
      <c r="N1072">
        <f>IMDIV("1",IMSUM(E1072,IMDIV("1",M1072)))</f>
        <v>0</v>
      </c>
      <c r="O1072">
        <f>IMSUM(F1072,N1072)</f>
        <v>0</v>
      </c>
      <c r="P1072">
        <f>IMDIV("1",IMSUM(G1072,IMDIV("1",O1072)))</f>
        <v>0</v>
      </c>
      <c r="Q1072">
        <f>IMSUM(H1072,P1072)</f>
        <v>0</v>
      </c>
      <c r="R1072">
        <f>IMDIV("1",IMSUM(I1072,IMDIV("1",Q1072)))</f>
        <v>0</v>
      </c>
      <c r="S1072">
        <f>IMSUM(J1072,R1072)</f>
        <v>0</v>
      </c>
      <c r="T1072">
        <f>IMDIV("1",IMSUM(K1072,IMDIV("1",S1072)))</f>
        <v>0</v>
      </c>
      <c r="U1072">
        <f>IMSUM(L1072,T1072)</f>
        <v>0</v>
      </c>
      <c r="V1072">
        <f>IMDIV(COMPLEX(I_DM_SOURCE,0),U1072)</f>
        <v>0</v>
      </c>
      <c r="W1072">
        <f>IMPRODUCT(V1072,T1072)</f>
        <v>0</v>
      </c>
      <c r="X1072">
        <f>IMDIV(W1072,S1072)</f>
        <v>0</v>
      </c>
      <c r="Y1072">
        <f>IMPRODUCT(X1072,R1072)</f>
        <v>0</v>
      </c>
      <c r="Z1072">
        <f>IMDIV(Y1072,Q1072)</f>
        <v>0</v>
      </c>
      <c r="AA1072">
        <f>IMPRODUCT(Z1072,P1072)</f>
        <v>0</v>
      </c>
      <c r="AB1072">
        <f>AA1072</f>
        <v>0</v>
      </c>
      <c r="AC1072">
        <f>IMPRODUCT("-1",AB1072)</f>
        <v>0</v>
      </c>
      <c r="AD1072">
        <f>IMDIV(IMSUB(AB1072,AC1072),"2")</f>
        <v>0</v>
      </c>
      <c r="AE1072" s="6">
        <f>IMABS(AB1072)</f>
        <v>0</v>
      </c>
      <c r="AF1072" s="6">
        <f>IMABS(AC1072)</f>
        <v>0</v>
      </c>
      <c r="AG1072" s="6">
        <f>IMABS(AD1072)</f>
        <v>0</v>
      </c>
      <c r="AH1072" s="7">
        <f>20*LOG10(MAX(AE1072,1E-300)*1E6)</f>
        <v>0</v>
      </c>
      <c r="AI1072" s="7">
        <f>20*LOG10(MAX(AF1072,1E-300)*1E6)</f>
        <v>0</v>
      </c>
      <c r="AJ1072" s="7">
        <f>20*LOG10(MAX(AG1072,1E-300)*1E6)</f>
        <v>0</v>
      </c>
      <c r="AK1072" s="7">
        <f>DEGREES(IMARGUMENT(AB1072))</f>
        <v>0</v>
      </c>
      <c r="AL1072" s="7">
        <f>DEGREES(IMARGUMENT(AC1072))</f>
        <v>0</v>
      </c>
      <c r="AM1072" s="7">
        <f>DEGREES(IMARGUMENT(AD1072))</f>
        <v>0</v>
      </c>
    </row>
    <row r="1073" spans="1:39">
      <c r="A1073" s="6">
        <f>10^(LOG10(F_START)+(ROW()-ROW($A$2))*(LOG10(F_STOP)-LOG10(F_START))/(N_POINTS-1))</f>
        <v>0</v>
      </c>
      <c r="B1073" s="6">
        <f>2*PI()*A1073</f>
        <v>0</v>
      </c>
      <c r="C1073">
        <f>COMPLEX(2*LINE_PS_DCR,2*B1073*LINE_PS_L)</f>
        <v>0</v>
      </c>
      <c r="D1073">
        <f>IMSUM(COMPLEX(0,B1073*(LINE_PS_CLINE+LINE_PS_CCHA/2)),IMDIV("1",IMPRODUCT("2",COMPLEX(C_THROUGH_ESR,B1073*C_THROUGH_ESL-1/(B1073*C_THROUGH_C)))))</f>
        <v>0</v>
      </c>
      <c r="E1073">
        <f>COMPLEX(2*LINE_INPUT_DCR,2*B1073*LINE_INPUT_L)</f>
        <v>0</v>
      </c>
      <c r="F1073">
        <f>COMPLEX(0,B1073*(LINE_INPUT_CLINE+LINE_INPUT_CCHA/2))</f>
        <v>0</v>
      </c>
      <c r="G1073">
        <f>IMPRODUCT("2",IMDIV("1",IMSUM(IMDIV("1",COMPLEX(LDM1_DCR,B1073*LDM1_L)),COMPLEX(0,B1073*LDM1_CPA))))</f>
        <v>0</v>
      </c>
      <c r="H1073">
        <f>IMSUM(IMDIV("1",COMPLEX(CX1_ESR,B1073*CX1_ESL-1/(B1073*CX1_C))),IMDIV("1",IMSUM(COMPLEX(DUMP1_R,0),COMPLEX(DUMP1_ESR,B1073*DUMP1_ESL-1/(B1073*DUMP1_C)))))</f>
        <v>0</v>
      </c>
      <c r="I1073">
        <f>IMPRODUCT("2",IMDIV("1",IMSUM(IMDIV("1",COMPLEX(LDM2_DCR,B1073*LDM2_L)),COMPLEX(0,B1073*LDM2_CPA))))</f>
        <v>0</v>
      </c>
      <c r="J1073">
        <f>IMSUM(IMDIV("1",COMPLEX(CX2_ESR,B1073*CX2_ESL-1/(B1073*CX2_C))),IMDIV("1",IMSUM(COMPLEX(DUMP2_R,0),COMPLEX(DUMP2_ESR,B1073*DUMP2_ESL-1/(B1073*DUMP2_C)))))</f>
        <v>0</v>
      </c>
      <c r="K1073">
        <f>IMPRODUCT("2",IMDIV("1",IMSUM(IMDIV("1",COMPLEX(CMC_DCR,B1073*CMC_L*(1-CMC_K))),COMPLEX(0,B1073*CMC_CPA))))</f>
        <v>0</v>
      </c>
      <c r="L1073">
        <f>IMSUM(COMPLEX(0,B1073*CMC_CLINE),IMDIV("1",IMPRODUCT("2",COMPLEX(CY_ESR,B1073*CY_ESL-1/(B1073*CY_C)))),COMPLEX(1/DUMMY_R,0))</f>
        <v>0</v>
      </c>
      <c r="M1073">
        <f>IMSUM(D1073,IMDIV("1",C1073))</f>
        <v>0</v>
      </c>
      <c r="N1073">
        <f>IMDIV("1",IMSUM(E1073,IMDIV("1",M1073)))</f>
        <v>0</v>
      </c>
      <c r="O1073">
        <f>IMSUM(F1073,N1073)</f>
        <v>0</v>
      </c>
      <c r="P1073">
        <f>IMDIV("1",IMSUM(G1073,IMDIV("1",O1073)))</f>
        <v>0</v>
      </c>
      <c r="Q1073">
        <f>IMSUM(H1073,P1073)</f>
        <v>0</v>
      </c>
      <c r="R1073">
        <f>IMDIV("1",IMSUM(I1073,IMDIV("1",Q1073)))</f>
        <v>0</v>
      </c>
      <c r="S1073">
        <f>IMSUM(J1073,R1073)</f>
        <v>0</v>
      </c>
      <c r="T1073">
        <f>IMDIV("1",IMSUM(K1073,IMDIV("1",S1073)))</f>
        <v>0</v>
      </c>
      <c r="U1073">
        <f>IMSUM(L1073,T1073)</f>
        <v>0</v>
      </c>
      <c r="V1073">
        <f>IMDIV(COMPLEX(I_DM_SOURCE,0),U1073)</f>
        <v>0</v>
      </c>
      <c r="W1073">
        <f>IMPRODUCT(V1073,T1073)</f>
        <v>0</v>
      </c>
      <c r="X1073">
        <f>IMDIV(W1073,S1073)</f>
        <v>0</v>
      </c>
      <c r="Y1073">
        <f>IMPRODUCT(X1073,R1073)</f>
        <v>0</v>
      </c>
      <c r="Z1073">
        <f>IMDIV(Y1073,Q1073)</f>
        <v>0</v>
      </c>
      <c r="AA1073">
        <f>IMPRODUCT(Z1073,P1073)</f>
        <v>0</v>
      </c>
      <c r="AB1073">
        <f>AA1073</f>
        <v>0</v>
      </c>
      <c r="AC1073">
        <f>IMPRODUCT("-1",AB1073)</f>
        <v>0</v>
      </c>
      <c r="AD1073">
        <f>IMDIV(IMSUB(AB1073,AC1073),"2")</f>
        <v>0</v>
      </c>
      <c r="AE1073" s="6">
        <f>IMABS(AB1073)</f>
        <v>0</v>
      </c>
      <c r="AF1073" s="6">
        <f>IMABS(AC1073)</f>
        <v>0</v>
      </c>
      <c r="AG1073" s="6">
        <f>IMABS(AD1073)</f>
        <v>0</v>
      </c>
      <c r="AH1073" s="7">
        <f>20*LOG10(MAX(AE1073,1E-300)*1E6)</f>
        <v>0</v>
      </c>
      <c r="AI1073" s="7">
        <f>20*LOG10(MAX(AF1073,1E-300)*1E6)</f>
        <v>0</v>
      </c>
      <c r="AJ1073" s="7">
        <f>20*LOG10(MAX(AG1073,1E-300)*1E6)</f>
        <v>0</v>
      </c>
      <c r="AK1073" s="7">
        <f>DEGREES(IMARGUMENT(AB1073))</f>
        <v>0</v>
      </c>
      <c r="AL1073" s="7">
        <f>DEGREES(IMARGUMENT(AC1073))</f>
        <v>0</v>
      </c>
      <c r="AM1073" s="7">
        <f>DEGREES(IMARGUMENT(AD1073))</f>
        <v>0</v>
      </c>
    </row>
    <row r="1074" spans="1:39">
      <c r="A1074" s="6">
        <f>10^(LOG10(F_START)+(ROW()-ROW($A$2))*(LOG10(F_STOP)-LOG10(F_START))/(N_POINTS-1))</f>
        <v>0</v>
      </c>
      <c r="B1074" s="6">
        <f>2*PI()*A1074</f>
        <v>0</v>
      </c>
      <c r="C1074">
        <f>COMPLEX(2*LINE_PS_DCR,2*B1074*LINE_PS_L)</f>
        <v>0</v>
      </c>
      <c r="D1074">
        <f>IMSUM(COMPLEX(0,B1074*(LINE_PS_CLINE+LINE_PS_CCHA/2)),IMDIV("1",IMPRODUCT("2",COMPLEX(C_THROUGH_ESR,B1074*C_THROUGH_ESL-1/(B1074*C_THROUGH_C)))))</f>
        <v>0</v>
      </c>
      <c r="E1074">
        <f>COMPLEX(2*LINE_INPUT_DCR,2*B1074*LINE_INPUT_L)</f>
        <v>0</v>
      </c>
      <c r="F1074">
        <f>COMPLEX(0,B1074*(LINE_INPUT_CLINE+LINE_INPUT_CCHA/2))</f>
        <v>0</v>
      </c>
      <c r="G1074">
        <f>IMPRODUCT("2",IMDIV("1",IMSUM(IMDIV("1",COMPLEX(LDM1_DCR,B1074*LDM1_L)),COMPLEX(0,B1074*LDM1_CPA))))</f>
        <v>0</v>
      </c>
      <c r="H1074">
        <f>IMSUM(IMDIV("1",COMPLEX(CX1_ESR,B1074*CX1_ESL-1/(B1074*CX1_C))),IMDIV("1",IMSUM(COMPLEX(DUMP1_R,0),COMPLEX(DUMP1_ESR,B1074*DUMP1_ESL-1/(B1074*DUMP1_C)))))</f>
        <v>0</v>
      </c>
      <c r="I1074">
        <f>IMPRODUCT("2",IMDIV("1",IMSUM(IMDIV("1",COMPLEX(LDM2_DCR,B1074*LDM2_L)),COMPLEX(0,B1074*LDM2_CPA))))</f>
        <v>0</v>
      </c>
      <c r="J1074">
        <f>IMSUM(IMDIV("1",COMPLEX(CX2_ESR,B1074*CX2_ESL-1/(B1074*CX2_C))),IMDIV("1",IMSUM(COMPLEX(DUMP2_R,0),COMPLEX(DUMP2_ESR,B1074*DUMP2_ESL-1/(B1074*DUMP2_C)))))</f>
        <v>0</v>
      </c>
      <c r="K1074">
        <f>IMPRODUCT("2",IMDIV("1",IMSUM(IMDIV("1",COMPLEX(CMC_DCR,B1074*CMC_L*(1-CMC_K))),COMPLEX(0,B1074*CMC_CPA))))</f>
        <v>0</v>
      </c>
      <c r="L1074">
        <f>IMSUM(COMPLEX(0,B1074*CMC_CLINE),IMDIV("1",IMPRODUCT("2",COMPLEX(CY_ESR,B1074*CY_ESL-1/(B1074*CY_C)))),COMPLEX(1/DUMMY_R,0))</f>
        <v>0</v>
      </c>
      <c r="M1074">
        <f>IMSUM(D1074,IMDIV("1",C1074))</f>
        <v>0</v>
      </c>
      <c r="N1074">
        <f>IMDIV("1",IMSUM(E1074,IMDIV("1",M1074)))</f>
        <v>0</v>
      </c>
      <c r="O1074">
        <f>IMSUM(F1074,N1074)</f>
        <v>0</v>
      </c>
      <c r="P1074">
        <f>IMDIV("1",IMSUM(G1074,IMDIV("1",O1074)))</f>
        <v>0</v>
      </c>
      <c r="Q1074">
        <f>IMSUM(H1074,P1074)</f>
        <v>0</v>
      </c>
      <c r="R1074">
        <f>IMDIV("1",IMSUM(I1074,IMDIV("1",Q1074)))</f>
        <v>0</v>
      </c>
      <c r="S1074">
        <f>IMSUM(J1074,R1074)</f>
        <v>0</v>
      </c>
      <c r="T1074">
        <f>IMDIV("1",IMSUM(K1074,IMDIV("1",S1074)))</f>
        <v>0</v>
      </c>
      <c r="U1074">
        <f>IMSUM(L1074,T1074)</f>
        <v>0</v>
      </c>
      <c r="V1074">
        <f>IMDIV(COMPLEX(I_DM_SOURCE,0),U1074)</f>
        <v>0</v>
      </c>
      <c r="W1074">
        <f>IMPRODUCT(V1074,T1074)</f>
        <v>0</v>
      </c>
      <c r="X1074">
        <f>IMDIV(W1074,S1074)</f>
        <v>0</v>
      </c>
      <c r="Y1074">
        <f>IMPRODUCT(X1074,R1074)</f>
        <v>0</v>
      </c>
      <c r="Z1074">
        <f>IMDIV(Y1074,Q1074)</f>
        <v>0</v>
      </c>
      <c r="AA1074">
        <f>IMPRODUCT(Z1074,P1074)</f>
        <v>0</v>
      </c>
      <c r="AB1074">
        <f>AA1074</f>
        <v>0</v>
      </c>
      <c r="AC1074">
        <f>IMPRODUCT("-1",AB1074)</f>
        <v>0</v>
      </c>
      <c r="AD1074">
        <f>IMDIV(IMSUB(AB1074,AC1074),"2")</f>
        <v>0</v>
      </c>
      <c r="AE1074" s="6">
        <f>IMABS(AB1074)</f>
        <v>0</v>
      </c>
      <c r="AF1074" s="6">
        <f>IMABS(AC1074)</f>
        <v>0</v>
      </c>
      <c r="AG1074" s="6">
        <f>IMABS(AD1074)</f>
        <v>0</v>
      </c>
      <c r="AH1074" s="7">
        <f>20*LOG10(MAX(AE1074,1E-300)*1E6)</f>
        <v>0</v>
      </c>
      <c r="AI1074" s="7">
        <f>20*LOG10(MAX(AF1074,1E-300)*1E6)</f>
        <v>0</v>
      </c>
      <c r="AJ1074" s="7">
        <f>20*LOG10(MAX(AG1074,1E-300)*1E6)</f>
        <v>0</v>
      </c>
      <c r="AK1074" s="7">
        <f>DEGREES(IMARGUMENT(AB1074))</f>
        <v>0</v>
      </c>
      <c r="AL1074" s="7">
        <f>DEGREES(IMARGUMENT(AC1074))</f>
        <v>0</v>
      </c>
      <c r="AM1074" s="7">
        <f>DEGREES(IMARGUMENT(AD1074))</f>
        <v>0</v>
      </c>
    </row>
    <row r="1075" spans="1:39">
      <c r="A1075" s="6">
        <f>10^(LOG10(F_START)+(ROW()-ROW($A$2))*(LOG10(F_STOP)-LOG10(F_START))/(N_POINTS-1))</f>
        <v>0</v>
      </c>
      <c r="B1075" s="6">
        <f>2*PI()*A1075</f>
        <v>0</v>
      </c>
      <c r="C1075">
        <f>COMPLEX(2*LINE_PS_DCR,2*B1075*LINE_PS_L)</f>
        <v>0</v>
      </c>
      <c r="D1075">
        <f>IMSUM(COMPLEX(0,B1075*(LINE_PS_CLINE+LINE_PS_CCHA/2)),IMDIV("1",IMPRODUCT("2",COMPLEX(C_THROUGH_ESR,B1075*C_THROUGH_ESL-1/(B1075*C_THROUGH_C)))))</f>
        <v>0</v>
      </c>
      <c r="E1075">
        <f>COMPLEX(2*LINE_INPUT_DCR,2*B1075*LINE_INPUT_L)</f>
        <v>0</v>
      </c>
      <c r="F1075">
        <f>COMPLEX(0,B1075*(LINE_INPUT_CLINE+LINE_INPUT_CCHA/2))</f>
        <v>0</v>
      </c>
      <c r="G1075">
        <f>IMPRODUCT("2",IMDIV("1",IMSUM(IMDIV("1",COMPLEX(LDM1_DCR,B1075*LDM1_L)),COMPLEX(0,B1075*LDM1_CPA))))</f>
        <v>0</v>
      </c>
      <c r="H1075">
        <f>IMSUM(IMDIV("1",COMPLEX(CX1_ESR,B1075*CX1_ESL-1/(B1075*CX1_C))),IMDIV("1",IMSUM(COMPLEX(DUMP1_R,0),COMPLEX(DUMP1_ESR,B1075*DUMP1_ESL-1/(B1075*DUMP1_C)))))</f>
        <v>0</v>
      </c>
      <c r="I1075">
        <f>IMPRODUCT("2",IMDIV("1",IMSUM(IMDIV("1",COMPLEX(LDM2_DCR,B1075*LDM2_L)),COMPLEX(0,B1075*LDM2_CPA))))</f>
        <v>0</v>
      </c>
      <c r="J1075">
        <f>IMSUM(IMDIV("1",COMPLEX(CX2_ESR,B1075*CX2_ESL-1/(B1075*CX2_C))),IMDIV("1",IMSUM(COMPLEX(DUMP2_R,0),COMPLEX(DUMP2_ESR,B1075*DUMP2_ESL-1/(B1075*DUMP2_C)))))</f>
        <v>0</v>
      </c>
      <c r="K1075">
        <f>IMPRODUCT("2",IMDIV("1",IMSUM(IMDIV("1",COMPLEX(CMC_DCR,B1075*CMC_L*(1-CMC_K))),COMPLEX(0,B1075*CMC_CPA))))</f>
        <v>0</v>
      </c>
      <c r="L1075">
        <f>IMSUM(COMPLEX(0,B1075*CMC_CLINE),IMDIV("1",IMPRODUCT("2",COMPLEX(CY_ESR,B1075*CY_ESL-1/(B1075*CY_C)))),COMPLEX(1/DUMMY_R,0))</f>
        <v>0</v>
      </c>
      <c r="M1075">
        <f>IMSUM(D1075,IMDIV("1",C1075))</f>
        <v>0</v>
      </c>
      <c r="N1075">
        <f>IMDIV("1",IMSUM(E1075,IMDIV("1",M1075)))</f>
        <v>0</v>
      </c>
      <c r="O1075">
        <f>IMSUM(F1075,N1075)</f>
        <v>0</v>
      </c>
      <c r="P1075">
        <f>IMDIV("1",IMSUM(G1075,IMDIV("1",O1075)))</f>
        <v>0</v>
      </c>
      <c r="Q1075">
        <f>IMSUM(H1075,P1075)</f>
        <v>0</v>
      </c>
      <c r="R1075">
        <f>IMDIV("1",IMSUM(I1075,IMDIV("1",Q1075)))</f>
        <v>0</v>
      </c>
      <c r="S1075">
        <f>IMSUM(J1075,R1075)</f>
        <v>0</v>
      </c>
      <c r="T1075">
        <f>IMDIV("1",IMSUM(K1075,IMDIV("1",S1075)))</f>
        <v>0</v>
      </c>
      <c r="U1075">
        <f>IMSUM(L1075,T1075)</f>
        <v>0</v>
      </c>
      <c r="V1075">
        <f>IMDIV(COMPLEX(I_DM_SOURCE,0),U1075)</f>
        <v>0</v>
      </c>
      <c r="W1075">
        <f>IMPRODUCT(V1075,T1075)</f>
        <v>0</v>
      </c>
      <c r="X1075">
        <f>IMDIV(W1075,S1075)</f>
        <v>0</v>
      </c>
      <c r="Y1075">
        <f>IMPRODUCT(X1075,R1075)</f>
        <v>0</v>
      </c>
      <c r="Z1075">
        <f>IMDIV(Y1075,Q1075)</f>
        <v>0</v>
      </c>
      <c r="AA1075">
        <f>IMPRODUCT(Z1075,P1075)</f>
        <v>0</v>
      </c>
      <c r="AB1075">
        <f>AA1075</f>
        <v>0</v>
      </c>
      <c r="AC1075">
        <f>IMPRODUCT("-1",AB1075)</f>
        <v>0</v>
      </c>
      <c r="AD1075">
        <f>IMDIV(IMSUB(AB1075,AC1075),"2")</f>
        <v>0</v>
      </c>
      <c r="AE1075" s="6">
        <f>IMABS(AB1075)</f>
        <v>0</v>
      </c>
      <c r="AF1075" s="6">
        <f>IMABS(AC1075)</f>
        <v>0</v>
      </c>
      <c r="AG1075" s="6">
        <f>IMABS(AD1075)</f>
        <v>0</v>
      </c>
      <c r="AH1075" s="7">
        <f>20*LOG10(MAX(AE1075,1E-300)*1E6)</f>
        <v>0</v>
      </c>
      <c r="AI1075" s="7">
        <f>20*LOG10(MAX(AF1075,1E-300)*1E6)</f>
        <v>0</v>
      </c>
      <c r="AJ1075" s="7">
        <f>20*LOG10(MAX(AG1075,1E-300)*1E6)</f>
        <v>0</v>
      </c>
      <c r="AK1075" s="7">
        <f>DEGREES(IMARGUMENT(AB1075))</f>
        <v>0</v>
      </c>
      <c r="AL1075" s="7">
        <f>DEGREES(IMARGUMENT(AC1075))</f>
        <v>0</v>
      </c>
      <c r="AM1075" s="7">
        <f>DEGREES(IMARGUMENT(AD1075))</f>
        <v>0</v>
      </c>
    </row>
    <row r="1076" spans="1:39">
      <c r="A1076" s="6">
        <f>10^(LOG10(F_START)+(ROW()-ROW($A$2))*(LOG10(F_STOP)-LOG10(F_START))/(N_POINTS-1))</f>
        <v>0</v>
      </c>
      <c r="B1076" s="6">
        <f>2*PI()*A1076</f>
        <v>0</v>
      </c>
      <c r="C1076">
        <f>COMPLEX(2*LINE_PS_DCR,2*B1076*LINE_PS_L)</f>
        <v>0</v>
      </c>
      <c r="D1076">
        <f>IMSUM(COMPLEX(0,B1076*(LINE_PS_CLINE+LINE_PS_CCHA/2)),IMDIV("1",IMPRODUCT("2",COMPLEX(C_THROUGH_ESR,B1076*C_THROUGH_ESL-1/(B1076*C_THROUGH_C)))))</f>
        <v>0</v>
      </c>
      <c r="E1076">
        <f>COMPLEX(2*LINE_INPUT_DCR,2*B1076*LINE_INPUT_L)</f>
        <v>0</v>
      </c>
      <c r="F1076">
        <f>COMPLEX(0,B1076*(LINE_INPUT_CLINE+LINE_INPUT_CCHA/2))</f>
        <v>0</v>
      </c>
      <c r="G1076">
        <f>IMPRODUCT("2",IMDIV("1",IMSUM(IMDIV("1",COMPLEX(LDM1_DCR,B1076*LDM1_L)),COMPLEX(0,B1076*LDM1_CPA))))</f>
        <v>0</v>
      </c>
      <c r="H1076">
        <f>IMSUM(IMDIV("1",COMPLEX(CX1_ESR,B1076*CX1_ESL-1/(B1076*CX1_C))),IMDIV("1",IMSUM(COMPLEX(DUMP1_R,0),COMPLEX(DUMP1_ESR,B1076*DUMP1_ESL-1/(B1076*DUMP1_C)))))</f>
        <v>0</v>
      </c>
      <c r="I1076">
        <f>IMPRODUCT("2",IMDIV("1",IMSUM(IMDIV("1",COMPLEX(LDM2_DCR,B1076*LDM2_L)),COMPLEX(0,B1076*LDM2_CPA))))</f>
        <v>0</v>
      </c>
      <c r="J1076">
        <f>IMSUM(IMDIV("1",COMPLEX(CX2_ESR,B1076*CX2_ESL-1/(B1076*CX2_C))),IMDIV("1",IMSUM(COMPLEX(DUMP2_R,0),COMPLEX(DUMP2_ESR,B1076*DUMP2_ESL-1/(B1076*DUMP2_C)))))</f>
        <v>0</v>
      </c>
      <c r="K1076">
        <f>IMPRODUCT("2",IMDIV("1",IMSUM(IMDIV("1",COMPLEX(CMC_DCR,B1076*CMC_L*(1-CMC_K))),COMPLEX(0,B1076*CMC_CPA))))</f>
        <v>0</v>
      </c>
      <c r="L1076">
        <f>IMSUM(COMPLEX(0,B1076*CMC_CLINE),IMDIV("1",IMPRODUCT("2",COMPLEX(CY_ESR,B1076*CY_ESL-1/(B1076*CY_C)))),COMPLEX(1/DUMMY_R,0))</f>
        <v>0</v>
      </c>
      <c r="M1076">
        <f>IMSUM(D1076,IMDIV("1",C1076))</f>
        <v>0</v>
      </c>
      <c r="N1076">
        <f>IMDIV("1",IMSUM(E1076,IMDIV("1",M1076)))</f>
        <v>0</v>
      </c>
      <c r="O1076">
        <f>IMSUM(F1076,N1076)</f>
        <v>0</v>
      </c>
      <c r="P1076">
        <f>IMDIV("1",IMSUM(G1076,IMDIV("1",O1076)))</f>
        <v>0</v>
      </c>
      <c r="Q1076">
        <f>IMSUM(H1076,P1076)</f>
        <v>0</v>
      </c>
      <c r="R1076">
        <f>IMDIV("1",IMSUM(I1076,IMDIV("1",Q1076)))</f>
        <v>0</v>
      </c>
      <c r="S1076">
        <f>IMSUM(J1076,R1076)</f>
        <v>0</v>
      </c>
      <c r="T1076">
        <f>IMDIV("1",IMSUM(K1076,IMDIV("1",S1076)))</f>
        <v>0</v>
      </c>
      <c r="U1076">
        <f>IMSUM(L1076,T1076)</f>
        <v>0</v>
      </c>
      <c r="V1076">
        <f>IMDIV(COMPLEX(I_DM_SOURCE,0),U1076)</f>
        <v>0</v>
      </c>
      <c r="W1076">
        <f>IMPRODUCT(V1076,T1076)</f>
        <v>0</v>
      </c>
      <c r="X1076">
        <f>IMDIV(W1076,S1076)</f>
        <v>0</v>
      </c>
      <c r="Y1076">
        <f>IMPRODUCT(X1076,R1076)</f>
        <v>0</v>
      </c>
      <c r="Z1076">
        <f>IMDIV(Y1076,Q1076)</f>
        <v>0</v>
      </c>
      <c r="AA1076">
        <f>IMPRODUCT(Z1076,P1076)</f>
        <v>0</v>
      </c>
      <c r="AB1076">
        <f>AA1076</f>
        <v>0</v>
      </c>
      <c r="AC1076">
        <f>IMPRODUCT("-1",AB1076)</f>
        <v>0</v>
      </c>
      <c r="AD1076">
        <f>IMDIV(IMSUB(AB1076,AC1076),"2")</f>
        <v>0</v>
      </c>
      <c r="AE1076" s="6">
        <f>IMABS(AB1076)</f>
        <v>0</v>
      </c>
      <c r="AF1076" s="6">
        <f>IMABS(AC1076)</f>
        <v>0</v>
      </c>
      <c r="AG1076" s="6">
        <f>IMABS(AD1076)</f>
        <v>0</v>
      </c>
      <c r="AH1076" s="7">
        <f>20*LOG10(MAX(AE1076,1E-300)*1E6)</f>
        <v>0</v>
      </c>
      <c r="AI1076" s="7">
        <f>20*LOG10(MAX(AF1076,1E-300)*1E6)</f>
        <v>0</v>
      </c>
      <c r="AJ1076" s="7">
        <f>20*LOG10(MAX(AG1076,1E-300)*1E6)</f>
        <v>0</v>
      </c>
      <c r="AK1076" s="7">
        <f>DEGREES(IMARGUMENT(AB1076))</f>
        <v>0</v>
      </c>
      <c r="AL1076" s="7">
        <f>DEGREES(IMARGUMENT(AC1076))</f>
        <v>0</v>
      </c>
      <c r="AM1076" s="7">
        <f>DEGREES(IMARGUMENT(AD1076))</f>
        <v>0</v>
      </c>
    </row>
    <row r="1077" spans="1:39">
      <c r="A1077" s="6">
        <f>10^(LOG10(F_START)+(ROW()-ROW($A$2))*(LOG10(F_STOP)-LOG10(F_START))/(N_POINTS-1))</f>
        <v>0</v>
      </c>
      <c r="B1077" s="6">
        <f>2*PI()*A1077</f>
        <v>0</v>
      </c>
      <c r="C1077">
        <f>COMPLEX(2*LINE_PS_DCR,2*B1077*LINE_PS_L)</f>
        <v>0</v>
      </c>
      <c r="D1077">
        <f>IMSUM(COMPLEX(0,B1077*(LINE_PS_CLINE+LINE_PS_CCHA/2)),IMDIV("1",IMPRODUCT("2",COMPLEX(C_THROUGH_ESR,B1077*C_THROUGH_ESL-1/(B1077*C_THROUGH_C)))))</f>
        <v>0</v>
      </c>
      <c r="E1077">
        <f>COMPLEX(2*LINE_INPUT_DCR,2*B1077*LINE_INPUT_L)</f>
        <v>0</v>
      </c>
      <c r="F1077">
        <f>COMPLEX(0,B1077*(LINE_INPUT_CLINE+LINE_INPUT_CCHA/2))</f>
        <v>0</v>
      </c>
      <c r="G1077">
        <f>IMPRODUCT("2",IMDIV("1",IMSUM(IMDIV("1",COMPLEX(LDM1_DCR,B1077*LDM1_L)),COMPLEX(0,B1077*LDM1_CPA))))</f>
        <v>0</v>
      </c>
      <c r="H1077">
        <f>IMSUM(IMDIV("1",COMPLEX(CX1_ESR,B1077*CX1_ESL-1/(B1077*CX1_C))),IMDIV("1",IMSUM(COMPLEX(DUMP1_R,0),COMPLEX(DUMP1_ESR,B1077*DUMP1_ESL-1/(B1077*DUMP1_C)))))</f>
        <v>0</v>
      </c>
      <c r="I1077">
        <f>IMPRODUCT("2",IMDIV("1",IMSUM(IMDIV("1",COMPLEX(LDM2_DCR,B1077*LDM2_L)),COMPLEX(0,B1077*LDM2_CPA))))</f>
        <v>0</v>
      </c>
      <c r="J1077">
        <f>IMSUM(IMDIV("1",COMPLEX(CX2_ESR,B1077*CX2_ESL-1/(B1077*CX2_C))),IMDIV("1",IMSUM(COMPLEX(DUMP2_R,0),COMPLEX(DUMP2_ESR,B1077*DUMP2_ESL-1/(B1077*DUMP2_C)))))</f>
        <v>0</v>
      </c>
      <c r="K1077">
        <f>IMPRODUCT("2",IMDIV("1",IMSUM(IMDIV("1",COMPLEX(CMC_DCR,B1077*CMC_L*(1-CMC_K))),COMPLEX(0,B1077*CMC_CPA))))</f>
        <v>0</v>
      </c>
      <c r="L1077">
        <f>IMSUM(COMPLEX(0,B1077*CMC_CLINE),IMDIV("1",IMPRODUCT("2",COMPLEX(CY_ESR,B1077*CY_ESL-1/(B1077*CY_C)))),COMPLEX(1/DUMMY_R,0))</f>
        <v>0</v>
      </c>
      <c r="M1077">
        <f>IMSUM(D1077,IMDIV("1",C1077))</f>
        <v>0</v>
      </c>
      <c r="N1077">
        <f>IMDIV("1",IMSUM(E1077,IMDIV("1",M1077)))</f>
        <v>0</v>
      </c>
      <c r="O1077">
        <f>IMSUM(F1077,N1077)</f>
        <v>0</v>
      </c>
      <c r="P1077">
        <f>IMDIV("1",IMSUM(G1077,IMDIV("1",O1077)))</f>
        <v>0</v>
      </c>
      <c r="Q1077">
        <f>IMSUM(H1077,P1077)</f>
        <v>0</v>
      </c>
      <c r="R1077">
        <f>IMDIV("1",IMSUM(I1077,IMDIV("1",Q1077)))</f>
        <v>0</v>
      </c>
      <c r="S1077">
        <f>IMSUM(J1077,R1077)</f>
        <v>0</v>
      </c>
      <c r="T1077">
        <f>IMDIV("1",IMSUM(K1077,IMDIV("1",S1077)))</f>
        <v>0</v>
      </c>
      <c r="U1077">
        <f>IMSUM(L1077,T1077)</f>
        <v>0</v>
      </c>
      <c r="V1077">
        <f>IMDIV(COMPLEX(I_DM_SOURCE,0),U1077)</f>
        <v>0</v>
      </c>
      <c r="W1077">
        <f>IMPRODUCT(V1077,T1077)</f>
        <v>0</v>
      </c>
      <c r="X1077">
        <f>IMDIV(W1077,S1077)</f>
        <v>0</v>
      </c>
      <c r="Y1077">
        <f>IMPRODUCT(X1077,R1077)</f>
        <v>0</v>
      </c>
      <c r="Z1077">
        <f>IMDIV(Y1077,Q1077)</f>
        <v>0</v>
      </c>
      <c r="AA1077">
        <f>IMPRODUCT(Z1077,P1077)</f>
        <v>0</v>
      </c>
      <c r="AB1077">
        <f>AA1077</f>
        <v>0</v>
      </c>
      <c r="AC1077">
        <f>IMPRODUCT("-1",AB1077)</f>
        <v>0</v>
      </c>
      <c r="AD1077">
        <f>IMDIV(IMSUB(AB1077,AC1077),"2")</f>
        <v>0</v>
      </c>
      <c r="AE1077" s="6">
        <f>IMABS(AB1077)</f>
        <v>0</v>
      </c>
      <c r="AF1077" s="6">
        <f>IMABS(AC1077)</f>
        <v>0</v>
      </c>
      <c r="AG1077" s="6">
        <f>IMABS(AD1077)</f>
        <v>0</v>
      </c>
      <c r="AH1077" s="7">
        <f>20*LOG10(MAX(AE1077,1E-300)*1E6)</f>
        <v>0</v>
      </c>
      <c r="AI1077" s="7">
        <f>20*LOG10(MAX(AF1077,1E-300)*1E6)</f>
        <v>0</v>
      </c>
      <c r="AJ1077" s="7">
        <f>20*LOG10(MAX(AG1077,1E-300)*1E6)</f>
        <v>0</v>
      </c>
      <c r="AK1077" s="7">
        <f>DEGREES(IMARGUMENT(AB1077))</f>
        <v>0</v>
      </c>
      <c r="AL1077" s="7">
        <f>DEGREES(IMARGUMENT(AC1077))</f>
        <v>0</v>
      </c>
      <c r="AM1077" s="7">
        <f>DEGREES(IMARGUMENT(AD1077))</f>
        <v>0</v>
      </c>
    </row>
    <row r="1078" spans="1:39">
      <c r="A1078" s="6">
        <f>10^(LOG10(F_START)+(ROW()-ROW($A$2))*(LOG10(F_STOP)-LOG10(F_START))/(N_POINTS-1))</f>
        <v>0</v>
      </c>
      <c r="B1078" s="6">
        <f>2*PI()*A1078</f>
        <v>0</v>
      </c>
      <c r="C1078">
        <f>COMPLEX(2*LINE_PS_DCR,2*B1078*LINE_PS_L)</f>
        <v>0</v>
      </c>
      <c r="D1078">
        <f>IMSUM(COMPLEX(0,B1078*(LINE_PS_CLINE+LINE_PS_CCHA/2)),IMDIV("1",IMPRODUCT("2",COMPLEX(C_THROUGH_ESR,B1078*C_THROUGH_ESL-1/(B1078*C_THROUGH_C)))))</f>
        <v>0</v>
      </c>
      <c r="E1078">
        <f>COMPLEX(2*LINE_INPUT_DCR,2*B1078*LINE_INPUT_L)</f>
        <v>0</v>
      </c>
      <c r="F1078">
        <f>COMPLEX(0,B1078*(LINE_INPUT_CLINE+LINE_INPUT_CCHA/2))</f>
        <v>0</v>
      </c>
      <c r="G1078">
        <f>IMPRODUCT("2",IMDIV("1",IMSUM(IMDIV("1",COMPLEX(LDM1_DCR,B1078*LDM1_L)),COMPLEX(0,B1078*LDM1_CPA))))</f>
        <v>0</v>
      </c>
      <c r="H1078">
        <f>IMSUM(IMDIV("1",COMPLEX(CX1_ESR,B1078*CX1_ESL-1/(B1078*CX1_C))),IMDIV("1",IMSUM(COMPLEX(DUMP1_R,0),COMPLEX(DUMP1_ESR,B1078*DUMP1_ESL-1/(B1078*DUMP1_C)))))</f>
        <v>0</v>
      </c>
      <c r="I1078">
        <f>IMPRODUCT("2",IMDIV("1",IMSUM(IMDIV("1",COMPLEX(LDM2_DCR,B1078*LDM2_L)),COMPLEX(0,B1078*LDM2_CPA))))</f>
        <v>0</v>
      </c>
      <c r="J1078">
        <f>IMSUM(IMDIV("1",COMPLEX(CX2_ESR,B1078*CX2_ESL-1/(B1078*CX2_C))),IMDIV("1",IMSUM(COMPLEX(DUMP2_R,0),COMPLEX(DUMP2_ESR,B1078*DUMP2_ESL-1/(B1078*DUMP2_C)))))</f>
        <v>0</v>
      </c>
      <c r="K1078">
        <f>IMPRODUCT("2",IMDIV("1",IMSUM(IMDIV("1",COMPLEX(CMC_DCR,B1078*CMC_L*(1-CMC_K))),COMPLEX(0,B1078*CMC_CPA))))</f>
        <v>0</v>
      </c>
      <c r="L1078">
        <f>IMSUM(COMPLEX(0,B1078*CMC_CLINE),IMDIV("1",IMPRODUCT("2",COMPLEX(CY_ESR,B1078*CY_ESL-1/(B1078*CY_C)))),COMPLEX(1/DUMMY_R,0))</f>
        <v>0</v>
      </c>
      <c r="M1078">
        <f>IMSUM(D1078,IMDIV("1",C1078))</f>
        <v>0</v>
      </c>
      <c r="N1078">
        <f>IMDIV("1",IMSUM(E1078,IMDIV("1",M1078)))</f>
        <v>0</v>
      </c>
      <c r="O1078">
        <f>IMSUM(F1078,N1078)</f>
        <v>0</v>
      </c>
      <c r="P1078">
        <f>IMDIV("1",IMSUM(G1078,IMDIV("1",O1078)))</f>
        <v>0</v>
      </c>
      <c r="Q1078">
        <f>IMSUM(H1078,P1078)</f>
        <v>0</v>
      </c>
      <c r="R1078">
        <f>IMDIV("1",IMSUM(I1078,IMDIV("1",Q1078)))</f>
        <v>0</v>
      </c>
      <c r="S1078">
        <f>IMSUM(J1078,R1078)</f>
        <v>0</v>
      </c>
      <c r="T1078">
        <f>IMDIV("1",IMSUM(K1078,IMDIV("1",S1078)))</f>
        <v>0</v>
      </c>
      <c r="U1078">
        <f>IMSUM(L1078,T1078)</f>
        <v>0</v>
      </c>
      <c r="V1078">
        <f>IMDIV(COMPLEX(I_DM_SOURCE,0),U1078)</f>
        <v>0</v>
      </c>
      <c r="W1078">
        <f>IMPRODUCT(V1078,T1078)</f>
        <v>0</v>
      </c>
      <c r="X1078">
        <f>IMDIV(W1078,S1078)</f>
        <v>0</v>
      </c>
      <c r="Y1078">
        <f>IMPRODUCT(X1078,R1078)</f>
        <v>0</v>
      </c>
      <c r="Z1078">
        <f>IMDIV(Y1078,Q1078)</f>
        <v>0</v>
      </c>
      <c r="AA1078">
        <f>IMPRODUCT(Z1078,P1078)</f>
        <v>0</v>
      </c>
      <c r="AB1078">
        <f>AA1078</f>
        <v>0</v>
      </c>
      <c r="AC1078">
        <f>IMPRODUCT("-1",AB1078)</f>
        <v>0</v>
      </c>
      <c r="AD1078">
        <f>IMDIV(IMSUB(AB1078,AC1078),"2")</f>
        <v>0</v>
      </c>
      <c r="AE1078" s="6">
        <f>IMABS(AB1078)</f>
        <v>0</v>
      </c>
      <c r="AF1078" s="6">
        <f>IMABS(AC1078)</f>
        <v>0</v>
      </c>
      <c r="AG1078" s="6">
        <f>IMABS(AD1078)</f>
        <v>0</v>
      </c>
      <c r="AH1078" s="7">
        <f>20*LOG10(MAX(AE1078,1E-300)*1E6)</f>
        <v>0</v>
      </c>
      <c r="AI1078" s="7">
        <f>20*LOG10(MAX(AF1078,1E-300)*1E6)</f>
        <v>0</v>
      </c>
      <c r="AJ1078" s="7">
        <f>20*LOG10(MAX(AG1078,1E-300)*1E6)</f>
        <v>0</v>
      </c>
      <c r="AK1078" s="7">
        <f>DEGREES(IMARGUMENT(AB1078))</f>
        <v>0</v>
      </c>
      <c r="AL1078" s="7">
        <f>DEGREES(IMARGUMENT(AC1078))</f>
        <v>0</v>
      </c>
      <c r="AM1078" s="7">
        <f>DEGREES(IMARGUMENT(AD1078))</f>
        <v>0</v>
      </c>
    </row>
    <row r="1079" spans="1:39">
      <c r="A1079" s="6">
        <f>10^(LOG10(F_START)+(ROW()-ROW($A$2))*(LOG10(F_STOP)-LOG10(F_START))/(N_POINTS-1))</f>
        <v>0</v>
      </c>
      <c r="B1079" s="6">
        <f>2*PI()*A1079</f>
        <v>0</v>
      </c>
      <c r="C1079">
        <f>COMPLEX(2*LINE_PS_DCR,2*B1079*LINE_PS_L)</f>
        <v>0</v>
      </c>
      <c r="D1079">
        <f>IMSUM(COMPLEX(0,B1079*(LINE_PS_CLINE+LINE_PS_CCHA/2)),IMDIV("1",IMPRODUCT("2",COMPLEX(C_THROUGH_ESR,B1079*C_THROUGH_ESL-1/(B1079*C_THROUGH_C)))))</f>
        <v>0</v>
      </c>
      <c r="E1079">
        <f>COMPLEX(2*LINE_INPUT_DCR,2*B1079*LINE_INPUT_L)</f>
        <v>0</v>
      </c>
      <c r="F1079">
        <f>COMPLEX(0,B1079*(LINE_INPUT_CLINE+LINE_INPUT_CCHA/2))</f>
        <v>0</v>
      </c>
      <c r="G1079">
        <f>IMPRODUCT("2",IMDIV("1",IMSUM(IMDIV("1",COMPLEX(LDM1_DCR,B1079*LDM1_L)),COMPLEX(0,B1079*LDM1_CPA))))</f>
        <v>0</v>
      </c>
      <c r="H1079">
        <f>IMSUM(IMDIV("1",COMPLEX(CX1_ESR,B1079*CX1_ESL-1/(B1079*CX1_C))),IMDIV("1",IMSUM(COMPLEX(DUMP1_R,0),COMPLEX(DUMP1_ESR,B1079*DUMP1_ESL-1/(B1079*DUMP1_C)))))</f>
        <v>0</v>
      </c>
      <c r="I1079">
        <f>IMPRODUCT("2",IMDIV("1",IMSUM(IMDIV("1",COMPLEX(LDM2_DCR,B1079*LDM2_L)),COMPLEX(0,B1079*LDM2_CPA))))</f>
        <v>0</v>
      </c>
      <c r="J1079">
        <f>IMSUM(IMDIV("1",COMPLEX(CX2_ESR,B1079*CX2_ESL-1/(B1079*CX2_C))),IMDIV("1",IMSUM(COMPLEX(DUMP2_R,0),COMPLEX(DUMP2_ESR,B1079*DUMP2_ESL-1/(B1079*DUMP2_C)))))</f>
        <v>0</v>
      </c>
      <c r="K1079">
        <f>IMPRODUCT("2",IMDIV("1",IMSUM(IMDIV("1",COMPLEX(CMC_DCR,B1079*CMC_L*(1-CMC_K))),COMPLEX(0,B1079*CMC_CPA))))</f>
        <v>0</v>
      </c>
      <c r="L1079">
        <f>IMSUM(COMPLEX(0,B1079*CMC_CLINE),IMDIV("1",IMPRODUCT("2",COMPLEX(CY_ESR,B1079*CY_ESL-1/(B1079*CY_C)))),COMPLEX(1/DUMMY_R,0))</f>
        <v>0</v>
      </c>
      <c r="M1079">
        <f>IMSUM(D1079,IMDIV("1",C1079))</f>
        <v>0</v>
      </c>
      <c r="N1079">
        <f>IMDIV("1",IMSUM(E1079,IMDIV("1",M1079)))</f>
        <v>0</v>
      </c>
      <c r="O1079">
        <f>IMSUM(F1079,N1079)</f>
        <v>0</v>
      </c>
      <c r="P1079">
        <f>IMDIV("1",IMSUM(G1079,IMDIV("1",O1079)))</f>
        <v>0</v>
      </c>
      <c r="Q1079">
        <f>IMSUM(H1079,P1079)</f>
        <v>0</v>
      </c>
      <c r="R1079">
        <f>IMDIV("1",IMSUM(I1079,IMDIV("1",Q1079)))</f>
        <v>0</v>
      </c>
      <c r="S1079">
        <f>IMSUM(J1079,R1079)</f>
        <v>0</v>
      </c>
      <c r="T1079">
        <f>IMDIV("1",IMSUM(K1079,IMDIV("1",S1079)))</f>
        <v>0</v>
      </c>
      <c r="U1079">
        <f>IMSUM(L1079,T1079)</f>
        <v>0</v>
      </c>
      <c r="V1079">
        <f>IMDIV(COMPLEX(I_DM_SOURCE,0),U1079)</f>
        <v>0</v>
      </c>
      <c r="W1079">
        <f>IMPRODUCT(V1079,T1079)</f>
        <v>0</v>
      </c>
      <c r="X1079">
        <f>IMDIV(W1079,S1079)</f>
        <v>0</v>
      </c>
      <c r="Y1079">
        <f>IMPRODUCT(X1079,R1079)</f>
        <v>0</v>
      </c>
      <c r="Z1079">
        <f>IMDIV(Y1079,Q1079)</f>
        <v>0</v>
      </c>
      <c r="AA1079">
        <f>IMPRODUCT(Z1079,P1079)</f>
        <v>0</v>
      </c>
      <c r="AB1079">
        <f>AA1079</f>
        <v>0</v>
      </c>
      <c r="AC1079">
        <f>IMPRODUCT("-1",AB1079)</f>
        <v>0</v>
      </c>
      <c r="AD1079">
        <f>IMDIV(IMSUB(AB1079,AC1079),"2")</f>
        <v>0</v>
      </c>
      <c r="AE1079" s="6">
        <f>IMABS(AB1079)</f>
        <v>0</v>
      </c>
      <c r="AF1079" s="6">
        <f>IMABS(AC1079)</f>
        <v>0</v>
      </c>
      <c r="AG1079" s="6">
        <f>IMABS(AD1079)</f>
        <v>0</v>
      </c>
      <c r="AH1079" s="7">
        <f>20*LOG10(MAX(AE1079,1E-300)*1E6)</f>
        <v>0</v>
      </c>
      <c r="AI1079" s="7">
        <f>20*LOG10(MAX(AF1079,1E-300)*1E6)</f>
        <v>0</v>
      </c>
      <c r="AJ1079" s="7">
        <f>20*LOG10(MAX(AG1079,1E-300)*1E6)</f>
        <v>0</v>
      </c>
      <c r="AK1079" s="7">
        <f>DEGREES(IMARGUMENT(AB1079))</f>
        <v>0</v>
      </c>
      <c r="AL1079" s="7">
        <f>DEGREES(IMARGUMENT(AC1079))</f>
        <v>0</v>
      </c>
      <c r="AM1079" s="7">
        <f>DEGREES(IMARGUMENT(AD1079))</f>
        <v>0</v>
      </c>
    </row>
    <row r="1080" spans="1:39">
      <c r="A1080" s="6">
        <f>10^(LOG10(F_START)+(ROW()-ROW($A$2))*(LOG10(F_STOP)-LOG10(F_START))/(N_POINTS-1))</f>
        <v>0</v>
      </c>
      <c r="B1080" s="6">
        <f>2*PI()*A1080</f>
        <v>0</v>
      </c>
      <c r="C1080">
        <f>COMPLEX(2*LINE_PS_DCR,2*B1080*LINE_PS_L)</f>
        <v>0</v>
      </c>
      <c r="D1080">
        <f>IMSUM(COMPLEX(0,B1080*(LINE_PS_CLINE+LINE_PS_CCHA/2)),IMDIV("1",IMPRODUCT("2",COMPLEX(C_THROUGH_ESR,B1080*C_THROUGH_ESL-1/(B1080*C_THROUGH_C)))))</f>
        <v>0</v>
      </c>
      <c r="E1080">
        <f>COMPLEX(2*LINE_INPUT_DCR,2*B1080*LINE_INPUT_L)</f>
        <v>0</v>
      </c>
      <c r="F1080">
        <f>COMPLEX(0,B1080*(LINE_INPUT_CLINE+LINE_INPUT_CCHA/2))</f>
        <v>0</v>
      </c>
      <c r="G1080">
        <f>IMPRODUCT("2",IMDIV("1",IMSUM(IMDIV("1",COMPLEX(LDM1_DCR,B1080*LDM1_L)),COMPLEX(0,B1080*LDM1_CPA))))</f>
        <v>0</v>
      </c>
      <c r="H1080">
        <f>IMSUM(IMDIV("1",COMPLEX(CX1_ESR,B1080*CX1_ESL-1/(B1080*CX1_C))),IMDIV("1",IMSUM(COMPLEX(DUMP1_R,0),COMPLEX(DUMP1_ESR,B1080*DUMP1_ESL-1/(B1080*DUMP1_C)))))</f>
        <v>0</v>
      </c>
      <c r="I1080">
        <f>IMPRODUCT("2",IMDIV("1",IMSUM(IMDIV("1",COMPLEX(LDM2_DCR,B1080*LDM2_L)),COMPLEX(0,B1080*LDM2_CPA))))</f>
        <v>0</v>
      </c>
      <c r="J1080">
        <f>IMSUM(IMDIV("1",COMPLEX(CX2_ESR,B1080*CX2_ESL-1/(B1080*CX2_C))),IMDIV("1",IMSUM(COMPLEX(DUMP2_R,0),COMPLEX(DUMP2_ESR,B1080*DUMP2_ESL-1/(B1080*DUMP2_C)))))</f>
        <v>0</v>
      </c>
      <c r="K1080">
        <f>IMPRODUCT("2",IMDIV("1",IMSUM(IMDIV("1",COMPLEX(CMC_DCR,B1080*CMC_L*(1-CMC_K))),COMPLEX(0,B1080*CMC_CPA))))</f>
        <v>0</v>
      </c>
      <c r="L1080">
        <f>IMSUM(COMPLEX(0,B1080*CMC_CLINE),IMDIV("1",IMPRODUCT("2",COMPLEX(CY_ESR,B1080*CY_ESL-1/(B1080*CY_C)))),COMPLEX(1/DUMMY_R,0))</f>
        <v>0</v>
      </c>
      <c r="M1080">
        <f>IMSUM(D1080,IMDIV("1",C1080))</f>
        <v>0</v>
      </c>
      <c r="N1080">
        <f>IMDIV("1",IMSUM(E1080,IMDIV("1",M1080)))</f>
        <v>0</v>
      </c>
      <c r="O1080">
        <f>IMSUM(F1080,N1080)</f>
        <v>0</v>
      </c>
      <c r="P1080">
        <f>IMDIV("1",IMSUM(G1080,IMDIV("1",O1080)))</f>
        <v>0</v>
      </c>
      <c r="Q1080">
        <f>IMSUM(H1080,P1080)</f>
        <v>0</v>
      </c>
      <c r="R1080">
        <f>IMDIV("1",IMSUM(I1080,IMDIV("1",Q1080)))</f>
        <v>0</v>
      </c>
      <c r="S1080">
        <f>IMSUM(J1080,R1080)</f>
        <v>0</v>
      </c>
      <c r="T1080">
        <f>IMDIV("1",IMSUM(K1080,IMDIV("1",S1080)))</f>
        <v>0</v>
      </c>
      <c r="U1080">
        <f>IMSUM(L1080,T1080)</f>
        <v>0</v>
      </c>
      <c r="V1080">
        <f>IMDIV(COMPLEX(I_DM_SOURCE,0),U1080)</f>
        <v>0</v>
      </c>
      <c r="W1080">
        <f>IMPRODUCT(V1080,T1080)</f>
        <v>0</v>
      </c>
      <c r="X1080">
        <f>IMDIV(W1080,S1080)</f>
        <v>0</v>
      </c>
      <c r="Y1080">
        <f>IMPRODUCT(X1080,R1080)</f>
        <v>0</v>
      </c>
      <c r="Z1080">
        <f>IMDIV(Y1080,Q1080)</f>
        <v>0</v>
      </c>
      <c r="AA1080">
        <f>IMPRODUCT(Z1080,P1080)</f>
        <v>0</v>
      </c>
      <c r="AB1080">
        <f>AA1080</f>
        <v>0</v>
      </c>
      <c r="AC1080">
        <f>IMPRODUCT("-1",AB1080)</f>
        <v>0</v>
      </c>
      <c r="AD1080">
        <f>IMDIV(IMSUB(AB1080,AC1080),"2")</f>
        <v>0</v>
      </c>
      <c r="AE1080" s="6">
        <f>IMABS(AB1080)</f>
        <v>0</v>
      </c>
      <c r="AF1080" s="6">
        <f>IMABS(AC1080)</f>
        <v>0</v>
      </c>
      <c r="AG1080" s="6">
        <f>IMABS(AD1080)</f>
        <v>0</v>
      </c>
      <c r="AH1080" s="7">
        <f>20*LOG10(MAX(AE1080,1E-300)*1E6)</f>
        <v>0</v>
      </c>
      <c r="AI1080" s="7">
        <f>20*LOG10(MAX(AF1080,1E-300)*1E6)</f>
        <v>0</v>
      </c>
      <c r="AJ1080" s="7">
        <f>20*LOG10(MAX(AG1080,1E-300)*1E6)</f>
        <v>0</v>
      </c>
      <c r="AK1080" s="7">
        <f>DEGREES(IMARGUMENT(AB1080))</f>
        <v>0</v>
      </c>
      <c r="AL1080" s="7">
        <f>DEGREES(IMARGUMENT(AC1080))</f>
        <v>0</v>
      </c>
      <c r="AM1080" s="7">
        <f>DEGREES(IMARGUMENT(AD1080))</f>
        <v>0</v>
      </c>
    </row>
    <row r="1081" spans="1:39">
      <c r="A1081" s="6">
        <f>10^(LOG10(F_START)+(ROW()-ROW($A$2))*(LOG10(F_STOP)-LOG10(F_START))/(N_POINTS-1))</f>
        <v>0</v>
      </c>
      <c r="B1081" s="6">
        <f>2*PI()*A1081</f>
        <v>0</v>
      </c>
      <c r="C1081">
        <f>COMPLEX(2*LINE_PS_DCR,2*B1081*LINE_PS_L)</f>
        <v>0</v>
      </c>
      <c r="D1081">
        <f>IMSUM(COMPLEX(0,B1081*(LINE_PS_CLINE+LINE_PS_CCHA/2)),IMDIV("1",IMPRODUCT("2",COMPLEX(C_THROUGH_ESR,B1081*C_THROUGH_ESL-1/(B1081*C_THROUGH_C)))))</f>
        <v>0</v>
      </c>
      <c r="E1081">
        <f>COMPLEX(2*LINE_INPUT_DCR,2*B1081*LINE_INPUT_L)</f>
        <v>0</v>
      </c>
      <c r="F1081">
        <f>COMPLEX(0,B1081*(LINE_INPUT_CLINE+LINE_INPUT_CCHA/2))</f>
        <v>0</v>
      </c>
      <c r="G1081">
        <f>IMPRODUCT("2",IMDIV("1",IMSUM(IMDIV("1",COMPLEX(LDM1_DCR,B1081*LDM1_L)),COMPLEX(0,B1081*LDM1_CPA))))</f>
        <v>0</v>
      </c>
      <c r="H1081">
        <f>IMSUM(IMDIV("1",COMPLEX(CX1_ESR,B1081*CX1_ESL-1/(B1081*CX1_C))),IMDIV("1",IMSUM(COMPLEX(DUMP1_R,0),COMPLEX(DUMP1_ESR,B1081*DUMP1_ESL-1/(B1081*DUMP1_C)))))</f>
        <v>0</v>
      </c>
      <c r="I1081">
        <f>IMPRODUCT("2",IMDIV("1",IMSUM(IMDIV("1",COMPLEX(LDM2_DCR,B1081*LDM2_L)),COMPLEX(0,B1081*LDM2_CPA))))</f>
        <v>0</v>
      </c>
      <c r="J1081">
        <f>IMSUM(IMDIV("1",COMPLEX(CX2_ESR,B1081*CX2_ESL-1/(B1081*CX2_C))),IMDIV("1",IMSUM(COMPLEX(DUMP2_R,0),COMPLEX(DUMP2_ESR,B1081*DUMP2_ESL-1/(B1081*DUMP2_C)))))</f>
        <v>0</v>
      </c>
      <c r="K1081">
        <f>IMPRODUCT("2",IMDIV("1",IMSUM(IMDIV("1",COMPLEX(CMC_DCR,B1081*CMC_L*(1-CMC_K))),COMPLEX(0,B1081*CMC_CPA))))</f>
        <v>0</v>
      </c>
      <c r="L1081">
        <f>IMSUM(COMPLEX(0,B1081*CMC_CLINE),IMDIV("1",IMPRODUCT("2",COMPLEX(CY_ESR,B1081*CY_ESL-1/(B1081*CY_C)))),COMPLEX(1/DUMMY_R,0))</f>
        <v>0</v>
      </c>
      <c r="M1081">
        <f>IMSUM(D1081,IMDIV("1",C1081))</f>
        <v>0</v>
      </c>
      <c r="N1081">
        <f>IMDIV("1",IMSUM(E1081,IMDIV("1",M1081)))</f>
        <v>0</v>
      </c>
      <c r="O1081">
        <f>IMSUM(F1081,N1081)</f>
        <v>0</v>
      </c>
      <c r="P1081">
        <f>IMDIV("1",IMSUM(G1081,IMDIV("1",O1081)))</f>
        <v>0</v>
      </c>
      <c r="Q1081">
        <f>IMSUM(H1081,P1081)</f>
        <v>0</v>
      </c>
      <c r="R1081">
        <f>IMDIV("1",IMSUM(I1081,IMDIV("1",Q1081)))</f>
        <v>0</v>
      </c>
      <c r="S1081">
        <f>IMSUM(J1081,R1081)</f>
        <v>0</v>
      </c>
      <c r="T1081">
        <f>IMDIV("1",IMSUM(K1081,IMDIV("1",S1081)))</f>
        <v>0</v>
      </c>
      <c r="U1081">
        <f>IMSUM(L1081,T1081)</f>
        <v>0</v>
      </c>
      <c r="V1081">
        <f>IMDIV(COMPLEX(I_DM_SOURCE,0),U1081)</f>
        <v>0</v>
      </c>
      <c r="W1081">
        <f>IMPRODUCT(V1081,T1081)</f>
        <v>0</v>
      </c>
      <c r="X1081">
        <f>IMDIV(W1081,S1081)</f>
        <v>0</v>
      </c>
      <c r="Y1081">
        <f>IMPRODUCT(X1081,R1081)</f>
        <v>0</v>
      </c>
      <c r="Z1081">
        <f>IMDIV(Y1081,Q1081)</f>
        <v>0</v>
      </c>
      <c r="AA1081">
        <f>IMPRODUCT(Z1081,P1081)</f>
        <v>0</v>
      </c>
      <c r="AB1081">
        <f>AA1081</f>
        <v>0</v>
      </c>
      <c r="AC1081">
        <f>IMPRODUCT("-1",AB1081)</f>
        <v>0</v>
      </c>
      <c r="AD1081">
        <f>IMDIV(IMSUB(AB1081,AC1081),"2")</f>
        <v>0</v>
      </c>
      <c r="AE1081" s="6">
        <f>IMABS(AB1081)</f>
        <v>0</v>
      </c>
      <c r="AF1081" s="6">
        <f>IMABS(AC1081)</f>
        <v>0</v>
      </c>
      <c r="AG1081" s="6">
        <f>IMABS(AD1081)</f>
        <v>0</v>
      </c>
      <c r="AH1081" s="7">
        <f>20*LOG10(MAX(AE1081,1E-300)*1E6)</f>
        <v>0</v>
      </c>
      <c r="AI1081" s="7">
        <f>20*LOG10(MAX(AF1081,1E-300)*1E6)</f>
        <v>0</v>
      </c>
      <c r="AJ1081" s="7">
        <f>20*LOG10(MAX(AG1081,1E-300)*1E6)</f>
        <v>0</v>
      </c>
      <c r="AK1081" s="7">
        <f>DEGREES(IMARGUMENT(AB1081))</f>
        <v>0</v>
      </c>
      <c r="AL1081" s="7">
        <f>DEGREES(IMARGUMENT(AC1081))</f>
        <v>0</v>
      </c>
      <c r="AM1081" s="7">
        <f>DEGREES(IMARGUMENT(AD1081))</f>
        <v>0</v>
      </c>
    </row>
    <row r="1082" spans="1:39">
      <c r="A1082" s="6">
        <f>10^(LOG10(F_START)+(ROW()-ROW($A$2))*(LOG10(F_STOP)-LOG10(F_START))/(N_POINTS-1))</f>
        <v>0</v>
      </c>
      <c r="B1082" s="6">
        <f>2*PI()*A1082</f>
        <v>0</v>
      </c>
      <c r="C1082">
        <f>COMPLEX(2*LINE_PS_DCR,2*B1082*LINE_PS_L)</f>
        <v>0</v>
      </c>
      <c r="D1082">
        <f>IMSUM(COMPLEX(0,B1082*(LINE_PS_CLINE+LINE_PS_CCHA/2)),IMDIV("1",IMPRODUCT("2",COMPLEX(C_THROUGH_ESR,B1082*C_THROUGH_ESL-1/(B1082*C_THROUGH_C)))))</f>
        <v>0</v>
      </c>
      <c r="E1082">
        <f>COMPLEX(2*LINE_INPUT_DCR,2*B1082*LINE_INPUT_L)</f>
        <v>0</v>
      </c>
      <c r="F1082">
        <f>COMPLEX(0,B1082*(LINE_INPUT_CLINE+LINE_INPUT_CCHA/2))</f>
        <v>0</v>
      </c>
      <c r="G1082">
        <f>IMPRODUCT("2",IMDIV("1",IMSUM(IMDIV("1",COMPLEX(LDM1_DCR,B1082*LDM1_L)),COMPLEX(0,B1082*LDM1_CPA))))</f>
        <v>0</v>
      </c>
      <c r="H1082">
        <f>IMSUM(IMDIV("1",COMPLEX(CX1_ESR,B1082*CX1_ESL-1/(B1082*CX1_C))),IMDIV("1",IMSUM(COMPLEX(DUMP1_R,0),COMPLEX(DUMP1_ESR,B1082*DUMP1_ESL-1/(B1082*DUMP1_C)))))</f>
        <v>0</v>
      </c>
      <c r="I1082">
        <f>IMPRODUCT("2",IMDIV("1",IMSUM(IMDIV("1",COMPLEX(LDM2_DCR,B1082*LDM2_L)),COMPLEX(0,B1082*LDM2_CPA))))</f>
        <v>0</v>
      </c>
      <c r="J1082">
        <f>IMSUM(IMDIV("1",COMPLEX(CX2_ESR,B1082*CX2_ESL-1/(B1082*CX2_C))),IMDIV("1",IMSUM(COMPLEX(DUMP2_R,0),COMPLEX(DUMP2_ESR,B1082*DUMP2_ESL-1/(B1082*DUMP2_C)))))</f>
        <v>0</v>
      </c>
      <c r="K1082">
        <f>IMPRODUCT("2",IMDIV("1",IMSUM(IMDIV("1",COMPLEX(CMC_DCR,B1082*CMC_L*(1-CMC_K))),COMPLEX(0,B1082*CMC_CPA))))</f>
        <v>0</v>
      </c>
      <c r="L1082">
        <f>IMSUM(COMPLEX(0,B1082*CMC_CLINE),IMDIV("1",IMPRODUCT("2",COMPLEX(CY_ESR,B1082*CY_ESL-1/(B1082*CY_C)))),COMPLEX(1/DUMMY_R,0))</f>
        <v>0</v>
      </c>
      <c r="M1082">
        <f>IMSUM(D1082,IMDIV("1",C1082))</f>
        <v>0</v>
      </c>
      <c r="N1082">
        <f>IMDIV("1",IMSUM(E1082,IMDIV("1",M1082)))</f>
        <v>0</v>
      </c>
      <c r="O1082">
        <f>IMSUM(F1082,N1082)</f>
        <v>0</v>
      </c>
      <c r="P1082">
        <f>IMDIV("1",IMSUM(G1082,IMDIV("1",O1082)))</f>
        <v>0</v>
      </c>
      <c r="Q1082">
        <f>IMSUM(H1082,P1082)</f>
        <v>0</v>
      </c>
      <c r="R1082">
        <f>IMDIV("1",IMSUM(I1082,IMDIV("1",Q1082)))</f>
        <v>0</v>
      </c>
      <c r="S1082">
        <f>IMSUM(J1082,R1082)</f>
        <v>0</v>
      </c>
      <c r="T1082">
        <f>IMDIV("1",IMSUM(K1082,IMDIV("1",S1082)))</f>
        <v>0</v>
      </c>
      <c r="U1082">
        <f>IMSUM(L1082,T1082)</f>
        <v>0</v>
      </c>
      <c r="V1082">
        <f>IMDIV(COMPLEX(I_DM_SOURCE,0),U1082)</f>
        <v>0</v>
      </c>
      <c r="W1082">
        <f>IMPRODUCT(V1082,T1082)</f>
        <v>0</v>
      </c>
      <c r="X1082">
        <f>IMDIV(W1082,S1082)</f>
        <v>0</v>
      </c>
      <c r="Y1082">
        <f>IMPRODUCT(X1082,R1082)</f>
        <v>0</v>
      </c>
      <c r="Z1082">
        <f>IMDIV(Y1082,Q1082)</f>
        <v>0</v>
      </c>
      <c r="AA1082">
        <f>IMPRODUCT(Z1082,P1082)</f>
        <v>0</v>
      </c>
      <c r="AB1082">
        <f>AA1082</f>
        <v>0</v>
      </c>
      <c r="AC1082">
        <f>IMPRODUCT("-1",AB1082)</f>
        <v>0</v>
      </c>
      <c r="AD1082">
        <f>IMDIV(IMSUB(AB1082,AC1082),"2")</f>
        <v>0</v>
      </c>
      <c r="AE1082" s="6">
        <f>IMABS(AB1082)</f>
        <v>0</v>
      </c>
      <c r="AF1082" s="6">
        <f>IMABS(AC1082)</f>
        <v>0</v>
      </c>
      <c r="AG1082" s="6">
        <f>IMABS(AD1082)</f>
        <v>0</v>
      </c>
      <c r="AH1082" s="7">
        <f>20*LOG10(MAX(AE1082,1E-300)*1E6)</f>
        <v>0</v>
      </c>
      <c r="AI1082" s="7">
        <f>20*LOG10(MAX(AF1082,1E-300)*1E6)</f>
        <v>0</v>
      </c>
      <c r="AJ1082" s="7">
        <f>20*LOG10(MAX(AG1082,1E-300)*1E6)</f>
        <v>0</v>
      </c>
      <c r="AK1082" s="7">
        <f>DEGREES(IMARGUMENT(AB1082))</f>
        <v>0</v>
      </c>
      <c r="AL1082" s="7">
        <f>DEGREES(IMARGUMENT(AC1082))</f>
        <v>0</v>
      </c>
      <c r="AM1082" s="7">
        <f>DEGREES(IMARGUMENT(AD1082))</f>
        <v>0</v>
      </c>
    </row>
    <row r="1083" spans="1:39">
      <c r="A1083" s="6">
        <f>10^(LOG10(F_START)+(ROW()-ROW($A$2))*(LOG10(F_STOP)-LOG10(F_START))/(N_POINTS-1))</f>
        <v>0</v>
      </c>
      <c r="B1083" s="6">
        <f>2*PI()*A1083</f>
        <v>0</v>
      </c>
      <c r="C1083">
        <f>COMPLEX(2*LINE_PS_DCR,2*B1083*LINE_PS_L)</f>
        <v>0</v>
      </c>
      <c r="D1083">
        <f>IMSUM(COMPLEX(0,B1083*(LINE_PS_CLINE+LINE_PS_CCHA/2)),IMDIV("1",IMPRODUCT("2",COMPLEX(C_THROUGH_ESR,B1083*C_THROUGH_ESL-1/(B1083*C_THROUGH_C)))))</f>
        <v>0</v>
      </c>
      <c r="E1083">
        <f>COMPLEX(2*LINE_INPUT_DCR,2*B1083*LINE_INPUT_L)</f>
        <v>0</v>
      </c>
      <c r="F1083">
        <f>COMPLEX(0,B1083*(LINE_INPUT_CLINE+LINE_INPUT_CCHA/2))</f>
        <v>0</v>
      </c>
      <c r="G1083">
        <f>IMPRODUCT("2",IMDIV("1",IMSUM(IMDIV("1",COMPLEX(LDM1_DCR,B1083*LDM1_L)),COMPLEX(0,B1083*LDM1_CPA))))</f>
        <v>0</v>
      </c>
      <c r="H1083">
        <f>IMSUM(IMDIV("1",COMPLEX(CX1_ESR,B1083*CX1_ESL-1/(B1083*CX1_C))),IMDIV("1",IMSUM(COMPLEX(DUMP1_R,0),COMPLEX(DUMP1_ESR,B1083*DUMP1_ESL-1/(B1083*DUMP1_C)))))</f>
        <v>0</v>
      </c>
      <c r="I1083">
        <f>IMPRODUCT("2",IMDIV("1",IMSUM(IMDIV("1",COMPLEX(LDM2_DCR,B1083*LDM2_L)),COMPLEX(0,B1083*LDM2_CPA))))</f>
        <v>0</v>
      </c>
      <c r="J1083">
        <f>IMSUM(IMDIV("1",COMPLEX(CX2_ESR,B1083*CX2_ESL-1/(B1083*CX2_C))),IMDIV("1",IMSUM(COMPLEX(DUMP2_R,0),COMPLEX(DUMP2_ESR,B1083*DUMP2_ESL-1/(B1083*DUMP2_C)))))</f>
        <v>0</v>
      </c>
      <c r="K1083">
        <f>IMPRODUCT("2",IMDIV("1",IMSUM(IMDIV("1",COMPLEX(CMC_DCR,B1083*CMC_L*(1-CMC_K))),COMPLEX(0,B1083*CMC_CPA))))</f>
        <v>0</v>
      </c>
      <c r="L1083">
        <f>IMSUM(COMPLEX(0,B1083*CMC_CLINE),IMDIV("1",IMPRODUCT("2",COMPLEX(CY_ESR,B1083*CY_ESL-1/(B1083*CY_C)))),COMPLEX(1/DUMMY_R,0))</f>
        <v>0</v>
      </c>
      <c r="M1083">
        <f>IMSUM(D1083,IMDIV("1",C1083))</f>
        <v>0</v>
      </c>
      <c r="N1083">
        <f>IMDIV("1",IMSUM(E1083,IMDIV("1",M1083)))</f>
        <v>0</v>
      </c>
      <c r="O1083">
        <f>IMSUM(F1083,N1083)</f>
        <v>0</v>
      </c>
      <c r="P1083">
        <f>IMDIV("1",IMSUM(G1083,IMDIV("1",O1083)))</f>
        <v>0</v>
      </c>
      <c r="Q1083">
        <f>IMSUM(H1083,P1083)</f>
        <v>0</v>
      </c>
      <c r="R1083">
        <f>IMDIV("1",IMSUM(I1083,IMDIV("1",Q1083)))</f>
        <v>0</v>
      </c>
      <c r="S1083">
        <f>IMSUM(J1083,R1083)</f>
        <v>0</v>
      </c>
      <c r="T1083">
        <f>IMDIV("1",IMSUM(K1083,IMDIV("1",S1083)))</f>
        <v>0</v>
      </c>
      <c r="U1083">
        <f>IMSUM(L1083,T1083)</f>
        <v>0</v>
      </c>
      <c r="V1083">
        <f>IMDIV(COMPLEX(I_DM_SOURCE,0),U1083)</f>
        <v>0</v>
      </c>
      <c r="W1083">
        <f>IMPRODUCT(V1083,T1083)</f>
        <v>0</v>
      </c>
      <c r="X1083">
        <f>IMDIV(W1083,S1083)</f>
        <v>0</v>
      </c>
      <c r="Y1083">
        <f>IMPRODUCT(X1083,R1083)</f>
        <v>0</v>
      </c>
      <c r="Z1083">
        <f>IMDIV(Y1083,Q1083)</f>
        <v>0</v>
      </c>
      <c r="AA1083">
        <f>IMPRODUCT(Z1083,P1083)</f>
        <v>0</v>
      </c>
      <c r="AB1083">
        <f>AA1083</f>
        <v>0</v>
      </c>
      <c r="AC1083">
        <f>IMPRODUCT("-1",AB1083)</f>
        <v>0</v>
      </c>
      <c r="AD1083">
        <f>IMDIV(IMSUB(AB1083,AC1083),"2")</f>
        <v>0</v>
      </c>
      <c r="AE1083" s="6">
        <f>IMABS(AB1083)</f>
        <v>0</v>
      </c>
      <c r="AF1083" s="6">
        <f>IMABS(AC1083)</f>
        <v>0</v>
      </c>
      <c r="AG1083" s="6">
        <f>IMABS(AD1083)</f>
        <v>0</v>
      </c>
      <c r="AH1083" s="7">
        <f>20*LOG10(MAX(AE1083,1E-300)*1E6)</f>
        <v>0</v>
      </c>
      <c r="AI1083" s="7">
        <f>20*LOG10(MAX(AF1083,1E-300)*1E6)</f>
        <v>0</v>
      </c>
      <c r="AJ1083" s="7">
        <f>20*LOG10(MAX(AG1083,1E-300)*1E6)</f>
        <v>0</v>
      </c>
      <c r="AK1083" s="7">
        <f>DEGREES(IMARGUMENT(AB1083))</f>
        <v>0</v>
      </c>
      <c r="AL1083" s="7">
        <f>DEGREES(IMARGUMENT(AC1083))</f>
        <v>0</v>
      </c>
      <c r="AM1083" s="7">
        <f>DEGREES(IMARGUMENT(AD1083))</f>
        <v>0</v>
      </c>
    </row>
    <row r="1084" spans="1:39">
      <c r="A1084" s="6">
        <f>10^(LOG10(F_START)+(ROW()-ROW($A$2))*(LOG10(F_STOP)-LOG10(F_START))/(N_POINTS-1))</f>
        <v>0</v>
      </c>
      <c r="B1084" s="6">
        <f>2*PI()*A1084</f>
        <v>0</v>
      </c>
      <c r="C1084">
        <f>COMPLEX(2*LINE_PS_DCR,2*B1084*LINE_PS_L)</f>
        <v>0</v>
      </c>
      <c r="D1084">
        <f>IMSUM(COMPLEX(0,B1084*(LINE_PS_CLINE+LINE_PS_CCHA/2)),IMDIV("1",IMPRODUCT("2",COMPLEX(C_THROUGH_ESR,B1084*C_THROUGH_ESL-1/(B1084*C_THROUGH_C)))))</f>
        <v>0</v>
      </c>
      <c r="E1084">
        <f>COMPLEX(2*LINE_INPUT_DCR,2*B1084*LINE_INPUT_L)</f>
        <v>0</v>
      </c>
      <c r="F1084">
        <f>COMPLEX(0,B1084*(LINE_INPUT_CLINE+LINE_INPUT_CCHA/2))</f>
        <v>0</v>
      </c>
      <c r="G1084">
        <f>IMPRODUCT("2",IMDIV("1",IMSUM(IMDIV("1",COMPLEX(LDM1_DCR,B1084*LDM1_L)),COMPLEX(0,B1084*LDM1_CPA))))</f>
        <v>0</v>
      </c>
      <c r="H1084">
        <f>IMSUM(IMDIV("1",COMPLEX(CX1_ESR,B1084*CX1_ESL-1/(B1084*CX1_C))),IMDIV("1",IMSUM(COMPLEX(DUMP1_R,0),COMPLEX(DUMP1_ESR,B1084*DUMP1_ESL-1/(B1084*DUMP1_C)))))</f>
        <v>0</v>
      </c>
      <c r="I1084">
        <f>IMPRODUCT("2",IMDIV("1",IMSUM(IMDIV("1",COMPLEX(LDM2_DCR,B1084*LDM2_L)),COMPLEX(0,B1084*LDM2_CPA))))</f>
        <v>0</v>
      </c>
      <c r="J1084">
        <f>IMSUM(IMDIV("1",COMPLEX(CX2_ESR,B1084*CX2_ESL-1/(B1084*CX2_C))),IMDIV("1",IMSUM(COMPLEX(DUMP2_R,0),COMPLEX(DUMP2_ESR,B1084*DUMP2_ESL-1/(B1084*DUMP2_C)))))</f>
        <v>0</v>
      </c>
      <c r="K1084">
        <f>IMPRODUCT("2",IMDIV("1",IMSUM(IMDIV("1",COMPLEX(CMC_DCR,B1084*CMC_L*(1-CMC_K))),COMPLEX(0,B1084*CMC_CPA))))</f>
        <v>0</v>
      </c>
      <c r="L1084">
        <f>IMSUM(COMPLEX(0,B1084*CMC_CLINE),IMDIV("1",IMPRODUCT("2",COMPLEX(CY_ESR,B1084*CY_ESL-1/(B1084*CY_C)))),COMPLEX(1/DUMMY_R,0))</f>
        <v>0</v>
      </c>
      <c r="M1084">
        <f>IMSUM(D1084,IMDIV("1",C1084))</f>
        <v>0</v>
      </c>
      <c r="N1084">
        <f>IMDIV("1",IMSUM(E1084,IMDIV("1",M1084)))</f>
        <v>0</v>
      </c>
      <c r="O1084">
        <f>IMSUM(F1084,N1084)</f>
        <v>0</v>
      </c>
      <c r="P1084">
        <f>IMDIV("1",IMSUM(G1084,IMDIV("1",O1084)))</f>
        <v>0</v>
      </c>
      <c r="Q1084">
        <f>IMSUM(H1084,P1084)</f>
        <v>0</v>
      </c>
      <c r="R1084">
        <f>IMDIV("1",IMSUM(I1084,IMDIV("1",Q1084)))</f>
        <v>0</v>
      </c>
      <c r="S1084">
        <f>IMSUM(J1084,R1084)</f>
        <v>0</v>
      </c>
      <c r="T1084">
        <f>IMDIV("1",IMSUM(K1084,IMDIV("1",S1084)))</f>
        <v>0</v>
      </c>
      <c r="U1084">
        <f>IMSUM(L1084,T1084)</f>
        <v>0</v>
      </c>
      <c r="V1084">
        <f>IMDIV(COMPLEX(I_DM_SOURCE,0),U1084)</f>
        <v>0</v>
      </c>
      <c r="W1084">
        <f>IMPRODUCT(V1084,T1084)</f>
        <v>0</v>
      </c>
      <c r="X1084">
        <f>IMDIV(W1084,S1084)</f>
        <v>0</v>
      </c>
      <c r="Y1084">
        <f>IMPRODUCT(X1084,R1084)</f>
        <v>0</v>
      </c>
      <c r="Z1084">
        <f>IMDIV(Y1084,Q1084)</f>
        <v>0</v>
      </c>
      <c r="AA1084">
        <f>IMPRODUCT(Z1084,P1084)</f>
        <v>0</v>
      </c>
      <c r="AB1084">
        <f>AA1084</f>
        <v>0</v>
      </c>
      <c r="AC1084">
        <f>IMPRODUCT("-1",AB1084)</f>
        <v>0</v>
      </c>
      <c r="AD1084">
        <f>IMDIV(IMSUB(AB1084,AC1084),"2")</f>
        <v>0</v>
      </c>
      <c r="AE1084" s="6">
        <f>IMABS(AB1084)</f>
        <v>0</v>
      </c>
      <c r="AF1084" s="6">
        <f>IMABS(AC1084)</f>
        <v>0</v>
      </c>
      <c r="AG1084" s="6">
        <f>IMABS(AD1084)</f>
        <v>0</v>
      </c>
      <c r="AH1084" s="7">
        <f>20*LOG10(MAX(AE1084,1E-300)*1E6)</f>
        <v>0</v>
      </c>
      <c r="AI1084" s="7">
        <f>20*LOG10(MAX(AF1084,1E-300)*1E6)</f>
        <v>0</v>
      </c>
      <c r="AJ1084" s="7">
        <f>20*LOG10(MAX(AG1084,1E-300)*1E6)</f>
        <v>0</v>
      </c>
      <c r="AK1084" s="7">
        <f>DEGREES(IMARGUMENT(AB1084))</f>
        <v>0</v>
      </c>
      <c r="AL1084" s="7">
        <f>DEGREES(IMARGUMENT(AC1084))</f>
        <v>0</v>
      </c>
      <c r="AM1084" s="7">
        <f>DEGREES(IMARGUMENT(AD1084))</f>
        <v>0</v>
      </c>
    </row>
    <row r="1085" spans="1:39">
      <c r="A1085" s="6">
        <f>10^(LOG10(F_START)+(ROW()-ROW($A$2))*(LOG10(F_STOP)-LOG10(F_START))/(N_POINTS-1))</f>
        <v>0</v>
      </c>
      <c r="B1085" s="6">
        <f>2*PI()*A1085</f>
        <v>0</v>
      </c>
      <c r="C1085">
        <f>COMPLEX(2*LINE_PS_DCR,2*B1085*LINE_PS_L)</f>
        <v>0</v>
      </c>
      <c r="D1085">
        <f>IMSUM(COMPLEX(0,B1085*(LINE_PS_CLINE+LINE_PS_CCHA/2)),IMDIV("1",IMPRODUCT("2",COMPLEX(C_THROUGH_ESR,B1085*C_THROUGH_ESL-1/(B1085*C_THROUGH_C)))))</f>
        <v>0</v>
      </c>
      <c r="E1085">
        <f>COMPLEX(2*LINE_INPUT_DCR,2*B1085*LINE_INPUT_L)</f>
        <v>0</v>
      </c>
      <c r="F1085">
        <f>COMPLEX(0,B1085*(LINE_INPUT_CLINE+LINE_INPUT_CCHA/2))</f>
        <v>0</v>
      </c>
      <c r="G1085">
        <f>IMPRODUCT("2",IMDIV("1",IMSUM(IMDIV("1",COMPLEX(LDM1_DCR,B1085*LDM1_L)),COMPLEX(0,B1085*LDM1_CPA))))</f>
        <v>0</v>
      </c>
      <c r="H1085">
        <f>IMSUM(IMDIV("1",COMPLEX(CX1_ESR,B1085*CX1_ESL-1/(B1085*CX1_C))),IMDIV("1",IMSUM(COMPLEX(DUMP1_R,0),COMPLEX(DUMP1_ESR,B1085*DUMP1_ESL-1/(B1085*DUMP1_C)))))</f>
        <v>0</v>
      </c>
      <c r="I1085">
        <f>IMPRODUCT("2",IMDIV("1",IMSUM(IMDIV("1",COMPLEX(LDM2_DCR,B1085*LDM2_L)),COMPLEX(0,B1085*LDM2_CPA))))</f>
        <v>0</v>
      </c>
      <c r="J1085">
        <f>IMSUM(IMDIV("1",COMPLEX(CX2_ESR,B1085*CX2_ESL-1/(B1085*CX2_C))),IMDIV("1",IMSUM(COMPLEX(DUMP2_R,0),COMPLEX(DUMP2_ESR,B1085*DUMP2_ESL-1/(B1085*DUMP2_C)))))</f>
        <v>0</v>
      </c>
      <c r="K1085">
        <f>IMPRODUCT("2",IMDIV("1",IMSUM(IMDIV("1",COMPLEX(CMC_DCR,B1085*CMC_L*(1-CMC_K))),COMPLEX(0,B1085*CMC_CPA))))</f>
        <v>0</v>
      </c>
      <c r="L1085">
        <f>IMSUM(COMPLEX(0,B1085*CMC_CLINE),IMDIV("1",IMPRODUCT("2",COMPLEX(CY_ESR,B1085*CY_ESL-1/(B1085*CY_C)))),COMPLEX(1/DUMMY_R,0))</f>
        <v>0</v>
      </c>
      <c r="M1085">
        <f>IMSUM(D1085,IMDIV("1",C1085))</f>
        <v>0</v>
      </c>
      <c r="N1085">
        <f>IMDIV("1",IMSUM(E1085,IMDIV("1",M1085)))</f>
        <v>0</v>
      </c>
      <c r="O1085">
        <f>IMSUM(F1085,N1085)</f>
        <v>0</v>
      </c>
      <c r="P1085">
        <f>IMDIV("1",IMSUM(G1085,IMDIV("1",O1085)))</f>
        <v>0</v>
      </c>
      <c r="Q1085">
        <f>IMSUM(H1085,P1085)</f>
        <v>0</v>
      </c>
      <c r="R1085">
        <f>IMDIV("1",IMSUM(I1085,IMDIV("1",Q1085)))</f>
        <v>0</v>
      </c>
      <c r="S1085">
        <f>IMSUM(J1085,R1085)</f>
        <v>0</v>
      </c>
      <c r="T1085">
        <f>IMDIV("1",IMSUM(K1085,IMDIV("1",S1085)))</f>
        <v>0</v>
      </c>
      <c r="U1085">
        <f>IMSUM(L1085,T1085)</f>
        <v>0</v>
      </c>
      <c r="V1085">
        <f>IMDIV(COMPLEX(I_DM_SOURCE,0),U1085)</f>
        <v>0</v>
      </c>
      <c r="W1085">
        <f>IMPRODUCT(V1085,T1085)</f>
        <v>0</v>
      </c>
      <c r="X1085">
        <f>IMDIV(W1085,S1085)</f>
        <v>0</v>
      </c>
      <c r="Y1085">
        <f>IMPRODUCT(X1085,R1085)</f>
        <v>0</v>
      </c>
      <c r="Z1085">
        <f>IMDIV(Y1085,Q1085)</f>
        <v>0</v>
      </c>
      <c r="AA1085">
        <f>IMPRODUCT(Z1085,P1085)</f>
        <v>0</v>
      </c>
      <c r="AB1085">
        <f>AA1085</f>
        <v>0</v>
      </c>
      <c r="AC1085">
        <f>IMPRODUCT("-1",AB1085)</f>
        <v>0</v>
      </c>
      <c r="AD1085">
        <f>IMDIV(IMSUB(AB1085,AC1085),"2")</f>
        <v>0</v>
      </c>
      <c r="AE1085" s="6">
        <f>IMABS(AB1085)</f>
        <v>0</v>
      </c>
      <c r="AF1085" s="6">
        <f>IMABS(AC1085)</f>
        <v>0</v>
      </c>
      <c r="AG1085" s="6">
        <f>IMABS(AD1085)</f>
        <v>0</v>
      </c>
      <c r="AH1085" s="7">
        <f>20*LOG10(MAX(AE1085,1E-300)*1E6)</f>
        <v>0</v>
      </c>
      <c r="AI1085" s="7">
        <f>20*LOG10(MAX(AF1085,1E-300)*1E6)</f>
        <v>0</v>
      </c>
      <c r="AJ1085" s="7">
        <f>20*LOG10(MAX(AG1085,1E-300)*1E6)</f>
        <v>0</v>
      </c>
      <c r="AK1085" s="7">
        <f>DEGREES(IMARGUMENT(AB1085))</f>
        <v>0</v>
      </c>
      <c r="AL1085" s="7">
        <f>DEGREES(IMARGUMENT(AC1085))</f>
        <v>0</v>
      </c>
      <c r="AM1085" s="7">
        <f>DEGREES(IMARGUMENT(AD1085))</f>
        <v>0</v>
      </c>
    </row>
    <row r="1086" spans="1:39">
      <c r="A1086" s="6">
        <f>10^(LOG10(F_START)+(ROW()-ROW($A$2))*(LOG10(F_STOP)-LOG10(F_START))/(N_POINTS-1))</f>
        <v>0</v>
      </c>
      <c r="B1086" s="6">
        <f>2*PI()*A1086</f>
        <v>0</v>
      </c>
      <c r="C1086">
        <f>COMPLEX(2*LINE_PS_DCR,2*B1086*LINE_PS_L)</f>
        <v>0</v>
      </c>
      <c r="D1086">
        <f>IMSUM(COMPLEX(0,B1086*(LINE_PS_CLINE+LINE_PS_CCHA/2)),IMDIV("1",IMPRODUCT("2",COMPLEX(C_THROUGH_ESR,B1086*C_THROUGH_ESL-1/(B1086*C_THROUGH_C)))))</f>
        <v>0</v>
      </c>
      <c r="E1086">
        <f>COMPLEX(2*LINE_INPUT_DCR,2*B1086*LINE_INPUT_L)</f>
        <v>0</v>
      </c>
      <c r="F1086">
        <f>COMPLEX(0,B1086*(LINE_INPUT_CLINE+LINE_INPUT_CCHA/2))</f>
        <v>0</v>
      </c>
      <c r="G1086">
        <f>IMPRODUCT("2",IMDIV("1",IMSUM(IMDIV("1",COMPLEX(LDM1_DCR,B1086*LDM1_L)),COMPLEX(0,B1086*LDM1_CPA))))</f>
        <v>0</v>
      </c>
      <c r="H1086">
        <f>IMSUM(IMDIV("1",COMPLEX(CX1_ESR,B1086*CX1_ESL-1/(B1086*CX1_C))),IMDIV("1",IMSUM(COMPLEX(DUMP1_R,0),COMPLEX(DUMP1_ESR,B1086*DUMP1_ESL-1/(B1086*DUMP1_C)))))</f>
        <v>0</v>
      </c>
      <c r="I1086">
        <f>IMPRODUCT("2",IMDIV("1",IMSUM(IMDIV("1",COMPLEX(LDM2_DCR,B1086*LDM2_L)),COMPLEX(0,B1086*LDM2_CPA))))</f>
        <v>0</v>
      </c>
      <c r="J1086">
        <f>IMSUM(IMDIV("1",COMPLEX(CX2_ESR,B1086*CX2_ESL-1/(B1086*CX2_C))),IMDIV("1",IMSUM(COMPLEX(DUMP2_R,0),COMPLEX(DUMP2_ESR,B1086*DUMP2_ESL-1/(B1086*DUMP2_C)))))</f>
        <v>0</v>
      </c>
      <c r="K1086">
        <f>IMPRODUCT("2",IMDIV("1",IMSUM(IMDIV("1",COMPLEX(CMC_DCR,B1086*CMC_L*(1-CMC_K))),COMPLEX(0,B1086*CMC_CPA))))</f>
        <v>0</v>
      </c>
      <c r="L1086">
        <f>IMSUM(COMPLEX(0,B1086*CMC_CLINE),IMDIV("1",IMPRODUCT("2",COMPLEX(CY_ESR,B1086*CY_ESL-1/(B1086*CY_C)))),COMPLEX(1/DUMMY_R,0))</f>
        <v>0</v>
      </c>
      <c r="M1086">
        <f>IMSUM(D1086,IMDIV("1",C1086))</f>
        <v>0</v>
      </c>
      <c r="N1086">
        <f>IMDIV("1",IMSUM(E1086,IMDIV("1",M1086)))</f>
        <v>0</v>
      </c>
      <c r="O1086">
        <f>IMSUM(F1086,N1086)</f>
        <v>0</v>
      </c>
      <c r="P1086">
        <f>IMDIV("1",IMSUM(G1086,IMDIV("1",O1086)))</f>
        <v>0</v>
      </c>
      <c r="Q1086">
        <f>IMSUM(H1086,P1086)</f>
        <v>0</v>
      </c>
      <c r="R1086">
        <f>IMDIV("1",IMSUM(I1086,IMDIV("1",Q1086)))</f>
        <v>0</v>
      </c>
      <c r="S1086">
        <f>IMSUM(J1086,R1086)</f>
        <v>0</v>
      </c>
      <c r="T1086">
        <f>IMDIV("1",IMSUM(K1086,IMDIV("1",S1086)))</f>
        <v>0</v>
      </c>
      <c r="U1086">
        <f>IMSUM(L1086,T1086)</f>
        <v>0</v>
      </c>
      <c r="V1086">
        <f>IMDIV(COMPLEX(I_DM_SOURCE,0),U1086)</f>
        <v>0</v>
      </c>
      <c r="W1086">
        <f>IMPRODUCT(V1086,T1086)</f>
        <v>0</v>
      </c>
      <c r="X1086">
        <f>IMDIV(W1086,S1086)</f>
        <v>0</v>
      </c>
      <c r="Y1086">
        <f>IMPRODUCT(X1086,R1086)</f>
        <v>0</v>
      </c>
      <c r="Z1086">
        <f>IMDIV(Y1086,Q1086)</f>
        <v>0</v>
      </c>
      <c r="AA1086">
        <f>IMPRODUCT(Z1086,P1086)</f>
        <v>0</v>
      </c>
      <c r="AB1086">
        <f>AA1086</f>
        <v>0</v>
      </c>
      <c r="AC1086">
        <f>IMPRODUCT("-1",AB1086)</f>
        <v>0</v>
      </c>
      <c r="AD1086">
        <f>IMDIV(IMSUB(AB1086,AC1086),"2")</f>
        <v>0</v>
      </c>
      <c r="AE1086" s="6">
        <f>IMABS(AB1086)</f>
        <v>0</v>
      </c>
      <c r="AF1086" s="6">
        <f>IMABS(AC1086)</f>
        <v>0</v>
      </c>
      <c r="AG1086" s="6">
        <f>IMABS(AD1086)</f>
        <v>0</v>
      </c>
      <c r="AH1086" s="7">
        <f>20*LOG10(MAX(AE1086,1E-300)*1E6)</f>
        <v>0</v>
      </c>
      <c r="AI1086" s="7">
        <f>20*LOG10(MAX(AF1086,1E-300)*1E6)</f>
        <v>0</v>
      </c>
      <c r="AJ1086" s="7">
        <f>20*LOG10(MAX(AG1086,1E-300)*1E6)</f>
        <v>0</v>
      </c>
      <c r="AK1086" s="7">
        <f>DEGREES(IMARGUMENT(AB1086))</f>
        <v>0</v>
      </c>
      <c r="AL1086" s="7">
        <f>DEGREES(IMARGUMENT(AC1086))</f>
        <v>0</v>
      </c>
      <c r="AM1086" s="7">
        <f>DEGREES(IMARGUMENT(AD1086))</f>
        <v>0</v>
      </c>
    </row>
    <row r="1087" spans="1:39">
      <c r="A1087" s="6">
        <f>10^(LOG10(F_START)+(ROW()-ROW($A$2))*(LOG10(F_STOP)-LOG10(F_START))/(N_POINTS-1))</f>
        <v>0</v>
      </c>
      <c r="B1087" s="6">
        <f>2*PI()*A1087</f>
        <v>0</v>
      </c>
      <c r="C1087">
        <f>COMPLEX(2*LINE_PS_DCR,2*B1087*LINE_PS_L)</f>
        <v>0</v>
      </c>
      <c r="D1087">
        <f>IMSUM(COMPLEX(0,B1087*(LINE_PS_CLINE+LINE_PS_CCHA/2)),IMDIV("1",IMPRODUCT("2",COMPLEX(C_THROUGH_ESR,B1087*C_THROUGH_ESL-1/(B1087*C_THROUGH_C)))))</f>
        <v>0</v>
      </c>
      <c r="E1087">
        <f>COMPLEX(2*LINE_INPUT_DCR,2*B1087*LINE_INPUT_L)</f>
        <v>0</v>
      </c>
      <c r="F1087">
        <f>COMPLEX(0,B1087*(LINE_INPUT_CLINE+LINE_INPUT_CCHA/2))</f>
        <v>0</v>
      </c>
      <c r="G1087">
        <f>IMPRODUCT("2",IMDIV("1",IMSUM(IMDIV("1",COMPLEX(LDM1_DCR,B1087*LDM1_L)),COMPLEX(0,B1087*LDM1_CPA))))</f>
        <v>0</v>
      </c>
      <c r="H1087">
        <f>IMSUM(IMDIV("1",COMPLEX(CX1_ESR,B1087*CX1_ESL-1/(B1087*CX1_C))),IMDIV("1",IMSUM(COMPLEX(DUMP1_R,0),COMPLEX(DUMP1_ESR,B1087*DUMP1_ESL-1/(B1087*DUMP1_C)))))</f>
        <v>0</v>
      </c>
      <c r="I1087">
        <f>IMPRODUCT("2",IMDIV("1",IMSUM(IMDIV("1",COMPLEX(LDM2_DCR,B1087*LDM2_L)),COMPLEX(0,B1087*LDM2_CPA))))</f>
        <v>0</v>
      </c>
      <c r="J1087">
        <f>IMSUM(IMDIV("1",COMPLEX(CX2_ESR,B1087*CX2_ESL-1/(B1087*CX2_C))),IMDIV("1",IMSUM(COMPLEX(DUMP2_R,0),COMPLEX(DUMP2_ESR,B1087*DUMP2_ESL-1/(B1087*DUMP2_C)))))</f>
        <v>0</v>
      </c>
      <c r="K1087">
        <f>IMPRODUCT("2",IMDIV("1",IMSUM(IMDIV("1",COMPLEX(CMC_DCR,B1087*CMC_L*(1-CMC_K))),COMPLEX(0,B1087*CMC_CPA))))</f>
        <v>0</v>
      </c>
      <c r="L1087">
        <f>IMSUM(COMPLEX(0,B1087*CMC_CLINE),IMDIV("1",IMPRODUCT("2",COMPLEX(CY_ESR,B1087*CY_ESL-1/(B1087*CY_C)))),COMPLEX(1/DUMMY_R,0))</f>
        <v>0</v>
      </c>
      <c r="M1087">
        <f>IMSUM(D1087,IMDIV("1",C1087))</f>
        <v>0</v>
      </c>
      <c r="N1087">
        <f>IMDIV("1",IMSUM(E1087,IMDIV("1",M1087)))</f>
        <v>0</v>
      </c>
      <c r="O1087">
        <f>IMSUM(F1087,N1087)</f>
        <v>0</v>
      </c>
      <c r="P1087">
        <f>IMDIV("1",IMSUM(G1087,IMDIV("1",O1087)))</f>
        <v>0</v>
      </c>
      <c r="Q1087">
        <f>IMSUM(H1087,P1087)</f>
        <v>0</v>
      </c>
      <c r="R1087">
        <f>IMDIV("1",IMSUM(I1087,IMDIV("1",Q1087)))</f>
        <v>0</v>
      </c>
      <c r="S1087">
        <f>IMSUM(J1087,R1087)</f>
        <v>0</v>
      </c>
      <c r="T1087">
        <f>IMDIV("1",IMSUM(K1087,IMDIV("1",S1087)))</f>
        <v>0</v>
      </c>
      <c r="U1087">
        <f>IMSUM(L1087,T1087)</f>
        <v>0</v>
      </c>
      <c r="V1087">
        <f>IMDIV(COMPLEX(I_DM_SOURCE,0),U1087)</f>
        <v>0</v>
      </c>
      <c r="W1087">
        <f>IMPRODUCT(V1087,T1087)</f>
        <v>0</v>
      </c>
      <c r="X1087">
        <f>IMDIV(W1087,S1087)</f>
        <v>0</v>
      </c>
      <c r="Y1087">
        <f>IMPRODUCT(X1087,R1087)</f>
        <v>0</v>
      </c>
      <c r="Z1087">
        <f>IMDIV(Y1087,Q1087)</f>
        <v>0</v>
      </c>
      <c r="AA1087">
        <f>IMPRODUCT(Z1087,P1087)</f>
        <v>0</v>
      </c>
      <c r="AB1087">
        <f>AA1087</f>
        <v>0</v>
      </c>
      <c r="AC1087">
        <f>IMPRODUCT("-1",AB1087)</f>
        <v>0</v>
      </c>
      <c r="AD1087">
        <f>IMDIV(IMSUB(AB1087,AC1087),"2")</f>
        <v>0</v>
      </c>
      <c r="AE1087" s="6">
        <f>IMABS(AB1087)</f>
        <v>0</v>
      </c>
      <c r="AF1087" s="6">
        <f>IMABS(AC1087)</f>
        <v>0</v>
      </c>
      <c r="AG1087" s="6">
        <f>IMABS(AD1087)</f>
        <v>0</v>
      </c>
      <c r="AH1087" s="7">
        <f>20*LOG10(MAX(AE1087,1E-300)*1E6)</f>
        <v>0</v>
      </c>
      <c r="AI1087" s="7">
        <f>20*LOG10(MAX(AF1087,1E-300)*1E6)</f>
        <v>0</v>
      </c>
      <c r="AJ1087" s="7">
        <f>20*LOG10(MAX(AG1087,1E-300)*1E6)</f>
        <v>0</v>
      </c>
      <c r="AK1087" s="7">
        <f>DEGREES(IMARGUMENT(AB1087))</f>
        <v>0</v>
      </c>
      <c r="AL1087" s="7">
        <f>DEGREES(IMARGUMENT(AC1087))</f>
        <v>0</v>
      </c>
      <c r="AM1087" s="7">
        <f>DEGREES(IMARGUMENT(AD1087))</f>
        <v>0</v>
      </c>
    </row>
    <row r="1088" spans="1:39">
      <c r="A1088" s="6">
        <f>10^(LOG10(F_START)+(ROW()-ROW($A$2))*(LOG10(F_STOP)-LOG10(F_START))/(N_POINTS-1))</f>
        <v>0</v>
      </c>
      <c r="B1088" s="6">
        <f>2*PI()*A1088</f>
        <v>0</v>
      </c>
      <c r="C1088">
        <f>COMPLEX(2*LINE_PS_DCR,2*B1088*LINE_PS_L)</f>
        <v>0</v>
      </c>
      <c r="D1088">
        <f>IMSUM(COMPLEX(0,B1088*(LINE_PS_CLINE+LINE_PS_CCHA/2)),IMDIV("1",IMPRODUCT("2",COMPLEX(C_THROUGH_ESR,B1088*C_THROUGH_ESL-1/(B1088*C_THROUGH_C)))))</f>
        <v>0</v>
      </c>
      <c r="E1088">
        <f>COMPLEX(2*LINE_INPUT_DCR,2*B1088*LINE_INPUT_L)</f>
        <v>0</v>
      </c>
      <c r="F1088">
        <f>COMPLEX(0,B1088*(LINE_INPUT_CLINE+LINE_INPUT_CCHA/2))</f>
        <v>0</v>
      </c>
      <c r="G1088">
        <f>IMPRODUCT("2",IMDIV("1",IMSUM(IMDIV("1",COMPLEX(LDM1_DCR,B1088*LDM1_L)),COMPLEX(0,B1088*LDM1_CPA))))</f>
        <v>0</v>
      </c>
      <c r="H1088">
        <f>IMSUM(IMDIV("1",COMPLEX(CX1_ESR,B1088*CX1_ESL-1/(B1088*CX1_C))),IMDIV("1",IMSUM(COMPLEX(DUMP1_R,0),COMPLEX(DUMP1_ESR,B1088*DUMP1_ESL-1/(B1088*DUMP1_C)))))</f>
        <v>0</v>
      </c>
      <c r="I1088">
        <f>IMPRODUCT("2",IMDIV("1",IMSUM(IMDIV("1",COMPLEX(LDM2_DCR,B1088*LDM2_L)),COMPLEX(0,B1088*LDM2_CPA))))</f>
        <v>0</v>
      </c>
      <c r="J1088">
        <f>IMSUM(IMDIV("1",COMPLEX(CX2_ESR,B1088*CX2_ESL-1/(B1088*CX2_C))),IMDIV("1",IMSUM(COMPLEX(DUMP2_R,0),COMPLEX(DUMP2_ESR,B1088*DUMP2_ESL-1/(B1088*DUMP2_C)))))</f>
        <v>0</v>
      </c>
      <c r="K1088">
        <f>IMPRODUCT("2",IMDIV("1",IMSUM(IMDIV("1",COMPLEX(CMC_DCR,B1088*CMC_L*(1-CMC_K))),COMPLEX(0,B1088*CMC_CPA))))</f>
        <v>0</v>
      </c>
      <c r="L1088">
        <f>IMSUM(COMPLEX(0,B1088*CMC_CLINE),IMDIV("1",IMPRODUCT("2",COMPLEX(CY_ESR,B1088*CY_ESL-1/(B1088*CY_C)))),COMPLEX(1/DUMMY_R,0))</f>
        <v>0</v>
      </c>
      <c r="M1088">
        <f>IMSUM(D1088,IMDIV("1",C1088))</f>
        <v>0</v>
      </c>
      <c r="N1088">
        <f>IMDIV("1",IMSUM(E1088,IMDIV("1",M1088)))</f>
        <v>0</v>
      </c>
      <c r="O1088">
        <f>IMSUM(F1088,N1088)</f>
        <v>0</v>
      </c>
      <c r="P1088">
        <f>IMDIV("1",IMSUM(G1088,IMDIV("1",O1088)))</f>
        <v>0</v>
      </c>
      <c r="Q1088">
        <f>IMSUM(H1088,P1088)</f>
        <v>0</v>
      </c>
      <c r="R1088">
        <f>IMDIV("1",IMSUM(I1088,IMDIV("1",Q1088)))</f>
        <v>0</v>
      </c>
      <c r="S1088">
        <f>IMSUM(J1088,R1088)</f>
        <v>0</v>
      </c>
      <c r="T1088">
        <f>IMDIV("1",IMSUM(K1088,IMDIV("1",S1088)))</f>
        <v>0</v>
      </c>
      <c r="U1088">
        <f>IMSUM(L1088,T1088)</f>
        <v>0</v>
      </c>
      <c r="V1088">
        <f>IMDIV(COMPLEX(I_DM_SOURCE,0),U1088)</f>
        <v>0</v>
      </c>
      <c r="W1088">
        <f>IMPRODUCT(V1088,T1088)</f>
        <v>0</v>
      </c>
      <c r="X1088">
        <f>IMDIV(W1088,S1088)</f>
        <v>0</v>
      </c>
      <c r="Y1088">
        <f>IMPRODUCT(X1088,R1088)</f>
        <v>0</v>
      </c>
      <c r="Z1088">
        <f>IMDIV(Y1088,Q1088)</f>
        <v>0</v>
      </c>
      <c r="AA1088">
        <f>IMPRODUCT(Z1088,P1088)</f>
        <v>0</v>
      </c>
      <c r="AB1088">
        <f>AA1088</f>
        <v>0</v>
      </c>
      <c r="AC1088">
        <f>IMPRODUCT("-1",AB1088)</f>
        <v>0</v>
      </c>
      <c r="AD1088">
        <f>IMDIV(IMSUB(AB1088,AC1088),"2")</f>
        <v>0</v>
      </c>
      <c r="AE1088" s="6">
        <f>IMABS(AB1088)</f>
        <v>0</v>
      </c>
      <c r="AF1088" s="6">
        <f>IMABS(AC1088)</f>
        <v>0</v>
      </c>
      <c r="AG1088" s="6">
        <f>IMABS(AD1088)</f>
        <v>0</v>
      </c>
      <c r="AH1088" s="7">
        <f>20*LOG10(MAX(AE1088,1E-300)*1E6)</f>
        <v>0</v>
      </c>
      <c r="AI1088" s="7">
        <f>20*LOG10(MAX(AF1088,1E-300)*1E6)</f>
        <v>0</v>
      </c>
      <c r="AJ1088" s="7">
        <f>20*LOG10(MAX(AG1088,1E-300)*1E6)</f>
        <v>0</v>
      </c>
      <c r="AK1088" s="7">
        <f>DEGREES(IMARGUMENT(AB1088))</f>
        <v>0</v>
      </c>
      <c r="AL1088" s="7">
        <f>DEGREES(IMARGUMENT(AC1088))</f>
        <v>0</v>
      </c>
      <c r="AM1088" s="7">
        <f>DEGREES(IMARGUMENT(AD1088))</f>
        <v>0</v>
      </c>
    </row>
    <row r="1089" spans="1:39">
      <c r="A1089" s="6">
        <f>10^(LOG10(F_START)+(ROW()-ROW($A$2))*(LOG10(F_STOP)-LOG10(F_START))/(N_POINTS-1))</f>
        <v>0</v>
      </c>
      <c r="B1089" s="6">
        <f>2*PI()*A1089</f>
        <v>0</v>
      </c>
      <c r="C1089">
        <f>COMPLEX(2*LINE_PS_DCR,2*B1089*LINE_PS_L)</f>
        <v>0</v>
      </c>
      <c r="D1089">
        <f>IMSUM(COMPLEX(0,B1089*(LINE_PS_CLINE+LINE_PS_CCHA/2)),IMDIV("1",IMPRODUCT("2",COMPLEX(C_THROUGH_ESR,B1089*C_THROUGH_ESL-1/(B1089*C_THROUGH_C)))))</f>
        <v>0</v>
      </c>
      <c r="E1089">
        <f>COMPLEX(2*LINE_INPUT_DCR,2*B1089*LINE_INPUT_L)</f>
        <v>0</v>
      </c>
      <c r="F1089">
        <f>COMPLEX(0,B1089*(LINE_INPUT_CLINE+LINE_INPUT_CCHA/2))</f>
        <v>0</v>
      </c>
      <c r="G1089">
        <f>IMPRODUCT("2",IMDIV("1",IMSUM(IMDIV("1",COMPLEX(LDM1_DCR,B1089*LDM1_L)),COMPLEX(0,B1089*LDM1_CPA))))</f>
        <v>0</v>
      </c>
      <c r="H1089">
        <f>IMSUM(IMDIV("1",COMPLEX(CX1_ESR,B1089*CX1_ESL-1/(B1089*CX1_C))),IMDIV("1",IMSUM(COMPLEX(DUMP1_R,0),COMPLEX(DUMP1_ESR,B1089*DUMP1_ESL-1/(B1089*DUMP1_C)))))</f>
        <v>0</v>
      </c>
      <c r="I1089">
        <f>IMPRODUCT("2",IMDIV("1",IMSUM(IMDIV("1",COMPLEX(LDM2_DCR,B1089*LDM2_L)),COMPLEX(0,B1089*LDM2_CPA))))</f>
        <v>0</v>
      </c>
      <c r="J1089">
        <f>IMSUM(IMDIV("1",COMPLEX(CX2_ESR,B1089*CX2_ESL-1/(B1089*CX2_C))),IMDIV("1",IMSUM(COMPLEX(DUMP2_R,0),COMPLEX(DUMP2_ESR,B1089*DUMP2_ESL-1/(B1089*DUMP2_C)))))</f>
        <v>0</v>
      </c>
      <c r="K1089">
        <f>IMPRODUCT("2",IMDIV("1",IMSUM(IMDIV("1",COMPLEX(CMC_DCR,B1089*CMC_L*(1-CMC_K))),COMPLEX(0,B1089*CMC_CPA))))</f>
        <v>0</v>
      </c>
      <c r="L1089">
        <f>IMSUM(COMPLEX(0,B1089*CMC_CLINE),IMDIV("1",IMPRODUCT("2",COMPLEX(CY_ESR,B1089*CY_ESL-1/(B1089*CY_C)))),COMPLEX(1/DUMMY_R,0))</f>
        <v>0</v>
      </c>
      <c r="M1089">
        <f>IMSUM(D1089,IMDIV("1",C1089))</f>
        <v>0</v>
      </c>
      <c r="N1089">
        <f>IMDIV("1",IMSUM(E1089,IMDIV("1",M1089)))</f>
        <v>0</v>
      </c>
      <c r="O1089">
        <f>IMSUM(F1089,N1089)</f>
        <v>0</v>
      </c>
      <c r="P1089">
        <f>IMDIV("1",IMSUM(G1089,IMDIV("1",O1089)))</f>
        <v>0</v>
      </c>
      <c r="Q1089">
        <f>IMSUM(H1089,P1089)</f>
        <v>0</v>
      </c>
      <c r="R1089">
        <f>IMDIV("1",IMSUM(I1089,IMDIV("1",Q1089)))</f>
        <v>0</v>
      </c>
      <c r="S1089">
        <f>IMSUM(J1089,R1089)</f>
        <v>0</v>
      </c>
      <c r="T1089">
        <f>IMDIV("1",IMSUM(K1089,IMDIV("1",S1089)))</f>
        <v>0</v>
      </c>
      <c r="U1089">
        <f>IMSUM(L1089,T1089)</f>
        <v>0</v>
      </c>
      <c r="V1089">
        <f>IMDIV(COMPLEX(I_DM_SOURCE,0),U1089)</f>
        <v>0</v>
      </c>
      <c r="W1089">
        <f>IMPRODUCT(V1089,T1089)</f>
        <v>0</v>
      </c>
      <c r="X1089">
        <f>IMDIV(W1089,S1089)</f>
        <v>0</v>
      </c>
      <c r="Y1089">
        <f>IMPRODUCT(X1089,R1089)</f>
        <v>0</v>
      </c>
      <c r="Z1089">
        <f>IMDIV(Y1089,Q1089)</f>
        <v>0</v>
      </c>
      <c r="AA1089">
        <f>IMPRODUCT(Z1089,P1089)</f>
        <v>0</v>
      </c>
      <c r="AB1089">
        <f>AA1089</f>
        <v>0</v>
      </c>
      <c r="AC1089">
        <f>IMPRODUCT("-1",AB1089)</f>
        <v>0</v>
      </c>
      <c r="AD1089">
        <f>IMDIV(IMSUB(AB1089,AC1089),"2")</f>
        <v>0</v>
      </c>
      <c r="AE1089" s="6">
        <f>IMABS(AB1089)</f>
        <v>0</v>
      </c>
      <c r="AF1089" s="6">
        <f>IMABS(AC1089)</f>
        <v>0</v>
      </c>
      <c r="AG1089" s="6">
        <f>IMABS(AD1089)</f>
        <v>0</v>
      </c>
      <c r="AH1089" s="7">
        <f>20*LOG10(MAX(AE1089,1E-300)*1E6)</f>
        <v>0</v>
      </c>
      <c r="AI1089" s="7">
        <f>20*LOG10(MAX(AF1089,1E-300)*1E6)</f>
        <v>0</v>
      </c>
      <c r="AJ1089" s="7">
        <f>20*LOG10(MAX(AG1089,1E-300)*1E6)</f>
        <v>0</v>
      </c>
      <c r="AK1089" s="7">
        <f>DEGREES(IMARGUMENT(AB1089))</f>
        <v>0</v>
      </c>
      <c r="AL1089" s="7">
        <f>DEGREES(IMARGUMENT(AC1089))</f>
        <v>0</v>
      </c>
      <c r="AM1089" s="7">
        <f>DEGREES(IMARGUMENT(AD1089))</f>
        <v>0</v>
      </c>
    </row>
    <row r="1090" spans="1:39">
      <c r="A1090" s="6">
        <f>10^(LOG10(F_START)+(ROW()-ROW($A$2))*(LOG10(F_STOP)-LOG10(F_START))/(N_POINTS-1))</f>
        <v>0</v>
      </c>
      <c r="B1090" s="6">
        <f>2*PI()*A1090</f>
        <v>0</v>
      </c>
      <c r="C1090">
        <f>COMPLEX(2*LINE_PS_DCR,2*B1090*LINE_PS_L)</f>
        <v>0</v>
      </c>
      <c r="D1090">
        <f>IMSUM(COMPLEX(0,B1090*(LINE_PS_CLINE+LINE_PS_CCHA/2)),IMDIV("1",IMPRODUCT("2",COMPLEX(C_THROUGH_ESR,B1090*C_THROUGH_ESL-1/(B1090*C_THROUGH_C)))))</f>
        <v>0</v>
      </c>
      <c r="E1090">
        <f>COMPLEX(2*LINE_INPUT_DCR,2*B1090*LINE_INPUT_L)</f>
        <v>0</v>
      </c>
      <c r="F1090">
        <f>COMPLEX(0,B1090*(LINE_INPUT_CLINE+LINE_INPUT_CCHA/2))</f>
        <v>0</v>
      </c>
      <c r="G1090">
        <f>IMPRODUCT("2",IMDIV("1",IMSUM(IMDIV("1",COMPLEX(LDM1_DCR,B1090*LDM1_L)),COMPLEX(0,B1090*LDM1_CPA))))</f>
        <v>0</v>
      </c>
      <c r="H1090">
        <f>IMSUM(IMDIV("1",COMPLEX(CX1_ESR,B1090*CX1_ESL-1/(B1090*CX1_C))),IMDIV("1",IMSUM(COMPLEX(DUMP1_R,0),COMPLEX(DUMP1_ESR,B1090*DUMP1_ESL-1/(B1090*DUMP1_C)))))</f>
        <v>0</v>
      </c>
      <c r="I1090">
        <f>IMPRODUCT("2",IMDIV("1",IMSUM(IMDIV("1",COMPLEX(LDM2_DCR,B1090*LDM2_L)),COMPLEX(0,B1090*LDM2_CPA))))</f>
        <v>0</v>
      </c>
      <c r="J1090">
        <f>IMSUM(IMDIV("1",COMPLEX(CX2_ESR,B1090*CX2_ESL-1/(B1090*CX2_C))),IMDIV("1",IMSUM(COMPLEX(DUMP2_R,0),COMPLEX(DUMP2_ESR,B1090*DUMP2_ESL-1/(B1090*DUMP2_C)))))</f>
        <v>0</v>
      </c>
      <c r="K1090">
        <f>IMPRODUCT("2",IMDIV("1",IMSUM(IMDIV("1",COMPLEX(CMC_DCR,B1090*CMC_L*(1-CMC_K))),COMPLEX(0,B1090*CMC_CPA))))</f>
        <v>0</v>
      </c>
      <c r="L1090">
        <f>IMSUM(COMPLEX(0,B1090*CMC_CLINE),IMDIV("1",IMPRODUCT("2",COMPLEX(CY_ESR,B1090*CY_ESL-1/(B1090*CY_C)))),COMPLEX(1/DUMMY_R,0))</f>
        <v>0</v>
      </c>
      <c r="M1090">
        <f>IMSUM(D1090,IMDIV("1",C1090))</f>
        <v>0</v>
      </c>
      <c r="N1090">
        <f>IMDIV("1",IMSUM(E1090,IMDIV("1",M1090)))</f>
        <v>0</v>
      </c>
      <c r="O1090">
        <f>IMSUM(F1090,N1090)</f>
        <v>0</v>
      </c>
      <c r="P1090">
        <f>IMDIV("1",IMSUM(G1090,IMDIV("1",O1090)))</f>
        <v>0</v>
      </c>
      <c r="Q1090">
        <f>IMSUM(H1090,P1090)</f>
        <v>0</v>
      </c>
      <c r="R1090">
        <f>IMDIV("1",IMSUM(I1090,IMDIV("1",Q1090)))</f>
        <v>0</v>
      </c>
      <c r="S1090">
        <f>IMSUM(J1090,R1090)</f>
        <v>0</v>
      </c>
      <c r="T1090">
        <f>IMDIV("1",IMSUM(K1090,IMDIV("1",S1090)))</f>
        <v>0</v>
      </c>
      <c r="U1090">
        <f>IMSUM(L1090,T1090)</f>
        <v>0</v>
      </c>
      <c r="V1090">
        <f>IMDIV(COMPLEX(I_DM_SOURCE,0),U1090)</f>
        <v>0</v>
      </c>
      <c r="W1090">
        <f>IMPRODUCT(V1090,T1090)</f>
        <v>0</v>
      </c>
      <c r="X1090">
        <f>IMDIV(W1090,S1090)</f>
        <v>0</v>
      </c>
      <c r="Y1090">
        <f>IMPRODUCT(X1090,R1090)</f>
        <v>0</v>
      </c>
      <c r="Z1090">
        <f>IMDIV(Y1090,Q1090)</f>
        <v>0</v>
      </c>
      <c r="AA1090">
        <f>IMPRODUCT(Z1090,P1090)</f>
        <v>0</v>
      </c>
      <c r="AB1090">
        <f>AA1090</f>
        <v>0</v>
      </c>
      <c r="AC1090">
        <f>IMPRODUCT("-1",AB1090)</f>
        <v>0</v>
      </c>
      <c r="AD1090">
        <f>IMDIV(IMSUB(AB1090,AC1090),"2")</f>
        <v>0</v>
      </c>
      <c r="AE1090" s="6">
        <f>IMABS(AB1090)</f>
        <v>0</v>
      </c>
      <c r="AF1090" s="6">
        <f>IMABS(AC1090)</f>
        <v>0</v>
      </c>
      <c r="AG1090" s="6">
        <f>IMABS(AD1090)</f>
        <v>0</v>
      </c>
      <c r="AH1090" s="7">
        <f>20*LOG10(MAX(AE1090,1E-300)*1E6)</f>
        <v>0</v>
      </c>
      <c r="AI1090" s="7">
        <f>20*LOG10(MAX(AF1090,1E-300)*1E6)</f>
        <v>0</v>
      </c>
      <c r="AJ1090" s="7">
        <f>20*LOG10(MAX(AG1090,1E-300)*1E6)</f>
        <v>0</v>
      </c>
      <c r="AK1090" s="7">
        <f>DEGREES(IMARGUMENT(AB1090))</f>
        <v>0</v>
      </c>
      <c r="AL1090" s="7">
        <f>DEGREES(IMARGUMENT(AC1090))</f>
        <v>0</v>
      </c>
      <c r="AM1090" s="7">
        <f>DEGREES(IMARGUMENT(AD1090))</f>
        <v>0</v>
      </c>
    </row>
    <row r="1091" spans="1:39">
      <c r="A1091" s="6">
        <f>10^(LOG10(F_START)+(ROW()-ROW($A$2))*(LOG10(F_STOP)-LOG10(F_START))/(N_POINTS-1))</f>
        <v>0</v>
      </c>
      <c r="B1091" s="6">
        <f>2*PI()*A1091</f>
        <v>0</v>
      </c>
      <c r="C1091">
        <f>COMPLEX(2*LINE_PS_DCR,2*B1091*LINE_PS_L)</f>
        <v>0</v>
      </c>
      <c r="D1091">
        <f>IMSUM(COMPLEX(0,B1091*(LINE_PS_CLINE+LINE_PS_CCHA/2)),IMDIV("1",IMPRODUCT("2",COMPLEX(C_THROUGH_ESR,B1091*C_THROUGH_ESL-1/(B1091*C_THROUGH_C)))))</f>
        <v>0</v>
      </c>
      <c r="E1091">
        <f>COMPLEX(2*LINE_INPUT_DCR,2*B1091*LINE_INPUT_L)</f>
        <v>0</v>
      </c>
      <c r="F1091">
        <f>COMPLEX(0,B1091*(LINE_INPUT_CLINE+LINE_INPUT_CCHA/2))</f>
        <v>0</v>
      </c>
      <c r="G1091">
        <f>IMPRODUCT("2",IMDIV("1",IMSUM(IMDIV("1",COMPLEX(LDM1_DCR,B1091*LDM1_L)),COMPLEX(0,B1091*LDM1_CPA))))</f>
        <v>0</v>
      </c>
      <c r="H1091">
        <f>IMSUM(IMDIV("1",COMPLEX(CX1_ESR,B1091*CX1_ESL-1/(B1091*CX1_C))),IMDIV("1",IMSUM(COMPLEX(DUMP1_R,0),COMPLEX(DUMP1_ESR,B1091*DUMP1_ESL-1/(B1091*DUMP1_C)))))</f>
        <v>0</v>
      </c>
      <c r="I1091">
        <f>IMPRODUCT("2",IMDIV("1",IMSUM(IMDIV("1",COMPLEX(LDM2_DCR,B1091*LDM2_L)),COMPLEX(0,B1091*LDM2_CPA))))</f>
        <v>0</v>
      </c>
      <c r="J1091">
        <f>IMSUM(IMDIV("1",COMPLEX(CX2_ESR,B1091*CX2_ESL-1/(B1091*CX2_C))),IMDIV("1",IMSUM(COMPLEX(DUMP2_R,0),COMPLEX(DUMP2_ESR,B1091*DUMP2_ESL-1/(B1091*DUMP2_C)))))</f>
        <v>0</v>
      </c>
      <c r="K1091">
        <f>IMPRODUCT("2",IMDIV("1",IMSUM(IMDIV("1",COMPLEX(CMC_DCR,B1091*CMC_L*(1-CMC_K))),COMPLEX(0,B1091*CMC_CPA))))</f>
        <v>0</v>
      </c>
      <c r="L1091">
        <f>IMSUM(COMPLEX(0,B1091*CMC_CLINE),IMDIV("1",IMPRODUCT("2",COMPLEX(CY_ESR,B1091*CY_ESL-1/(B1091*CY_C)))),COMPLEX(1/DUMMY_R,0))</f>
        <v>0</v>
      </c>
      <c r="M1091">
        <f>IMSUM(D1091,IMDIV("1",C1091))</f>
        <v>0</v>
      </c>
      <c r="N1091">
        <f>IMDIV("1",IMSUM(E1091,IMDIV("1",M1091)))</f>
        <v>0</v>
      </c>
      <c r="O1091">
        <f>IMSUM(F1091,N1091)</f>
        <v>0</v>
      </c>
      <c r="P1091">
        <f>IMDIV("1",IMSUM(G1091,IMDIV("1",O1091)))</f>
        <v>0</v>
      </c>
      <c r="Q1091">
        <f>IMSUM(H1091,P1091)</f>
        <v>0</v>
      </c>
      <c r="R1091">
        <f>IMDIV("1",IMSUM(I1091,IMDIV("1",Q1091)))</f>
        <v>0</v>
      </c>
      <c r="S1091">
        <f>IMSUM(J1091,R1091)</f>
        <v>0</v>
      </c>
      <c r="T1091">
        <f>IMDIV("1",IMSUM(K1091,IMDIV("1",S1091)))</f>
        <v>0</v>
      </c>
      <c r="U1091">
        <f>IMSUM(L1091,T1091)</f>
        <v>0</v>
      </c>
      <c r="V1091">
        <f>IMDIV(COMPLEX(I_DM_SOURCE,0),U1091)</f>
        <v>0</v>
      </c>
      <c r="W1091">
        <f>IMPRODUCT(V1091,T1091)</f>
        <v>0</v>
      </c>
      <c r="X1091">
        <f>IMDIV(W1091,S1091)</f>
        <v>0</v>
      </c>
      <c r="Y1091">
        <f>IMPRODUCT(X1091,R1091)</f>
        <v>0</v>
      </c>
      <c r="Z1091">
        <f>IMDIV(Y1091,Q1091)</f>
        <v>0</v>
      </c>
      <c r="AA1091">
        <f>IMPRODUCT(Z1091,P1091)</f>
        <v>0</v>
      </c>
      <c r="AB1091">
        <f>AA1091</f>
        <v>0</v>
      </c>
      <c r="AC1091">
        <f>IMPRODUCT("-1",AB1091)</f>
        <v>0</v>
      </c>
      <c r="AD1091">
        <f>IMDIV(IMSUB(AB1091,AC1091),"2")</f>
        <v>0</v>
      </c>
      <c r="AE1091" s="6">
        <f>IMABS(AB1091)</f>
        <v>0</v>
      </c>
      <c r="AF1091" s="6">
        <f>IMABS(AC1091)</f>
        <v>0</v>
      </c>
      <c r="AG1091" s="6">
        <f>IMABS(AD1091)</f>
        <v>0</v>
      </c>
      <c r="AH1091" s="7">
        <f>20*LOG10(MAX(AE1091,1E-300)*1E6)</f>
        <v>0</v>
      </c>
      <c r="AI1091" s="7">
        <f>20*LOG10(MAX(AF1091,1E-300)*1E6)</f>
        <v>0</v>
      </c>
      <c r="AJ1091" s="7">
        <f>20*LOG10(MAX(AG1091,1E-300)*1E6)</f>
        <v>0</v>
      </c>
      <c r="AK1091" s="7">
        <f>DEGREES(IMARGUMENT(AB1091))</f>
        <v>0</v>
      </c>
      <c r="AL1091" s="7">
        <f>DEGREES(IMARGUMENT(AC1091))</f>
        <v>0</v>
      </c>
      <c r="AM1091" s="7">
        <f>DEGREES(IMARGUMENT(AD1091))</f>
        <v>0</v>
      </c>
    </row>
    <row r="1092" spans="1:39">
      <c r="A1092" s="6">
        <f>10^(LOG10(F_START)+(ROW()-ROW($A$2))*(LOG10(F_STOP)-LOG10(F_START))/(N_POINTS-1))</f>
        <v>0</v>
      </c>
      <c r="B1092" s="6">
        <f>2*PI()*A1092</f>
        <v>0</v>
      </c>
      <c r="C1092">
        <f>COMPLEX(2*LINE_PS_DCR,2*B1092*LINE_PS_L)</f>
        <v>0</v>
      </c>
      <c r="D1092">
        <f>IMSUM(COMPLEX(0,B1092*(LINE_PS_CLINE+LINE_PS_CCHA/2)),IMDIV("1",IMPRODUCT("2",COMPLEX(C_THROUGH_ESR,B1092*C_THROUGH_ESL-1/(B1092*C_THROUGH_C)))))</f>
        <v>0</v>
      </c>
      <c r="E1092">
        <f>COMPLEX(2*LINE_INPUT_DCR,2*B1092*LINE_INPUT_L)</f>
        <v>0</v>
      </c>
      <c r="F1092">
        <f>COMPLEX(0,B1092*(LINE_INPUT_CLINE+LINE_INPUT_CCHA/2))</f>
        <v>0</v>
      </c>
      <c r="G1092">
        <f>IMPRODUCT("2",IMDIV("1",IMSUM(IMDIV("1",COMPLEX(LDM1_DCR,B1092*LDM1_L)),COMPLEX(0,B1092*LDM1_CPA))))</f>
        <v>0</v>
      </c>
      <c r="H1092">
        <f>IMSUM(IMDIV("1",COMPLEX(CX1_ESR,B1092*CX1_ESL-1/(B1092*CX1_C))),IMDIV("1",IMSUM(COMPLEX(DUMP1_R,0),COMPLEX(DUMP1_ESR,B1092*DUMP1_ESL-1/(B1092*DUMP1_C)))))</f>
        <v>0</v>
      </c>
      <c r="I1092">
        <f>IMPRODUCT("2",IMDIV("1",IMSUM(IMDIV("1",COMPLEX(LDM2_DCR,B1092*LDM2_L)),COMPLEX(0,B1092*LDM2_CPA))))</f>
        <v>0</v>
      </c>
      <c r="J1092">
        <f>IMSUM(IMDIV("1",COMPLEX(CX2_ESR,B1092*CX2_ESL-1/(B1092*CX2_C))),IMDIV("1",IMSUM(COMPLEX(DUMP2_R,0),COMPLEX(DUMP2_ESR,B1092*DUMP2_ESL-1/(B1092*DUMP2_C)))))</f>
        <v>0</v>
      </c>
      <c r="K1092">
        <f>IMPRODUCT("2",IMDIV("1",IMSUM(IMDIV("1",COMPLEX(CMC_DCR,B1092*CMC_L*(1-CMC_K))),COMPLEX(0,B1092*CMC_CPA))))</f>
        <v>0</v>
      </c>
      <c r="L1092">
        <f>IMSUM(COMPLEX(0,B1092*CMC_CLINE),IMDIV("1",IMPRODUCT("2",COMPLEX(CY_ESR,B1092*CY_ESL-1/(B1092*CY_C)))),COMPLEX(1/DUMMY_R,0))</f>
        <v>0</v>
      </c>
      <c r="M1092">
        <f>IMSUM(D1092,IMDIV("1",C1092))</f>
        <v>0</v>
      </c>
      <c r="N1092">
        <f>IMDIV("1",IMSUM(E1092,IMDIV("1",M1092)))</f>
        <v>0</v>
      </c>
      <c r="O1092">
        <f>IMSUM(F1092,N1092)</f>
        <v>0</v>
      </c>
      <c r="P1092">
        <f>IMDIV("1",IMSUM(G1092,IMDIV("1",O1092)))</f>
        <v>0</v>
      </c>
      <c r="Q1092">
        <f>IMSUM(H1092,P1092)</f>
        <v>0</v>
      </c>
      <c r="R1092">
        <f>IMDIV("1",IMSUM(I1092,IMDIV("1",Q1092)))</f>
        <v>0</v>
      </c>
      <c r="S1092">
        <f>IMSUM(J1092,R1092)</f>
        <v>0</v>
      </c>
      <c r="T1092">
        <f>IMDIV("1",IMSUM(K1092,IMDIV("1",S1092)))</f>
        <v>0</v>
      </c>
      <c r="U1092">
        <f>IMSUM(L1092,T1092)</f>
        <v>0</v>
      </c>
      <c r="V1092">
        <f>IMDIV(COMPLEX(I_DM_SOURCE,0),U1092)</f>
        <v>0</v>
      </c>
      <c r="W1092">
        <f>IMPRODUCT(V1092,T1092)</f>
        <v>0</v>
      </c>
      <c r="X1092">
        <f>IMDIV(W1092,S1092)</f>
        <v>0</v>
      </c>
      <c r="Y1092">
        <f>IMPRODUCT(X1092,R1092)</f>
        <v>0</v>
      </c>
      <c r="Z1092">
        <f>IMDIV(Y1092,Q1092)</f>
        <v>0</v>
      </c>
      <c r="AA1092">
        <f>IMPRODUCT(Z1092,P1092)</f>
        <v>0</v>
      </c>
      <c r="AB1092">
        <f>AA1092</f>
        <v>0</v>
      </c>
      <c r="AC1092">
        <f>IMPRODUCT("-1",AB1092)</f>
        <v>0</v>
      </c>
      <c r="AD1092">
        <f>IMDIV(IMSUB(AB1092,AC1092),"2")</f>
        <v>0</v>
      </c>
      <c r="AE1092" s="6">
        <f>IMABS(AB1092)</f>
        <v>0</v>
      </c>
      <c r="AF1092" s="6">
        <f>IMABS(AC1092)</f>
        <v>0</v>
      </c>
      <c r="AG1092" s="6">
        <f>IMABS(AD1092)</f>
        <v>0</v>
      </c>
      <c r="AH1092" s="7">
        <f>20*LOG10(MAX(AE1092,1E-300)*1E6)</f>
        <v>0</v>
      </c>
      <c r="AI1092" s="7">
        <f>20*LOG10(MAX(AF1092,1E-300)*1E6)</f>
        <v>0</v>
      </c>
      <c r="AJ1092" s="7">
        <f>20*LOG10(MAX(AG1092,1E-300)*1E6)</f>
        <v>0</v>
      </c>
      <c r="AK1092" s="7">
        <f>DEGREES(IMARGUMENT(AB1092))</f>
        <v>0</v>
      </c>
      <c r="AL1092" s="7">
        <f>DEGREES(IMARGUMENT(AC1092))</f>
        <v>0</v>
      </c>
      <c r="AM1092" s="7">
        <f>DEGREES(IMARGUMENT(AD1092))</f>
        <v>0</v>
      </c>
    </row>
    <row r="1093" spans="1:39">
      <c r="A1093" s="6">
        <f>10^(LOG10(F_START)+(ROW()-ROW($A$2))*(LOG10(F_STOP)-LOG10(F_START))/(N_POINTS-1))</f>
        <v>0</v>
      </c>
      <c r="B1093" s="6">
        <f>2*PI()*A1093</f>
        <v>0</v>
      </c>
      <c r="C1093">
        <f>COMPLEX(2*LINE_PS_DCR,2*B1093*LINE_PS_L)</f>
        <v>0</v>
      </c>
      <c r="D1093">
        <f>IMSUM(COMPLEX(0,B1093*(LINE_PS_CLINE+LINE_PS_CCHA/2)),IMDIV("1",IMPRODUCT("2",COMPLEX(C_THROUGH_ESR,B1093*C_THROUGH_ESL-1/(B1093*C_THROUGH_C)))))</f>
        <v>0</v>
      </c>
      <c r="E1093">
        <f>COMPLEX(2*LINE_INPUT_DCR,2*B1093*LINE_INPUT_L)</f>
        <v>0</v>
      </c>
      <c r="F1093">
        <f>COMPLEX(0,B1093*(LINE_INPUT_CLINE+LINE_INPUT_CCHA/2))</f>
        <v>0</v>
      </c>
      <c r="G1093">
        <f>IMPRODUCT("2",IMDIV("1",IMSUM(IMDIV("1",COMPLEX(LDM1_DCR,B1093*LDM1_L)),COMPLEX(0,B1093*LDM1_CPA))))</f>
        <v>0</v>
      </c>
      <c r="H1093">
        <f>IMSUM(IMDIV("1",COMPLEX(CX1_ESR,B1093*CX1_ESL-1/(B1093*CX1_C))),IMDIV("1",IMSUM(COMPLEX(DUMP1_R,0),COMPLEX(DUMP1_ESR,B1093*DUMP1_ESL-1/(B1093*DUMP1_C)))))</f>
        <v>0</v>
      </c>
      <c r="I1093">
        <f>IMPRODUCT("2",IMDIV("1",IMSUM(IMDIV("1",COMPLEX(LDM2_DCR,B1093*LDM2_L)),COMPLEX(0,B1093*LDM2_CPA))))</f>
        <v>0</v>
      </c>
      <c r="J1093">
        <f>IMSUM(IMDIV("1",COMPLEX(CX2_ESR,B1093*CX2_ESL-1/(B1093*CX2_C))),IMDIV("1",IMSUM(COMPLEX(DUMP2_R,0),COMPLEX(DUMP2_ESR,B1093*DUMP2_ESL-1/(B1093*DUMP2_C)))))</f>
        <v>0</v>
      </c>
      <c r="K1093">
        <f>IMPRODUCT("2",IMDIV("1",IMSUM(IMDIV("1",COMPLEX(CMC_DCR,B1093*CMC_L*(1-CMC_K))),COMPLEX(0,B1093*CMC_CPA))))</f>
        <v>0</v>
      </c>
      <c r="L1093">
        <f>IMSUM(COMPLEX(0,B1093*CMC_CLINE),IMDIV("1",IMPRODUCT("2",COMPLEX(CY_ESR,B1093*CY_ESL-1/(B1093*CY_C)))),COMPLEX(1/DUMMY_R,0))</f>
        <v>0</v>
      </c>
      <c r="M1093">
        <f>IMSUM(D1093,IMDIV("1",C1093))</f>
        <v>0</v>
      </c>
      <c r="N1093">
        <f>IMDIV("1",IMSUM(E1093,IMDIV("1",M1093)))</f>
        <v>0</v>
      </c>
      <c r="O1093">
        <f>IMSUM(F1093,N1093)</f>
        <v>0</v>
      </c>
      <c r="P1093">
        <f>IMDIV("1",IMSUM(G1093,IMDIV("1",O1093)))</f>
        <v>0</v>
      </c>
      <c r="Q1093">
        <f>IMSUM(H1093,P1093)</f>
        <v>0</v>
      </c>
      <c r="R1093">
        <f>IMDIV("1",IMSUM(I1093,IMDIV("1",Q1093)))</f>
        <v>0</v>
      </c>
      <c r="S1093">
        <f>IMSUM(J1093,R1093)</f>
        <v>0</v>
      </c>
      <c r="T1093">
        <f>IMDIV("1",IMSUM(K1093,IMDIV("1",S1093)))</f>
        <v>0</v>
      </c>
      <c r="U1093">
        <f>IMSUM(L1093,T1093)</f>
        <v>0</v>
      </c>
      <c r="V1093">
        <f>IMDIV(COMPLEX(I_DM_SOURCE,0),U1093)</f>
        <v>0</v>
      </c>
      <c r="W1093">
        <f>IMPRODUCT(V1093,T1093)</f>
        <v>0</v>
      </c>
      <c r="X1093">
        <f>IMDIV(W1093,S1093)</f>
        <v>0</v>
      </c>
      <c r="Y1093">
        <f>IMPRODUCT(X1093,R1093)</f>
        <v>0</v>
      </c>
      <c r="Z1093">
        <f>IMDIV(Y1093,Q1093)</f>
        <v>0</v>
      </c>
      <c r="AA1093">
        <f>IMPRODUCT(Z1093,P1093)</f>
        <v>0</v>
      </c>
      <c r="AB1093">
        <f>AA1093</f>
        <v>0</v>
      </c>
      <c r="AC1093">
        <f>IMPRODUCT("-1",AB1093)</f>
        <v>0</v>
      </c>
      <c r="AD1093">
        <f>IMDIV(IMSUB(AB1093,AC1093),"2")</f>
        <v>0</v>
      </c>
      <c r="AE1093" s="6">
        <f>IMABS(AB1093)</f>
        <v>0</v>
      </c>
      <c r="AF1093" s="6">
        <f>IMABS(AC1093)</f>
        <v>0</v>
      </c>
      <c r="AG1093" s="6">
        <f>IMABS(AD1093)</f>
        <v>0</v>
      </c>
      <c r="AH1093" s="7">
        <f>20*LOG10(MAX(AE1093,1E-300)*1E6)</f>
        <v>0</v>
      </c>
      <c r="AI1093" s="7">
        <f>20*LOG10(MAX(AF1093,1E-300)*1E6)</f>
        <v>0</v>
      </c>
      <c r="AJ1093" s="7">
        <f>20*LOG10(MAX(AG1093,1E-300)*1E6)</f>
        <v>0</v>
      </c>
      <c r="AK1093" s="7">
        <f>DEGREES(IMARGUMENT(AB1093))</f>
        <v>0</v>
      </c>
      <c r="AL1093" s="7">
        <f>DEGREES(IMARGUMENT(AC1093))</f>
        <v>0</v>
      </c>
      <c r="AM1093" s="7">
        <f>DEGREES(IMARGUMENT(AD1093))</f>
        <v>0</v>
      </c>
    </row>
    <row r="1094" spans="1:39">
      <c r="A1094" s="6">
        <f>10^(LOG10(F_START)+(ROW()-ROW($A$2))*(LOG10(F_STOP)-LOG10(F_START))/(N_POINTS-1))</f>
        <v>0</v>
      </c>
      <c r="B1094" s="6">
        <f>2*PI()*A1094</f>
        <v>0</v>
      </c>
      <c r="C1094">
        <f>COMPLEX(2*LINE_PS_DCR,2*B1094*LINE_PS_L)</f>
        <v>0</v>
      </c>
      <c r="D1094">
        <f>IMSUM(COMPLEX(0,B1094*(LINE_PS_CLINE+LINE_PS_CCHA/2)),IMDIV("1",IMPRODUCT("2",COMPLEX(C_THROUGH_ESR,B1094*C_THROUGH_ESL-1/(B1094*C_THROUGH_C)))))</f>
        <v>0</v>
      </c>
      <c r="E1094">
        <f>COMPLEX(2*LINE_INPUT_DCR,2*B1094*LINE_INPUT_L)</f>
        <v>0</v>
      </c>
      <c r="F1094">
        <f>COMPLEX(0,B1094*(LINE_INPUT_CLINE+LINE_INPUT_CCHA/2))</f>
        <v>0</v>
      </c>
      <c r="G1094">
        <f>IMPRODUCT("2",IMDIV("1",IMSUM(IMDIV("1",COMPLEX(LDM1_DCR,B1094*LDM1_L)),COMPLEX(0,B1094*LDM1_CPA))))</f>
        <v>0</v>
      </c>
      <c r="H1094">
        <f>IMSUM(IMDIV("1",COMPLEX(CX1_ESR,B1094*CX1_ESL-1/(B1094*CX1_C))),IMDIV("1",IMSUM(COMPLEX(DUMP1_R,0),COMPLEX(DUMP1_ESR,B1094*DUMP1_ESL-1/(B1094*DUMP1_C)))))</f>
        <v>0</v>
      </c>
      <c r="I1094">
        <f>IMPRODUCT("2",IMDIV("1",IMSUM(IMDIV("1",COMPLEX(LDM2_DCR,B1094*LDM2_L)),COMPLEX(0,B1094*LDM2_CPA))))</f>
        <v>0</v>
      </c>
      <c r="J1094">
        <f>IMSUM(IMDIV("1",COMPLEX(CX2_ESR,B1094*CX2_ESL-1/(B1094*CX2_C))),IMDIV("1",IMSUM(COMPLEX(DUMP2_R,0),COMPLEX(DUMP2_ESR,B1094*DUMP2_ESL-1/(B1094*DUMP2_C)))))</f>
        <v>0</v>
      </c>
      <c r="K1094">
        <f>IMPRODUCT("2",IMDIV("1",IMSUM(IMDIV("1",COMPLEX(CMC_DCR,B1094*CMC_L*(1-CMC_K))),COMPLEX(0,B1094*CMC_CPA))))</f>
        <v>0</v>
      </c>
      <c r="L1094">
        <f>IMSUM(COMPLEX(0,B1094*CMC_CLINE),IMDIV("1",IMPRODUCT("2",COMPLEX(CY_ESR,B1094*CY_ESL-1/(B1094*CY_C)))),COMPLEX(1/DUMMY_R,0))</f>
        <v>0</v>
      </c>
      <c r="M1094">
        <f>IMSUM(D1094,IMDIV("1",C1094))</f>
        <v>0</v>
      </c>
      <c r="N1094">
        <f>IMDIV("1",IMSUM(E1094,IMDIV("1",M1094)))</f>
        <v>0</v>
      </c>
      <c r="O1094">
        <f>IMSUM(F1094,N1094)</f>
        <v>0</v>
      </c>
      <c r="P1094">
        <f>IMDIV("1",IMSUM(G1094,IMDIV("1",O1094)))</f>
        <v>0</v>
      </c>
      <c r="Q1094">
        <f>IMSUM(H1094,P1094)</f>
        <v>0</v>
      </c>
      <c r="R1094">
        <f>IMDIV("1",IMSUM(I1094,IMDIV("1",Q1094)))</f>
        <v>0</v>
      </c>
      <c r="S1094">
        <f>IMSUM(J1094,R1094)</f>
        <v>0</v>
      </c>
      <c r="T1094">
        <f>IMDIV("1",IMSUM(K1094,IMDIV("1",S1094)))</f>
        <v>0</v>
      </c>
      <c r="U1094">
        <f>IMSUM(L1094,T1094)</f>
        <v>0</v>
      </c>
      <c r="V1094">
        <f>IMDIV(COMPLEX(I_DM_SOURCE,0),U1094)</f>
        <v>0</v>
      </c>
      <c r="W1094">
        <f>IMPRODUCT(V1094,T1094)</f>
        <v>0</v>
      </c>
      <c r="X1094">
        <f>IMDIV(W1094,S1094)</f>
        <v>0</v>
      </c>
      <c r="Y1094">
        <f>IMPRODUCT(X1094,R1094)</f>
        <v>0</v>
      </c>
      <c r="Z1094">
        <f>IMDIV(Y1094,Q1094)</f>
        <v>0</v>
      </c>
      <c r="AA1094">
        <f>IMPRODUCT(Z1094,P1094)</f>
        <v>0</v>
      </c>
      <c r="AB1094">
        <f>AA1094</f>
        <v>0</v>
      </c>
      <c r="AC1094">
        <f>IMPRODUCT("-1",AB1094)</f>
        <v>0</v>
      </c>
      <c r="AD1094">
        <f>IMDIV(IMSUB(AB1094,AC1094),"2")</f>
        <v>0</v>
      </c>
      <c r="AE1094" s="6">
        <f>IMABS(AB1094)</f>
        <v>0</v>
      </c>
      <c r="AF1094" s="6">
        <f>IMABS(AC1094)</f>
        <v>0</v>
      </c>
      <c r="AG1094" s="6">
        <f>IMABS(AD1094)</f>
        <v>0</v>
      </c>
      <c r="AH1094" s="7">
        <f>20*LOG10(MAX(AE1094,1E-300)*1E6)</f>
        <v>0</v>
      </c>
      <c r="AI1094" s="7">
        <f>20*LOG10(MAX(AF1094,1E-300)*1E6)</f>
        <v>0</v>
      </c>
      <c r="AJ1094" s="7">
        <f>20*LOG10(MAX(AG1094,1E-300)*1E6)</f>
        <v>0</v>
      </c>
      <c r="AK1094" s="7">
        <f>DEGREES(IMARGUMENT(AB1094))</f>
        <v>0</v>
      </c>
      <c r="AL1094" s="7">
        <f>DEGREES(IMARGUMENT(AC1094))</f>
        <v>0</v>
      </c>
      <c r="AM1094" s="7">
        <f>DEGREES(IMARGUMENT(AD1094))</f>
        <v>0</v>
      </c>
    </row>
    <row r="1095" spans="1:39">
      <c r="A1095" s="6">
        <f>10^(LOG10(F_START)+(ROW()-ROW($A$2))*(LOG10(F_STOP)-LOG10(F_START))/(N_POINTS-1))</f>
        <v>0</v>
      </c>
      <c r="B1095" s="6">
        <f>2*PI()*A1095</f>
        <v>0</v>
      </c>
      <c r="C1095">
        <f>COMPLEX(2*LINE_PS_DCR,2*B1095*LINE_PS_L)</f>
        <v>0</v>
      </c>
      <c r="D1095">
        <f>IMSUM(COMPLEX(0,B1095*(LINE_PS_CLINE+LINE_PS_CCHA/2)),IMDIV("1",IMPRODUCT("2",COMPLEX(C_THROUGH_ESR,B1095*C_THROUGH_ESL-1/(B1095*C_THROUGH_C)))))</f>
        <v>0</v>
      </c>
      <c r="E1095">
        <f>COMPLEX(2*LINE_INPUT_DCR,2*B1095*LINE_INPUT_L)</f>
        <v>0</v>
      </c>
      <c r="F1095">
        <f>COMPLEX(0,B1095*(LINE_INPUT_CLINE+LINE_INPUT_CCHA/2))</f>
        <v>0</v>
      </c>
      <c r="G1095">
        <f>IMPRODUCT("2",IMDIV("1",IMSUM(IMDIV("1",COMPLEX(LDM1_DCR,B1095*LDM1_L)),COMPLEX(0,B1095*LDM1_CPA))))</f>
        <v>0</v>
      </c>
      <c r="H1095">
        <f>IMSUM(IMDIV("1",COMPLEX(CX1_ESR,B1095*CX1_ESL-1/(B1095*CX1_C))),IMDIV("1",IMSUM(COMPLEX(DUMP1_R,0),COMPLEX(DUMP1_ESR,B1095*DUMP1_ESL-1/(B1095*DUMP1_C)))))</f>
        <v>0</v>
      </c>
      <c r="I1095">
        <f>IMPRODUCT("2",IMDIV("1",IMSUM(IMDIV("1",COMPLEX(LDM2_DCR,B1095*LDM2_L)),COMPLEX(0,B1095*LDM2_CPA))))</f>
        <v>0</v>
      </c>
      <c r="J1095">
        <f>IMSUM(IMDIV("1",COMPLEX(CX2_ESR,B1095*CX2_ESL-1/(B1095*CX2_C))),IMDIV("1",IMSUM(COMPLEX(DUMP2_R,0),COMPLEX(DUMP2_ESR,B1095*DUMP2_ESL-1/(B1095*DUMP2_C)))))</f>
        <v>0</v>
      </c>
      <c r="K1095">
        <f>IMPRODUCT("2",IMDIV("1",IMSUM(IMDIV("1",COMPLEX(CMC_DCR,B1095*CMC_L*(1-CMC_K))),COMPLEX(0,B1095*CMC_CPA))))</f>
        <v>0</v>
      </c>
      <c r="L1095">
        <f>IMSUM(COMPLEX(0,B1095*CMC_CLINE),IMDIV("1",IMPRODUCT("2",COMPLEX(CY_ESR,B1095*CY_ESL-1/(B1095*CY_C)))),COMPLEX(1/DUMMY_R,0))</f>
        <v>0</v>
      </c>
      <c r="M1095">
        <f>IMSUM(D1095,IMDIV("1",C1095))</f>
        <v>0</v>
      </c>
      <c r="N1095">
        <f>IMDIV("1",IMSUM(E1095,IMDIV("1",M1095)))</f>
        <v>0</v>
      </c>
      <c r="O1095">
        <f>IMSUM(F1095,N1095)</f>
        <v>0</v>
      </c>
      <c r="P1095">
        <f>IMDIV("1",IMSUM(G1095,IMDIV("1",O1095)))</f>
        <v>0</v>
      </c>
      <c r="Q1095">
        <f>IMSUM(H1095,P1095)</f>
        <v>0</v>
      </c>
      <c r="R1095">
        <f>IMDIV("1",IMSUM(I1095,IMDIV("1",Q1095)))</f>
        <v>0</v>
      </c>
      <c r="S1095">
        <f>IMSUM(J1095,R1095)</f>
        <v>0</v>
      </c>
      <c r="T1095">
        <f>IMDIV("1",IMSUM(K1095,IMDIV("1",S1095)))</f>
        <v>0</v>
      </c>
      <c r="U1095">
        <f>IMSUM(L1095,T1095)</f>
        <v>0</v>
      </c>
      <c r="V1095">
        <f>IMDIV(COMPLEX(I_DM_SOURCE,0),U1095)</f>
        <v>0</v>
      </c>
      <c r="W1095">
        <f>IMPRODUCT(V1095,T1095)</f>
        <v>0</v>
      </c>
      <c r="X1095">
        <f>IMDIV(W1095,S1095)</f>
        <v>0</v>
      </c>
      <c r="Y1095">
        <f>IMPRODUCT(X1095,R1095)</f>
        <v>0</v>
      </c>
      <c r="Z1095">
        <f>IMDIV(Y1095,Q1095)</f>
        <v>0</v>
      </c>
      <c r="AA1095">
        <f>IMPRODUCT(Z1095,P1095)</f>
        <v>0</v>
      </c>
      <c r="AB1095">
        <f>AA1095</f>
        <v>0</v>
      </c>
      <c r="AC1095">
        <f>IMPRODUCT("-1",AB1095)</f>
        <v>0</v>
      </c>
      <c r="AD1095">
        <f>IMDIV(IMSUB(AB1095,AC1095),"2")</f>
        <v>0</v>
      </c>
      <c r="AE1095" s="6">
        <f>IMABS(AB1095)</f>
        <v>0</v>
      </c>
      <c r="AF1095" s="6">
        <f>IMABS(AC1095)</f>
        <v>0</v>
      </c>
      <c r="AG1095" s="6">
        <f>IMABS(AD1095)</f>
        <v>0</v>
      </c>
      <c r="AH1095" s="7">
        <f>20*LOG10(MAX(AE1095,1E-300)*1E6)</f>
        <v>0</v>
      </c>
      <c r="AI1095" s="7">
        <f>20*LOG10(MAX(AF1095,1E-300)*1E6)</f>
        <v>0</v>
      </c>
      <c r="AJ1095" s="7">
        <f>20*LOG10(MAX(AG1095,1E-300)*1E6)</f>
        <v>0</v>
      </c>
      <c r="AK1095" s="7">
        <f>DEGREES(IMARGUMENT(AB1095))</f>
        <v>0</v>
      </c>
      <c r="AL1095" s="7">
        <f>DEGREES(IMARGUMENT(AC1095))</f>
        <v>0</v>
      </c>
      <c r="AM1095" s="7">
        <f>DEGREES(IMARGUMENT(AD1095))</f>
        <v>0</v>
      </c>
    </row>
    <row r="1096" spans="1:39">
      <c r="A1096" s="6">
        <f>10^(LOG10(F_START)+(ROW()-ROW($A$2))*(LOG10(F_STOP)-LOG10(F_START))/(N_POINTS-1))</f>
        <v>0</v>
      </c>
      <c r="B1096" s="6">
        <f>2*PI()*A1096</f>
        <v>0</v>
      </c>
      <c r="C1096">
        <f>COMPLEX(2*LINE_PS_DCR,2*B1096*LINE_PS_L)</f>
        <v>0</v>
      </c>
      <c r="D1096">
        <f>IMSUM(COMPLEX(0,B1096*(LINE_PS_CLINE+LINE_PS_CCHA/2)),IMDIV("1",IMPRODUCT("2",COMPLEX(C_THROUGH_ESR,B1096*C_THROUGH_ESL-1/(B1096*C_THROUGH_C)))))</f>
        <v>0</v>
      </c>
      <c r="E1096">
        <f>COMPLEX(2*LINE_INPUT_DCR,2*B1096*LINE_INPUT_L)</f>
        <v>0</v>
      </c>
      <c r="F1096">
        <f>COMPLEX(0,B1096*(LINE_INPUT_CLINE+LINE_INPUT_CCHA/2))</f>
        <v>0</v>
      </c>
      <c r="G1096">
        <f>IMPRODUCT("2",IMDIV("1",IMSUM(IMDIV("1",COMPLEX(LDM1_DCR,B1096*LDM1_L)),COMPLEX(0,B1096*LDM1_CPA))))</f>
        <v>0</v>
      </c>
      <c r="H1096">
        <f>IMSUM(IMDIV("1",COMPLEX(CX1_ESR,B1096*CX1_ESL-1/(B1096*CX1_C))),IMDIV("1",IMSUM(COMPLEX(DUMP1_R,0),COMPLEX(DUMP1_ESR,B1096*DUMP1_ESL-1/(B1096*DUMP1_C)))))</f>
        <v>0</v>
      </c>
      <c r="I1096">
        <f>IMPRODUCT("2",IMDIV("1",IMSUM(IMDIV("1",COMPLEX(LDM2_DCR,B1096*LDM2_L)),COMPLEX(0,B1096*LDM2_CPA))))</f>
        <v>0</v>
      </c>
      <c r="J1096">
        <f>IMSUM(IMDIV("1",COMPLEX(CX2_ESR,B1096*CX2_ESL-1/(B1096*CX2_C))),IMDIV("1",IMSUM(COMPLEX(DUMP2_R,0),COMPLEX(DUMP2_ESR,B1096*DUMP2_ESL-1/(B1096*DUMP2_C)))))</f>
        <v>0</v>
      </c>
      <c r="K1096">
        <f>IMPRODUCT("2",IMDIV("1",IMSUM(IMDIV("1",COMPLEX(CMC_DCR,B1096*CMC_L*(1-CMC_K))),COMPLEX(0,B1096*CMC_CPA))))</f>
        <v>0</v>
      </c>
      <c r="L1096">
        <f>IMSUM(COMPLEX(0,B1096*CMC_CLINE),IMDIV("1",IMPRODUCT("2",COMPLEX(CY_ESR,B1096*CY_ESL-1/(B1096*CY_C)))),COMPLEX(1/DUMMY_R,0))</f>
        <v>0</v>
      </c>
      <c r="M1096">
        <f>IMSUM(D1096,IMDIV("1",C1096))</f>
        <v>0</v>
      </c>
      <c r="N1096">
        <f>IMDIV("1",IMSUM(E1096,IMDIV("1",M1096)))</f>
        <v>0</v>
      </c>
      <c r="O1096">
        <f>IMSUM(F1096,N1096)</f>
        <v>0</v>
      </c>
      <c r="P1096">
        <f>IMDIV("1",IMSUM(G1096,IMDIV("1",O1096)))</f>
        <v>0</v>
      </c>
      <c r="Q1096">
        <f>IMSUM(H1096,P1096)</f>
        <v>0</v>
      </c>
      <c r="R1096">
        <f>IMDIV("1",IMSUM(I1096,IMDIV("1",Q1096)))</f>
        <v>0</v>
      </c>
      <c r="S1096">
        <f>IMSUM(J1096,R1096)</f>
        <v>0</v>
      </c>
      <c r="T1096">
        <f>IMDIV("1",IMSUM(K1096,IMDIV("1",S1096)))</f>
        <v>0</v>
      </c>
      <c r="U1096">
        <f>IMSUM(L1096,T1096)</f>
        <v>0</v>
      </c>
      <c r="V1096">
        <f>IMDIV(COMPLEX(I_DM_SOURCE,0),U1096)</f>
        <v>0</v>
      </c>
      <c r="W1096">
        <f>IMPRODUCT(V1096,T1096)</f>
        <v>0</v>
      </c>
      <c r="X1096">
        <f>IMDIV(W1096,S1096)</f>
        <v>0</v>
      </c>
      <c r="Y1096">
        <f>IMPRODUCT(X1096,R1096)</f>
        <v>0</v>
      </c>
      <c r="Z1096">
        <f>IMDIV(Y1096,Q1096)</f>
        <v>0</v>
      </c>
      <c r="AA1096">
        <f>IMPRODUCT(Z1096,P1096)</f>
        <v>0</v>
      </c>
      <c r="AB1096">
        <f>AA1096</f>
        <v>0</v>
      </c>
      <c r="AC1096">
        <f>IMPRODUCT("-1",AB1096)</f>
        <v>0</v>
      </c>
      <c r="AD1096">
        <f>IMDIV(IMSUB(AB1096,AC1096),"2")</f>
        <v>0</v>
      </c>
      <c r="AE1096" s="6">
        <f>IMABS(AB1096)</f>
        <v>0</v>
      </c>
      <c r="AF1096" s="6">
        <f>IMABS(AC1096)</f>
        <v>0</v>
      </c>
      <c r="AG1096" s="6">
        <f>IMABS(AD1096)</f>
        <v>0</v>
      </c>
      <c r="AH1096" s="7">
        <f>20*LOG10(MAX(AE1096,1E-300)*1E6)</f>
        <v>0</v>
      </c>
      <c r="AI1096" s="7">
        <f>20*LOG10(MAX(AF1096,1E-300)*1E6)</f>
        <v>0</v>
      </c>
      <c r="AJ1096" s="7">
        <f>20*LOG10(MAX(AG1096,1E-300)*1E6)</f>
        <v>0</v>
      </c>
      <c r="AK1096" s="7">
        <f>DEGREES(IMARGUMENT(AB1096))</f>
        <v>0</v>
      </c>
      <c r="AL1096" s="7">
        <f>DEGREES(IMARGUMENT(AC1096))</f>
        <v>0</v>
      </c>
      <c r="AM1096" s="7">
        <f>DEGREES(IMARGUMENT(AD1096))</f>
        <v>0</v>
      </c>
    </row>
    <row r="1097" spans="1:39">
      <c r="A1097" s="6">
        <f>10^(LOG10(F_START)+(ROW()-ROW($A$2))*(LOG10(F_STOP)-LOG10(F_START))/(N_POINTS-1))</f>
        <v>0</v>
      </c>
      <c r="B1097" s="6">
        <f>2*PI()*A1097</f>
        <v>0</v>
      </c>
      <c r="C1097">
        <f>COMPLEX(2*LINE_PS_DCR,2*B1097*LINE_PS_L)</f>
        <v>0</v>
      </c>
      <c r="D1097">
        <f>IMSUM(COMPLEX(0,B1097*(LINE_PS_CLINE+LINE_PS_CCHA/2)),IMDIV("1",IMPRODUCT("2",COMPLEX(C_THROUGH_ESR,B1097*C_THROUGH_ESL-1/(B1097*C_THROUGH_C)))))</f>
        <v>0</v>
      </c>
      <c r="E1097">
        <f>COMPLEX(2*LINE_INPUT_DCR,2*B1097*LINE_INPUT_L)</f>
        <v>0</v>
      </c>
      <c r="F1097">
        <f>COMPLEX(0,B1097*(LINE_INPUT_CLINE+LINE_INPUT_CCHA/2))</f>
        <v>0</v>
      </c>
      <c r="G1097">
        <f>IMPRODUCT("2",IMDIV("1",IMSUM(IMDIV("1",COMPLEX(LDM1_DCR,B1097*LDM1_L)),COMPLEX(0,B1097*LDM1_CPA))))</f>
        <v>0</v>
      </c>
      <c r="H1097">
        <f>IMSUM(IMDIV("1",COMPLEX(CX1_ESR,B1097*CX1_ESL-1/(B1097*CX1_C))),IMDIV("1",IMSUM(COMPLEX(DUMP1_R,0),COMPLEX(DUMP1_ESR,B1097*DUMP1_ESL-1/(B1097*DUMP1_C)))))</f>
        <v>0</v>
      </c>
      <c r="I1097">
        <f>IMPRODUCT("2",IMDIV("1",IMSUM(IMDIV("1",COMPLEX(LDM2_DCR,B1097*LDM2_L)),COMPLEX(0,B1097*LDM2_CPA))))</f>
        <v>0</v>
      </c>
      <c r="J1097">
        <f>IMSUM(IMDIV("1",COMPLEX(CX2_ESR,B1097*CX2_ESL-1/(B1097*CX2_C))),IMDIV("1",IMSUM(COMPLEX(DUMP2_R,0),COMPLEX(DUMP2_ESR,B1097*DUMP2_ESL-1/(B1097*DUMP2_C)))))</f>
        <v>0</v>
      </c>
      <c r="K1097">
        <f>IMPRODUCT("2",IMDIV("1",IMSUM(IMDIV("1",COMPLEX(CMC_DCR,B1097*CMC_L*(1-CMC_K))),COMPLEX(0,B1097*CMC_CPA))))</f>
        <v>0</v>
      </c>
      <c r="L1097">
        <f>IMSUM(COMPLEX(0,B1097*CMC_CLINE),IMDIV("1",IMPRODUCT("2",COMPLEX(CY_ESR,B1097*CY_ESL-1/(B1097*CY_C)))),COMPLEX(1/DUMMY_R,0))</f>
        <v>0</v>
      </c>
      <c r="M1097">
        <f>IMSUM(D1097,IMDIV("1",C1097))</f>
        <v>0</v>
      </c>
      <c r="N1097">
        <f>IMDIV("1",IMSUM(E1097,IMDIV("1",M1097)))</f>
        <v>0</v>
      </c>
      <c r="O1097">
        <f>IMSUM(F1097,N1097)</f>
        <v>0</v>
      </c>
      <c r="P1097">
        <f>IMDIV("1",IMSUM(G1097,IMDIV("1",O1097)))</f>
        <v>0</v>
      </c>
      <c r="Q1097">
        <f>IMSUM(H1097,P1097)</f>
        <v>0</v>
      </c>
      <c r="R1097">
        <f>IMDIV("1",IMSUM(I1097,IMDIV("1",Q1097)))</f>
        <v>0</v>
      </c>
      <c r="S1097">
        <f>IMSUM(J1097,R1097)</f>
        <v>0</v>
      </c>
      <c r="T1097">
        <f>IMDIV("1",IMSUM(K1097,IMDIV("1",S1097)))</f>
        <v>0</v>
      </c>
      <c r="U1097">
        <f>IMSUM(L1097,T1097)</f>
        <v>0</v>
      </c>
      <c r="V1097">
        <f>IMDIV(COMPLEX(I_DM_SOURCE,0),U1097)</f>
        <v>0</v>
      </c>
      <c r="W1097">
        <f>IMPRODUCT(V1097,T1097)</f>
        <v>0</v>
      </c>
      <c r="X1097">
        <f>IMDIV(W1097,S1097)</f>
        <v>0</v>
      </c>
      <c r="Y1097">
        <f>IMPRODUCT(X1097,R1097)</f>
        <v>0</v>
      </c>
      <c r="Z1097">
        <f>IMDIV(Y1097,Q1097)</f>
        <v>0</v>
      </c>
      <c r="AA1097">
        <f>IMPRODUCT(Z1097,P1097)</f>
        <v>0</v>
      </c>
      <c r="AB1097">
        <f>AA1097</f>
        <v>0</v>
      </c>
      <c r="AC1097">
        <f>IMPRODUCT("-1",AB1097)</f>
        <v>0</v>
      </c>
      <c r="AD1097">
        <f>IMDIV(IMSUB(AB1097,AC1097),"2")</f>
        <v>0</v>
      </c>
      <c r="AE1097" s="6">
        <f>IMABS(AB1097)</f>
        <v>0</v>
      </c>
      <c r="AF1097" s="6">
        <f>IMABS(AC1097)</f>
        <v>0</v>
      </c>
      <c r="AG1097" s="6">
        <f>IMABS(AD1097)</f>
        <v>0</v>
      </c>
      <c r="AH1097" s="7">
        <f>20*LOG10(MAX(AE1097,1E-300)*1E6)</f>
        <v>0</v>
      </c>
      <c r="AI1097" s="7">
        <f>20*LOG10(MAX(AF1097,1E-300)*1E6)</f>
        <v>0</v>
      </c>
      <c r="AJ1097" s="7">
        <f>20*LOG10(MAX(AG1097,1E-300)*1E6)</f>
        <v>0</v>
      </c>
      <c r="AK1097" s="7">
        <f>DEGREES(IMARGUMENT(AB1097))</f>
        <v>0</v>
      </c>
      <c r="AL1097" s="7">
        <f>DEGREES(IMARGUMENT(AC1097))</f>
        <v>0</v>
      </c>
      <c r="AM1097" s="7">
        <f>DEGREES(IMARGUMENT(AD1097))</f>
        <v>0</v>
      </c>
    </row>
    <row r="1098" spans="1:39">
      <c r="A1098" s="6">
        <f>10^(LOG10(F_START)+(ROW()-ROW($A$2))*(LOG10(F_STOP)-LOG10(F_START))/(N_POINTS-1))</f>
        <v>0</v>
      </c>
      <c r="B1098" s="6">
        <f>2*PI()*A1098</f>
        <v>0</v>
      </c>
      <c r="C1098">
        <f>COMPLEX(2*LINE_PS_DCR,2*B1098*LINE_PS_L)</f>
        <v>0</v>
      </c>
      <c r="D1098">
        <f>IMSUM(COMPLEX(0,B1098*(LINE_PS_CLINE+LINE_PS_CCHA/2)),IMDIV("1",IMPRODUCT("2",COMPLEX(C_THROUGH_ESR,B1098*C_THROUGH_ESL-1/(B1098*C_THROUGH_C)))))</f>
        <v>0</v>
      </c>
      <c r="E1098">
        <f>COMPLEX(2*LINE_INPUT_DCR,2*B1098*LINE_INPUT_L)</f>
        <v>0</v>
      </c>
      <c r="F1098">
        <f>COMPLEX(0,B1098*(LINE_INPUT_CLINE+LINE_INPUT_CCHA/2))</f>
        <v>0</v>
      </c>
      <c r="G1098">
        <f>IMPRODUCT("2",IMDIV("1",IMSUM(IMDIV("1",COMPLEX(LDM1_DCR,B1098*LDM1_L)),COMPLEX(0,B1098*LDM1_CPA))))</f>
        <v>0</v>
      </c>
      <c r="H1098">
        <f>IMSUM(IMDIV("1",COMPLEX(CX1_ESR,B1098*CX1_ESL-1/(B1098*CX1_C))),IMDIV("1",IMSUM(COMPLEX(DUMP1_R,0),COMPLEX(DUMP1_ESR,B1098*DUMP1_ESL-1/(B1098*DUMP1_C)))))</f>
        <v>0</v>
      </c>
      <c r="I1098">
        <f>IMPRODUCT("2",IMDIV("1",IMSUM(IMDIV("1",COMPLEX(LDM2_DCR,B1098*LDM2_L)),COMPLEX(0,B1098*LDM2_CPA))))</f>
        <v>0</v>
      </c>
      <c r="J1098">
        <f>IMSUM(IMDIV("1",COMPLEX(CX2_ESR,B1098*CX2_ESL-1/(B1098*CX2_C))),IMDIV("1",IMSUM(COMPLEX(DUMP2_R,0),COMPLEX(DUMP2_ESR,B1098*DUMP2_ESL-1/(B1098*DUMP2_C)))))</f>
        <v>0</v>
      </c>
      <c r="K1098">
        <f>IMPRODUCT("2",IMDIV("1",IMSUM(IMDIV("1",COMPLEX(CMC_DCR,B1098*CMC_L*(1-CMC_K))),COMPLEX(0,B1098*CMC_CPA))))</f>
        <v>0</v>
      </c>
      <c r="L1098">
        <f>IMSUM(COMPLEX(0,B1098*CMC_CLINE),IMDIV("1",IMPRODUCT("2",COMPLEX(CY_ESR,B1098*CY_ESL-1/(B1098*CY_C)))),COMPLEX(1/DUMMY_R,0))</f>
        <v>0</v>
      </c>
      <c r="M1098">
        <f>IMSUM(D1098,IMDIV("1",C1098))</f>
        <v>0</v>
      </c>
      <c r="N1098">
        <f>IMDIV("1",IMSUM(E1098,IMDIV("1",M1098)))</f>
        <v>0</v>
      </c>
      <c r="O1098">
        <f>IMSUM(F1098,N1098)</f>
        <v>0</v>
      </c>
      <c r="P1098">
        <f>IMDIV("1",IMSUM(G1098,IMDIV("1",O1098)))</f>
        <v>0</v>
      </c>
      <c r="Q1098">
        <f>IMSUM(H1098,P1098)</f>
        <v>0</v>
      </c>
      <c r="R1098">
        <f>IMDIV("1",IMSUM(I1098,IMDIV("1",Q1098)))</f>
        <v>0</v>
      </c>
      <c r="S1098">
        <f>IMSUM(J1098,R1098)</f>
        <v>0</v>
      </c>
      <c r="T1098">
        <f>IMDIV("1",IMSUM(K1098,IMDIV("1",S1098)))</f>
        <v>0</v>
      </c>
      <c r="U1098">
        <f>IMSUM(L1098,T1098)</f>
        <v>0</v>
      </c>
      <c r="V1098">
        <f>IMDIV(COMPLEX(I_DM_SOURCE,0),U1098)</f>
        <v>0</v>
      </c>
      <c r="W1098">
        <f>IMPRODUCT(V1098,T1098)</f>
        <v>0</v>
      </c>
      <c r="X1098">
        <f>IMDIV(W1098,S1098)</f>
        <v>0</v>
      </c>
      <c r="Y1098">
        <f>IMPRODUCT(X1098,R1098)</f>
        <v>0</v>
      </c>
      <c r="Z1098">
        <f>IMDIV(Y1098,Q1098)</f>
        <v>0</v>
      </c>
      <c r="AA1098">
        <f>IMPRODUCT(Z1098,P1098)</f>
        <v>0</v>
      </c>
      <c r="AB1098">
        <f>AA1098</f>
        <v>0</v>
      </c>
      <c r="AC1098">
        <f>IMPRODUCT("-1",AB1098)</f>
        <v>0</v>
      </c>
      <c r="AD1098">
        <f>IMDIV(IMSUB(AB1098,AC1098),"2")</f>
        <v>0</v>
      </c>
      <c r="AE1098" s="6">
        <f>IMABS(AB1098)</f>
        <v>0</v>
      </c>
      <c r="AF1098" s="6">
        <f>IMABS(AC1098)</f>
        <v>0</v>
      </c>
      <c r="AG1098" s="6">
        <f>IMABS(AD1098)</f>
        <v>0</v>
      </c>
      <c r="AH1098" s="7">
        <f>20*LOG10(MAX(AE1098,1E-300)*1E6)</f>
        <v>0</v>
      </c>
      <c r="AI1098" s="7">
        <f>20*LOG10(MAX(AF1098,1E-300)*1E6)</f>
        <v>0</v>
      </c>
      <c r="AJ1098" s="7">
        <f>20*LOG10(MAX(AG1098,1E-300)*1E6)</f>
        <v>0</v>
      </c>
      <c r="AK1098" s="7">
        <f>DEGREES(IMARGUMENT(AB1098))</f>
        <v>0</v>
      </c>
      <c r="AL1098" s="7">
        <f>DEGREES(IMARGUMENT(AC1098))</f>
        <v>0</v>
      </c>
      <c r="AM1098" s="7">
        <f>DEGREES(IMARGUMENT(AD1098))</f>
        <v>0</v>
      </c>
    </row>
    <row r="1099" spans="1:39">
      <c r="A1099" s="6">
        <f>10^(LOG10(F_START)+(ROW()-ROW($A$2))*(LOG10(F_STOP)-LOG10(F_START))/(N_POINTS-1))</f>
        <v>0</v>
      </c>
      <c r="B1099" s="6">
        <f>2*PI()*A1099</f>
        <v>0</v>
      </c>
      <c r="C1099">
        <f>COMPLEX(2*LINE_PS_DCR,2*B1099*LINE_PS_L)</f>
        <v>0</v>
      </c>
      <c r="D1099">
        <f>IMSUM(COMPLEX(0,B1099*(LINE_PS_CLINE+LINE_PS_CCHA/2)),IMDIV("1",IMPRODUCT("2",COMPLEX(C_THROUGH_ESR,B1099*C_THROUGH_ESL-1/(B1099*C_THROUGH_C)))))</f>
        <v>0</v>
      </c>
      <c r="E1099">
        <f>COMPLEX(2*LINE_INPUT_DCR,2*B1099*LINE_INPUT_L)</f>
        <v>0</v>
      </c>
      <c r="F1099">
        <f>COMPLEX(0,B1099*(LINE_INPUT_CLINE+LINE_INPUT_CCHA/2))</f>
        <v>0</v>
      </c>
      <c r="G1099">
        <f>IMPRODUCT("2",IMDIV("1",IMSUM(IMDIV("1",COMPLEX(LDM1_DCR,B1099*LDM1_L)),COMPLEX(0,B1099*LDM1_CPA))))</f>
        <v>0</v>
      </c>
      <c r="H1099">
        <f>IMSUM(IMDIV("1",COMPLEX(CX1_ESR,B1099*CX1_ESL-1/(B1099*CX1_C))),IMDIV("1",IMSUM(COMPLEX(DUMP1_R,0),COMPLEX(DUMP1_ESR,B1099*DUMP1_ESL-1/(B1099*DUMP1_C)))))</f>
        <v>0</v>
      </c>
      <c r="I1099">
        <f>IMPRODUCT("2",IMDIV("1",IMSUM(IMDIV("1",COMPLEX(LDM2_DCR,B1099*LDM2_L)),COMPLEX(0,B1099*LDM2_CPA))))</f>
        <v>0</v>
      </c>
      <c r="J1099">
        <f>IMSUM(IMDIV("1",COMPLEX(CX2_ESR,B1099*CX2_ESL-1/(B1099*CX2_C))),IMDIV("1",IMSUM(COMPLEX(DUMP2_R,0),COMPLEX(DUMP2_ESR,B1099*DUMP2_ESL-1/(B1099*DUMP2_C)))))</f>
        <v>0</v>
      </c>
      <c r="K1099">
        <f>IMPRODUCT("2",IMDIV("1",IMSUM(IMDIV("1",COMPLEX(CMC_DCR,B1099*CMC_L*(1-CMC_K))),COMPLEX(0,B1099*CMC_CPA))))</f>
        <v>0</v>
      </c>
      <c r="L1099">
        <f>IMSUM(COMPLEX(0,B1099*CMC_CLINE),IMDIV("1",IMPRODUCT("2",COMPLEX(CY_ESR,B1099*CY_ESL-1/(B1099*CY_C)))),COMPLEX(1/DUMMY_R,0))</f>
        <v>0</v>
      </c>
      <c r="M1099">
        <f>IMSUM(D1099,IMDIV("1",C1099))</f>
        <v>0</v>
      </c>
      <c r="N1099">
        <f>IMDIV("1",IMSUM(E1099,IMDIV("1",M1099)))</f>
        <v>0</v>
      </c>
      <c r="O1099">
        <f>IMSUM(F1099,N1099)</f>
        <v>0</v>
      </c>
      <c r="P1099">
        <f>IMDIV("1",IMSUM(G1099,IMDIV("1",O1099)))</f>
        <v>0</v>
      </c>
      <c r="Q1099">
        <f>IMSUM(H1099,P1099)</f>
        <v>0</v>
      </c>
      <c r="R1099">
        <f>IMDIV("1",IMSUM(I1099,IMDIV("1",Q1099)))</f>
        <v>0</v>
      </c>
      <c r="S1099">
        <f>IMSUM(J1099,R1099)</f>
        <v>0</v>
      </c>
      <c r="T1099">
        <f>IMDIV("1",IMSUM(K1099,IMDIV("1",S1099)))</f>
        <v>0</v>
      </c>
      <c r="U1099">
        <f>IMSUM(L1099,T1099)</f>
        <v>0</v>
      </c>
      <c r="V1099">
        <f>IMDIV(COMPLEX(I_DM_SOURCE,0),U1099)</f>
        <v>0</v>
      </c>
      <c r="W1099">
        <f>IMPRODUCT(V1099,T1099)</f>
        <v>0</v>
      </c>
      <c r="X1099">
        <f>IMDIV(W1099,S1099)</f>
        <v>0</v>
      </c>
      <c r="Y1099">
        <f>IMPRODUCT(X1099,R1099)</f>
        <v>0</v>
      </c>
      <c r="Z1099">
        <f>IMDIV(Y1099,Q1099)</f>
        <v>0</v>
      </c>
      <c r="AA1099">
        <f>IMPRODUCT(Z1099,P1099)</f>
        <v>0</v>
      </c>
      <c r="AB1099">
        <f>AA1099</f>
        <v>0</v>
      </c>
      <c r="AC1099">
        <f>IMPRODUCT("-1",AB1099)</f>
        <v>0</v>
      </c>
      <c r="AD1099">
        <f>IMDIV(IMSUB(AB1099,AC1099),"2")</f>
        <v>0</v>
      </c>
      <c r="AE1099" s="6">
        <f>IMABS(AB1099)</f>
        <v>0</v>
      </c>
      <c r="AF1099" s="6">
        <f>IMABS(AC1099)</f>
        <v>0</v>
      </c>
      <c r="AG1099" s="6">
        <f>IMABS(AD1099)</f>
        <v>0</v>
      </c>
      <c r="AH1099" s="7">
        <f>20*LOG10(MAX(AE1099,1E-300)*1E6)</f>
        <v>0</v>
      </c>
      <c r="AI1099" s="7">
        <f>20*LOG10(MAX(AF1099,1E-300)*1E6)</f>
        <v>0</v>
      </c>
      <c r="AJ1099" s="7">
        <f>20*LOG10(MAX(AG1099,1E-300)*1E6)</f>
        <v>0</v>
      </c>
      <c r="AK1099" s="7">
        <f>DEGREES(IMARGUMENT(AB1099))</f>
        <v>0</v>
      </c>
      <c r="AL1099" s="7">
        <f>DEGREES(IMARGUMENT(AC1099))</f>
        <v>0</v>
      </c>
      <c r="AM1099" s="7">
        <f>DEGREES(IMARGUMENT(AD1099))</f>
        <v>0</v>
      </c>
    </row>
    <row r="1100" spans="1:39">
      <c r="A1100" s="6">
        <f>10^(LOG10(F_START)+(ROW()-ROW($A$2))*(LOG10(F_STOP)-LOG10(F_START))/(N_POINTS-1))</f>
        <v>0</v>
      </c>
      <c r="B1100" s="6">
        <f>2*PI()*A1100</f>
        <v>0</v>
      </c>
      <c r="C1100">
        <f>COMPLEX(2*LINE_PS_DCR,2*B1100*LINE_PS_L)</f>
        <v>0</v>
      </c>
      <c r="D1100">
        <f>IMSUM(COMPLEX(0,B1100*(LINE_PS_CLINE+LINE_PS_CCHA/2)),IMDIV("1",IMPRODUCT("2",COMPLEX(C_THROUGH_ESR,B1100*C_THROUGH_ESL-1/(B1100*C_THROUGH_C)))))</f>
        <v>0</v>
      </c>
      <c r="E1100">
        <f>COMPLEX(2*LINE_INPUT_DCR,2*B1100*LINE_INPUT_L)</f>
        <v>0</v>
      </c>
      <c r="F1100">
        <f>COMPLEX(0,B1100*(LINE_INPUT_CLINE+LINE_INPUT_CCHA/2))</f>
        <v>0</v>
      </c>
      <c r="G1100">
        <f>IMPRODUCT("2",IMDIV("1",IMSUM(IMDIV("1",COMPLEX(LDM1_DCR,B1100*LDM1_L)),COMPLEX(0,B1100*LDM1_CPA))))</f>
        <v>0</v>
      </c>
      <c r="H1100">
        <f>IMSUM(IMDIV("1",COMPLEX(CX1_ESR,B1100*CX1_ESL-1/(B1100*CX1_C))),IMDIV("1",IMSUM(COMPLEX(DUMP1_R,0),COMPLEX(DUMP1_ESR,B1100*DUMP1_ESL-1/(B1100*DUMP1_C)))))</f>
        <v>0</v>
      </c>
      <c r="I1100">
        <f>IMPRODUCT("2",IMDIV("1",IMSUM(IMDIV("1",COMPLEX(LDM2_DCR,B1100*LDM2_L)),COMPLEX(0,B1100*LDM2_CPA))))</f>
        <v>0</v>
      </c>
      <c r="J1100">
        <f>IMSUM(IMDIV("1",COMPLEX(CX2_ESR,B1100*CX2_ESL-1/(B1100*CX2_C))),IMDIV("1",IMSUM(COMPLEX(DUMP2_R,0),COMPLEX(DUMP2_ESR,B1100*DUMP2_ESL-1/(B1100*DUMP2_C)))))</f>
        <v>0</v>
      </c>
      <c r="K1100">
        <f>IMPRODUCT("2",IMDIV("1",IMSUM(IMDIV("1",COMPLEX(CMC_DCR,B1100*CMC_L*(1-CMC_K))),COMPLEX(0,B1100*CMC_CPA))))</f>
        <v>0</v>
      </c>
      <c r="L1100">
        <f>IMSUM(COMPLEX(0,B1100*CMC_CLINE),IMDIV("1",IMPRODUCT("2",COMPLEX(CY_ESR,B1100*CY_ESL-1/(B1100*CY_C)))),COMPLEX(1/DUMMY_R,0))</f>
        <v>0</v>
      </c>
      <c r="M1100">
        <f>IMSUM(D1100,IMDIV("1",C1100))</f>
        <v>0</v>
      </c>
      <c r="N1100">
        <f>IMDIV("1",IMSUM(E1100,IMDIV("1",M1100)))</f>
        <v>0</v>
      </c>
      <c r="O1100">
        <f>IMSUM(F1100,N1100)</f>
        <v>0</v>
      </c>
      <c r="P1100">
        <f>IMDIV("1",IMSUM(G1100,IMDIV("1",O1100)))</f>
        <v>0</v>
      </c>
      <c r="Q1100">
        <f>IMSUM(H1100,P1100)</f>
        <v>0</v>
      </c>
      <c r="R1100">
        <f>IMDIV("1",IMSUM(I1100,IMDIV("1",Q1100)))</f>
        <v>0</v>
      </c>
      <c r="S1100">
        <f>IMSUM(J1100,R1100)</f>
        <v>0</v>
      </c>
      <c r="T1100">
        <f>IMDIV("1",IMSUM(K1100,IMDIV("1",S1100)))</f>
        <v>0</v>
      </c>
      <c r="U1100">
        <f>IMSUM(L1100,T1100)</f>
        <v>0</v>
      </c>
      <c r="V1100">
        <f>IMDIV(COMPLEX(I_DM_SOURCE,0),U1100)</f>
        <v>0</v>
      </c>
      <c r="W1100">
        <f>IMPRODUCT(V1100,T1100)</f>
        <v>0</v>
      </c>
      <c r="X1100">
        <f>IMDIV(W1100,S1100)</f>
        <v>0</v>
      </c>
      <c r="Y1100">
        <f>IMPRODUCT(X1100,R1100)</f>
        <v>0</v>
      </c>
      <c r="Z1100">
        <f>IMDIV(Y1100,Q1100)</f>
        <v>0</v>
      </c>
      <c r="AA1100">
        <f>IMPRODUCT(Z1100,P1100)</f>
        <v>0</v>
      </c>
      <c r="AB1100">
        <f>AA1100</f>
        <v>0</v>
      </c>
      <c r="AC1100">
        <f>IMPRODUCT("-1",AB1100)</f>
        <v>0</v>
      </c>
      <c r="AD1100">
        <f>IMDIV(IMSUB(AB1100,AC1100),"2")</f>
        <v>0</v>
      </c>
      <c r="AE1100" s="6">
        <f>IMABS(AB1100)</f>
        <v>0</v>
      </c>
      <c r="AF1100" s="6">
        <f>IMABS(AC1100)</f>
        <v>0</v>
      </c>
      <c r="AG1100" s="6">
        <f>IMABS(AD1100)</f>
        <v>0</v>
      </c>
      <c r="AH1100" s="7">
        <f>20*LOG10(MAX(AE1100,1E-300)*1E6)</f>
        <v>0</v>
      </c>
      <c r="AI1100" s="7">
        <f>20*LOG10(MAX(AF1100,1E-300)*1E6)</f>
        <v>0</v>
      </c>
      <c r="AJ1100" s="7">
        <f>20*LOG10(MAX(AG1100,1E-300)*1E6)</f>
        <v>0</v>
      </c>
      <c r="AK1100" s="7">
        <f>DEGREES(IMARGUMENT(AB1100))</f>
        <v>0</v>
      </c>
      <c r="AL1100" s="7">
        <f>DEGREES(IMARGUMENT(AC1100))</f>
        <v>0</v>
      </c>
      <c r="AM1100" s="7">
        <f>DEGREES(IMARGUMENT(AD1100))</f>
        <v>0</v>
      </c>
    </row>
    <row r="1101" spans="1:39">
      <c r="A1101" s="6">
        <f>10^(LOG10(F_START)+(ROW()-ROW($A$2))*(LOG10(F_STOP)-LOG10(F_START))/(N_POINTS-1))</f>
        <v>0</v>
      </c>
      <c r="B1101" s="6">
        <f>2*PI()*A1101</f>
        <v>0</v>
      </c>
      <c r="C1101">
        <f>COMPLEX(2*LINE_PS_DCR,2*B1101*LINE_PS_L)</f>
        <v>0</v>
      </c>
      <c r="D1101">
        <f>IMSUM(COMPLEX(0,B1101*(LINE_PS_CLINE+LINE_PS_CCHA/2)),IMDIV("1",IMPRODUCT("2",COMPLEX(C_THROUGH_ESR,B1101*C_THROUGH_ESL-1/(B1101*C_THROUGH_C)))))</f>
        <v>0</v>
      </c>
      <c r="E1101">
        <f>COMPLEX(2*LINE_INPUT_DCR,2*B1101*LINE_INPUT_L)</f>
        <v>0</v>
      </c>
      <c r="F1101">
        <f>COMPLEX(0,B1101*(LINE_INPUT_CLINE+LINE_INPUT_CCHA/2))</f>
        <v>0</v>
      </c>
      <c r="G1101">
        <f>IMPRODUCT("2",IMDIV("1",IMSUM(IMDIV("1",COMPLEX(LDM1_DCR,B1101*LDM1_L)),COMPLEX(0,B1101*LDM1_CPA))))</f>
        <v>0</v>
      </c>
      <c r="H1101">
        <f>IMSUM(IMDIV("1",COMPLEX(CX1_ESR,B1101*CX1_ESL-1/(B1101*CX1_C))),IMDIV("1",IMSUM(COMPLEX(DUMP1_R,0),COMPLEX(DUMP1_ESR,B1101*DUMP1_ESL-1/(B1101*DUMP1_C)))))</f>
        <v>0</v>
      </c>
      <c r="I1101">
        <f>IMPRODUCT("2",IMDIV("1",IMSUM(IMDIV("1",COMPLEX(LDM2_DCR,B1101*LDM2_L)),COMPLEX(0,B1101*LDM2_CPA))))</f>
        <v>0</v>
      </c>
      <c r="J1101">
        <f>IMSUM(IMDIV("1",COMPLEX(CX2_ESR,B1101*CX2_ESL-1/(B1101*CX2_C))),IMDIV("1",IMSUM(COMPLEX(DUMP2_R,0),COMPLEX(DUMP2_ESR,B1101*DUMP2_ESL-1/(B1101*DUMP2_C)))))</f>
        <v>0</v>
      </c>
      <c r="K1101">
        <f>IMPRODUCT("2",IMDIV("1",IMSUM(IMDIV("1",COMPLEX(CMC_DCR,B1101*CMC_L*(1-CMC_K))),COMPLEX(0,B1101*CMC_CPA))))</f>
        <v>0</v>
      </c>
      <c r="L1101">
        <f>IMSUM(COMPLEX(0,B1101*CMC_CLINE),IMDIV("1",IMPRODUCT("2",COMPLEX(CY_ESR,B1101*CY_ESL-1/(B1101*CY_C)))),COMPLEX(1/DUMMY_R,0))</f>
        <v>0</v>
      </c>
      <c r="M1101">
        <f>IMSUM(D1101,IMDIV("1",C1101))</f>
        <v>0</v>
      </c>
      <c r="N1101">
        <f>IMDIV("1",IMSUM(E1101,IMDIV("1",M1101)))</f>
        <v>0</v>
      </c>
      <c r="O1101">
        <f>IMSUM(F1101,N1101)</f>
        <v>0</v>
      </c>
      <c r="P1101">
        <f>IMDIV("1",IMSUM(G1101,IMDIV("1",O1101)))</f>
        <v>0</v>
      </c>
      <c r="Q1101">
        <f>IMSUM(H1101,P1101)</f>
        <v>0</v>
      </c>
      <c r="R1101">
        <f>IMDIV("1",IMSUM(I1101,IMDIV("1",Q1101)))</f>
        <v>0</v>
      </c>
      <c r="S1101">
        <f>IMSUM(J1101,R1101)</f>
        <v>0</v>
      </c>
      <c r="T1101">
        <f>IMDIV("1",IMSUM(K1101,IMDIV("1",S1101)))</f>
        <v>0</v>
      </c>
      <c r="U1101">
        <f>IMSUM(L1101,T1101)</f>
        <v>0</v>
      </c>
      <c r="V1101">
        <f>IMDIV(COMPLEX(I_DM_SOURCE,0),U1101)</f>
        <v>0</v>
      </c>
      <c r="W1101">
        <f>IMPRODUCT(V1101,T1101)</f>
        <v>0</v>
      </c>
      <c r="X1101">
        <f>IMDIV(W1101,S1101)</f>
        <v>0</v>
      </c>
      <c r="Y1101">
        <f>IMPRODUCT(X1101,R1101)</f>
        <v>0</v>
      </c>
      <c r="Z1101">
        <f>IMDIV(Y1101,Q1101)</f>
        <v>0</v>
      </c>
      <c r="AA1101">
        <f>IMPRODUCT(Z1101,P1101)</f>
        <v>0</v>
      </c>
      <c r="AB1101">
        <f>AA1101</f>
        <v>0</v>
      </c>
      <c r="AC1101">
        <f>IMPRODUCT("-1",AB1101)</f>
        <v>0</v>
      </c>
      <c r="AD1101">
        <f>IMDIV(IMSUB(AB1101,AC1101),"2")</f>
        <v>0</v>
      </c>
      <c r="AE1101" s="6">
        <f>IMABS(AB1101)</f>
        <v>0</v>
      </c>
      <c r="AF1101" s="6">
        <f>IMABS(AC1101)</f>
        <v>0</v>
      </c>
      <c r="AG1101" s="6">
        <f>IMABS(AD1101)</f>
        <v>0</v>
      </c>
      <c r="AH1101" s="7">
        <f>20*LOG10(MAX(AE1101,1E-300)*1E6)</f>
        <v>0</v>
      </c>
      <c r="AI1101" s="7">
        <f>20*LOG10(MAX(AF1101,1E-300)*1E6)</f>
        <v>0</v>
      </c>
      <c r="AJ1101" s="7">
        <f>20*LOG10(MAX(AG1101,1E-300)*1E6)</f>
        <v>0</v>
      </c>
      <c r="AK1101" s="7">
        <f>DEGREES(IMARGUMENT(AB1101))</f>
        <v>0</v>
      </c>
      <c r="AL1101" s="7">
        <f>DEGREES(IMARGUMENT(AC1101))</f>
        <v>0</v>
      </c>
      <c r="AM1101" s="7">
        <f>DEGREES(IMARGUMENT(AD1101))</f>
        <v>0</v>
      </c>
    </row>
    <row r="1102" spans="1:39">
      <c r="A1102" s="6">
        <f>10^(LOG10(F_START)+(ROW()-ROW($A$2))*(LOG10(F_STOP)-LOG10(F_START))/(N_POINTS-1))</f>
        <v>0</v>
      </c>
      <c r="B1102" s="6">
        <f>2*PI()*A1102</f>
        <v>0</v>
      </c>
      <c r="C1102">
        <f>COMPLEX(2*LINE_PS_DCR,2*B1102*LINE_PS_L)</f>
        <v>0</v>
      </c>
      <c r="D1102">
        <f>IMSUM(COMPLEX(0,B1102*(LINE_PS_CLINE+LINE_PS_CCHA/2)),IMDIV("1",IMPRODUCT("2",COMPLEX(C_THROUGH_ESR,B1102*C_THROUGH_ESL-1/(B1102*C_THROUGH_C)))))</f>
        <v>0</v>
      </c>
      <c r="E1102">
        <f>COMPLEX(2*LINE_INPUT_DCR,2*B1102*LINE_INPUT_L)</f>
        <v>0</v>
      </c>
      <c r="F1102">
        <f>COMPLEX(0,B1102*(LINE_INPUT_CLINE+LINE_INPUT_CCHA/2))</f>
        <v>0</v>
      </c>
      <c r="G1102">
        <f>IMPRODUCT("2",IMDIV("1",IMSUM(IMDIV("1",COMPLEX(LDM1_DCR,B1102*LDM1_L)),COMPLEX(0,B1102*LDM1_CPA))))</f>
        <v>0</v>
      </c>
      <c r="H1102">
        <f>IMSUM(IMDIV("1",COMPLEX(CX1_ESR,B1102*CX1_ESL-1/(B1102*CX1_C))),IMDIV("1",IMSUM(COMPLEX(DUMP1_R,0),COMPLEX(DUMP1_ESR,B1102*DUMP1_ESL-1/(B1102*DUMP1_C)))))</f>
        <v>0</v>
      </c>
      <c r="I1102">
        <f>IMPRODUCT("2",IMDIV("1",IMSUM(IMDIV("1",COMPLEX(LDM2_DCR,B1102*LDM2_L)),COMPLEX(0,B1102*LDM2_CPA))))</f>
        <v>0</v>
      </c>
      <c r="J1102">
        <f>IMSUM(IMDIV("1",COMPLEX(CX2_ESR,B1102*CX2_ESL-1/(B1102*CX2_C))),IMDIV("1",IMSUM(COMPLEX(DUMP2_R,0),COMPLEX(DUMP2_ESR,B1102*DUMP2_ESL-1/(B1102*DUMP2_C)))))</f>
        <v>0</v>
      </c>
      <c r="K1102">
        <f>IMPRODUCT("2",IMDIV("1",IMSUM(IMDIV("1",COMPLEX(CMC_DCR,B1102*CMC_L*(1-CMC_K))),COMPLEX(0,B1102*CMC_CPA))))</f>
        <v>0</v>
      </c>
      <c r="L1102">
        <f>IMSUM(COMPLEX(0,B1102*CMC_CLINE),IMDIV("1",IMPRODUCT("2",COMPLEX(CY_ESR,B1102*CY_ESL-1/(B1102*CY_C)))),COMPLEX(1/DUMMY_R,0))</f>
        <v>0</v>
      </c>
      <c r="M1102">
        <f>IMSUM(D1102,IMDIV("1",C1102))</f>
        <v>0</v>
      </c>
      <c r="N1102">
        <f>IMDIV("1",IMSUM(E1102,IMDIV("1",M1102)))</f>
        <v>0</v>
      </c>
      <c r="O1102">
        <f>IMSUM(F1102,N1102)</f>
        <v>0</v>
      </c>
      <c r="P1102">
        <f>IMDIV("1",IMSUM(G1102,IMDIV("1",O1102)))</f>
        <v>0</v>
      </c>
      <c r="Q1102">
        <f>IMSUM(H1102,P1102)</f>
        <v>0</v>
      </c>
      <c r="R1102">
        <f>IMDIV("1",IMSUM(I1102,IMDIV("1",Q1102)))</f>
        <v>0</v>
      </c>
      <c r="S1102">
        <f>IMSUM(J1102,R1102)</f>
        <v>0</v>
      </c>
      <c r="T1102">
        <f>IMDIV("1",IMSUM(K1102,IMDIV("1",S1102)))</f>
        <v>0</v>
      </c>
      <c r="U1102">
        <f>IMSUM(L1102,T1102)</f>
        <v>0</v>
      </c>
      <c r="V1102">
        <f>IMDIV(COMPLEX(I_DM_SOURCE,0),U1102)</f>
        <v>0</v>
      </c>
      <c r="W1102">
        <f>IMPRODUCT(V1102,T1102)</f>
        <v>0</v>
      </c>
      <c r="X1102">
        <f>IMDIV(W1102,S1102)</f>
        <v>0</v>
      </c>
      <c r="Y1102">
        <f>IMPRODUCT(X1102,R1102)</f>
        <v>0</v>
      </c>
      <c r="Z1102">
        <f>IMDIV(Y1102,Q1102)</f>
        <v>0</v>
      </c>
      <c r="AA1102">
        <f>IMPRODUCT(Z1102,P1102)</f>
        <v>0</v>
      </c>
      <c r="AB1102">
        <f>AA1102</f>
        <v>0</v>
      </c>
      <c r="AC1102">
        <f>IMPRODUCT("-1",AB1102)</f>
        <v>0</v>
      </c>
      <c r="AD1102">
        <f>IMDIV(IMSUB(AB1102,AC1102),"2")</f>
        <v>0</v>
      </c>
      <c r="AE1102" s="6">
        <f>IMABS(AB1102)</f>
        <v>0</v>
      </c>
      <c r="AF1102" s="6">
        <f>IMABS(AC1102)</f>
        <v>0</v>
      </c>
      <c r="AG1102" s="6">
        <f>IMABS(AD1102)</f>
        <v>0</v>
      </c>
      <c r="AH1102" s="7">
        <f>20*LOG10(MAX(AE1102,1E-300)*1E6)</f>
        <v>0</v>
      </c>
      <c r="AI1102" s="7">
        <f>20*LOG10(MAX(AF1102,1E-300)*1E6)</f>
        <v>0</v>
      </c>
      <c r="AJ1102" s="7">
        <f>20*LOG10(MAX(AG1102,1E-300)*1E6)</f>
        <v>0</v>
      </c>
      <c r="AK1102" s="7">
        <f>DEGREES(IMARGUMENT(AB1102))</f>
        <v>0</v>
      </c>
      <c r="AL1102" s="7">
        <f>DEGREES(IMARGUMENT(AC1102))</f>
        <v>0</v>
      </c>
      <c r="AM1102" s="7">
        <f>DEGREES(IMARGUMENT(AD1102))</f>
        <v>0</v>
      </c>
    </row>
    <row r="1103" spans="1:39">
      <c r="A1103" s="6">
        <f>10^(LOG10(F_START)+(ROW()-ROW($A$2))*(LOG10(F_STOP)-LOG10(F_START))/(N_POINTS-1))</f>
        <v>0</v>
      </c>
      <c r="B1103" s="6">
        <f>2*PI()*A1103</f>
        <v>0</v>
      </c>
      <c r="C1103">
        <f>COMPLEX(2*LINE_PS_DCR,2*B1103*LINE_PS_L)</f>
        <v>0</v>
      </c>
      <c r="D1103">
        <f>IMSUM(COMPLEX(0,B1103*(LINE_PS_CLINE+LINE_PS_CCHA/2)),IMDIV("1",IMPRODUCT("2",COMPLEX(C_THROUGH_ESR,B1103*C_THROUGH_ESL-1/(B1103*C_THROUGH_C)))))</f>
        <v>0</v>
      </c>
      <c r="E1103">
        <f>COMPLEX(2*LINE_INPUT_DCR,2*B1103*LINE_INPUT_L)</f>
        <v>0</v>
      </c>
      <c r="F1103">
        <f>COMPLEX(0,B1103*(LINE_INPUT_CLINE+LINE_INPUT_CCHA/2))</f>
        <v>0</v>
      </c>
      <c r="G1103">
        <f>IMPRODUCT("2",IMDIV("1",IMSUM(IMDIV("1",COMPLEX(LDM1_DCR,B1103*LDM1_L)),COMPLEX(0,B1103*LDM1_CPA))))</f>
        <v>0</v>
      </c>
      <c r="H1103">
        <f>IMSUM(IMDIV("1",COMPLEX(CX1_ESR,B1103*CX1_ESL-1/(B1103*CX1_C))),IMDIV("1",IMSUM(COMPLEX(DUMP1_R,0),COMPLEX(DUMP1_ESR,B1103*DUMP1_ESL-1/(B1103*DUMP1_C)))))</f>
        <v>0</v>
      </c>
      <c r="I1103">
        <f>IMPRODUCT("2",IMDIV("1",IMSUM(IMDIV("1",COMPLEX(LDM2_DCR,B1103*LDM2_L)),COMPLEX(0,B1103*LDM2_CPA))))</f>
        <v>0</v>
      </c>
      <c r="J1103">
        <f>IMSUM(IMDIV("1",COMPLEX(CX2_ESR,B1103*CX2_ESL-1/(B1103*CX2_C))),IMDIV("1",IMSUM(COMPLEX(DUMP2_R,0),COMPLEX(DUMP2_ESR,B1103*DUMP2_ESL-1/(B1103*DUMP2_C)))))</f>
        <v>0</v>
      </c>
      <c r="K1103">
        <f>IMPRODUCT("2",IMDIV("1",IMSUM(IMDIV("1",COMPLEX(CMC_DCR,B1103*CMC_L*(1-CMC_K))),COMPLEX(0,B1103*CMC_CPA))))</f>
        <v>0</v>
      </c>
      <c r="L1103">
        <f>IMSUM(COMPLEX(0,B1103*CMC_CLINE),IMDIV("1",IMPRODUCT("2",COMPLEX(CY_ESR,B1103*CY_ESL-1/(B1103*CY_C)))),COMPLEX(1/DUMMY_R,0))</f>
        <v>0</v>
      </c>
      <c r="M1103">
        <f>IMSUM(D1103,IMDIV("1",C1103))</f>
        <v>0</v>
      </c>
      <c r="N1103">
        <f>IMDIV("1",IMSUM(E1103,IMDIV("1",M1103)))</f>
        <v>0</v>
      </c>
      <c r="O1103">
        <f>IMSUM(F1103,N1103)</f>
        <v>0</v>
      </c>
      <c r="P1103">
        <f>IMDIV("1",IMSUM(G1103,IMDIV("1",O1103)))</f>
        <v>0</v>
      </c>
      <c r="Q1103">
        <f>IMSUM(H1103,P1103)</f>
        <v>0</v>
      </c>
      <c r="R1103">
        <f>IMDIV("1",IMSUM(I1103,IMDIV("1",Q1103)))</f>
        <v>0</v>
      </c>
      <c r="S1103">
        <f>IMSUM(J1103,R1103)</f>
        <v>0</v>
      </c>
      <c r="T1103">
        <f>IMDIV("1",IMSUM(K1103,IMDIV("1",S1103)))</f>
        <v>0</v>
      </c>
      <c r="U1103">
        <f>IMSUM(L1103,T1103)</f>
        <v>0</v>
      </c>
      <c r="V1103">
        <f>IMDIV(COMPLEX(I_DM_SOURCE,0),U1103)</f>
        <v>0</v>
      </c>
      <c r="W1103">
        <f>IMPRODUCT(V1103,T1103)</f>
        <v>0</v>
      </c>
      <c r="X1103">
        <f>IMDIV(W1103,S1103)</f>
        <v>0</v>
      </c>
      <c r="Y1103">
        <f>IMPRODUCT(X1103,R1103)</f>
        <v>0</v>
      </c>
      <c r="Z1103">
        <f>IMDIV(Y1103,Q1103)</f>
        <v>0</v>
      </c>
      <c r="AA1103">
        <f>IMPRODUCT(Z1103,P1103)</f>
        <v>0</v>
      </c>
      <c r="AB1103">
        <f>AA1103</f>
        <v>0</v>
      </c>
      <c r="AC1103">
        <f>IMPRODUCT("-1",AB1103)</f>
        <v>0</v>
      </c>
      <c r="AD1103">
        <f>IMDIV(IMSUB(AB1103,AC1103),"2")</f>
        <v>0</v>
      </c>
      <c r="AE1103" s="6">
        <f>IMABS(AB1103)</f>
        <v>0</v>
      </c>
      <c r="AF1103" s="6">
        <f>IMABS(AC1103)</f>
        <v>0</v>
      </c>
      <c r="AG1103" s="6">
        <f>IMABS(AD1103)</f>
        <v>0</v>
      </c>
      <c r="AH1103" s="7">
        <f>20*LOG10(MAX(AE1103,1E-300)*1E6)</f>
        <v>0</v>
      </c>
      <c r="AI1103" s="7">
        <f>20*LOG10(MAX(AF1103,1E-300)*1E6)</f>
        <v>0</v>
      </c>
      <c r="AJ1103" s="7">
        <f>20*LOG10(MAX(AG1103,1E-300)*1E6)</f>
        <v>0</v>
      </c>
      <c r="AK1103" s="7">
        <f>DEGREES(IMARGUMENT(AB1103))</f>
        <v>0</v>
      </c>
      <c r="AL1103" s="7">
        <f>DEGREES(IMARGUMENT(AC1103))</f>
        <v>0</v>
      </c>
      <c r="AM1103" s="7">
        <f>DEGREES(IMARGUMENT(AD1103))</f>
        <v>0</v>
      </c>
    </row>
    <row r="1104" spans="1:39">
      <c r="A1104" s="6">
        <f>10^(LOG10(F_START)+(ROW()-ROW($A$2))*(LOG10(F_STOP)-LOG10(F_START))/(N_POINTS-1))</f>
        <v>0</v>
      </c>
      <c r="B1104" s="6">
        <f>2*PI()*A1104</f>
        <v>0</v>
      </c>
      <c r="C1104">
        <f>COMPLEX(2*LINE_PS_DCR,2*B1104*LINE_PS_L)</f>
        <v>0</v>
      </c>
      <c r="D1104">
        <f>IMSUM(COMPLEX(0,B1104*(LINE_PS_CLINE+LINE_PS_CCHA/2)),IMDIV("1",IMPRODUCT("2",COMPLEX(C_THROUGH_ESR,B1104*C_THROUGH_ESL-1/(B1104*C_THROUGH_C)))))</f>
        <v>0</v>
      </c>
      <c r="E1104">
        <f>COMPLEX(2*LINE_INPUT_DCR,2*B1104*LINE_INPUT_L)</f>
        <v>0</v>
      </c>
      <c r="F1104">
        <f>COMPLEX(0,B1104*(LINE_INPUT_CLINE+LINE_INPUT_CCHA/2))</f>
        <v>0</v>
      </c>
      <c r="G1104">
        <f>IMPRODUCT("2",IMDIV("1",IMSUM(IMDIV("1",COMPLEX(LDM1_DCR,B1104*LDM1_L)),COMPLEX(0,B1104*LDM1_CPA))))</f>
        <v>0</v>
      </c>
      <c r="H1104">
        <f>IMSUM(IMDIV("1",COMPLEX(CX1_ESR,B1104*CX1_ESL-1/(B1104*CX1_C))),IMDIV("1",IMSUM(COMPLEX(DUMP1_R,0),COMPLEX(DUMP1_ESR,B1104*DUMP1_ESL-1/(B1104*DUMP1_C)))))</f>
        <v>0</v>
      </c>
      <c r="I1104">
        <f>IMPRODUCT("2",IMDIV("1",IMSUM(IMDIV("1",COMPLEX(LDM2_DCR,B1104*LDM2_L)),COMPLEX(0,B1104*LDM2_CPA))))</f>
        <v>0</v>
      </c>
      <c r="J1104">
        <f>IMSUM(IMDIV("1",COMPLEX(CX2_ESR,B1104*CX2_ESL-1/(B1104*CX2_C))),IMDIV("1",IMSUM(COMPLEX(DUMP2_R,0),COMPLEX(DUMP2_ESR,B1104*DUMP2_ESL-1/(B1104*DUMP2_C)))))</f>
        <v>0</v>
      </c>
      <c r="K1104">
        <f>IMPRODUCT("2",IMDIV("1",IMSUM(IMDIV("1",COMPLEX(CMC_DCR,B1104*CMC_L*(1-CMC_K))),COMPLEX(0,B1104*CMC_CPA))))</f>
        <v>0</v>
      </c>
      <c r="L1104">
        <f>IMSUM(COMPLEX(0,B1104*CMC_CLINE),IMDIV("1",IMPRODUCT("2",COMPLEX(CY_ESR,B1104*CY_ESL-1/(B1104*CY_C)))),COMPLEX(1/DUMMY_R,0))</f>
        <v>0</v>
      </c>
      <c r="M1104">
        <f>IMSUM(D1104,IMDIV("1",C1104))</f>
        <v>0</v>
      </c>
      <c r="N1104">
        <f>IMDIV("1",IMSUM(E1104,IMDIV("1",M1104)))</f>
        <v>0</v>
      </c>
      <c r="O1104">
        <f>IMSUM(F1104,N1104)</f>
        <v>0</v>
      </c>
      <c r="P1104">
        <f>IMDIV("1",IMSUM(G1104,IMDIV("1",O1104)))</f>
        <v>0</v>
      </c>
      <c r="Q1104">
        <f>IMSUM(H1104,P1104)</f>
        <v>0</v>
      </c>
      <c r="R1104">
        <f>IMDIV("1",IMSUM(I1104,IMDIV("1",Q1104)))</f>
        <v>0</v>
      </c>
      <c r="S1104">
        <f>IMSUM(J1104,R1104)</f>
        <v>0</v>
      </c>
      <c r="T1104">
        <f>IMDIV("1",IMSUM(K1104,IMDIV("1",S1104)))</f>
        <v>0</v>
      </c>
      <c r="U1104">
        <f>IMSUM(L1104,T1104)</f>
        <v>0</v>
      </c>
      <c r="V1104">
        <f>IMDIV(COMPLEX(I_DM_SOURCE,0),U1104)</f>
        <v>0</v>
      </c>
      <c r="W1104">
        <f>IMPRODUCT(V1104,T1104)</f>
        <v>0</v>
      </c>
      <c r="X1104">
        <f>IMDIV(W1104,S1104)</f>
        <v>0</v>
      </c>
      <c r="Y1104">
        <f>IMPRODUCT(X1104,R1104)</f>
        <v>0</v>
      </c>
      <c r="Z1104">
        <f>IMDIV(Y1104,Q1104)</f>
        <v>0</v>
      </c>
      <c r="AA1104">
        <f>IMPRODUCT(Z1104,P1104)</f>
        <v>0</v>
      </c>
      <c r="AB1104">
        <f>AA1104</f>
        <v>0</v>
      </c>
      <c r="AC1104">
        <f>IMPRODUCT("-1",AB1104)</f>
        <v>0</v>
      </c>
      <c r="AD1104">
        <f>IMDIV(IMSUB(AB1104,AC1104),"2")</f>
        <v>0</v>
      </c>
      <c r="AE1104" s="6">
        <f>IMABS(AB1104)</f>
        <v>0</v>
      </c>
      <c r="AF1104" s="6">
        <f>IMABS(AC1104)</f>
        <v>0</v>
      </c>
      <c r="AG1104" s="6">
        <f>IMABS(AD1104)</f>
        <v>0</v>
      </c>
      <c r="AH1104" s="7">
        <f>20*LOG10(MAX(AE1104,1E-300)*1E6)</f>
        <v>0</v>
      </c>
      <c r="AI1104" s="7">
        <f>20*LOG10(MAX(AF1104,1E-300)*1E6)</f>
        <v>0</v>
      </c>
      <c r="AJ1104" s="7">
        <f>20*LOG10(MAX(AG1104,1E-300)*1E6)</f>
        <v>0</v>
      </c>
      <c r="AK1104" s="7">
        <f>DEGREES(IMARGUMENT(AB1104))</f>
        <v>0</v>
      </c>
      <c r="AL1104" s="7">
        <f>DEGREES(IMARGUMENT(AC1104))</f>
        <v>0</v>
      </c>
      <c r="AM1104" s="7">
        <f>DEGREES(IMARGUMENT(AD1104))</f>
        <v>0</v>
      </c>
    </row>
    <row r="1105" spans="1:39">
      <c r="A1105" s="6">
        <f>10^(LOG10(F_START)+(ROW()-ROW($A$2))*(LOG10(F_STOP)-LOG10(F_START))/(N_POINTS-1))</f>
        <v>0</v>
      </c>
      <c r="B1105" s="6">
        <f>2*PI()*A1105</f>
        <v>0</v>
      </c>
      <c r="C1105">
        <f>COMPLEX(2*LINE_PS_DCR,2*B1105*LINE_PS_L)</f>
        <v>0</v>
      </c>
      <c r="D1105">
        <f>IMSUM(COMPLEX(0,B1105*(LINE_PS_CLINE+LINE_PS_CCHA/2)),IMDIV("1",IMPRODUCT("2",COMPLEX(C_THROUGH_ESR,B1105*C_THROUGH_ESL-1/(B1105*C_THROUGH_C)))))</f>
        <v>0</v>
      </c>
      <c r="E1105">
        <f>COMPLEX(2*LINE_INPUT_DCR,2*B1105*LINE_INPUT_L)</f>
        <v>0</v>
      </c>
      <c r="F1105">
        <f>COMPLEX(0,B1105*(LINE_INPUT_CLINE+LINE_INPUT_CCHA/2))</f>
        <v>0</v>
      </c>
      <c r="G1105">
        <f>IMPRODUCT("2",IMDIV("1",IMSUM(IMDIV("1",COMPLEX(LDM1_DCR,B1105*LDM1_L)),COMPLEX(0,B1105*LDM1_CPA))))</f>
        <v>0</v>
      </c>
      <c r="H1105">
        <f>IMSUM(IMDIV("1",COMPLEX(CX1_ESR,B1105*CX1_ESL-1/(B1105*CX1_C))),IMDIV("1",IMSUM(COMPLEX(DUMP1_R,0),COMPLEX(DUMP1_ESR,B1105*DUMP1_ESL-1/(B1105*DUMP1_C)))))</f>
        <v>0</v>
      </c>
      <c r="I1105">
        <f>IMPRODUCT("2",IMDIV("1",IMSUM(IMDIV("1",COMPLEX(LDM2_DCR,B1105*LDM2_L)),COMPLEX(0,B1105*LDM2_CPA))))</f>
        <v>0</v>
      </c>
      <c r="J1105">
        <f>IMSUM(IMDIV("1",COMPLEX(CX2_ESR,B1105*CX2_ESL-1/(B1105*CX2_C))),IMDIV("1",IMSUM(COMPLEX(DUMP2_R,0),COMPLEX(DUMP2_ESR,B1105*DUMP2_ESL-1/(B1105*DUMP2_C)))))</f>
        <v>0</v>
      </c>
      <c r="K1105">
        <f>IMPRODUCT("2",IMDIV("1",IMSUM(IMDIV("1",COMPLEX(CMC_DCR,B1105*CMC_L*(1-CMC_K))),COMPLEX(0,B1105*CMC_CPA))))</f>
        <v>0</v>
      </c>
      <c r="L1105">
        <f>IMSUM(COMPLEX(0,B1105*CMC_CLINE),IMDIV("1",IMPRODUCT("2",COMPLEX(CY_ESR,B1105*CY_ESL-1/(B1105*CY_C)))),COMPLEX(1/DUMMY_R,0))</f>
        <v>0</v>
      </c>
      <c r="M1105">
        <f>IMSUM(D1105,IMDIV("1",C1105))</f>
        <v>0</v>
      </c>
      <c r="N1105">
        <f>IMDIV("1",IMSUM(E1105,IMDIV("1",M1105)))</f>
        <v>0</v>
      </c>
      <c r="O1105">
        <f>IMSUM(F1105,N1105)</f>
        <v>0</v>
      </c>
      <c r="P1105">
        <f>IMDIV("1",IMSUM(G1105,IMDIV("1",O1105)))</f>
        <v>0</v>
      </c>
      <c r="Q1105">
        <f>IMSUM(H1105,P1105)</f>
        <v>0</v>
      </c>
      <c r="R1105">
        <f>IMDIV("1",IMSUM(I1105,IMDIV("1",Q1105)))</f>
        <v>0</v>
      </c>
      <c r="S1105">
        <f>IMSUM(J1105,R1105)</f>
        <v>0</v>
      </c>
      <c r="T1105">
        <f>IMDIV("1",IMSUM(K1105,IMDIV("1",S1105)))</f>
        <v>0</v>
      </c>
      <c r="U1105">
        <f>IMSUM(L1105,T1105)</f>
        <v>0</v>
      </c>
      <c r="V1105">
        <f>IMDIV(COMPLEX(I_DM_SOURCE,0),U1105)</f>
        <v>0</v>
      </c>
      <c r="W1105">
        <f>IMPRODUCT(V1105,T1105)</f>
        <v>0</v>
      </c>
      <c r="X1105">
        <f>IMDIV(W1105,S1105)</f>
        <v>0</v>
      </c>
      <c r="Y1105">
        <f>IMPRODUCT(X1105,R1105)</f>
        <v>0</v>
      </c>
      <c r="Z1105">
        <f>IMDIV(Y1105,Q1105)</f>
        <v>0</v>
      </c>
      <c r="AA1105">
        <f>IMPRODUCT(Z1105,P1105)</f>
        <v>0</v>
      </c>
      <c r="AB1105">
        <f>AA1105</f>
        <v>0</v>
      </c>
      <c r="AC1105">
        <f>IMPRODUCT("-1",AB1105)</f>
        <v>0</v>
      </c>
      <c r="AD1105">
        <f>IMDIV(IMSUB(AB1105,AC1105),"2")</f>
        <v>0</v>
      </c>
      <c r="AE1105" s="6">
        <f>IMABS(AB1105)</f>
        <v>0</v>
      </c>
      <c r="AF1105" s="6">
        <f>IMABS(AC1105)</f>
        <v>0</v>
      </c>
      <c r="AG1105" s="6">
        <f>IMABS(AD1105)</f>
        <v>0</v>
      </c>
      <c r="AH1105" s="7">
        <f>20*LOG10(MAX(AE1105,1E-300)*1E6)</f>
        <v>0</v>
      </c>
      <c r="AI1105" s="7">
        <f>20*LOG10(MAX(AF1105,1E-300)*1E6)</f>
        <v>0</v>
      </c>
      <c r="AJ1105" s="7">
        <f>20*LOG10(MAX(AG1105,1E-300)*1E6)</f>
        <v>0</v>
      </c>
      <c r="AK1105" s="7">
        <f>DEGREES(IMARGUMENT(AB1105))</f>
        <v>0</v>
      </c>
      <c r="AL1105" s="7">
        <f>DEGREES(IMARGUMENT(AC1105))</f>
        <v>0</v>
      </c>
      <c r="AM1105" s="7">
        <f>DEGREES(IMARGUMENT(AD1105))</f>
        <v>0</v>
      </c>
    </row>
    <row r="1106" spans="1:39">
      <c r="A1106" s="6">
        <f>10^(LOG10(F_START)+(ROW()-ROW($A$2))*(LOG10(F_STOP)-LOG10(F_START))/(N_POINTS-1))</f>
        <v>0</v>
      </c>
      <c r="B1106" s="6">
        <f>2*PI()*A1106</f>
        <v>0</v>
      </c>
      <c r="C1106">
        <f>COMPLEX(2*LINE_PS_DCR,2*B1106*LINE_PS_L)</f>
        <v>0</v>
      </c>
      <c r="D1106">
        <f>IMSUM(COMPLEX(0,B1106*(LINE_PS_CLINE+LINE_PS_CCHA/2)),IMDIV("1",IMPRODUCT("2",COMPLEX(C_THROUGH_ESR,B1106*C_THROUGH_ESL-1/(B1106*C_THROUGH_C)))))</f>
        <v>0</v>
      </c>
      <c r="E1106">
        <f>COMPLEX(2*LINE_INPUT_DCR,2*B1106*LINE_INPUT_L)</f>
        <v>0</v>
      </c>
      <c r="F1106">
        <f>COMPLEX(0,B1106*(LINE_INPUT_CLINE+LINE_INPUT_CCHA/2))</f>
        <v>0</v>
      </c>
      <c r="G1106">
        <f>IMPRODUCT("2",IMDIV("1",IMSUM(IMDIV("1",COMPLEX(LDM1_DCR,B1106*LDM1_L)),COMPLEX(0,B1106*LDM1_CPA))))</f>
        <v>0</v>
      </c>
      <c r="H1106">
        <f>IMSUM(IMDIV("1",COMPLEX(CX1_ESR,B1106*CX1_ESL-1/(B1106*CX1_C))),IMDIV("1",IMSUM(COMPLEX(DUMP1_R,0),COMPLEX(DUMP1_ESR,B1106*DUMP1_ESL-1/(B1106*DUMP1_C)))))</f>
        <v>0</v>
      </c>
      <c r="I1106">
        <f>IMPRODUCT("2",IMDIV("1",IMSUM(IMDIV("1",COMPLEX(LDM2_DCR,B1106*LDM2_L)),COMPLEX(0,B1106*LDM2_CPA))))</f>
        <v>0</v>
      </c>
      <c r="J1106">
        <f>IMSUM(IMDIV("1",COMPLEX(CX2_ESR,B1106*CX2_ESL-1/(B1106*CX2_C))),IMDIV("1",IMSUM(COMPLEX(DUMP2_R,0),COMPLEX(DUMP2_ESR,B1106*DUMP2_ESL-1/(B1106*DUMP2_C)))))</f>
        <v>0</v>
      </c>
      <c r="K1106">
        <f>IMPRODUCT("2",IMDIV("1",IMSUM(IMDIV("1",COMPLEX(CMC_DCR,B1106*CMC_L*(1-CMC_K))),COMPLEX(0,B1106*CMC_CPA))))</f>
        <v>0</v>
      </c>
      <c r="L1106">
        <f>IMSUM(COMPLEX(0,B1106*CMC_CLINE),IMDIV("1",IMPRODUCT("2",COMPLEX(CY_ESR,B1106*CY_ESL-1/(B1106*CY_C)))),COMPLEX(1/DUMMY_R,0))</f>
        <v>0</v>
      </c>
      <c r="M1106">
        <f>IMSUM(D1106,IMDIV("1",C1106))</f>
        <v>0</v>
      </c>
      <c r="N1106">
        <f>IMDIV("1",IMSUM(E1106,IMDIV("1",M1106)))</f>
        <v>0</v>
      </c>
      <c r="O1106">
        <f>IMSUM(F1106,N1106)</f>
        <v>0</v>
      </c>
      <c r="P1106">
        <f>IMDIV("1",IMSUM(G1106,IMDIV("1",O1106)))</f>
        <v>0</v>
      </c>
      <c r="Q1106">
        <f>IMSUM(H1106,P1106)</f>
        <v>0</v>
      </c>
      <c r="R1106">
        <f>IMDIV("1",IMSUM(I1106,IMDIV("1",Q1106)))</f>
        <v>0</v>
      </c>
      <c r="S1106">
        <f>IMSUM(J1106,R1106)</f>
        <v>0</v>
      </c>
      <c r="T1106">
        <f>IMDIV("1",IMSUM(K1106,IMDIV("1",S1106)))</f>
        <v>0</v>
      </c>
      <c r="U1106">
        <f>IMSUM(L1106,T1106)</f>
        <v>0</v>
      </c>
      <c r="V1106">
        <f>IMDIV(COMPLEX(I_DM_SOURCE,0),U1106)</f>
        <v>0</v>
      </c>
      <c r="W1106">
        <f>IMPRODUCT(V1106,T1106)</f>
        <v>0</v>
      </c>
      <c r="X1106">
        <f>IMDIV(W1106,S1106)</f>
        <v>0</v>
      </c>
      <c r="Y1106">
        <f>IMPRODUCT(X1106,R1106)</f>
        <v>0</v>
      </c>
      <c r="Z1106">
        <f>IMDIV(Y1106,Q1106)</f>
        <v>0</v>
      </c>
      <c r="AA1106">
        <f>IMPRODUCT(Z1106,P1106)</f>
        <v>0</v>
      </c>
      <c r="AB1106">
        <f>AA1106</f>
        <v>0</v>
      </c>
      <c r="AC1106">
        <f>IMPRODUCT("-1",AB1106)</f>
        <v>0</v>
      </c>
      <c r="AD1106">
        <f>IMDIV(IMSUB(AB1106,AC1106),"2")</f>
        <v>0</v>
      </c>
      <c r="AE1106" s="6">
        <f>IMABS(AB1106)</f>
        <v>0</v>
      </c>
      <c r="AF1106" s="6">
        <f>IMABS(AC1106)</f>
        <v>0</v>
      </c>
      <c r="AG1106" s="6">
        <f>IMABS(AD1106)</f>
        <v>0</v>
      </c>
      <c r="AH1106" s="7">
        <f>20*LOG10(MAX(AE1106,1E-300)*1E6)</f>
        <v>0</v>
      </c>
      <c r="AI1106" s="7">
        <f>20*LOG10(MAX(AF1106,1E-300)*1E6)</f>
        <v>0</v>
      </c>
      <c r="AJ1106" s="7">
        <f>20*LOG10(MAX(AG1106,1E-300)*1E6)</f>
        <v>0</v>
      </c>
      <c r="AK1106" s="7">
        <f>DEGREES(IMARGUMENT(AB1106))</f>
        <v>0</v>
      </c>
      <c r="AL1106" s="7">
        <f>DEGREES(IMARGUMENT(AC1106))</f>
        <v>0</v>
      </c>
      <c r="AM1106" s="7">
        <f>DEGREES(IMARGUMENT(AD1106))</f>
        <v>0</v>
      </c>
    </row>
    <row r="1107" spans="1:39">
      <c r="A1107" s="6">
        <f>10^(LOG10(F_START)+(ROW()-ROW($A$2))*(LOG10(F_STOP)-LOG10(F_START))/(N_POINTS-1))</f>
        <v>0</v>
      </c>
      <c r="B1107" s="6">
        <f>2*PI()*A1107</f>
        <v>0</v>
      </c>
      <c r="C1107">
        <f>COMPLEX(2*LINE_PS_DCR,2*B1107*LINE_PS_L)</f>
        <v>0</v>
      </c>
      <c r="D1107">
        <f>IMSUM(COMPLEX(0,B1107*(LINE_PS_CLINE+LINE_PS_CCHA/2)),IMDIV("1",IMPRODUCT("2",COMPLEX(C_THROUGH_ESR,B1107*C_THROUGH_ESL-1/(B1107*C_THROUGH_C)))))</f>
        <v>0</v>
      </c>
      <c r="E1107">
        <f>COMPLEX(2*LINE_INPUT_DCR,2*B1107*LINE_INPUT_L)</f>
        <v>0</v>
      </c>
      <c r="F1107">
        <f>COMPLEX(0,B1107*(LINE_INPUT_CLINE+LINE_INPUT_CCHA/2))</f>
        <v>0</v>
      </c>
      <c r="G1107">
        <f>IMPRODUCT("2",IMDIV("1",IMSUM(IMDIV("1",COMPLEX(LDM1_DCR,B1107*LDM1_L)),COMPLEX(0,B1107*LDM1_CPA))))</f>
        <v>0</v>
      </c>
      <c r="H1107">
        <f>IMSUM(IMDIV("1",COMPLEX(CX1_ESR,B1107*CX1_ESL-1/(B1107*CX1_C))),IMDIV("1",IMSUM(COMPLEX(DUMP1_R,0),COMPLEX(DUMP1_ESR,B1107*DUMP1_ESL-1/(B1107*DUMP1_C)))))</f>
        <v>0</v>
      </c>
      <c r="I1107">
        <f>IMPRODUCT("2",IMDIV("1",IMSUM(IMDIV("1",COMPLEX(LDM2_DCR,B1107*LDM2_L)),COMPLEX(0,B1107*LDM2_CPA))))</f>
        <v>0</v>
      </c>
      <c r="J1107">
        <f>IMSUM(IMDIV("1",COMPLEX(CX2_ESR,B1107*CX2_ESL-1/(B1107*CX2_C))),IMDIV("1",IMSUM(COMPLEX(DUMP2_R,0),COMPLEX(DUMP2_ESR,B1107*DUMP2_ESL-1/(B1107*DUMP2_C)))))</f>
        <v>0</v>
      </c>
      <c r="K1107">
        <f>IMPRODUCT("2",IMDIV("1",IMSUM(IMDIV("1",COMPLEX(CMC_DCR,B1107*CMC_L*(1-CMC_K))),COMPLEX(0,B1107*CMC_CPA))))</f>
        <v>0</v>
      </c>
      <c r="L1107">
        <f>IMSUM(COMPLEX(0,B1107*CMC_CLINE),IMDIV("1",IMPRODUCT("2",COMPLEX(CY_ESR,B1107*CY_ESL-1/(B1107*CY_C)))),COMPLEX(1/DUMMY_R,0))</f>
        <v>0</v>
      </c>
      <c r="M1107">
        <f>IMSUM(D1107,IMDIV("1",C1107))</f>
        <v>0</v>
      </c>
      <c r="N1107">
        <f>IMDIV("1",IMSUM(E1107,IMDIV("1",M1107)))</f>
        <v>0</v>
      </c>
      <c r="O1107">
        <f>IMSUM(F1107,N1107)</f>
        <v>0</v>
      </c>
      <c r="P1107">
        <f>IMDIV("1",IMSUM(G1107,IMDIV("1",O1107)))</f>
        <v>0</v>
      </c>
      <c r="Q1107">
        <f>IMSUM(H1107,P1107)</f>
        <v>0</v>
      </c>
      <c r="R1107">
        <f>IMDIV("1",IMSUM(I1107,IMDIV("1",Q1107)))</f>
        <v>0</v>
      </c>
      <c r="S1107">
        <f>IMSUM(J1107,R1107)</f>
        <v>0</v>
      </c>
      <c r="T1107">
        <f>IMDIV("1",IMSUM(K1107,IMDIV("1",S1107)))</f>
        <v>0</v>
      </c>
      <c r="U1107">
        <f>IMSUM(L1107,T1107)</f>
        <v>0</v>
      </c>
      <c r="V1107">
        <f>IMDIV(COMPLEX(I_DM_SOURCE,0),U1107)</f>
        <v>0</v>
      </c>
      <c r="W1107">
        <f>IMPRODUCT(V1107,T1107)</f>
        <v>0</v>
      </c>
      <c r="X1107">
        <f>IMDIV(W1107,S1107)</f>
        <v>0</v>
      </c>
      <c r="Y1107">
        <f>IMPRODUCT(X1107,R1107)</f>
        <v>0</v>
      </c>
      <c r="Z1107">
        <f>IMDIV(Y1107,Q1107)</f>
        <v>0</v>
      </c>
      <c r="AA1107">
        <f>IMPRODUCT(Z1107,P1107)</f>
        <v>0</v>
      </c>
      <c r="AB1107">
        <f>AA1107</f>
        <v>0</v>
      </c>
      <c r="AC1107">
        <f>IMPRODUCT("-1",AB1107)</f>
        <v>0</v>
      </c>
      <c r="AD1107">
        <f>IMDIV(IMSUB(AB1107,AC1107),"2")</f>
        <v>0</v>
      </c>
      <c r="AE1107" s="6">
        <f>IMABS(AB1107)</f>
        <v>0</v>
      </c>
      <c r="AF1107" s="6">
        <f>IMABS(AC1107)</f>
        <v>0</v>
      </c>
      <c r="AG1107" s="6">
        <f>IMABS(AD1107)</f>
        <v>0</v>
      </c>
      <c r="AH1107" s="7">
        <f>20*LOG10(MAX(AE1107,1E-300)*1E6)</f>
        <v>0</v>
      </c>
      <c r="AI1107" s="7">
        <f>20*LOG10(MAX(AF1107,1E-300)*1E6)</f>
        <v>0</v>
      </c>
      <c r="AJ1107" s="7">
        <f>20*LOG10(MAX(AG1107,1E-300)*1E6)</f>
        <v>0</v>
      </c>
      <c r="AK1107" s="7">
        <f>DEGREES(IMARGUMENT(AB1107))</f>
        <v>0</v>
      </c>
      <c r="AL1107" s="7">
        <f>DEGREES(IMARGUMENT(AC1107))</f>
        <v>0</v>
      </c>
      <c r="AM1107" s="7">
        <f>DEGREES(IMARGUMENT(AD1107))</f>
        <v>0</v>
      </c>
    </row>
    <row r="1108" spans="1:39">
      <c r="A1108" s="6">
        <f>10^(LOG10(F_START)+(ROW()-ROW($A$2))*(LOG10(F_STOP)-LOG10(F_START))/(N_POINTS-1))</f>
        <v>0</v>
      </c>
      <c r="B1108" s="6">
        <f>2*PI()*A1108</f>
        <v>0</v>
      </c>
      <c r="C1108">
        <f>COMPLEX(2*LINE_PS_DCR,2*B1108*LINE_PS_L)</f>
        <v>0</v>
      </c>
      <c r="D1108">
        <f>IMSUM(COMPLEX(0,B1108*(LINE_PS_CLINE+LINE_PS_CCHA/2)),IMDIV("1",IMPRODUCT("2",COMPLEX(C_THROUGH_ESR,B1108*C_THROUGH_ESL-1/(B1108*C_THROUGH_C)))))</f>
        <v>0</v>
      </c>
      <c r="E1108">
        <f>COMPLEX(2*LINE_INPUT_DCR,2*B1108*LINE_INPUT_L)</f>
        <v>0</v>
      </c>
      <c r="F1108">
        <f>COMPLEX(0,B1108*(LINE_INPUT_CLINE+LINE_INPUT_CCHA/2))</f>
        <v>0</v>
      </c>
      <c r="G1108">
        <f>IMPRODUCT("2",IMDIV("1",IMSUM(IMDIV("1",COMPLEX(LDM1_DCR,B1108*LDM1_L)),COMPLEX(0,B1108*LDM1_CPA))))</f>
        <v>0</v>
      </c>
      <c r="H1108">
        <f>IMSUM(IMDIV("1",COMPLEX(CX1_ESR,B1108*CX1_ESL-1/(B1108*CX1_C))),IMDIV("1",IMSUM(COMPLEX(DUMP1_R,0),COMPLEX(DUMP1_ESR,B1108*DUMP1_ESL-1/(B1108*DUMP1_C)))))</f>
        <v>0</v>
      </c>
      <c r="I1108">
        <f>IMPRODUCT("2",IMDIV("1",IMSUM(IMDIV("1",COMPLEX(LDM2_DCR,B1108*LDM2_L)),COMPLEX(0,B1108*LDM2_CPA))))</f>
        <v>0</v>
      </c>
      <c r="J1108">
        <f>IMSUM(IMDIV("1",COMPLEX(CX2_ESR,B1108*CX2_ESL-1/(B1108*CX2_C))),IMDIV("1",IMSUM(COMPLEX(DUMP2_R,0),COMPLEX(DUMP2_ESR,B1108*DUMP2_ESL-1/(B1108*DUMP2_C)))))</f>
        <v>0</v>
      </c>
      <c r="K1108">
        <f>IMPRODUCT("2",IMDIV("1",IMSUM(IMDIV("1",COMPLEX(CMC_DCR,B1108*CMC_L*(1-CMC_K))),COMPLEX(0,B1108*CMC_CPA))))</f>
        <v>0</v>
      </c>
      <c r="L1108">
        <f>IMSUM(COMPLEX(0,B1108*CMC_CLINE),IMDIV("1",IMPRODUCT("2",COMPLEX(CY_ESR,B1108*CY_ESL-1/(B1108*CY_C)))),COMPLEX(1/DUMMY_R,0))</f>
        <v>0</v>
      </c>
      <c r="M1108">
        <f>IMSUM(D1108,IMDIV("1",C1108))</f>
        <v>0</v>
      </c>
      <c r="N1108">
        <f>IMDIV("1",IMSUM(E1108,IMDIV("1",M1108)))</f>
        <v>0</v>
      </c>
      <c r="O1108">
        <f>IMSUM(F1108,N1108)</f>
        <v>0</v>
      </c>
      <c r="P1108">
        <f>IMDIV("1",IMSUM(G1108,IMDIV("1",O1108)))</f>
        <v>0</v>
      </c>
      <c r="Q1108">
        <f>IMSUM(H1108,P1108)</f>
        <v>0</v>
      </c>
      <c r="R1108">
        <f>IMDIV("1",IMSUM(I1108,IMDIV("1",Q1108)))</f>
        <v>0</v>
      </c>
      <c r="S1108">
        <f>IMSUM(J1108,R1108)</f>
        <v>0</v>
      </c>
      <c r="T1108">
        <f>IMDIV("1",IMSUM(K1108,IMDIV("1",S1108)))</f>
        <v>0</v>
      </c>
      <c r="U1108">
        <f>IMSUM(L1108,T1108)</f>
        <v>0</v>
      </c>
      <c r="V1108">
        <f>IMDIV(COMPLEX(I_DM_SOURCE,0),U1108)</f>
        <v>0</v>
      </c>
      <c r="W1108">
        <f>IMPRODUCT(V1108,T1108)</f>
        <v>0</v>
      </c>
      <c r="X1108">
        <f>IMDIV(W1108,S1108)</f>
        <v>0</v>
      </c>
      <c r="Y1108">
        <f>IMPRODUCT(X1108,R1108)</f>
        <v>0</v>
      </c>
      <c r="Z1108">
        <f>IMDIV(Y1108,Q1108)</f>
        <v>0</v>
      </c>
      <c r="AA1108">
        <f>IMPRODUCT(Z1108,P1108)</f>
        <v>0</v>
      </c>
      <c r="AB1108">
        <f>AA1108</f>
        <v>0</v>
      </c>
      <c r="AC1108">
        <f>IMPRODUCT("-1",AB1108)</f>
        <v>0</v>
      </c>
      <c r="AD1108">
        <f>IMDIV(IMSUB(AB1108,AC1108),"2")</f>
        <v>0</v>
      </c>
      <c r="AE1108" s="6">
        <f>IMABS(AB1108)</f>
        <v>0</v>
      </c>
      <c r="AF1108" s="6">
        <f>IMABS(AC1108)</f>
        <v>0</v>
      </c>
      <c r="AG1108" s="6">
        <f>IMABS(AD1108)</f>
        <v>0</v>
      </c>
      <c r="AH1108" s="7">
        <f>20*LOG10(MAX(AE1108,1E-300)*1E6)</f>
        <v>0</v>
      </c>
      <c r="AI1108" s="7">
        <f>20*LOG10(MAX(AF1108,1E-300)*1E6)</f>
        <v>0</v>
      </c>
      <c r="AJ1108" s="7">
        <f>20*LOG10(MAX(AG1108,1E-300)*1E6)</f>
        <v>0</v>
      </c>
      <c r="AK1108" s="7">
        <f>DEGREES(IMARGUMENT(AB1108))</f>
        <v>0</v>
      </c>
      <c r="AL1108" s="7">
        <f>DEGREES(IMARGUMENT(AC1108))</f>
        <v>0</v>
      </c>
      <c r="AM1108" s="7">
        <f>DEGREES(IMARGUMENT(AD1108))</f>
        <v>0</v>
      </c>
    </row>
    <row r="1109" spans="1:39">
      <c r="A1109" s="6">
        <f>10^(LOG10(F_START)+(ROW()-ROW($A$2))*(LOG10(F_STOP)-LOG10(F_START))/(N_POINTS-1))</f>
        <v>0</v>
      </c>
      <c r="B1109" s="6">
        <f>2*PI()*A1109</f>
        <v>0</v>
      </c>
      <c r="C1109">
        <f>COMPLEX(2*LINE_PS_DCR,2*B1109*LINE_PS_L)</f>
        <v>0</v>
      </c>
      <c r="D1109">
        <f>IMSUM(COMPLEX(0,B1109*(LINE_PS_CLINE+LINE_PS_CCHA/2)),IMDIV("1",IMPRODUCT("2",COMPLEX(C_THROUGH_ESR,B1109*C_THROUGH_ESL-1/(B1109*C_THROUGH_C)))))</f>
        <v>0</v>
      </c>
      <c r="E1109">
        <f>COMPLEX(2*LINE_INPUT_DCR,2*B1109*LINE_INPUT_L)</f>
        <v>0</v>
      </c>
      <c r="F1109">
        <f>COMPLEX(0,B1109*(LINE_INPUT_CLINE+LINE_INPUT_CCHA/2))</f>
        <v>0</v>
      </c>
      <c r="G1109">
        <f>IMPRODUCT("2",IMDIV("1",IMSUM(IMDIV("1",COMPLEX(LDM1_DCR,B1109*LDM1_L)),COMPLEX(0,B1109*LDM1_CPA))))</f>
        <v>0</v>
      </c>
      <c r="H1109">
        <f>IMSUM(IMDIV("1",COMPLEX(CX1_ESR,B1109*CX1_ESL-1/(B1109*CX1_C))),IMDIV("1",IMSUM(COMPLEX(DUMP1_R,0),COMPLEX(DUMP1_ESR,B1109*DUMP1_ESL-1/(B1109*DUMP1_C)))))</f>
        <v>0</v>
      </c>
      <c r="I1109">
        <f>IMPRODUCT("2",IMDIV("1",IMSUM(IMDIV("1",COMPLEX(LDM2_DCR,B1109*LDM2_L)),COMPLEX(0,B1109*LDM2_CPA))))</f>
        <v>0</v>
      </c>
      <c r="J1109">
        <f>IMSUM(IMDIV("1",COMPLEX(CX2_ESR,B1109*CX2_ESL-1/(B1109*CX2_C))),IMDIV("1",IMSUM(COMPLEX(DUMP2_R,0),COMPLEX(DUMP2_ESR,B1109*DUMP2_ESL-1/(B1109*DUMP2_C)))))</f>
        <v>0</v>
      </c>
      <c r="K1109">
        <f>IMPRODUCT("2",IMDIV("1",IMSUM(IMDIV("1",COMPLEX(CMC_DCR,B1109*CMC_L*(1-CMC_K))),COMPLEX(0,B1109*CMC_CPA))))</f>
        <v>0</v>
      </c>
      <c r="L1109">
        <f>IMSUM(COMPLEX(0,B1109*CMC_CLINE),IMDIV("1",IMPRODUCT("2",COMPLEX(CY_ESR,B1109*CY_ESL-1/(B1109*CY_C)))),COMPLEX(1/DUMMY_R,0))</f>
        <v>0</v>
      </c>
      <c r="M1109">
        <f>IMSUM(D1109,IMDIV("1",C1109))</f>
        <v>0</v>
      </c>
      <c r="N1109">
        <f>IMDIV("1",IMSUM(E1109,IMDIV("1",M1109)))</f>
        <v>0</v>
      </c>
      <c r="O1109">
        <f>IMSUM(F1109,N1109)</f>
        <v>0</v>
      </c>
      <c r="P1109">
        <f>IMDIV("1",IMSUM(G1109,IMDIV("1",O1109)))</f>
        <v>0</v>
      </c>
      <c r="Q1109">
        <f>IMSUM(H1109,P1109)</f>
        <v>0</v>
      </c>
      <c r="R1109">
        <f>IMDIV("1",IMSUM(I1109,IMDIV("1",Q1109)))</f>
        <v>0</v>
      </c>
      <c r="S1109">
        <f>IMSUM(J1109,R1109)</f>
        <v>0</v>
      </c>
      <c r="T1109">
        <f>IMDIV("1",IMSUM(K1109,IMDIV("1",S1109)))</f>
        <v>0</v>
      </c>
      <c r="U1109">
        <f>IMSUM(L1109,T1109)</f>
        <v>0</v>
      </c>
      <c r="V1109">
        <f>IMDIV(COMPLEX(I_DM_SOURCE,0),U1109)</f>
        <v>0</v>
      </c>
      <c r="W1109">
        <f>IMPRODUCT(V1109,T1109)</f>
        <v>0</v>
      </c>
      <c r="X1109">
        <f>IMDIV(W1109,S1109)</f>
        <v>0</v>
      </c>
      <c r="Y1109">
        <f>IMPRODUCT(X1109,R1109)</f>
        <v>0</v>
      </c>
      <c r="Z1109">
        <f>IMDIV(Y1109,Q1109)</f>
        <v>0</v>
      </c>
      <c r="AA1109">
        <f>IMPRODUCT(Z1109,P1109)</f>
        <v>0</v>
      </c>
      <c r="AB1109">
        <f>AA1109</f>
        <v>0</v>
      </c>
      <c r="AC1109">
        <f>IMPRODUCT("-1",AB1109)</f>
        <v>0</v>
      </c>
      <c r="AD1109">
        <f>IMDIV(IMSUB(AB1109,AC1109),"2")</f>
        <v>0</v>
      </c>
      <c r="AE1109" s="6">
        <f>IMABS(AB1109)</f>
        <v>0</v>
      </c>
      <c r="AF1109" s="6">
        <f>IMABS(AC1109)</f>
        <v>0</v>
      </c>
      <c r="AG1109" s="6">
        <f>IMABS(AD1109)</f>
        <v>0</v>
      </c>
      <c r="AH1109" s="7">
        <f>20*LOG10(MAX(AE1109,1E-300)*1E6)</f>
        <v>0</v>
      </c>
      <c r="AI1109" s="7">
        <f>20*LOG10(MAX(AF1109,1E-300)*1E6)</f>
        <v>0</v>
      </c>
      <c r="AJ1109" s="7">
        <f>20*LOG10(MAX(AG1109,1E-300)*1E6)</f>
        <v>0</v>
      </c>
      <c r="AK1109" s="7">
        <f>DEGREES(IMARGUMENT(AB1109))</f>
        <v>0</v>
      </c>
      <c r="AL1109" s="7">
        <f>DEGREES(IMARGUMENT(AC1109))</f>
        <v>0</v>
      </c>
      <c r="AM1109" s="7">
        <f>DEGREES(IMARGUMENT(AD1109))</f>
        <v>0</v>
      </c>
    </row>
    <row r="1110" spans="1:39">
      <c r="A1110" s="6">
        <f>10^(LOG10(F_START)+(ROW()-ROW($A$2))*(LOG10(F_STOP)-LOG10(F_START))/(N_POINTS-1))</f>
        <v>0</v>
      </c>
      <c r="B1110" s="6">
        <f>2*PI()*A1110</f>
        <v>0</v>
      </c>
      <c r="C1110">
        <f>COMPLEX(2*LINE_PS_DCR,2*B1110*LINE_PS_L)</f>
        <v>0</v>
      </c>
      <c r="D1110">
        <f>IMSUM(COMPLEX(0,B1110*(LINE_PS_CLINE+LINE_PS_CCHA/2)),IMDIV("1",IMPRODUCT("2",COMPLEX(C_THROUGH_ESR,B1110*C_THROUGH_ESL-1/(B1110*C_THROUGH_C)))))</f>
        <v>0</v>
      </c>
      <c r="E1110">
        <f>COMPLEX(2*LINE_INPUT_DCR,2*B1110*LINE_INPUT_L)</f>
        <v>0</v>
      </c>
      <c r="F1110">
        <f>COMPLEX(0,B1110*(LINE_INPUT_CLINE+LINE_INPUT_CCHA/2))</f>
        <v>0</v>
      </c>
      <c r="G1110">
        <f>IMPRODUCT("2",IMDIV("1",IMSUM(IMDIV("1",COMPLEX(LDM1_DCR,B1110*LDM1_L)),COMPLEX(0,B1110*LDM1_CPA))))</f>
        <v>0</v>
      </c>
      <c r="H1110">
        <f>IMSUM(IMDIV("1",COMPLEX(CX1_ESR,B1110*CX1_ESL-1/(B1110*CX1_C))),IMDIV("1",IMSUM(COMPLEX(DUMP1_R,0),COMPLEX(DUMP1_ESR,B1110*DUMP1_ESL-1/(B1110*DUMP1_C)))))</f>
        <v>0</v>
      </c>
      <c r="I1110">
        <f>IMPRODUCT("2",IMDIV("1",IMSUM(IMDIV("1",COMPLEX(LDM2_DCR,B1110*LDM2_L)),COMPLEX(0,B1110*LDM2_CPA))))</f>
        <v>0</v>
      </c>
      <c r="J1110">
        <f>IMSUM(IMDIV("1",COMPLEX(CX2_ESR,B1110*CX2_ESL-1/(B1110*CX2_C))),IMDIV("1",IMSUM(COMPLEX(DUMP2_R,0),COMPLEX(DUMP2_ESR,B1110*DUMP2_ESL-1/(B1110*DUMP2_C)))))</f>
        <v>0</v>
      </c>
      <c r="K1110">
        <f>IMPRODUCT("2",IMDIV("1",IMSUM(IMDIV("1",COMPLEX(CMC_DCR,B1110*CMC_L*(1-CMC_K))),COMPLEX(0,B1110*CMC_CPA))))</f>
        <v>0</v>
      </c>
      <c r="L1110">
        <f>IMSUM(COMPLEX(0,B1110*CMC_CLINE),IMDIV("1",IMPRODUCT("2",COMPLEX(CY_ESR,B1110*CY_ESL-1/(B1110*CY_C)))),COMPLEX(1/DUMMY_R,0))</f>
        <v>0</v>
      </c>
      <c r="M1110">
        <f>IMSUM(D1110,IMDIV("1",C1110))</f>
        <v>0</v>
      </c>
      <c r="N1110">
        <f>IMDIV("1",IMSUM(E1110,IMDIV("1",M1110)))</f>
        <v>0</v>
      </c>
      <c r="O1110">
        <f>IMSUM(F1110,N1110)</f>
        <v>0</v>
      </c>
      <c r="P1110">
        <f>IMDIV("1",IMSUM(G1110,IMDIV("1",O1110)))</f>
        <v>0</v>
      </c>
      <c r="Q1110">
        <f>IMSUM(H1110,P1110)</f>
        <v>0</v>
      </c>
      <c r="R1110">
        <f>IMDIV("1",IMSUM(I1110,IMDIV("1",Q1110)))</f>
        <v>0</v>
      </c>
      <c r="S1110">
        <f>IMSUM(J1110,R1110)</f>
        <v>0</v>
      </c>
      <c r="T1110">
        <f>IMDIV("1",IMSUM(K1110,IMDIV("1",S1110)))</f>
        <v>0</v>
      </c>
      <c r="U1110">
        <f>IMSUM(L1110,T1110)</f>
        <v>0</v>
      </c>
      <c r="V1110">
        <f>IMDIV(COMPLEX(I_DM_SOURCE,0),U1110)</f>
        <v>0</v>
      </c>
      <c r="W1110">
        <f>IMPRODUCT(V1110,T1110)</f>
        <v>0</v>
      </c>
      <c r="X1110">
        <f>IMDIV(W1110,S1110)</f>
        <v>0</v>
      </c>
      <c r="Y1110">
        <f>IMPRODUCT(X1110,R1110)</f>
        <v>0</v>
      </c>
      <c r="Z1110">
        <f>IMDIV(Y1110,Q1110)</f>
        <v>0</v>
      </c>
      <c r="AA1110">
        <f>IMPRODUCT(Z1110,P1110)</f>
        <v>0</v>
      </c>
      <c r="AB1110">
        <f>AA1110</f>
        <v>0</v>
      </c>
      <c r="AC1110">
        <f>IMPRODUCT("-1",AB1110)</f>
        <v>0</v>
      </c>
      <c r="AD1110">
        <f>IMDIV(IMSUB(AB1110,AC1110),"2")</f>
        <v>0</v>
      </c>
      <c r="AE1110" s="6">
        <f>IMABS(AB1110)</f>
        <v>0</v>
      </c>
      <c r="AF1110" s="6">
        <f>IMABS(AC1110)</f>
        <v>0</v>
      </c>
      <c r="AG1110" s="6">
        <f>IMABS(AD1110)</f>
        <v>0</v>
      </c>
      <c r="AH1110" s="7">
        <f>20*LOG10(MAX(AE1110,1E-300)*1E6)</f>
        <v>0</v>
      </c>
      <c r="AI1110" s="7">
        <f>20*LOG10(MAX(AF1110,1E-300)*1E6)</f>
        <v>0</v>
      </c>
      <c r="AJ1110" s="7">
        <f>20*LOG10(MAX(AG1110,1E-300)*1E6)</f>
        <v>0</v>
      </c>
      <c r="AK1110" s="7">
        <f>DEGREES(IMARGUMENT(AB1110))</f>
        <v>0</v>
      </c>
      <c r="AL1110" s="7">
        <f>DEGREES(IMARGUMENT(AC1110))</f>
        <v>0</v>
      </c>
      <c r="AM1110" s="7">
        <f>DEGREES(IMARGUMENT(AD1110))</f>
        <v>0</v>
      </c>
    </row>
    <row r="1111" spans="1:39">
      <c r="A1111" s="6">
        <f>10^(LOG10(F_START)+(ROW()-ROW($A$2))*(LOG10(F_STOP)-LOG10(F_START))/(N_POINTS-1))</f>
        <v>0</v>
      </c>
      <c r="B1111" s="6">
        <f>2*PI()*A1111</f>
        <v>0</v>
      </c>
      <c r="C1111">
        <f>COMPLEX(2*LINE_PS_DCR,2*B1111*LINE_PS_L)</f>
        <v>0</v>
      </c>
      <c r="D1111">
        <f>IMSUM(COMPLEX(0,B1111*(LINE_PS_CLINE+LINE_PS_CCHA/2)),IMDIV("1",IMPRODUCT("2",COMPLEX(C_THROUGH_ESR,B1111*C_THROUGH_ESL-1/(B1111*C_THROUGH_C)))))</f>
        <v>0</v>
      </c>
      <c r="E1111">
        <f>COMPLEX(2*LINE_INPUT_DCR,2*B1111*LINE_INPUT_L)</f>
        <v>0</v>
      </c>
      <c r="F1111">
        <f>COMPLEX(0,B1111*(LINE_INPUT_CLINE+LINE_INPUT_CCHA/2))</f>
        <v>0</v>
      </c>
      <c r="G1111">
        <f>IMPRODUCT("2",IMDIV("1",IMSUM(IMDIV("1",COMPLEX(LDM1_DCR,B1111*LDM1_L)),COMPLEX(0,B1111*LDM1_CPA))))</f>
        <v>0</v>
      </c>
      <c r="H1111">
        <f>IMSUM(IMDIV("1",COMPLEX(CX1_ESR,B1111*CX1_ESL-1/(B1111*CX1_C))),IMDIV("1",IMSUM(COMPLEX(DUMP1_R,0),COMPLEX(DUMP1_ESR,B1111*DUMP1_ESL-1/(B1111*DUMP1_C)))))</f>
        <v>0</v>
      </c>
      <c r="I1111">
        <f>IMPRODUCT("2",IMDIV("1",IMSUM(IMDIV("1",COMPLEX(LDM2_DCR,B1111*LDM2_L)),COMPLEX(0,B1111*LDM2_CPA))))</f>
        <v>0</v>
      </c>
      <c r="J1111">
        <f>IMSUM(IMDIV("1",COMPLEX(CX2_ESR,B1111*CX2_ESL-1/(B1111*CX2_C))),IMDIV("1",IMSUM(COMPLEX(DUMP2_R,0),COMPLEX(DUMP2_ESR,B1111*DUMP2_ESL-1/(B1111*DUMP2_C)))))</f>
        <v>0</v>
      </c>
      <c r="K1111">
        <f>IMPRODUCT("2",IMDIV("1",IMSUM(IMDIV("1",COMPLEX(CMC_DCR,B1111*CMC_L*(1-CMC_K))),COMPLEX(0,B1111*CMC_CPA))))</f>
        <v>0</v>
      </c>
      <c r="L1111">
        <f>IMSUM(COMPLEX(0,B1111*CMC_CLINE),IMDIV("1",IMPRODUCT("2",COMPLEX(CY_ESR,B1111*CY_ESL-1/(B1111*CY_C)))),COMPLEX(1/DUMMY_R,0))</f>
        <v>0</v>
      </c>
      <c r="M1111">
        <f>IMSUM(D1111,IMDIV("1",C1111))</f>
        <v>0</v>
      </c>
      <c r="N1111">
        <f>IMDIV("1",IMSUM(E1111,IMDIV("1",M1111)))</f>
        <v>0</v>
      </c>
      <c r="O1111">
        <f>IMSUM(F1111,N1111)</f>
        <v>0</v>
      </c>
      <c r="P1111">
        <f>IMDIV("1",IMSUM(G1111,IMDIV("1",O1111)))</f>
        <v>0</v>
      </c>
      <c r="Q1111">
        <f>IMSUM(H1111,P1111)</f>
        <v>0</v>
      </c>
      <c r="R1111">
        <f>IMDIV("1",IMSUM(I1111,IMDIV("1",Q1111)))</f>
        <v>0</v>
      </c>
      <c r="S1111">
        <f>IMSUM(J1111,R1111)</f>
        <v>0</v>
      </c>
      <c r="T1111">
        <f>IMDIV("1",IMSUM(K1111,IMDIV("1",S1111)))</f>
        <v>0</v>
      </c>
      <c r="U1111">
        <f>IMSUM(L1111,T1111)</f>
        <v>0</v>
      </c>
      <c r="V1111">
        <f>IMDIV(COMPLEX(I_DM_SOURCE,0),U1111)</f>
        <v>0</v>
      </c>
      <c r="W1111">
        <f>IMPRODUCT(V1111,T1111)</f>
        <v>0</v>
      </c>
      <c r="X1111">
        <f>IMDIV(W1111,S1111)</f>
        <v>0</v>
      </c>
      <c r="Y1111">
        <f>IMPRODUCT(X1111,R1111)</f>
        <v>0</v>
      </c>
      <c r="Z1111">
        <f>IMDIV(Y1111,Q1111)</f>
        <v>0</v>
      </c>
      <c r="AA1111">
        <f>IMPRODUCT(Z1111,P1111)</f>
        <v>0</v>
      </c>
      <c r="AB1111">
        <f>AA1111</f>
        <v>0</v>
      </c>
      <c r="AC1111">
        <f>IMPRODUCT("-1",AB1111)</f>
        <v>0</v>
      </c>
      <c r="AD1111">
        <f>IMDIV(IMSUB(AB1111,AC1111),"2")</f>
        <v>0</v>
      </c>
      <c r="AE1111" s="6">
        <f>IMABS(AB1111)</f>
        <v>0</v>
      </c>
      <c r="AF1111" s="6">
        <f>IMABS(AC1111)</f>
        <v>0</v>
      </c>
      <c r="AG1111" s="6">
        <f>IMABS(AD1111)</f>
        <v>0</v>
      </c>
      <c r="AH1111" s="7">
        <f>20*LOG10(MAX(AE1111,1E-300)*1E6)</f>
        <v>0</v>
      </c>
      <c r="AI1111" s="7">
        <f>20*LOG10(MAX(AF1111,1E-300)*1E6)</f>
        <v>0</v>
      </c>
      <c r="AJ1111" s="7">
        <f>20*LOG10(MAX(AG1111,1E-300)*1E6)</f>
        <v>0</v>
      </c>
      <c r="AK1111" s="7">
        <f>DEGREES(IMARGUMENT(AB1111))</f>
        <v>0</v>
      </c>
      <c r="AL1111" s="7">
        <f>DEGREES(IMARGUMENT(AC1111))</f>
        <v>0</v>
      </c>
      <c r="AM1111" s="7">
        <f>DEGREES(IMARGUMENT(AD1111))</f>
        <v>0</v>
      </c>
    </row>
    <row r="1112" spans="1:39">
      <c r="A1112" s="6">
        <f>10^(LOG10(F_START)+(ROW()-ROW($A$2))*(LOG10(F_STOP)-LOG10(F_START))/(N_POINTS-1))</f>
        <v>0</v>
      </c>
      <c r="B1112" s="6">
        <f>2*PI()*A1112</f>
        <v>0</v>
      </c>
      <c r="C1112">
        <f>COMPLEX(2*LINE_PS_DCR,2*B1112*LINE_PS_L)</f>
        <v>0</v>
      </c>
      <c r="D1112">
        <f>IMSUM(COMPLEX(0,B1112*(LINE_PS_CLINE+LINE_PS_CCHA/2)),IMDIV("1",IMPRODUCT("2",COMPLEX(C_THROUGH_ESR,B1112*C_THROUGH_ESL-1/(B1112*C_THROUGH_C)))))</f>
        <v>0</v>
      </c>
      <c r="E1112">
        <f>COMPLEX(2*LINE_INPUT_DCR,2*B1112*LINE_INPUT_L)</f>
        <v>0</v>
      </c>
      <c r="F1112">
        <f>COMPLEX(0,B1112*(LINE_INPUT_CLINE+LINE_INPUT_CCHA/2))</f>
        <v>0</v>
      </c>
      <c r="G1112">
        <f>IMPRODUCT("2",IMDIV("1",IMSUM(IMDIV("1",COMPLEX(LDM1_DCR,B1112*LDM1_L)),COMPLEX(0,B1112*LDM1_CPA))))</f>
        <v>0</v>
      </c>
      <c r="H1112">
        <f>IMSUM(IMDIV("1",COMPLEX(CX1_ESR,B1112*CX1_ESL-1/(B1112*CX1_C))),IMDIV("1",IMSUM(COMPLEX(DUMP1_R,0),COMPLEX(DUMP1_ESR,B1112*DUMP1_ESL-1/(B1112*DUMP1_C)))))</f>
        <v>0</v>
      </c>
      <c r="I1112">
        <f>IMPRODUCT("2",IMDIV("1",IMSUM(IMDIV("1",COMPLEX(LDM2_DCR,B1112*LDM2_L)),COMPLEX(0,B1112*LDM2_CPA))))</f>
        <v>0</v>
      </c>
      <c r="J1112">
        <f>IMSUM(IMDIV("1",COMPLEX(CX2_ESR,B1112*CX2_ESL-1/(B1112*CX2_C))),IMDIV("1",IMSUM(COMPLEX(DUMP2_R,0),COMPLEX(DUMP2_ESR,B1112*DUMP2_ESL-1/(B1112*DUMP2_C)))))</f>
        <v>0</v>
      </c>
      <c r="K1112">
        <f>IMPRODUCT("2",IMDIV("1",IMSUM(IMDIV("1",COMPLEX(CMC_DCR,B1112*CMC_L*(1-CMC_K))),COMPLEX(0,B1112*CMC_CPA))))</f>
        <v>0</v>
      </c>
      <c r="L1112">
        <f>IMSUM(COMPLEX(0,B1112*CMC_CLINE),IMDIV("1",IMPRODUCT("2",COMPLEX(CY_ESR,B1112*CY_ESL-1/(B1112*CY_C)))),COMPLEX(1/DUMMY_R,0))</f>
        <v>0</v>
      </c>
      <c r="M1112">
        <f>IMSUM(D1112,IMDIV("1",C1112))</f>
        <v>0</v>
      </c>
      <c r="N1112">
        <f>IMDIV("1",IMSUM(E1112,IMDIV("1",M1112)))</f>
        <v>0</v>
      </c>
      <c r="O1112">
        <f>IMSUM(F1112,N1112)</f>
        <v>0</v>
      </c>
      <c r="P1112">
        <f>IMDIV("1",IMSUM(G1112,IMDIV("1",O1112)))</f>
        <v>0</v>
      </c>
      <c r="Q1112">
        <f>IMSUM(H1112,P1112)</f>
        <v>0</v>
      </c>
      <c r="R1112">
        <f>IMDIV("1",IMSUM(I1112,IMDIV("1",Q1112)))</f>
        <v>0</v>
      </c>
      <c r="S1112">
        <f>IMSUM(J1112,R1112)</f>
        <v>0</v>
      </c>
      <c r="T1112">
        <f>IMDIV("1",IMSUM(K1112,IMDIV("1",S1112)))</f>
        <v>0</v>
      </c>
      <c r="U1112">
        <f>IMSUM(L1112,T1112)</f>
        <v>0</v>
      </c>
      <c r="V1112">
        <f>IMDIV(COMPLEX(I_DM_SOURCE,0),U1112)</f>
        <v>0</v>
      </c>
      <c r="W1112">
        <f>IMPRODUCT(V1112,T1112)</f>
        <v>0</v>
      </c>
      <c r="X1112">
        <f>IMDIV(W1112,S1112)</f>
        <v>0</v>
      </c>
      <c r="Y1112">
        <f>IMPRODUCT(X1112,R1112)</f>
        <v>0</v>
      </c>
      <c r="Z1112">
        <f>IMDIV(Y1112,Q1112)</f>
        <v>0</v>
      </c>
      <c r="AA1112">
        <f>IMPRODUCT(Z1112,P1112)</f>
        <v>0</v>
      </c>
      <c r="AB1112">
        <f>AA1112</f>
        <v>0</v>
      </c>
      <c r="AC1112">
        <f>IMPRODUCT("-1",AB1112)</f>
        <v>0</v>
      </c>
      <c r="AD1112">
        <f>IMDIV(IMSUB(AB1112,AC1112),"2")</f>
        <v>0</v>
      </c>
      <c r="AE1112" s="6">
        <f>IMABS(AB1112)</f>
        <v>0</v>
      </c>
      <c r="AF1112" s="6">
        <f>IMABS(AC1112)</f>
        <v>0</v>
      </c>
      <c r="AG1112" s="6">
        <f>IMABS(AD1112)</f>
        <v>0</v>
      </c>
      <c r="AH1112" s="7">
        <f>20*LOG10(MAX(AE1112,1E-300)*1E6)</f>
        <v>0</v>
      </c>
      <c r="AI1112" s="7">
        <f>20*LOG10(MAX(AF1112,1E-300)*1E6)</f>
        <v>0</v>
      </c>
      <c r="AJ1112" s="7">
        <f>20*LOG10(MAX(AG1112,1E-300)*1E6)</f>
        <v>0</v>
      </c>
      <c r="AK1112" s="7">
        <f>DEGREES(IMARGUMENT(AB1112))</f>
        <v>0</v>
      </c>
      <c r="AL1112" s="7">
        <f>DEGREES(IMARGUMENT(AC1112))</f>
        <v>0</v>
      </c>
      <c r="AM1112" s="7">
        <f>DEGREES(IMARGUMENT(AD1112))</f>
        <v>0</v>
      </c>
    </row>
    <row r="1113" spans="1:39">
      <c r="A1113" s="6">
        <f>10^(LOG10(F_START)+(ROW()-ROW($A$2))*(LOG10(F_STOP)-LOG10(F_START))/(N_POINTS-1))</f>
        <v>0</v>
      </c>
      <c r="B1113" s="6">
        <f>2*PI()*A1113</f>
        <v>0</v>
      </c>
      <c r="C1113">
        <f>COMPLEX(2*LINE_PS_DCR,2*B1113*LINE_PS_L)</f>
        <v>0</v>
      </c>
      <c r="D1113">
        <f>IMSUM(COMPLEX(0,B1113*(LINE_PS_CLINE+LINE_PS_CCHA/2)),IMDIV("1",IMPRODUCT("2",COMPLEX(C_THROUGH_ESR,B1113*C_THROUGH_ESL-1/(B1113*C_THROUGH_C)))))</f>
        <v>0</v>
      </c>
      <c r="E1113">
        <f>COMPLEX(2*LINE_INPUT_DCR,2*B1113*LINE_INPUT_L)</f>
        <v>0</v>
      </c>
      <c r="F1113">
        <f>COMPLEX(0,B1113*(LINE_INPUT_CLINE+LINE_INPUT_CCHA/2))</f>
        <v>0</v>
      </c>
      <c r="G1113">
        <f>IMPRODUCT("2",IMDIV("1",IMSUM(IMDIV("1",COMPLEX(LDM1_DCR,B1113*LDM1_L)),COMPLEX(0,B1113*LDM1_CPA))))</f>
        <v>0</v>
      </c>
      <c r="H1113">
        <f>IMSUM(IMDIV("1",COMPLEX(CX1_ESR,B1113*CX1_ESL-1/(B1113*CX1_C))),IMDIV("1",IMSUM(COMPLEX(DUMP1_R,0),COMPLEX(DUMP1_ESR,B1113*DUMP1_ESL-1/(B1113*DUMP1_C)))))</f>
        <v>0</v>
      </c>
      <c r="I1113">
        <f>IMPRODUCT("2",IMDIV("1",IMSUM(IMDIV("1",COMPLEX(LDM2_DCR,B1113*LDM2_L)),COMPLEX(0,B1113*LDM2_CPA))))</f>
        <v>0</v>
      </c>
      <c r="J1113">
        <f>IMSUM(IMDIV("1",COMPLEX(CX2_ESR,B1113*CX2_ESL-1/(B1113*CX2_C))),IMDIV("1",IMSUM(COMPLEX(DUMP2_R,0),COMPLEX(DUMP2_ESR,B1113*DUMP2_ESL-1/(B1113*DUMP2_C)))))</f>
        <v>0</v>
      </c>
      <c r="K1113">
        <f>IMPRODUCT("2",IMDIV("1",IMSUM(IMDIV("1",COMPLEX(CMC_DCR,B1113*CMC_L*(1-CMC_K))),COMPLEX(0,B1113*CMC_CPA))))</f>
        <v>0</v>
      </c>
      <c r="L1113">
        <f>IMSUM(COMPLEX(0,B1113*CMC_CLINE),IMDIV("1",IMPRODUCT("2",COMPLEX(CY_ESR,B1113*CY_ESL-1/(B1113*CY_C)))),COMPLEX(1/DUMMY_R,0))</f>
        <v>0</v>
      </c>
      <c r="M1113">
        <f>IMSUM(D1113,IMDIV("1",C1113))</f>
        <v>0</v>
      </c>
      <c r="N1113">
        <f>IMDIV("1",IMSUM(E1113,IMDIV("1",M1113)))</f>
        <v>0</v>
      </c>
      <c r="O1113">
        <f>IMSUM(F1113,N1113)</f>
        <v>0</v>
      </c>
      <c r="P1113">
        <f>IMDIV("1",IMSUM(G1113,IMDIV("1",O1113)))</f>
        <v>0</v>
      </c>
      <c r="Q1113">
        <f>IMSUM(H1113,P1113)</f>
        <v>0</v>
      </c>
      <c r="R1113">
        <f>IMDIV("1",IMSUM(I1113,IMDIV("1",Q1113)))</f>
        <v>0</v>
      </c>
      <c r="S1113">
        <f>IMSUM(J1113,R1113)</f>
        <v>0</v>
      </c>
      <c r="T1113">
        <f>IMDIV("1",IMSUM(K1113,IMDIV("1",S1113)))</f>
        <v>0</v>
      </c>
      <c r="U1113">
        <f>IMSUM(L1113,T1113)</f>
        <v>0</v>
      </c>
      <c r="V1113">
        <f>IMDIV(COMPLEX(I_DM_SOURCE,0),U1113)</f>
        <v>0</v>
      </c>
      <c r="W1113">
        <f>IMPRODUCT(V1113,T1113)</f>
        <v>0</v>
      </c>
      <c r="X1113">
        <f>IMDIV(W1113,S1113)</f>
        <v>0</v>
      </c>
      <c r="Y1113">
        <f>IMPRODUCT(X1113,R1113)</f>
        <v>0</v>
      </c>
      <c r="Z1113">
        <f>IMDIV(Y1113,Q1113)</f>
        <v>0</v>
      </c>
      <c r="AA1113">
        <f>IMPRODUCT(Z1113,P1113)</f>
        <v>0</v>
      </c>
      <c r="AB1113">
        <f>AA1113</f>
        <v>0</v>
      </c>
      <c r="AC1113">
        <f>IMPRODUCT("-1",AB1113)</f>
        <v>0</v>
      </c>
      <c r="AD1113">
        <f>IMDIV(IMSUB(AB1113,AC1113),"2")</f>
        <v>0</v>
      </c>
      <c r="AE1113" s="6">
        <f>IMABS(AB1113)</f>
        <v>0</v>
      </c>
      <c r="AF1113" s="6">
        <f>IMABS(AC1113)</f>
        <v>0</v>
      </c>
      <c r="AG1113" s="6">
        <f>IMABS(AD1113)</f>
        <v>0</v>
      </c>
      <c r="AH1113" s="7">
        <f>20*LOG10(MAX(AE1113,1E-300)*1E6)</f>
        <v>0</v>
      </c>
      <c r="AI1113" s="7">
        <f>20*LOG10(MAX(AF1113,1E-300)*1E6)</f>
        <v>0</v>
      </c>
      <c r="AJ1113" s="7">
        <f>20*LOG10(MAX(AG1113,1E-300)*1E6)</f>
        <v>0</v>
      </c>
      <c r="AK1113" s="7">
        <f>DEGREES(IMARGUMENT(AB1113))</f>
        <v>0</v>
      </c>
      <c r="AL1113" s="7">
        <f>DEGREES(IMARGUMENT(AC1113))</f>
        <v>0</v>
      </c>
      <c r="AM1113" s="7">
        <f>DEGREES(IMARGUMENT(AD1113))</f>
        <v>0</v>
      </c>
    </row>
    <row r="1114" spans="1:39">
      <c r="A1114" s="6">
        <f>10^(LOG10(F_START)+(ROW()-ROW($A$2))*(LOG10(F_STOP)-LOG10(F_START))/(N_POINTS-1))</f>
        <v>0</v>
      </c>
      <c r="B1114" s="6">
        <f>2*PI()*A1114</f>
        <v>0</v>
      </c>
      <c r="C1114">
        <f>COMPLEX(2*LINE_PS_DCR,2*B1114*LINE_PS_L)</f>
        <v>0</v>
      </c>
      <c r="D1114">
        <f>IMSUM(COMPLEX(0,B1114*(LINE_PS_CLINE+LINE_PS_CCHA/2)),IMDIV("1",IMPRODUCT("2",COMPLEX(C_THROUGH_ESR,B1114*C_THROUGH_ESL-1/(B1114*C_THROUGH_C)))))</f>
        <v>0</v>
      </c>
      <c r="E1114">
        <f>COMPLEX(2*LINE_INPUT_DCR,2*B1114*LINE_INPUT_L)</f>
        <v>0</v>
      </c>
      <c r="F1114">
        <f>COMPLEX(0,B1114*(LINE_INPUT_CLINE+LINE_INPUT_CCHA/2))</f>
        <v>0</v>
      </c>
      <c r="G1114">
        <f>IMPRODUCT("2",IMDIV("1",IMSUM(IMDIV("1",COMPLEX(LDM1_DCR,B1114*LDM1_L)),COMPLEX(0,B1114*LDM1_CPA))))</f>
        <v>0</v>
      </c>
      <c r="H1114">
        <f>IMSUM(IMDIV("1",COMPLEX(CX1_ESR,B1114*CX1_ESL-1/(B1114*CX1_C))),IMDIV("1",IMSUM(COMPLEX(DUMP1_R,0),COMPLEX(DUMP1_ESR,B1114*DUMP1_ESL-1/(B1114*DUMP1_C)))))</f>
        <v>0</v>
      </c>
      <c r="I1114">
        <f>IMPRODUCT("2",IMDIV("1",IMSUM(IMDIV("1",COMPLEX(LDM2_DCR,B1114*LDM2_L)),COMPLEX(0,B1114*LDM2_CPA))))</f>
        <v>0</v>
      </c>
      <c r="J1114">
        <f>IMSUM(IMDIV("1",COMPLEX(CX2_ESR,B1114*CX2_ESL-1/(B1114*CX2_C))),IMDIV("1",IMSUM(COMPLEX(DUMP2_R,0),COMPLEX(DUMP2_ESR,B1114*DUMP2_ESL-1/(B1114*DUMP2_C)))))</f>
        <v>0</v>
      </c>
      <c r="K1114">
        <f>IMPRODUCT("2",IMDIV("1",IMSUM(IMDIV("1",COMPLEX(CMC_DCR,B1114*CMC_L*(1-CMC_K))),COMPLEX(0,B1114*CMC_CPA))))</f>
        <v>0</v>
      </c>
      <c r="L1114">
        <f>IMSUM(COMPLEX(0,B1114*CMC_CLINE),IMDIV("1",IMPRODUCT("2",COMPLEX(CY_ESR,B1114*CY_ESL-1/(B1114*CY_C)))),COMPLEX(1/DUMMY_R,0))</f>
        <v>0</v>
      </c>
      <c r="M1114">
        <f>IMSUM(D1114,IMDIV("1",C1114))</f>
        <v>0</v>
      </c>
      <c r="N1114">
        <f>IMDIV("1",IMSUM(E1114,IMDIV("1",M1114)))</f>
        <v>0</v>
      </c>
      <c r="O1114">
        <f>IMSUM(F1114,N1114)</f>
        <v>0</v>
      </c>
      <c r="P1114">
        <f>IMDIV("1",IMSUM(G1114,IMDIV("1",O1114)))</f>
        <v>0</v>
      </c>
      <c r="Q1114">
        <f>IMSUM(H1114,P1114)</f>
        <v>0</v>
      </c>
      <c r="R1114">
        <f>IMDIV("1",IMSUM(I1114,IMDIV("1",Q1114)))</f>
        <v>0</v>
      </c>
      <c r="S1114">
        <f>IMSUM(J1114,R1114)</f>
        <v>0</v>
      </c>
      <c r="T1114">
        <f>IMDIV("1",IMSUM(K1114,IMDIV("1",S1114)))</f>
        <v>0</v>
      </c>
      <c r="U1114">
        <f>IMSUM(L1114,T1114)</f>
        <v>0</v>
      </c>
      <c r="V1114">
        <f>IMDIV(COMPLEX(I_DM_SOURCE,0),U1114)</f>
        <v>0</v>
      </c>
      <c r="W1114">
        <f>IMPRODUCT(V1114,T1114)</f>
        <v>0</v>
      </c>
      <c r="X1114">
        <f>IMDIV(W1114,S1114)</f>
        <v>0</v>
      </c>
      <c r="Y1114">
        <f>IMPRODUCT(X1114,R1114)</f>
        <v>0</v>
      </c>
      <c r="Z1114">
        <f>IMDIV(Y1114,Q1114)</f>
        <v>0</v>
      </c>
      <c r="AA1114">
        <f>IMPRODUCT(Z1114,P1114)</f>
        <v>0</v>
      </c>
      <c r="AB1114">
        <f>AA1114</f>
        <v>0</v>
      </c>
      <c r="AC1114">
        <f>IMPRODUCT("-1",AB1114)</f>
        <v>0</v>
      </c>
      <c r="AD1114">
        <f>IMDIV(IMSUB(AB1114,AC1114),"2")</f>
        <v>0</v>
      </c>
      <c r="AE1114" s="6">
        <f>IMABS(AB1114)</f>
        <v>0</v>
      </c>
      <c r="AF1114" s="6">
        <f>IMABS(AC1114)</f>
        <v>0</v>
      </c>
      <c r="AG1114" s="6">
        <f>IMABS(AD1114)</f>
        <v>0</v>
      </c>
      <c r="AH1114" s="7">
        <f>20*LOG10(MAX(AE1114,1E-300)*1E6)</f>
        <v>0</v>
      </c>
      <c r="AI1114" s="7">
        <f>20*LOG10(MAX(AF1114,1E-300)*1E6)</f>
        <v>0</v>
      </c>
      <c r="AJ1114" s="7">
        <f>20*LOG10(MAX(AG1114,1E-300)*1E6)</f>
        <v>0</v>
      </c>
      <c r="AK1114" s="7">
        <f>DEGREES(IMARGUMENT(AB1114))</f>
        <v>0</v>
      </c>
      <c r="AL1114" s="7">
        <f>DEGREES(IMARGUMENT(AC1114))</f>
        <v>0</v>
      </c>
      <c r="AM1114" s="7">
        <f>DEGREES(IMARGUMENT(AD1114))</f>
        <v>0</v>
      </c>
    </row>
    <row r="1115" spans="1:39">
      <c r="A1115" s="6">
        <f>10^(LOG10(F_START)+(ROW()-ROW($A$2))*(LOG10(F_STOP)-LOG10(F_START))/(N_POINTS-1))</f>
        <v>0</v>
      </c>
      <c r="B1115" s="6">
        <f>2*PI()*A1115</f>
        <v>0</v>
      </c>
      <c r="C1115">
        <f>COMPLEX(2*LINE_PS_DCR,2*B1115*LINE_PS_L)</f>
        <v>0</v>
      </c>
      <c r="D1115">
        <f>IMSUM(COMPLEX(0,B1115*(LINE_PS_CLINE+LINE_PS_CCHA/2)),IMDIV("1",IMPRODUCT("2",COMPLEX(C_THROUGH_ESR,B1115*C_THROUGH_ESL-1/(B1115*C_THROUGH_C)))))</f>
        <v>0</v>
      </c>
      <c r="E1115">
        <f>COMPLEX(2*LINE_INPUT_DCR,2*B1115*LINE_INPUT_L)</f>
        <v>0</v>
      </c>
      <c r="F1115">
        <f>COMPLEX(0,B1115*(LINE_INPUT_CLINE+LINE_INPUT_CCHA/2))</f>
        <v>0</v>
      </c>
      <c r="G1115">
        <f>IMPRODUCT("2",IMDIV("1",IMSUM(IMDIV("1",COMPLEX(LDM1_DCR,B1115*LDM1_L)),COMPLEX(0,B1115*LDM1_CPA))))</f>
        <v>0</v>
      </c>
      <c r="H1115">
        <f>IMSUM(IMDIV("1",COMPLEX(CX1_ESR,B1115*CX1_ESL-1/(B1115*CX1_C))),IMDIV("1",IMSUM(COMPLEX(DUMP1_R,0),COMPLEX(DUMP1_ESR,B1115*DUMP1_ESL-1/(B1115*DUMP1_C)))))</f>
        <v>0</v>
      </c>
      <c r="I1115">
        <f>IMPRODUCT("2",IMDIV("1",IMSUM(IMDIV("1",COMPLEX(LDM2_DCR,B1115*LDM2_L)),COMPLEX(0,B1115*LDM2_CPA))))</f>
        <v>0</v>
      </c>
      <c r="J1115">
        <f>IMSUM(IMDIV("1",COMPLEX(CX2_ESR,B1115*CX2_ESL-1/(B1115*CX2_C))),IMDIV("1",IMSUM(COMPLEX(DUMP2_R,0),COMPLEX(DUMP2_ESR,B1115*DUMP2_ESL-1/(B1115*DUMP2_C)))))</f>
        <v>0</v>
      </c>
      <c r="K1115">
        <f>IMPRODUCT("2",IMDIV("1",IMSUM(IMDIV("1",COMPLEX(CMC_DCR,B1115*CMC_L*(1-CMC_K))),COMPLEX(0,B1115*CMC_CPA))))</f>
        <v>0</v>
      </c>
      <c r="L1115">
        <f>IMSUM(COMPLEX(0,B1115*CMC_CLINE),IMDIV("1",IMPRODUCT("2",COMPLEX(CY_ESR,B1115*CY_ESL-1/(B1115*CY_C)))),COMPLEX(1/DUMMY_R,0))</f>
        <v>0</v>
      </c>
      <c r="M1115">
        <f>IMSUM(D1115,IMDIV("1",C1115))</f>
        <v>0</v>
      </c>
      <c r="N1115">
        <f>IMDIV("1",IMSUM(E1115,IMDIV("1",M1115)))</f>
        <v>0</v>
      </c>
      <c r="O1115">
        <f>IMSUM(F1115,N1115)</f>
        <v>0</v>
      </c>
      <c r="P1115">
        <f>IMDIV("1",IMSUM(G1115,IMDIV("1",O1115)))</f>
        <v>0</v>
      </c>
      <c r="Q1115">
        <f>IMSUM(H1115,P1115)</f>
        <v>0</v>
      </c>
      <c r="R1115">
        <f>IMDIV("1",IMSUM(I1115,IMDIV("1",Q1115)))</f>
        <v>0</v>
      </c>
      <c r="S1115">
        <f>IMSUM(J1115,R1115)</f>
        <v>0</v>
      </c>
      <c r="T1115">
        <f>IMDIV("1",IMSUM(K1115,IMDIV("1",S1115)))</f>
        <v>0</v>
      </c>
      <c r="U1115">
        <f>IMSUM(L1115,T1115)</f>
        <v>0</v>
      </c>
      <c r="V1115">
        <f>IMDIV(COMPLEX(I_DM_SOURCE,0),U1115)</f>
        <v>0</v>
      </c>
      <c r="W1115">
        <f>IMPRODUCT(V1115,T1115)</f>
        <v>0</v>
      </c>
      <c r="X1115">
        <f>IMDIV(W1115,S1115)</f>
        <v>0</v>
      </c>
      <c r="Y1115">
        <f>IMPRODUCT(X1115,R1115)</f>
        <v>0</v>
      </c>
      <c r="Z1115">
        <f>IMDIV(Y1115,Q1115)</f>
        <v>0</v>
      </c>
      <c r="AA1115">
        <f>IMPRODUCT(Z1115,P1115)</f>
        <v>0</v>
      </c>
      <c r="AB1115">
        <f>AA1115</f>
        <v>0</v>
      </c>
      <c r="AC1115">
        <f>IMPRODUCT("-1",AB1115)</f>
        <v>0</v>
      </c>
      <c r="AD1115">
        <f>IMDIV(IMSUB(AB1115,AC1115),"2")</f>
        <v>0</v>
      </c>
      <c r="AE1115" s="6">
        <f>IMABS(AB1115)</f>
        <v>0</v>
      </c>
      <c r="AF1115" s="6">
        <f>IMABS(AC1115)</f>
        <v>0</v>
      </c>
      <c r="AG1115" s="6">
        <f>IMABS(AD1115)</f>
        <v>0</v>
      </c>
      <c r="AH1115" s="7">
        <f>20*LOG10(MAX(AE1115,1E-300)*1E6)</f>
        <v>0</v>
      </c>
      <c r="AI1115" s="7">
        <f>20*LOG10(MAX(AF1115,1E-300)*1E6)</f>
        <v>0</v>
      </c>
      <c r="AJ1115" s="7">
        <f>20*LOG10(MAX(AG1115,1E-300)*1E6)</f>
        <v>0</v>
      </c>
      <c r="AK1115" s="7">
        <f>DEGREES(IMARGUMENT(AB1115))</f>
        <v>0</v>
      </c>
      <c r="AL1115" s="7">
        <f>DEGREES(IMARGUMENT(AC1115))</f>
        <v>0</v>
      </c>
      <c r="AM1115" s="7">
        <f>DEGREES(IMARGUMENT(AD1115))</f>
        <v>0</v>
      </c>
    </row>
    <row r="1116" spans="1:39">
      <c r="A1116" s="6">
        <f>10^(LOG10(F_START)+(ROW()-ROW($A$2))*(LOG10(F_STOP)-LOG10(F_START))/(N_POINTS-1))</f>
        <v>0</v>
      </c>
      <c r="B1116" s="6">
        <f>2*PI()*A1116</f>
        <v>0</v>
      </c>
      <c r="C1116">
        <f>COMPLEX(2*LINE_PS_DCR,2*B1116*LINE_PS_L)</f>
        <v>0</v>
      </c>
      <c r="D1116">
        <f>IMSUM(COMPLEX(0,B1116*(LINE_PS_CLINE+LINE_PS_CCHA/2)),IMDIV("1",IMPRODUCT("2",COMPLEX(C_THROUGH_ESR,B1116*C_THROUGH_ESL-1/(B1116*C_THROUGH_C)))))</f>
        <v>0</v>
      </c>
      <c r="E1116">
        <f>COMPLEX(2*LINE_INPUT_DCR,2*B1116*LINE_INPUT_L)</f>
        <v>0</v>
      </c>
      <c r="F1116">
        <f>COMPLEX(0,B1116*(LINE_INPUT_CLINE+LINE_INPUT_CCHA/2))</f>
        <v>0</v>
      </c>
      <c r="G1116">
        <f>IMPRODUCT("2",IMDIV("1",IMSUM(IMDIV("1",COMPLEX(LDM1_DCR,B1116*LDM1_L)),COMPLEX(0,B1116*LDM1_CPA))))</f>
        <v>0</v>
      </c>
      <c r="H1116">
        <f>IMSUM(IMDIV("1",COMPLEX(CX1_ESR,B1116*CX1_ESL-1/(B1116*CX1_C))),IMDIV("1",IMSUM(COMPLEX(DUMP1_R,0),COMPLEX(DUMP1_ESR,B1116*DUMP1_ESL-1/(B1116*DUMP1_C)))))</f>
        <v>0</v>
      </c>
      <c r="I1116">
        <f>IMPRODUCT("2",IMDIV("1",IMSUM(IMDIV("1",COMPLEX(LDM2_DCR,B1116*LDM2_L)),COMPLEX(0,B1116*LDM2_CPA))))</f>
        <v>0</v>
      </c>
      <c r="J1116">
        <f>IMSUM(IMDIV("1",COMPLEX(CX2_ESR,B1116*CX2_ESL-1/(B1116*CX2_C))),IMDIV("1",IMSUM(COMPLEX(DUMP2_R,0),COMPLEX(DUMP2_ESR,B1116*DUMP2_ESL-1/(B1116*DUMP2_C)))))</f>
        <v>0</v>
      </c>
      <c r="K1116">
        <f>IMPRODUCT("2",IMDIV("1",IMSUM(IMDIV("1",COMPLEX(CMC_DCR,B1116*CMC_L*(1-CMC_K))),COMPLEX(0,B1116*CMC_CPA))))</f>
        <v>0</v>
      </c>
      <c r="L1116">
        <f>IMSUM(COMPLEX(0,B1116*CMC_CLINE),IMDIV("1",IMPRODUCT("2",COMPLEX(CY_ESR,B1116*CY_ESL-1/(B1116*CY_C)))),COMPLEX(1/DUMMY_R,0))</f>
        <v>0</v>
      </c>
      <c r="M1116">
        <f>IMSUM(D1116,IMDIV("1",C1116))</f>
        <v>0</v>
      </c>
      <c r="N1116">
        <f>IMDIV("1",IMSUM(E1116,IMDIV("1",M1116)))</f>
        <v>0</v>
      </c>
      <c r="O1116">
        <f>IMSUM(F1116,N1116)</f>
        <v>0</v>
      </c>
      <c r="P1116">
        <f>IMDIV("1",IMSUM(G1116,IMDIV("1",O1116)))</f>
        <v>0</v>
      </c>
      <c r="Q1116">
        <f>IMSUM(H1116,P1116)</f>
        <v>0</v>
      </c>
      <c r="R1116">
        <f>IMDIV("1",IMSUM(I1116,IMDIV("1",Q1116)))</f>
        <v>0</v>
      </c>
      <c r="S1116">
        <f>IMSUM(J1116,R1116)</f>
        <v>0</v>
      </c>
      <c r="T1116">
        <f>IMDIV("1",IMSUM(K1116,IMDIV("1",S1116)))</f>
        <v>0</v>
      </c>
      <c r="U1116">
        <f>IMSUM(L1116,T1116)</f>
        <v>0</v>
      </c>
      <c r="V1116">
        <f>IMDIV(COMPLEX(I_DM_SOURCE,0),U1116)</f>
        <v>0</v>
      </c>
      <c r="W1116">
        <f>IMPRODUCT(V1116,T1116)</f>
        <v>0</v>
      </c>
      <c r="X1116">
        <f>IMDIV(W1116,S1116)</f>
        <v>0</v>
      </c>
      <c r="Y1116">
        <f>IMPRODUCT(X1116,R1116)</f>
        <v>0</v>
      </c>
      <c r="Z1116">
        <f>IMDIV(Y1116,Q1116)</f>
        <v>0</v>
      </c>
      <c r="AA1116">
        <f>IMPRODUCT(Z1116,P1116)</f>
        <v>0</v>
      </c>
      <c r="AB1116">
        <f>AA1116</f>
        <v>0</v>
      </c>
      <c r="AC1116">
        <f>IMPRODUCT("-1",AB1116)</f>
        <v>0</v>
      </c>
      <c r="AD1116">
        <f>IMDIV(IMSUB(AB1116,AC1116),"2")</f>
        <v>0</v>
      </c>
      <c r="AE1116" s="6">
        <f>IMABS(AB1116)</f>
        <v>0</v>
      </c>
      <c r="AF1116" s="6">
        <f>IMABS(AC1116)</f>
        <v>0</v>
      </c>
      <c r="AG1116" s="6">
        <f>IMABS(AD1116)</f>
        <v>0</v>
      </c>
      <c r="AH1116" s="7">
        <f>20*LOG10(MAX(AE1116,1E-300)*1E6)</f>
        <v>0</v>
      </c>
      <c r="AI1116" s="7">
        <f>20*LOG10(MAX(AF1116,1E-300)*1E6)</f>
        <v>0</v>
      </c>
      <c r="AJ1116" s="7">
        <f>20*LOG10(MAX(AG1116,1E-300)*1E6)</f>
        <v>0</v>
      </c>
      <c r="AK1116" s="7">
        <f>DEGREES(IMARGUMENT(AB1116))</f>
        <v>0</v>
      </c>
      <c r="AL1116" s="7">
        <f>DEGREES(IMARGUMENT(AC1116))</f>
        <v>0</v>
      </c>
      <c r="AM1116" s="7">
        <f>DEGREES(IMARGUMENT(AD1116))</f>
        <v>0</v>
      </c>
    </row>
    <row r="1117" spans="1:39">
      <c r="A1117" s="6">
        <f>10^(LOG10(F_START)+(ROW()-ROW($A$2))*(LOG10(F_STOP)-LOG10(F_START))/(N_POINTS-1))</f>
        <v>0</v>
      </c>
      <c r="B1117" s="6">
        <f>2*PI()*A1117</f>
        <v>0</v>
      </c>
      <c r="C1117">
        <f>COMPLEX(2*LINE_PS_DCR,2*B1117*LINE_PS_L)</f>
        <v>0</v>
      </c>
      <c r="D1117">
        <f>IMSUM(COMPLEX(0,B1117*(LINE_PS_CLINE+LINE_PS_CCHA/2)),IMDIV("1",IMPRODUCT("2",COMPLEX(C_THROUGH_ESR,B1117*C_THROUGH_ESL-1/(B1117*C_THROUGH_C)))))</f>
        <v>0</v>
      </c>
      <c r="E1117">
        <f>COMPLEX(2*LINE_INPUT_DCR,2*B1117*LINE_INPUT_L)</f>
        <v>0</v>
      </c>
      <c r="F1117">
        <f>COMPLEX(0,B1117*(LINE_INPUT_CLINE+LINE_INPUT_CCHA/2))</f>
        <v>0</v>
      </c>
      <c r="G1117">
        <f>IMPRODUCT("2",IMDIV("1",IMSUM(IMDIV("1",COMPLEX(LDM1_DCR,B1117*LDM1_L)),COMPLEX(0,B1117*LDM1_CPA))))</f>
        <v>0</v>
      </c>
      <c r="H1117">
        <f>IMSUM(IMDIV("1",COMPLEX(CX1_ESR,B1117*CX1_ESL-1/(B1117*CX1_C))),IMDIV("1",IMSUM(COMPLEX(DUMP1_R,0),COMPLEX(DUMP1_ESR,B1117*DUMP1_ESL-1/(B1117*DUMP1_C)))))</f>
        <v>0</v>
      </c>
      <c r="I1117">
        <f>IMPRODUCT("2",IMDIV("1",IMSUM(IMDIV("1",COMPLEX(LDM2_DCR,B1117*LDM2_L)),COMPLEX(0,B1117*LDM2_CPA))))</f>
        <v>0</v>
      </c>
      <c r="J1117">
        <f>IMSUM(IMDIV("1",COMPLEX(CX2_ESR,B1117*CX2_ESL-1/(B1117*CX2_C))),IMDIV("1",IMSUM(COMPLEX(DUMP2_R,0),COMPLEX(DUMP2_ESR,B1117*DUMP2_ESL-1/(B1117*DUMP2_C)))))</f>
        <v>0</v>
      </c>
      <c r="K1117">
        <f>IMPRODUCT("2",IMDIV("1",IMSUM(IMDIV("1",COMPLEX(CMC_DCR,B1117*CMC_L*(1-CMC_K))),COMPLEX(0,B1117*CMC_CPA))))</f>
        <v>0</v>
      </c>
      <c r="L1117">
        <f>IMSUM(COMPLEX(0,B1117*CMC_CLINE),IMDIV("1",IMPRODUCT("2",COMPLEX(CY_ESR,B1117*CY_ESL-1/(B1117*CY_C)))),COMPLEX(1/DUMMY_R,0))</f>
        <v>0</v>
      </c>
      <c r="M1117">
        <f>IMSUM(D1117,IMDIV("1",C1117))</f>
        <v>0</v>
      </c>
      <c r="N1117">
        <f>IMDIV("1",IMSUM(E1117,IMDIV("1",M1117)))</f>
        <v>0</v>
      </c>
      <c r="O1117">
        <f>IMSUM(F1117,N1117)</f>
        <v>0</v>
      </c>
      <c r="P1117">
        <f>IMDIV("1",IMSUM(G1117,IMDIV("1",O1117)))</f>
        <v>0</v>
      </c>
      <c r="Q1117">
        <f>IMSUM(H1117,P1117)</f>
        <v>0</v>
      </c>
      <c r="R1117">
        <f>IMDIV("1",IMSUM(I1117,IMDIV("1",Q1117)))</f>
        <v>0</v>
      </c>
      <c r="S1117">
        <f>IMSUM(J1117,R1117)</f>
        <v>0</v>
      </c>
      <c r="T1117">
        <f>IMDIV("1",IMSUM(K1117,IMDIV("1",S1117)))</f>
        <v>0</v>
      </c>
      <c r="U1117">
        <f>IMSUM(L1117,T1117)</f>
        <v>0</v>
      </c>
      <c r="V1117">
        <f>IMDIV(COMPLEX(I_DM_SOURCE,0),U1117)</f>
        <v>0</v>
      </c>
      <c r="W1117">
        <f>IMPRODUCT(V1117,T1117)</f>
        <v>0</v>
      </c>
      <c r="X1117">
        <f>IMDIV(W1117,S1117)</f>
        <v>0</v>
      </c>
      <c r="Y1117">
        <f>IMPRODUCT(X1117,R1117)</f>
        <v>0</v>
      </c>
      <c r="Z1117">
        <f>IMDIV(Y1117,Q1117)</f>
        <v>0</v>
      </c>
      <c r="AA1117">
        <f>IMPRODUCT(Z1117,P1117)</f>
        <v>0</v>
      </c>
      <c r="AB1117">
        <f>AA1117</f>
        <v>0</v>
      </c>
      <c r="AC1117">
        <f>IMPRODUCT("-1",AB1117)</f>
        <v>0</v>
      </c>
      <c r="AD1117">
        <f>IMDIV(IMSUB(AB1117,AC1117),"2")</f>
        <v>0</v>
      </c>
      <c r="AE1117" s="6">
        <f>IMABS(AB1117)</f>
        <v>0</v>
      </c>
      <c r="AF1117" s="6">
        <f>IMABS(AC1117)</f>
        <v>0</v>
      </c>
      <c r="AG1117" s="6">
        <f>IMABS(AD1117)</f>
        <v>0</v>
      </c>
      <c r="AH1117" s="7">
        <f>20*LOG10(MAX(AE1117,1E-300)*1E6)</f>
        <v>0</v>
      </c>
      <c r="AI1117" s="7">
        <f>20*LOG10(MAX(AF1117,1E-300)*1E6)</f>
        <v>0</v>
      </c>
      <c r="AJ1117" s="7">
        <f>20*LOG10(MAX(AG1117,1E-300)*1E6)</f>
        <v>0</v>
      </c>
      <c r="AK1117" s="7">
        <f>DEGREES(IMARGUMENT(AB1117))</f>
        <v>0</v>
      </c>
      <c r="AL1117" s="7">
        <f>DEGREES(IMARGUMENT(AC1117))</f>
        <v>0</v>
      </c>
      <c r="AM1117" s="7">
        <f>DEGREES(IMARGUMENT(AD1117))</f>
        <v>0</v>
      </c>
    </row>
    <row r="1118" spans="1:39">
      <c r="A1118" s="6">
        <f>10^(LOG10(F_START)+(ROW()-ROW($A$2))*(LOG10(F_STOP)-LOG10(F_START))/(N_POINTS-1))</f>
        <v>0</v>
      </c>
      <c r="B1118" s="6">
        <f>2*PI()*A1118</f>
        <v>0</v>
      </c>
      <c r="C1118">
        <f>COMPLEX(2*LINE_PS_DCR,2*B1118*LINE_PS_L)</f>
        <v>0</v>
      </c>
      <c r="D1118">
        <f>IMSUM(COMPLEX(0,B1118*(LINE_PS_CLINE+LINE_PS_CCHA/2)),IMDIV("1",IMPRODUCT("2",COMPLEX(C_THROUGH_ESR,B1118*C_THROUGH_ESL-1/(B1118*C_THROUGH_C)))))</f>
        <v>0</v>
      </c>
      <c r="E1118">
        <f>COMPLEX(2*LINE_INPUT_DCR,2*B1118*LINE_INPUT_L)</f>
        <v>0</v>
      </c>
      <c r="F1118">
        <f>COMPLEX(0,B1118*(LINE_INPUT_CLINE+LINE_INPUT_CCHA/2))</f>
        <v>0</v>
      </c>
      <c r="G1118">
        <f>IMPRODUCT("2",IMDIV("1",IMSUM(IMDIV("1",COMPLEX(LDM1_DCR,B1118*LDM1_L)),COMPLEX(0,B1118*LDM1_CPA))))</f>
        <v>0</v>
      </c>
      <c r="H1118">
        <f>IMSUM(IMDIV("1",COMPLEX(CX1_ESR,B1118*CX1_ESL-1/(B1118*CX1_C))),IMDIV("1",IMSUM(COMPLEX(DUMP1_R,0),COMPLEX(DUMP1_ESR,B1118*DUMP1_ESL-1/(B1118*DUMP1_C)))))</f>
        <v>0</v>
      </c>
      <c r="I1118">
        <f>IMPRODUCT("2",IMDIV("1",IMSUM(IMDIV("1",COMPLEX(LDM2_DCR,B1118*LDM2_L)),COMPLEX(0,B1118*LDM2_CPA))))</f>
        <v>0</v>
      </c>
      <c r="J1118">
        <f>IMSUM(IMDIV("1",COMPLEX(CX2_ESR,B1118*CX2_ESL-1/(B1118*CX2_C))),IMDIV("1",IMSUM(COMPLEX(DUMP2_R,0),COMPLEX(DUMP2_ESR,B1118*DUMP2_ESL-1/(B1118*DUMP2_C)))))</f>
        <v>0</v>
      </c>
      <c r="K1118">
        <f>IMPRODUCT("2",IMDIV("1",IMSUM(IMDIV("1",COMPLEX(CMC_DCR,B1118*CMC_L*(1-CMC_K))),COMPLEX(0,B1118*CMC_CPA))))</f>
        <v>0</v>
      </c>
      <c r="L1118">
        <f>IMSUM(COMPLEX(0,B1118*CMC_CLINE),IMDIV("1",IMPRODUCT("2",COMPLEX(CY_ESR,B1118*CY_ESL-1/(B1118*CY_C)))),COMPLEX(1/DUMMY_R,0))</f>
        <v>0</v>
      </c>
      <c r="M1118">
        <f>IMSUM(D1118,IMDIV("1",C1118))</f>
        <v>0</v>
      </c>
      <c r="N1118">
        <f>IMDIV("1",IMSUM(E1118,IMDIV("1",M1118)))</f>
        <v>0</v>
      </c>
      <c r="O1118">
        <f>IMSUM(F1118,N1118)</f>
        <v>0</v>
      </c>
      <c r="P1118">
        <f>IMDIV("1",IMSUM(G1118,IMDIV("1",O1118)))</f>
        <v>0</v>
      </c>
      <c r="Q1118">
        <f>IMSUM(H1118,P1118)</f>
        <v>0</v>
      </c>
      <c r="R1118">
        <f>IMDIV("1",IMSUM(I1118,IMDIV("1",Q1118)))</f>
        <v>0</v>
      </c>
      <c r="S1118">
        <f>IMSUM(J1118,R1118)</f>
        <v>0</v>
      </c>
      <c r="T1118">
        <f>IMDIV("1",IMSUM(K1118,IMDIV("1",S1118)))</f>
        <v>0</v>
      </c>
      <c r="U1118">
        <f>IMSUM(L1118,T1118)</f>
        <v>0</v>
      </c>
      <c r="V1118">
        <f>IMDIV(COMPLEX(I_DM_SOURCE,0),U1118)</f>
        <v>0</v>
      </c>
      <c r="W1118">
        <f>IMPRODUCT(V1118,T1118)</f>
        <v>0</v>
      </c>
      <c r="X1118">
        <f>IMDIV(W1118,S1118)</f>
        <v>0</v>
      </c>
      <c r="Y1118">
        <f>IMPRODUCT(X1118,R1118)</f>
        <v>0</v>
      </c>
      <c r="Z1118">
        <f>IMDIV(Y1118,Q1118)</f>
        <v>0</v>
      </c>
      <c r="AA1118">
        <f>IMPRODUCT(Z1118,P1118)</f>
        <v>0</v>
      </c>
      <c r="AB1118">
        <f>AA1118</f>
        <v>0</v>
      </c>
      <c r="AC1118">
        <f>IMPRODUCT("-1",AB1118)</f>
        <v>0</v>
      </c>
      <c r="AD1118">
        <f>IMDIV(IMSUB(AB1118,AC1118),"2")</f>
        <v>0</v>
      </c>
      <c r="AE1118" s="6">
        <f>IMABS(AB1118)</f>
        <v>0</v>
      </c>
      <c r="AF1118" s="6">
        <f>IMABS(AC1118)</f>
        <v>0</v>
      </c>
      <c r="AG1118" s="6">
        <f>IMABS(AD1118)</f>
        <v>0</v>
      </c>
      <c r="AH1118" s="7">
        <f>20*LOG10(MAX(AE1118,1E-300)*1E6)</f>
        <v>0</v>
      </c>
      <c r="AI1118" s="7">
        <f>20*LOG10(MAX(AF1118,1E-300)*1E6)</f>
        <v>0</v>
      </c>
      <c r="AJ1118" s="7">
        <f>20*LOG10(MAX(AG1118,1E-300)*1E6)</f>
        <v>0</v>
      </c>
      <c r="AK1118" s="7">
        <f>DEGREES(IMARGUMENT(AB1118))</f>
        <v>0</v>
      </c>
      <c r="AL1118" s="7">
        <f>DEGREES(IMARGUMENT(AC1118))</f>
        <v>0</v>
      </c>
      <c r="AM1118" s="7">
        <f>DEGREES(IMARGUMENT(AD1118))</f>
        <v>0</v>
      </c>
    </row>
    <row r="1119" spans="1:39">
      <c r="A1119" s="6">
        <f>10^(LOG10(F_START)+(ROW()-ROW($A$2))*(LOG10(F_STOP)-LOG10(F_START))/(N_POINTS-1))</f>
        <v>0</v>
      </c>
      <c r="B1119" s="6">
        <f>2*PI()*A1119</f>
        <v>0</v>
      </c>
      <c r="C1119">
        <f>COMPLEX(2*LINE_PS_DCR,2*B1119*LINE_PS_L)</f>
        <v>0</v>
      </c>
      <c r="D1119">
        <f>IMSUM(COMPLEX(0,B1119*(LINE_PS_CLINE+LINE_PS_CCHA/2)),IMDIV("1",IMPRODUCT("2",COMPLEX(C_THROUGH_ESR,B1119*C_THROUGH_ESL-1/(B1119*C_THROUGH_C)))))</f>
        <v>0</v>
      </c>
      <c r="E1119">
        <f>COMPLEX(2*LINE_INPUT_DCR,2*B1119*LINE_INPUT_L)</f>
        <v>0</v>
      </c>
      <c r="F1119">
        <f>COMPLEX(0,B1119*(LINE_INPUT_CLINE+LINE_INPUT_CCHA/2))</f>
        <v>0</v>
      </c>
      <c r="G1119">
        <f>IMPRODUCT("2",IMDIV("1",IMSUM(IMDIV("1",COMPLEX(LDM1_DCR,B1119*LDM1_L)),COMPLEX(0,B1119*LDM1_CPA))))</f>
        <v>0</v>
      </c>
      <c r="H1119">
        <f>IMSUM(IMDIV("1",COMPLEX(CX1_ESR,B1119*CX1_ESL-1/(B1119*CX1_C))),IMDIV("1",IMSUM(COMPLEX(DUMP1_R,0),COMPLEX(DUMP1_ESR,B1119*DUMP1_ESL-1/(B1119*DUMP1_C)))))</f>
        <v>0</v>
      </c>
      <c r="I1119">
        <f>IMPRODUCT("2",IMDIV("1",IMSUM(IMDIV("1",COMPLEX(LDM2_DCR,B1119*LDM2_L)),COMPLEX(0,B1119*LDM2_CPA))))</f>
        <v>0</v>
      </c>
      <c r="J1119">
        <f>IMSUM(IMDIV("1",COMPLEX(CX2_ESR,B1119*CX2_ESL-1/(B1119*CX2_C))),IMDIV("1",IMSUM(COMPLEX(DUMP2_R,0),COMPLEX(DUMP2_ESR,B1119*DUMP2_ESL-1/(B1119*DUMP2_C)))))</f>
        <v>0</v>
      </c>
      <c r="K1119">
        <f>IMPRODUCT("2",IMDIV("1",IMSUM(IMDIV("1",COMPLEX(CMC_DCR,B1119*CMC_L*(1-CMC_K))),COMPLEX(0,B1119*CMC_CPA))))</f>
        <v>0</v>
      </c>
      <c r="L1119">
        <f>IMSUM(COMPLEX(0,B1119*CMC_CLINE),IMDIV("1",IMPRODUCT("2",COMPLEX(CY_ESR,B1119*CY_ESL-1/(B1119*CY_C)))),COMPLEX(1/DUMMY_R,0))</f>
        <v>0</v>
      </c>
      <c r="M1119">
        <f>IMSUM(D1119,IMDIV("1",C1119))</f>
        <v>0</v>
      </c>
      <c r="N1119">
        <f>IMDIV("1",IMSUM(E1119,IMDIV("1",M1119)))</f>
        <v>0</v>
      </c>
      <c r="O1119">
        <f>IMSUM(F1119,N1119)</f>
        <v>0</v>
      </c>
      <c r="P1119">
        <f>IMDIV("1",IMSUM(G1119,IMDIV("1",O1119)))</f>
        <v>0</v>
      </c>
      <c r="Q1119">
        <f>IMSUM(H1119,P1119)</f>
        <v>0</v>
      </c>
      <c r="R1119">
        <f>IMDIV("1",IMSUM(I1119,IMDIV("1",Q1119)))</f>
        <v>0</v>
      </c>
      <c r="S1119">
        <f>IMSUM(J1119,R1119)</f>
        <v>0</v>
      </c>
      <c r="T1119">
        <f>IMDIV("1",IMSUM(K1119,IMDIV("1",S1119)))</f>
        <v>0</v>
      </c>
      <c r="U1119">
        <f>IMSUM(L1119,T1119)</f>
        <v>0</v>
      </c>
      <c r="V1119">
        <f>IMDIV(COMPLEX(I_DM_SOURCE,0),U1119)</f>
        <v>0</v>
      </c>
      <c r="W1119">
        <f>IMPRODUCT(V1119,T1119)</f>
        <v>0</v>
      </c>
      <c r="X1119">
        <f>IMDIV(W1119,S1119)</f>
        <v>0</v>
      </c>
      <c r="Y1119">
        <f>IMPRODUCT(X1119,R1119)</f>
        <v>0</v>
      </c>
      <c r="Z1119">
        <f>IMDIV(Y1119,Q1119)</f>
        <v>0</v>
      </c>
      <c r="AA1119">
        <f>IMPRODUCT(Z1119,P1119)</f>
        <v>0</v>
      </c>
      <c r="AB1119">
        <f>AA1119</f>
        <v>0</v>
      </c>
      <c r="AC1119">
        <f>IMPRODUCT("-1",AB1119)</f>
        <v>0</v>
      </c>
      <c r="AD1119">
        <f>IMDIV(IMSUB(AB1119,AC1119),"2")</f>
        <v>0</v>
      </c>
      <c r="AE1119" s="6">
        <f>IMABS(AB1119)</f>
        <v>0</v>
      </c>
      <c r="AF1119" s="6">
        <f>IMABS(AC1119)</f>
        <v>0</v>
      </c>
      <c r="AG1119" s="6">
        <f>IMABS(AD1119)</f>
        <v>0</v>
      </c>
      <c r="AH1119" s="7">
        <f>20*LOG10(MAX(AE1119,1E-300)*1E6)</f>
        <v>0</v>
      </c>
      <c r="AI1119" s="7">
        <f>20*LOG10(MAX(AF1119,1E-300)*1E6)</f>
        <v>0</v>
      </c>
      <c r="AJ1119" s="7">
        <f>20*LOG10(MAX(AG1119,1E-300)*1E6)</f>
        <v>0</v>
      </c>
      <c r="AK1119" s="7">
        <f>DEGREES(IMARGUMENT(AB1119))</f>
        <v>0</v>
      </c>
      <c r="AL1119" s="7">
        <f>DEGREES(IMARGUMENT(AC1119))</f>
        <v>0</v>
      </c>
      <c r="AM1119" s="7">
        <f>DEGREES(IMARGUMENT(AD1119))</f>
        <v>0</v>
      </c>
    </row>
    <row r="1120" spans="1:39">
      <c r="A1120" s="6">
        <f>10^(LOG10(F_START)+(ROW()-ROW($A$2))*(LOG10(F_STOP)-LOG10(F_START))/(N_POINTS-1))</f>
        <v>0</v>
      </c>
      <c r="B1120" s="6">
        <f>2*PI()*A1120</f>
        <v>0</v>
      </c>
      <c r="C1120">
        <f>COMPLEX(2*LINE_PS_DCR,2*B1120*LINE_PS_L)</f>
        <v>0</v>
      </c>
      <c r="D1120">
        <f>IMSUM(COMPLEX(0,B1120*(LINE_PS_CLINE+LINE_PS_CCHA/2)),IMDIV("1",IMPRODUCT("2",COMPLEX(C_THROUGH_ESR,B1120*C_THROUGH_ESL-1/(B1120*C_THROUGH_C)))))</f>
        <v>0</v>
      </c>
      <c r="E1120">
        <f>COMPLEX(2*LINE_INPUT_DCR,2*B1120*LINE_INPUT_L)</f>
        <v>0</v>
      </c>
      <c r="F1120">
        <f>COMPLEX(0,B1120*(LINE_INPUT_CLINE+LINE_INPUT_CCHA/2))</f>
        <v>0</v>
      </c>
      <c r="G1120">
        <f>IMPRODUCT("2",IMDIV("1",IMSUM(IMDIV("1",COMPLEX(LDM1_DCR,B1120*LDM1_L)),COMPLEX(0,B1120*LDM1_CPA))))</f>
        <v>0</v>
      </c>
      <c r="H1120">
        <f>IMSUM(IMDIV("1",COMPLEX(CX1_ESR,B1120*CX1_ESL-1/(B1120*CX1_C))),IMDIV("1",IMSUM(COMPLEX(DUMP1_R,0),COMPLEX(DUMP1_ESR,B1120*DUMP1_ESL-1/(B1120*DUMP1_C)))))</f>
        <v>0</v>
      </c>
      <c r="I1120">
        <f>IMPRODUCT("2",IMDIV("1",IMSUM(IMDIV("1",COMPLEX(LDM2_DCR,B1120*LDM2_L)),COMPLEX(0,B1120*LDM2_CPA))))</f>
        <v>0</v>
      </c>
      <c r="J1120">
        <f>IMSUM(IMDIV("1",COMPLEX(CX2_ESR,B1120*CX2_ESL-1/(B1120*CX2_C))),IMDIV("1",IMSUM(COMPLEX(DUMP2_R,0),COMPLEX(DUMP2_ESR,B1120*DUMP2_ESL-1/(B1120*DUMP2_C)))))</f>
        <v>0</v>
      </c>
      <c r="K1120">
        <f>IMPRODUCT("2",IMDIV("1",IMSUM(IMDIV("1",COMPLEX(CMC_DCR,B1120*CMC_L*(1-CMC_K))),COMPLEX(0,B1120*CMC_CPA))))</f>
        <v>0</v>
      </c>
      <c r="L1120">
        <f>IMSUM(COMPLEX(0,B1120*CMC_CLINE),IMDIV("1",IMPRODUCT("2",COMPLEX(CY_ESR,B1120*CY_ESL-1/(B1120*CY_C)))),COMPLEX(1/DUMMY_R,0))</f>
        <v>0</v>
      </c>
      <c r="M1120">
        <f>IMSUM(D1120,IMDIV("1",C1120))</f>
        <v>0</v>
      </c>
      <c r="N1120">
        <f>IMDIV("1",IMSUM(E1120,IMDIV("1",M1120)))</f>
        <v>0</v>
      </c>
      <c r="O1120">
        <f>IMSUM(F1120,N1120)</f>
        <v>0</v>
      </c>
      <c r="P1120">
        <f>IMDIV("1",IMSUM(G1120,IMDIV("1",O1120)))</f>
        <v>0</v>
      </c>
      <c r="Q1120">
        <f>IMSUM(H1120,P1120)</f>
        <v>0</v>
      </c>
      <c r="R1120">
        <f>IMDIV("1",IMSUM(I1120,IMDIV("1",Q1120)))</f>
        <v>0</v>
      </c>
      <c r="S1120">
        <f>IMSUM(J1120,R1120)</f>
        <v>0</v>
      </c>
      <c r="T1120">
        <f>IMDIV("1",IMSUM(K1120,IMDIV("1",S1120)))</f>
        <v>0</v>
      </c>
      <c r="U1120">
        <f>IMSUM(L1120,T1120)</f>
        <v>0</v>
      </c>
      <c r="V1120">
        <f>IMDIV(COMPLEX(I_DM_SOURCE,0),U1120)</f>
        <v>0</v>
      </c>
      <c r="W1120">
        <f>IMPRODUCT(V1120,T1120)</f>
        <v>0</v>
      </c>
      <c r="X1120">
        <f>IMDIV(W1120,S1120)</f>
        <v>0</v>
      </c>
      <c r="Y1120">
        <f>IMPRODUCT(X1120,R1120)</f>
        <v>0</v>
      </c>
      <c r="Z1120">
        <f>IMDIV(Y1120,Q1120)</f>
        <v>0</v>
      </c>
      <c r="AA1120">
        <f>IMPRODUCT(Z1120,P1120)</f>
        <v>0</v>
      </c>
      <c r="AB1120">
        <f>AA1120</f>
        <v>0</v>
      </c>
      <c r="AC1120">
        <f>IMPRODUCT("-1",AB1120)</f>
        <v>0</v>
      </c>
      <c r="AD1120">
        <f>IMDIV(IMSUB(AB1120,AC1120),"2")</f>
        <v>0</v>
      </c>
      <c r="AE1120" s="6">
        <f>IMABS(AB1120)</f>
        <v>0</v>
      </c>
      <c r="AF1120" s="6">
        <f>IMABS(AC1120)</f>
        <v>0</v>
      </c>
      <c r="AG1120" s="6">
        <f>IMABS(AD1120)</f>
        <v>0</v>
      </c>
      <c r="AH1120" s="7">
        <f>20*LOG10(MAX(AE1120,1E-300)*1E6)</f>
        <v>0</v>
      </c>
      <c r="AI1120" s="7">
        <f>20*LOG10(MAX(AF1120,1E-300)*1E6)</f>
        <v>0</v>
      </c>
      <c r="AJ1120" s="7">
        <f>20*LOG10(MAX(AG1120,1E-300)*1E6)</f>
        <v>0</v>
      </c>
      <c r="AK1120" s="7">
        <f>DEGREES(IMARGUMENT(AB1120))</f>
        <v>0</v>
      </c>
      <c r="AL1120" s="7">
        <f>DEGREES(IMARGUMENT(AC1120))</f>
        <v>0</v>
      </c>
      <c r="AM1120" s="7">
        <f>DEGREES(IMARGUMENT(AD1120))</f>
        <v>0</v>
      </c>
    </row>
    <row r="1121" spans="1:39">
      <c r="A1121" s="6">
        <f>10^(LOG10(F_START)+(ROW()-ROW($A$2))*(LOG10(F_STOP)-LOG10(F_START))/(N_POINTS-1))</f>
        <v>0</v>
      </c>
      <c r="B1121" s="6">
        <f>2*PI()*A1121</f>
        <v>0</v>
      </c>
      <c r="C1121">
        <f>COMPLEX(2*LINE_PS_DCR,2*B1121*LINE_PS_L)</f>
        <v>0</v>
      </c>
      <c r="D1121">
        <f>IMSUM(COMPLEX(0,B1121*(LINE_PS_CLINE+LINE_PS_CCHA/2)),IMDIV("1",IMPRODUCT("2",COMPLEX(C_THROUGH_ESR,B1121*C_THROUGH_ESL-1/(B1121*C_THROUGH_C)))))</f>
        <v>0</v>
      </c>
      <c r="E1121">
        <f>COMPLEX(2*LINE_INPUT_DCR,2*B1121*LINE_INPUT_L)</f>
        <v>0</v>
      </c>
      <c r="F1121">
        <f>COMPLEX(0,B1121*(LINE_INPUT_CLINE+LINE_INPUT_CCHA/2))</f>
        <v>0</v>
      </c>
      <c r="G1121">
        <f>IMPRODUCT("2",IMDIV("1",IMSUM(IMDIV("1",COMPLEX(LDM1_DCR,B1121*LDM1_L)),COMPLEX(0,B1121*LDM1_CPA))))</f>
        <v>0</v>
      </c>
      <c r="H1121">
        <f>IMSUM(IMDIV("1",COMPLEX(CX1_ESR,B1121*CX1_ESL-1/(B1121*CX1_C))),IMDIV("1",IMSUM(COMPLEX(DUMP1_R,0),COMPLEX(DUMP1_ESR,B1121*DUMP1_ESL-1/(B1121*DUMP1_C)))))</f>
        <v>0</v>
      </c>
      <c r="I1121">
        <f>IMPRODUCT("2",IMDIV("1",IMSUM(IMDIV("1",COMPLEX(LDM2_DCR,B1121*LDM2_L)),COMPLEX(0,B1121*LDM2_CPA))))</f>
        <v>0</v>
      </c>
      <c r="J1121">
        <f>IMSUM(IMDIV("1",COMPLEX(CX2_ESR,B1121*CX2_ESL-1/(B1121*CX2_C))),IMDIV("1",IMSUM(COMPLEX(DUMP2_R,0),COMPLEX(DUMP2_ESR,B1121*DUMP2_ESL-1/(B1121*DUMP2_C)))))</f>
        <v>0</v>
      </c>
      <c r="K1121">
        <f>IMPRODUCT("2",IMDIV("1",IMSUM(IMDIV("1",COMPLEX(CMC_DCR,B1121*CMC_L*(1-CMC_K))),COMPLEX(0,B1121*CMC_CPA))))</f>
        <v>0</v>
      </c>
      <c r="L1121">
        <f>IMSUM(COMPLEX(0,B1121*CMC_CLINE),IMDIV("1",IMPRODUCT("2",COMPLEX(CY_ESR,B1121*CY_ESL-1/(B1121*CY_C)))),COMPLEX(1/DUMMY_R,0))</f>
        <v>0</v>
      </c>
      <c r="M1121">
        <f>IMSUM(D1121,IMDIV("1",C1121))</f>
        <v>0</v>
      </c>
      <c r="N1121">
        <f>IMDIV("1",IMSUM(E1121,IMDIV("1",M1121)))</f>
        <v>0</v>
      </c>
      <c r="O1121">
        <f>IMSUM(F1121,N1121)</f>
        <v>0</v>
      </c>
      <c r="P1121">
        <f>IMDIV("1",IMSUM(G1121,IMDIV("1",O1121)))</f>
        <v>0</v>
      </c>
      <c r="Q1121">
        <f>IMSUM(H1121,P1121)</f>
        <v>0</v>
      </c>
      <c r="R1121">
        <f>IMDIV("1",IMSUM(I1121,IMDIV("1",Q1121)))</f>
        <v>0</v>
      </c>
      <c r="S1121">
        <f>IMSUM(J1121,R1121)</f>
        <v>0</v>
      </c>
      <c r="T1121">
        <f>IMDIV("1",IMSUM(K1121,IMDIV("1",S1121)))</f>
        <v>0</v>
      </c>
      <c r="U1121">
        <f>IMSUM(L1121,T1121)</f>
        <v>0</v>
      </c>
      <c r="V1121">
        <f>IMDIV(COMPLEX(I_DM_SOURCE,0),U1121)</f>
        <v>0</v>
      </c>
      <c r="W1121">
        <f>IMPRODUCT(V1121,T1121)</f>
        <v>0</v>
      </c>
      <c r="X1121">
        <f>IMDIV(W1121,S1121)</f>
        <v>0</v>
      </c>
      <c r="Y1121">
        <f>IMPRODUCT(X1121,R1121)</f>
        <v>0</v>
      </c>
      <c r="Z1121">
        <f>IMDIV(Y1121,Q1121)</f>
        <v>0</v>
      </c>
      <c r="AA1121">
        <f>IMPRODUCT(Z1121,P1121)</f>
        <v>0</v>
      </c>
      <c r="AB1121">
        <f>AA1121</f>
        <v>0</v>
      </c>
      <c r="AC1121">
        <f>IMPRODUCT("-1",AB1121)</f>
        <v>0</v>
      </c>
      <c r="AD1121">
        <f>IMDIV(IMSUB(AB1121,AC1121),"2")</f>
        <v>0</v>
      </c>
      <c r="AE1121" s="6">
        <f>IMABS(AB1121)</f>
        <v>0</v>
      </c>
      <c r="AF1121" s="6">
        <f>IMABS(AC1121)</f>
        <v>0</v>
      </c>
      <c r="AG1121" s="6">
        <f>IMABS(AD1121)</f>
        <v>0</v>
      </c>
      <c r="AH1121" s="7">
        <f>20*LOG10(MAX(AE1121,1E-300)*1E6)</f>
        <v>0</v>
      </c>
      <c r="AI1121" s="7">
        <f>20*LOG10(MAX(AF1121,1E-300)*1E6)</f>
        <v>0</v>
      </c>
      <c r="AJ1121" s="7">
        <f>20*LOG10(MAX(AG1121,1E-300)*1E6)</f>
        <v>0</v>
      </c>
      <c r="AK1121" s="7">
        <f>DEGREES(IMARGUMENT(AB1121))</f>
        <v>0</v>
      </c>
      <c r="AL1121" s="7">
        <f>DEGREES(IMARGUMENT(AC1121))</f>
        <v>0</v>
      </c>
      <c r="AM1121" s="7">
        <f>DEGREES(IMARGUMENT(AD1121))</f>
        <v>0</v>
      </c>
    </row>
    <row r="1122" spans="1:39">
      <c r="A1122" s="6">
        <f>10^(LOG10(F_START)+(ROW()-ROW($A$2))*(LOG10(F_STOP)-LOG10(F_START))/(N_POINTS-1))</f>
        <v>0</v>
      </c>
      <c r="B1122" s="6">
        <f>2*PI()*A1122</f>
        <v>0</v>
      </c>
      <c r="C1122">
        <f>COMPLEX(2*LINE_PS_DCR,2*B1122*LINE_PS_L)</f>
        <v>0</v>
      </c>
      <c r="D1122">
        <f>IMSUM(COMPLEX(0,B1122*(LINE_PS_CLINE+LINE_PS_CCHA/2)),IMDIV("1",IMPRODUCT("2",COMPLEX(C_THROUGH_ESR,B1122*C_THROUGH_ESL-1/(B1122*C_THROUGH_C)))))</f>
        <v>0</v>
      </c>
      <c r="E1122">
        <f>COMPLEX(2*LINE_INPUT_DCR,2*B1122*LINE_INPUT_L)</f>
        <v>0</v>
      </c>
      <c r="F1122">
        <f>COMPLEX(0,B1122*(LINE_INPUT_CLINE+LINE_INPUT_CCHA/2))</f>
        <v>0</v>
      </c>
      <c r="G1122">
        <f>IMPRODUCT("2",IMDIV("1",IMSUM(IMDIV("1",COMPLEX(LDM1_DCR,B1122*LDM1_L)),COMPLEX(0,B1122*LDM1_CPA))))</f>
        <v>0</v>
      </c>
      <c r="H1122">
        <f>IMSUM(IMDIV("1",COMPLEX(CX1_ESR,B1122*CX1_ESL-1/(B1122*CX1_C))),IMDIV("1",IMSUM(COMPLEX(DUMP1_R,0),COMPLEX(DUMP1_ESR,B1122*DUMP1_ESL-1/(B1122*DUMP1_C)))))</f>
        <v>0</v>
      </c>
      <c r="I1122">
        <f>IMPRODUCT("2",IMDIV("1",IMSUM(IMDIV("1",COMPLEX(LDM2_DCR,B1122*LDM2_L)),COMPLEX(0,B1122*LDM2_CPA))))</f>
        <v>0</v>
      </c>
      <c r="J1122">
        <f>IMSUM(IMDIV("1",COMPLEX(CX2_ESR,B1122*CX2_ESL-1/(B1122*CX2_C))),IMDIV("1",IMSUM(COMPLEX(DUMP2_R,0),COMPLEX(DUMP2_ESR,B1122*DUMP2_ESL-1/(B1122*DUMP2_C)))))</f>
        <v>0</v>
      </c>
      <c r="K1122">
        <f>IMPRODUCT("2",IMDIV("1",IMSUM(IMDIV("1",COMPLEX(CMC_DCR,B1122*CMC_L*(1-CMC_K))),COMPLEX(0,B1122*CMC_CPA))))</f>
        <v>0</v>
      </c>
      <c r="L1122">
        <f>IMSUM(COMPLEX(0,B1122*CMC_CLINE),IMDIV("1",IMPRODUCT("2",COMPLEX(CY_ESR,B1122*CY_ESL-1/(B1122*CY_C)))),COMPLEX(1/DUMMY_R,0))</f>
        <v>0</v>
      </c>
      <c r="M1122">
        <f>IMSUM(D1122,IMDIV("1",C1122))</f>
        <v>0</v>
      </c>
      <c r="N1122">
        <f>IMDIV("1",IMSUM(E1122,IMDIV("1",M1122)))</f>
        <v>0</v>
      </c>
      <c r="O1122">
        <f>IMSUM(F1122,N1122)</f>
        <v>0</v>
      </c>
      <c r="P1122">
        <f>IMDIV("1",IMSUM(G1122,IMDIV("1",O1122)))</f>
        <v>0</v>
      </c>
      <c r="Q1122">
        <f>IMSUM(H1122,P1122)</f>
        <v>0</v>
      </c>
      <c r="R1122">
        <f>IMDIV("1",IMSUM(I1122,IMDIV("1",Q1122)))</f>
        <v>0</v>
      </c>
      <c r="S1122">
        <f>IMSUM(J1122,R1122)</f>
        <v>0</v>
      </c>
      <c r="T1122">
        <f>IMDIV("1",IMSUM(K1122,IMDIV("1",S1122)))</f>
        <v>0</v>
      </c>
      <c r="U1122">
        <f>IMSUM(L1122,T1122)</f>
        <v>0</v>
      </c>
      <c r="V1122">
        <f>IMDIV(COMPLEX(I_DM_SOURCE,0),U1122)</f>
        <v>0</v>
      </c>
      <c r="W1122">
        <f>IMPRODUCT(V1122,T1122)</f>
        <v>0</v>
      </c>
      <c r="X1122">
        <f>IMDIV(W1122,S1122)</f>
        <v>0</v>
      </c>
      <c r="Y1122">
        <f>IMPRODUCT(X1122,R1122)</f>
        <v>0</v>
      </c>
      <c r="Z1122">
        <f>IMDIV(Y1122,Q1122)</f>
        <v>0</v>
      </c>
      <c r="AA1122">
        <f>IMPRODUCT(Z1122,P1122)</f>
        <v>0</v>
      </c>
      <c r="AB1122">
        <f>AA1122</f>
        <v>0</v>
      </c>
      <c r="AC1122">
        <f>IMPRODUCT("-1",AB1122)</f>
        <v>0</v>
      </c>
      <c r="AD1122">
        <f>IMDIV(IMSUB(AB1122,AC1122),"2")</f>
        <v>0</v>
      </c>
      <c r="AE1122" s="6">
        <f>IMABS(AB1122)</f>
        <v>0</v>
      </c>
      <c r="AF1122" s="6">
        <f>IMABS(AC1122)</f>
        <v>0</v>
      </c>
      <c r="AG1122" s="6">
        <f>IMABS(AD1122)</f>
        <v>0</v>
      </c>
      <c r="AH1122" s="7">
        <f>20*LOG10(MAX(AE1122,1E-300)*1E6)</f>
        <v>0</v>
      </c>
      <c r="AI1122" s="7">
        <f>20*LOG10(MAX(AF1122,1E-300)*1E6)</f>
        <v>0</v>
      </c>
      <c r="AJ1122" s="7">
        <f>20*LOG10(MAX(AG1122,1E-300)*1E6)</f>
        <v>0</v>
      </c>
      <c r="AK1122" s="7">
        <f>DEGREES(IMARGUMENT(AB1122))</f>
        <v>0</v>
      </c>
      <c r="AL1122" s="7">
        <f>DEGREES(IMARGUMENT(AC1122))</f>
        <v>0</v>
      </c>
      <c r="AM1122" s="7">
        <f>DEGREES(IMARGUMENT(AD1122))</f>
        <v>0</v>
      </c>
    </row>
    <row r="1123" spans="1:39">
      <c r="A1123" s="6">
        <f>10^(LOG10(F_START)+(ROW()-ROW($A$2))*(LOG10(F_STOP)-LOG10(F_START))/(N_POINTS-1))</f>
        <v>0</v>
      </c>
      <c r="B1123" s="6">
        <f>2*PI()*A1123</f>
        <v>0</v>
      </c>
      <c r="C1123">
        <f>COMPLEX(2*LINE_PS_DCR,2*B1123*LINE_PS_L)</f>
        <v>0</v>
      </c>
      <c r="D1123">
        <f>IMSUM(COMPLEX(0,B1123*(LINE_PS_CLINE+LINE_PS_CCHA/2)),IMDIV("1",IMPRODUCT("2",COMPLEX(C_THROUGH_ESR,B1123*C_THROUGH_ESL-1/(B1123*C_THROUGH_C)))))</f>
        <v>0</v>
      </c>
      <c r="E1123">
        <f>COMPLEX(2*LINE_INPUT_DCR,2*B1123*LINE_INPUT_L)</f>
        <v>0</v>
      </c>
      <c r="F1123">
        <f>COMPLEX(0,B1123*(LINE_INPUT_CLINE+LINE_INPUT_CCHA/2))</f>
        <v>0</v>
      </c>
      <c r="G1123">
        <f>IMPRODUCT("2",IMDIV("1",IMSUM(IMDIV("1",COMPLEX(LDM1_DCR,B1123*LDM1_L)),COMPLEX(0,B1123*LDM1_CPA))))</f>
        <v>0</v>
      </c>
      <c r="H1123">
        <f>IMSUM(IMDIV("1",COMPLEX(CX1_ESR,B1123*CX1_ESL-1/(B1123*CX1_C))),IMDIV("1",IMSUM(COMPLEX(DUMP1_R,0),COMPLEX(DUMP1_ESR,B1123*DUMP1_ESL-1/(B1123*DUMP1_C)))))</f>
        <v>0</v>
      </c>
      <c r="I1123">
        <f>IMPRODUCT("2",IMDIV("1",IMSUM(IMDIV("1",COMPLEX(LDM2_DCR,B1123*LDM2_L)),COMPLEX(0,B1123*LDM2_CPA))))</f>
        <v>0</v>
      </c>
      <c r="J1123">
        <f>IMSUM(IMDIV("1",COMPLEX(CX2_ESR,B1123*CX2_ESL-1/(B1123*CX2_C))),IMDIV("1",IMSUM(COMPLEX(DUMP2_R,0),COMPLEX(DUMP2_ESR,B1123*DUMP2_ESL-1/(B1123*DUMP2_C)))))</f>
        <v>0</v>
      </c>
      <c r="K1123">
        <f>IMPRODUCT("2",IMDIV("1",IMSUM(IMDIV("1",COMPLEX(CMC_DCR,B1123*CMC_L*(1-CMC_K))),COMPLEX(0,B1123*CMC_CPA))))</f>
        <v>0</v>
      </c>
      <c r="L1123">
        <f>IMSUM(COMPLEX(0,B1123*CMC_CLINE),IMDIV("1",IMPRODUCT("2",COMPLEX(CY_ESR,B1123*CY_ESL-1/(B1123*CY_C)))),COMPLEX(1/DUMMY_R,0))</f>
        <v>0</v>
      </c>
      <c r="M1123">
        <f>IMSUM(D1123,IMDIV("1",C1123))</f>
        <v>0</v>
      </c>
      <c r="N1123">
        <f>IMDIV("1",IMSUM(E1123,IMDIV("1",M1123)))</f>
        <v>0</v>
      </c>
      <c r="O1123">
        <f>IMSUM(F1123,N1123)</f>
        <v>0</v>
      </c>
      <c r="P1123">
        <f>IMDIV("1",IMSUM(G1123,IMDIV("1",O1123)))</f>
        <v>0</v>
      </c>
      <c r="Q1123">
        <f>IMSUM(H1123,P1123)</f>
        <v>0</v>
      </c>
      <c r="R1123">
        <f>IMDIV("1",IMSUM(I1123,IMDIV("1",Q1123)))</f>
        <v>0</v>
      </c>
      <c r="S1123">
        <f>IMSUM(J1123,R1123)</f>
        <v>0</v>
      </c>
      <c r="T1123">
        <f>IMDIV("1",IMSUM(K1123,IMDIV("1",S1123)))</f>
        <v>0</v>
      </c>
      <c r="U1123">
        <f>IMSUM(L1123,T1123)</f>
        <v>0</v>
      </c>
      <c r="V1123">
        <f>IMDIV(COMPLEX(I_DM_SOURCE,0),U1123)</f>
        <v>0</v>
      </c>
      <c r="W1123">
        <f>IMPRODUCT(V1123,T1123)</f>
        <v>0</v>
      </c>
      <c r="X1123">
        <f>IMDIV(W1123,S1123)</f>
        <v>0</v>
      </c>
      <c r="Y1123">
        <f>IMPRODUCT(X1123,R1123)</f>
        <v>0</v>
      </c>
      <c r="Z1123">
        <f>IMDIV(Y1123,Q1123)</f>
        <v>0</v>
      </c>
      <c r="AA1123">
        <f>IMPRODUCT(Z1123,P1123)</f>
        <v>0</v>
      </c>
      <c r="AB1123">
        <f>AA1123</f>
        <v>0</v>
      </c>
      <c r="AC1123">
        <f>IMPRODUCT("-1",AB1123)</f>
        <v>0</v>
      </c>
      <c r="AD1123">
        <f>IMDIV(IMSUB(AB1123,AC1123),"2")</f>
        <v>0</v>
      </c>
      <c r="AE1123" s="6">
        <f>IMABS(AB1123)</f>
        <v>0</v>
      </c>
      <c r="AF1123" s="6">
        <f>IMABS(AC1123)</f>
        <v>0</v>
      </c>
      <c r="AG1123" s="6">
        <f>IMABS(AD1123)</f>
        <v>0</v>
      </c>
      <c r="AH1123" s="7">
        <f>20*LOG10(MAX(AE1123,1E-300)*1E6)</f>
        <v>0</v>
      </c>
      <c r="AI1123" s="7">
        <f>20*LOG10(MAX(AF1123,1E-300)*1E6)</f>
        <v>0</v>
      </c>
      <c r="AJ1123" s="7">
        <f>20*LOG10(MAX(AG1123,1E-300)*1E6)</f>
        <v>0</v>
      </c>
      <c r="AK1123" s="7">
        <f>DEGREES(IMARGUMENT(AB1123))</f>
        <v>0</v>
      </c>
      <c r="AL1123" s="7">
        <f>DEGREES(IMARGUMENT(AC1123))</f>
        <v>0</v>
      </c>
      <c r="AM1123" s="7">
        <f>DEGREES(IMARGUMENT(AD1123))</f>
        <v>0</v>
      </c>
    </row>
    <row r="1124" spans="1:39">
      <c r="A1124" s="6">
        <f>10^(LOG10(F_START)+(ROW()-ROW($A$2))*(LOG10(F_STOP)-LOG10(F_START))/(N_POINTS-1))</f>
        <v>0</v>
      </c>
      <c r="B1124" s="6">
        <f>2*PI()*A1124</f>
        <v>0</v>
      </c>
      <c r="C1124">
        <f>COMPLEX(2*LINE_PS_DCR,2*B1124*LINE_PS_L)</f>
        <v>0</v>
      </c>
      <c r="D1124">
        <f>IMSUM(COMPLEX(0,B1124*(LINE_PS_CLINE+LINE_PS_CCHA/2)),IMDIV("1",IMPRODUCT("2",COMPLEX(C_THROUGH_ESR,B1124*C_THROUGH_ESL-1/(B1124*C_THROUGH_C)))))</f>
        <v>0</v>
      </c>
      <c r="E1124">
        <f>COMPLEX(2*LINE_INPUT_DCR,2*B1124*LINE_INPUT_L)</f>
        <v>0</v>
      </c>
      <c r="F1124">
        <f>COMPLEX(0,B1124*(LINE_INPUT_CLINE+LINE_INPUT_CCHA/2))</f>
        <v>0</v>
      </c>
      <c r="G1124">
        <f>IMPRODUCT("2",IMDIV("1",IMSUM(IMDIV("1",COMPLEX(LDM1_DCR,B1124*LDM1_L)),COMPLEX(0,B1124*LDM1_CPA))))</f>
        <v>0</v>
      </c>
      <c r="H1124">
        <f>IMSUM(IMDIV("1",COMPLEX(CX1_ESR,B1124*CX1_ESL-1/(B1124*CX1_C))),IMDIV("1",IMSUM(COMPLEX(DUMP1_R,0),COMPLEX(DUMP1_ESR,B1124*DUMP1_ESL-1/(B1124*DUMP1_C)))))</f>
        <v>0</v>
      </c>
      <c r="I1124">
        <f>IMPRODUCT("2",IMDIV("1",IMSUM(IMDIV("1",COMPLEX(LDM2_DCR,B1124*LDM2_L)),COMPLEX(0,B1124*LDM2_CPA))))</f>
        <v>0</v>
      </c>
      <c r="J1124">
        <f>IMSUM(IMDIV("1",COMPLEX(CX2_ESR,B1124*CX2_ESL-1/(B1124*CX2_C))),IMDIV("1",IMSUM(COMPLEX(DUMP2_R,0),COMPLEX(DUMP2_ESR,B1124*DUMP2_ESL-1/(B1124*DUMP2_C)))))</f>
        <v>0</v>
      </c>
      <c r="K1124">
        <f>IMPRODUCT("2",IMDIV("1",IMSUM(IMDIV("1",COMPLEX(CMC_DCR,B1124*CMC_L*(1-CMC_K))),COMPLEX(0,B1124*CMC_CPA))))</f>
        <v>0</v>
      </c>
      <c r="L1124">
        <f>IMSUM(COMPLEX(0,B1124*CMC_CLINE),IMDIV("1",IMPRODUCT("2",COMPLEX(CY_ESR,B1124*CY_ESL-1/(B1124*CY_C)))),COMPLEX(1/DUMMY_R,0))</f>
        <v>0</v>
      </c>
      <c r="M1124">
        <f>IMSUM(D1124,IMDIV("1",C1124))</f>
        <v>0</v>
      </c>
      <c r="N1124">
        <f>IMDIV("1",IMSUM(E1124,IMDIV("1",M1124)))</f>
        <v>0</v>
      </c>
      <c r="O1124">
        <f>IMSUM(F1124,N1124)</f>
        <v>0</v>
      </c>
      <c r="P1124">
        <f>IMDIV("1",IMSUM(G1124,IMDIV("1",O1124)))</f>
        <v>0</v>
      </c>
      <c r="Q1124">
        <f>IMSUM(H1124,P1124)</f>
        <v>0</v>
      </c>
      <c r="R1124">
        <f>IMDIV("1",IMSUM(I1124,IMDIV("1",Q1124)))</f>
        <v>0</v>
      </c>
      <c r="S1124">
        <f>IMSUM(J1124,R1124)</f>
        <v>0</v>
      </c>
      <c r="T1124">
        <f>IMDIV("1",IMSUM(K1124,IMDIV("1",S1124)))</f>
        <v>0</v>
      </c>
      <c r="U1124">
        <f>IMSUM(L1124,T1124)</f>
        <v>0</v>
      </c>
      <c r="V1124">
        <f>IMDIV(COMPLEX(I_DM_SOURCE,0),U1124)</f>
        <v>0</v>
      </c>
      <c r="W1124">
        <f>IMPRODUCT(V1124,T1124)</f>
        <v>0</v>
      </c>
      <c r="X1124">
        <f>IMDIV(W1124,S1124)</f>
        <v>0</v>
      </c>
      <c r="Y1124">
        <f>IMPRODUCT(X1124,R1124)</f>
        <v>0</v>
      </c>
      <c r="Z1124">
        <f>IMDIV(Y1124,Q1124)</f>
        <v>0</v>
      </c>
      <c r="AA1124">
        <f>IMPRODUCT(Z1124,P1124)</f>
        <v>0</v>
      </c>
      <c r="AB1124">
        <f>AA1124</f>
        <v>0</v>
      </c>
      <c r="AC1124">
        <f>IMPRODUCT("-1",AB1124)</f>
        <v>0</v>
      </c>
      <c r="AD1124">
        <f>IMDIV(IMSUB(AB1124,AC1124),"2")</f>
        <v>0</v>
      </c>
      <c r="AE1124" s="6">
        <f>IMABS(AB1124)</f>
        <v>0</v>
      </c>
      <c r="AF1124" s="6">
        <f>IMABS(AC1124)</f>
        <v>0</v>
      </c>
      <c r="AG1124" s="6">
        <f>IMABS(AD1124)</f>
        <v>0</v>
      </c>
      <c r="AH1124" s="7">
        <f>20*LOG10(MAX(AE1124,1E-300)*1E6)</f>
        <v>0</v>
      </c>
      <c r="AI1124" s="7">
        <f>20*LOG10(MAX(AF1124,1E-300)*1E6)</f>
        <v>0</v>
      </c>
      <c r="AJ1124" s="7">
        <f>20*LOG10(MAX(AG1124,1E-300)*1E6)</f>
        <v>0</v>
      </c>
      <c r="AK1124" s="7">
        <f>DEGREES(IMARGUMENT(AB1124))</f>
        <v>0</v>
      </c>
      <c r="AL1124" s="7">
        <f>DEGREES(IMARGUMENT(AC1124))</f>
        <v>0</v>
      </c>
      <c r="AM1124" s="7">
        <f>DEGREES(IMARGUMENT(AD1124))</f>
        <v>0</v>
      </c>
    </row>
    <row r="1125" spans="1:39">
      <c r="A1125" s="6">
        <f>10^(LOG10(F_START)+(ROW()-ROW($A$2))*(LOG10(F_STOP)-LOG10(F_START))/(N_POINTS-1))</f>
        <v>0</v>
      </c>
      <c r="B1125" s="6">
        <f>2*PI()*A1125</f>
        <v>0</v>
      </c>
      <c r="C1125">
        <f>COMPLEX(2*LINE_PS_DCR,2*B1125*LINE_PS_L)</f>
        <v>0</v>
      </c>
      <c r="D1125">
        <f>IMSUM(COMPLEX(0,B1125*(LINE_PS_CLINE+LINE_PS_CCHA/2)),IMDIV("1",IMPRODUCT("2",COMPLEX(C_THROUGH_ESR,B1125*C_THROUGH_ESL-1/(B1125*C_THROUGH_C)))))</f>
        <v>0</v>
      </c>
      <c r="E1125">
        <f>COMPLEX(2*LINE_INPUT_DCR,2*B1125*LINE_INPUT_L)</f>
        <v>0</v>
      </c>
      <c r="F1125">
        <f>COMPLEX(0,B1125*(LINE_INPUT_CLINE+LINE_INPUT_CCHA/2))</f>
        <v>0</v>
      </c>
      <c r="G1125">
        <f>IMPRODUCT("2",IMDIV("1",IMSUM(IMDIV("1",COMPLEX(LDM1_DCR,B1125*LDM1_L)),COMPLEX(0,B1125*LDM1_CPA))))</f>
        <v>0</v>
      </c>
      <c r="H1125">
        <f>IMSUM(IMDIV("1",COMPLEX(CX1_ESR,B1125*CX1_ESL-1/(B1125*CX1_C))),IMDIV("1",IMSUM(COMPLEX(DUMP1_R,0),COMPLEX(DUMP1_ESR,B1125*DUMP1_ESL-1/(B1125*DUMP1_C)))))</f>
        <v>0</v>
      </c>
      <c r="I1125">
        <f>IMPRODUCT("2",IMDIV("1",IMSUM(IMDIV("1",COMPLEX(LDM2_DCR,B1125*LDM2_L)),COMPLEX(0,B1125*LDM2_CPA))))</f>
        <v>0</v>
      </c>
      <c r="J1125">
        <f>IMSUM(IMDIV("1",COMPLEX(CX2_ESR,B1125*CX2_ESL-1/(B1125*CX2_C))),IMDIV("1",IMSUM(COMPLEX(DUMP2_R,0),COMPLEX(DUMP2_ESR,B1125*DUMP2_ESL-1/(B1125*DUMP2_C)))))</f>
        <v>0</v>
      </c>
      <c r="K1125">
        <f>IMPRODUCT("2",IMDIV("1",IMSUM(IMDIV("1",COMPLEX(CMC_DCR,B1125*CMC_L*(1-CMC_K))),COMPLEX(0,B1125*CMC_CPA))))</f>
        <v>0</v>
      </c>
      <c r="L1125">
        <f>IMSUM(COMPLEX(0,B1125*CMC_CLINE),IMDIV("1",IMPRODUCT("2",COMPLEX(CY_ESR,B1125*CY_ESL-1/(B1125*CY_C)))),COMPLEX(1/DUMMY_R,0))</f>
        <v>0</v>
      </c>
      <c r="M1125">
        <f>IMSUM(D1125,IMDIV("1",C1125))</f>
        <v>0</v>
      </c>
      <c r="N1125">
        <f>IMDIV("1",IMSUM(E1125,IMDIV("1",M1125)))</f>
        <v>0</v>
      </c>
      <c r="O1125">
        <f>IMSUM(F1125,N1125)</f>
        <v>0</v>
      </c>
      <c r="P1125">
        <f>IMDIV("1",IMSUM(G1125,IMDIV("1",O1125)))</f>
        <v>0</v>
      </c>
      <c r="Q1125">
        <f>IMSUM(H1125,P1125)</f>
        <v>0</v>
      </c>
      <c r="R1125">
        <f>IMDIV("1",IMSUM(I1125,IMDIV("1",Q1125)))</f>
        <v>0</v>
      </c>
      <c r="S1125">
        <f>IMSUM(J1125,R1125)</f>
        <v>0</v>
      </c>
      <c r="T1125">
        <f>IMDIV("1",IMSUM(K1125,IMDIV("1",S1125)))</f>
        <v>0</v>
      </c>
      <c r="U1125">
        <f>IMSUM(L1125,T1125)</f>
        <v>0</v>
      </c>
      <c r="V1125">
        <f>IMDIV(COMPLEX(I_DM_SOURCE,0),U1125)</f>
        <v>0</v>
      </c>
      <c r="W1125">
        <f>IMPRODUCT(V1125,T1125)</f>
        <v>0</v>
      </c>
      <c r="X1125">
        <f>IMDIV(W1125,S1125)</f>
        <v>0</v>
      </c>
      <c r="Y1125">
        <f>IMPRODUCT(X1125,R1125)</f>
        <v>0</v>
      </c>
      <c r="Z1125">
        <f>IMDIV(Y1125,Q1125)</f>
        <v>0</v>
      </c>
      <c r="AA1125">
        <f>IMPRODUCT(Z1125,P1125)</f>
        <v>0</v>
      </c>
      <c r="AB1125">
        <f>AA1125</f>
        <v>0</v>
      </c>
      <c r="AC1125">
        <f>IMPRODUCT("-1",AB1125)</f>
        <v>0</v>
      </c>
      <c r="AD1125">
        <f>IMDIV(IMSUB(AB1125,AC1125),"2")</f>
        <v>0</v>
      </c>
      <c r="AE1125" s="6">
        <f>IMABS(AB1125)</f>
        <v>0</v>
      </c>
      <c r="AF1125" s="6">
        <f>IMABS(AC1125)</f>
        <v>0</v>
      </c>
      <c r="AG1125" s="6">
        <f>IMABS(AD1125)</f>
        <v>0</v>
      </c>
      <c r="AH1125" s="7">
        <f>20*LOG10(MAX(AE1125,1E-300)*1E6)</f>
        <v>0</v>
      </c>
      <c r="AI1125" s="7">
        <f>20*LOG10(MAX(AF1125,1E-300)*1E6)</f>
        <v>0</v>
      </c>
      <c r="AJ1125" s="7">
        <f>20*LOG10(MAX(AG1125,1E-300)*1E6)</f>
        <v>0</v>
      </c>
      <c r="AK1125" s="7">
        <f>DEGREES(IMARGUMENT(AB1125))</f>
        <v>0</v>
      </c>
      <c r="AL1125" s="7">
        <f>DEGREES(IMARGUMENT(AC1125))</f>
        <v>0</v>
      </c>
      <c r="AM1125" s="7">
        <f>DEGREES(IMARGUMENT(AD1125))</f>
        <v>0</v>
      </c>
    </row>
    <row r="1126" spans="1:39">
      <c r="A1126" s="6">
        <f>10^(LOG10(F_START)+(ROW()-ROW($A$2))*(LOG10(F_STOP)-LOG10(F_START))/(N_POINTS-1))</f>
        <v>0</v>
      </c>
      <c r="B1126" s="6">
        <f>2*PI()*A1126</f>
        <v>0</v>
      </c>
      <c r="C1126">
        <f>COMPLEX(2*LINE_PS_DCR,2*B1126*LINE_PS_L)</f>
        <v>0</v>
      </c>
      <c r="D1126">
        <f>IMSUM(COMPLEX(0,B1126*(LINE_PS_CLINE+LINE_PS_CCHA/2)),IMDIV("1",IMPRODUCT("2",COMPLEX(C_THROUGH_ESR,B1126*C_THROUGH_ESL-1/(B1126*C_THROUGH_C)))))</f>
        <v>0</v>
      </c>
      <c r="E1126">
        <f>COMPLEX(2*LINE_INPUT_DCR,2*B1126*LINE_INPUT_L)</f>
        <v>0</v>
      </c>
      <c r="F1126">
        <f>COMPLEX(0,B1126*(LINE_INPUT_CLINE+LINE_INPUT_CCHA/2))</f>
        <v>0</v>
      </c>
      <c r="G1126">
        <f>IMPRODUCT("2",IMDIV("1",IMSUM(IMDIV("1",COMPLEX(LDM1_DCR,B1126*LDM1_L)),COMPLEX(0,B1126*LDM1_CPA))))</f>
        <v>0</v>
      </c>
      <c r="H1126">
        <f>IMSUM(IMDIV("1",COMPLEX(CX1_ESR,B1126*CX1_ESL-1/(B1126*CX1_C))),IMDIV("1",IMSUM(COMPLEX(DUMP1_R,0),COMPLEX(DUMP1_ESR,B1126*DUMP1_ESL-1/(B1126*DUMP1_C)))))</f>
        <v>0</v>
      </c>
      <c r="I1126">
        <f>IMPRODUCT("2",IMDIV("1",IMSUM(IMDIV("1",COMPLEX(LDM2_DCR,B1126*LDM2_L)),COMPLEX(0,B1126*LDM2_CPA))))</f>
        <v>0</v>
      </c>
      <c r="J1126">
        <f>IMSUM(IMDIV("1",COMPLEX(CX2_ESR,B1126*CX2_ESL-1/(B1126*CX2_C))),IMDIV("1",IMSUM(COMPLEX(DUMP2_R,0),COMPLEX(DUMP2_ESR,B1126*DUMP2_ESL-1/(B1126*DUMP2_C)))))</f>
        <v>0</v>
      </c>
      <c r="K1126">
        <f>IMPRODUCT("2",IMDIV("1",IMSUM(IMDIV("1",COMPLEX(CMC_DCR,B1126*CMC_L*(1-CMC_K))),COMPLEX(0,B1126*CMC_CPA))))</f>
        <v>0</v>
      </c>
      <c r="L1126">
        <f>IMSUM(COMPLEX(0,B1126*CMC_CLINE),IMDIV("1",IMPRODUCT("2",COMPLEX(CY_ESR,B1126*CY_ESL-1/(B1126*CY_C)))),COMPLEX(1/DUMMY_R,0))</f>
        <v>0</v>
      </c>
      <c r="M1126">
        <f>IMSUM(D1126,IMDIV("1",C1126))</f>
        <v>0</v>
      </c>
      <c r="N1126">
        <f>IMDIV("1",IMSUM(E1126,IMDIV("1",M1126)))</f>
        <v>0</v>
      </c>
      <c r="O1126">
        <f>IMSUM(F1126,N1126)</f>
        <v>0</v>
      </c>
      <c r="P1126">
        <f>IMDIV("1",IMSUM(G1126,IMDIV("1",O1126)))</f>
        <v>0</v>
      </c>
      <c r="Q1126">
        <f>IMSUM(H1126,P1126)</f>
        <v>0</v>
      </c>
      <c r="R1126">
        <f>IMDIV("1",IMSUM(I1126,IMDIV("1",Q1126)))</f>
        <v>0</v>
      </c>
      <c r="S1126">
        <f>IMSUM(J1126,R1126)</f>
        <v>0</v>
      </c>
      <c r="T1126">
        <f>IMDIV("1",IMSUM(K1126,IMDIV("1",S1126)))</f>
        <v>0</v>
      </c>
      <c r="U1126">
        <f>IMSUM(L1126,T1126)</f>
        <v>0</v>
      </c>
      <c r="V1126">
        <f>IMDIV(COMPLEX(I_DM_SOURCE,0),U1126)</f>
        <v>0</v>
      </c>
      <c r="W1126">
        <f>IMPRODUCT(V1126,T1126)</f>
        <v>0</v>
      </c>
      <c r="X1126">
        <f>IMDIV(W1126,S1126)</f>
        <v>0</v>
      </c>
      <c r="Y1126">
        <f>IMPRODUCT(X1126,R1126)</f>
        <v>0</v>
      </c>
      <c r="Z1126">
        <f>IMDIV(Y1126,Q1126)</f>
        <v>0</v>
      </c>
      <c r="AA1126">
        <f>IMPRODUCT(Z1126,P1126)</f>
        <v>0</v>
      </c>
      <c r="AB1126">
        <f>AA1126</f>
        <v>0</v>
      </c>
      <c r="AC1126">
        <f>IMPRODUCT("-1",AB1126)</f>
        <v>0</v>
      </c>
      <c r="AD1126">
        <f>IMDIV(IMSUB(AB1126,AC1126),"2")</f>
        <v>0</v>
      </c>
      <c r="AE1126" s="6">
        <f>IMABS(AB1126)</f>
        <v>0</v>
      </c>
      <c r="AF1126" s="6">
        <f>IMABS(AC1126)</f>
        <v>0</v>
      </c>
      <c r="AG1126" s="6">
        <f>IMABS(AD1126)</f>
        <v>0</v>
      </c>
      <c r="AH1126" s="7">
        <f>20*LOG10(MAX(AE1126,1E-300)*1E6)</f>
        <v>0</v>
      </c>
      <c r="AI1126" s="7">
        <f>20*LOG10(MAX(AF1126,1E-300)*1E6)</f>
        <v>0</v>
      </c>
      <c r="AJ1126" s="7">
        <f>20*LOG10(MAX(AG1126,1E-300)*1E6)</f>
        <v>0</v>
      </c>
      <c r="AK1126" s="7">
        <f>DEGREES(IMARGUMENT(AB1126))</f>
        <v>0</v>
      </c>
      <c r="AL1126" s="7">
        <f>DEGREES(IMARGUMENT(AC1126))</f>
        <v>0</v>
      </c>
      <c r="AM1126" s="7">
        <f>DEGREES(IMARGUMENT(AD1126))</f>
        <v>0</v>
      </c>
    </row>
    <row r="1127" spans="1:39">
      <c r="A1127" s="6">
        <f>10^(LOG10(F_START)+(ROW()-ROW($A$2))*(LOG10(F_STOP)-LOG10(F_START))/(N_POINTS-1))</f>
        <v>0</v>
      </c>
      <c r="B1127" s="6">
        <f>2*PI()*A1127</f>
        <v>0</v>
      </c>
      <c r="C1127">
        <f>COMPLEX(2*LINE_PS_DCR,2*B1127*LINE_PS_L)</f>
        <v>0</v>
      </c>
      <c r="D1127">
        <f>IMSUM(COMPLEX(0,B1127*(LINE_PS_CLINE+LINE_PS_CCHA/2)),IMDIV("1",IMPRODUCT("2",COMPLEX(C_THROUGH_ESR,B1127*C_THROUGH_ESL-1/(B1127*C_THROUGH_C)))))</f>
        <v>0</v>
      </c>
      <c r="E1127">
        <f>COMPLEX(2*LINE_INPUT_DCR,2*B1127*LINE_INPUT_L)</f>
        <v>0</v>
      </c>
      <c r="F1127">
        <f>COMPLEX(0,B1127*(LINE_INPUT_CLINE+LINE_INPUT_CCHA/2))</f>
        <v>0</v>
      </c>
      <c r="G1127">
        <f>IMPRODUCT("2",IMDIV("1",IMSUM(IMDIV("1",COMPLEX(LDM1_DCR,B1127*LDM1_L)),COMPLEX(0,B1127*LDM1_CPA))))</f>
        <v>0</v>
      </c>
      <c r="H1127">
        <f>IMSUM(IMDIV("1",COMPLEX(CX1_ESR,B1127*CX1_ESL-1/(B1127*CX1_C))),IMDIV("1",IMSUM(COMPLEX(DUMP1_R,0),COMPLEX(DUMP1_ESR,B1127*DUMP1_ESL-1/(B1127*DUMP1_C)))))</f>
        <v>0</v>
      </c>
      <c r="I1127">
        <f>IMPRODUCT("2",IMDIV("1",IMSUM(IMDIV("1",COMPLEX(LDM2_DCR,B1127*LDM2_L)),COMPLEX(0,B1127*LDM2_CPA))))</f>
        <v>0</v>
      </c>
      <c r="J1127">
        <f>IMSUM(IMDIV("1",COMPLEX(CX2_ESR,B1127*CX2_ESL-1/(B1127*CX2_C))),IMDIV("1",IMSUM(COMPLEX(DUMP2_R,0),COMPLEX(DUMP2_ESR,B1127*DUMP2_ESL-1/(B1127*DUMP2_C)))))</f>
        <v>0</v>
      </c>
      <c r="K1127">
        <f>IMPRODUCT("2",IMDIV("1",IMSUM(IMDIV("1",COMPLEX(CMC_DCR,B1127*CMC_L*(1-CMC_K))),COMPLEX(0,B1127*CMC_CPA))))</f>
        <v>0</v>
      </c>
      <c r="L1127">
        <f>IMSUM(COMPLEX(0,B1127*CMC_CLINE),IMDIV("1",IMPRODUCT("2",COMPLEX(CY_ESR,B1127*CY_ESL-1/(B1127*CY_C)))),COMPLEX(1/DUMMY_R,0))</f>
        <v>0</v>
      </c>
      <c r="M1127">
        <f>IMSUM(D1127,IMDIV("1",C1127))</f>
        <v>0</v>
      </c>
      <c r="N1127">
        <f>IMDIV("1",IMSUM(E1127,IMDIV("1",M1127)))</f>
        <v>0</v>
      </c>
      <c r="O1127">
        <f>IMSUM(F1127,N1127)</f>
        <v>0</v>
      </c>
      <c r="P1127">
        <f>IMDIV("1",IMSUM(G1127,IMDIV("1",O1127)))</f>
        <v>0</v>
      </c>
      <c r="Q1127">
        <f>IMSUM(H1127,P1127)</f>
        <v>0</v>
      </c>
      <c r="R1127">
        <f>IMDIV("1",IMSUM(I1127,IMDIV("1",Q1127)))</f>
        <v>0</v>
      </c>
      <c r="S1127">
        <f>IMSUM(J1127,R1127)</f>
        <v>0</v>
      </c>
      <c r="T1127">
        <f>IMDIV("1",IMSUM(K1127,IMDIV("1",S1127)))</f>
        <v>0</v>
      </c>
      <c r="U1127">
        <f>IMSUM(L1127,T1127)</f>
        <v>0</v>
      </c>
      <c r="V1127">
        <f>IMDIV(COMPLEX(I_DM_SOURCE,0),U1127)</f>
        <v>0</v>
      </c>
      <c r="W1127">
        <f>IMPRODUCT(V1127,T1127)</f>
        <v>0</v>
      </c>
      <c r="X1127">
        <f>IMDIV(W1127,S1127)</f>
        <v>0</v>
      </c>
      <c r="Y1127">
        <f>IMPRODUCT(X1127,R1127)</f>
        <v>0</v>
      </c>
      <c r="Z1127">
        <f>IMDIV(Y1127,Q1127)</f>
        <v>0</v>
      </c>
      <c r="AA1127">
        <f>IMPRODUCT(Z1127,P1127)</f>
        <v>0</v>
      </c>
      <c r="AB1127">
        <f>AA1127</f>
        <v>0</v>
      </c>
      <c r="AC1127">
        <f>IMPRODUCT("-1",AB1127)</f>
        <v>0</v>
      </c>
      <c r="AD1127">
        <f>IMDIV(IMSUB(AB1127,AC1127),"2")</f>
        <v>0</v>
      </c>
      <c r="AE1127" s="6">
        <f>IMABS(AB1127)</f>
        <v>0</v>
      </c>
      <c r="AF1127" s="6">
        <f>IMABS(AC1127)</f>
        <v>0</v>
      </c>
      <c r="AG1127" s="6">
        <f>IMABS(AD1127)</f>
        <v>0</v>
      </c>
      <c r="AH1127" s="7">
        <f>20*LOG10(MAX(AE1127,1E-300)*1E6)</f>
        <v>0</v>
      </c>
      <c r="AI1127" s="7">
        <f>20*LOG10(MAX(AF1127,1E-300)*1E6)</f>
        <v>0</v>
      </c>
      <c r="AJ1127" s="7">
        <f>20*LOG10(MAX(AG1127,1E-300)*1E6)</f>
        <v>0</v>
      </c>
      <c r="AK1127" s="7">
        <f>DEGREES(IMARGUMENT(AB1127))</f>
        <v>0</v>
      </c>
      <c r="AL1127" s="7">
        <f>DEGREES(IMARGUMENT(AC1127))</f>
        <v>0</v>
      </c>
      <c r="AM1127" s="7">
        <f>DEGREES(IMARGUMENT(AD1127))</f>
        <v>0</v>
      </c>
    </row>
    <row r="1128" spans="1:39">
      <c r="A1128" s="6">
        <f>10^(LOG10(F_START)+(ROW()-ROW($A$2))*(LOG10(F_STOP)-LOG10(F_START))/(N_POINTS-1))</f>
        <v>0</v>
      </c>
      <c r="B1128" s="6">
        <f>2*PI()*A1128</f>
        <v>0</v>
      </c>
      <c r="C1128">
        <f>COMPLEX(2*LINE_PS_DCR,2*B1128*LINE_PS_L)</f>
        <v>0</v>
      </c>
      <c r="D1128">
        <f>IMSUM(COMPLEX(0,B1128*(LINE_PS_CLINE+LINE_PS_CCHA/2)),IMDIV("1",IMPRODUCT("2",COMPLEX(C_THROUGH_ESR,B1128*C_THROUGH_ESL-1/(B1128*C_THROUGH_C)))))</f>
        <v>0</v>
      </c>
      <c r="E1128">
        <f>COMPLEX(2*LINE_INPUT_DCR,2*B1128*LINE_INPUT_L)</f>
        <v>0</v>
      </c>
      <c r="F1128">
        <f>COMPLEX(0,B1128*(LINE_INPUT_CLINE+LINE_INPUT_CCHA/2))</f>
        <v>0</v>
      </c>
      <c r="G1128">
        <f>IMPRODUCT("2",IMDIV("1",IMSUM(IMDIV("1",COMPLEX(LDM1_DCR,B1128*LDM1_L)),COMPLEX(0,B1128*LDM1_CPA))))</f>
        <v>0</v>
      </c>
      <c r="H1128">
        <f>IMSUM(IMDIV("1",COMPLEX(CX1_ESR,B1128*CX1_ESL-1/(B1128*CX1_C))),IMDIV("1",IMSUM(COMPLEX(DUMP1_R,0),COMPLEX(DUMP1_ESR,B1128*DUMP1_ESL-1/(B1128*DUMP1_C)))))</f>
        <v>0</v>
      </c>
      <c r="I1128">
        <f>IMPRODUCT("2",IMDIV("1",IMSUM(IMDIV("1",COMPLEX(LDM2_DCR,B1128*LDM2_L)),COMPLEX(0,B1128*LDM2_CPA))))</f>
        <v>0</v>
      </c>
      <c r="J1128">
        <f>IMSUM(IMDIV("1",COMPLEX(CX2_ESR,B1128*CX2_ESL-1/(B1128*CX2_C))),IMDIV("1",IMSUM(COMPLEX(DUMP2_R,0),COMPLEX(DUMP2_ESR,B1128*DUMP2_ESL-1/(B1128*DUMP2_C)))))</f>
        <v>0</v>
      </c>
      <c r="K1128">
        <f>IMPRODUCT("2",IMDIV("1",IMSUM(IMDIV("1",COMPLEX(CMC_DCR,B1128*CMC_L*(1-CMC_K))),COMPLEX(0,B1128*CMC_CPA))))</f>
        <v>0</v>
      </c>
      <c r="L1128">
        <f>IMSUM(COMPLEX(0,B1128*CMC_CLINE),IMDIV("1",IMPRODUCT("2",COMPLEX(CY_ESR,B1128*CY_ESL-1/(B1128*CY_C)))),COMPLEX(1/DUMMY_R,0))</f>
        <v>0</v>
      </c>
      <c r="M1128">
        <f>IMSUM(D1128,IMDIV("1",C1128))</f>
        <v>0</v>
      </c>
      <c r="N1128">
        <f>IMDIV("1",IMSUM(E1128,IMDIV("1",M1128)))</f>
        <v>0</v>
      </c>
      <c r="O1128">
        <f>IMSUM(F1128,N1128)</f>
        <v>0</v>
      </c>
      <c r="P1128">
        <f>IMDIV("1",IMSUM(G1128,IMDIV("1",O1128)))</f>
        <v>0</v>
      </c>
      <c r="Q1128">
        <f>IMSUM(H1128,P1128)</f>
        <v>0</v>
      </c>
      <c r="R1128">
        <f>IMDIV("1",IMSUM(I1128,IMDIV("1",Q1128)))</f>
        <v>0</v>
      </c>
      <c r="S1128">
        <f>IMSUM(J1128,R1128)</f>
        <v>0</v>
      </c>
      <c r="T1128">
        <f>IMDIV("1",IMSUM(K1128,IMDIV("1",S1128)))</f>
        <v>0</v>
      </c>
      <c r="U1128">
        <f>IMSUM(L1128,T1128)</f>
        <v>0</v>
      </c>
      <c r="V1128">
        <f>IMDIV(COMPLEX(I_DM_SOURCE,0),U1128)</f>
        <v>0</v>
      </c>
      <c r="W1128">
        <f>IMPRODUCT(V1128,T1128)</f>
        <v>0</v>
      </c>
      <c r="X1128">
        <f>IMDIV(W1128,S1128)</f>
        <v>0</v>
      </c>
      <c r="Y1128">
        <f>IMPRODUCT(X1128,R1128)</f>
        <v>0</v>
      </c>
      <c r="Z1128">
        <f>IMDIV(Y1128,Q1128)</f>
        <v>0</v>
      </c>
      <c r="AA1128">
        <f>IMPRODUCT(Z1128,P1128)</f>
        <v>0</v>
      </c>
      <c r="AB1128">
        <f>AA1128</f>
        <v>0</v>
      </c>
      <c r="AC1128">
        <f>IMPRODUCT("-1",AB1128)</f>
        <v>0</v>
      </c>
      <c r="AD1128">
        <f>IMDIV(IMSUB(AB1128,AC1128),"2")</f>
        <v>0</v>
      </c>
      <c r="AE1128" s="6">
        <f>IMABS(AB1128)</f>
        <v>0</v>
      </c>
      <c r="AF1128" s="6">
        <f>IMABS(AC1128)</f>
        <v>0</v>
      </c>
      <c r="AG1128" s="6">
        <f>IMABS(AD1128)</f>
        <v>0</v>
      </c>
      <c r="AH1128" s="7">
        <f>20*LOG10(MAX(AE1128,1E-300)*1E6)</f>
        <v>0</v>
      </c>
      <c r="AI1128" s="7">
        <f>20*LOG10(MAX(AF1128,1E-300)*1E6)</f>
        <v>0</v>
      </c>
      <c r="AJ1128" s="7">
        <f>20*LOG10(MAX(AG1128,1E-300)*1E6)</f>
        <v>0</v>
      </c>
      <c r="AK1128" s="7">
        <f>DEGREES(IMARGUMENT(AB1128))</f>
        <v>0</v>
      </c>
      <c r="AL1128" s="7">
        <f>DEGREES(IMARGUMENT(AC1128))</f>
        <v>0</v>
      </c>
      <c r="AM1128" s="7">
        <f>DEGREES(IMARGUMENT(AD1128))</f>
        <v>0</v>
      </c>
    </row>
    <row r="1129" spans="1:39">
      <c r="A1129" s="6">
        <f>10^(LOG10(F_START)+(ROW()-ROW($A$2))*(LOG10(F_STOP)-LOG10(F_START))/(N_POINTS-1))</f>
        <v>0</v>
      </c>
      <c r="B1129" s="6">
        <f>2*PI()*A1129</f>
        <v>0</v>
      </c>
      <c r="C1129">
        <f>COMPLEX(2*LINE_PS_DCR,2*B1129*LINE_PS_L)</f>
        <v>0</v>
      </c>
      <c r="D1129">
        <f>IMSUM(COMPLEX(0,B1129*(LINE_PS_CLINE+LINE_PS_CCHA/2)),IMDIV("1",IMPRODUCT("2",COMPLEX(C_THROUGH_ESR,B1129*C_THROUGH_ESL-1/(B1129*C_THROUGH_C)))))</f>
        <v>0</v>
      </c>
      <c r="E1129">
        <f>COMPLEX(2*LINE_INPUT_DCR,2*B1129*LINE_INPUT_L)</f>
        <v>0</v>
      </c>
      <c r="F1129">
        <f>COMPLEX(0,B1129*(LINE_INPUT_CLINE+LINE_INPUT_CCHA/2))</f>
        <v>0</v>
      </c>
      <c r="G1129">
        <f>IMPRODUCT("2",IMDIV("1",IMSUM(IMDIV("1",COMPLEX(LDM1_DCR,B1129*LDM1_L)),COMPLEX(0,B1129*LDM1_CPA))))</f>
        <v>0</v>
      </c>
      <c r="H1129">
        <f>IMSUM(IMDIV("1",COMPLEX(CX1_ESR,B1129*CX1_ESL-1/(B1129*CX1_C))),IMDIV("1",IMSUM(COMPLEX(DUMP1_R,0),COMPLEX(DUMP1_ESR,B1129*DUMP1_ESL-1/(B1129*DUMP1_C)))))</f>
        <v>0</v>
      </c>
      <c r="I1129">
        <f>IMPRODUCT("2",IMDIV("1",IMSUM(IMDIV("1",COMPLEX(LDM2_DCR,B1129*LDM2_L)),COMPLEX(0,B1129*LDM2_CPA))))</f>
        <v>0</v>
      </c>
      <c r="J1129">
        <f>IMSUM(IMDIV("1",COMPLEX(CX2_ESR,B1129*CX2_ESL-1/(B1129*CX2_C))),IMDIV("1",IMSUM(COMPLEX(DUMP2_R,0),COMPLEX(DUMP2_ESR,B1129*DUMP2_ESL-1/(B1129*DUMP2_C)))))</f>
        <v>0</v>
      </c>
      <c r="K1129">
        <f>IMPRODUCT("2",IMDIV("1",IMSUM(IMDIV("1",COMPLEX(CMC_DCR,B1129*CMC_L*(1-CMC_K))),COMPLEX(0,B1129*CMC_CPA))))</f>
        <v>0</v>
      </c>
      <c r="L1129">
        <f>IMSUM(COMPLEX(0,B1129*CMC_CLINE),IMDIV("1",IMPRODUCT("2",COMPLEX(CY_ESR,B1129*CY_ESL-1/(B1129*CY_C)))),COMPLEX(1/DUMMY_R,0))</f>
        <v>0</v>
      </c>
      <c r="M1129">
        <f>IMSUM(D1129,IMDIV("1",C1129))</f>
        <v>0</v>
      </c>
      <c r="N1129">
        <f>IMDIV("1",IMSUM(E1129,IMDIV("1",M1129)))</f>
        <v>0</v>
      </c>
      <c r="O1129">
        <f>IMSUM(F1129,N1129)</f>
        <v>0</v>
      </c>
      <c r="P1129">
        <f>IMDIV("1",IMSUM(G1129,IMDIV("1",O1129)))</f>
        <v>0</v>
      </c>
      <c r="Q1129">
        <f>IMSUM(H1129,P1129)</f>
        <v>0</v>
      </c>
      <c r="R1129">
        <f>IMDIV("1",IMSUM(I1129,IMDIV("1",Q1129)))</f>
        <v>0</v>
      </c>
      <c r="S1129">
        <f>IMSUM(J1129,R1129)</f>
        <v>0</v>
      </c>
      <c r="T1129">
        <f>IMDIV("1",IMSUM(K1129,IMDIV("1",S1129)))</f>
        <v>0</v>
      </c>
      <c r="U1129">
        <f>IMSUM(L1129,T1129)</f>
        <v>0</v>
      </c>
      <c r="V1129">
        <f>IMDIV(COMPLEX(I_DM_SOURCE,0),U1129)</f>
        <v>0</v>
      </c>
      <c r="W1129">
        <f>IMPRODUCT(V1129,T1129)</f>
        <v>0</v>
      </c>
      <c r="X1129">
        <f>IMDIV(W1129,S1129)</f>
        <v>0</v>
      </c>
      <c r="Y1129">
        <f>IMPRODUCT(X1129,R1129)</f>
        <v>0</v>
      </c>
      <c r="Z1129">
        <f>IMDIV(Y1129,Q1129)</f>
        <v>0</v>
      </c>
      <c r="AA1129">
        <f>IMPRODUCT(Z1129,P1129)</f>
        <v>0</v>
      </c>
      <c r="AB1129">
        <f>AA1129</f>
        <v>0</v>
      </c>
      <c r="AC1129">
        <f>IMPRODUCT("-1",AB1129)</f>
        <v>0</v>
      </c>
      <c r="AD1129">
        <f>IMDIV(IMSUB(AB1129,AC1129),"2")</f>
        <v>0</v>
      </c>
      <c r="AE1129" s="6">
        <f>IMABS(AB1129)</f>
        <v>0</v>
      </c>
      <c r="AF1129" s="6">
        <f>IMABS(AC1129)</f>
        <v>0</v>
      </c>
      <c r="AG1129" s="6">
        <f>IMABS(AD1129)</f>
        <v>0</v>
      </c>
      <c r="AH1129" s="7">
        <f>20*LOG10(MAX(AE1129,1E-300)*1E6)</f>
        <v>0</v>
      </c>
      <c r="AI1129" s="7">
        <f>20*LOG10(MAX(AF1129,1E-300)*1E6)</f>
        <v>0</v>
      </c>
      <c r="AJ1129" s="7">
        <f>20*LOG10(MAX(AG1129,1E-300)*1E6)</f>
        <v>0</v>
      </c>
      <c r="AK1129" s="7">
        <f>DEGREES(IMARGUMENT(AB1129))</f>
        <v>0</v>
      </c>
      <c r="AL1129" s="7">
        <f>DEGREES(IMARGUMENT(AC1129))</f>
        <v>0</v>
      </c>
      <c r="AM1129" s="7">
        <f>DEGREES(IMARGUMENT(AD1129))</f>
        <v>0</v>
      </c>
    </row>
    <row r="1130" spans="1:39">
      <c r="A1130" s="6">
        <f>10^(LOG10(F_START)+(ROW()-ROW($A$2))*(LOG10(F_STOP)-LOG10(F_START))/(N_POINTS-1))</f>
        <v>0</v>
      </c>
      <c r="B1130" s="6">
        <f>2*PI()*A1130</f>
        <v>0</v>
      </c>
      <c r="C1130">
        <f>COMPLEX(2*LINE_PS_DCR,2*B1130*LINE_PS_L)</f>
        <v>0</v>
      </c>
      <c r="D1130">
        <f>IMSUM(COMPLEX(0,B1130*(LINE_PS_CLINE+LINE_PS_CCHA/2)),IMDIV("1",IMPRODUCT("2",COMPLEX(C_THROUGH_ESR,B1130*C_THROUGH_ESL-1/(B1130*C_THROUGH_C)))))</f>
        <v>0</v>
      </c>
      <c r="E1130">
        <f>COMPLEX(2*LINE_INPUT_DCR,2*B1130*LINE_INPUT_L)</f>
        <v>0</v>
      </c>
      <c r="F1130">
        <f>COMPLEX(0,B1130*(LINE_INPUT_CLINE+LINE_INPUT_CCHA/2))</f>
        <v>0</v>
      </c>
      <c r="G1130">
        <f>IMPRODUCT("2",IMDIV("1",IMSUM(IMDIV("1",COMPLEX(LDM1_DCR,B1130*LDM1_L)),COMPLEX(0,B1130*LDM1_CPA))))</f>
        <v>0</v>
      </c>
      <c r="H1130">
        <f>IMSUM(IMDIV("1",COMPLEX(CX1_ESR,B1130*CX1_ESL-1/(B1130*CX1_C))),IMDIV("1",IMSUM(COMPLEX(DUMP1_R,0),COMPLEX(DUMP1_ESR,B1130*DUMP1_ESL-1/(B1130*DUMP1_C)))))</f>
        <v>0</v>
      </c>
      <c r="I1130">
        <f>IMPRODUCT("2",IMDIV("1",IMSUM(IMDIV("1",COMPLEX(LDM2_DCR,B1130*LDM2_L)),COMPLEX(0,B1130*LDM2_CPA))))</f>
        <v>0</v>
      </c>
      <c r="J1130">
        <f>IMSUM(IMDIV("1",COMPLEX(CX2_ESR,B1130*CX2_ESL-1/(B1130*CX2_C))),IMDIV("1",IMSUM(COMPLEX(DUMP2_R,0),COMPLEX(DUMP2_ESR,B1130*DUMP2_ESL-1/(B1130*DUMP2_C)))))</f>
        <v>0</v>
      </c>
      <c r="K1130">
        <f>IMPRODUCT("2",IMDIV("1",IMSUM(IMDIV("1",COMPLEX(CMC_DCR,B1130*CMC_L*(1-CMC_K))),COMPLEX(0,B1130*CMC_CPA))))</f>
        <v>0</v>
      </c>
      <c r="L1130">
        <f>IMSUM(COMPLEX(0,B1130*CMC_CLINE),IMDIV("1",IMPRODUCT("2",COMPLEX(CY_ESR,B1130*CY_ESL-1/(B1130*CY_C)))),COMPLEX(1/DUMMY_R,0))</f>
        <v>0</v>
      </c>
      <c r="M1130">
        <f>IMSUM(D1130,IMDIV("1",C1130))</f>
        <v>0</v>
      </c>
      <c r="N1130">
        <f>IMDIV("1",IMSUM(E1130,IMDIV("1",M1130)))</f>
        <v>0</v>
      </c>
      <c r="O1130">
        <f>IMSUM(F1130,N1130)</f>
        <v>0</v>
      </c>
      <c r="P1130">
        <f>IMDIV("1",IMSUM(G1130,IMDIV("1",O1130)))</f>
        <v>0</v>
      </c>
      <c r="Q1130">
        <f>IMSUM(H1130,P1130)</f>
        <v>0</v>
      </c>
      <c r="R1130">
        <f>IMDIV("1",IMSUM(I1130,IMDIV("1",Q1130)))</f>
        <v>0</v>
      </c>
      <c r="S1130">
        <f>IMSUM(J1130,R1130)</f>
        <v>0</v>
      </c>
      <c r="T1130">
        <f>IMDIV("1",IMSUM(K1130,IMDIV("1",S1130)))</f>
        <v>0</v>
      </c>
      <c r="U1130">
        <f>IMSUM(L1130,T1130)</f>
        <v>0</v>
      </c>
      <c r="V1130">
        <f>IMDIV(COMPLEX(I_DM_SOURCE,0),U1130)</f>
        <v>0</v>
      </c>
      <c r="W1130">
        <f>IMPRODUCT(V1130,T1130)</f>
        <v>0</v>
      </c>
      <c r="X1130">
        <f>IMDIV(W1130,S1130)</f>
        <v>0</v>
      </c>
      <c r="Y1130">
        <f>IMPRODUCT(X1130,R1130)</f>
        <v>0</v>
      </c>
      <c r="Z1130">
        <f>IMDIV(Y1130,Q1130)</f>
        <v>0</v>
      </c>
      <c r="AA1130">
        <f>IMPRODUCT(Z1130,P1130)</f>
        <v>0</v>
      </c>
      <c r="AB1130">
        <f>AA1130</f>
        <v>0</v>
      </c>
      <c r="AC1130">
        <f>IMPRODUCT("-1",AB1130)</f>
        <v>0</v>
      </c>
      <c r="AD1130">
        <f>IMDIV(IMSUB(AB1130,AC1130),"2")</f>
        <v>0</v>
      </c>
      <c r="AE1130" s="6">
        <f>IMABS(AB1130)</f>
        <v>0</v>
      </c>
      <c r="AF1130" s="6">
        <f>IMABS(AC1130)</f>
        <v>0</v>
      </c>
      <c r="AG1130" s="6">
        <f>IMABS(AD1130)</f>
        <v>0</v>
      </c>
      <c r="AH1130" s="7">
        <f>20*LOG10(MAX(AE1130,1E-300)*1E6)</f>
        <v>0</v>
      </c>
      <c r="AI1130" s="7">
        <f>20*LOG10(MAX(AF1130,1E-300)*1E6)</f>
        <v>0</v>
      </c>
      <c r="AJ1130" s="7">
        <f>20*LOG10(MAX(AG1130,1E-300)*1E6)</f>
        <v>0</v>
      </c>
      <c r="AK1130" s="7">
        <f>DEGREES(IMARGUMENT(AB1130))</f>
        <v>0</v>
      </c>
      <c r="AL1130" s="7">
        <f>DEGREES(IMARGUMENT(AC1130))</f>
        <v>0</v>
      </c>
      <c r="AM1130" s="7">
        <f>DEGREES(IMARGUMENT(AD1130))</f>
        <v>0</v>
      </c>
    </row>
    <row r="1131" spans="1:39">
      <c r="A1131" s="6">
        <f>10^(LOG10(F_START)+(ROW()-ROW($A$2))*(LOG10(F_STOP)-LOG10(F_START))/(N_POINTS-1))</f>
        <v>0</v>
      </c>
      <c r="B1131" s="6">
        <f>2*PI()*A1131</f>
        <v>0</v>
      </c>
      <c r="C1131">
        <f>COMPLEX(2*LINE_PS_DCR,2*B1131*LINE_PS_L)</f>
        <v>0</v>
      </c>
      <c r="D1131">
        <f>IMSUM(COMPLEX(0,B1131*(LINE_PS_CLINE+LINE_PS_CCHA/2)),IMDIV("1",IMPRODUCT("2",COMPLEX(C_THROUGH_ESR,B1131*C_THROUGH_ESL-1/(B1131*C_THROUGH_C)))))</f>
        <v>0</v>
      </c>
      <c r="E1131">
        <f>COMPLEX(2*LINE_INPUT_DCR,2*B1131*LINE_INPUT_L)</f>
        <v>0</v>
      </c>
      <c r="F1131">
        <f>COMPLEX(0,B1131*(LINE_INPUT_CLINE+LINE_INPUT_CCHA/2))</f>
        <v>0</v>
      </c>
      <c r="G1131">
        <f>IMPRODUCT("2",IMDIV("1",IMSUM(IMDIV("1",COMPLEX(LDM1_DCR,B1131*LDM1_L)),COMPLEX(0,B1131*LDM1_CPA))))</f>
        <v>0</v>
      </c>
      <c r="H1131">
        <f>IMSUM(IMDIV("1",COMPLEX(CX1_ESR,B1131*CX1_ESL-1/(B1131*CX1_C))),IMDIV("1",IMSUM(COMPLEX(DUMP1_R,0),COMPLEX(DUMP1_ESR,B1131*DUMP1_ESL-1/(B1131*DUMP1_C)))))</f>
        <v>0</v>
      </c>
      <c r="I1131">
        <f>IMPRODUCT("2",IMDIV("1",IMSUM(IMDIV("1",COMPLEX(LDM2_DCR,B1131*LDM2_L)),COMPLEX(0,B1131*LDM2_CPA))))</f>
        <v>0</v>
      </c>
      <c r="J1131">
        <f>IMSUM(IMDIV("1",COMPLEX(CX2_ESR,B1131*CX2_ESL-1/(B1131*CX2_C))),IMDIV("1",IMSUM(COMPLEX(DUMP2_R,0),COMPLEX(DUMP2_ESR,B1131*DUMP2_ESL-1/(B1131*DUMP2_C)))))</f>
        <v>0</v>
      </c>
      <c r="K1131">
        <f>IMPRODUCT("2",IMDIV("1",IMSUM(IMDIV("1",COMPLEX(CMC_DCR,B1131*CMC_L*(1-CMC_K))),COMPLEX(0,B1131*CMC_CPA))))</f>
        <v>0</v>
      </c>
      <c r="L1131">
        <f>IMSUM(COMPLEX(0,B1131*CMC_CLINE),IMDIV("1",IMPRODUCT("2",COMPLEX(CY_ESR,B1131*CY_ESL-1/(B1131*CY_C)))),COMPLEX(1/DUMMY_R,0))</f>
        <v>0</v>
      </c>
      <c r="M1131">
        <f>IMSUM(D1131,IMDIV("1",C1131))</f>
        <v>0</v>
      </c>
      <c r="N1131">
        <f>IMDIV("1",IMSUM(E1131,IMDIV("1",M1131)))</f>
        <v>0</v>
      </c>
      <c r="O1131">
        <f>IMSUM(F1131,N1131)</f>
        <v>0</v>
      </c>
      <c r="P1131">
        <f>IMDIV("1",IMSUM(G1131,IMDIV("1",O1131)))</f>
        <v>0</v>
      </c>
      <c r="Q1131">
        <f>IMSUM(H1131,P1131)</f>
        <v>0</v>
      </c>
      <c r="R1131">
        <f>IMDIV("1",IMSUM(I1131,IMDIV("1",Q1131)))</f>
        <v>0</v>
      </c>
      <c r="S1131">
        <f>IMSUM(J1131,R1131)</f>
        <v>0</v>
      </c>
      <c r="T1131">
        <f>IMDIV("1",IMSUM(K1131,IMDIV("1",S1131)))</f>
        <v>0</v>
      </c>
      <c r="U1131">
        <f>IMSUM(L1131,T1131)</f>
        <v>0</v>
      </c>
      <c r="V1131">
        <f>IMDIV(COMPLEX(I_DM_SOURCE,0),U1131)</f>
        <v>0</v>
      </c>
      <c r="W1131">
        <f>IMPRODUCT(V1131,T1131)</f>
        <v>0</v>
      </c>
      <c r="X1131">
        <f>IMDIV(W1131,S1131)</f>
        <v>0</v>
      </c>
      <c r="Y1131">
        <f>IMPRODUCT(X1131,R1131)</f>
        <v>0</v>
      </c>
      <c r="Z1131">
        <f>IMDIV(Y1131,Q1131)</f>
        <v>0</v>
      </c>
      <c r="AA1131">
        <f>IMPRODUCT(Z1131,P1131)</f>
        <v>0</v>
      </c>
      <c r="AB1131">
        <f>AA1131</f>
        <v>0</v>
      </c>
      <c r="AC1131">
        <f>IMPRODUCT("-1",AB1131)</f>
        <v>0</v>
      </c>
      <c r="AD1131">
        <f>IMDIV(IMSUB(AB1131,AC1131),"2")</f>
        <v>0</v>
      </c>
      <c r="AE1131" s="6">
        <f>IMABS(AB1131)</f>
        <v>0</v>
      </c>
      <c r="AF1131" s="6">
        <f>IMABS(AC1131)</f>
        <v>0</v>
      </c>
      <c r="AG1131" s="6">
        <f>IMABS(AD1131)</f>
        <v>0</v>
      </c>
      <c r="AH1131" s="7">
        <f>20*LOG10(MAX(AE1131,1E-300)*1E6)</f>
        <v>0</v>
      </c>
      <c r="AI1131" s="7">
        <f>20*LOG10(MAX(AF1131,1E-300)*1E6)</f>
        <v>0</v>
      </c>
      <c r="AJ1131" s="7">
        <f>20*LOG10(MAX(AG1131,1E-300)*1E6)</f>
        <v>0</v>
      </c>
      <c r="AK1131" s="7">
        <f>DEGREES(IMARGUMENT(AB1131))</f>
        <v>0</v>
      </c>
      <c r="AL1131" s="7">
        <f>DEGREES(IMARGUMENT(AC1131))</f>
        <v>0</v>
      </c>
      <c r="AM1131" s="7">
        <f>DEGREES(IMARGUMENT(AD1131))</f>
        <v>0</v>
      </c>
    </row>
    <row r="1132" spans="1:39">
      <c r="A1132" s="6">
        <f>10^(LOG10(F_START)+(ROW()-ROW($A$2))*(LOG10(F_STOP)-LOG10(F_START))/(N_POINTS-1))</f>
        <v>0</v>
      </c>
      <c r="B1132" s="6">
        <f>2*PI()*A1132</f>
        <v>0</v>
      </c>
      <c r="C1132">
        <f>COMPLEX(2*LINE_PS_DCR,2*B1132*LINE_PS_L)</f>
        <v>0</v>
      </c>
      <c r="D1132">
        <f>IMSUM(COMPLEX(0,B1132*(LINE_PS_CLINE+LINE_PS_CCHA/2)),IMDIV("1",IMPRODUCT("2",COMPLEX(C_THROUGH_ESR,B1132*C_THROUGH_ESL-1/(B1132*C_THROUGH_C)))))</f>
        <v>0</v>
      </c>
      <c r="E1132">
        <f>COMPLEX(2*LINE_INPUT_DCR,2*B1132*LINE_INPUT_L)</f>
        <v>0</v>
      </c>
      <c r="F1132">
        <f>COMPLEX(0,B1132*(LINE_INPUT_CLINE+LINE_INPUT_CCHA/2))</f>
        <v>0</v>
      </c>
      <c r="G1132">
        <f>IMPRODUCT("2",IMDIV("1",IMSUM(IMDIV("1",COMPLEX(LDM1_DCR,B1132*LDM1_L)),COMPLEX(0,B1132*LDM1_CPA))))</f>
        <v>0</v>
      </c>
      <c r="H1132">
        <f>IMSUM(IMDIV("1",COMPLEX(CX1_ESR,B1132*CX1_ESL-1/(B1132*CX1_C))),IMDIV("1",IMSUM(COMPLEX(DUMP1_R,0),COMPLEX(DUMP1_ESR,B1132*DUMP1_ESL-1/(B1132*DUMP1_C)))))</f>
        <v>0</v>
      </c>
      <c r="I1132">
        <f>IMPRODUCT("2",IMDIV("1",IMSUM(IMDIV("1",COMPLEX(LDM2_DCR,B1132*LDM2_L)),COMPLEX(0,B1132*LDM2_CPA))))</f>
        <v>0</v>
      </c>
      <c r="J1132">
        <f>IMSUM(IMDIV("1",COMPLEX(CX2_ESR,B1132*CX2_ESL-1/(B1132*CX2_C))),IMDIV("1",IMSUM(COMPLEX(DUMP2_R,0),COMPLEX(DUMP2_ESR,B1132*DUMP2_ESL-1/(B1132*DUMP2_C)))))</f>
        <v>0</v>
      </c>
      <c r="K1132">
        <f>IMPRODUCT("2",IMDIV("1",IMSUM(IMDIV("1",COMPLEX(CMC_DCR,B1132*CMC_L*(1-CMC_K))),COMPLEX(0,B1132*CMC_CPA))))</f>
        <v>0</v>
      </c>
      <c r="L1132">
        <f>IMSUM(COMPLEX(0,B1132*CMC_CLINE),IMDIV("1",IMPRODUCT("2",COMPLEX(CY_ESR,B1132*CY_ESL-1/(B1132*CY_C)))),COMPLEX(1/DUMMY_R,0))</f>
        <v>0</v>
      </c>
      <c r="M1132">
        <f>IMSUM(D1132,IMDIV("1",C1132))</f>
        <v>0</v>
      </c>
      <c r="N1132">
        <f>IMDIV("1",IMSUM(E1132,IMDIV("1",M1132)))</f>
        <v>0</v>
      </c>
      <c r="O1132">
        <f>IMSUM(F1132,N1132)</f>
        <v>0</v>
      </c>
      <c r="P1132">
        <f>IMDIV("1",IMSUM(G1132,IMDIV("1",O1132)))</f>
        <v>0</v>
      </c>
      <c r="Q1132">
        <f>IMSUM(H1132,P1132)</f>
        <v>0</v>
      </c>
      <c r="R1132">
        <f>IMDIV("1",IMSUM(I1132,IMDIV("1",Q1132)))</f>
        <v>0</v>
      </c>
      <c r="S1132">
        <f>IMSUM(J1132,R1132)</f>
        <v>0</v>
      </c>
      <c r="T1132">
        <f>IMDIV("1",IMSUM(K1132,IMDIV("1",S1132)))</f>
        <v>0</v>
      </c>
      <c r="U1132">
        <f>IMSUM(L1132,T1132)</f>
        <v>0</v>
      </c>
      <c r="V1132">
        <f>IMDIV(COMPLEX(I_DM_SOURCE,0),U1132)</f>
        <v>0</v>
      </c>
      <c r="W1132">
        <f>IMPRODUCT(V1132,T1132)</f>
        <v>0</v>
      </c>
      <c r="X1132">
        <f>IMDIV(W1132,S1132)</f>
        <v>0</v>
      </c>
      <c r="Y1132">
        <f>IMPRODUCT(X1132,R1132)</f>
        <v>0</v>
      </c>
      <c r="Z1132">
        <f>IMDIV(Y1132,Q1132)</f>
        <v>0</v>
      </c>
      <c r="AA1132">
        <f>IMPRODUCT(Z1132,P1132)</f>
        <v>0</v>
      </c>
      <c r="AB1132">
        <f>AA1132</f>
        <v>0</v>
      </c>
      <c r="AC1132">
        <f>IMPRODUCT("-1",AB1132)</f>
        <v>0</v>
      </c>
      <c r="AD1132">
        <f>IMDIV(IMSUB(AB1132,AC1132),"2")</f>
        <v>0</v>
      </c>
      <c r="AE1132" s="6">
        <f>IMABS(AB1132)</f>
        <v>0</v>
      </c>
      <c r="AF1132" s="6">
        <f>IMABS(AC1132)</f>
        <v>0</v>
      </c>
      <c r="AG1132" s="6">
        <f>IMABS(AD1132)</f>
        <v>0</v>
      </c>
      <c r="AH1132" s="7">
        <f>20*LOG10(MAX(AE1132,1E-300)*1E6)</f>
        <v>0</v>
      </c>
      <c r="AI1132" s="7">
        <f>20*LOG10(MAX(AF1132,1E-300)*1E6)</f>
        <v>0</v>
      </c>
      <c r="AJ1132" s="7">
        <f>20*LOG10(MAX(AG1132,1E-300)*1E6)</f>
        <v>0</v>
      </c>
      <c r="AK1132" s="7">
        <f>DEGREES(IMARGUMENT(AB1132))</f>
        <v>0</v>
      </c>
      <c r="AL1132" s="7">
        <f>DEGREES(IMARGUMENT(AC1132))</f>
        <v>0</v>
      </c>
      <c r="AM1132" s="7">
        <f>DEGREES(IMARGUMENT(AD1132))</f>
        <v>0</v>
      </c>
    </row>
    <row r="1133" spans="1:39">
      <c r="A1133" s="6">
        <f>10^(LOG10(F_START)+(ROW()-ROW($A$2))*(LOG10(F_STOP)-LOG10(F_START))/(N_POINTS-1))</f>
        <v>0</v>
      </c>
      <c r="B1133" s="6">
        <f>2*PI()*A1133</f>
        <v>0</v>
      </c>
      <c r="C1133">
        <f>COMPLEX(2*LINE_PS_DCR,2*B1133*LINE_PS_L)</f>
        <v>0</v>
      </c>
      <c r="D1133">
        <f>IMSUM(COMPLEX(0,B1133*(LINE_PS_CLINE+LINE_PS_CCHA/2)),IMDIV("1",IMPRODUCT("2",COMPLEX(C_THROUGH_ESR,B1133*C_THROUGH_ESL-1/(B1133*C_THROUGH_C)))))</f>
        <v>0</v>
      </c>
      <c r="E1133">
        <f>COMPLEX(2*LINE_INPUT_DCR,2*B1133*LINE_INPUT_L)</f>
        <v>0</v>
      </c>
      <c r="F1133">
        <f>COMPLEX(0,B1133*(LINE_INPUT_CLINE+LINE_INPUT_CCHA/2))</f>
        <v>0</v>
      </c>
      <c r="G1133">
        <f>IMPRODUCT("2",IMDIV("1",IMSUM(IMDIV("1",COMPLEX(LDM1_DCR,B1133*LDM1_L)),COMPLEX(0,B1133*LDM1_CPA))))</f>
        <v>0</v>
      </c>
      <c r="H1133">
        <f>IMSUM(IMDIV("1",COMPLEX(CX1_ESR,B1133*CX1_ESL-1/(B1133*CX1_C))),IMDIV("1",IMSUM(COMPLEX(DUMP1_R,0),COMPLEX(DUMP1_ESR,B1133*DUMP1_ESL-1/(B1133*DUMP1_C)))))</f>
        <v>0</v>
      </c>
      <c r="I1133">
        <f>IMPRODUCT("2",IMDIV("1",IMSUM(IMDIV("1",COMPLEX(LDM2_DCR,B1133*LDM2_L)),COMPLEX(0,B1133*LDM2_CPA))))</f>
        <v>0</v>
      </c>
      <c r="J1133">
        <f>IMSUM(IMDIV("1",COMPLEX(CX2_ESR,B1133*CX2_ESL-1/(B1133*CX2_C))),IMDIV("1",IMSUM(COMPLEX(DUMP2_R,0),COMPLEX(DUMP2_ESR,B1133*DUMP2_ESL-1/(B1133*DUMP2_C)))))</f>
        <v>0</v>
      </c>
      <c r="K1133">
        <f>IMPRODUCT("2",IMDIV("1",IMSUM(IMDIV("1",COMPLEX(CMC_DCR,B1133*CMC_L*(1-CMC_K))),COMPLEX(0,B1133*CMC_CPA))))</f>
        <v>0</v>
      </c>
      <c r="L1133">
        <f>IMSUM(COMPLEX(0,B1133*CMC_CLINE),IMDIV("1",IMPRODUCT("2",COMPLEX(CY_ESR,B1133*CY_ESL-1/(B1133*CY_C)))),COMPLEX(1/DUMMY_R,0))</f>
        <v>0</v>
      </c>
      <c r="M1133">
        <f>IMSUM(D1133,IMDIV("1",C1133))</f>
        <v>0</v>
      </c>
      <c r="N1133">
        <f>IMDIV("1",IMSUM(E1133,IMDIV("1",M1133)))</f>
        <v>0</v>
      </c>
      <c r="O1133">
        <f>IMSUM(F1133,N1133)</f>
        <v>0</v>
      </c>
      <c r="P1133">
        <f>IMDIV("1",IMSUM(G1133,IMDIV("1",O1133)))</f>
        <v>0</v>
      </c>
      <c r="Q1133">
        <f>IMSUM(H1133,P1133)</f>
        <v>0</v>
      </c>
      <c r="R1133">
        <f>IMDIV("1",IMSUM(I1133,IMDIV("1",Q1133)))</f>
        <v>0</v>
      </c>
      <c r="S1133">
        <f>IMSUM(J1133,R1133)</f>
        <v>0</v>
      </c>
      <c r="T1133">
        <f>IMDIV("1",IMSUM(K1133,IMDIV("1",S1133)))</f>
        <v>0</v>
      </c>
      <c r="U1133">
        <f>IMSUM(L1133,T1133)</f>
        <v>0</v>
      </c>
      <c r="V1133">
        <f>IMDIV(COMPLEX(I_DM_SOURCE,0),U1133)</f>
        <v>0</v>
      </c>
      <c r="W1133">
        <f>IMPRODUCT(V1133,T1133)</f>
        <v>0</v>
      </c>
      <c r="X1133">
        <f>IMDIV(W1133,S1133)</f>
        <v>0</v>
      </c>
      <c r="Y1133">
        <f>IMPRODUCT(X1133,R1133)</f>
        <v>0</v>
      </c>
      <c r="Z1133">
        <f>IMDIV(Y1133,Q1133)</f>
        <v>0</v>
      </c>
      <c r="AA1133">
        <f>IMPRODUCT(Z1133,P1133)</f>
        <v>0</v>
      </c>
      <c r="AB1133">
        <f>AA1133</f>
        <v>0</v>
      </c>
      <c r="AC1133">
        <f>IMPRODUCT("-1",AB1133)</f>
        <v>0</v>
      </c>
      <c r="AD1133">
        <f>IMDIV(IMSUB(AB1133,AC1133),"2")</f>
        <v>0</v>
      </c>
      <c r="AE1133" s="6">
        <f>IMABS(AB1133)</f>
        <v>0</v>
      </c>
      <c r="AF1133" s="6">
        <f>IMABS(AC1133)</f>
        <v>0</v>
      </c>
      <c r="AG1133" s="6">
        <f>IMABS(AD1133)</f>
        <v>0</v>
      </c>
      <c r="AH1133" s="7">
        <f>20*LOG10(MAX(AE1133,1E-300)*1E6)</f>
        <v>0</v>
      </c>
      <c r="AI1133" s="7">
        <f>20*LOG10(MAX(AF1133,1E-300)*1E6)</f>
        <v>0</v>
      </c>
      <c r="AJ1133" s="7">
        <f>20*LOG10(MAX(AG1133,1E-300)*1E6)</f>
        <v>0</v>
      </c>
      <c r="AK1133" s="7">
        <f>DEGREES(IMARGUMENT(AB1133))</f>
        <v>0</v>
      </c>
      <c r="AL1133" s="7">
        <f>DEGREES(IMARGUMENT(AC1133))</f>
        <v>0</v>
      </c>
      <c r="AM1133" s="7">
        <f>DEGREES(IMARGUMENT(AD1133))</f>
        <v>0</v>
      </c>
    </row>
    <row r="1134" spans="1:39">
      <c r="A1134" s="6">
        <f>10^(LOG10(F_START)+(ROW()-ROW($A$2))*(LOG10(F_STOP)-LOG10(F_START))/(N_POINTS-1))</f>
        <v>0</v>
      </c>
      <c r="B1134" s="6">
        <f>2*PI()*A1134</f>
        <v>0</v>
      </c>
      <c r="C1134">
        <f>COMPLEX(2*LINE_PS_DCR,2*B1134*LINE_PS_L)</f>
        <v>0</v>
      </c>
      <c r="D1134">
        <f>IMSUM(COMPLEX(0,B1134*(LINE_PS_CLINE+LINE_PS_CCHA/2)),IMDIV("1",IMPRODUCT("2",COMPLEX(C_THROUGH_ESR,B1134*C_THROUGH_ESL-1/(B1134*C_THROUGH_C)))))</f>
        <v>0</v>
      </c>
      <c r="E1134">
        <f>COMPLEX(2*LINE_INPUT_DCR,2*B1134*LINE_INPUT_L)</f>
        <v>0</v>
      </c>
      <c r="F1134">
        <f>COMPLEX(0,B1134*(LINE_INPUT_CLINE+LINE_INPUT_CCHA/2))</f>
        <v>0</v>
      </c>
      <c r="G1134">
        <f>IMPRODUCT("2",IMDIV("1",IMSUM(IMDIV("1",COMPLEX(LDM1_DCR,B1134*LDM1_L)),COMPLEX(0,B1134*LDM1_CPA))))</f>
        <v>0</v>
      </c>
      <c r="H1134">
        <f>IMSUM(IMDIV("1",COMPLEX(CX1_ESR,B1134*CX1_ESL-1/(B1134*CX1_C))),IMDIV("1",IMSUM(COMPLEX(DUMP1_R,0),COMPLEX(DUMP1_ESR,B1134*DUMP1_ESL-1/(B1134*DUMP1_C)))))</f>
        <v>0</v>
      </c>
      <c r="I1134">
        <f>IMPRODUCT("2",IMDIV("1",IMSUM(IMDIV("1",COMPLEX(LDM2_DCR,B1134*LDM2_L)),COMPLEX(0,B1134*LDM2_CPA))))</f>
        <v>0</v>
      </c>
      <c r="J1134">
        <f>IMSUM(IMDIV("1",COMPLEX(CX2_ESR,B1134*CX2_ESL-1/(B1134*CX2_C))),IMDIV("1",IMSUM(COMPLEX(DUMP2_R,0),COMPLEX(DUMP2_ESR,B1134*DUMP2_ESL-1/(B1134*DUMP2_C)))))</f>
        <v>0</v>
      </c>
      <c r="K1134">
        <f>IMPRODUCT("2",IMDIV("1",IMSUM(IMDIV("1",COMPLEX(CMC_DCR,B1134*CMC_L*(1-CMC_K))),COMPLEX(0,B1134*CMC_CPA))))</f>
        <v>0</v>
      </c>
      <c r="L1134">
        <f>IMSUM(COMPLEX(0,B1134*CMC_CLINE),IMDIV("1",IMPRODUCT("2",COMPLEX(CY_ESR,B1134*CY_ESL-1/(B1134*CY_C)))),COMPLEX(1/DUMMY_R,0))</f>
        <v>0</v>
      </c>
      <c r="M1134">
        <f>IMSUM(D1134,IMDIV("1",C1134))</f>
        <v>0</v>
      </c>
      <c r="N1134">
        <f>IMDIV("1",IMSUM(E1134,IMDIV("1",M1134)))</f>
        <v>0</v>
      </c>
      <c r="O1134">
        <f>IMSUM(F1134,N1134)</f>
        <v>0</v>
      </c>
      <c r="P1134">
        <f>IMDIV("1",IMSUM(G1134,IMDIV("1",O1134)))</f>
        <v>0</v>
      </c>
      <c r="Q1134">
        <f>IMSUM(H1134,P1134)</f>
        <v>0</v>
      </c>
      <c r="R1134">
        <f>IMDIV("1",IMSUM(I1134,IMDIV("1",Q1134)))</f>
        <v>0</v>
      </c>
      <c r="S1134">
        <f>IMSUM(J1134,R1134)</f>
        <v>0</v>
      </c>
      <c r="T1134">
        <f>IMDIV("1",IMSUM(K1134,IMDIV("1",S1134)))</f>
        <v>0</v>
      </c>
      <c r="U1134">
        <f>IMSUM(L1134,T1134)</f>
        <v>0</v>
      </c>
      <c r="V1134">
        <f>IMDIV(COMPLEX(I_DM_SOURCE,0),U1134)</f>
        <v>0</v>
      </c>
      <c r="W1134">
        <f>IMPRODUCT(V1134,T1134)</f>
        <v>0</v>
      </c>
      <c r="X1134">
        <f>IMDIV(W1134,S1134)</f>
        <v>0</v>
      </c>
      <c r="Y1134">
        <f>IMPRODUCT(X1134,R1134)</f>
        <v>0</v>
      </c>
      <c r="Z1134">
        <f>IMDIV(Y1134,Q1134)</f>
        <v>0</v>
      </c>
      <c r="AA1134">
        <f>IMPRODUCT(Z1134,P1134)</f>
        <v>0</v>
      </c>
      <c r="AB1134">
        <f>AA1134</f>
        <v>0</v>
      </c>
      <c r="AC1134">
        <f>IMPRODUCT("-1",AB1134)</f>
        <v>0</v>
      </c>
      <c r="AD1134">
        <f>IMDIV(IMSUB(AB1134,AC1134),"2")</f>
        <v>0</v>
      </c>
      <c r="AE1134" s="6">
        <f>IMABS(AB1134)</f>
        <v>0</v>
      </c>
      <c r="AF1134" s="6">
        <f>IMABS(AC1134)</f>
        <v>0</v>
      </c>
      <c r="AG1134" s="6">
        <f>IMABS(AD1134)</f>
        <v>0</v>
      </c>
      <c r="AH1134" s="7">
        <f>20*LOG10(MAX(AE1134,1E-300)*1E6)</f>
        <v>0</v>
      </c>
      <c r="AI1134" s="7">
        <f>20*LOG10(MAX(AF1134,1E-300)*1E6)</f>
        <v>0</v>
      </c>
      <c r="AJ1134" s="7">
        <f>20*LOG10(MAX(AG1134,1E-300)*1E6)</f>
        <v>0</v>
      </c>
      <c r="AK1134" s="7">
        <f>DEGREES(IMARGUMENT(AB1134))</f>
        <v>0</v>
      </c>
      <c r="AL1134" s="7">
        <f>DEGREES(IMARGUMENT(AC1134))</f>
        <v>0</v>
      </c>
      <c r="AM1134" s="7">
        <f>DEGREES(IMARGUMENT(AD1134))</f>
        <v>0</v>
      </c>
    </row>
    <row r="1135" spans="1:39">
      <c r="A1135" s="6">
        <f>10^(LOG10(F_START)+(ROW()-ROW($A$2))*(LOG10(F_STOP)-LOG10(F_START))/(N_POINTS-1))</f>
        <v>0</v>
      </c>
      <c r="B1135" s="6">
        <f>2*PI()*A1135</f>
        <v>0</v>
      </c>
      <c r="C1135">
        <f>COMPLEX(2*LINE_PS_DCR,2*B1135*LINE_PS_L)</f>
        <v>0</v>
      </c>
      <c r="D1135">
        <f>IMSUM(COMPLEX(0,B1135*(LINE_PS_CLINE+LINE_PS_CCHA/2)),IMDIV("1",IMPRODUCT("2",COMPLEX(C_THROUGH_ESR,B1135*C_THROUGH_ESL-1/(B1135*C_THROUGH_C)))))</f>
        <v>0</v>
      </c>
      <c r="E1135">
        <f>COMPLEX(2*LINE_INPUT_DCR,2*B1135*LINE_INPUT_L)</f>
        <v>0</v>
      </c>
      <c r="F1135">
        <f>COMPLEX(0,B1135*(LINE_INPUT_CLINE+LINE_INPUT_CCHA/2))</f>
        <v>0</v>
      </c>
      <c r="G1135">
        <f>IMPRODUCT("2",IMDIV("1",IMSUM(IMDIV("1",COMPLEX(LDM1_DCR,B1135*LDM1_L)),COMPLEX(0,B1135*LDM1_CPA))))</f>
        <v>0</v>
      </c>
      <c r="H1135">
        <f>IMSUM(IMDIV("1",COMPLEX(CX1_ESR,B1135*CX1_ESL-1/(B1135*CX1_C))),IMDIV("1",IMSUM(COMPLEX(DUMP1_R,0),COMPLEX(DUMP1_ESR,B1135*DUMP1_ESL-1/(B1135*DUMP1_C)))))</f>
        <v>0</v>
      </c>
      <c r="I1135">
        <f>IMPRODUCT("2",IMDIV("1",IMSUM(IMDIV("1",COMPLEX(LDM2_DCR,B1135*LDM2_L)),COMPLEX(0,B1135*LDM2_CPA))))</f>
        <v>0</v>
      </c>
      <c r="J1135">
        <f>IMSUM(IMDIV("1",COMPLEX(CX2_ESR,B1135*CX2_ESL-1/(B1135*CX2_C))),IMDIV("1",IMSUM(COMPLEX(DUMP2_R,0),COMPLEX(DUMP2_ESR,B1135*DUMP2_ESL-1/(B1135*DUMP2_C)))))</f>
        <v>0</v>
      </c>
      <c r="K1135">
        <f>IMPRODUCT("2",IMDIV("1",IMSUM(IMDIV("1",COMPLEX(CMC_DCR,B1135*CMC_L*(1-CMC_K))),COMPLEX(0,B1135*CMC_CPA))))</f>
        <v>0</v>
      </c>
      <c r="L1135">
        <f>IMSUM(COMPLEX(0,B1135*CMC_CLINE),IMDIV("1",IMPRODUCT("2",COMPLEX(CY_ESR,B1135*CY_ESL-1/(B1135*CY_C)))),COMPLEX(1/DUMMY_R,0))</f>
        <v>0</v>
      </c>
      <c r="M1135">
        <f>IMSUM(D1135,IMDIV("1",C1135))</f>
        <v>0</v>
      </c>
      <c r="N1135">
        <f>IMDIV("1",IMSUM(E1135,IMDIV("1",M1135)))</f>
        <v>0</v>
      </c>
      <c r="O1135">
        <f>IMSUM(F1135,N1135)</f>
        <v>0</v>
      </c>
      <c r="P1135">
        <f>IMDIV("1",IMSUM(G1135,IMDIV("1",O1135)))</f>
        <v>0</v>
      </c>
      <c r="Q1135">
        <f>IMSUM(H1135,P1135)</f>
        <v>0</v>
      </c>
      <c r="R1135">
        <f>IMDIV("1",IMSUM(I1135,IMDIV("1",Q1135)))</f>
        <v>0</v>
      </c>
      <c r="S1135">
        <f>IMSUM(J1135,R1135)</f>
        <v>0</v>
      </c>
      <c r="T1135">
        <f>IMDIV("1",IMSUM(K1135,IMDIV("1",S1135)))</f>
        <v>0</v>
      </c>
      <c r="U1135">
        <f>IMSUM(L1135,T1135)</f>
        <v>0</v>
      </c>
      <c r="V1135">
        <f>IMDIV(COMPLEX(I_DM_SOURCE,0),U1135)</f>
        <v>0</v>
      </c>
      <c r="W1135">
        <f>IMPRODUCT(V1135,T1135)</f>
        <v>0</v>
      </c>
      <c r="X1135">
        <f>IMDIV(W1135,S1135)</f>
        <v>0</v>
      </c>
      <c r="Y1135">
        <f>IMPRODUCT(X1135,R1135)</f>
        <v>0</v>
      </c>
      <c r="Z1135">
        <f>IMDIV(Y1135,Q1135)</f>
        <v>0</v>
      </c>
      <c r="AA1135">
        <f>IMPRODUCT(Z1135,P1135)</f>
        <v>0</v>
      </c>
      <c r="AB1135">
        <f>AA1135</f>
        <v>0</v>
      </c>
      <c r="AC1135">
        <f>IMPRODUCT("-1",AB1135)</f>
        <v>0</v>
      </c>
      <c r="AD1135">
        <f>IMDIV(IMSUB(AB1135,AC1135),"2")</f>
        <v>0</v>
      </c>
      <c r="AE1135" s="6">
        <f>IMABS(AB1135)</f>
        <v>0</v>
      </c>
      <c r="AF1135" s="6">
        <f>IMABS(AC1135)</f>
        <v>0</v>
      </c>
      <c r="AG1135" s="6">
        <f>IMABS(AD1135)</f>
        <v>0</v>
      </c>
      <c r="AH1135" s="7">
        <f>20*LOG10(MAX(AE1135,1E-300)*1E6)</f>
        <v>0</v>
      </c>
      <c r="AI1135" s="7">
        <f>20*LOG10(MAX(AF1135,1E-300)*1E6)</f>
        <v>0</v>
      </c>
      <c r="AJ1135" s="7">
        <f>20*LOG10(MAX(AG1135,1E-300)*1E6)</f>
        <v>0</v>
      </c>
      <c r="AK1135" s="7">
        <f>DEGREES(IMARGUMENT(AB1135))</f>
        <v>0</v>
      </c>
      <c r="AL1135" s="7">
        <f>DEGREES(IMARGUMENT(AC1135))</f>
        <v>0</v>
      </c>
      <c r="AM1135" s="7">
        <f>DEGREES(IMARGUMENT(AD1135))</f>
        <v>0</v>
      </c>
    </row>
    <row r="1136" spans="1:39">
      <c r="A1136" s="6">
        <f>10^(LOG10(F_START)+(ROW()-ROW($A$2))*(LOG10(F_STOP)-LOG10(F_START))/(N_POINTS-1))</f>
        <v>0</v>
      </c>
      <c r="B1136" s="6">
        <f>2*PI()*A1136</f>
        <v>0</v>
      </c>
      <c r="C1136">
        <f>COMPLEX(2*LINE_PS_DCR,2*B1136*LINE_PS_L)</f>
        <v>0</v>
      </c>
      <c r="D1136">
        <f>IMSUM(COMPLEX(0,B1136*(LINE_PS_CLINE+LINE_PS_CCHA/2)),IMDIV("1",IMPRODUCT("2",COMPLEX(C_THROUGH_ESR,B1136*C_THROUGH_ESL-1/(B1136*C_THROUGH_C)))))</f>
        <v>0</v>
      </c>
      <c r="E1136">
        <f>COMPLEX(2*LINE_INPUT_DCR,2*B1136*LINE_INPUT_L)</f>
        <v>0</v>
      </c>
      <c r="F1136">
        <f>COMPLEX(0,B1136*(LINE_INPUT_CLINE+LINE_INPUT_CCHA/2))</f>
        <v>0</v>
      </c>
      <c r="G1136">
        <f>IMPRODUCT("2",IMDIV("1",IMSUM(IMDIV("1",COMPLEX(LDM1_DCR,B1136*LDM1_L)),COMPLEX(0,B1136*LDM1_CPA))))</f>
        <v>0</v>
      </c>
      <c r="H1136">
        <f>IMSUM(IMDIV("1",COMPLEX(CX1_ESR,B1136*CX1_ESL-1/(B1136*CX1_C))),IMDIV("1",IMSUM(COMPLEX(DUMP1_R,0),COMPLEX(DUMP1_ESR,B1136*DUMP1_ESL-1/(B1136*DUMP1_C)))))</f>
        <v>0</v>
      </c>
      <c r="I1136">
        <f>IMPRODUCT("2",IMDIV("1",IMSUM(IMDIV("1",COMPLEX(LDM2_DCR,B1136*LDM2_L)),COMPLEX(0,B1136*LDM2_CPA))))</f>
        <v>0</v>
      </c>
      <c r="J1136">
        <f>IMSUM(IMDIV("1",COMPLEX(CX2_ESR,B1136*CX2_ESL-1/(B1136*CX2_C))),IMDIV("1",IMSUM(COMPLEX(DUMP2_R,0),COMPLEX(DUMP2_ESR,B1136*DUMP2_ESL-1/(B1136*DUMP2_C)))))</f>
        <v>0</v>
      </c>
      <c r="K1136">
        <f>IMPRODUCT("2",IMDIV("1",IMSUM(IMDIV("1",COMPLEX(CMC_DCR,B1136*CMC_L*(1-CMC_K))),COMPLEX(0,B1136*CMC_CPA))))</f>
        <v>0</v>
      </c>
      <c r="L1136">
        <f>IMSUM(COMPLEX(0,B1136*CMC_CLINE),IMDIV("1",IMPRODUCT("2",COMPLEX(CY_ESR,B1136*CY_ESL-1/(B1136*CY_C)))),COMPLEX(1/DUMMY_R,0))</f>
        <v>0</v>
      </c>
      <c r="M1136">
        <f>IMSUM(D1136,IMDIV("1",C1136))</f>
        <v>0</v>
      </c>
      <c r="N1136">
        <f>IMDIV("1",IMSUM(E1136,IMDIV("1",M1136)))</f>
        <v>0</v>
      </c>
      <c r="O1136">
        <f>IMSUM(F1136,N1136)</f>
        <v>0</v>
      </c>
      <c r="P1136">
        <f>IMDIV("1",IMSUM(G1136,IMDIV("1",O1136)))</f>
        <v>0</v>
      </c>
      <c r="Q1136">
        <f>IMSUM(H1136,P1136)</f>
        <v>0</v>
      </c>
      <c r="R1136">
        <f>IMDIV("1",IMSUM(I1136,IMDIV("1",Q1136)))</f>
        <v>0</v>
      </c>
      <c r="S1136">
        <f>IMSUM(J1136,R1136)</f>
        <v>0</v>
      </c>
      <c r="T1136">
        <f>IMDIV("1",IMSUM(K1136,IMDIV("1",S1136)))</f>
        <v>0</v>
      </c>
      <c r="U1136">
        <f>IMSUM(L1136,T1136)</f>
        <v>0</v>
      </c>
      <c r="V1136">
        <f>IMDIV(COMPLEX(I_DM_SOURCE,0),U1136)</f>
        <v>0</v>
      </c>
      <c r="W1136">
        <f>IMPRODUCT(V1136,T1136)</f>
        <v>0</v>
      </c>
      <c r="X1136">
        <f>IMDIV(W1136,S1136)</f>
        <v>0</v>
      </c>
      <c r="Y1136">
        <f>IMPRODUCT(X1136,R1136)</f>
        <v>0</v>
      </c>
      <c r="Z1136">
        <f>IMDIV(Y1136,Q1136)</f>
        <v>0</v>
      </c>
      <c r="AA1136">
        <f>IMPRODUCT(Z1136,P1136)</f>
        <v>0</v>
      </c>
      <c r="AB1136">
        <f>AA1136</f>
        <v>0</v>
      </c>
      <c r="AC1136">
        <f>IMPRODUCT("-1",AB1136)</f>
        <v>0</v>
      </c>
      <c r="AD1136">
        <f>IMDIV(IMSUB(AB1136,AC1136),"2")</f>
        <v>0</v>
      </c>
      <c r="AE1136" s="6">
        <f>IMABS(AB1136)</f>
        <v>0</v>
      </c>
      <c r="AF1136" s="6">
        <f>IMABS(AC1136)</f>
        <v>0</v>
      </c>
      <c r="AG1136" s="6">
        <f>IMABS(AD1136)</f>
        <v>0</v>
      </c>
      <c r="AH1136" s="7">
        <f>20*LOG10(MAX(AE1136,1E-300)*1E6)</f>
        <v>0</v>
      </c>
      <c r="AI1136" s="7">
        <f>20*LOG10(MAX(AF1136,1E-300)*1E6)</f>
        <v>0</v>
      </c>
      <c r="AJ1136" s="7">
        <f>20*LOG10(MAX(AG1136,1E-300)*1E6)</f>
        <v>0</v>
      </c>
      <c r="AK1136" s="7">
        <f>DEGREES(IMARGUMENT(AB1136))</f>
        <v>0</v>
      </c>
      <c r="AL1136" s="7">
        <f>DEGREES(IMARGUMENT(AC1136))</f>
        <v>0</v>
      </c>
      <c r="AM1136" s="7">
        <f>DEGREES(IMARGUMENT(AD1136))</f>
        <v>0</v>
      </c>
    </row>
    <row r="1137" spans="1:39">
      <c r="A1137" s="6">
        <f>10^(LOG10(F_START)+(ROW()-ROW($A$2))*(LOG10(F_STOP)-LOG10(F_START))/(N_POINTS-1))</f>
        <v>0</v>
      </c>
      <c r="B1137" s="6">
        <f>2*PI()*A1137</f>
        <v>0</v>
      </c>
      <c r="C1137">
        <f>COMPLEX(2*LINE_PS_DCR,2*B1137*LINE_PS_L)</f>
        <v>0</v>
      </c>
      <c r="D1137">
        <f>IMSUM(COMPLEX(0,B1137*(LINE_PS_CLINE+LINE_PS_CCHA/2)),IMDIV("1",IMPRODUCT("2",COMPLEX(C_THROUGH_ESR,B1137*C_THROUGH_ESL-1/(B1137*C_THROUGH_C)))))</f>
        <v>0</v>
      </c>
      <c r="E1137">
        <f>COMPLEX(2*LINE_INPUT_DCR,2*B1137*LINE_INPUT_L)</f>
        <v>0</v>
      </c>
      <c r="F1137">
        <f>COMPLEX(0,B1137*(LINE_INPUT_CLINE+LINE_INPUT_CCHA/2))</f>
        <v>0</v>
      </c>
      <c r="G1137">
        <f>IMPRODUCT("2",IMDIV("1",IMSUM(IMDIV("1",COMPLEX(LDM1_DCR,B1137*LDM1_L)),COMPLEX(0,B1137*LDM1_CPA))))</f>
        <v>0</v>
      </c>
      <c r="H1137">
        <f>IMSUM(IMDIV("1",COMPLEX(CX1_ESR,B1137*CX1_ESL-1/(B1137*CX1_C))),IMDIV("1",IMSUM(COMPLEX(DUMP1_R,0),COMPLEX(DUMP1_ESR,B1137*DUMP1_ESL-1/(B1137*DUMP1_C)))))</f>
        <v>0</v>
      </c>
      <c r="I1137">
        <f>IMPRODUCT("2",IMDIV("1",IMSUM(IMDIV("1",COMPLEX(LDM2_DCR,B1137*LDM2_L)),COMPLEX(0,B1137*LDM2_CPA))))</f>
        <v>0</v>
      </c>
      <c r="J1137">
        <f>IMSUM(IMDIV("1",COMPLEX(CX2_ESR,B1137*CX2_ESL-1/(B1137*CX2_C))),IMDIV("1",IMSUM(COMPLEX(DUMP2_R,0),COMPLEX(DUMP2_ESR,B1137*DUMP2_ESL-1/(B1137*DUMP2_C)))))</f>
        <v>0</v>
      </c>
      <c r="K1137">
        <f>IMPRODUCT("2",IMDIV("1",IMSUM(IMDIV("1",COMPLEX(CMC_DCR,B1137*CMC_L*(1-CMC_K))),COMPLEX(0,B1137*CMC_CPA))))</f>
        <v>0</v>
      </c>
      <c r="L1137">
        <f>IMSUM(COMPLEX(0,B1137*CMC_CLINE),IMDIV("1",IMPRODUCT("2",COMPLEX(CY_ESR,B1137*CY_ESL-1/(B1137*CY_C)))),COMPLEX(1/DUMMY_R,0))</f>
        <v>0</v>
      </c>
      <c r="M1137">
        <f>IMSUM(D1137,IMDIV("1",C1137))</f>
        <v>0</v>
      </c>
      <c r="N1137">
        <f>IMDIV("1",IMSUM(E1137,IMDIV("1",M1137)))</f>
        <v>0</v>
      </c>
      <c r="O1137">
        <f>IMSUM(F1137,N1137)</f>
        <v>0</v>
      </c>
      <c r="P1137">
        <f>IMDIV("1",IMSUM(G1137,IMDIV("1",O1137)))</f>
        <v>0</v>
      </c>
      <c r="Q1137">
        <f>IMSUM(H1137,P1137)</f>
        <v>0</v>
      </c>
      <c r="R1137">
        <f>IMDIV("1",IMSUM(I1137,IMDIV("1",Q1137)))</f>
        <v>0</v>
      </c>
      <c r="S1137">
        <f>IMSUM(J1137,R1137)</f>
        <v>0</v>
      </c>
      <c r="T1137">
        <f>IMDIV("1",IMSUM(K1137,IMDIV("1",S1137)))</f>
        <v>0</v>
      </c>
      <c r="U1137">
        <f>IMSUM(L1137,T1137)</f>
        <v>0</v>
      </c>
      <c r="V1137">
        <f>IMDIV(COMPLEX(I_DM_SOURCE,0),U1137)</f>
        <v>0</v>
      </c>
      <c r="W1137">
        <f>IMPRODUCT(V1137,T1137)</f>
        <v>0</v>
      </c>
      <c r="X1137">
        <f>IMDIV(W1137,S1137)</f>
        <v>0</v>
      </c>
      <c r="Y1137">
        <f>IMPRODUCT(X1137,R1137)</f>
        <v>0</v>
      </c>
      <c r="Z1137">
        <f>IMDIV(Y1137,Q1137)</f>
        <v>0</v>
      </c>
      <c r="AA1137">
        <f>IMPRODUCT(Z1137,P1137)</f>
        <v>0</v>
      </c>
      <c r="AB1137">
        <f>AA1137</f>
        <v>0</v>
      </c>
      <c r="AC1137">
        <f>IMPRODUCT("-1",AB1137)</f>
        <v>0</v>
      </c>
      <c r="AD1137">
        <f>IMDIV(IMSUB(AB1137,AC1137),"2")</f>
        <v>0</v>
      </c>
      <c r="AE1137" s="6">
        <f>IMABS(AB1137)</f>
        <v>0</v>
      </c>
      <c r="AF1137" s="6">
        <f>IMABS(AC1137)</f>
        <v>0</v>
      </c>
      <c r="AG1137" s="6">
        <f>IMABS(AD1137)</f>
        <v>0</v>
      </c>
      <c r="AH1137" s="7">
        <f>20*LOG10(MAX(AE1137,1E-300)*1E6)</f>
        <v>0</v>
      </c>
      <c r="AI1137" s="7">
        <f>20*LOG10(MAX(AF1137,1E-300)*1E6)</f>
        <v>0</v>
      </c>
      <c r="AJ1137" s="7">
        <f>20*LOG10(MAX(AG1137,1E-300)*1E6)</f>
        <v>0</v>
      </c>
      <c r="AK1137" s="7">
        <f>DEGREES(IMARGUMENT(AB1137))</f>
        <v>0</v>
      </c>
      <c r="AL1137" s="7">
        <f>DEGREES(IMARGUMENT(AC1137))</f>
        <v>0</v>
      </c>
      <c r="AM1137" s="7">
        <f>DEGREES(IMARGUMENT(AD1137))</f>
        <v>0</v>
      </c>
    </row>
    <row r="1138" spans="1:39">
      <c r="A1138" s="6">
        <f>10^(LOG10(F_START)+(ROW()-ROW($A$2))*(LOG10(F_STOP)-LOG10(F_START))/(N_POINTS-1))</f>
        <v>0</v>
      </c>
      <c r="B1138" s="6">
        <f>2*PI()*A1138</f>
        <v>0</v>
      </c>
      <c r="C1138">
        <f>COMPLEX(2*LINE_PS_DCR,2*B1138*LINE_PS_L)</f>
        <v>0</v>
      </c>
      <c r="D1138">
        <f>IMSUM(COMPLEX(0,B1138*(LINE_PS_CLINE+LINE_PS_CCHA/2)),IMDIV("1",IMPRODUCT("2",COMPLEX(C_THROUGH_ESR,B1138*C_THROUGH_ESL-1/(B1138*C_THROUGH_C)))))</f>
        <v>0</v>
      </c>
      <c r="E1138">
        <f>COMPLEX(2*LINE_INPUT_DCR,2*B1138*LINE_INPUT_L)</f>
        <v>0</v>
      </c>
      <c r="F1138">
        <f>COMPLEX(0,B1138*(LINE_INPUT_CLINE+LINE_INPUT_CCHA/2))</f>
        <v>0</v>
      </c>
      <c r="G1138">
        <f>IMPRODUCT("2",IMDIV("1",IMSUM(IMDIV("1",COMPLEX(LDM1_DCR,B1138*LDM1_L)),COMPLEX(0,B1138*LDM1_CPA))))</f>
        <v>0</v>
      </c>
      <c r="H1138">
        <f>IMSUM(IMDIV("1",COMPLEX(CX1_ESR,B1138*CX1_ESL-1/(B1138*CX1_C))),IMDIV("1",IMSUM(COMPLEX(DUMP1_R,0),COMPLEX(DUMP1_ESR,B1138*DUMP1_ESL-1/(B1138*DUMP1_C)))))</f>
        <v>0</v>
      </c>
      <c r="I1138">
        <f>IMPRODUCT("2",IMDIV("1",IMSUM(IMDIV("1",COMPLEX(LDM2_DCR,B1138*LDM2_L)),COMPLEX(0,B1138*LDM2_CPA))))</f>
        <v>0</v>
      </c>
      <c r="J1138">
        <f>IMSUM(IMDIV("1",COMPLEX(CX2_ESR,B1138*CX2_ESL-1/(B1138*CX2_C))),IMDIV("1",IMSUM(COMPLEX(DUMP2_R,0),COMPLEX(DUMP2_ESR,B1138*DUMP2_ESL-1/(B1138*DUMP2_C)))))</f>
        <v>0</v>
      </c>
      <c r="K1138">
        <f>IMPRODUCT("2",IMDIV("1",IMSUM(IMDIV("1",COMPLEX(CMC_DCR,B1138*CMC_L*(1-CMC_K))),COMPLEX(0,B1138*CMC_CPA))))</f>
        <v>0</v>
      </c>
      <c r="L1138">
        <f>IMSUM(COMPLEX(0,B1138*CMC_CLINE),IMDIV("1",IMPRODUCT("2",COMPLEX(CY_ESR,B1138*CY_ESL-1/(B1138*CY_C)))),COMPLEX(1/DUMMY_R,0))</f>
        <v>0</v>
      </c>
      <c r="M1138">
        <f>IMSUM(D1138,IMDIV("1",C1138))</f>
        <v>0</v>
      </c>
      <c r="N1138">
        <f>IMDIV("1",IMSUM(E1138,IMDIV("1",M1138)))</f>
        <v>0</v>
      </c>
      <c r="O1138">
        <f>IMSUM(F1138,N1138)</f>
        <v>0</v>
      </c>
      <c r="P1138">
        <f>IMDIV("1",IMSUM(G1138,IMDIV("1",O1138)))</f>
        <v>0</v>
      </c>
      <c r="Q1138">
        <f>IMSUM(H1138,P1138)</f>
        <v>0</v>
      </c>
      <c r="R1138">
        <f>IMDIV("1",IMSUM(I1138,IMDIV("1",Q1138)))</f>
        <v>0</v>
      </c>
      <c r="S1138">
        <f>IMSUM(J1138,R1138)</f>
        <v>0</v>
      </c>
      <c r="T1138">
        <f>IMDIV("1",IMSUM(K1138,IMDIV("1",S1138)))</f>
        <v>0</v>
      </c>
      <c r="U1138">
        <f>IMSUM(L1138,T1138)</f>
        <v>0</v>
      </c>
      <c r="V1138">
        <f>IMDIV(COMPLEX(I_DM_SOURCE,0),U1138)</f>
        <v>0</v>
      </c>
      <c r="W1138">
        <f>IMPRODUCT(V1138,T1138)</f>
        <v>0</v>
      </c>
      <c r="X1138">
        <f>IMDIV(W1138,S1138)</f>
        <v>0</v>
      </c>
      <c r="Y1138">
        <f>IMPRODUCT(X1138,R1138)</f>
        <v>0</v>
      </c>
      <c r="Z1138">
        <f>IMDIV(Y1138,Q1138)</f>
        <v>0</v>
      </c>
      <c r="AA1138">
        <f>IMPRODUCT(Z1138,P1138)</f>
        <v>0</v>
      </c>
      <c r="AB1138">
        <f>AA1138</f>
        <v>0</v>
      </c>
      <c r="AC1138">
        <f>IMPRODUCT("-1",AB1138)</f>
        <v>0</v>
      </c>
      <c r="AD1138">
        <f>IMDIV(IMSUB(AB1138,AC1138),"2")</f>
        <v>0</v>
      </c>
      <c r="AE1138" s="6">
        <f>IMABS(AB1138)</f>
        <v>0</v>
      </c>
      <c r="AF1138" s="6">
        <f>IMABS(AC1138)</f>
        <v>0</v>
      </c>
      <c r="AG1138" s="6">
        <f>IMABS(AD1138)</f>
        <v>0</v>
      </c>
      <c r="AH1138" s="7">
        <f>20*LOG10(MAX(AE1138,1E-300)*1E6)</f>
        <v>0</v>
      </c>
      <c r="AI1138" s="7">
        <f>20*LOG10(MAX(AF1138,1E-300)*1E6)</f>
        <v>0</v>
      </c>
      <c r="AJ1138" s="7">
        <f>20*LOG10(MAX(AG1138,1E-300)*1E6)</f>
        <v>0</v>
      </c>
      <c r="AK1138" s="7">
        <f>DEGREES(IMARGUMENT(AB1138))</f>
        <v>0</v>
      </c>
      <c r="AL1138" s="7">
        <f>DEGREES(IMARGUMENT(AC1138))</f>
        <v>0</v>
      </c>
      <c r="AM1138" s="7">
        <f>DEGREES(IMARGUMENT(AD1138))</f>
        <v>0</v>
      </c>
    </row>
    <row r="1139" spans="1:39">
      <c r="A1139" s="6">
        <f>10^(LOG10(F_START)+(ROW()-ROW($A$2))*(LOG10(F_STOP)-LOG10(F_START))/(N_POINTS-1))</f>
        <v>0</v>
      </c>
      <c r="B1139" s="6">
        <f>2*PI()*A1139</f>
        <v>0</v>
      </c>
      <c r="C1139">
        <f>COMPLEX(2*LINE_PS_DCR,2*B1139*LINE_PS_L)</f>
        <v>0</v>
      </c>
      <c r="D1139">
        <f>IMSUM(COMPLEX(0,B1139*(LINE_PS_CLINE+LINE_PS_CCHA/2)),IMDIV("1",IMPRODUCT("2",COMPLEX(C_THROUGH_ESR,B1139*C_THROUGH_ESL-1/(B1139*C_THROUGH_C)))))</f>
        <v>0</v>
      </c>
      <c r="E1139">
        <f>COMPLEX(2*LINE_INPUT_DCR,2*B1139*LINE_INPUT_L)</f>
        <v>0</v>
      </c>
      <c r="F1139">
        <f>COMPLEX(0,B1139*(LINE_INPUT_CLINE+LINE_INPUT_CCHA/2))</f>
        <v>0</v>
      </c>
      <c r="G1139">
        <f>IMPRODUCT("2",IMDIV("1",IMSUM(IMDIV("1",COMPLEX(LDM1_DCR,B1139*LDM1_L)),COMPLEX(0,B1139*LDM1_CPA))))</f>
        <v>0</v>
      </c>
      <c r="H1139">
        <f>IMSUM(IMDIV("1",COMPLEX(CX1_ESR,B1139*CX1_ESL-1/(B1139*CX1_C))),IMDIV("1",IMSUM(COMPLEX(DUMP1_R,0),COMPLEX(DUMP1_ESR,B1139*DUMP1_ESL-1/(B1139*DUMP1_C)))))</f>
        <v>0</v>
      </c>
      <c r="I1139">
        <f>IMPRODUCT("2",IMDIV("1",IMSUM(IMDIV("1",COMPLEX(LDM2_DCR,B1139*LDM2_L)),COMPLEX(0,B1139*LDM2_CPA))))</f>
        <v>0</v>
      </c>
      <c r="J1139">
        <f>IMSUM(IMDIV("1",COMPLEX(CX2_ESR,B1139*CX2_ESL-1/(B1139*CX2_C))),IMDIV("1",IMSUM(COMPLEX(DUMP2_R,0),COMPLEX(DUMP2_ESR,B1139*DUMP2_ESL-1/(B1139*DUMP2_C)))))</f>
        <v>0</v>
      </c>
      <c r="K1139">
        <f>IMPRODUCT("2",IMDIV("1",IMSUM(IMDIV("1",COMPLEX(CMC_DCR,B1139*CMC_L*(1-CMC_K))),COMPLEX(0,B1139*CMC_CPA))))</f>
        <v>0</v>
      </c>
      <c r="L1139">
        <f>IMSUM(COMPLEX(0,B1139*CMC_CLINE),IMDIV("1",IMPRODUCT("2",COMPLEX(CY_ESR,B1139*CY_ESL-1/(B1139*CY_C)))),COMPLEX(1/DUMMY_R,0))</f>
        <v>0</v>
      </c>
      <c r="M1139">
        <f>IMSUM(D1139,IMDIV("1",C1139))</f>
        <v>0</v>
      </c>
      <c r="N1139">
        <f>IMDIV("1",IMSUM(E1139,IMDIV("1",M1139)))</f>
        <v>0</v>
      </c>
      <c r="O1139">
        <f>IMSUM(F1139,N1139)</f>
        <v>0</v>
      </c>
      <c r="P1139">
        <f>IMDIV("1",IMSUM(G1139,IMDIV("1",O1139)))</f>
        <v>0</v>
      </c>
      <c r="Q1139">
        <f>IMSUM(H1139,P1139)</f>
        <v>0</v>
      </c>
      <c r="R1139">
        <f>IMDIV("1",IMSUM(I1139,IMDIV("1",Q1139)))</f>
        <v>0</v>
      </c>
      <c r="S1139">
        <f>IMSUM(J1139,R1139)</f>
        <v>0</v>
      </c>
      <c r="T1139">
        <f>IMDIV("1",IMSUM(K1139,IMDIV("1",S1139)))</f>
        <v>0</v>
      </c>
      <c r="U1139">
        <f>IMSUM(L1139,T1139)</f>
        <v>0</v>
      </c>
      <c r="V1139">
        <f>IMDIV(COMPLEX(I_DM_SOURCE,0),U1139)</f>
        <v>0</v>
      </c>
      <c r="W1139">
        <f>IMPRODUCT(V1139,T1139)</f>
        <v>0</v>
      </c>
      <c r="X1139">
        <f>IMDIV(W1139,S1139)</f>
        <v>0</v>
      </c>
      <c r="Y1139">
        <f>IMPRODUCT(X1139,R1139)</f>
        <v>0</v>
      </c>
      <c r="Z1139">
        <f>IMDIV(Y1139,Q1139)</f>
        <v>0</v>
      </c>
      <c r="AA1139">
        <f>IMPRODUCT(Z1139,P1139)</f>
        <v>0</v>
      </c>
      <c r="AB1139">
        <f>AA1139</f>
        <v>0</v>
      </c>
      <c r="AC1139">
        <f>IMPRODUCT("-1",AB1139)</f>
        <v>0</v>
      </c>
      <c r="AD1139">
        <f>IMDIV(IMSUB(AB1139,AC1139),"2")</f>
        <v>0</v>
      </c>
      <c r="AE1139" s="6">
        <f>IMABS(AB1139)</f>
        <v>0</v>
      </c>
      <c r="AF1139" s="6">
        <f>IMABS(AC1139)</f>
        <v>0</v>
      </c>
      <c r="AG1139" s="6">
        <f>IMABS(AD1139)</f>
        <v>0</v>
      </c>
      <c r="AH1139" s="7">
        <f>20*LOG10(MAX(AE1139,1E-300)*1E6)</f>
        <v>0</v>
      </c>
      <c r="AI1139" s="7">
        <f>20*LOG10(MAX(AF1139,1E-300)*1E6)</f>
        <v>0</v>
      </c>
      <c r="AJ1139" s="7">
        <f>20*LOG10(MAX(AG1139,1E-300)*1E6)</f>
        <v>0</v>
      </c>
      <c r="AK1139" s="7">
        <f>DEGREES(IMARGUMENT(AB1139))</f>
        <v>0</v>
      </c>
      <c r="AL1139" s="7">
        <f>DEGREES(IMARGUMENT(AC1139))</f>
        <v>0</v>
      </c>
      <c r="AM1139" s="7">
        <f>DEGREES(IMARGUMENT(AD1139))</f>
        <v>0</v>
      </c>
    </row>
    <row r="1140" spans="1:39">
      <c r="A1140" s="6">
        <f>10^(LOG10(F_START)+(ROW()-ROW($A$2))*(LOG10(F_STOP)-LOG10(F_START))/(N_POINTS-1))</f>
        <v>0</v>
      </c>
      <c r="B1140" s="6">
        <f>2*PI()*A1140</f>
        <v>0</v>
      </c>
      <c r="C1140">
        <f>COMPLEX(2*LINE_PS_DCR,2*B1140*LINE_PS_L)</f>
        <v>0</v>
      </c>
      <c r="D1140">
        <f>IMSUM(COMPLEX(0,B1140*(LINE_PS_CLINE+LINE_PS_CCHA/2)),IMDIV("1",IMPRODUCT("2",COMPLEX(C_THROUGH_ESR,B1140*C_THROUGH_ESL-1/(B1140*C_THROUGH_C)))))</f>
        <v>0</v>
      </c>
      <c r="E1140">
        <f>COMPLEX(2*LINE_INPUT_DCR,2*B1140*LINE_INPUT_L)</f>
        <v>0</v>
      </c>
      <c r="F1140">
        <f>COMPLEX(0,B1140*(LINE_INPUT_CLINE+LINE_INPUT_CCHA/2))</f>
        <v>0</v>
      </c>
      <c r="G1140">
        <f>IMPRODUCT("2",IMDIV("1",IMSUM(IMDIV("1",COMPLEX(LDM1_DCR,B1140*LDM1_L)),COMPLEX(0,B1140*LDM1_CPA))))</f>
        <v>0</v>
      </c>
      <c r="H1140">
        <f>IMSUM(IMDIV("1",COMPLEX(CX1_ESR,B1140*CX1_ESL-1/(B1140*CX1_C))),IMDIV("1",IMSUM(COMPLEX(DUMP1_R,0),COMPLEX(DUMP1_ESR,B1140*DUMP1_ESL-1/(B1140*DUMP1_C)))))</f>
        <v>0</v>
      </c>
      <c r="I1140">
        <f>IMPRODUCT("2",IMDIV("1",IMSUM(IMDIV("1",COMPLEX(LDM2_DCR,B1140*LDM2_L)),COMPLEX(0,B1140*LDM2_CPA))))</f>
        <v>0</v>
      </c>
      <c r="J1140">
        <f>IMSUM(IMDIV("1",COMPLEX(CX2_ESR,B1140*CX2_ESL-1/(B1140*CX2_C))),IMDIV("1",IMSUM(COMPLEX(DUMP2_R,0),COMPLEX(DUMP2_ESR,B1140*DUMP2_ESL-1/(B1140*DUMP2_C)))))</f>
        <v>0</v>
      </c>
      <c r="K1140">
        <f>IMPRODUCT("2",IMDIV("1",IMSUM(IMDIV("1",COMPLEX(CMC_DCR,B1140*CMC_L*(1-CMC_K))),COMPLEX(0,B1140*CMC_CPA))))</f>
        <v>0</v>
      </c>
      <c r="L1140">
        <f>IMSUM(COMPLEX(0,B1140*CMC_CLINE),IMDIV("1",IMPRODUCT("2",COMPLEX(CY_ESR,B1140*CY_ESL-1/(B1140*CY_C)))),COMPLEX(1/DUMMY_R,0))</f>
        <v>0</v>
      </c>
      <c r="M1140">
        <f>IMSUM(D1140,IMDIV("1",C1140))</f>
        <v>0</v>
      </c>
      <c r="N1140">
        <f>IMDIV("1",IMSUM(E1140,IMDIV("1",M1140)))</f>
        <v>0</v>
      </c>
      <c r="O1140">
        <f>IMSUM(F1140,N1140)</f>
        <v>0</v>
      </c>
      <c r="P1140">
        <f>IMDIV("1",IMSUM(G1140,IMDIV("1",O1140)))</f>
        <v>0</v>
      </c>
      <c r="Q1140">
        <f>IMSUM(H1140,P1140)</f>
        <v>0</v>
      </c>
      <c r="R1140">
        <f>IMDIV("1",IMSUM(I1140,IMDIV("1",Q1140)))</f>
        <v>0</v>
      </c>
      <c r="S1140">
        <f>IMSUM(J1140,R1140)</f>
        <v>0</v>
      </c>
      <c r="T1140">
        <f>IMDIV("1",IMSUM(K1140,IMDIV("1",S1140)))</f>
        <v>0</v>
      </c>
      <c r="U1140">
        <f>IMSUM(L1140,T1140)</f>
        <v>0</v>
      </c>
      <c r="V1140">
        <f>IMDIV(COMPLEX(I_DM_SOURCE,0),U1140)</f>
        <v>0</v>
      </c>
      <c r="W1140">
        <f>IMPRODUCT(V1140,T1140)</f>
        <v>0</v>
      </c>
      <c r="X1140">
        <f>IMDIV(W1140,S1140)</f>
        <v>0</v>
      </c>
      <c r="Y1140">
        <f>IMPRODUCT(X1140,R1140)</f>
        <v>0</v>
      </c>
      <c r="Z1140">
        <f>IMDIV(Y1140,Q1140)</f>
        <v>0</v>
      </c>
      <c r="AA1140">
        <f>IMPRODUCT(Z1140,P1140)</f>
        <v>0</v>
      </c>
      <c r="AB1140">
        <f>AA1140</f>
        <v>0</v>
      </c>
      <c r="AC1140">
        <f>IMPRODUCT("-1",AB1140)</f>
        <v>0</v>
      </c>
      <c r="AD1140">
        <f>IMDIV(IMSUB(AB1140,AC1140),"2")</f>
        <v>0</v>
      </c>
      <c r="AE1140" s="6">
        <f>IMABS(AB1140)</f>
        <v>0</v>
      </c>
      <c r="AF1140" s="6">
        <f>IMABS(AC1140)</f>
        <v>0</v>
      </c>
      <c r="AG1140" s="6">
        <f>IMABS(AD1140)</f>
        <v>0</v>
      </c>
      <c r="AH1140" s="7">
        <f>20*LOG10(MAX(AE1140,1E-300)*1E6)</f>
        <v>0</v>
      </c>
      <c r="AI1140" s="7">
        <f>20*LOG10(MAX(AF1140,1E-300)*1E6)</f>
        <v>0</v>
      </c>
      <c r="AJ1140" s="7">
        <f>20*LOG10(MAX(AG1140,1E-300)*1E6)</f>
        <v>0</v>
      </c>
      <c r="AK1140" s="7">
        <f>DEGREES(IMARGUMENT(AB1140))</f>
        <v>0</v>
      </c>
      <c r="AL1140" s="7">
        <f>DEGREES(IMARGUMENT(AC1140))</f>
        <v>0</v>
      </c>
      <c r="AM1140" s="7">
        <f>DEGREES(IMARGUMENT(AD1140))</f>
        <v>0</v>
      </c>
    </row>
    <row r="1141" spans="1:39">
      <c r="A1141" s="6">
        <f>10^(LOG10(F_START)+(ROW()-ROW($A$2))*(LOG10(F_STOP)-LOG10(F_START))/(N_POINTS-1))</f>
        <v>0</v>
      </c>
      <c r="B1141" s="6">
        <f>2*PI()*A1141</f>
        <v>0</v>
      </c>
      <c r="C1141">
        <f>COMPLEX(2*LINE_PS_DCR,2*B1141*LINE_PS_L)</f>
        <v>0</v>
      </c>
      <c r="D1141">
        <f>IMSUM(COMPLEX(0,B1141*(LINE_PS_CLINE+LINE_PS_CCHA/2)),IMDIV("1",IMPRODUCT("2",COMPLEX(C_THROUGH_ESR,B1141*C_THROUGH_ESL-1/(B1141*C_THROUGH_C)))))</f>
        <v>0</v>
      </c>
      <c r="E1141">
        <f>COMPLEX(2*LINE_INPUT_DCR,2*B1141*LINE_INPUT_L)</f>
        <v>0</v>
      </c>
      <c r="F1141">
        <f>COMPLEX(0,B1141*(LINE_INPUT_CLINE+LINE_INPUT_CCHA/2))</f>
        <v>0</v>
      </c>
      <c r="G1141">
        <f>IMPRODUCT("2",IMDIV("1",IMSUM(IMDIV("1",COMPLEX(LDM1_DCR,B1141*LDM1_L)),COMPLEX(0,B1141*LDM1_CPA))))</f>
        <v>0</v>
      </c>
      <c r="H1141">
        <f>IMSUM(IMDIV("1",COMPLEX(CX1_ESR,B1141*CX1_ESL-1/(B1141*CX1_C))),IMDIV("1",IMSUM(COMPLEX(DUMP1_R,0),COMPLEX(DUMP1_ESR,B1141*DUMP1_ESL-1/(B1141*DUMP1_C)))))</f>
        <v>0</v>
      </c>
      <c r="I1141">
        <f>IMPRODUCT("2",IMDIV("1",IMSUM(IMDIV("1",COMPLEX(LDM2_DCR,B1141*LDM2_L)),COMPLEX(0,B1141*LDM2_CPA))))</f>
        <v>0</v>
      </c>
      <c r="J1141">
        <f>IMSUM(IMDIV("1",COMPLEX(CX2_ESR,B1141*CX2_ESL-1/(B1141*CX2_C))),IMDIV("1",IMSUM(COMPLEX(DUMP2_R,0),COMPLEX(DUMP2_ESR,B1141*DUMP2_ESL-1/(B1141*DUMP2_C)))))</f>
        <v>0</v>
      </c>
      <c r="K1141">
        <f>IMPRODUCT("2",IMDIV("1",IMSUM(IMDIV("1",COMPLEX(CMC_DCR,B1141*CMC_L*(1-CMC_K))),COMPLEX(0,B1141*CMC_CPA))))</f>
        <v>0</v>
      </c>
      <c r="L1141">
        <f>IMSUM(COMPLEX(0,B1141*CMC_CLINE),IMDIV("1",IMPRODUCT("2",COMPLEX(CY_ESR,B1141*CY_ESL-1/(B1141*CY_C)))),COMPLEX(1/DUMMY_R,0))</f>
        <v>0</v>
      </c>
      <c r="M1141">
        <f>IMSUM(D1141,IMDIV("1",C1141))</f>
        <v>0</v>
      </c>
      <c r="N1141">
        <f>IMDIV("1",IMSUM(E1141,IMDIV("1",M1141)))</f>
        <v>0</v>
      </c>
      <c r="O1141">
        <f>IMSUM(F1141,N1141)</f>
        <v>0</v>
      </c>
      <c r="P1141">
        <f>IMDIV("1",IMSUM(G1141,IMDIV("1",O1141)))</f>
        <v>0</v>
      </c>
      <c r="Q1141">
        <f>IMSUM(H1141,P1141)</f>
        <v>0</v>
      </c>
      <c r="R1141">
        <f>IMDIV("1",IMSUM(I1141,IMDIV("1",Q1141)))</f>
        <v>0</v>
      </c>
      <c r="S1141">
        <f>IMSUM(J1141,R1141)</f>
        <v>0</v>
      </c>
      <c r="T1141">
        <f>IMDIV("1",IMSUM(K1141,IMDIV("1",S1141)))</f>
        <v>0</v>
      </c>
      <c r="U1141">
        <f>IMSUM(L1141,T1141)</f>
        <v>0</v>
      </c>
      <c r="V1141">
        <f>IMDIV(COMPLEX(I_DM_SOURCE,0),U1141)</f>
        <v>0</v>
      </c>
      <c r="W1141">
        <f>IMPRODUCT(V1141,T1141)</f>
        <v>0</v>
      </c>
      <c r="X1141">
        <f>IMDIV(W1141,S1141)</f>
        <v>0</v>
      </c>
      <c r="Y1141">
        <f>IMPRODUCT(X1141,R1141)</f>
        <v>0</v>
      </c>
      <c r="Z1141">
        <f>IMDIV(Y1141,Q1141)</f>
        <v>0</v>
      </c>
      <c r="AA1141">
        <f>IMPRODUCT(Z1141,P1141)</f>
        <v>0</v>
      </c>
      <c r="AB1141">
        <f>AA1141</f>
        <v>0</v>
      </c>
      <c r="AC1141">
        <f>IMPRODUCT("-1",AB1141)</f>
        <v>0</v>
      </c>
      <c r="AD1141">
        <f>IMDIV(IMSUB(AB1141,AC1141),"2")</f>
        <v>0</v>
      </c>
      <c r="AE1141" s="6">
        <f>IMABS(AB1141)</f>
        <v>0</v>
      </c>
      <c r="AF1141" s="6">
        <f>IMABS(AC1141)</f>
        <v>0</v>
      </c>
      <c r="AG1141" s="6">
        <f>IMABS(AD1141)</f>
        <v>0</v>
      </c>
      <c r="AH1141" s="7">
        <f>20*LOG10(MAX(AE1141,1E-300)*1E6)</f>
        <v>0</v>
      </c>
      <c r="AI1141" s="7">
        <f>20*LOG10(MAX(AF1141,1E-300)*1E6)</f>
        <v>0</v>
      </c>
      <c r="AJ1141" s="7">
        <f>20*LOG10(MAX(AG1141,1E-300)*1E6)</f>
        <v>0</v>
      </c>
      <c r="AK1141" s="7">
        <f>DEGREES(IMARGUMENT(AB1141))</f>
        <v>0</v>
      </c>
      <c r="AL1141" s="7">
        <f>DEGREES(IMARGUMENT(AC1141))</f>
        <v>0</v>
      </c>
      <c r="AM1141" s="7">
        <f>DEGREES(IMARGUMENT(AD1141))</f>
        <v>0</v>
      </c>
    </row>
    <row r="1142" spans="1:39">
      <c r="A1142" s="6">
        <f>10^(LOG10(F_START)+(ROW()-ROW($A$2))*(LOG10(F_STOP)-LOG10(F_START))/(N_POINTS-1))</f>
        <v>0</v>
      </c>
      <c r="B1142" s="6">
        <f>2*PI()*A1142</f>
        <v>0</v>
      </c>
      <c r="C1142">
        <f>COMPLEX(2*LINE_PS_DCR,2*B1142*LINE_PS_L)</f>
        <v>0</v>
      </c>
      <c r="D1142">
        <f>IMSUM(COMPLEX(0,B1142*(LINE_PS_CLINE+LINE_PS_CCHA/2)),IMDIV("1",IMPRODUCT("2",COMPLEX(C_THROUGH_ESR,B1142*C_THROUGH_ESL-1/(B1142*C_THROUGH_C)))))</f>
        <v>0</v>
      </c>
      <c r="E1142">
        <f>COMPLEX(2*LINE_INPUT_DCR,2*B1142*LINE_INPUT_L)</f>
        <v>0</v>
      </c>
      <c r="F1142">
        <f>COMPLEX(0,B1142*(LINE_INPUT_CLINE+LINE_INPUT_CCHA/2))</f>
        <v>0</v>
      </c>
      <c r="G1142">
        <f>IMPRODUCT("2",IMDIV("1",IMSUM(IMDIV("1",COMPLEX(LDM1_DCR,B1142*LDM1_L)),COMPLEX(0,B1142*LDM1_CPA))))</f>
        <v>0</v>
      </c>
      <c r="H1142">
        <f>IMSUM(IMDIV("1",COMPLEX(CX1_ESR,B1142*CX1_ESL-1/(B1142*CX1_C))),IMDIV("1",IMSUM(COMPLEX(DUMP1_R,0),COMPLEX(DUMP1_ESR,B1142*DUMP1_ESL-1/(B1142*DUMP1_C)))))</f>
        <v>0</v>
      </c>
      <c r="I1142">
        <f>IMPRODUCT("2",IMDIV("1",IMSUM(IMDIV("1",COMPLEX(LDM2_DCR,B1142*LDM2_L)),COMPLEX(0,B1142*LDM2_CPA))))</f>
        <v>0</v>
      </c>
      <c r="J1142">
        <f>IMSUM(IMDIV("1",COMPLEX(CX2_ESR,B1142*CX2_ESL-1/(B1142*CX2_C))),IMDIV("1",IMSUM(COMPLEX(DUMP2_R,0),COMPLEX(DUMP2_ESR,B1142*DUMP2_ESL-1/(B1142*DUMP2_C)))))</f>
        <v>0</v>
      </c>
      <c r="K1142">
        <f>IMPRODUCT("2",IMDIV("1",IMSUM(IMDIV("1",COMPLEX(CMC_DCR,B1142*CMC_L*(1-CMC_K))),COMPLEX(0,B1142*CMC_CPA))))</f>
        <v>0</v>
      </c>
      <c r="L1142">
        <f>IMSUM(COMPLEX(0,B1142*CMC_CLINE),IMDIV("1",IMPRODUCT("2",COMPLEX(CY_ESR,B1142*CY_ESL-1/(B1142*CY_C)))),COMPLEX(1/DUMMY_R,0))</f>
        <v>0</v>
      </c>
      <c r="M1142">
        <f>IMSUM(D1142,IMDIV("1",C1142))</f>
        <v>0</v>
      </c>
      <c r="N1142">
        <f>IMDIV("1",IMSUM(E1142,IMDIV("1",M1142)))</f>
        <v>0</v>
      </c>
      <c r="O1142">
        <f>IMSUM(F1142,N1142)</f>
        <v>0</v>
      </c>
      <c r="P1142">
        <f>IMDIV("1",IMSUM(G1142,IMDIV("1",O1142)))</f>
        <v>0</v>
      </c>
      <c r="Q1142">
        <f>IMSUM(H1142,P1142)</f>
        <v>0</v>
      </c>
      <c r="R1142">
        <f>IMDIV("1",IMSUM(I1142,IMDIV("1",Q1142)))</f>
        <v>0</v>
      </c>
      <c r="S1142">
        <f>IMSUM(J1142,R1142)</f>
        <v>0</v>
      </c>
      <c r="T1142">
        <f>IMDIV("1",IMSUM(K1142,IMDIV("1",S1142)))</f>
        <v>0</v>
      </c>
      <c r="U1142">
        <f>IMSUM(L1142,T1142)</f>
        <v>0</v>
      </c>
      <c r="V1142">
        <f>IMDIV(COMPLEX(I_DM_SOURCE,0),U1142)</f>
        <v>0</v>
      </c>
      <c r="W1142">
        <f>IMPRODUCT(V1142,T1142)</f>
        <v>0</v>
      </c>
      <c r="X1142">
        <f>IMDIV(W1142,S1142)</f>
        <v>0</v>
      </c>
      <c r="Y1142">
        <f>IMPRODUCT(X1142,R1142)</f>
        <v>0</v>
      </c>
      <c r="Z1142">
        <f>IMDIV(Y1142,Q1142)</f>
        <v>0</v>
      </c>
      <c r="AA1142">
        <f>IMPRODUCT(Z1142,P1142)</f>
        <v>0</v>
      </c>
      <c r="AB1142">
        <f>AA1142</f>
        <v>0</v>
      </c>
      <c r="AC1142">
        <f>IMPRODUCT("-1",AB1142)</f>
        <v>0</v>
      </c>
      <c r="AD1142">
        <f>IMDIV(IMSUB(AB1142,AC1142),"2")</f>
        <v>0</v>
      </c>
      <c r="AE1142" s="6">
        <f>IMABS(AB1142)</f>
        <v>0</v>
      </c>
      <c r="AF1142" s="6">
        <f>IMABS(AC1142)</f>
        <v>0</v>
      </c>
      <c r="AG1142" s="6">
        <f>IMABS(AD1142)</f>
        <v>0</v>
      </c>
      <c r="AH1142" s="7">
        <f>20*LOG10(MAX(AE1142,1E-300)*1E6)</f>
        <v>0</v>
      </c>
      <c r="AI1142" s="7">
        <f>20*LOG10(MAX(AF1142,1E-300)*1E6)</f>
        <v>0</v>
      </c>
      <c r="AJ1142" s="7">
        <f>20*LOG10(MAX(AG1142,1E-300)*1E6)</f>
        <v>0</v>
      </c>
      <c r="AK1142" s="7">
        <f>DEGREES(IMARGUMENT(AB1142))</f>
        <v>0</v>
      </c>
      <c r="AL1142" s="7">
        <f>DEGREES(IMARGUMENT(AC1142))</f>
        <v>0</v>
      </c>
      <c r="AM1142" s="7">
        <f>DEGREES(IMARGUMENT(AD1142))</f>
        <v>0</v>
      </c>
    </row>
    <row r="1143" spans="1:39">
      <c r="A1143" s="6">
        <f>10^(LOG10(F_START)+(ROW()-ROW($A$2))*(LOG10(F_STOP)-LOG10(F_START))/(N_POINTS-1))</f>
        <v>0</v>
      </c>
      <c r="B1143" s="6">
        <f>2*PI()*A1143</f>
        <v>0</v>
      </c>
      <c r="C1143">
        <f>COMPLEX(2*LINE_PS_DCR,2*B1143*LINE_PS_L)</f>
        <v>0</v>
      </c>
      <c r="D1143">
        <f>IMSUM(COMPLEX(0,B1143*(LINE_PS_CLINE+LINE_PS_CCHA/2)),IMDIV("1",IMPRODUCT("2",COMPLEX(C_THROUGH_ESR,B1143*C_THROUGH_ESL-1/(B1143*C_THROUGH_C)))))</f>
        <v>0</v>
      </c>
      <c r="E1143">
        <f>COMPLEX(2*LINE_INPUT_DCR,2*B1143*LINE_INPUT_L)</f>
        <v>0</v>
      </c>
      <c r="F1143">
        <f>COMPLEX(0,B1143*(LINE_INPUT_CLINE+LINE_INPUT_CCHA/2))</f>
        <v>0</v>
      </c>
      <c r="G1143">
        <f>IMPRODUCT("2",IMDIV("1",IMSUM(IMDIV("1",COMPLEX(LDM1_DCR,B1143*LDM1_L)),COMPLEX(0,B1143*LDM1_CPA))))</f>
        <v>0</v>
      </c>
      <c r="H1143">
        <f>IMSUM(IMDIV("1",COMPLEX(CX1_ESR,B1143*CX1_ESL-1/(B1143*CX1_C))),IMDIV("1",IMSUM(COMPLEX(DUMP1_R,0),COMPLEX(DUMP1_ESR,B1143*DUMP1_ESL-1/(B1143*DUMP1_C)))))</f>
        <v>0</v>
      </c>
      <c r="I1143">
        <f>IMPRODUCT("2",IMDIV("1",IMSUM(IMDIV("1",COMPLEX(LDM2_DCR,B1143*LDM2_L)),COMPLEX(0,B1143*LDM2_CPA))))</f>
        <v>0</v>
      </c>
      <c r="J1143">
        <f>IMSUM(IMDIV("1",COMPLEX(CX2_ESR,B1143*CX2_ESL-1/(B1143*CX2_C))),IMDIV("1",IMSUM(COMPLEX(DUMP2_R,0),COMPLEX(DUMP2_ESR,B1143*DUMP2_ESL-1/(B1143*DUMP2_C)))))</f>
        <v>0</v>
      </c>
      <c r="K1143">
        <f>IMPRODUCT("2",IMDIV("1",IMSUM(IMDIV("1",COMPLEX(CMC_DCR,B1143*CMC_L*(1-CMC_K))),COMPLEX(0,B1143*CMC_CPA))))</f>
        <v>0</v>
      </c>
      <c r="L1143">
        <f>IMSUM(COMPLEX(0,B1143*CMC_CLINE),IMDIV("1",IMPRODUCT("2",COMPLEX(CY_ESR,B1143*CY_ESL-1/(B1143*CY_C)))),COMPLEX(1/DUMMY_R,0))</f>
        <v>0</v>
      </c>
      <c r="M1143">
        <f>IMSUM(D1143,IMDIV("1",C1143))</f>
        <v>0</v>
      </c>
      <c r="N1143">
        <f>IMDIV("1",IMSUM(E1143,IMDIV("1",M1143)))</f>
        <v>0</v>
      </c>
      <c r="O1143">
        <f>IMSUM(F1143,N1143)</f>
        <v>0</v>
      </c>
      <c r="P1143">
        <f>IMDIV("1",IMSUM(G1143,IMDIV("1",O1143)))</f>
        <v>0</v>
      </c>
      <c r="Q1143">
        <f>IMSUM(H1143,P1143)</f>
        <v>0</v>
      </c>
      <c r="R1143">
        <f>IMDIV("1",IMSUM(I1143,IMDIV("1",Q1143)))</f>
        <v>0</v>
      </c>
      <c r="S1143">
        <f>IMSUM(J1143,R1143)</f>
        <v>0</v>
      </c>
      <c r="T1143">
        <f>IMDIV("1",IMSUM(K1143,IMDIV("1",S1143)))</f>
        <v>0</v>
      </c>
      <c r="U1143">
        <f>IMSUM(L1143,T1143)</f>
        <v>0</v>
      </c>
      <c r="V1143">
        <f>IMDIV(COMPLEX(I_DM_SOURCE,0),U1143)</f>
        <v>0</v>
      </c>
      <c r="W1143">
        <f>IMPRODUCT(V1143,T1143)</f>
        <v>0</v>
      </c>
      <c r="X1143">
        <f>IMDIV(W1143,S1143)</f>
        <v>0</v>
      </c>
      <c r="Y1143">
        <f>IMPRODUCT(X1143,R1143)</f>
        <v>0</v>
      </c>
      <c r="Z1143">
        <f>IMDIV(Y1143,Q1143)</f>
        <v>0</v>
      </c>
      <c r="AA1143">
        <f>IMPRODUCT(Z1143,P1143)</f>
        <v>0</v>
      </c>
      <c r="AB1143">
        <f>AA1143</f>
        <v>0</v>
      </c>
      <c r="AC1143">
        <f>IMPRODUCT("-1",AB1143)</f>
        <v>0</v>
      </c>
      <c r="AD1143">
        <f>IMDIV(IMSUB(AB1143,AC1143),"2")</f>
        <v>0</v>
      </c>
      <c r="AE1143" s="6">
        <f>IMABS(AB1143)</f>
        <v>0</v>
      </c>
      <c r="AF1143" s="6">
        <f>IMABS(AC1143)</f>
        <v>0</v>
      </c>
      <c r="AG1143" s="6">
        <f>IMABS(AD1143)</f>
        <v>0</v>
      </c>
      <c r="AH1143" s="7">
        <f>20*LOG10(MAX(AE1143,1E-300)*1E6)</f>
        <v>0</v>
      </c>
      <c r="AI1143" s="7">
        <f>20*LOG10(MAX(AF1143,1E-300)*1E6)</f>
        <v>0</v>
      </c>
      <c r="AJ1143" s="7">
        <f>20*LOG10(MAX(AG1143,1E-300)*1E6)</f>
        <v>0</v>
      </c>
      <c r="AK1143" s="7">
        <f>DEGREES(IMARGUMENT(AB1143))</f>
        <v>0</v>
      </c>
      <c r="AL1143" s="7">
        <f>DEGREES(IMARGUMENT(AC1143))</f>
        <v>0</v>
      </c>
      <c r="AM1143" s="7">
        <f>DEGREES(IMARGUMENT(AD1143))</f>
        <v>0</v>
      </c>
    </row>
    <row r="1144" spans="1:39">
      <c r="A1144" s="6">
        <f>10^(LOG10(F_START)+(ROW()-ROW($A$2))*(LOG10(F_STOP)-LOG10(F_START))/(N_POINTS-1))</f>
        <v>0</v>
      </c>
      <c r="B1144" s="6">
        <f>2*PI()*A1144</f>
        <v>0</v>
      </c>
      <c r="C1144">
        <f>COMPLEX(2*LINE_PS_DCR,2*B1144*LINE_PS_L)</f>
        <v>0</v>
      </c>
      <c r="D1144">
        <f>IMSUM(COMPLEX(0,B1144*(LINE_PS_CLINE+LINE_PS_CCHA/2)),IMDIV("1",IMPRODUCT("2",COMPLEX(C_THROUGH_ESR,B1144*C_THROUGH_ESL-1/(B1144*C_THROUGH_C)))))</f>
        <v>0</v>
      </c>
      <c r="E1144">
        <f>COMPLEX(2*LINE_INPUT_DCR,2*B1144*LINE_INPUT_L)</f>
        <v>0</v>
      </c>
      <c r="F1144">
        <f>COMPLEX(0,B1144*(LINE_INPUT_CLINE+LINE_INPUT_CCHA/2))</f>
        <v>0</v>
      </c>
      <c r="G1144">
        <f>IMPRODUCT("2",IMDIV("1",IMSUM(IMDIV("1",COMPLEX(LDM1_DCR,B1144*LDM1_L)),COMPLEX(0,B1144*LDM1_CPA))))</f>
        <v>0</v>
      </c>
      <c r="H1144">
        <f>IMSUM(IMDIV("1",COMPLEX(CX1_ESR,B1144*CX1_ESL-1/(B1144*CX1_C))),IMDIV("1",IMSUM(COMPLEX(DUMP1_R,0),COMPLEX(DUMP1_ESR,B1144*DUMP1_ESL-1/(B1144*DUMP1_C)))))</f>
        <v>0</v>
      </c>
      <c r="I1144">
        <f>IMPRODUCT("2",IMDIV("1",IMSUM(IMDIV("1",COMPLEX(LDM2_DCR,B1144*LDM2_L)),COMPLEX(0,B1144*LDM2_CPA))))</f>
        <v>0</v>
      </c>
      <c r="J1144">
        <f>IMSUM(IMDIV("1",COMPLEX(CX2_ESR,B1144*CX2_ESL-1/(B1144*CX2_C))),IMDIV("1",IMSUM(COMPLEX(DUMP2_R,0),COMPLEX(DUMP2_ESR,B1144*DUMP2_ESL-1/(B1144*DUMP2_C)))))</f>
        <v>0</v>
      </c>
      <c r="K1144">
        <f>IMPRODUCT("2",IMDIV("1",IMSUM(IMDIV("1",COMPLEX(CMC_DCR,B1144*CMC_L*(1-CMC_K))),COMPLEX(0,B1144*CMC_CPA))))</f>
        <v>0</v>
      </c>
      <c r="L1144">
        <f>IMSUM(COMPLEX(0,B1144*CMC_CLINE),IMDIV("1",IMPRODUCT("2",COMPLEX(CY_ESR,B1144*CY_ESL-1/(B1144*CY_C)))),COMPLEX(1/DUMMY_R,0))</f>
        <v>0</v>
      </c>
      <c r="M1144">
        <f>IMSUM(D1144,IMDIV("1",C1144))</f>
        <v>0</v>
      </c>
      <c r="N1144">
        <f>IMDIV("1",IMSUM(E1144,IMDIV("1",M1144)))</f>
        <v>0</v>
      </c>
      <c r="O1144">
        <f>IMSUM(F1144,N1144)</f>
        <v>0</v>
      </c>
      <c r="P1144">
        <f>IMDIV("1",IMSUM(G1144,IMDIV("1",O1144)))</f>
        <v>0</v>
      </c>
      <c r="Q1144">
        <f>IMSUM(H1144,P1144)</f>
        <v>0</v>
      </c>
      <c r="R1144">
        <f>IMDIV("1",IMSUM(I1144,IMDIV("1",Q1144)))</f>
        <v>0</v>
      </c>
      <c r="S1144">
        <f>IMSUM(J1144,R1144)</f>
        <v>0</v>
      </c>
      <c r="T1144">
        <f>IMDIV("1",IMSUM(K1144,IMDIV("1",S1144)))</f>
        <v>0</v>
      </c>
      <c r="U1144">
        <f>IMSUM(L1144,T1144)</f>
        <v>0</v>
      </c>
      <c r="V1144">
        <f>IMDIV(COMPLEX(I_DM_SOURCE,0),U1144)</f>
        <v>0</v>
      </c>
      <c r="W1144">
        <f>IMPRODUCT(V1144,T1144)</f>
        <v>0</v>
      </c>
      <c r="X1144">
        <f>IMDIV(W1144,S1144)</f>
        <v>0</v>
      </c>
      <c r="Y1144">
        <f>IMPRODUCT(X1144,R1144)</f>
        <v>0</v>
      </c>
      <c r="Z1144">
        <f>IMDIV(Y1144,Q1144)</f>
        <v>0</v>
      </c>
      <c r="AA1144">
        <f>IMPRODUCT(Z1144,P1144)</f>
        <v>0</v>
      </c>
      <c r="AB1144">
        <f>AA1144</f>
        <v>0</v>
      </c>
      <c r="AC1144">
        <f>IMPRODUCT("-1",AB1144)</f>
        <v>0</v>
      </c>
      <c r="AD1144">
        <f>IMDIV(IMSUB(AB1144,AC1144),"2")</f>
        <v>0</v>
      </c>
      <c r="AE1144" s="6">
        <f>IMABS(AB1144)</f>
        <v>0</v>
      </c>
      <c r="AF1144" s="6">
        <f>IMABS(AC1144)</f>
        <v>0</v>
      </c>
      <c r="AG1144" s="6">
        <f>IMABS(AD1144)</f>
        <v>0</v>
      </c>
      <c r="AH1144" s="7">
        <f>20*LOG10(MAX(AE1144,1E-300)*1E6)</f>
        <v>0</v>
      </c>
      <c r="AI1144" s="7">
        <f>20*LOG10(MAX(AF1144,1E-300)*1E6)</f>
        <v>0</v>
      </c>
      <c r="AJ1144" s="7">
        <f>20*LOG10(MAX(AG1144,1E-300)*1E6)</f>
        <v>0</v>
      </c>
      <c r="AK1144" s="7">
        <f>DEGREES(IMARGUMENT(AB1144))</f>
        <v>0</v>
      </c>
      <c r="AL1144" s="7">
        <f>DEGREES(IMARGUMENT(AC1144))</f>
        <v>0</v>
      </c>
      <c r="AM1144" s="7">
        <f>DEGREES(IMARGUMENT(AD1144))</f>
        <v>0</v>
      </c>
    </row>
    <row r="1145" spans="1:39">
      <c r="A1145" s="6">
        <f>10^(LOG10(F_START)+(ROW()-ROW($A$2))*(LOG10(F_STOP)-LOG10(F_START))/(N_POINTS-1))</f>
        <v>0</v>
      </c>
      <c r="B1145" s="6">
        <f>2*PI()*A1145</f>
        <v>0</v>
      </c>
      <c r="C1145">
        <f>COMPLEX(2*LINE_PS_DCR,2*B1145*LINE_PS_L)</f>
        <v>0</v>
      </c>
      <c r="D1145">
        <f>IMSUM(COMPLEX(0,B1145*(LINE_PS_CLINE+LINE_PS_CCHA/2)),IMDIV("1",IMPRODUCT("2",COMPLEX(C_THROUGH_ESR,B1145*C_THROUGH_ESL-1/(B1145*C_THROUGH_C)))))</f>
        <v>0</v>
      </c>
      <c r="E1145">
        <f>COMPLEX(2*LINE_INPUT_DCR,2*B1145*LINE_INPUT_L)</f>
        <v>0</v>
      </c>
      <c r="F1145">
        <f>COMPLEX(0,B1145*(LINE_INPUT_CLINE+LINE_INPUT_CCHA/2))</f>
        <v>0</v>
      </c>
      <c r="G1145">
        <f>IMPRODUCT("2",IMDIV("1",IMSUM(IMDIV("1",COMPLEX(LDM1_DCR,B1145*LDM1_L)),COMPLEX(0,B1145*LDM1_CPA))))</f>
        <v>0</v>
      </c>
      <c r="H1145">
        <f>IMSUM(IMDIV("1",COMPLEX(CX1_ESR,B1145*CX1_ESL-1/(B1145*CX1_C))),IMDIV("1",IMSUM(COMPLEX(DUMP1_R,0),COMPLEX(DUMP1_ESR,B1145*DUMP1_ESL-1/(B1145*DUMP1_C)))))</f>
        <v>0</v>
      </c>
      <c r="I1145">
        <f>IMPRODUCT("2",IMDIV("1",IMSUM(IMDIV("1",COMPLEX(LDM2_DCR,B1145*LDM2_L)),COMPLEX(0,B1145*LDM2_CPA))))</f>
        <v>0</v>
      </c>
      <c r="J1145">
        <f>IMSUM(IMDIV("1",COMPLEX(CX2_ESR,B1145*CX2_ESL-1/(B1145*CX2_C))),IMDIV("1",IMSUM(COMPLEX(DUMP2_R,0),COMPLEX(DUMP2_ESR,B1145*DUMP2_ESL-1/(B1145*DUMP2_C)))))</f>
        <v>0</v>
      </c>
      <c r="K1145">
        <f>IMPRODUCT("2",IMDIV("1",IMSUM(IMDIV("1",COMPLEX(CMC_DCR,B1145*CMC_L*(1-CMC_K))),COMPLEX(0,B1145*CMC_CPA))))</f>
        <v>0</v>
      </c>
      <c r="L1145">
        <f>IMSUM(COMPLEX(0,B1145*CMC_CLINE),IMDIV("1",IMPRODUCT("2",COMPLEX(CY_ESR,B1145*CY_ESL-1/(B1145*CY_C)))),COMPLEX(1/DUMMY_R,0))</f>
        <v>0</v>
      </c>
      <c r="M1145">
        <f>IMSUM(D1145,IMDIV("1",C1145))</f>
        <v>0</v>
      </c>
      <c r="N1145">
        <f>IMDIV("1",IMSUM(E1145,IMDIV("1",M1145)))</f>
        <v>0</v>
      </c>
      <c r="O1145">
        <f>IMSUM(F1145,N1145)</f>
        <v>0</v>
      </c>
      <c r="P1145">
        <f>IMDIV("1",IMSUM(G1145,IMDIV("1",O1145)))</f>
        <v>0</v>
      </c>
      <c r="Q1145">
        <f>IMSUM(H1145,P1145)</f>
        <v>0</v>
      </c>
      <c r="R1145">
        <f>IMDIV("1",IMSUM(I1145,IMDIV("1",Q1145)))</f>
        <v>0</v>
      </c>
      <c r="S1145">
        <f>IMSUM(J1145,R1145)</f>
        <v>0</v>
      </c>
      <c r="T1145">
        <f>IMDIV("1",IMSUM(K1145,IMDIV("1",S1145)))</f>
        <v>0</v>
      </c>
      <c r="U1145">
        <f>IMSUM(L1145,T1145)</f>
        <v>0</v>
      </c>
      <c r="V1145">
        <f>IMDIV(COMPLEX(I_DM_SOURCE,0),U1145)</f>
        <v>0</v>
      </c>
      <c r="W1145">
        <f>IMPRODUCT(V1145,T1145)</f>
        <v>0</v>
      </c>
      <c r="X1145">
        <f>IMDIV(W1145,S1145)</f>
        <v>0</v>
      </c>
      <c r="Y1145">
        <f>IMPRODUCT(X1145,R1145)</f>
        <v>0</v>
      </c>
      <c r="Z1145">
        <f>IMDIV(Y1145,Q1145)</f>
        <v>0</v>
      </c>
      <c r="AA1145">
        <f>IMPRODUCT(Z1145,P1145)</f>
        <v>0</v>
      </c>
      <c r="AB1145">
        <f>AA1145</f>
        <v>0</v>
      </c>
      <c r="AC1145">
        <f>IMPRODUCT("-1",AB1145)</f>
        <v>0</v>
      </c>
      <c r="AD1145">
        <f>IMDIV(IMSUB(AB1145,AC1145),"2")</f>
        <v>0</v>
      </c>
      <c r="AE1145" s="6">
        <f>IMABS(AB1145)</f>
        <v>0</v>
      </c>
      <c r="AF1145" s="6">
        <f>IMABS(AC1145)</f>
        <v>0</v>
      </c>
      <c r="AG1145" s="6">
        <f>IMABS(AD1145)</f>
        <v>0</v>
      </c>
      <c r="AH1145" s="7">
        <f>20*LOG10(MAX(AE1145,1E-300)*1E6)</f>
        <v>0</v>
      </c>
      <c r="AI1145" s="7">
        <f>20*LOG10(MAX(AF1145,1E-300)*1E6)</f>
        <v>0</v>
      </c>
      <c r="AJ1145" s="7">
        <f>20*LOG10(MAX(AG1145,1E-300)*1E6)</f>
        <v>0</v>
      </c>
      <c r="AK1145" s="7">
        <f>DEGREES(IMARGUMENT(AB1145))</f>
        <v>0</v>
      </c>
      <c r="AL1145" s="7">
        <f>DEGREES(IMARGUMENT(AC1145))</f>
        <v>0</v>
      </c>
      <c r="AM1145" s="7">
        <f>DEGREES(IMARGUMENT(AD1145))</f>
        <v>0</v>
      </c>
    </row>
    <row r="1146" spans="1:39">
      <c r="A1146" s="6">
        <f>10^(LOG10(F_START)+(ROW()-ROW($A$2))*(LOG10(F_STOP)-LOG10(F_START))/(N_POINTS-1))</f>
        <v>0</v>
      </c>
      <c r="B1146" s="6">
        <f>2*PI()*A1146</f>
        <v>0</v>
      </c>
      <c r="C1146">
        <f>COMPLEX(2*LINE_PS_DCR,2*B1146*LINE_PS_L)</f>
        <v>0</v>
      </c>
      <c r="D1146">
        <f>IMSUM(COMPLEX(0,B1146*(LINE_PS_CLINE+LINE_PS_CCHA/2)),IMDIV("1",IMPRODUCT("2",COMPLEX(C_THROUGH_ESR,B1146*C_THROUGH_ESL-1/(B1146*C_THROUGH_C)))))</f>
        <v>0</v>
      </c>
      <c r="E1146">
        <f>COMPLEX(2*LINE_INPUT_DCR,2*B1146*LINE_INPUT_L)</f>
        <v>0</v>
      </c>
      <c r="F1146">
        <f>COMPLEX(0,B1146*(LINE_INPUT_CLINE+LINE_INPUT_CCHA/2))</f>
        <v>0</v>
      </c>
      <c r="G1146">
        <f>IMPRODUCT("2",IMDIV("1",IMSUM(IMDIV("1",COMPLEX(LDM1_DCR,B1146*LDM1_L)),COMPLEX(0,B1146*LDM1_CPA))))</f>
        <v>0</v>
      </c>
      <c r="H1146">
        <f>IMSUM(IMDIV("1",COMPLEX(CX1_ESR,B1146*CX1_ESL-1/(B1146*CX1_C))),IMDIV("1",IMSUM(COMPLEX(DUMP1_R,0),COMPLEX(DUMP1_ESR,B1146*DUMP1_ESL-1/(B1146*DUMP1_C)))))</f>
        <v>0</v>
      </c>
      <c r="I1146">
        <f>IMPRODUCT("2",IMDIV("1",IMSUM(IMDIV("1",COMPLEX(LDM2_DCR,B1146*LDM2_L)),COMPLEX(0,B1146*LDM2_CPA))))</f>
        <v>0</v>
      </c>
      <c r="J1146">
        <f>IMSUM(IMDIV("1",COMPLEX(CX2_ESR,B1146*CX2_ESL-1/(B1146*CX2_C))),IMDIV("1",IMSUM(COMPLEX(DUMP2_R,0),COMPLEX(DUMP2_ESR,B1146*DUMP2_ESL-1/(B1146*DUMP2_C)))))</f>
        <v>0</v>
      </c>
      <c r="K1146">
        <f>IMPRODUCT("2",IMDIV("1",IMSUM(IMDIV("1",COMPLEX(CMC_DCR,B1146*CMC_L*(1-CMC_K))),COMPLEX(0,B1146*CMC_CPA))))</f>
        <v>0</v>
      </c>
      <c r="L1146">
        <f>IMSUM(COMPLEX(0,B1146*CMC_CLINE),IMDIV("1",IMPRODUCT("2",COMPLEX(CY_ESR,B1146*CY_ESL-1/(B1146*CY_C)))),COMPLEX(1/DUMMY_R,0))</f>
        <v>0</v>
      </c>
      <c r="M1146">
        <f>IMSUM(D1146,IMDIV("1",C1146))</f>
        <v>0</v>
      </c>
      <c r="N1146">
        <f>IMDIV("1",IMSUM(E1146,IMDIV("1",M1146)))</f>
        <v>0</v>
      </c>
      <c r="O1146">
        <f>IMSUM(F1146,N1146)</f>
        <v>0</v>
      </c>
      <c r="P1146">
        <f>IMDIV("1",IMSUM(G1146,IMDIV("1",O1146)))</f>
        <v>0</v>
      </c>
      <c r="Q1146">
        <f>IMSUM(H1146,P1146)</f>
        <v>0</v>
      </c>
      <c r="R1146">
        <f>IMDIV("1",IMSUM(I1146,IMDIV("1",Q1146)))</f>
        <v>0</v>
      </c>
      <c r="S1146">
        <f>IMSUM(J1146,R1146)</f>
        <v>0</v>
      </c>
      <c r="T1146">
        <f>IMDIV("1",IMSUM(K1146,IMDIV("1",S1146)))</f>
        <v>0</v>
      </c>
      <c r="U1146">
        <f>IMSUM(L1146,T1146)</f>
        <v>0</v>
      </c>
      <c r="V1146">
        <f>IMDIV(COMPLEX(I_DM_SOURCE,0),U1146)</f>
        <v>0</v>
      </c>
      <c r="W1146">
        <f>IMPRODUCT(V1146,T1146)</f>
        <v>0</v>
      </c>
      <c r="X1146">
        <f>IMDIV(W1146,S1146)</f>
        <v>0</v>
      </c>
      <c r="Y1146">
        <f>IMPRODUCT(X1146,R1146)</f>
        <v>0</v>
      </c>
      <c r="Z1146">
        <f>IMDIV(Y1146,Q1146)</f>
        <v>0</v>
      </c>
      <c r="AA1146">
        <f>IMPRODUCT(Z1146,P1146)</f>
        <v>0</v>
      </c>
      <c r="AB1146">
        <f>AA1146</f>
        <v>0</v>
      </c>
      <c r="AC1146">
        <f>IMPRODUCT("-1",AB1146)</f>
        <v>0</v>
      </c>
      <c r="AD1146">
        <f>IMDIV(IMSUB(AB1146,AC1146),"2")</f>
        <v>0</v>
      </c>
      <c r="AE1146" s="6">
        <f>IMABS(AB1146)</f>
        <v>0</v>
      </c>
      <c r="AF1146" s="6">
        <f>IMABS(AC1146)</f>
        <v>0</v>
      </c>
      <c r="AG1146" s="6">
        <f>IMABS(AD1146)</f>
        <v>0</v>
      </c>
      <c r="AH1146" s="7">
        <f>20*LOG10(MAX(AE1146,1E-300)*1E6)</f>
        <v>0</v>
      </c>
      <c r="AI1146" s="7">
        <f>20*LOG10(MAX(AF1146,1E-300)*1E6)</f>
        <v>0</v>
      </c>
      <c r="AJ1146" s="7">
        <f>20*LOG10(MAX(AG1146,1E-300)*1E6)</f>
        <v>0</v>
      </c>
      <c r="AK1146" s="7">
        <f>DEGREES(IMARGUMENT(AB1146))</f>
        <v>0</v>
      </c>
      <c r="AL1146" s="7">
        <f>DEGREES(IMARGUMENT(AC1146))</f>
        <v>0</v>
      </c>
      <c r="AM1146" s="7">
        <f>DEGREES(IMARGUMENT(AD1146))</f>
        <v>0</v>
      </c>
    </row>
    <row r="1147" spans="1:39">
      <c r="A1147" s="6">
        <f>10^(LOG10(F_START)+(ROW()-ROW($A$2))*(LOG10(F_STOP)-LOG10(F_START))/(N_POINTS-1))</f>
        <v>0</v>
      </c>
      <c r="B1147" s="6">
        <f>2*PI()*A1147</f>
        <v>0</v>
      </c>
      <c r="C1147">
        <f>COMPLEX(2*LINE_PS_DCR,2*B1147*LINE_PS_L)</f>
        <v>0</v>
      </c>
      <c r="D1147">
        <f>IMSUM(COMPLEX(0,B1147*(LINE_PS_CLINE+LINE_PS_CCHA/2)),IMDIV("1",IMPRODUCT("2",COMPLEX(C_THROUGH_ESR,B1147*C_THROUGH_ESL-1/(B1147*C_THROUGH_C)))))</f>
        <v>0</v>
      </c>
      <c r="E1147">
        <f>COMPLEX(2*LINE_INPUT_DCR,2*B1147*LINE_INPUT_L)</f>
        <v>0</v>
      </c>
      <c r="F1147">
        <f>COMPLEX(0,B1147*(LINE_INPUT_CLINE+LINE_INPUT_CCHA/2))</f>
        <v>0</v>
      </c>
      <c r="G1147">
        <f>IMPRODUCT("2",IMDIV("1",IMSUM(IMDIV("1",COMPLEX(LDM1_DCR,B1147*LDM1_L)),COMPLEX(0,B1147*LDM1_CPA))))</f>
        <v>0</v>
      </c>
      <c r="H1147">
        <f>IMSUM(IMDIV("1",COMPLEX(CX1_ESR,B1147*CX1_ESL-1/(B1147*CX1_C))),IMDIV("1",IMSUM(COMPLEX(DUMP1_R,0),COMPLEX(DUMP1_ESR,B1147*DUMP1_ESL-1/(B1147*DUMP1_C)))))</f>
        <v>0</v>
      </c>
      <c r="I1147">
        <f>IMPRODUCT("2",IMDIV("1",IMSUM(IMDIV("1",COMPLEX(LDM2_DCR,B1147*LDM2_L)),COMPLEX(0,B1147*LDM2_CPA))))</f>
        <v>0</v>
      </c>
      <c r="J1147">
        <f>IMSUM(IMDIV("1",COMPLEX(CX2_ESR,B1147*CX2_ESL-1/(B1147*CX2_C))),IMDIV("1",IMSUM(COMPLEX(DUMP2_R,0),COMPLEX(DUMP2_ESR,B1147*DUMP2_ESL-1/(B1147*DUMP2_C)))))</f>
        <v>0</v>
      </c>
      <c r="K1147">
        <f>IMPRODUCT("2",IMDIV("1",IMSUM(IMDIV("1",COMPLEX(CMC_DCR,B1147*CMC_L*(1-CMC_K))),COMPLEX(0,B1147*CMC_CPA))))</f>
        <v>0</v>
      </c>
      <c r="L1147">
        <f>IMSUM(COMPLEX(0,B1147*CMC_CLINE),IMDIV("1",IMPRODUCT("2",COMPLEX(CY_ESR,B1147*CY_ESL-1/(B1147*CY_C)))),COMPLEX(1/DUMMY_R,0))</f>
        <v>0</v>
      </c>
      <c r="M1147">
        <f>IMSUM(D1147,IMDIV("1",C1147))</f>
        <v>0</v>
      </c>
      <c r="N1147">
        <f>IMDIV("1",IMSUM(E1147,IMDIV("1",M1147)))</f>
        <v>0</v>
      </c>
      <c r="O1147">
        <f>IMSUM(F1147,N1147)</f>
        <v>0</v>
      </c>
      <c r="P1147">
        <f>IMDIV("1",IMSUM(G1147,IMDIV("1",O1147)))</f>
        <v>0</v>
      </c>
      <c r="Q1147">
        <f>IMSUM(H1147,P1147)</f>
        <v>0</v>
      </c>
      <c r="R1147">
        <f>IMDIV("1",IMSUM(I1147,IMDIV("1",Q1147)))</f>
        <v>0</v>
      </c>
      <c r="S1147">
        <f>IMSUM(J1147,R1147)</f>
        <v>0</v>
      </c>
      <c r="T1147">
        <f>IMDIV("1",IMSUM(K1147,IMDIV("1",S1147)))</f>
        <v>0</v>
      </c>
      <c r="U1147">
        <f>IMSUM(L1147,T1147)</f>
        <v>0</v>
      </c>
      <c r="V1147">
        <f>IMDIV(COMPLEX(I_DM_SOURCE,0),U1147)</f>
        <v>0</v>
      </c>
      <c r="W1147">
        <f>IMPRODUCT(V1147,T1147)</f>
        <v>0</v>
      </c>
      <c r="X1147">
        <f>IMDIV(W1147,S1147)</f>
        <v>0</v>
      </c>
      <c r="Y1147">
        <f>IMPRODUCT(X1147,R1147)</f>
        <v>0</v>
      </c>
      <c r="Z1147">
        <f>IMDIV(Y1147,Q1147)</f>
        <v>0</v>
      </c>
      <c r="AA1147">
        <f>IMPRODUCT(Z1147,P1147)</f>
        <v>0</v>
      </c>
      <c r="AB1147">
        <f>AA1147</f>
        <v>0</v>
      </c>
      <c r="AC1147">
        <f>IMPRODUCT("-1",AB1147)</f>
        <v>0</v>
      </c>
      <c r="AD1147">
        <f>IMDIV(IMSUB(AB1147,AC1147),"2")</f>
        <v>0</v>
      </c>
      <c r="AE1147" s="6">
        <f>IMABS(AB1147)</f>
        <v>0</v>
      </c>
      <c r="AF1147" s="6">
        <f>IMABS(AC1147)</f>
        <v>0</v>
      </c>
      <c r="AG1147" s="6">
        <f>IMABS(AD1147)</f>
        <v>0</v>
      </c>
      <c r="AH1147" s="7">
        <f>20*LOG10(MAX(AE1147,1E-300)*1E6)</f>
        <v>0</v>
      </c>
      <c r="AI1147" s="7">
        <f>20*LOG10(MAX(AF1147,1E-300)*1E6)</f>
        <v>0</v>
      </c>
      <c r="AJ1147" s="7">
        <f>20*LOG10(MAX(AG1147,1E-300)*1E6)</f>
        <v>0</v>
      </c>
      <c r="AK1147" s="7">
        <f>DEGREES(IMARGUMENT(AB1147))</f>
        <v>0</v>
      </c>
      <c r="AL1147" s="7">
        <f>DEGREES(IMARGUMENT(AC1147))</f>
        <v>0</v>
      </c>
      <c r="AM1147" s="7">
        <f>DEGREES(IMARGUMENT(AD1147))</f>
        <v>0</v>
      </c>
    </row>
    <row r="1148" spans="1:39">
      <c r="A1148" s="6">
        <f>10^(LOG10(F_START)+(ROW()-ROW($A$2))*(LOG10(F_STOP)-LOG10(F_START))/(N_POINTS-1))</f>
        <v>0</v>
      </c>
      <c r="B1148" s="6">
        <f>2*PI()*A1148</f>
        <v>0</v>
      </c>
      <c r="C1148">
        <f>COMPLEX(2*LINE_PS_DCR,2*B1148*LINE_PS_L)</f>
        <v>0</v>
      </c>
      <c r="D1148">
        <f>IMSUM(COMPLEX(0,B1148*(LINE_PS_CLINE+LINE_PS_CCHA/2)),IMDIV("1",IMPRODUCT("2",COMPLEX(C_THROUGH_ESR,B1148*C_THROUGH_ESL-1/(B1148*C_THROUGH_C)))))</f>
        <v>0</v>
      </c>
      <c r="E1148">
        <f>COMPLEX(2*LINE_INPUT_DCR,2*B1148*LINE_INPUT_L)</f>
        <v>0</v>
      </c>
      <c r="F1148">
        <f>COMPLEX(0,B1148*(LINE_INPUT_CLINE+LINE_INPUT_CCHA/2))</f>
        <v>0</v>
      </c>
      <c r="G1148">
        <f>IMPRODUCT("2",IMDIV("1",IMSUM(IMDIV("1",COMPLEX(LDM1_DCR,B1148*LDM1_L)),COMPLEX(0,B1148*LDM1_CPA))))</f>
        <v>0</v>
      </c>
      <c r="H1148">
        <f>IMSUM(IMDIV("1",COMPLEX(CX1_ESR,B1148*CX1_ESL-1/(B1148*CX1_C))),IMDIV("1",IMSUM(COMPLEX(DUMP1_R,0),COMPLEX(DUMP1_ESR,B1148*DUMP1_ESL-1/(B1148*DUMP1_C)))))</f>
        <v>0</v>
      </c>
      <c r="I1148">
        <f>IMPRODUCT("2",IMDIV("1",IMSUM(IMDIV("1",COMPLEX(LDM2_DCR,B1148*LDM2_L)),COMPLEX(0,B1148*LDM2_CPA))))</f>
        <v>0</v>
      </c>
      <c r="J1148">
        <f>IMSUM(IMDIV("1",COMPLEX(CX2_ESR,B1148*CX2_ESL-1/(B1148*CX2_C))),IMDIV("1",IMSUM(COMPLEX(DUMP2_R,0),COMPLEX(DUMP2_ESR,B1148*DUMP2_ESL-1/(B1148*DUMP2_C)))))</f>
        <v>0</v>
      </c>
      <c r="K1148">
        <f>IMPRODUCT("2",IMDIV("1",IMSUM(IMDIV("1",COMPLEX(CMC_DCR,B1148*CMC_L*(1-CMC_K))),COMPLEX(0,B1148*CMC_CPA))))</f>
        <v>0</v>
      </c>
      <c r="L1148">
        <f>IMSUM(COMPLEX(0,B1148*CMC_CLINE),IMDIV("1",IMPRODUCT("2",COMPLEX(CY_ESR,B1148*CY_ESL-1/(B1148*CY_C)))),COMPLEX(1/DUMMY_R,0))</f>
        <v>0</v>
      </c>
      <c r="M1148">
        <f>IMSUM(D1148,IMDIV("1",C1148))</f>
        <v>0</v>
      </c>
      <c r="N1148">
        <f>IMDIV("1",IMSUM(E1148,IMDIV("1",M1148)))</f>
        <v>0</v>
      </c>
      <c r="O1148">
        <f>IMSUM(F1148,N1148)</f>
        <v>0</v>
      </c>
      <c r="P1148">
        <f>IMDIV("1",IMSUM(G1148,IMDIV("1",O1148)))</f>
        <v>0</v>
      </c>
      <c r="Q1148">
        <f>IMSUM(H1148,P1148)</f>
        <v>0</v>
      </c>
      <c r="R1148">
        <f>IMDIV("1",IMSUM(I1148,IMDIV("1",Q1148)))</f>
        <v>0</v>
      </c>
      <c r="S1148">
        <f>IMSUM(J1148,R1148)</f>
        <v>0</v>
      </c>
      <c r="T1148">
        <f>IMDIV("1",IMSUM(K1148,IMDIV("1",S1148)))</f>
        <v>0</v>
      </c>
      <c r="U1148">
        <f>IMSUM(L1148,T1148)</f>
        <v>0</v>
      </c>
      <c r="V1148">
        <f>IMDIV(COMPLEX(I_DM_SOURCE,0),U1148)</f>
        <v>0</v>
      </c>
      <c r="W1148">
        <f>IMPRODUCT(V1148,T1148)</f>
        <v>0</v>
      </c>
      <c r="X1148">
        <f>IMDIV(W1148,S1148)</f>
        <v>0</v>
      </c>
      <c r="Y1148">
        <f>IMPRODUCT(X1148,R1148)</f>
        <v>0</v>
      </c>
      <c r="Z1148">
        <f>IMDIV(Y1148,Q1148)</f>
        <v>0</v>
      </c>
      <c r="AA1148">
        <f>IMPRODUCT(Z1148,P1148)</f>
        <v>0</v>
      </c>
      <c r="AB1148">
        <f>AA1148</f>
        <v>0</v>
      </c>
      <c r="AC1148">
        <f>IMPRODUCT("-1",AB1148)</f>
        <v>0</v>
      </c>
      <c r="AD1148">
        <f>IMDIV(IMSUB(AB1148,AC1148),"2")</f>
        <v>0</v>
      </c>
      <c r="AE1148" s="6">
        <f>IMABS(AB1148)</f>
        <v>0</v>
      </c>
      <c r="AF1148" s="6">
        <f>IMABS(AC1148)</f>
        <v>0</v>
      </c>
      <c r="AG1148" s="6">
        <f>IMABS(AD1148)</f>
        <v>0</v>
      </c>
      <c r="AH1148" s="7">
        <f>20*LOG10(MAX(AE1148,1E-300)*1E6)</f>
        <v>0</v>
      </c>
      <c r="AI1148" s="7">
        <f>20*LOG10(MAX(AF1148,1E-300)*1E6)</f>
        <v>0</v>
      </c>
      <c r="AJ1148" s="7">
        <f>20*LOG10(MAX(AG1148,1E-300)*1E6)</f>
        <v>0</v>
      </c>
      <c r="AK1148" s="7">
        <f>DEGREES(IMARGUMENT(AB1148))</f>
        <v>0</v>
      </c>
      <c r="AL1148" s="7">
        <f>DEGREES(IMARGUMENT(AC1148))</f>
        <v>0</v>
      </c>
      <c r="AM1148" s="7">
        <f>DEGREES(IMARGUMENT(AD1148))</f>
        <v>0</v>
      </c>
    </row>
    <row r="1149" spans="1:39">
      <c r="A1149" s="6">
        <f>10^(LOG10(F_START)+(ROW()-ROW($A$2))*(LOG10(F_STOP)-LOG10(F_START))/(N_POINTS-1))</f>
        <v>0</v>
      </c>
      <c r="B1149" s="6">
        <f>2*PI()*A1149</f>
        <v>0</v>
      </c>
      <c r="C1149">
        <f>COMPLEX(2*LINE_PS_DCR,2*B1149*LINE_PS_L)</f>
        <v>0</v>
      </c>
      <c r="D1149">
        <f>IMSUM(COMPLEX(0,B1149*(LINE_PS_CLINE+LINE_PS_CCHA/2)),IMDIV("1",IMPRODUCT("2",COMPLEX(C_THROUGH_ESR,B1149*C_THROUGH_ESL-1/(B1149*C_THROUGH_C)))))</f>
        <v>0</v>
      </c>
      <c r="E1149">
        <f>COMPLEX(2*LINE_INPUT_DCR,2*B1149*LINE_INPUT_L)</f>
        <v>0</v>
      </c>
      <c r="F1149">
        <f>COMPLEX(0,B1149*(LINE_INPUT_CLINE+LINE_INPUT_CCHA/2))</f>
        <v>0</v>
      </c>
      <c r="G1149">
        <f>IMPRODUCT("2",IMDIV("1",IMSUM(IMDIV("1",COMPLEX(LDM1_DCR,B1149*LDM1_L)),COMPLEX(0,B1149*LDM1_CPA))))</f>
        <v>0</v>
      </c>
      <c r="H1149">
        <f>IMSUM(IMDIV("1",COMPLEX(CX1_ESR,B1149*CX1_ESL-1/(B1149*CX1_C))),IMDIV("1",IMSUM(COMPLEX(DUMP1_R,0),COMPLEX(DUMP1_ESR,B1149*DUMP1_ESL-1/(B1149*DUMP1_C)))))</f>
        <v>0</v>
      </c>
      <c r="I1149">
        <f>IMPRODUCT("2",IMDIV("1",IMSUM(IMDIV("1",COMPLEX(LDM2_DCR,B1149*LDM2_L)),COMPLEX(0,B1149*LDM2_CPA))))</f>
        <v>0</v>
      </c>
      <c r="J1149">
        <f>IMSUM(IMDIV("1",COMPLEX(CX2_ESR,B1149*CX2_ESL-1/(B1149*CX2_C))),IMDIV("1",IMSUM(COMPLEX(DUMP2_R,0),COMPLEX(DUMP2_ESR,B1149*DUMP2_ESL-1/(B1149*DUMP2_C)))))</f>
        <v>0</v>
      </c>
      <c r="K1149">
        <f>IMPRODUCT("2",IMDIV("1",IMSUM(IMDIV("1",COMPLEX(CMC_DCR,B1149*CMC_L*(1-CMC_K))),COMPLEX(0,B1149*CMC_CPA))))</f>
        <v>0</v>
      </c>
      <c r="L1149">
        <f>IMSUM(COMPLEX(0,B1149*CMC_CLINE),IMDIV("1",IMPRODUCT("2",COMPLEX(CY_ESR,B1149*CY_ESL-1/(B1149*CY_C)))),COMPLEX(1/DUMMY_R,0))</f>
        <v>0</v>
      </c>
      <c r="M1149">
        <f>IMSUM(D1149,IMDIV("1",C1149))</f>
        <v>0</v>
      </c>
      <c r="N1149">
        <f>IMDIV("1",IMSUM(E1149,IMDIV("1",M1149)))</f>
        <v>0</v>
      </c>
      <c r="O1149">
        <f>IMSUM(F1149,N1149)</f>
        <v>0</v>
      </c>
      <c r="P1149">
        <f>IMDIV("1",IMSUM(G1149,IMDIV("1",O1149)))</f>
        <v>0</v>
      </c>
      <c r="Q1149">
        <f>IMSUM(H1149,P1149)</f>
        <v>0</v>
      </c>
      <c r="R1149">
        <f>IMDIV("1",IMSUM(I1149,IMDIV("1",Q1149)))</f>
        <v>0</v>
      </c>
      <c r="S1149">
        <f>IMSUM(J1149,R1149)</f>
        <v>0</v>
      </c>
      <c r="T1149">
        <f>IMDIV("1",IMSUM(K1149,IMDIV("1",S1149)))</f>
        <v>0</v>
      </c>
      <c r="U1149">
        <f>IMSUM(L1149,T1149)</f>
        <v>0</v>
      </c>
      <c r="V1149">
        <f>IMDIV(COMPLEX(I_DM_SOURCE,0),U1149)</f>
        <v>0</v>
      </c>
      <c r="W1149">
        <f>IMPRODUCT(V1149,T1149)</f>
        <v>0</v>
      </c>
      <c r="X1149">
        <f>IMDIV(W1149,S1149)</f>
        <v>0</v>
      </c>
      <c r="Y1149">
        <f>IMPRODUCT(X1149,R1149)</f>
        <v>0</v>
      </c>
      <c r="Z1149">
        <f>IMDIV(Y1149,Q1149)</f>
        <v>0</v>
      </c>
      <c r="AA1149">
        <f>IMPRODUCT(Z1149,P1149)</f>
        <v>0</v>
      </c>
      <c r="AB1149">
        <f>AA1149</f>
        <v>0</v>
      </c>
      <c r="AC1149">
        <f>IMPRODUCT("-1",AB1149)</f>
        <v>0</v>
      </c>
      <c r="AD1149">
        <f>IMDIV(IMSUB(AB1149,AC1149),"2")</f>
        <v>0</v>
      </c>
      <c r="AE1149" s="6">
        <f>IMABS(AB1149)</f>
        <v>0</v>
      </c>
      <c r="AF1149" s="6">
        <f>IMABS(AC1149)</f>
        <v>0</v>
      </c>
      <c r="AG1149" s="6">
        <f>IMABS(AD1149)</f>
        <v>0</v>
      </c>
      <c r="AH1149" s="7">
        <f>20*LOG10(MAX(AE1149,1E-300)*1E6)</f>
        <v>0</v>
      </c>
      <c r="AI1149" s="7">
        <f>20*LOG10(MAX(AF1149,1E-300)*1E6)</f>
        <v>0</v>
      </c>
      <c r="AJ1149" s="7">
        <f>20*LOG10(MAX(AG1149,1E-300)*1E6)</f>
        <v>0</v>
      </c>
      <c r="AK1149" s="7">
        <f>DEGREES(IMARGUMENT(AB1149))</f>
        <v>0</v>
      </c>
      <c r="AL1149" s="7">
        <f>DEGREES(IMARGUMENT(AC1149))</f>
        <v>0</v>
      </c>
      <c r="AM1149" s="7">
        <f>DEGREES(IMARGUMENT(AD1149))</f>
        <v>0</v>
      </c>
    </row>
    <row r="1150" spans="1:39">
      <c r="A1150" s="6">
        <f>10^(LOG10(F_START)+(ROW()-ROW($A$2))*(LOG10(F_STOP)-LOG10(F_START))/(N_POINTS-1))</f>
        <v>0</v>
      </c>
      <c r="B1150" s="6">
        <f>2*PI()*A1150</f>
        <v>0</v>
      </c>
      <c r="C1150">
        <f>COMPLEX(2*LINE_PS_DCR,2*B1150*LINE_PS_L)</f>
        <v>0</v>
      </c>
      <c r="D1150">
        <f>IMSUM(COMPLEX(0,B1150*(LINE_PS_CLINE+LINE_PS_CCHA/2)),IMDIV("1",IMPRODUCT("2",COMPLEX(C_THROUGH_ESR,B1150*C_THROUGH_ESL-1/(B1150*C_THROUGH_C)))))</f>
        <v>0</v>
      </c>
      <c r="E1150">
        <f>COMPLEX(2*LINE_INPUT_DCR,2*B1150*LINE_INPUT_L)</f>
        <v>0</v>
      </c>
      <c r="F1150">
        <f>COMPLEX(0,B1150*(LINE_INPUT_CLINE+LINE_INPUT_CCHA/2))</f>
        <v>0</v>
      </c>
      <c r="G1150">
        <f>IMPRODUCT("2",IMDIV("1",IMSUM(IMDIV("1",COMPLEX(LDM1_DCR,B1150*LDM1_L)),COMPLEX(0,B1150*LDM1_CPA))))</f>
        <v>0</v>
      </c>
      <c r="H1150">
        <f>IMSUM(IMDIV("1",COMPLEX(CX1_ESR,B1150*CX1_ESL-1/(B1150*CX1_C))),IMDIV("1",IMSUM(COMPLEX(DUMP1_R,0),COMPLEX(DUMP1_ESR,B1150*DUMP1_ESL-1/(B1150*DUMP1_C)))))</f>
        <v>0</v>
      </c>
      <c r="I1150">
        <f>IMPRODUCT("2",IMDIV("1",IMSUM(IMDIV("1",COMPLEX(LDM2_DCR,B1150*LDM2_L)),COMPLEX(0,B1150*LDM2_CPA))))</f>
        <v>0</v>
      </c>
      <c r="J1150">
        <f>IMSUM(IMDIV("1",COMPLEX(CX2_ESR,B1150*CX2_ESL-1/(B1150*CX2_C))),IMDIV("1",IMSUM(COMPLEX(DUMP2_R,0),COMPLEX(DUMP2_ESR,B1150*DUMP2_ESL-1/(B1150*DUMP2_C)))))</f>
        <v>0</v>
      </c>
      <c r="K1150">
        <f>IMPRODUCT("2",IMDIV("1",IMSUM(IMDIV("1",COMPLEX(CMC_DCR,B1150*CMC_L*(1-CMC_K))),COMPLEX(0,B1150*CMC_CPA))))</f>
        <v>0</v>
      </c>
      <c r="L1150">
        <f>IMSUM(COMPLEX(0,B1150*CMC_CLINE),IMDIV("1",IMPRODUCT("2",COMPLEX(CY_ESR,B1150*CY_ESL-1/(B1150*CY_C)))),COMPLEX(1/DUMMY_R,0))</f>
        <v>0</v>
      </c>
      <c r="M1150">
        <f>IMSUM(D1150,IMDIV("1",C1150))</f>
        <v>0</v>
      </c>
      <c r="N1150">
        <f>IMDIV("1",IMSUM(E1150,IMDIV("1",M1150)))</f>
        <v>0</v>
      </c>
      <c r="O1150">
        <f>IMSUM(F1150,N1150)</f>
        <v>0</v>
      </c>
      <c r="P1150">
        <f>IMDIV("1",IMSUM(G1150,IMDIV("1",O1150)))</f>
        <v>0</v>
      </c>
      <c r="Q1150">
        <f>IMSUM(H1150,P1150)</f>
        <v>0</v>
      </c>
      <c r="R1150">
        <f>IMDIV("1",IMSUM(I1150,IMDIV("1",Q1150)))</f>
        <v>0</v>
      </c>
      <c r="S1150">
        <f>IMSUM(J1150,R1150)</f>
        <v>0</v>
      </c>
      <c r="T1150">
        <f>IMDIV("1",IMSUM(K1150,IMDIV("1",S1150)))</f>
        <v>0</v>
      </c>
      <c r="U1150">
        <f>IMSUM(L1150,T1150)</f>
        <v>0</v>
      </c>
      <c r="V1150">
        <f>IMDIV(COMPLEX(I_DM_SOURCE,0),U1150)</f>
        <v>0</v>
      </c>
      <c r="W1150">
        <f>IMPRODUCT(V1150,T1150)</f>
        <v>0</v>
      </c>
      <c r="X1150">
        <f>IMDIV(W1150,S1150)</f>
        <v>0</v>
      </c>
      <c r="Y1150">
        <f>IMPRODUCT(X1150,R1150)</f>
        <v>0</v>
      </c>
      <c r="Z1150">
        <f>IMDIV(Y1150,Q1150)</f>
        <v>0</v>
      </c>
      <c r="AA1150">
        <f>IMPRODUCT(Z1150,P1150)</f>
        <v>0</v>
      </c>
      <c r="AB1150">
        <f>AA1150</f>
        <v>0</v>
      </c>
      <c r="AC1150">
        <f>IMPRODUCT("-1",AB1150)</f>
        <v>0</v>
      </c>
      <c r="AD1150">
        <f>IMDIV(IMSUB(AB1150,AC1150),"2")</f>
        <v>0</v>
      </c>
      <c r="AE1150" s="6">
        <f>IMABS(AB1150)</f>
        <v>0</v>
      </c>
      <c r="AF1150" s="6">
        <f>IMABS(AC1150)</f>
        <v>0</v>
      </c>
      <c r="AG1150" s="6">
        <f>IMABS(AD1150)</f>
        <v>0</v>
      </c>
      <c r="AH1150" s="7">
        <f>20*LOG10(MAX(AE1150,1E-300)*1E6)</f>
        <v>0</v>
      </c>
      <c r="AI1150" s="7">
        <f>20*LOG10(MAX(AF1150,1E-300)*1E6)</f>
        <v>0</v>
      </c>
      <c r="AJ1150" s="7">
        <f>20*LOG10(MAX(AG1150,1E-300)*1E6)</f>
        <v>0</v>
      </c>
      <c r="AK1150" s="7">
        <f>DEGREES(IMARGUMENT(AB1150))</f>
        <v>0</v>
      </c>
      <c r="AL1150" s="7">
        <f>DEGREES(IMARGUMENT(AC1150))</f>
        <v>0</v>
      </c>
      <c r="AM1150" s="7">
        <f>DEGREES(IMARGUMENT(AD1150))</f>
        <v>0</v>
      </c>
    </row>
    <row r="1151" spans="1:39">
      <c r="A1151" s="6">
        <f>10^(LOG10(F_START)+(ROW()-ROW($A$2))*(LOG10(F_STOP)-LOG10(F_START))/(N_POINTS-1))</f>
        <v>0</v>
      </c>
      <c r="B1151" s="6">
        <f>2*PI()*A1151</f>
        <v>0</v>
      </c>
      <c r="C1151">
        <f>COMPLEX(2*LINE_PS_DCR,2*B1151*LINE_PS_L)</f>
        <v>0</v>
      </c>
      <c r="D1151">
        <f>IMSUM(COMPLEX(0,B1151*(LINE_PS_CLINE+LINE_PS_CCHA/2)),IMDIV("1",IMPRODUCT("2",COMPLEX(C_THROUGH_ESR,B1151*C_THROUGH_ESL-1/(B1151*C_THROUGH_C)))))</f>
        <v>0</v>
      </c>
      <c r="E1151">
        <f>COMPLEX(2*LINE_INPUT_DCR,2*B1151*LINE_INPUT_L)</f>
        <v>0</v>
      </c>
      <c r="F1151">
        <f>COMPLEX(0,B1151*(LINE_INPUT_CLINE+LINE_INPUT_CCHA/2))</f>
        <v>0</v>
      </c>
      <c r="G1151">
        <f>IMPRODUCT("2",IMDIV("1",IMSUM(IMDIV("1",COMPLEX(LDM1_DCR,B1151*LDM1_L)),COMPLEX(0,B1151*LDM1_CPA))))</f>
        <v>0</v>
      </c>
      <c r="H1151">
        <f>IMSUM(IMDIV("1",COMPLEX(CX1_ESR,B1151*CX1_ESL-1/(B1151*CX1_C))),IMDIV("1",IMSUM(COMPLEX(DUMP1_R,0),COMPLEX(DUMP1_ESR,B1151*DUMP1_ESL-1/(B1151*DUMP1_C)))))</f>
        <v>0</v>
      </c>
      <c r="I1151">
        <f>IMPRODUCT("2",IMDIV("1",IMSUM(IMDIV("1",COMPLEX(LDM2_DCR,B1151*LDM2_L)),COMPLEX(0,B1151*LDM2_CPA))))</f>
        <v>0</v>
      </c>
      <c r="J1151">
        <f>IMSUM(IMDIV("1",COMPLEX(CX2_ESR,B1151*CX2_ESL-1/(B1151*CX2_C))),IMDIV("1",IMSUM(COMPLEX(DUMP2_R,0),COMPLEX(DUMP2_ESR,B1151*DUMP2_ESL-1/(B1151*DUMP2_C)))))</f>
        <v>0</v>
      </c>
      <c r="K1151">
        <f>IMPRODUCT("2",IMDIV("1",IMSUM(IMDIV("1",COMPLEX(CMC_DCR,B1151*CMC_L*(1-CMC_K))),COMPLEX(0,B1151*CMC_CPA))))</f>
        <v>0</v>
      </c>
      <c r="L1151">
        <f>IMSUM(COMPLEX(0,B1151*CMC_CLINE),IMDIV("1",IMPRODUCT("2",COMPLEX(CY_ESR,B1151*CY_ESL-1/(B1151*CY_C)))),COMPLEX(1/DUMMY_R,0))</f>
        <v>0</v>
      </c>
      <c r="M1151">
        <f>IMSUM(D1151,IMDIV("1",C1151))</f>
        <v>0</v>
      </c>
      <c r="N1151">
        <f>IMDIV("1",IMSUM(E1151,IMDIV("1",M1151)))</f>
        <v>0</v>
      </c>
      <c r="O1151">
        <f>IMSUM(F1151,N1151)</f>
        <v>0</v>
      </c>
      <c r="P1151">
        <f>IMDIV("1",IMSUM(G1151,IMDIV("1",O1151)))</f>
        <v>0</v>
      </c>
      <c r="Q1151">
        <f>IMSUM(H1151,P1151)</f>
        <v>0</v>
      </c>
      <c r="R1151">
        <f>IMDIV("1",IMSUM(I1151,IMDIV("1",Q1151)))</f>
        <v>0</v>
      </c>
      <c r="S1151">
        <f>IMSUM(J1151,R1151)</f>
        <v>0</v>
      </c>
      <c r="T1151">
        <f>IMDIV("1",IMSUM(K1151,IMDIV("1",S1151)))</f>
        <v>0</v>
      </c>
      <c r="U1151">
        <f>IMSUM(L1151,T1151)</f>
        <v>0</v>
      </c>
      <c r="V1151">
        <f>IMDIV(COMPLEX(I_DM_SOURCE,0),U1151)</f>
        <v>0</v>
      </c>
      <c r="W1151">
        <f>IMPRODUCT(V1151,T1151)</f>
        <v>0</v>
      </c>
      <c r="X1151">
        <f>IMDIV(W1151,S1151)</f>
        <v>0</v>
      </c>
      <c r="Y1151">
        <f>IMPRODUCT(X1151,R1151)</f>
        <v>0</v>
      </c>
      <c r="Z1151">
        <f>IMDIV(Y1151,Q1151)</f>
        <v>0</v>
      </c>
      <c r="AA1151">
        <f>IMPRODUCT(Z1151,P1151)</f>
        <v>0</v>
      </c>
      <c r="AB1151">
        <f>AA1151</f>
        <v>0</v>
      </c>
      <c r="AC1151">
        <f>IMPRODUCT("-1",AB1151)</f>
        <v>0</v>
      </c>
      <c r="AD1151">
        <f>IMDIV(IMSUB(AB1151,AC1151),"2")</f>
        <v>0</v>
      </c>
      <c r="AE1151" s="6">
        <f>IMABS(AB1151)</f>
        <v>0</v>
      </c>
      <c r="AF1151" s="6">
        <f>IMABS(AC1151)</f>
        <v>0</v>
      </c>
      <c r="AG1151" s="6">
        <f>IMABS(AD1151)</f>
        <v>0</v>
      </c>
      <c r="AH1151" s="7">
        <f>20*LOG10(MAX(AE1151,1E-300)*1E6)</f>
        <v>0</v>
      </c>
      <c r="AI1151" s="7">
        <f>20*LOG10(MAX(AF1151,1E-300)*1E6)</f>
        <v>0</v>
      </c>
      <c r="AJ1151" s="7">
        <f>20*LOG10(MAX(AG1151,1E-300)*1E6)</f>
        <v>0</v>
      </c>
      <c r="AK1151" s="7">
        <f>DEGREES(IMARGUMENT(AB1151))</f>
        <v>0</v>
      </c>
      <c r="AL1151" s="7">
        <f>DEGREES(IMARGUMENT(AC1151))</f>
        <v>0</v>
      </c>
      <c r="AM1151" s="7">
        <f>DEGREES(IMARGUMENT(AD1151))</f>
        <v>0</v>
      </c>
    </row>
    <row r="1152" spans="1:39">
      <c r="A1152" s="6">
        <f>10^(LOG10(F_START)+(ROW()-ROW($A$2))*(LOG10(F_STOP)-LOG10(F_START))/(N_POINTS-1))</f>
        <v>0</v>
      </c>
      <c r="B1152" s="6">
        <f>2*PI()*A1152</f>
        <v>0</v>
      </c>
      <c r="C1152">
        <f>COMPLEX(2*LINE_PS_DCR,2*B1152*LINE_PS_L)</f>
        <v>0</v>
      </c>
      <c r="D1152">
        <f>IMSUM(COMPLEX(0,B1152*(LINE_PS_CLINE+LINE_PS_CCHA/2)),IMDIV("1",IMPRODUCT("2",COMPLEX(C_THROUGH_ESR,B1152*C_THROUGH_ESL-1/(B1152*C_THROUGH_C)))))</f>
        <v>0</v>
      </c>
      <c r="E1152">
        <f>COMPLEX(2*LINE_INPUT_DCR,2*B1152*LINE_INPUT_L)</f>
        <v>0</v>
      </c>
      <c r="F1152">
        <f>COMPLEX(0,B1152*(LINE_INPUT_CLINE+LINE_INPUT_CCHA/2))</f>
        <v>0</v>
      </c>
      <c r="G1152">
        <f>IMPRODUCT("2",IMDIV("1",IMSUM(IMDIV("1",COMPLEX(LDM1_DCR,B1152*LDM1_L)),COMPLEX(0,B1152*LDM1_CPA))))</f>
        <v>0</v>
      </c>
      <c r="H1152">
        <f>IMSUM(IMDIV("1",COMPLEX(CX1_ESR,B1152*CX1_ESL-1/(B1152*CX1_C))),IMDIV("1",IMSUM(COMPLEX(DUMP1_R,0),COMPLEX(DUMP1_ESR,B1152*DUMP1_ESL-1/(B1152*DUMP1_C)))))</f>
        <v>0</v>
      </c>
      <c r="I1152">
        <f>IMPRODUCT("2",IMDIV("1",IMSUM(IMDIV("1",COMPLEX(LDM2_DCR,B1152*LDM2_L)),COMPLEX(0,B1152*LDM2_CPA))))</f>
        <v>0</v>
      </c>
      <c r="J1152">
        <f>IMSUM(IMDIV("1",COMPLEX(CX2_ESR,B1152*CX2_ESL-1/(B1152*CX2_C))),IMDIV("1",IMSUM(COMPLEX(DUMP2_R,0),COMPLEX(DUMP2_ESR,B1152*DUMP2_ESL-1/(B1152*DUMP2_C)))))</f>
        <v>0</v>
      </c>
      <c r="K1152">
        <f>IMPRODUCT("2",IMDIV("1",IMSUM(IMDIV("1",COMPLEX(CMC_DCR,B1152*CMC_L*(1-CMC_K))),COMPLEX(0,B1152*CMC_CPA))))</f>
        <v>0</v>
      </c>
      <c r="L1152">
        <f>IMSUM(COMPLEX(0,B1152*CMC_CLINE),IMDIV("1",IMPRODUCT("2",COMPLEX(CY_ESR,B1152*CY_ESL-1/(B1152*CY_C)))),COMPLEX(1/DUMMY_R,0))</f>
        <v>0</v>
      </c>
      <c r="M1152">
        <f>IMSUM(D1152,IMDIV("1",C1152))</f>
        <v>0</v>
      </c>
      <c r="N1152">
        <f>IMDIV("1",IMSUM(E1152,IMDIV("1",M1152)))</f>
        <v>0</v>
      </c>
      <c r="O1152">
        <f>IMSUM(F1152,N1152)</f>
        <v>0</v>
      </c>
      <c r="P1152">
        <f>IMDIV("1",IMSUM(G1152,IMDIV("1",O1152)))</f>
        <v>0</v>
      </c>
      <c r="Q1152">
        <f>IMSUM(H1152,P1152)</f>
        <v>0</v>
      </c>
      <c r="R1152">
        <f>IMDIV("1",IMSUM(I1152,IMDIV("1",Q1152)))</f>
        <v>0</v>
      </c>
      <c r="S1152">
        <f>IMSUM(J1152,R1152)</f>
        <v>0</v>
      </c>
      <c r="T1152">
        <f>IMDIV("1",IMSUM(K1152,IMDIV("1",S1152)))</f>
        <v>0</v>
      </c>
      <c r="U1152">
        <f>IMSUM(L1152,T1152)</f>
        <v>0</v>
      </c>
      <c r="V1152">
        <f>IMDIV(COMPLEX(I_DM_SOURCE,0),U1152)</f>
        <v>0</v>
      </c>
      <c r="W1152">
        <f>IMPRODUCT(V1152,T1152)</f>
        <v>0</v>
      </c>
      <c r="X1152">
        <f>IMDIV(W1152,S1152)</f>
        <v>0</v>
      </c>
      <c r="Y1152">
        <f>IMPRODUCT(X1152,R1152)</f>
        <v>0</v>
      </c>
      <c r="Z1152">
        <f>IMDIV(Y1152,Q1152)</f>
        <v>0</v>
      </c>
      <c r="AA1152">
        <f>IMPRODUCT(Z1152,P1152)</f>
        <v>0</v>
      </c>
      <c r="AB1152">
        <f>AA1152</f>
        <v>0</v>
      </c>
      <c r="AC1152">
        <f>IMPRODUCT("-1",AB1152)</f>
        <v>0</v>
      </c>
      <c r="AD1152">
        <f>IMDIV(IMSUB(AB1152,AC1152),"2")</f>
        <v>0</v>
      </c>
      <c r="AE1152" s="6">
        <f>IMABS(AB1152)</f>
        <v>0</v>
      </c>
      <c r="AF1152" s="6">
        <f>IMABS(AC1152)</f>
        <v>0</v>
      </c>
      <c r="AG1152" s="6">
        <f>IMABS(AD1152)</f>
        <v>0</v>
      </c>
      <c r="AH1152" s="7">
        <f>20*LOG10(MAX(AE1152,1E-300)*1E6)</f>
        <v>0</v>
      </c>
      <c r="AI1152" s="7">
        <f>20*LOG10(MAX(AF1152,1E-300)*1E6)</f>
        <v>0</v>
      </c>
      <c r="AJ1152" s="7">
        <f>20*LOG10(MAX(AG1152,1E-300)*1E6)</f>
        <v>0</v>
      </c>
      <c r="AK1152" s="7">
        <f>DEGREES(IMARGUMENT(AB1152))</f>
        <v>0</v>
      </c>
      <c r="AL1152" s="7">
        <f>DEGREES(IMARGUMENT(AC1152))</f>
        <v>0</v>
      </c>
      <c r="AM1152" s="7">
        <f>DEGREES(IMARGUMENT(AD1152))</f>
        <v>0</v>
      </c>
    </row>
    <row r="1153" spans="1:39">
      <c r="A1153" s="6">
        <f>10^(LOG10(F_START)+(ROW()-ROW($A$2))*(LOG10(F_STOP)-LOG10(F_START))/(N_POINTS-1))</f>
        <v>0</v>
      </c>
      <c r="B1153" s="6">
        <f>2*PI()*A1153</f>
        <v>0</v>
      </c>
      <c r="C1153">
        <f>COMPLEX(2*LINE_PS_DCR,2*B1153*LINE_PS_L)</f>
        <v>0</v>
      </c>
      <c r="D1153">
        <f>IMSUM(COMPLEX(0,B1153*(LINE_PS_CLINE+LINE_PS_CCHA/2)),IMDIV("1",IMPRODUCT("2",COMPLEX(C_THROUGH_ESR,B1153*C_THROUGH_ESL-1/(B1153*C_THROUGH_C)))))</f>
        <v>0</v>
      </c>
      <c r="E1153">
        <f>COMPLEX(2*LINE_INPUT_DCR,2*B1153*LINE_INPUT_L)</f>
        <v>0</v>
      </c>
      <c r="F1153">
        <f>COMPLEX(0,B1153*(LINE_INPUT_CLINE+LINE_INPUT_CCHA/2))</f>
        <v>0</v>
      </c>
      <c r="G1153">
        <f>IMPRODUCT("2",IMDIV("1",IMSUM(IMDIV("1",COMPLEX(LDM1_DCR,B1153*LDM1_L)),COMPLEX(0,B1153*LDM1_CPA))))</f>
        <v>0</v>
      </c>
      <c r="H1153">
        <f>IMSUM(IMDIV("1",COMPLEX(CX1_ESR,B1153*CX1_ESL-1/(B1153*CX1_C))),IMDIV("1",IMSUM(COMPLEX(DUMP1_R,0),COMPLEX(DUMP1_ESR,B1153*DUMP1_ESL-1/(B1153*DUMP1_C)))))</f>
        <v>0</v>
      </c>
      <c r="I1153">
        <f>IMPRODUCT("2",IMDIV("1",IMSUM(IMDIV("1",COMPLEX(LDM2_DCR,B1153*LDM2_L)),COMPLEX(0,B1153*LDM2_CPA))))</f>
        <v>0</v>
      </c>
      <c r="J1153">
        <f>IMSUM(IMDIV("1",COMPLEX(CX2_ESR,B1153*CX2_ESL-1/(B1153*CX2_C))),IMDIV("1",IMSUM(COMPLEX(DUMP2_R,0),COMPLEX(DUMP2_ESR,B1153*DUMP2_ESL-1/(B1153*DUMP2_C)))))</f>
        <v>0</v>
      </c>
      <c r="K1153">
        <f>IMPRODUCT("2",IMDIV("1",IMSUM(IMDIV("1",COMPLEX(CMC_DCR,B1153*CMC_L*(1-CMC_K))),COMPLEX(0,B1153*CMC_CPA))))</f>
        <v>0</v>
      </c>
      <c r="L1153">
        <f>IMSUM(COMPLEX(0,B1153*CMC_CLINE),IMDIV("1",IMPRODUCT("2",COMPLEX(CY_ESR,B1153*CY_ESL-1/(B1153*CY_C)))),COMPLEX(1/DUMMY_R,0))</f>
        <v>0</v>
      </c>
      <c r="M1153">
        <f>IMSUM(D1153,IMDIV("1",C1153))</f>
        <v>0</v>
      </c>
      <c r="N1153">
        <f>IMDIV("1",IMSUM(E1153,IMDIV("1",M1153)))</f>
        <v>0</v>
      </c>
      <c r="O1153">
        <f>IMSUM(F1153,N1153)</f>
        <v>0</v>
      </c>
      <c r="P1153">
        <f>IMDIV("1",IMSUM(G1153,IMDIV("1",O1153)))</f>
        <v>0</v>
      </c>
      <c r="Q1153">
        <f>IMSUM(H1153,P1153)</f>
        <v>0</v>
      </c>
      <c r="R1153">
        <f>IMDIV("1",IMSUM(I1153,IMDIV("1",Q1153)))</f>
        <v>0</v>
      </c>
      <c r="S1153">
        <f>IMSUM(J1153,R1153)</f>
        <v>0</v>
      </c>
      <c r="T1153">
        <f>IMDIV("1",IMSUM(K1153,IMDIV("1",S1153)))</f>
        <v>0</v>
      </c>
      <c r="U1153">
        <f>IMSUM(L1153,T1153)</f>
        <v>0</v>
      </c>
      <c r="V1153">
        <f>IMDIV(COMPLEX(I_DM_SOURCE,0),U1153)</f>
        <v>0</v>
      </c>
      <c r="W1153">
        <f>IMPRODUCT(V1153,T1153)</f>
        <v>0</v>
      </c>
      <c r="X1153">
        <f>IMDIV(W1153,S1153)</f>
        <v>0</v>
      </c>
      <c r="Y1153">
        <f>IMPRODUCT(X1153,R1153)</f>
        <v>0</v>
      </c>
      <c r="Z1153">
        <f>IMDIV(Y1153,Q1153)</f>
        <v>0</v>
      </c>
      <c r="AA1153">
        <f>IMPRODUCT(Z1153,P1153)</f>
        <v>0</v>
      </c>
      <c r="AB1153">
        <f>AA1153</f>
        <v>0</v>
      </c>
      <c r="AC1153">
        <f>IMPRODUCT("-1",AB1153)</f>
        <v>0</v>
      </c>
      <c r="AD1153">
        <f>IMDIV(IMSUB(AB1153,AC1153),"2")</f>
        <v>0</v>
      </c>
      <c r="AE1153" s="6">
        <f>IMABS(AB1153)</f>
        <v>0</v>
      </c>
      <c r="AF1153" s="6">
        <f>IMABS(AC1153)</f>
        <v>0</v>
      </c>
      <c r="AG1153" s="6">
        <f>IMABS(AD1153)</f>
        <v>0</v>
      </c>
      <c r="AH1153" s="7">
        <f>20*LOG10(MAX(AE1153,1E-300)*1E6)</f>
        <v>0</v>
      </c>
      <c r="AI1153" s="7">
        <f>20*LOG10(MAX(AF1153,1E-300)*1E6)</f>
        <v>0</v>
      </c>
      <c r="AJ1153" s="7">
        <f>20*LOG10(MAX(AG1153,1E-300)*1E6)</f>
        <v>0</v>
      </c>
      <c r="AK1153" s="7">
        <f>DEGREES(IMARGUMENT(AB1153))</f>
        <v>0</v>
      </c>
      <c r="AL1153" s="7">
        <f>DEGREES(IMARGUMENT(AC1153))</f>
        <v>0</v>
      </c>
      <c r="AM1153" s="7">
        <f>DEGREES(IMARGUMENT(AD1153))</f>
        <v>0</v>
      </c>
    </row>
    <row r="1154" spans="1:39">
      <c r="A1154" s="6">
        <f>10^(LOG10(F_START)+(ROW()-ROW($A$2))*(LOG10(F_STOP)-LOG10(F_START))/(N_POINTS-1))</f>
        <v>0</v>
      </c>
      <c r="B1154" s="6">
        <f>2*PI()*A1154</f>
        <v>0</v>
      </c>
      <c r="C1154">
        <f>COMPLEX(2*LINE_PS_DCR,2*B1154*LINE_PS_L)</f>
        <v>0</v>
      </c>
      <c r="D1154">
        <f>IMSUM(COMPLEX(0,B1154*(LINE_PS_CLINE+LINE_PS_CCHA/2)),IMDIV("1",IMPRODUCT("2",COMPLEX(C_THROUGH_ESR,B1154*C_THROUGH_ESL-1/(B1154*C_THROUGH_C)))))</f>
        <v>0</v>
      </c>
      <c r="E1154">
        <f>COMPLEX(2*LINE_INPUT_DCR,2*B1154*LINE_INPUT_L)</f>
        <v>0</v>
      </c>
      <c r="F1154">
        <f>COMPLEX(0,B1154*(LINE_INPUT_CLINE+LINE_INPUT_CCHA/2))</f>
        <v>0</v>
      </c>
      <c r="G1154">
        <f>IMPRODUCT("2",IMDIV("1",IMSUM(IMDIV("1",COMPLEX(LDM1_DCR,B1154*LDM1_L)),COMPLEX(0,B1154*LDM1_CPA))))</f>
        <v>0</v>
      </c>
      <c r="H1154">
        <f>IMSUM(IMDIV("1",COMPLEX(CX1_ESR,B1154*CX1_ESL-1/(B1154*CX1_C))),IMDIV("1",IMSUM(COMPLEX(DUMP1_R,0),COMPLEX(DUMP1_ESR,B1154*DUMP1_ESL-1/(B1154*DUMP1_C)))))</f>
        <v>0</v>
      </c>
      <c r="I1154">
        <f>IMPRODUCT("2",IMDIV("1",IMSUM(IMDIV("1",COMPLEX(LDM2_DCR,B1154*LDM2_L)),COMPLEX(0,B1154*LDM2_CPA))))</f>
        <v>0</v>
      </c>
      <c r="J1154">
        <f>IMSUM(IMDIV("1",COMPLEX(CX2_ESR,B1154*CX2_ESL-1/(B1154*CX2_C))),IMDIV("1",IMSUM(COMPLEX(DUMP2_R,0),COMPLEX(DUMP2_ESR,B1154*DUMP2_ESL-1/(B1154*DUMP2_C)))))</f>
        <v>0</v>
      </c>
      <c r="K1154">
        <f>IMPRODUCT("2",IMDIV("1",IMSUM(IMDIV("1",COMPLEX(CMC_DCR,B1154*CMC_L*(1-CMC_K))),COMPLEX(0,B1154*CMC_CPA))))</f>
        <v>0</v>
      </c>
      <c r="L1154">
        <f>IMSUM(COMPLEX(0,B1154*CMC_CLINE),IMDIV("1",IMPRODUCT("2",COMPLEX(CY_ESR,B1154*CY_ESL-1/(B1154*CY_C)))),COMPLEX(1/DUMMY_R,0))</f>
        <v>0</v>
      </c>
      <c r="M1154">
        <f>IMSUM(D1154,IMDIV("1",C1154))</f>
        <v>0</v>
      </c>
      <c r="N1154">
        <f>IMDIV("1",IMSUM(E1154,IMDIV("1",M1154)))</f>
        <v>0</v>
      </c>
      <c r="O1154">
        <f>IMSUM(F1154,N1154)</f>
        <v>0</v>
      </c>
      <c r="P1154">
        <f>IMDIV("1",IMSUM(G1154,IMDIV("1",O1154)))</f>
        <v>0</v>
      </c>
      <c r="Q1154">
        <f>IMSUM(H1154,P1154)</f>
        <v>0</v>
      </c>
      <c r="R1154">
        <f>IMDIV("1",IMSUM(I1154,IMDIV("1",Q1154)))</f>
        <v>0</v>
      </c>
      <c r="S1154">
        <f>IMSUM(J1154,R1154)</f>
        <v>0</v>
      </c>
      <c r="T1154">
        <f>IMDIV("1",IMSUM(K1154,IMDIV("1",S1154)))</f>
        <v>0</v>
      </c>
      <c r="U1154">
        <f>IMSUM(L1154,T1154)</f>
        <v>0</v>
      </c>
      <c r="V1154">
        <f>IMDIV(COMPLEX(I_DM_SOURCE,0),U1154)</f>
        <v>0</v>
      </c>
      <c r="W1154">
        <f>IMPRODUCT(V1154,T1154)</f>
        <v>0</v>
      </c>
      <c r="X1154">
        <f>IMDIV(W1154,S1154)</f>
        <v>0</v>
      </c>
      <c r="Y1154">
        <f>IMPRODUCT(X1154,R1154)</f>
        <v>0</v>
      </c>
      <c r="Z1154">
        <f>IMDIV(Y1154,Q1154)</f>
        <v>0</v>
      </c>
      <c r="AA1154">
        <f>IMPRODUCT(Z1154,P1154)</f>
        <v>0</v>
      </c>
      <c r="AB1154">
        <f>AA1154</f>
        <v>0</v>
      </c>
      <c r="AC1154">
        <f>IMPRODUCT("-1",AB1154)</f>
        <v>0</v>
      </c>
      <c r="AD1154">
        <f>IMDIV(IMSUB(AB1154,AC1154),"2")</f>
        <v>0</v>
      </c>
      <c r="AE1154" s="6">
        <f>IMABS(AB1154)</f>
        <v>0</v>
      </c>
      <c r="AF1154" s="6">
        <f>IMABS(AC1154)</f>
        <v>0</v>
      </c>
      <c r="AG1154" s="6">
        <f>IMABS(AD1154)</f>
        <v>0</v>
      </c>
      <c r="AH1154" s="7">
        <f>20*LOG10(MAX(AE1154,1E-300)*1E6)</f>
        <v>0</v>
      </c>
      <c r="AI1154" s="7">
        <f>20*LOG10(MAX(AF1154,1E-300)*1E6)</f>
        <v>0</v>
      </c>
      <c r="AJ1154" s="7">
        <f>20*LOG10(MAX(AG1154,1E-300)*1E6)</f>
        <v>0</v>
      </c>
      <c r="AK1154" s="7">
        <f>DEGREES(IMARGUMENT(AB1154))</f>
        <v>0</v>
      </c>
      <c r="AL1154" s="7">
        <f>DEGREES(IMARGUMENT(AC1154))</f>
        <v>0</v>
      </c>
      <c r="AM1154" s="7">
        <f>DEGREES(IMARGUMENT(AD1154))</f>
        <v>0</v>
      </c>
    </row>
    <row r="1155" spans="1:39">
      <c r="A1155" s="6">
        <f>10^(LOG10(F_START)+(ROW()-ROW($A$2))*(LOG10(F_STOP)-LOG10(F_START))/(N_POINTS-1))</f>
        <v>0</v>
      </c>
      <c r="B1155" s="6">
        <f>2*PI()*A1155</f>
        <v>0</v>
      </c>
      <c r="C1155">
        <f>COMPLEX(2*LINE_PS_DCR,2*B1155*LINE_PS_L)</f>
        <v>0</v>
      </c>
      <c r="D1155">
        <f>IMSUM(COMPLEX(0,B1155*(LINE_PS_CLINE+LINE_PS_CCHA/2)),IMDIV("1",IMPRODUCT("2",COMPLEX(C_THROUGH_ESR,B1155*C_THROUGH_ESL-1/(B1155*C_THROUGH_C)))))</f>
        <v>0</v>
      </c>
      <c r="E1155">
        <f>COMPLEX(2*LINE_INPUT_DCR,2*B1155*LINE_INPUT_L)</f>
        <v>0</v>
      </c>
      <c r="F1155">
        <f>COMPLEX(0,B1155*(LINE_INPUT_CLINE+LINE_INPUT_CCHA/2))</f>
        <v>0</v>
      </c>
      <c r="G1155">
        <f>IMPRODUCT("2",IMDIV("1",IMSUM(IMDIV("1",COMPLEX(LDM1_DCR,B1155*LDM1_L)),COMPLEX(0,B1155*LDM1_CPA))))</f>
        <v>0</v>
      </c>
      <c r="H1155">
        <f>IMSUM(IMDIV("1",COMPLEX(CX1_ESR,B1155*CX1_ESL-1/(B1155*CX1_C))),IMDIV("1",IMSUM(COMPLEX(DUMP1_R,0),COMPLEX(DUMP1_ESR,B1155*DUMP1_ESL-1/(B1155*DUMP1_C)))))</f>
        <v>0</v>
      </c>
      <c r="I1155">
        <f>IMPRODUCT("2",IMDIV("1",IMSUM(IMDIV("1",COMPLEX(LDM2_DCR,B1155*LDM2_L)),COMPLEX(0,B1155*LDM2_CPA))))</f>
        <v>0</v>
      </c>
      <c r="J1155">
        <f>IMSUM(IMDIV("1",COMPLEX(CX2_ESR,B1155*CX2_ESL-1/(B1155*CX2_C))),IMDIV("1",IMSUM(COMPLEX(DUMP2_R,0),COMPLEX(DUMP2_ESR,B1155*DUMP2_ESL-1/(B1155*DUMP2_C)))))</f>
        <v>0</v>
      </c>
      <c r="K1155">
        <f>IMPRODUCT("2",IMDIV("1",IMSUM(IMDIV("1",COMPLEX(CMC_DCR,B1155*CMC_L*(1-CMC_K))),COMPLEX(0,B1155*CMC_CPA))))</f>
        <v>0</v>
      </c>
      <c r="L1155">
        <f>IMSUM(COMPLEX(0,B1155*CMC_CLINE),IMDIV("1",IMPRODUCT("2",COMPLEX(CY_ESR,B1155*CY_ESL-1/(B1155*CY_C)))),COMPLEX(1/DUMMY_R,0))</f>
        <v>0</v>
      </c>
      <c r="M1155">
        <f>IMSUM(D1155,IMDIV("1",C1155))</f>
        <v>0</v>
      </c>
      <c r="N1155">
        <f>IMDIV("1",IMSUM(E1155,IMDIV("1",M1155)))</f>
        <v>0</v>
      </c>
      <c r="O1155">
        <f>IMSUM(F1155,N1155)</f>
        <v>0</v>
      </c>
      <c r="P1155">
        <f>IMDIV("1",IMSUM(G1155,IMDIV("1",O1155)))</f>
        <v>0</v>
      </c>
      <c r="Q1155">
        <f>IMSUM(H1155,P1155)</f>
        <v>0</v>
      </c>
      <c r="R1155">
        <f>IMDIV("1",IMSUM(I1155,IMDIV("1",Q1155)))</f>
        <v>0</v>
      </c>
      <c r="S1155">
        <f>IMSUM(J1155,R1155)</f>
        <v>0</v>
      </c>
      <c r="T1155">
        <f>IMDIV("1",IMSUM(K1155,IMDIV("1",S1155)))</f>
        <v>0</v>
      </c>
      <c r="U1155">
        <f>IMSUM(L1155,T1155)</f>
        <v>0</v>
      </c>
      <c r="V1155">
        <f>IMDIV(COMPLEX(I_DM_SOURCE,0),U1155)</f>
        <v>0</v>
      </c>
      <c r="W1155">
        <f>IMPRODUCT(V1155,T1155)</f>
        <v>0</v>
      </c>
      <c r="X1155">
        <f>IMDIV(W1155,S1155)</f>
        <v>0</v>
      </c>
      <c r="Y1155">
        <f>IMPRODUCT(X1155,R1155)</f>
        <v>0</v>
      </c>
      <c r="Z1155">
        <f>IMDIV(Y1155,Q1155)</f>
        <v>0</v>
      </c>
      <c r="AA1155">
        <f>IMPRODUCT(Z1155,P1155)</f>
        <v>0</v>
      </c>
      <c r="AB1155">
        <f>AA1155</f>
        <v>0</v>
      </c>
      <c r="AC1155">
        <f>IMPRODUCT("-1",AB1155)</f>
        <v>0</v>
      </c>
      <c r="AD1155">
        <f>IMDIV(IMSUB(AB1155,AC1155),"2")</f>
        <v>0</v>
      </c>
      <c r="AE1155" s="6">
        <f>IMABS(AB1155)</f>
        <v>0</v>
      </c>
      <c r="AF1155" s="6">
        <f>IMABS(AC1155)</f>
        <v>0</v>
      </c>
      <c r="AG1155" s="6">
        <f>IMABS(AD1155)</f>
        <v>0</v>
      </c>
      <c r="AH1155" s="7">
        <f>20*LOG10(MAX(AE1155,1E-300)*1E6)</f>
        <v>0</v>
      </c>
      <c r="AI1155" s="7">
        <f>20*LOG10(MAX(AF1155,1E-300)*1E6)</f>
        <v>0</v>
      </c>
      <c r="AJ1155" s="7">
        <f>20*LOG10(MAX(AG1155,1E-300)*1E6)</f>
        <v>0</v>
      </c>
      <c r="AK1155" s="7">
        <f>DEGREES(IMARGUMENT(AB1155))</f>
        <v>0</v>
      </c>
      <c r="AL1155" s="7">
        <f>DEGREES(IMARGUMENT(AC1155))</f>
        <v>0</v>
      </c>
      <c r="AM1155" s="7">
        <f>DEGREES(IMARGUMENT(AD1155))</f>
        <v>0</v>
      </c>
    </row>
    <row r="1156" spans="1:39">
      <c r="A1156" s="6">
        <f>10^(LOG10(F_START)+(ROW()-ROW($A$2))*(LOG10(F_STOP)-LOG10(F_START))/(N_POINTS-1))</f>
        <v>0</v>
      </c>
      <c r="B1156" s="6">
        <f>2*PI()*A1156</f>
        <v>0</v>
      </c>
      <c r="C1156">
        <f>COMPLEX(2*LINE_PS_DCR,2*B1156*LINE_PS_L)</f>
        <v>0</v>
      </c>
      <c r="D1156">
        <f>IMSUM(COMPLEX(0,B1156*(LINE_PS_CLINE+LINE_PS_CCHA/2)),IMDIV("1",IMPRODUCT("2",COMPLEX(C_THROUGH_ESR,B1156*C_THROUGH_ESL-1/(B1156*C_THROUGH_C)))))</f>
        <v>0</v>
      </c>
      <c r="E1156">
        <f>COMPLEX(2*LINE_INPUT_DCR,2*B1156*LINE_INPUT_L)</f>
        <v>0</v>
      </c>
      <c r="F1156">
        <f>COMPLEX(0,B1156*(LINE_INPUT_CLINE+LINE_INPUT_CCHA/2))</f>
        <v>0</v>
      </c>
      <c r="G1156">
        <f>IMPRODUCT("2",IMDIV("1",IMSUM(IMDIV("1",COMPLEX(LDM1_DCR,B1156*LDM1_L)),COMPLEX(0,B1156*LDM1_CPA))))</f>
        <v>0</v>
      </c>
      <c r="H1156">
        <f>IMSUM(IMDIV("1",COMPLEX(CX1_ESR,B1156*CX1_ESL-1/(B1156*CX1_C))),IMDIV("1",IMSUM(COMPLEX(DUMP1_R,0),COMPLEX(DUMP1_ESR,B1156*DUMP1_ESL-1/(B1156*DUMP1_C)))))</f>
        <v>0</v>
      </c>
      <c r="I1156">
        <f>IMPRODUCT("2",IMDIV("1",IMSUM(IMDIV("1",COMPLEX(LDM2_DCR,B1156*LDM2_L)),COMPLEX(0,B1156*LDM2_CPA))))</f>
        <v>0</v>
      </c>
      <c r="J1156">
        <f>IMSUM(IMDIV("1",COMPLEX(CX2_ESR,B1156*CX2_ESL-1/(B1156*CX2_C))),IMDIV("1",IMSUM(COMPLEX(DUMP2_R,0),COMPLEX(DUMP2_ESR,B1156*DUMP2_ESL-1/(B1156*DUMP2_C)))))</f>
        <v>0</v>
      </c>
      <c r="K1156">
        <f>IMPRODUCT("2",IMDIV("1",IMSUM(IMDIV("1",COMPLEX(CMC_DCR,B1156*CMC_L*(1-CMC_K))),COMPLEX(0,B1156*CMC_CPA))))</f>
        <v>0</v>
      </c>
      <c r="L1156">
        <f>IMSUM(COMPLEX(0,B1156*CMC_CLINE),IMDIV("1",IMPRODUCT("2",COMPLEX(CY_ESR,B1156*CY_ESL-1/(B1156*CY_C)))),COMPLEX(1/DUMMY_R,0))</f>
        <v>0</v>
      </c>
      <c r="M1156">
        <f>IMSUM(D1156,IMDIV("1",C1156))</f>
        <v>0</v>
      </c>
      <c r="N1156">
        <f>IMDIV("1",IMSUM(E1156,IMDIV("1",M1156)))</f>
        <v>0</v>
      </c>
      <c r="O1156">
        <f>IMSUM(F1156,N1156)</f>
        <v>0</v>
      </c>
      <c r="P1156">
        <f>IMDIV("1",IMSUM(G1156,IMDIV("1",O1156)))</f>
        <v>0</v>
      </c>
      <c r="Q1156">
        <f>IMSUM(H1156,P1156)</f>
        <v>0</v>
      </c>
      <c r="R1156">
        <f>IMDIV("1",IMSUM(I1156,IMDIV("1",Q1156)))</f>
        <v>0</v>
      </c>
      <c r="S1156">
        <f>IMSUM(J1156,R1156)</f>
        <v>0</v>
      </c>
      <c r="T1156">
        <f>IMDIV("1",IMSUM(K1156,IMDIV("1",S1156)))</f>
        <v>0</v>
      </c>
      <c r="U1156">
        <f>IMSUM(L1156,T1156)</f>
        <v>0</v>
      </c>
      <c r="V1156">
        <f>IMDIV(COMPLEX(I_DM_SOURCE,0),U1156)</f>
        <v>0</v>
      </c>
      <c r="W1156">
        <f>IMPRODUCT(V1156,T1156)</f>
        <v>0</v>
      </c>
      <c r="X1156">
        <f>IMDIV(W1156,S1156)</f>
        <v>0</v>
      </c>
      <c r="Y1156">
        <f>IMPRODUCT(X1156,R1156)</f>
        <v>0</v>
      </c>
      <c r="Z1156">
        <f>IMDIV(Y1156,Q1156)</f>
        <v>0</v>
      </c>
      <c r="AA1156">
        <f>IMPRODUCT(Z1156,P1156)</f>
        <v>0</v>
      </c>
      <c r="AB1156">
        <f>AA1156</f>
        <v>0</v>
      </c>
      <c r="AC1156">
        <f>IMPRODUCT("-1",AB1156)</f>
        <v>0</v>
      </c>
      <c r="AD1156">
        <f>IMDIV(IMSUB(AB1156,AC1156),"2")</f>
        <v>0</v>
      </c>
      <c r="AE1156" s="6">
        <f>IMABS(AB1156)</f>
        <v>0</v>
      </c>
      <c r="AF1156" s="6">
        <f>IMABS(AC1156)</f>
        <v>0</v>
      </c>
      <c r="AG1156" s="6">
        <f>IMABS(AD1156)</f>
        <v>0</v>
      </c>
      <c r="AH1156" s="7">
        <f>20*LOG10(MAX(AE1156,1E-300)*1E6)</f>
        <v>0</v>
      </c>
      <c r="AI1156" s="7">
        <f>20*LOG10(MAX(AF1156,1E-300)*1E6)</f>
        <v>0</v>
      </c>
      <c r="AJ1156" s="7">
        <f>20*LOG10(MAX(AG1156,1E-300)*1E6)</f>
        <v>0</v>
      </c>
      <c r="AK1156" s="7">
        <f>DEGREES(IMARGUMENT(AB1156))</f>
        <v>0</v>
      </c>
      <c r="AL1156" s="7">
        <f>DEGREES(IMARGUMENT(AC1156))</f>
        <v>0</v>
      </c>
      <c r="AM1156" s="7">
        <f>DEGREES(IMARGUMENT(AD1156))</f>
        <v>0</v>
      </c>
    </row>
    <row r="1157" spans="1:39">
      <c r="A1157" s="6">
        <f>10^(LOG10(F_START)+(ROW()-ROW($A$2))*(LOG10(F_STOP)-LOG10(F_START))/(N_POINTS-1))</f>
        <v>0</v>
      </c>
      <c r="B1157" s="6">
        <f>2*PI()*A1157</f>
        <v>0</v>
      </c>
      <c r="C1157">
        <f>COMPLEX(2*LINE_PS_DCR,2*B1157*LINE_PS_L)</f>
        <v>0</v>
      </c>
      <c r="D1157">
        <f>IMSUM(COMPLEX(0,B1157*(LINE_PS_CLINE+LINE_PS_CCHA/2)),IMDIV("1",IMPRODUCT("2",COMPLEX(C_THROUGH_ESR,B1157*C_THROUGH_ESL-1/(B1157*C_THROUGH_C)))))</f>
        <v>0</v>
      </c>
      <c r="E1157">
        <f>COMPLEX(2*LINE_INPUT_DCR,2*B1157*LINE_INPUT_L)</f>
        <v>0</v>
      </c>
      <c r="F1157">
        <f>COMPLEX(0,B1157*(LINE_INPUT_CLINE+LINE_INPUT_CCHA/2))</f>
        <v>0</v>
      </c>
      <c r="G1157">
        <f>IMPRODUCT("2",IMDIV("1",IMSUM(IMDIV("1",COMPLEX(LDM1_DCR,B1157*LDM1_L)),COMPLEX(0,B1157*LDM1_CPA))))</f>
        <v>0</v>
      </c>
      <c r="H1157">
        <f>IMSUM(IMDIV("1",COMPLEX(CX1_ESR,B1157*CX1_ESL-1/(B1157*CX1_C))),IMDIV("1",IMSUM(COMPLEX(DUMP1_R,0),COMPLEX(DUMP1_ESR,B1157*DUMP1_ESL-1/(B1157*DUMP1_C)))))</f>
        <v>0</v>
      </c>
      <c r="I1157">
        <f>IMPRODUCT("2",IMDIV("1",IMSUM(IMDIV("1",COMPLEX(LDM2_DCR,B1157*LDM2_L)),COMPLEX(0,B1157*LDM2_CPA))))</f>
        <v>0</v>
      </c>
      <c r="J1157">
        <f>IMSUM(IMDIV("1",COMPLEX(CX2_ESR,B1157*CX2_ESL-1/(B1157*CX2_C))),IMDIV("1",IMSUM(COMPLEX(DUMP2_R,0),COMPLEX(DUMP2_ESR,B1157*DUMP2_ESL-1/(B1157*DUMP2_C)))))</f>
        <v>0</v>
      </c>
      <c r="K1157">
        <f>IMPRODUCT("2",IMDIV("1",IMSUM(IMDIV("1",COMPLEX(CMC_DCR,B1157*CMC_L*(1-CMC_K))),COMPLEX(0,B1157*CMC_CPA))))</f>
        <v>0</v>
      </c>
      <c r="L1157">
        <f>IMSUM(COMPLEX(0,B1157*CMC_CLINE),IMDIV("1",IMPRODUCT("2",COMPLEX(CY_ESR,B1157*CY_ESL-1/(B1157*CY_C)))),COMPLEX(1/DUMMY_R,0))</f>
        <v>0</v>
      </c>
      <c r="M1157">
        <f>IMSUM(D1157,IMDIV("1",C1157))</f>
        <v>0</v>
      </c>
      <c r="N1157">
        <f>IMDIV("1",IMSUM(E1157,IMDIV("1",M1157)))</f>
        <v>0</v>
      </c>
      <c r="O1157">
        <f>IMSUM(F1157,N1157)</f>
        <v>0</v>
      </c>
      <c r="P1157">
        <f>IMDIV("1",IMSUM(G1157,IMDIV("1",O1157)))</f>
        <v>0</v>
      </c>
      <c r="Q1157">
        <f>IMSUM(H1157,P1157)</f>
        <v>0</v>
      </c>
      <c r="R1157">
        <f>IMDIV("1",IMSUM(I1157,IMDIV("1",Q1157)))</f>
        <v>0</v>
      </c>
      <c r="S1157">
        <f>IMSUM(J1157,R1157)</f>
        <v>0</v>
      </c>
      <c r="T1157">
        <f>IMDIV("1",IMSUM(K1157,IMDIV("1",S1157)))</f>
        <v>0</v>
      </c>
      <c r="U1157">
        <f>IMSUM(L1157,T1157)</f>
        <v>0</v>
      </c>
      <c r="V1157">
        <f>IMDIV(COMPLEX(I_DM_SOURCE,0),U1157)</f>
        <v>0</v>
      </c>
      <c r="W1157">
        <f>IMPRODUCT(V1157,T1157)</f>
        <v>0</v>
      </c>
      <c r="X1157">
        <f>IMDIV(W1157,S1157)</f>
        <v>0</v>
      </c>
      <c r="Y1157">
        <f>IMPRODUCT(X1157,R1157)</f>
        <v>0</v>
      </c>
      <c r="Z1157">
        <f>IMDIV(Y1157,Q1157)</f>
        <v>0</v>
      </c>
      <c r="AA1157">
        <f>IMPRODUCT(Z1157,P1157)</f>
        <v>0</v>
      </c>
      <c r="AB1157">
        <f>AA1157</f>
        <v>0</v>
      </c>
      <c r="AC1157">
        <f>IMPRODUCT("-1",AB1157)</f>
        <v>0</v>
      </c>
      <c r="AD1157">
        <f>IMDIV(IMSUB(AB1157,AC1157),"2")</f>
        <v>0</v>
      </c>
      <c r="AE1157" s="6">
        <f>IMABS(AB1157)</f>
        <v>0</v>
      </c>
      <c r="AF1157" s="6">
        <f>IMABS(AC1157)</f>
        <v>0</v>
      </c>
      <c r="AG1157" s="6">
        <f>IMABS(AD1157)</f>
        <v>0</v>
      </c>
      <c r="AH1157" s="7">
        <f>20*LOG10(MAX(AE1157,1E-300)*1E6)</f>
        <v>0</v>
      </c>
      <c r="AI1157" s="7">
        <f>20*LOG10(MAX(AF1157,1E-300)*1E6)</f>
        <v>0</v>
      </c>
      <c r="AJ1157" s="7">
        <f>20*LOG10(MAX(AG1157,1E-300)*1E6)</f>
        <v>0</v>
      </c>
      <c r="AK1157" s="7">
        <f>DEGREES(IMARGUMENT(AB1157))</f>
        <v>0</v>
      </c>
      <c r="AL1157" s="7">
        <f>DEGREES(IMARGUMENT(AC1157))</f>
        <v>0</v>
      </c>
      <c r="AM1157" s="7">
        <f>DEGREES(IMARGUMENT(AD1157))</f>
        <v>0</v>
      </c>
    </row>
    <row r="1158" spans="1:39">
      <c r="A1158" s="6">
        <f>10^(LOG10(F_START)+(ROW()-ROW($A$2))*(LOG10(F_STOP)-LOG10(F_START))/(N_POINTS-1))</f>
        <v>0</v>
      </c>
      <c r="B1158" s="6">
        <f>2*PI()*A1158</f>
        <v>0</v>
      </c>
      <c r="C1158">
        <f>COMPLEX(2*LINE_PS_DCR,2*B1158*LINE_PS_L)</f>
        <v>0</v>
      </c>
      <c r="D1158">
        <f>IMSUM(COMPLEX(0,B1158*(LINE_PS_CLINE+LINE_PS_CCHA/2)),IMDIV("1",IMPRODUCT("2",COMPLEX(C_THROUGH_ESR,B1158*C_THROUGH_ESL-1/(B1158*C_THROUGH_C)))))</f>
        <v>0</v>
      </c>
      <c r="E1158">
        <f>COMPLEX(2*LINE_INPUT_DCR,2*B1158*LINE_INPUT_L)</f>
        <v>0</v>
      </c>
      <c r="F1158">
        <f>COMPLEX(0,B1158*(LINE_INPUT_CLINE+LINE_INPUT_CCHA/2))</f>
        <v>0</v>
      </c>
      <c r="G1158">
        <f>IMPRODUCT("2",IMDIV("1",IMSUM(IMDIV("1",COMPLEX(LDM1_DCR,B1158*LDM1_L)),COMPLEX(0,B1158*LDM1_CPA))))</f>
        <v>0</v>
      </c>
      <c r="H1158">
        <f>IMSUM(IMDIV("1",COMPLEX(CX1_ESR,B1158*CX1_ESL-1/(B1158*CX1_C))),IMDIV("1",IMSUM(COMPLEX(DUMP1_R,0),COMPLEX(DUMP1_ESR,B1158*DUMP1_ESL-1/(B1158*DUMP1_C)))))</f>
        <v>0</v>
      </c>
      <c r="I1158">
        <f>IMPRODUCT("2",IMDIV("1",IMSUM(IMDIV("1",COMPLEX(LDM2_DCR,B1158*LDM2_L)),COMPLEX(0,B1158*LDM2_CPA))))</f>
        <v>0</v>
      </c>
      <c r="J1158">
        <f>IMSUM(IMDIV("1",COMPLEX(CX2_ESR,B1158*CX2_ESL-1/(B1158*CX2_C))),IMDIV("1",IMSUM(COMPLEX(DUMP2_R,0),COMPLEX(DUMP2_ESR,B1158*DUMP2_ESL-1/(B1158*DUMP2_C)))))</f>
        <v>0</v>
      </c>
      <c r="K1158">
        <f>IMPRODUCT("2",IMDIV("1",IMSUM(IMDIV("1",COMPLEX(CMC_DCR,B1158*CMC_L*(1-CMC_K))),COMPLEX(0,B1158*CMC_CPA))))</f>
        <v>0</v>
      </c>
      <c r="L1158">
        <f>IMSUM(COMPLEX(0,B1158*CMC_CLINE),IMDIV("1",IMPRODUCT("2",COMPLEX(CY_ESR,B1158*CY_ESL-1/(B1158*CY_C)))),COMPLEX(1/DUMMY_R,0))</f>
        <v>0</v>
      </c>
      <c r="M1158">
        <f>IMSUM(D1158,IMDIV("1",C1158))</f>
        <v>0</v>
      </c>
      <c r="N1158">
        <f>IMDIV("1",IMSUM(E1158,IMDIV("1",M1158)))</f>
        <v>0</v>
      </c>
      <c r="O1158">
        <f>IMSUM(F1158,N1158)</f>
        <v>0</v>
      </c>
      <c r="P1158">
        <f>IMDIV("1",IMSUM(G1158,IMDIV("1",O1158)))</f>
        <v>0</v>
      </c>
      <c r="Q1158">
        <f>IMSUM(H1158,P1158)</f>
        <v>0</v>
      </c>
      <c r="R1158">
        <f>IMDIV("1",IMSUM(I1158,IMDIV("1",Q1158)))</f>
        <v>0</v>
      </c>
      <c r="S1158">
        <f>IMSUM(J1158,R1158)</f>
        <v>0</v>
      </c>
      <c r="T1158">
        <f>IMDIV("1",IMSUM(K1158,IMDIV("1",S1158)))</f>
        <v>0</v>
      </c>
      <c r="U1158">
        <f>IMSUM(L1158,T1158)</f>
        <v>0</v>
      </c>
      <c r="V1158">
        <f>IMDIV(COMPLEX(I_DM_SOURCE,0),U1158)</f>
        <v>0</v>
      </c>
      <c r="W1158">
        <f>IMPRODUCT(V1158,T1158)</f>
        <v>0</v>
      </c>
      <c r="X1158">
        <f>IMDIV(W1158,S1158)</f>
        <v>0</v>
      </c>
      <c r="Y1158">
        <f>IMPRODUCT(X1158,R1158)</f>
        <v>0</v>
      </c>
      <c r="Z1158">
        <f>IMDIV(Y1158,Q1158)</f>
        <v>0</v>
      </c>
      <c r="AA1158">
        <f>IMPRODUCT(Z1158,P1158)</f>
        <v>0</v>
      </c>
      <c r="AB1158">
        <f>AA1158</f>
        <v>0</v>
      </c>
      <c r="AC1158">
        <f>IMPRODUCT("-1",AB1158)</f>
        <v>0</v>
      </c>
      <c r="AD1158">
        <f>IMDIV(IMSUB(AB1158,AC1158),"2")</f>
        <v>0</v>
      </c>
      <c r="AE1158" s="6">
        <f>IMABS(AB1158)</f>
        <v>0</v>
      </c>
      <c r="AF1158" s="6">
        <f>IMABS(AC1158)</f>
        <v>0</v>
      </c>
      <c r="AG1158" s="6">
        <f>IMABS(AD1158)</f>
        <v>0</v>
      </c>
      <c r="AH1158" s="7">
        <f>20*LOG10(MAX(AE1158,1E-300)*1E6)</f>
        <v>0</v>
      </c>
      <c r="AI1158" s="7">
        <f>20*LOG10(MAX(AF1158,1E-300)*1E6)</f>
        <v>0</v>
      </c>
      <c r="AJ1158" s="7">
        <f>20*LOG10(MAX(AG1158,1E-300)*1E6)</f>
        <v>0</v>
      </c>
      <c r="AK1158" s="7">
        <f>DEGREES(IMARGUMENT(AB1158))</f>
        <v>0</v>
      </c>
      <c r="AL1158" s="7">
        <f>DEGREES(IMARGUMENT(AC1158))</f>
        <v>0</v>
      </c>
      <c r="AM1158" s="7">
        <f>DEGREES(IMARGUMENT(AD1158))</f>
        <v>0</v>
      </c>
    </row>
    <row r="1159" spans="1:39">
      <c r="A1159" s="6">
        <f>10^(LOG10(F_START)+(ROW()-ROW($A$2))*(LOG10(F_STOP)-LOG10(F_START))/(N_POINTS-1))</f>
        <v>0</v>
      </c>
      <c r="B1159" s="6">
        <f>2*PI()*A1159</f>
        <v>0</v>
      </c>
      <c r="C1159">
        <f>COMPLEX(2*LINE_PS_DCR,2*B1159*LINE_PS_L)</f>
        <v>0</v>
      </c>
      <c r="D1159">
        <f>IMSUM(COMPLEX(0,B1159*(LINE_PS_CLINE+LINE_PS_CCHA/2)),IMDIV("1",IMPRODUCT("2",COMPLEX(C_THROUGH_ESR,B1159*C_THROUGH_ESL-1/(B1159*C_THROUGH_C)))))</f>
        <v>0</v>
      </c>
      <c r="E1159">
        <f>COMPLEX(2*LINE_INPUT_DCR,2*B1159*LINE_INPUT_L)</f>
        <v>0</v>
      </c>
      <c r="F1159">
        <f>COMPLEX(0,B1159*(LINE_INPUT_CLINE+LINE_INPUT_CCHA/2))</f>
        <v>0</v>
      </c>
      <c r="G1159">
        <f>IMPRODUCT("2",IMDIV("1",IMSUM(IMDIV("1",COMPLEX(LDM1_DCR,B1159*LDM1_L)),COMPLEX(0,B1159*LDM1_CPA))))</f>
        <v>0</v>
      </c>
      <c r="H1159">
        <f>IMSUM(IMDIV("1",COMPLEX(CX1_ESR,B1159*CX1_ESL-1/(B1159*CX1_C))),IMDIV("1",IMSUM(COMPLEX(DUMP1_R,0),COMPLEX(DUMP1_ESR,B1159*DUMP1_ESL-1/(B1159*DUMP1_C)))))</f>
        <v>0</v>
      </c>
      <c r="I1159">
        <f>IMPRODUCT("2",IMDIV("1",IMSUM(IMDIV("1",COMPLEX(LDM2_DCR,B1159*LDM2_L)),COMPLEX(0,B1159*LDM2_CPA))))</f>
        <v>0</v>
      </c>
      <c r="J1159">
        <f>IMSUM(IMDIV("1",COMPLEX(CX2_ESR,B1159*CX2_ESL-1/(B1159*CX2_C))),IMDIV("1",IMSUM(COMPLEX(DUMP2_R,0),COMPLEX(DUMP2_ESR,B1159*DUMP2_ESL-1/(B1159*DUMP2_C)))))</f>
        <v>0</v>
      </c>
      <c r="K1159">
        <f>IMPRODUCT("2",IMDIV("1",IMSUM(IMDIV("1",COMPLEX(CMC_DCR,B1159*CMC_L*(1-CMC_K))),COMPLEX(0,B1159*CMC_CPA))))</f>
        <v>0</v>
      </c>
      <c r="L1159">
        <f>IMSUM(COMPLEX(0,B1159*CMC_CLINE),IMDIV("1",IMPRODUCT("2",COMPLEX(CY_ESR,B1159*CY_ESL-1/(B1159*CY_C)))),COMPLEX(1/DUMMY_R,0))</f>
        <v>0</v>
      </c>
      <c r="M1159">
        <f>IMSUM(D1159,IMDIV("1",C1159))</f>
        <v>0</v>
      </c>
      <c r="N1159">
        <f>IMDIV("1",IMSUM(E1159,IMDIV("1",M1159)))</f>
        <v>0</v>
      </c>
      <c r="O1159">
        <f>IMSUM(F1159,N1159)</f>
        <v>0</v>
      </c>
      <c r="P1159">
        <f>IMDIV("1",IMSUM(G1159,IMDIV("1",O1159)))</f>
        <v>0</v>
      </c>
      <c r="Q1159">
        <f>IMSUM(H1159,P1159)</f>
        <v>0</v>
      </c>
      <c r="R1159">
        <f>IMDIV("1",IMSUM(I1159,IMDIV("1",Q1159)))</f>
        <v>0</v>
      </c>
      <c r="S1159">
        <f>IMSUM(J1159,R1159)</f>
        <v>0</v>
      </c>
      <c r="T1159">
        <f>IMDIV("1",IMSUM(K1159,IMDIV("1",S1159)))</f>
        <v>0</v>
      </c>
      <c r="U1159">
        <f>IMSUM(L1159,T1159)</f>
        <v>0</v>
      </c>
      <c r="V1159">
        <f>IMDIV(COMPLEX(I_DM_SOURCE,0),U1159)</f>
        <v>0</v>
      </c>
      <c r="W1159">
        <f>IMPRODUCT(V1159,T1159)</f>
        <v>0</v>
      </c>
      <c r="X1159">
        <f>IMDIV(W1159,S1159)</f>
        <v>0</v>
      </c>
      <c r="Y1159">
        <f>IMPRODUCT(X1159,R1159)</f>
        <v>0</v>
      </c>
      <c r="Z1159">
        <f>IMDIV(Y1159,Q1159)</f>
        <v>0</v>
      </c>
      <c r="AA1159">
        <f>IMPRODUCT(Z1159,P1159)</f>
        <v>0</v>
      </c>
      <c r="AB1159">
        <f>AA1159</f>
        <v>0</v>
      </c>
      <c r="AC1159">
        <f>IMPRODUCT("-1",AB1159)</f>
        <v>0</v>
      </c>
      <c r="AD1159">
        <f>IMDIV(IMSUB(AB1159,AC1159),"2")</f>
        <v>0</v>
      </c>
      <c r="AE1159" s="6">
        <f>IMABS(AB1159)</f>
        <v>0</v>
      </c>
      <c r="AF1159" s="6">
        <f>IMABS(AC1159)</f>
        <v>0</v>
      </c>
      <c r="AG1159" s="6">
        <f>IMABS(AD1159)</f>
        <v>0</v>
      </c>
      <c r="AH1159" s="7">
        <f>20*LOG10(MAX(AE1159,1E-300)*1E6)</f>
        <v>0</v>
      </c>
      <c r="AI1159" s="7">
        <f>20*LOG10(MAX(AF1159,1E-300)*1E6)</f>
        <v>0</v>
      </c>
      <c r="AJ1159" s="7">
        <f>20*LOG10(MAX(AG1159,1E-300)*1E6)</f>
        <v>0</v>
      </c>
      <c r="AK1159" s="7">
        <f>DEGREES(IMARGUMENT(AB1159))</f>
        <v>0</v>
      </c>
      <c r="AL1159" s="7">
        <f>DEGREES(IMARGUMENT(AC1159))</f>
        <v>0</v>
      </c>
      <c r="AM1159" s="7">
        <f>DEGREES(IMARGUMENT(AD1159))</f>
        <v>0</v>
      </c>
    </row>
    <row r="1160" spans="1:39">
      <c r="A1160" s="6">
        <f>10^(LOG10(F_START)+(ROW()-ROW($A$2))*(LOG10(F_STOP)-LOG10(F_START))/(N_POINTS-1))</f>
        <v>0</v>
      </c>
      <c r="B1160" s="6">
        <f>2*PI()*A1160</f>
        <v>0</v>
      </c>
      <c r="C1160">
        <f>COMPLEX(2*LINE_PS_DCR,2*B1160*LINE_PS_L)</f>
        <v>0</v>
      </c>
      <c r="D1160">
        <f>IMSUM(COMPLEX(0,B1160*(LINE_PS_CLINE+LINE_PS_CCHA/2)),IMDIV("1",IMPRODUCT("2",COMPLEX(C_THROUGH_ESR,B1160*C_THROUGH_ESL-1/(B1160*C_THROUGH_C)))))</f>
        <v>0</v>
      </c>
      <c r="E1160">
        <f>COMPLEX(2*LINE_INPUT_DCR,2*B1160*LINE_INPUT_L)</f>
        <v>0</v>
      </c>
      <c r="F1160">
        <f>COMPLEX(0,B1160*(LINE_INPUT_CLINE+LINE_INPUT_CCHA/2))</f>
        <v>0</v>
      </c>
      <c r="G1160">
        <f>IMPRODUCT("2",IMDIV("1",IMSUM(IMDIV("1",COMPLEX(LDM1_DCR,B1160*LDM1_L)),COMPLEX(0,B1160*LDM1_CPA))))</f>
        <v>0</v>
      </c>
      <c r="H1160">
        <f>IMSUM(IMDIV("1",COMPLEX(CX1_ESR,B1160*CX1_ESL-1/(B1160*CX1_C))),IMDIV("1",IMSUM(COMPLEX(DUMP1_R,0),COMPLEX(DUMP1_ESR,B1160*DUMP1_ESL-1/(B1160*DUMP1_C)))))</f>
        <v>0</v>
      </c>
      <c r="I1160">
        <f>IMPRODUCT("2",IMDIV("1",IMSUM(IMDIV("1",COMPLEX(LDM2_DCR,B1160*LDM2_L)),COMPLEX(0,B1160*LDM2_CPA))))</f>
        <v>0</v>
      </c>
      <c r="J1160">
        <f>IMSUM(IMDIV("1",COMPLEX(CX2_ESR,B1160*CX2_ESL-1/(B1160*CX2_C))),IMDIV("1",IMSUM(COMPLEX(DUMP2_R,0),COMPLEX(DUMP2_ESR,B1160*DUMP2_ESL-1/(B1160*DUMP2_C)))))</f>
        <v>0</v>
      </c>
      <c r="K1160">
        <f>IMPRODUCT("2",IMDIV("1",IMSUM(IMDIV("1",COMPLEX(CMC_DCR,B1160*CMC_L*(1-CMC_K))),COMPLEX(0,B1160*CMC_CPA))))</f>
        <v>0</v>
      </c>
      <c r="L1160">
        <f>IMSUM(COMPLEX(0,B1160*CMC_CLINE),IMDIV("1",IMPRODUCT("2",COMPLEX(CY_ESR,B1160*CY_ESL-1/(B1160*CY_C)))),COMPLEX(1/DUMMY_R,0))</f>
        <v>0</v>
      </c>
      <c r="M1160">
        <f>IMSUM(D1160,IMDIV("1",C1160))</f>
        <v>0</v>
      </c>
      <c r="N1160">
        <f>IMDIV("1",IMSUM(E1160,IMDIV("1",M1160)))</f>
        <v>0</v>
      </c>
      <c r="O1160">
        <f>IMSUM(F1160,N1160)</f>
        <v>0</v>
      </c>
      <c r="P1160">
        <f>IMDIV("1",IMSUM(G1160,IMDIV("1",O1160)))</f>
        <v>0</v>
      </c>
      <c r="Q1160">
        <f>IMSUM(H1160,P1160)</f>
        <v>0</v>
      </c>
      <c r="R1160">
        <f>IMDIV("1",IMSUM(I1160,IMDIV("1",Q1160)))</f>
        <v>0</v>
      </c>
      <c r="S1160">
        <f>IMSUM(J1160,R1160)</f>
        <v>0</v>
      </c>
      <c r="T1160">
        <f>IMDIV("1",IMSUM(K1160,IMDIV("1",S1160)))</f>
        <v>0</v>
      </c>
      <c r="U1160">
        <f>IMSUM(L1160,T1160)</f>
        <v>0</v>
      </c>
      <c r="V1160">
        <f>IMDIV(COMPLEX(I_DM_SOURCE,0),U1160)</f>
        <v>0</v>
      </c>
      <c r="W1160">
        <f>IMPRODUCT(V1160,T1160)</f>
        <v>0</v>
      </c>
      <c r="X1160">
        <f>IMDIV(W1160,S1160)</f>
        <v>0</v>
      </c>
      <c r="Y1160">
        <f>IMPRODUCT(X1160,R1160)</f>
        <v>0</v>
      </c>
      <c r="Z1160">
        <f>IMDIV(Y1160,Q1160)</f>
        <v>0</v>
      </c>
      <c r="AA1160">
        <f>IMPRODUCT(Z1160,P1160)</f>
        <v>0</v>
      </c>
      <c r="AB1160">
        <f>AA1160</f>
        <v>0</v>
      </c>
      <c r="AC1160">
        <f>IMPRODUCT("-1",AB1160)</f>
        <v>0</v>
      </c>
      <c r="AD1160">
        <f>IMDIV(IMSUB(AB1160,AC1160),"2")</f>
        <v>0</v>
      </c>
      <c r="AE1160" s="6">
        <f>IMABS(AB1160)</f>
        <v>0</v>
      </c>
      <c r="AF1160" s="6">
        <f>IMABS(AC1160)</f>
        <v>0</v>
      </c>
      <c r="AG1160" s="6">
        <f>IMABS(AD1160)</f>
        <v>0</v>
      </c>
      <c r="AH1160" s="7">
        <f>20*LOG10(MAX(AE1160,1E-300)*1E6)</f>
        <v>0</v>
      </c>
      <c r="AI1160" s="7">
        <f>20*LOG10(MAX(AF1160,1E-300)*1E6)</f>
        <v>0</v>
      </c>
      <c r="AJ1160" s="7">
        <f>20*LOG10(MAX(AG1160,1E-300)*1E6)</f>
        <v>0</v>
      </c>
      <c r="AK1160" s="7">
        <f>DEGREES(IMARGUMENT(AB1160))</f>
        <v>0</v>
      </c>
      <c r="AL1160" s="7">
        <f>DEGREES(IMARGUMENT(AC1160))</f>
        <v>0</v>
      </c>
      <c r="AM1160" s="7">
        <f>DEGREES(IMARGUMENT(AD1160))</f>
        <v>0</v>
      </c>
    </row>
    <row r="1161" spans="1:39">
      <c r="A1161" s="6">
        <f>10^(LOG10(F_START)+(ROW()-ROW($A$2))*(LOG10(F_STOP)-LOG10(F_START))/(N_POINTS-1))</f>
        <v>0</v>
      </c>
      <c r="B1161" s="6">
        <f>2*PI()*A1161</f>
        <v>0</v>
      </c>
      <c r="C1161">
        <f>COMPLEX(2*LINE_PS_DCR,2*B1161*LINE_PS_L)</f>
        <v>0</v>
      </c>
      <c r="D1161">
        <f>IMSUM(COMPLEX(0,B1161*(LINE_PS_CLINE+LINE_PS_CCHA/2)),IMDIV("1",IMPRODUCT("2",COMPLEX(C_THROUGH_ESR,B1161*C_THROUGH_ESL-1/(B1161*C_THROUGH_C)))))</f>
        <v>0</v>
      </c>
      <c r="E1161">
        <f>COMPLEX(2*LINE_INPUT_DCR,2*B1161*LINE_INPUT_L)</f>
        <v>0</v>
      </c>
      <c r="F1161">
        <f>COMPLEX(0,B1161*(LINE_INPUT_CLINE+LINE_INPUT_CCHA/2))</f>
        <v>0</v>
      </c>
      <c r="G1161">
        <f>IMPRODUCT("2",IMDIV("1",IMSUM(IMDIV("1",COMPLEX(LDM1_DCR,B1161*LDM1_L)),COMPLEX(0,B1161*LDM1_CPA))))</f>
        <v>0</v>
      </c>
      <c r="H1161">
        <f>IMSUM(IMDIV("1",COMPLEX(CX1_ESR,B1161*CX1_ESL-1/(B1161*CX1_C))),IMDIV("1",IMSUM(COMPLEX(DUMP1_R,0),COMPLEX(DUMP1_ESR,B1161*DUMP1_ESL-1/(B1161*DUMP1_C)))))</f>
        <v>0</v>
      </c>
      <c r="I1161">
        <f>IMPRODUCT("2",IMDIV("1",IMSUM(IMDIV("1",COMPLEX(LDM2_DCR,B1161*LDM2_L)),COMPLEX(0,B1161*LDM2_CPA))))</f>
        <v>0</v>
      </c>
      <c r="J1161">
        <f>IMSUM(IMDIV("1",COMPLEX(CX2_ESR,B1161*CX2_ESL-1/(B1161*CX2_C))),IMDIV("1",IMSUM(COMPLEX(DUMP2_R,0),COMPLEX(DUMP2_ESR,B1161*DUMP2_ESL-1/(B1161*DUMP2_C)))))</f>
        <v>0</v>
      </c>
      <c r="K1161">
        <f>IMPRODUCT("2",IMDIV("1",IMSUM(IMDIV("1",COMPLEX(CMC_DCR,B1161*CMC_L*(1-CMC_K))),COMPLEX(0,B1161*CMC_CPA))))</f>
        <v>0</v>
      </c>
      <c r="L1161">
        <f>IMSUM(COMPLEX(0,B1161*CMC_CLINE),IMDIV("1",IMPRODUCT("2",COMPLEX(CY_ESR,B1161*CY_ESL-1/(B1161*CY_C)))),COMPLEX(1/DUMMY_R,0))</f>
        <v>0</v>
      </c>
      <c r="M1161">
        <f>IMSUM(D1161,IMDIV("1",C1161))</f>
        <v>0</v>
      </c>
      <c r="N1161">
        <f>IMDIV("1",IMSUM(E1161,IMDIV("1",M1161)))</f>
        <v>0</v>
      </c>
      <c r="O1161">
        <f>IMSUM(F1161,N1161)</f>
        <v>0</v>
      </c>
      <c r="P1161">
        <f>IMDIV("1",IMSUM(G1161,IMDIV("1",O1161)))</f>
        <v>0</v>
      </c>
      <c r="Q1161">
        <f>IMSUM(H1161,P1161)</f>
        <v>0</v>
      </c>
      <c r="R1161">
        <f>IMDIV("1",IMSUM(I1161,IMDIV("1",Q1161)))</f>
        <v>0</v>
      </c>
      <c r="S1161">
        <f>IMSUM(J1161,R1161)</f>
        <v>0</v>
      </c>
      <c r="T1161">
        <f>IMDIV("1",IMSUM(K1161,IMDIV("1",S1161)))</f>
        <v>0</v>
      </c>
      <c r="U1161">
        <f>IMSUM(L1161,T1161)</f>
        <v>0</v>
      </c>
      <c r="V1161">
        <f>IMDIV(COMPLEX(I_DM_SOURCE,0),U1161)</f>
        <v>0</v>
      </c>
      <c r="W1161">
        <f>IMPRODUCT(V1161,T1161)</f>
        <v>0</v>
      </c>
      <c r="X1161">
        <f>IMDIV(W1161,S1161)</f>
        <v>0</v>
      </c>
      <c r="Y1161">
        <f>IMPRODUCT(X1161,R1161)</f>
        <v>0</v>
      </c>
      <c r="Z1161">
        <f>IMDIV(Y1161,Q1161)</f>
        <v>0</v>
      </c>
      <c r="AA1161">
        <f>IMPRODUCT(Z1161,P1161)</f>
        <v>0</v>
      </c>
      <c r="AB1161">
        <f>AA1161</f>
        <v>0</v>
      </c>
      <c r="AC1161">
        <f>IMPRODUCT("-1",AB1161)</f>
        <v>0</v>
      </c>
      <c r="AD1161">
        <f>IMDIV(IMSUB(AB1161,AC1161),"2")</f>
        <v>0</v>
      </c>
      <c r="AE1161" s="6">
        <f>IMABS(AB1161)</f>
        <v>0</v>
      </c>
      <c r="AF1161" s="6">
        <f>IMABS(AC1161)</f>
        <v>0</v>
      </c>
      <c r="AG1161" s="6">
        <f>IMABS(AD1161)</f>
        <v>0</v>
      </c>
      <c r="AH1161" s="7">
        <f>20*LOG10(MAX(AE1161,1E-300)*1E6)</f>
        <v>0</v>
      </c>
      <c r="AI1161" s="7">
        <f>20*LOG10(MAX(AF1161,1E-300)*1E6)</f>
        <v>0</v>
      </c>
      <c r="AJ1161" s="7">
        <f>20*LOG10(MAX(AG1161,1E-300)*1E6)</f>
        <v>0</v>
      </c>
      <c r="AK1161" s="7">
        <f>DEGREES(IMARGUMENT(AB1161))</f>
        <v>0</v>
      </c>
      <c r="AL1161" s="7">
        <f>DEGREES(IMARGUMENT(AC1161))</f>
        <v>0</v>
      </c>
      <c r="AM1161" s="7">
        <f>DEGREES(IMARGUMENT(AD1161))</f>
        <v>0</v>
      </c>
    </row>
    <row r="1162" spans="1:39">
      <c r="A1162" s="6">
        <f>10^(LOG10(F_START)+(ROW()-ROW($A$2))*(LOG10(F_STOP)-LOG10(F_START))/(N_POINTS-1))</f>
        <v>0</v>
      </c>
      <c r="B1162" s="6">
        <f>2*PI()*A1162</f>
        <v>0</v>
      </c>
      <c r="C1162">
        <f>COMPLEX(2*LINE_PS_DCR,2*B1162*LINE_PS_L)</f>
        <v>0</v>
      </c>
      <c r="D1162">
        <f>IMSUM(COMPLEX(0,B1162*(LINE_PS_CLINE+LINE_PS_CCHA/2)),IMDIV("1",IMPRODUCT("2",COMPLEX(C_THROUGH_ESR,B1162*C_THROUGH_ESL-1/(B1162*C_THROUGH_C)))))</f>
        <v>0</v>
      </c>
      <c r="E1162">
        <f>COMPLEX(2*LINE_INPUT_DCR,2*B1162*LINE_INPUT_L)</f>
        <v>0</v>
      </c>
      <c r="F1162">
        <f>COMPLEX(0,B1162*(LINE_INPUT_CLINE+LINE_INPUT_CCHA/2))</f>
        <v>0</v>
      </c>
      <c r="G1162">
        <f>IMPRODUCT("2",IMDIV("1",IMSUM(IMDIV("1",COMPLEX(LDM1_DCR,B1162*LDM1_L)),COMPLEX(0,B1162*LDM1_CPA))))</f>
        <v>0</v>
      </c>
      <c r="H1162">
        <f>IMSUM(IMDIV("1",COMPLEX(CX1_ESR,B1162*CX1_ESL-1/(B1162*CX1_C))),IMDIV("1",IMSUM(COMPLEX(DUMP1_R,0),COMPLEX(DUMP1_ESR,B1162*DUMP1_ESL-1/(B1162*DUMP1_C)))))</f>
        <v>0</v>
      </c>
      <c r="I1162">
        <f>IMPRODUCT("2",IMDIV("1",IMSUM(IMDIV("1",COMPLEX(LDM2_DCR,B1162*LDM2_L)),COMPLEX(0,B1162*LDM2_CPA))))</f>
        <v>0</v>
      </c>
      <c r="J1162">
        <f>IMSUM(IMDIV("1",COMPLEX(CX2_ESR,B1162*CX2_ESL-1/(B1162*CX2_C))),IMDIV("1",IMSUM(COMPLEX(DUMP2_R,0),COMPLEX(DUMP2_ESR,B1162*DUMP2_ESL-1/(B1162*DUMP2_C)))))</f>
        <v>0</v>
      </c>
      <c r="K1162">
        <f>IMPRODUCT("2",IMDIV("1",IMSUM(IMDIV("1",COMPLEX(CMC_DCR,B1162*CMC_L*(1-CMC_K))),COMPLEX(0,B1162*CMC_CPA))))</f>
        <v>0</v>
      </c>
      <c r="L1162">
        <f>IMSUM(COMPLEX(0,B1162*CMC_CLINE),IMDIV("1",IMPRODUCT("2",COMPLEX(CY_ESR,B1162*CY_ESL-1/(B1162*CY_C)))),COMPLEX(1/DUMMY_R,0))</f>
        <v>0</v>
      </c>
      <c r="M1162">
        <f>IMSUM(D1162,IMDIV("1",C1162))</f>
        <v>0</v>
      </c>
      <c r="N1162">
        <f>IMDIV("1",IMSUM(E1162,IMDIV("1",M1162)))</f>
        <v>0</v>
      </c>
      <c r="O1162">
        <f>IMSUM(F1162,N1162)</f>
        <v>0</v>
      </c>
      <c r="P1162">
        <f>IMDIV("1",IMSUM(G1162,IMDIV("1",O1162)))</f>
        <v>0</v>
      </c>
      <c r="Q1162">
        <f>IMSUM(H1162,P1162)</f>
        <v>0</v>
      </c>
      <c r="R1162">
        <f>IMDIV("1",IMSUM(I1162,IMDIV("1",Q1162)))</f>
        <v>0</v>
      </c>
      <c r="S1162">
        <f>IMSUM(J1162,R1162)</f>
        <v>0</v>
      </c>
      <c r="T1162">
        <f>IMDIV("1",IMSUM(K1162,IMDIV("1",S1162)))</f>
        <v>0</v>
      </c>
      <c r="U1162">
        <f>IMSUM(L1162,T1162)</f>
        <v>0</v>
      </c>
      <c r="V1162">
        <f>IMDIV(COMPLEX(I_DM_SOURCE,0),U1162)</f>
        <v>0</v>
      </c>
      <c r="W1162">
        <f>IMPRODUCT(V1162,T1162)</f>
        <v>0</v>
      </c>
      <c r="X1162">
        <f>IMDIV(W1162,S1162)</f>
        <v>0</v>
      </c>
      <c r="Y1162">
        <f>IMPRODUCT(X1162,R1162)</f>
        <v>0</v>
      </c>
      <c r="Z1162">
        <f>IMDIV(Y1162,Q1162)</f>
        <v>0</v>
      </c>
      <c r="AA1162">
        <f>IMPRODUCT(Z1162,P1162)</f>
        <v>0</v>
      </c>
      <c r="AB1162">
        <f>AA1162</f>
        <v>0</v>
      </c>
      <c r="AC1162">
        <f>IMPRODUCT("-1",AB1162)</f>
        <v>0</v>
      </c>
      <c r="AD1162">
        <f>IMDIV(IMSUB(AB1162,AC1162),"2")</f>
        <v>0</v>
      </c>
      <c r="AE1162" s="6">
        <f>IMABS(AB1162)</f>
        <v>0</v>
      </c>
      <c r="AF1162" s="6">
        <f>IMABS(AC1162)</f>
        <v>0</v>
      </c>
      <c r="AG1162" s="6">
        <f>IMABS(AD1162)</f>
        <v>0</v>
      </c>
      <c r="AH1162" s="7">
        <f>20*LOG10(MAX(AE1162,1E-300)*1E6)</f>
        <v>0</v>
      </c>
      <c r="AI1162" s="7">
        <f>20*LOG10(MAX(AF1162,1E-300)*1E6)</f>
        <v>0</v>
      </c>
      <c r="AJ1162" s="7">
        <f>20*LOG10(MAX(AG1162,1E-300)*1E6)</f>
        <v>0</v>
      </c>
      <c r="AK1162" s="7">
        <f>DEGREES(IMARGUMENT(AB1162))</f>
        <v>0</v>
      </c>
      <c r="AL1162" s="7">
        <f>DEGREES(IMARGUMENT(AC1162))</f>
        <v>0</v>
      </c>
      <c r="AM1162" s="7">
        <f>DEGREES(IMARGUMENT(AD1162))</f>
        <v>0</v>
      </c>
    </row>
    <row r="1163" spans="1:39">
      <c r="A1163" s="6">
        <f>10^(LOG10(F_START)+(ROW()-ROW($A$2))*(LOG10(F_STOP)-LOG10(F_START))/(N_POINTS-1))</f>
        <v>0</v>
      </c>
      <c r="B1163" s="6">
        <f>2*PI()*A1163</f>
        <v>0</v>
      </c>
      <c r="C1163">
        <f>COMPLEX(2*LINE_PS_DCR,2*B1163*LINE_PS_L)</f>
        <v>0</v>
      </c>
      <c r="D1163">
        <f>IMSUM(COMPLEX(0,B1163*(LINE_PS_CLINE+LINE_PS_CCHA/2)),IMDIV("1",IMPRODUCT("2",COMPLEX(C_THROUGH_ESR,B1163*C_THROUGH_ESL-1/(B1163*C_THROUGH_C)))))</f>
        <v>0</v>
      </c>
      <c r="E1163">
        <f>COMPLEX(2*LINE_INPUT_DCR,2*B1163*LINE_INPUT_L)</f>
        <v>0</v>
      </c>
      <c r="F1163">
        <f>COMPLEX(0,B1163*(LINE_INPUT_CLINE+LINE_INPUT_CCHA/2))</f>
        <v>0</v>
      </c>
      <c r="G1163">
        <f>IMPRODUCT("2",IMDIV("1",IMSUM(IMDIV("1",COMPLEX(LDM1_DCR,B1163*LDM1_L)),COMPLEX(0,B1163*LDM1_CPA))))</f>
        <v>0</v>
      </c>
      <c r="H1163">
        <f>IMSUM(IMDIV("1",COMPLEX(CX1_ESR,B1163*CX1_ESL-1/(B1163*CX1_C))),IMDIV("1",IMSUM(COMPLEX(DUMP1_R,0),COMPLEX(DUMP1_ESR,B1163*DUMP1_ESL-1/(B1163*DUMP1_C)))))</f>
        <v>0</v>
      </c>
      <c r="I1163">
        <f>IMPRODUCT("2",IMDIV("1",IMSUM(IMDIV("1",COMPLEX(LDM2_DCR,B1163*LDM2_L)),COMPLEX(0,B1163*LDM2_CPA))))</f>
        <v>0</v>
      </c>
      <c r="J1163">
        <f>IMSUM(IMDIV("1",COMPLEX(CX2_ESR,B1163*CX2_ESL-1/(B1163*CX2_C))),IMDIV("1",IMSUM(COMPLEX(DUMP2_R,0),COMPLEX(DUMP2_ESR,B1163*DUMP2_ESL-1/(B1163*DUMP2_C)))))</f>
        <v>0</v>
      </c>
      <c r="K1163">
        <f>IMPRODUCT("2",IMDIV("1",IMSUM(IMDIV("1",COMPLEX(CMC_DCR,B1163*CMC_L*(1-CMC_K))),COMPLEX(0,B1163*CMC_CPA))))</f>
        <v>0</v>
      </c>
      <c r="L1163">
        <f>IMSUM(COMPLEX(0,B1163*CMC_CLINE),IMDIV("1",IMPRODUCT("2",COMPLEX(CY_ESR,B1163*CY_ESL-1/(B1163*CY_C)))),COMPLEX(1/DUMMY_R,0))</f>
        <v>0</v>
      </c>
      <c r="M1163">
        <f>IMSUM(D1163,IMDIV("1",C1163))</f>
        <v>0</v>
      </c>
      <c r="N1163">
        <f>IMDIV("1",IMSUM(E1163,IMDIV("1",M1163)))</f>
        <v>0</v>
      </c>
      <c r="O1163">
        <f>IMSUM(F1163,N1163)</f>
        <v>0</v>
      </c>
      <c r="P1163">
        <f>IMDIV("1",IMSUM(G1163,IMDIV("1",O1163)))</f>
        <v>0</v>
      </c>
      <c r="Q1163">
        <f>IMSUM(H1163,P1163)</f>
        <v>0</v>
      </c>
      <c r="R1163">
        <f>IMDIV("1",IMSUM(I1163,IMDIV("1",Q1163)))</f>
        <v>0</v>
      </c>
      <c r="S1163">
        <f>IMSUM(J1163,R1163)</f>
        <v>0</v>
      </c>
      <c r="T1163">
        <f>IMDIV("1",IMSUM(K1163,IMDIV("1",S1163)))</f>
        <v>0</v>
      </c>
      <c r="U1163">
        <f>IMSUM(L1163,T1163)</f>
        <v>0</v>
      </c>
      <c r="V1163">
        <f>IMDIV(COMPLEX(I_DM_SOURCE,0),U1163)</f>
        <v>0</v>
      </c>
      <c r="W1163">
        <f>IMPRODUCT(V1163,T1163)</f>
        <v>0</v>
      </c>
      <c r="X1163">
        <f>IMDIV(W1163,S1163)</f>
        <v>0</v>
      </c>
      <c r="Y1163">
        <f>IMPRODUCT(X1163,R1163)</f>
        <v>0</v>
      </c>
      <c r="Z1163">
        <f>IMDIV(Y1163,Q1163)</f>
        <v>0</v>
      </c>
      <c r="AA1163">
        <f>IMPRODUCT(Z1163,P1163)</f>
        <v>0</v>
      </c>
      <c r="AB1163">
        <f>AA1163</f>
        <v>0</v>
      </c>
      <c r="AC1163">
        <f>IMPRODUCT("-1",AB1163)</f>
        <v>0</v>
      </c>
      <c r="AD1163">
        <f>IMDIV(IMSUB(AB1163,AC1163),"2")</f>
        <v>0</v>
      </c>
      <c r="AE1163" s="6">
        <f>IMABS(AB1163)</f>
        <v>0</v>
      </c>
      <c r="AF1163" s="6">
        <f>IMABS(AC1163)</f>
        <v>0</v>
      </c>
      <c r="AG1163" s="6">
        <f>IMABS(AD1163)</f>
        <v>0</v>
      </c>
      <c r="AH1163" s="7">
        <f>20*LOG10(MAX(AE1163,1E-300)*1E6)</f>
        <v>0</v>
      </c>
      <c r="AI1163" s="7">
        <f>20*LOG10(MAX(AF1163,1E-300)*1E6)</f>
        <v>0</v>
      </c>
      <c r="AJ1163" s="7">
        <f>20*LOG10(MAX(AG1163,1E-300)*1E6)</f>
        <v>0</v>
      </c>
      <c r="AK1163" s="7">
        <f>DEGREES(IMARGUMENT(AB1163))</f>
        <v>0</v>
      </c>
      <c r="AL1163" s="7">
        <f>DEGREES(IMARGUMENT(AC1163))</f>
        <v>0</v>
      </c>
      <c r="AM1163" s="7">
        <f>DEGREES(IMARGUMENT(AD1163))</f>
        <v>0</v>
      </c>
    </row>
    <row r="1164" spans="1:39">
      <c r="A1164" s="6">
        <f>10^(LOG10(F_START)+(ROW()-ROW($A$2))*(LOG10(F_STOP)-LOG10(F_START))/(N_POINTS-1))</f>
        <v>0</v>
      </c>
      <c r="B1164" s="6">
        <f>2*PI()*A1164</f>
        <v>0</v>
      </c>
      <c r="C1164">
        <f>COMPLEX(2*LINE_PS_DCR,2*B1164*LINE_PS_L)</f>
        <v>0</v>
      </c>
      <c r="D1164">
        <f>IMSUM(COMPLEX(0,B1164*(LINE_PS_CLINE+LINE_PS_CCHA/2)),IMDIV("1",IMPRODUCT("2",COMPLEX(C_THROUGH_ESR,B1164*C_THROUGH_ESL-1/(B1164*C_THROUGH_C)))))</f>
        <v>0</v>
      </c>
      <c r="E1164">
        <f>COMPLEX(2*LINE_INPUT_DCR,2*B1164*LINE_INPUT_L)</f>
        <v>0</v>
      </c>
      <c r="F1164">
        <f>COMPLEX(0,B1164*(LINE_INPUT_CLINE+LINE_INPUT_CCHA/2))</f>
        <v>0</v>
      </c>
      <c r="G1164">
        <f>IMPRODUCT("2",IMDIV("1",IMSUM(IMDIV("1",COMPLEX(LDM1_DCR,B1164*LDM1_L)),COMPLEX(0,B1164*LDM1_CPA))))</f>
        <v>0</v>
      </c>
      <c r="H1164">
        <f>IMSUM(IMDIV("1",COMPLEX(CX1_ESR,B1164*CX1_ESL-1/(B1164*CX1_C))),IMDIV("1",IMSUM(COMPLEX(DUMP1_R,0),COMPLEX(DUMP1_ESR,B1164*DUMP1_ESL-1/(B1164*DUMP1_C)))))</f>
        <v>0</v>
      </c>
      <c r="I1164">
        <f>IMPRODUCT("2",IMDIV("1",IMSUM(IMDIV("1",COMPLEX(LDM2_DCR,B1164*LDM2_L)),COMPLEX(0,B1164*LDM2_CPA))))</f>
        <v>0</v>
      </c>
      <c r="J1164">
        <f>IMSUM(IMDIV("1",COMPLEX(CX2_ESR,B1164*CX2_ESL-1/(B1164*CX2_C))),IMDIV("1",IMSUM(COMPLEX(DUMP2_R,0),COMPLEX(DUMP2_ESR,B1164*DUMP2_ESL-1/(B1164*DUMP2_C)))))</f>
        <v>0</v>
      </c>
      <c r="K1164">
        <f>IMPRODUCT("2",IMDIV("1",IMSUM(IMDIV("1",COMPLEX(CMC_DCR,B1164*CMC_L*(1-CMC_K))),COMPLEX(0,B1164*CMC_CPA))))</f>
        <v>0</v>
      </c>
      <c r="L1164">
        <f>IMSUM(COMPLEX(0,B1164*CMC_CLINE),IMDIV("1",IMPRODUCT("2",COMPLEX(CY_ESR,B1164*CY_ESL-1/(B1164*CY_C)))),COMPLEX(1/DUMMY_R,0))</f>
        <v>0</v>
      </c>
      <c r="M1164">
        <f>IMSUM(D1164,IMDIV("1",C1164))</f>
        <v>0</v>
      </c>
      <c r="N1164">
        <f>IMDIV("1",IMSUM(E1164,IMDIV("1",M1164)))</f>
        <v>0</v>
      </c>
      <c r="O1164">
        <f>IMSUM(F1164,N1164)</f>
        <v>0</v>
      </c>
      <c r="P1164">
        <f>IMDIV("1",IMSUM(G1164,IMDIV("1",O1164)))</f>
        <v>0</v>
      </c>
      <c r="Q1164">
        <f>IMSUM(H1164,P1164)</f>
        <v>0</v>
      </c>
      <c r="R1164">
        <f>IMDIV("1",IMSUM(I1164,IMDIV("1",Q1164)))</f>
        <v>0</v>
      </c>
      <c r="S1164">
        <f>IMSUM(J1164,R1164)</f>
        <v>0</v>
      </c>
      <c r="T1164">
        <f>IMDIV("1",IMSUM(K1164,IMDIV("1",S1164)))</f>
        <v>0</v>
      </c>
      <c r="U1164">
        <f>IMSUM(L1164,T1164)</f>
        <v>0</v>
      </c>
      <c r="V1164">
        <f>IMDIV(COMPLEX(I_DM_SOURCE,0),U1164)</f>
        <v>0</v>
      </c>
      <c r="W1164">
        <f>IMPRODUCT(V1164,T1164)</f>
        <v>0</v>
      </c>
      <c r="X1164">
        <f>IMDIV(W1164,S1164)</f>
        <v>0</v>
      </c>
      <c r="Y1164">
        <f>IMPRODUCT(X1164,R1164)</f>
        <v>0</v>
      </c>
      <c r="Z1164">
        <f>IMDIV(Y1164,Q1164)</f>
        <v>0</v>
      </c>
      <c r="AA1164">
        <f>IMPRODUCT(Z1164,P1164)</f>
        <v>0</v>
      </c>
      <c r="AB1164">
        <f>AA1164</f>
        <v>0</v>
      </c>
      <c r="AC1164">
        <f>IMPRODUCT("-1",AB1164)</f>
        <v>0</v>
      </c>
      <c r="AD1164">
        <f>IMDIV(IMSUB(AB1164,AC1164),"2")</f>
        <v>0</v>
      </c>
      <c r="AE1164" s="6">
        <f>IMABS(AB1164)</f>
        <v>0</v>
      </c>
      <c r="AF1164" s="6">
        <f>IMABS(AC1164)</f>
        <v>0</v>
      </c>
      <c r="AG1164" s="6">
        <f>IMABS(AD1164)</f>
        <v>0</v>
      </c>
      <c r="AH1164" s="7">
        <f>20*LOG10(MAX(AE1164,1E-300)*1E6)</f>
        <v>0</v>
      </c>
      <c r="AI1164" s="7">
        <f>20*LOG10(MAX(AF1164,1E-300)*1E6)</f>
        <v>0</v>
      </c>
      <c r="AJ1164" s="7">
        <f>20*LOG10(MAX(AG1164,1E-300)*1E6)</f>
        <v>0</v>
      </c>
      <c r="AK1164" s="7">
        <f>DEGREES(IMARGUMENT(AB1164))</f>
        <v>0</v>
      </c>
      <c r="AL1164" s="7">
        <f>DEGREES(IMARGUMENT(AC1164))</f>
        <v>0</v>
      </c>
      <c r="AM1164" s="7">
        <f>DEGREES(IMARGUMENT(AD1164))</f>
        <v>0</v>
      </c>
    </row>
    <row r="1165" spans="1:39">
      <c r="A1165" s="6">
        <f>10^(LOG10(F_START)+(ROW()-ROW($A$2))*(LOG10(F_STOP)-LOG10(F_START))/(N_POINTS-1))</f>
        <v>0</v>
      </c>
      <c r="B1165" s="6">
        <f>2*PI()*A1165</f>
        <v>0</v>
      </c>
      <c r="C1165">
        <f>COMPLEX(2*LINE_PS_DCR,2*B1165*LINE_PS_L)</f>
        <v>0</v>
      </c>
      <c r="D1165">
        <f>IMSUM(COMPLEX(0,B1165*(LINE_PS_CLINE+LINE_PS_CCHA/2)),IMDIV("1",IMPRODUCT("2",COMPLEX(C_THROUGH_ESR,B1165*C_THROUGH_ESL-1/(B1165*C_THROUGH_C)))))</f>
        <v>0</v>
      </c>
      <c r="E1165">
        <f>COMPLEX(2*LINE_INPUT_DCR,2*B1165*LINE_INPUT_L)</f>
        <v>0</v>
      </c>
      <c r="F1165">
        <f>COMPLEX(0,B1165*(LINE_INPUT_CLINE+LINE_INPUT_CCHA/2))</f>
        <v>0</v>
      </c>
      <c r="G1165">
        <f>IMPRODUCT("2",IMDIV("1",IMSUM(IMDIV("1",COMPLEX(LDM1_DCR,B1165*LDM1_L)),COMPLEX(0,B1165*LDM1_CPA))))</f>
        <v>0</v>
      </c>
      <c r="H1165">
        <f>IMSUM(IMDIV("1",COMPLEX(CX1_ESR,B1165*CX1_ESL-1/(B1165*CX1_C))),IMDIV("1",IMSUM(COMPLEX(DUMP1_R,0),COMPLEX(DUMP1_ESR,B1165*DUMP1_ESL-1/(B1165*DUMP1_C)))))</f>
        <v>0</v>
      </c>
      <c r="I1165">
        <f>IMPRODUCT("2",IMDIV("1",IMSUM(IMDIV("1",COMPLEX(LDM2_DCR,B1165*LDM2_L)),COMPLEX(0,B1165*LDM2_CPA))))</f>
        <v>0</v>
      </c>
      <c r="J1165">
        <f>IMSUM(IMDIV("1",COMPLEX(CX2_ESR,B1165*CX2_ESL-1/(B1165*CX2_C))),IMDIV("1",IMSUM(COMPLEX(DUMP2_R,0),COMPLEX(DUMP2_ESR,B1165*DUMP2_ESL-1/(B1165*DUMP2_C)))))</f>
        <v>0</v>
      </c>
      <c r="K1165">
        <f>IMPRODUCT("2",IMDIV("1",IMSUM(IMDIV("1",COMPLEX(CMC_DCR,B1165*CMC_L*(1-CMC_K))),COMPLEX(0,B1165*CMC_CPA))))</f>
        <v>0</v>
      </c>
      <c r="L1165">
        <f>IMSUM(COMPLEX(0,B1165*CMC_CLINE),IMDIV("1",IMPRODUCT("2",COMPLEX(CY_ESR,B1165*CY_ESL-1/(B1165*CY_C)))),COMPLEX(1/DUMMY_R,0))</f>
        <v>0</v>
      </c>
      <c r="M1165">
        <f>IMSUM(D1165,IMDIV("1",C1165))</f>
        <v>0</v>
      </c>
      <c r="N1165">
        <f>IMDIV("1",IMSUM(E1165,IMDIV("1",M1165)))</f>
        <v>0</v>
      </c>
      <c r="O1165">
        <f>IMSUM(F1165,N1165)</f>
        <v>0</v>
      </c>
      <c r="P1165">
        <f>IMDIV("1",IMSUM(G1165,IMDIV("1",O1165)))</f>
        <v>0</v>
      </c>
      <c r="Q1165">
        <f>IMSUM(H1165,P1165)</f>
        <v>0</v>
      </c>
      <c r="R1165">
        <f>IMDIV("1",IMSUM(I1165,IMDIV("1",Q1165)))</f>
        <v>0</v>
      </c>
      <c r="S1165">
        <f>IMSUM(J1165,R1165)</f>
        <v>0</v>
      </c>
      <c r="T1165">
        <f>IMDIV("1",IMSUM(K1165,IMDIV("1",S1165)))</f>
        <v>0</v>
      </c>
      <c r="U1165">
        <f>IMSUM(L1165,T1165)</f>
        <v>0</v>
      </c>
      <c r="V1165">
        <f>IMDIV(COMPLEX(I_DM_SOURCE,0),U1165)</f>
        <v>0</v>
      </c>
      <c r="W1165">
        <f>IMPRODUCT(V1165,T1165)</f>
        <v>0</v>
      </c>
      <c r="X1165">
        <f>IMDIV(W1165,S1165)</f>
        <v>0</v>
      </c>
      <c r="Y1165">
        <f>IMPRODUCT(X1165,R1165)</f>
        <v>0</v>
      </c>
      <c r="Z1165">
        <f>IMDIV(Y1165,Q1165)</f>
        <v>0</v>
      </c>
      <c r="AA1165">
        <f>IMPRODUCT(Z1165,P1165)</f>
        <v>0</v>
      </c>
      <c r="AB1165">
        <f>AA1165</f>
        <v>0</v>
      </c>
      <c r="AC1165">
        <f>IMPRODUCT("-1",AB1165)</f>
        <v>0</v>
      </c>
      <c r="AD1165">
        <f>IMDIV(IMSUB(AB1165,AC1165),"2")</f>
        <v>0</v>
      </c>
      <c r="AE1165" s="6">
        <f>IMABS(AB1165)</f>
        <v>0</v>
      </c>
      <c r="AF1165" s="6">
        <f>IMABS(AC1165)</f>
        <v>0</v>
      </c>
      <c r="AG1165" s="6">
        <f>IMABS(AD1165)</f>
        <v>0</v>
      </c>
      <c r="AH1165" s="7">
        <f>20*LOG10(MAX(AE1165,1E-300)*1E6)</f>
        <v>0</v>
      </c>
      <c r="AI1165" s="7">
        <f>20*LOG10(MAX(AF1165,1E-300)*1E6)</f>
        <v>0</v>
      </c>
      <c r="AJ1165" s="7">
        <f>20*LOG10(MAX(AG1165,1E-300)*1E6)</f>
        <v>0</v>
      </c>
      <c r="AK1165" s="7">
        <f>DEGREES(IMARGUMENT(AB1165))</f>
        <v>0</v>
      </c>
      <c r="AL1165" s="7">
        <f>DEGREES(IMARGUMENT(AC1165))</f>
        <v>0</v>
      </c>
      <c r="AM1165" s="7">
        <f>DEGREES(IMARGUMENT(AD1165))</f>
        <v>0</v>
      </c>
    </row>
    <row r="1166" spans="1:39">
      <c r="A1166" s="6">
        <f>10^(LOG10(F_START)+(ROW()-ROW($A$2))*(LOG10(F_STOP)-LOG10(F_START))/(N_POINTS-1))</f>
        <v>0</v>
      </c>
      <c r="B1166" s="6">
        <f>2*PI()*A1166</f>
        <v>0</v>
      </c>
      <c r="C1166">
        <f>COMPLEX(2*LINE_PS_DCR,2*B1166*LINE_PS_L)</f>
        <v>0</v>
      </c>
      <c r="D1166">
        <f>IMSUM(COMPLEX(0,B1166*(LINE_PS_CLINE+LINE_PS_CCHA/2)),IMDIV("1",IMPRODUCT("2",COMPLEX(C_THROUGH_ESR,B1166*C_THROUGH_ESL-1/(B1166*C_THROUGH_C)))))</f>
        <v>0</v>
      </c>
      <c r="E1166">
        <f>COMPLEX(2*LINE_INPUT_DCR,2*B1166*LINE_INPUT_L)</f>
        <v>0</v>
      </c>
      <c r="F1166">
        <f>COMPLEX(0,B1166*(LINE_INPUT_CLINE+LINE_INPUT_CCHA/2))</f>
        <v>0</v>
      </c>
      <c r="G1166">
        <f>IMPRODUCT("2",IMDIV("1",IMSUM(IMDIV("1",COMPLEX(LDM1_DCR,B1166*LDM1_L)),COMPLEX(0,B1166*LDM1_CPA))))</f>
        <v>0</v>
      </c>
      <c r="H1166">
        <f>IMSUM(IMDIV("1",COMPLEX(CX1_ESR,B1166*CX1_ESL-1/(B1166*CX1_C))),IMDIV("1",IMSUM(COMPLEX(DUMP1_R,0),COMPLEX(DUMP1_ESR,B1166*DUMP1_ESL-1/(B1166*DUMP1_C)))))</f>
        <v>0</v>
      </c>
      <c r="I1166">
        <f>IMPRODUCT("2",IMDIV("1",IMSUM(IMDIV("1",COMPLEX(LDM2_DCR,B1166*LDM2_L)),COMPLEX(0,B1166*LDM2_CPA))))</f>
        <v>0</v>
      </c>
      <c r="J1166">
        <f>IMSUM(IMDIV("1",COMPLEX(CX2_ESR,B1166*CX2_ESL-1/(B1166*CX2_C))),IMDIV("1",IMSUM(COMPLEX(DUMP2_R,0),COMPLEX(DUMP2_ESR,B1166*DUMP2_ESL-1/(B1166*DUMP2_C)))))</f>
        <v>0</v>
      </c>
      <c r="K1166">
        <f>IMPRODUCT("2",IMDIV("1",IMSUM(IMDIV("1",COMPLEX(CMC_DCR,B1166*CMC_L*(1-CMC_K))),COMPLEX(0,B1166*CMC_CPA))))</f>
        <v>0</v>
      </c>
      <c r="L1166">
        <f>IMSUM(COMPLEX(0,B1166*CMC_CLINE),IMDIV("1",IMPRODUCT("2",COMPLEX(CY_ESR,B1166*CY_ESL-1/(B1166*CY_C)))),COMPLEX(1/DUMMY_R,0))</f>
        <v>0</v>
      </c>
      <c r="M1166">
        <f>IMSUM(D1166,IMDIV("1",C1166))</f>
        <v>0</v>
      </c>
      <c r="N1166">
        <f>IMDIV("1",IMSUM(E1166,IMDIV("1",M1166)))</f>
        <v>0</v>
      </c>
      <c r="O1166">
        <f>IMSUM(F1166,N1166)</f>
        <v>0</v>
      </c>
      <c r="P1166">
        <f>IMDIV("1",IMSUM(G1166,IMDIV("1",O1166)))</f>
        <v>0</v>
      </c>
      <c r="Q1166">
        <f>IMSUM(H1166,P1166)</f>
        <v>0</v>
      </c>
      <c r="R1166">
        <f>IMDIV("1",IMSUM(I1166,IMDIV("1",Q1166)))</f>
        <v>0</v>
      </c>
      <c r="S1166">
        <f>IMSUM(J1166,R1166)</f>
        <v>0</v>
      </c>
      <c r="T1166">
        <f>IMDIV("1",IMSUM(K1166,IMDIV("1",S1166)))</f>
        <v>0</v>
      </c>
      <c r="U1166">
        <f>IMSUM(L1166,T1166)</f>
        <v>0</v>
      </c>
      <c r="V1166">
        <f>IMDIV(COMPLEX(I_DM_SOURCE,0),U1166)</f>
        <v>0</v>
      </c>
      <c r="W1166">
        <f>IMPRODUCT(V1166,T1166)</f>
        <v>0</v>
      </c>
      <c r="X1166">
        <f>IMDIV(W1166,S1166)</f>
        <v>0</v>
      </c>
      <c r="Y1166">
        <f>IMPRODUCT(X1166,R1166)</f>
        <v>0</v>
      </c>
      <c r="Z1166">
        <f>IMDIV(Y1166,Q1166)</f>
        <v>0</v>
      </c>
      <c r="AA1166">
        <f>IMPRODUCT(Z1166,P1166)</f>
        <v>0</v>
      </c>
      <c r="AB1166">
        <f>AA1166</f>
        <v>0</v>
      </c>
      <c r="AC1166">
        <f>IMPRODUCT("-1",AB1166)</f>
        <v>0</v>
      </c>
      <c r="AD1166">
        <f>IMDIV(IMSUB(AB1166,AC1166),"2")</f>
        <v>0</v>
      </c>
      <c r="AE1166" s="6">
        <f>IMABS(AB1166)</f>
        <v>0</v>
      </c>
      <c r="AF1166" s="6">
        <f>IMABS(AC1166)</f>
        <v>0</v>
      </c>
      <c r="AG1166" s="6">
        <f>IMABS(AD1166)</f>
        <v>0</v>
      </c>
      <c r="AH1166" s="7">
        <f>20*LOG10(MAX(AE1166,1E-300)*1E6)</f>
        <v>0</v>
      </c>
      <c r="AI1166" s="7">
        <f>20*LOG10(MAX(AF1166,1E-300)*1E6)</f>
        <v>0</v>
      </c>
      <c r="AJ1166" s="7">
        <f>20*LOG10(MAX(AG1166,1E-300)*1E6)</f>
        <v>0</v>
      </c>
      <c r="AK1166" s="7">
        <f>DEGREES(IMARGUMENT(AB1166))</f>
        <v>0</v>
      </c>
      <c r="AL1166" s="7">
        <f>DEGREES(IMARGUMENT(AC1166))</f>
        <v>0</v>
      </c>
      <c r="AM1166" s="7">
        <f>DEGREES(IMARGUMENT(AD1166))</f>
        <v>0</v>
      </c>
    </row>
    <row r="1167" spans="1:39">
      <c r="A1167" s="6">
        <f>10^(LOG10(F_START)+(ROW()-ROW($A$2))*(LOG10(F_STOP)-LOG10(F_START))/(N_POINTS-1))</f>
        <v>0</v>
      </c>
      <c r="B1167" s="6">
        <f>2*PI()*A1167</f>
        <v>0</v>
      </c>
      <c r="C1167">
        <f>COMPLEX(2*LINE_PS_DCR,2*B1167*LINE_PS_L)</f>
        <v>0</v>
      </c>
      <c r="D1167">
        <f>IMSUM(COMPLEX(0,B1167*(LINE_PS_CLINE+LINE_PS_CCHA/2)),IMDIV("1",IMPRODUCT("2",COMPLEX(C_THROUGH_ESR,B1167*C_THROUGH_ESL-1/(B1167*C_THROUGH_C)))))</f>
        <v>0</v>
      </c>
      <c r="E1167">
        <f>COMPLEX(2*LINE_INPUT_DCR,2*B1167*LINE_INPUT_L)</f>
        <v>0</v>
      </c>
      <c r="F1167">
        <f>COMPLEX(0,B1167*(LINE_INPUT_CLINE+LINE_INPUT_CCHA/2))</f>
        <v>0</v>
      </c>
      <c r="G1167">
        <f>IMPRODUCT("2",IMDIV("1",IMSUM(IMDIV("1",COMPLEX(LDM1_DCR,B1167*LDM1_L)),COMPLEX(0,B1167*LDM1_CPA))))</f>
        <v>0</v>
      </c>
      <c r="H1167">
        <f>IMSUM(IMDIV("1",COMPLEX(CX1_ESR,B1167*CX1_ESL-1/(B1167*CX1_C))),IMDIV("1",IMSUM(COMPLEX(DUMP1_R,0),COMPLEX(DUMP1_ESR,B1167*DUMP1_ESL-1/(B1167*DUMP1_C)))))</f>
        <v>0</v>
      </c>
      <c r="I1167">
        <f>IMPRODUCT("2",IMDIV("1",IMSUM(IMDIV("1",COMPLEX(LDM2_DCR,B1167*LDM2_L)),COMPLEX(0,B1167*LDM2_CPA))))</f>
        <v>0</v>
      </c>
      <c r="J1167">
        <f>IMSUM(IMDIV("1",COMPLEX(CX2_ESR,B1167*CX2_ESL-1/(B1167*CX2_C))),IMDIV("1",IMSUM(COMPLEX(DUMP2_R,0),COMPLEX(DUMP2_ESR,B1167*DUMP2_ESL-1/(B1167*DUMP2_C)))))</f>
        <v>0</v>
      </c>
      <c r="K1167">
        <f>IMPRODUCT("2",IMDIV("1",IMSUM(IMDIV("1",COMPLEX(CMC_DCR,B1167*CMC_L*(1-CMC_K))),COMPLEX(0,B1167*CMC_CPA))))</f>
        <v>0</v>
      </c>
      <c r="L1167">
        <f>IMSUM(COMPLEX(0,B1167*CMC_CLINE),IMDIV("1",IMPRODUCT("2",COMPLEX(CY_ESR,B1167*CY_ESL-1/(B1167*CY_C)))),COMPLEX(1/DUMMY_R,0))</f>
        <v>0</v>
      </c>
      <c r="M1167">
        <f>IMSUM(D1167,IMDIV("1",C1167))</f>
        <v>0</v>
      </c>
      <c r="N1167">
        <f>IMDIV("1",IMSUM(E1167,IMDIV("1",M1167)))</f>
        <v>0</v>
      </c>
      <c r="O1167">
        <f>IMSUM(F1167,N1167)</f>
        <v>0</v>
      </c>
      <c r="P1167">
        <f>IMDIV("1",IMSUM(G1167,IMDIV("1",O1167)))</f>
        <v>0</v>
      </c>
      <c r="Q1167">
        <f>IMSUM(H1167,P1167)</f>
        <v>0</v>
      </c>
      <c r="R1167">
        <f>IMDIV("1",IMSUM(I1167,IMDIV("1",Q1167)))</f>
        <v>0</v>
      </c>
      <c r="S1167">
        <f>IMSUM(J1167,R1167)</f>
        <v>0</v>
      </c>
      <c r="T1167">
        <f>IMDIV("1",IMSUM(K1167,IMDIV("1",S1167)))</f>
        <v>0</v>
      </c>
      <c r="U1167">
        <f>IMSUM(L1167,T1167)</f>
        <v>0</v>
      </c>
      <c r="V1167">
        <f>IMDIV(COMPLEX(I_DM_SOURCE,0),U1167)</f>
        <v>0</v>
      </c>
      <c r="W1167">
        <f>IMPRODUCT(V1167,T1167)</f>
        <v>0</v>
      </c>
      <c r="X1167">
        <f>IMDIV(W1167,S1167)</f>
        <v>0</v>
      </c>
      <c r="Y1167">
        <f>IMPRODUCT(X1167,R1167)</f>
        <v>0</v>
      </c>
      <c r="Z1167">
        <f>IMDIV(Y1167,Q1167)</f>
        <v>0</v>
      </c>
      <c r="AA1167">
        <f>IMPRODUCT(Z1167,P1167)</f>
        <v>0</v>
      </c>
      <c r="AB1167">
        <f>AA1167</f>
        <v>0</v>
      </c>
      <c r="AC1167">
        <f>IMPRODUCT("-1",AB1167)</f>
        <v>0</v>
      </c>
      <c r="AD1167">
        <f>IMDIV(IMSUB(AB1167,AC1167),"2")</f>
        <v>0</v>
      </c>
      <c r="AE1167" s="6">
        <f>IMABS(AB1167)</f>
        <v>0</v>
      </c>
      <c r="AF1167" s="6">
        <f>IMABS(AC1167)</f>
        <v>0</v>
      </c>
      <c r="AG1167" s="6">
        <f>IMABS(AD1167)</f>
        <v>0</v>
      </c>
      <c r="AH1167" s="7">
        <f>20*LOG10(MAX(AE1167,1E-300)*1E6)</f>
        <v>0</v>
      </c>
      <c r="AI1167" s="7">
        <f>20*LOG10(MAX(AF1167,1E-300)*1E6)</f>
        <v>0</v>
      </c>
      <c r="AJ1167" s="7">
        <f>20*LOG10(MAX(AG1167,1E-300)*1E6)</f>
        <v>0</v>
      </c>
      <c r="AK1167" s="7">
        <f>DEGREES(IMARGUMENT(AB1167))</f>
        <v>0</v>
      </c>
      <c r="AL1167" s="7">
        <f>DEGREES(IMARGUMENT(AC1167))</f>
        <v>0</v>
      </c>
      <c r="AM1167" s="7">
        <f>DEGREES(IMARGUMENT(AD1167))</f>
        <v>0</v>
      </c>
    </row>
    <row r="1168" spans="1:39">
      <c r="A1168" s="6">
        <f>10^(LOG10(F_START)+(ROW()-ROW($A$2))*(LOG10(F_STOP)-LOG10(F_START))/(N_POINTS-1))</f>
        <v>0</v>
      </c>
      <c r="B1168" s="6">
        <f>2*PI()*A1168</f>
        <v>0</v>
      </c>
      <c r="C1168">
        <f>COMPLEX(2*LINE_PS_DCR,2*B1168*LINE_PS_L)</f>
        <v>0</v>
      </c>
      <c r="D1168">
        <f>IMSUM(COMPLEX(0,B1168*(LINE_PS_CLINE+LINE_PS_CCHA/2)),IMDIV("1",IMPRODUCT("2",COMPLEX(C_THROUGH_ESR,B1168*C_THROUGH_ESL-1/(B1168*C_THROUGH_C)))))</f>
        <v>0</v>
      </c>
      <c r="E1168">
        <f>COMPLEX(2*LINE_INPUT_DCR,2*B1168*LINE_INPUT_L)</f>
        <v>0</v>
      </c>
      <c r="F1168">
        <f>COMPLEX(0,B1168*(LINE_INPUT_CLINE+LINE_INPUT_CCHA/2))</f>
        <v>0</v>
      </c>
      <c r="G1168">
        <f>IMPRODUCT("2",IMDIV("1",IMSUM(IMDIV("1",COMPLEX(LDM1_DCR,B1168*LDM1_L)),COMPLEX(0,B1168*LDM1_CPA))))</f>
        <v>0</v>
      </c>
      <c r="H1168">
        <f>IMSUM(IMDIV("1",COMPLEX(CX1_ESR,B1168*CX1_ESL-1/(B1168*CX1_C))),IMDIV("1",IMSUM(COMPLEX(DUMP1_R,0),COMPLEX(DUMP1_ESR,B1168*DUMP1_ESL-1/(B1168*DUMP1_C)))))</f>
        <v>0</v>
      </c>
      <c r="I1168">
        <f>IMPRODUCT("2",IMDIV("1",IMSUM(IMDIV("1",COMPLEX(LDM2_DCR,B1168*LDM2_L)),COMPLEX(0,B1168*LDM2_CPA))))</f>
        <v>0</v>
      </c>
      <c r="J1168">
        <f>IMSUM(IMDIV("1",COMPLEX(CX2_ESR,B1168*CX2_ESL-1/(B1168*CX2_C))),IMDIV("1",IMSUM(COMPLEX(DUMP2_R,0),COMPLEX(DUMP2_ESR,B1168*DUMP2_ESL-1/(B1168*DUMP2_C)))))</f>
        <v>0</v>
      </c>
      <c r="K1168">
        <f>IMPRODUCT("2",IMDIV("1",IMSUM(IMDIV("1",COMPLEX(CMC_DCR,B1168*CMC_L*(1-CMC_K))),COMPLEX(0,B1168*CMC_CPA))))</f>
        <v>0</v>
      </c>
      <c r="L1168">
        <f>IMSUM(COMPLEX(0,B1168*CMC_CLINE),IMDIV("1",IMPRODUCT("2",COMPLEX(CY_ESR,B1168*CY_ESL-1/(B1168*CY_C)))),COMPLEX(1/DUMMY_R,0))</f>
        <v>0</v>
      </c>
      <c r="M1168">
        <f>IMSUM(D1168,IMDIV("1",C1168))</f>
        <v>0</v>
      </c>
      <c r="N1168">
        <f>IMDIV("1",IMSUM(E1168,IMDIV("1",M1168)))</f>
        <v>0</v>
      </c>
      <c r="O1168">
        <f>IMSUM(F1168,N1168)</f>
        <v>0</v>
      </c>
      <c r="P1168">
        <f>IMDIV("1",IMSUM(G1168,IMDIV("1",O1168)))</f>
        <v>0</v>
      </c>
      <c r="Q1168">
        <f>IMSUM(H1168,P1168)</f>
        <v>0</v>
      </c>
      <c r="R1168">
        <f>IMDIV("1",IMSUM(I1168,IMDIV("1",Q1168)))</f>
        <v>0</v>
      </c>
      <c r="S1168">
        <f>IMSUM(J1168,R1168)</f>
        <v>0</v>
      </c>
      <c r="T1168">
        <f>IMDIV("1",IMSUM(K1168,IMDIV("1",S1168)))</f>
        <v>0</v>
      </c>
      <c r="U1168">
        <f>IMSUM(L1168,T1168)</f>
        <v>0</v>
      </c>
      <c r="V1168">
        <f>IMDIV(COMPLEX(I_DM_SOURCE,0),U1168)</f>
        <v>0</v>
      </c>
      <c r="W1168">
        <f>IMPRODUCT(V1168,T1168)</f>
        <v>0</v>
      </c>
      <c r="X1168">
        <f>IMDIV(W1168,S1168)</f>
        <v>0</v>
      </c>
      <c r="Y1168">
        <f>IMPRODUCT(X1168,R1168)</f>
        <v>0</v>
      </c>
      <c r="Z1168">
        <f>IMDIV(Y1168,Q1168)</f>
        <v>0</v>
      </c>
      <c r="AA1168">
        <f>IMPRODUCT(Z1168,P1168)</f>
        <v>0</v>
      </c>
      <c r="AB1168">
        <f>AA1168</f>
        <v>0</v>
      </c>
      <c r="AC1168">
        <f>IMPRODUCT("-1",AB1168)</f>
        <v>0</v>
      </c>
      <c r="AD1168">
        <f>IMDIV(IMSUB(AB1168,AC1168),"2")</f>
        <v>0</v>
      </c>
      <c r="AE1168" s="6">
        <f>IMABS(AB1168)</f>
        <v>0</v>
      </c>
      <c r="AF1168" s="6">
        <f>IMABS(AC1168)</f>
        <v>0</v>
      </c>
      <c r="AG1168" s="6">
        <f>IMABS(AD1168)</f>
        <v>0</v>
      </c>
      <c r="AH1168" s="7">
        <f>20*LOG10(MAX(AE1168,1E-300)*1E6)</f>
        <v>0</v>
      </c>
      <c r="AI1168" s="7">
        <f>20*LOG10(MAX(AF1168,1E-300)*1E6)</f>
        <v>0</v>
      </c>
      <c r="AJ1168" s="7">
        <f>20*LOG10(MAX(AG1168,1E-300)*1E6)</f>
        <v>0</v>
      </c>
      <c r="AK1168" s="7">
        <f>DEGREES(IMARGUMENT(AB1168))</f>
        <v>0</v>
      </c>
      <c r="AL1168" s="7">
        <f>DEGREES(IMARGUMENT(AC1168))</f>
        <v>0</v>
      </c>
      <c r="AM1168" s="7">
        <f>DEGREES(IMARGUMENT(AD1168))</f>
        <v>0</v>
      </c>
    </row>
    <row r="1169" spans="1:39">
      <c r="A1169" s="6">
        <f>10^(LOG10(F_START)+(ROW()-ROW($A$2))*(LOG10(F_STOP)-LOG10(F_START))/(N_POINTS-1))</f>
        <v>0</v>
      </c>
      <c r="B1169" s="6">
        <f>2*PI()*A1169</f>
        <v>0</v>
      </c>
      <c r="C1169">
        <f>COMPLEX(2*LINE_PS_DCR,2*B1169*LINE_PS_L)</f>
        <v>0</v>
      </c>
      <c r="D1169">
        <f>IMSUM(COMPLEX(0,B1169*(LINE_PS_CLINE+LINE_PS_CCHA/2)),IMDIV("1",IMPRODUCT("2",COMPLEX(C_THROUGH_ESR,B1169*C_THROUGH_ESL-1/(B1169*C_THROUGH_C)))))</f>
        <v>0</v>
      </c>
      <c r="E1169">
        <f>COMPLEX(2*LINE_INPUT_DCR,2*B1169*LINE_INPUT_L)</f>
        <v>0</v>
      </c>
      <c r="F1169">
        <f>COMPLEX(0,B1169*(LINE_INPUT_CLINE+LINE_INPUT_CCHA/2))</f>
        <v>0</v>
      </c>
      <c r="G1169">
        <f>IMPRODUCT("2",IMDIV("1",IMSUM(IMDIV("1",COMPLEX(LDM1_DCR,B1169*LDM1_L)),COMPLEX(0,B1169*LDM1_CPA))))</f>
        <v>0</v>
      </c>
      <c r="H1169">
        <f>IMSUM(IMDIV("1",COMPLEX(CX1_ESR,B1169*CX1_ESL-1/(B1169*CX1_C))),IMDIV("1",IMSUM(COMPLEX(DUMP1_R,0),COMPLEX(DUMP1_ESR,B1169*DUMP1_ESL-1/(B1169*DUMP1_C)))))</f>
        <v>0</v>
      </c>
      <c r="I1169">
        <f>IMPRODUCT("2",IMDIV("1",IMSUM(IMDIV("1",COMPLEX(LDM2_DCR,B1169*LDM2_L)),COMPLEX(0,B1169*LDM2_CPA))))</f>
        <v>0</v>
      </c>
      <c r="J1169">
        <f>IMSUM(IMDIV("1",COMPLEX(CX2_ESR,B1169*CX2_ESL-1/(B1169*CX2_C))),IMDIV("1",IMSUM(COMPLEX(DUMP2_R,0),COMPLEX(DUMP2_ESR,B1169*DUMP2_ESL-1/(B1169*DUMP2_C)))))</f>
        <v>0</v>
      </c>
      <c r="K1169">
        <f>IMPRODUCT("2",IMDIV("1",IMSUM(IMDIV("1",COMPLEX(CMC_DCR,B1169*CMC_L*(1-CMC_K))),COMPLEX(0,B1169*CMC_CPA))))</f>
        <v>0</v>
      </c>
      <c r="L1169">
        <f>IMSUM(COMPLEX(0,B1169*CMC_CLINE),IMDIV("1",IMPRODUCT("2",COMPLEX(CY_ESR,B1169*CY_ESL-1/(B1169*CY_C)))),COMPLEX(1/DUMMY_R,0))</f>
        <v>0</v>
      </c>
      <c r="M1169">
        <f>IMSUM(D1169,IMDIV("1",C1169))</f>
        <v>0</v>
      </c>
      <c r="N1169">
        <f>IMDIV("1",IMSUM(E1169,IMDIV("1",M1169)))</f>
        <v>0</v>
      </c>
      <c r="O1169">
        <f>IMSUM(F1169,N1169)</f>
        <v>0</v>
      </c>
      <c r="P1169">
        <f>IMDIV("1",IMSUM(G1169,IMDIV("1",O1169)))</f>
        <v>0</v>
      </c>
      <c r="Q1169">
        <f>IMSUM(H1169,P1169)</f>
        <v>0</v>
      </c>
      <c r="R1169">
        <f>IMDIV("1",IMSUM(I1169,IMDIV("1",Q1169)))</f>
        <v>0</v>
      </c>
      <c r="S1169">
        <f>IMSUM(J1169,R1169)</f>
        <v>0</v>
      </c>
      <c r="T1169">
        <f>IMDIV("1",IMSUM(K1169,IMDIV("1",S1169)))</f>
        <v>0</v>
      </c>
      <c r="U1169">
        <f>IMSUM(L1169,T1169)</f>
        <v>0</v>
      </c>
      <c r="V1169">
        <f>IMDIV(COMPLEX(I_DM_SOURCE,0),U1169)</f>
        <v>0</v>
      </c>
      <c r="W1169">
        <f>IMPRODUCT(V1169,T1169)</f>
        <v>0</v>
      </c>
      <c r="X1169">
        <f>IMDIV(W1169,S1169)</f>
        <v>0</v>
      </c>
      <c r="Y1169">
        <f>IMPRODUCT(X1169,R1169)</f>
        <v>0</v>
      </c>
      <c r="Z1169">
        <f>IMDIV(Y1169,Q1169)</f>
        <v>0</v>
      </c>
      <c r="AA1169">
        <f>IMPRODUCT(Z1169,P1169)</f>
        <v>0</v>
      </c>
      <c r="AB1169">
        <f>AA1169</f>
        <v>0</v>
      </c>
      <c r="AC1169">
        <f>IMPRODUCT("-1",AB1169)</f>
        <v>0</v>
      </c>
      <c r="AD1169">
        <f>IMDIV(IMSUB(AB1169,AC1169),"2")</f>
        <v>0</v>
      </c>
      <c r="AE1169" s="6">
        <f>IMABS(AB1169)</f>
        <v>0</v>
      </c>
      <c r="AF1169" s="6">
        <f>IMABS(AC1169)</f>
        <v>0</v>
      </c>
      <c r="AG1169" s="6">
        <f>IMABS(AD1169)</f>
        <v>0</v>
      </c>
      <c r="AH1169" s="7">
        <f>20*LOG10(MAX(AE1169,1E-300)*1E6)</f>
        <v>0</v>
      </c>
      <c r="AI1169" s="7">
        <f>20*LOG10(MAX(AF1169,1E-300)*1E6)</f>
        <v>0</v>
      </c>
      <c r="AJ1169" s="7">
        <f>20*LOG10(MAX(AG1169,1E-300)*1E6)</f>
        <v>0</v>
      </c>
      <c r="AK1169" s="7">
        <f>DEGREES(IMARGUMENT(AB1169))</f>
        <v>0</v>
      </c>
      <c r="AL1169" s="7">
        <f>DEGREES(IMARGUMENT(AC1169))</f>
        <v>0</v>
      </c>
      <c r="AM1169" s="7">
        <f>DEGREES(IMARGUMENT(AD1169))</f>
        <v>0</v>
      </c>
    </row>
    <row r="1170" spans="1:39">
      <c r="A1170" s="6">
        <f>10^(LOG10(F_START)+(ROW()-ROW($A$2))*(LOG10(F_STOP)-LOG10(F_START))/(N_POINTS-1))</f>
        <v>0</v>
      </c>
      <c r="B1170" s="6">
        <f>2*PI()*A1170</f>
        <v>0</v>
      </c>
      <c r="C1170">
        <f>COMPLEX(2*LINE_PS_DCR,2*B1170*LINE_PS_L)</f>
        <v>0</v>
      </c>
      <c r="D1170">
        <f>IMSUM(COMPLEX(0,B1170*(LINE_PS_CLINE+LINE_PS_CCHA/2)),IMDIV("1",IMPRODUCT("2",COMPLEX(C_THROUGH_ESR,B1170*C_THROUGH_ESL-1/(B1170*C_THROUGH_C)))))</f>
        <v>0</v>
      </c>
      <c r="E1170">
        <f>COMPLEX(2*LINE_INPUT_DCR,2*B1170*LINE_INPUT_L)</f>
        <v>0</v>
      </c>
      <c r="F1170">
        <f>COMPLEX(0,B1170*(LINE_INPUT_CLINE+LINE_INPUT_CCHA/2))</f>
        <v>0</v>
      </c>
      <c r="G1170">
        <f>IMPRODUCT("2",IMDIV("1",IMSUM(IMDIV("1",COMPLEX(LDM1_DCR,B1170*LDM1_L)),COMPLEX(0,B1170*LDM1_CPA))))</f>
        <v>0</v>
      </c>
      <c r="H1170">
        <f>IMSUM(IMDIV("1",COMPLEX(CX1_ESR,B1170*CX1_ESL-1/(B1170*CX1_C))),IMDIV("1",IMSUM(COMPLEX(DUMP1_R,0),COMPLEX(DUMP1_ESR,B1170*DUMP1_ESL-1/(B1170*DUMP1_C)))))</f>
        <v>0</v>
      </c>
      <c r="I1170">
        <f>IMPRODUCT("2",IMDIV("1",IMSUM(IMDIV("1",COMPLEX(LDM2_DCR,B1170*LDM2_L)),COMPLEX(0,B1170*LDM2_CPA))))</f>
        <v>0</v>
      </c>
      <c r="J1170">
        <f>IMSUM(IMDIV("1",COMPLEX(CX2_ESR,B1170*CX2_ESL-1/(B1170*CX2_C))),IMDIV("1",IMSUM(COMPLEX(DUMP2_R,0),COMPLEX(DUMP2_ESR,B1170*DUMP2_ESL-1/(B1170*DUMP2_C)))))</f>
        <v>0</v>
      </c>
      <c r="K1170">
        <f>IMPRODUCT("2",IMDIV("1",IMSUM(IMDIV("1",COMPLEX(CMC_DCR,B1170*CMC_L*(1-CMC_K))),COMPLEX(0,B1170*CMC_CPA))))</f>
        <v>0</v>
      </c>
      <c r="L1170">
        <f>IMSUM(COMPLEX(0,B1170*CMC_CLINE),IMDIV("1",IMPRODUCT("2",COMPLEX(CY_ESR,B1170*CY_ESL-1/(B1170*CY_C)))),COMPLEX(1/DUMMY_R,0))</f>
        <v>0</v>
      </c>
      <c r="M1170">
        <f>IMSUM(D1170,IMDIV("1",C1170))</f>
        <v>0</v>
      </c>
      <c r="N1170">
        <f>IMDIV("1",IMSUM(E1170,IMDIV("1",M1170)))</f>
        <v>0</v>
      </c>
      <c r="O1170">
        <f>IMSUM(F1170,N1170)</f>
        <v>0</v>
      </c>
      <c r="P1170">
        <f>IMDIV("1",IMSUM(G1170,IMDIV("1",O1170)))</f>
        <v>0</v>
      </c>
      <c r="Q1170">
        <f>IMSUM(H1170,P1170)</f>
        <v>0</v>
      </c>
      <c r="R1170">
        <f>IMDIV("1",IMSUM(I1170,IMDIV("1",Q1170)))</f>
        <v>0</v>
      </c>
      <c r="S1170">
        <f>IMSUM(J1170,R1170)</f>
        <v>0</v>
      </c>
      <c r="T1170">
        <f>IMDIV("1",IMSUM(K1170,IMDIV("1",S1170)))</f>
        <v>0</v>
      </c>
      <c r="U1170">
        <f>IMSUM(L1170,T1170)</f>
        <v>0</v>
      </c>
      <c r="V1170">
        <f>IMDIV(COMPLEX(I_DM_SOURCE,0),U1170)</f>
        <v>0</v>
      </c>
      <c r="W1170">
        <f>IMPRODUCT(V1170,T1170)</f>
        <v>0</v>
      </c>
      <c r="X1170">
        <f>IMDIV(W1170,S1170)</f>
        <v>0</v>
      </c>
      <c r="Y1170">
        <f>IMPRODUCT(X1170,R1170)</f>
        <v>0</v>
      </c>
      <c r="Z1170">
        <f>IMDIV(Y1170,Q1170)</f>
        <v>0</v>
      </c>
      <c r="AA1170">
        <f>IMPRODUCT(Z1170,P1170)</f>
        <v>0</v>
      </c>
      <c r="AB1170">
        <f>AA1170</f>
        <v>0</v>
      </c>
      <c r="AC1170">
        <f>IMPRODUCT("-1",AB1170)</f>
        <v>0</v>
      </c>
      <c r="AD1170">
        <f>IMDIV(IMSUB(AB1170,AC1170),"2")</f>
        <v>0</v>
      </c>
      <c r="AE1170" s="6">
        <f>IMABS(AB1170)</f>
        <v>0</v>
      </c>
      <c r="AF1170" s="6">
        <f>IMABS(AC1170)</f>
        <v>0</v>
      </c>
      <c r="AG1170" s="6">
        <f>IMABS(AD1170)</f>
        <v>0</v>
      </c>
      <c r="AH1170" s="7">
        <f>20*LOG10(MAX(AE1170,1E-300)*1E6)</f>
        <v>0</v>
      </c>
      <c r="AI1170" s="7">
        <f>20*LOG10(MAX(AF1170,1E-300)*1E6)</f>
        <v>0</v>
      </c>
      <c r="AJ1170" s="7">
        <f>20*LOG10(MAX(AG1170,1E-300)*1E6)</f>
        <v>0</v>
      </c>
      <c r="AK1170" s="7">
        <f>DEGREES(IMARGUMENT(AB1170))</f>
        <v>0</v>
      </c>
      <c r="AL1170" s="7">
        <f>DEGREES(IMARGUMENT(AC1170))</f>
        <v>0</v>
      </c>
      <c r="AM1170" s="7">
        <f>DEGREES(IMARGUMENT(AD1170))</f>
        <v>0</v>
      </c>
    </row>
    <row r="1171" spans="1:39">
      <c r="A1171" s="6">
        <f>10^(LOG10(F_START)+(ROW()-ROW($A$2))*(LOG10(F_STOP)-LOG10(F_START))/(N_POINTS-1))</f>
        <v>0</v>
      </c>
      <c r="B1171" s="6">
        <f>2*PI()*A1171</f>
        <v>0</v>
      </c>
      <c r="C1171">
        <f>COMPLEX(2*LINE_PS_DCR,2*B1171*LINE_PS_L)</f>
        <v>0</v>
      </c>
      <c r="D1171">
        <f>IMSUM(COMPLEX(0,B1171*(LINE_PS_CLINE+LINE_PS_CCHA/2)),IMDIV("1",IMPRODUCT("2",COMPLEX(C_THROUGH_ESR,B1171*C_THROUGH_ESL-1/(B1171*C_THROUGH_C)))))</f>
        <v>0</v>
      </c>
      <c r="E1171">
        <f>COMPLEX(2*LINE_INPUT_DCR,2*B1171*LINE_INPUT_L)</f>
        <v>0</v>
      </c>
      <c r="F1171">
        <f>COMPLEX(0,B1171*(LINE_INPUT_CLINE+LINE_INPUT_CCHA/2))</f>
        <v>0</v>
      </c>
      <c r="G1171">
        <f>IMPRODUCT("2",IMDIV("1",IMSUM(IMDIV("1",COMPLEX(LDM1_DCR,B1171*LDM1_L)),COMPLEX(0,B1171*LDM1_CPA))))</f>
        <v>0</v>
      </c>
      <c r="H1171">
        <f>IMSUM(IMDIV("1",COMPLEX(CX1_ESR,B1171*CX1_ESL-1/(B1171*CX1_C))),IMDIV("1",IMSUM(COMPLEX(DUMP1_R,0),COMPLEX(DUMP1_ESR,B1171*DUMP1_ESL-1/(B1171*DUMP1_C)))))</f>
        <v>0</v>
      </c>
      <c r="I1171">
        <f>IMPRODUCT("2",IMDIV("1",IMSUM(IMDIV("1",COMPLEX(LDM2_DCR,B1171*LDM2_L)),COMPLEX(0,B1171*LDM2_CPA))))</f>
        <v>0</v>
      </c>
      <c r="J1171">
        <f>IMSUM(IMDIV("1",COMPLEX(CX2_ESR,B1171*CX2_ESL-1/(B1171*CX2_C))),IMDIV("1",IMSUM(COMPLEX(DUMP2_R,0),COMPLEX(DUMP2_ESR,B1171*DUMP2_ESL-1/(B1171*DUMP2_C)))))</f>
        <v>0</v>
      </c>
      <c r="K1171">
        <f>IMPRODUCT("2",IMDIV("1",IMSUM(IMDIV("1",COMPLEX(CMC_DCR,B1171*CMC_L*(1-CMC_K))),COMPLEX(0,B1171*CMC_CPA))))</f>
        <v>0</v>
      </c>
      <c r="L1171">
        <f>IMSUM(COMPLEX(0,B1171*CMC_CLINE),IMDIV("1",IMPRODUCT("2",COMPLEX(CY_ESR,B1171*CY_ESL-1/(B1171*CY_C)))),COMPLEX(1/DUMMY_R,0))</f>
        <v>0</v>
      </c>
      <c r="M1171">
        <f>IMSUM(D1171,IMDIV("1",C1171))</f>
        <v>0</v>
      </c>
      <c r="N1171">
        <f>IMDIV("1",IMSUM(E1171,IMDIV("1",M1171)))</f>
        <v>0</v>
      </c>
      <c r="O1171">
        <f>IMSUM(F1171,N1171)</f>
        <v>0</v>
      </c>
      <c r="P1171">
        <f>IMDIV("1",IMSUM(G1171,IMDIV("1",O1171)))</f>
        <v>0</v>
      </c>
      <c r="Q1171">
        <f>IMSUM(H1171,P1171)</f>
        <v>0</v>
      </c>
      <c r="R1171">
        <f>IMDIV("1",IMSUM(I1171,IMDIV("1",Q1171)))</f>
        <v>0</v>
      </c>
      <c r="S1171">
        <f>IMSUM(J1171,R1171)</f>
        <v>0</v>
      </c>
      <c r="T1171">
        <f>IMDIV("1",IMSUM(K1171,IMDIV("1",S1171)))</f>
        <v>0</v>
      </c>
      <c r="U1171">
        <f>IMSUM(L1171,T1171)</f>
        <v>0</v>
      </c>
      <c r="V1171">
        <f>IMDIV(COMPLEX(I_DM_SOURCE,0),U1171)</f>
        <v>0</v>
      </c>
      <c r="W1171">
        <f>IMPRODUCT(V1171,T1171)</f>
        <v>0</v>
      </c>
      <c r="X1171">
        <f>IMDIV(W1171,S1171)</f>
        <v>0</v>
      </c>
      <c r="Y1171">
        <f>IMPRODUCT(X1171,R1171)</f>
        <v>0</v>
      </c>
      <c r="Z1171">
        <f>IMDIV(Y1171,Q1171)</f>
        <v>0</v>
      </c>
      <c r="AA1171">
        <f>IMPRODUCT(Z1171,P1171)</f>
        <v>0</v>
      </c>
      <c r="AB1171">
        <f>AA1171</f>
        <v>0</v>
      </c>
      <c r="AC1171">
        <f>IMPRODUCT("-1",AB1171)</f>
        <v>0</v>
      </c>
      <c r="AD1171">
        <f>IMDIV(IMSUB(AB1171,AC1171),"2")</f>
        <v>0</v>
      </c>
      <c r="AE1171" s="6">
        <f>IMABS(AB1171)</f>
        <v>0</v>
      </c>
      <c r="AF1171" s="6">
        <f>IMABS(AC1171)</f>
        <v>0</v>
      </c>
      <c r="AG1171" s="6">
        <f>IMABS(AD1171)</f>
        <v>0</v>
      </c>
      <c r="AH1171" s="7">
        <f>20*LOG10(MAX(AE1171,1E-300)*1E6)</f>
        <v>0</v>
      </c>
      <c r="AI1171" s="7">
        <f>20*LOG10(MAX(AF1171,1E-300)*1E6)</f>
        <v>0</v>
      </c>
      <c r="AJ1171" s="7">
        <f>20*LOG10(MAX(AG1171,1E-300)*1E6)</f>
        <v>0</v>
      </c>
      <c r="AK1171" s="7">
        <f>DEGREES(IMARGUMENT(AB1171))</f>
        <v>0</v>
      </c>
      <c r="AL1171" s="7">
        <f>DEGREES(IMARGUMENT(AC1171))</f>
        <v>0</v>
      </c>
      <c r="AM1171" s="7">
        <f>DEGREES(IMARGUMENT(AD1171))</f>
        <v>0</v>
      </c>
    </row>
    <row r="1172" spans="1:39">
      <c r="A1172" s="6">
        <f>10^(LOG10(F_START)+(ROW()-ROW($A$2))*(LOG10(F_STOP)-LOG10(F_START))/(N_POINTS-1))</f>
        <v>0</v>
      </c>
      <c r="B1172" s="6">
        <f>2*PI()*A1172</f>
        <v>0</v>
      </c>
      <c r="C1172">
        <f>COMPLEX(2*LINE_PS_DCR,2*B1172*LINE_PS_L)</f>
        <v>0</v>
      </c>
      <c r="D1172">
        <f>IMSUM(COMPLEX(0,B1172*(LINE_PS_CLINE+LINE_PS_CCHA/2)),IMDIV("1",IMPRODUCT("2",COMPLEX(C_THROUGH_ESR,B1172*C_THROUGH_ESL-1/(B1172*C_THROUGH_C)))))</f>
        <v>0</v>
      </c>
      <c r="E1172">
        <f>COMPLEX(2*LINE_INPUT_DCR,2*B1172*LINE_INPUT_L)</f>
        <v>0</v>
      </c>
      <c r="F1172">
        <f>COMPLEX(0,B1172*(LINE_INPUT_CLINE+LINE_INPUT_CCHA/2))</f>
        <v>0</v>
      </c>
      <c r="G1172">
        <f>IMPRODUCT("2",IMDIV("1",IMSUM(IMDIV("1",COMPLEX(LDM1_DCR,B1172*LDM1_L)),COMPLEX(0,B1172*LDM1_CPA))))</f>
        <v>0</v>
      </c>
      <c r="H1172">
        <f>IMSUM(IMDIV("1",COMPLEX(CX1_ESR,B1172*CX1_ESL-1/(B1172*CX1_C))),IMDIV("1",IMSUM(COMPLEX(DUMP1_R,0),COMPLEX(DUMP1_ESR,B1172*DUMP1_ESL-1/(B1172*DUMP1_C)))))</f>
        <v>0</v>
      </c>
      <c r="I1172">
        <f>IMPRODUCT("2",IMDIV("1",IMSUM(IMDIV("1",COMPLEX(LDM2_DCR,B1172*LDM2_L)),COMPLEX(0,B1172*LDM2_CPA))))</f>
        <v>0</v>
      </c>
      <c r="J1172">
        <f>IMSUM(IMDIV("1",COMPLEX(CX2_ESR,B1172*CX2_ESL-1/(B1172*CX2_C))),IMDIV("1",IMSUM(COMPLEX(DUMP2_R,0),COMPLEX(DUMP2_ESR,B1172*DUMP2_ESL-1/(B1172*DUMP2_C)))))</f>
        <v>0</v>
      </c>
      <c r="K1172">
        <f>IMPRODUCT("2",IMDIV("1",IMSUM(IMDIV("1",COMPLEX(CMC_DCR,B1172*CMC_L*(1-CMC_K))),COMPLEX(0,B1172*CMC_CPA))))</f>
        <v>0</v>
      </c>
      <c r="L1172">
        <f>IMSUM(COMPLEX(0,B1172*CMC_CLINE),IMDIV("1",IMPRODUCT("2",COMPLEX(CY_ESR,B1172*CY_ESL-1/(B1172*CY_C)))),COMPLEX(1/DUMMY_R,0))</f>
        <v>0</v>
      </c>
      <c r="M1172">
        <f>IMSUM(D1172,IMDIV("1",C1172))</f>
        <v>0</v>
      </c>
      <c r="N1172">
        <f>IMDIV("1",IMSUM(E1172,IMDIV("1",M1172)))</f>
        <v>0</v>
      </c>
      <c r="O1172">
        <f>IMSUM(F1172,N1172)</f>
        <v>0</v>
      </c>
      <c r="P1172">
        <f>IMDIV("1",IMSUM(G1172,IMDIV("1",O1172)))</f>
        <v>0</v>
      </c>
      <c r="Q1172">
        <f>IMSUM(H1172,P1172)</f>
        <v>0</v>
      </c>
      <c r="R1172">
        <f>IMDIV("1",IMSUM(I1172,IMDIV("1",Q1172)))</f>
        <v>0</v>
      </c>
      <c r="S1172">
        <f>IMSUM(J1172,R1172)</f>
        <v>0</v>
      </c>
      <c r="T1172">
        <f>IMDIV("1",IMSUM(K1172,IMDIV("1",S1172)))</f>
        <v>0</v>
      </c>
      <c r="U1172">
        <f>IMSUM(L1172,T1172)</f>
        <v>0</v>
      </c>
      <c r="V1172">
        <f>IMDIV(COMPLEX(I_DM_SOURCE,0),U1172)</f>
        <v>0</v>
      </c>
      <c r="W1172">
        <f>IMPRODUCT(V1172,T1172)</f>
        <v>0</v>
      </c>
      <c r="X1172">
        <f>IMDIV(W1172,S1172)</f>
        <v>0</v>
      </c>
      <c r="Y1172">
        <f>IMPRODUCT(X1172,R1172)</f>
        <v>0</v>
      </c>
      <c r="Z1172">
        <f>IMDIV(Y1172,Q1172)</f>
        <v>0</v>
      </c>
      <c r="AA1172">
        <f>IMPRODUCT(Z1172,P1172)</f>
        <v>0</v>
      </c>
      <c r="AB1172">
        <f>AA1172</f>
        <v>0</v>
      </c>
      <c r="AC1172">
        <f>IMPRODUCT("-1",AB1172)</f>
        <v>0</v>
      </c>
      <c r="AD1172">
        <f>IMDIV(IMSUB(AB1172,AC1172),"2")</f>
        <v>0</v>
      </c>
      <c r="AE1172" s="6">
        <f>IMABS(AB1172)</f>
        <v>0</v>
      </c>
      <c r="AF1172" s="6">
        <f>IMABS(AC1172)</f>
        <v>0</v>
      </c>
      <c r="AG1172" s="6">
        <f>IMABS(AD1172)</f>
        <v>0</v>
      </c>
      <c r="AH1172" s="7">
        <f>20*LOG10(MAX(AE1172,1E-300)*1E6)</f>
        <v>0</v>
      </c>
      <c r="AI1172" s="7">
        <f>20*LOG10(MAX(AF1172,1E-300)*1E6)</f>
        <v>0</v>
      </c>
      <c r="AJ1172" s="7">
        <f>20*LOG10(MAX(AG1172,1E-300)*1E6)</f>
        <v>0</v>
      </c>
      <c r="AK1172" s="7">
        <f>DEGREES(IMARGUMENT(AB1172))</f>
        <v>0</v>
      </c>
      <c r="AL1172" s="7">
        <f>DEGREES(IMARGUMENT(AC1172))</f>
        <v>0</v>
      </c>
      <c r="AM1172" s="7">
        <f>DEGREES(IMARGUMENT(AD1172))</f>
        <v>0</v>
      </c>
    </row>
    <row r="1173" spans="1:39">
      <c r="A1173" s="6">
        <f>10^(LOG10(F_START)+(ROW()-ROW($A$2))*(LOG10(F_STOP)-LOG10(F_START))/(N_POINTS-1))</f>
        <v>0</v>
      </c>
      <c r="B1173" s="6">
        <f>2*PI()*A1173</f>
        <v>0</v>
      </c>
      <c r="C1173">
        <f>COMPLEX(2*LINE_PS_DCR,2*B1173*LINE_PS_L)</f>
        <v>0</v>
      </c>
      <c r="D1173">
        <f>IMSUM(COMPLEX(0,B1173*(LINE_PS_CLINE+LINE_PS_CCHA/2)),IMDIV("1",IMPRODUCT("2",COMPLEX(C_THROUGH_ESR,B1173*C_THROUGH_ESL-1/(B1173*C_THROUGH_C)))))</f>
        <v>0</v>
      </c>
      <c r="E1173">
        <f>COMPLEX(2*LINE_INPUT_DCR,2*B1173*LINE_INPUT_L)</f>
        <v>0</v>
      </c>
      <c r="F1173">
        <f>COMPLEX(0,B1173*(LINE_INPUT_CLINE+LINE_INPUT_CCHA/2))</f>
        <v>0</v>
      </c>
      <c r="G1173">
        <f>IMPRODUCT("2",IMDIV("1",IMSUM(IMDIV("1",COMPLEX(LDM1_DCR,B1173*LDM1_L)),COMPLEX(0,B1173*LDM1_CPA))))</f>
        <v>0</v>
      </c>
      <c r="H1173">
        <f>IMSUM(IMDIV("1",COMPLEX(CX1_ESR,B1173*CX1_ESL-1/(B1173*CX1_C))),IMDIV("1",IMSUM(COMPLEX(DUMP1_R,0),COMPLEX(DUMP1_ESR,B1173*DUMP1_ESL-1/(B1173*DUMP1_C)))))</f>
        <v>0</v>
      </c>
      <c r="I1173">
        <f>IMPRODUCT("2",IMDIV("1",IMSUM(IMDIV("1",COMPLEX(LDM2_DCR,B1173*LDM2_L)),COMPLEX(0,B1173*LDM2_CPA))))</f>
        <v>0</v>
      </c>
      <c r="J1173">
        <f>IMSUM(IMDIV("1",COMPLEX(CX2_ESR,B1173*CX2_ESL-1/(B1173*CX2_C))),IMDIV("1",IMSUM(COMPLEX(DUMP2_R,0),COMPLEX(DUMP2_ESR,B1173*DUMP2_ESL-1/(B1173*DUMP2_C)))))</f>
        <v>0</v>
      </c>
      <c r="K1173">
        <f>IMPRODUCT("2",IMDIV("1",IMSUM(IMDIV("1",COMPLEX(CMC_DCR,B1173*CMC_L*(1-CMC_K))),COMPLEX(0,B1173*CMC_CPA))))</f>
        <v>0</v>
      </c>
      <c r="L1173">
        <f>IMSUM(COMPLEX(0,B1173*CMC_CLINE),IMDIV("1",IMPRODUCT("2",COMPLEX(CY_ESR,B1173*CY_ESL-1/(B1173*CY_C)))),COMPLEX(1/DUMMY_R,0))</f>
        <v>0</v>
      </c>
      <c r="M1173">
        <f>IMSUM(D1173,IMDIV("1",C1173))</f>
        <v>0</v>
      </c>
      <c r="N1173">
        <f>IMDIV("1",IMSUM(E1173,IMDIV("1",M1173)))</f>
        <v>0</v>
      </c>
      <c r="O1173">
        <f>IMSUM(F1173,N1173)</f>
        <v>0</v>
      </c>
      <c r="P1173">
        <f>IMDIV("1",IMSUM(G1173,IMDIV("1",O1173)))</f>
        <v>0</v>
      </c>
      <c r="Q1173">
        <f>IMSUM(H1173,P1173)</f>
        <v>0</v>
      </c>
      <c r="R1173">
        <f>IMDIV("1",IMSUM(I1173,IMDIV("1",Q1173)))</f>
        <v>0</v>
      </c>
      <c r="S1173">
        <f>IMSUM(J1173,R1173)</f>
        <v>0</v>
      </c>
      <c r="T1173">
        <f>IMDIV("1",IMSUM(K1173,IMDIV("1",S1173)))</f>
        <v>0</v>
      </c>
      <c r="U1173">
        <f>IMSUM(L1173,T1173)</f>
        <v>0</v>
      </c>
      <c r="V1173">
        <f>IMDIV(COMPLEX(I_DM_SOURCE,0),U1173)</f>
        <v>0</v>
      </c>
      <c r="W1173">
        <f>IMPRODUCT(V1173,T1173)</f>
        <v>0</v>
      </c>
      <c r="X1173">
        <f>IMDIV(W1173,S1173)</f>
        <v>0</v>
      </c>
      <c r="Y1173">
        <f>IMPRODUCT(X1173,R1173)</f>
        <v>0</v>
      </c>
      <c r="Z1173">
        <f>IMDIV(Y1173,Q1173)</f>
        <v>0</v>
      </c>
      <c r="AA1173">
        <f>IMPRODUCT(Z1173,P1173)</f>
        <v>0</v>
      </c>
      <c r="AB1173">
        <f>AA1173</f>
        <v>0</v>
      </c>
      <c r="AC1173">
        <f>IMPRODUCT("-1",AB1173)</f>
        <v>0</v>
      </c>
      <c r="AD1173">
        <f>IMDIV(IMSUB(AB1173,AC1173),"2")</f>
        <v>0</v>
      </c>
      <c r="AE1173" s="6">
        <f>IMABS(AB1173)</f>
        <v>0</v>
      </c>
      <c r="AF1173" s="6">
        <f>IMABS(AC1173)</f>
        <v>0</v>
      </c>
      <c r="AG1173" s="6">
        <f>IMABS(AD1173)</f>
        <v>0</v>
      </c>
      <c r="AH1173" s="7">
        <f>20*LOG10(MAX(AE1173,1E-300)*1E6)</f>
        <v>0</v>
      </c>
      <c r="AI1173" s="7">
        <f>20*LOG10(MAX(AF1173,1E-300)*1E6)</f>
        <v>0</v>
      </c>
      <c r="AJ1173" s="7">
        <f>20*LOG10(MAX(AG1173,1E-300)*1E6)</f>
        <v>0</v>
      </c>
      <c r="AK1173" s="7">
        <f>DEGREES(IMARGUMENT(AB1173))</f>
        <v>0</v>
      </c>
      <c r="AL1173" s="7">
        <f>DEGREES(IMARGUMENT(AC1173))</f>
        <v>0</v>
      </c>
      <c r="AM1173" s="7">
        <f>DEGREES(IMARGUMENT(AD1173))</f>
        <v>0</v>
      </c>
    </row>
    <row r="1174" spans="1:39">
      <c r="A1174" s="6">
        <f>10^(LOG10(F_START)+(ROW()-ROW($A$2))*(LOG10(F_STOP)-LOG10(F_START))/(N_POINTS-1))</f>
        <v>0</v>
      </c>
      <c r="B1174" s="6">
        <f>2*PI()*A1174</f>
        <v>0</v>
      </c>
      <c r="C1174">
        <f>COMPLEX(2*LINE_PS_DCR,2*B1174*LINE_PS_L)</f>
        <v>0</v>
      </c>
      <c r="D1174">
        <f>IMSUM(COMPLEX(0,B1174*(LINE_PS_CLINE+LINE_PS_CCHA/2)),IMDIV("1",IMPRODUCT("2",COMPLEX(C_THROUGH_ESR,B1174*C_THROUGH_ESL-1/(B1174*C_THROUGH_C)))))</f>
        <v>0</v>
      </c>
      <c r="E1174">
        <f>COMPLEX(2*LINE_INPUT_DCR,2*B1174*LINE_INPUT_L)</f>
        <v>0</v>
      </c>
      <c r="F1174">
        <f>COMPLEX(0,B1174*(LINE_INPUT_CLINE+LINE_INPUT_CCHA/2))</f>
        <v>0</v>
      </c>
      <c r="G1174">
        <f>IMPRODUCT("2",IMDIV("1",IMSUM(IMDIV("1",COMPLEX(LDM1_DCR,B1174*LDM1_L)),COMPLEX(0,B1174*LDM1_CPA))))</f>
        <v>0</v>
      </c>
      <c r="H1174">
        <f>IMSUM(IMDIV("1",COMPLEX(CX1_ESR,B1174*CX1_ESL-1/(B1174*CX1_C))),IMDIV("1",IMSUM(COMPLEX(DUMP1_R,0),COMPLEX(DUMP1_ESR,B1174*DUMP1_ESL-1/(B1174*DUMP1_C)))))</f>
        <v>0</v>
      </c>
      <c r="I1174">
        <f>IMPRODUCT("2",IMDIV("1",IMSUM(IMDIV("1",COMPLEX(LDM2_DCR,B1174*LDM2_L)),COMPLEX(0,B1174*LDM2_CPA))))</f>
        <v>0</v>
      </c>
      <c r="J1174">
        <f>IMSUM(IMDIV("1",COMPLEX(CX2_ESR,B1174*CX2_ESL-1/(B1174*CX2_C))),IMDIV("1",IMSUM(COMPLEX(DUMP2_R,0),COMPLEX(DUMP2_ESR,B1174*DUMP2_ESL-1/(B1174*DUMP2_C)))))</f>
        <v>0</v>
      </c>
      <c r="K1174">
        <f>IMPRODUCT("2",IMDIV("1",IMSUM(IMDIV("1",COMPLEX(CMC_DCR,B1174*CMC_L*(1-CMC_K))),COMPLEX(0,B1174*CMC_CPA))))</f>
        <v>0</v>
      </c>
      <c r="L1174">
        <f>IMSUM(COMPLEX(0,B1174*CMC_CLINE),IMDIV("1",IMPRODUCT("2",COMPLEX(CY_ESR,B1174*CY_ESL-1/(B1174*CY_C)))),COMPLEX(1/DUMMY_R,0))</f>
        <v>0</v>
      </c>
      <c r="M1174">
        <f>IMSUM(D1174,IMDIV("1",C1174))</f>
        <v>0</v>
      </c>
      <c r="N1174">
        <f>IMDIV("1",IMSUM(E1174,IMDIV("1",M1174)))</f>
        <v>0</v>
      </c>
      <c r="O1174">
        <f>IMSUM(F1174,N1174)</f>
        <v>0</v>
      </c>
      <c r="P1174">
        <f>IMDIV("1",IMSUM(G1174,IMDIV("1",O1174)))</f>
        <v>0</v>
      </c>
      <c r="Q1174">
        <f>IMSUM(H1174,P1174)</f>
        <v>0</v>
      </c>
      <c r="R1174">
        <f>IMDIV("1",IMSUM(I1174,IMDIV("1",Q1174)))</f>
        <v>0</v>
      </c>
      <c r="S1174">
        <f>IMSUM(J1174,R1174)</f>
        <v>0</v>
      </c>
      <c r="T1174">
        <f>IMDIV("1",IMSUM(K1174,IMDIV("1",S1174)))</f>
        <v>0</v>
      </c>
      <c r="U1174">
        <f>IMSUM(L1174,T1174)</f>
        <v>0</v>
      </c>
      <c r="V1174">
        <f>IMDIV(COMPLEX(I_DM_SOURCE,0),U1174)</f>
        <v>0</v>
      </c>
      <c r="W1174">
        <f>IMPRODUCT(V1174,T1174)</f>
        <v>0</v>
      </c>
      <c r="X1174">
        <f>IMDIV(W1174,S1174)</f>
        <v>0</v>
      </c>
      <c r="Y1174">
        <f>IMPRODUCT(X1174,R1174)</f>
        <v>0</v>
      </c>
      <c r="Z1174">
        <f>IMDIV(Y1174,Q1174)</f>
        <v>0</v>
      </c>
      <c r="AA1174">
        <f>IMPRODUCT(Z1174,P1174)</f>
        <v>0</v>
      </c>
      <c r="AB1174">
        <f>AA1174</f>
        <v>0</v>
      </c>
      <c r="AC1174">
        <f>IMPRODUCT("-1",AB1174)</f>
        <v>0</v>
      </c>
      <c r="AD1174">
        <f>IMDIV(IMSUB(AB1174,AC1174),"2")</f>
        <v>0</v>
      </c>
      <c r="AE1174" s="6">
        <f>IMABS(AB1174)</f>
        <v>0</v>
      </c>
      <c r="AF1174" s="6">
        <f>IMABS(AC1174)</f>
        <v>0</v>
      </c>
      <c r="AG1174" s="6">
        <f>IMABS(AD1174)</f>
        <v>0</v>
      </c>
      <c r="AH1174" s="7">
        <f>20*LOG10(MAX(AE1174,1E-300)*1E6)</f>
        <v>0</v>
      </c>
      <c r="AI1174" s="7">
        <f>20*LOG10(MAX(AF1174,1E-300)*1E6)</f>
        <v>0</v>
      </c>
      <c r="AJ1174" s="7">
        <f>20*LOG10(MAX(AG1174,1E-300)*1E6)</f>
        <v>0</v>
      </c>
      <c r="AK1174" s="7">
        <f>DEGREES(IMARGUMENT(AB1174))</f>
        <v>0</v>
      </c>
      <c r="AL1174" s="7">
        <f>DEGREES(IMARGUMENT(AC1174))</f>
        <v>0</v>
      </c>
      <c r="AM1174" s="7">
        <f>DEGREES(IMARGUMENT(AD1174))</f>
        <v>0</v>
      </c>
    </row>
    <row r="1175" spans="1:39">
      <c r="A1175" s="6">
        <f>10^(LOG10(F_START)+(ROW()-ROW($A$2))*(LOG10(F_STOP)-LOG10(F_START))/(N_POINTS-1))</f>
        <v>0</v>
      </c>
      <c r="B1175" s="6">
        <f>2*PI()*A1175</f>
        <v>0</v>
      </c>
      <c r="C1175">
        <f>COMPLEX(2*LINE_PS_DCR,2*B1175*LINE_PS_L)</f>
        <v>0</v>
      </c>
      <c r="D1175">
        <f>IMSUM(COMPLEX(0,B1175*(LINE_PS_CLINE+LINE_PS_CCHA/2)),IMDIV("1",IMPRODUCT("2",COMPLEX(C_THROUGH_ESR,B1175*C_THROUGH_ESL-1/(B1175*C_THROUGH_C)))))</f>
        <v>0</v>
      </c>
      <c r="E1175">
        <f>COMPLEX(2*LINE_INPUT_DCR,2*B1175*LINE_INPUT_L)</f>
        <v>0</v>
      </c>
      <c r="F1175">
        <f>COMPLEX(0,B1175*(LINE_INPUT_CLINE+LINE_INPUT_CCHA/2))</f>
        <v>0</v>
      </c>
      <c r="G1175">
        <f>IMPRODUCT("2",IMDIV("1",IMSUM(IMDIV("1",COMPLEX(LDM1_DCR,B1175*LDM1_L)),COMPLEX(0,B1175*LDM1_CPA))))</f>
        <v>0</v>
      </c>
      <c r="H1175">
        <f>IMSUM(IMDIV("1",COMPLEX(CX1_ESR,B1175*CX1_ESL-1/(B1175*CX1_C))),IMDIV("1",IMSUM(COMPLEX(DUMP1_R,0),COMPLEX(DUMP1_ESR,B1175*DUMP1_ESL-1/(B1175*DUMP1_C)))))</f>
        <v>0</v>
      </c>
      <c r="I1175">
        <f>IMPRODUCT("2",IMDIV("1",IMSUM(IMDIV("1",COMPLEX(LDM2_DCR,B1175*LDM2_L)),COMPLEX(0,B1175*LDM2_CPA))))</f>
        <v>0</v>
      </c>
      <c r="J1175">
        <f>IMSUM(IMDIV("1",COMPLEX(CX2_ESR,B1175*CX2_ESL-1/(B1175*CX2_C))),IMDIV("1",IMSUM(COMPLEX(DUMP2_R,0),COMPLEX(DUMP2_ESR,B1175*DUMP2_ESL-1/(B1175*DUMP2_C)))))</f>
        <v>0</v>
      </c>
      <c r="K1175">
        <f>IMPRODUCT("2",IMDIV("1",IMSUM(IMDIV("1",COMPLEX(CMC_DCR,B1175*CMC_L*(1-CMC_K))),COMPLEX(0,B1175*CMC_CPA))))</f>
        <v>0</v>
      </c>
      <c r="L1175">
        <f>IMSUM(COMPLEX(0,B1175*CMC_CLINE),IMDIV("1",IMPRODUCT("2",COMPLEX(CY_ESR,B1175*CY_ESL-1/(B1175*CY_C)))),COMPLEX(1/DUMMY_R,0))</f>
        <v>0</v>
      </c>
      <c r="M1175">
        <f>IMSUM(D1175,IMDIV("1",C1175))</f>
        <v>0</v>
      </c>
      <c r="N1175">
        <f>IMDIV("1",IMSUM(E1175,IMDIV("1",M1175)))</f>
        <v>0</v>
      </c>
      <c r="O1175">
        <f>IMSUM(F1175,N1175)</f>
        <v>0</v>
      </c>
      <c r="P1175">
        <f>IMDIV("1",IMSUM(G1175,IMDIV("1",O1175)))</f>
        <v>0</v>
      </c>
      <c r="Q1175">
        <f>IMSUM(H1175,P1175)</f>
        <v>0</v>
      </c>
      <c r="R1175">
        <f>IMDIV("1",IMSUM(I1175,IMDIV("1",Q1175)))</f>
        <v>0</v>
      </c>
      <c r="S1175">
        <f>IMSUM(J1175,R1175)</f>
        <v>0</v>
      </c>
      <c r="T1175">
        <f>IMDIV("1",IMSUM(K1175,IMDIV("1",S1175)))</f>
        <v>0</v>
      </c>
      <c r="U1175">
        <f>IMSUM(L1175,T1175)</f>
        <v>0</v>
      </c>
      <c r="V1175">
        <f>IMDIV(COMPLEX(I_DM_SOURCE,0),U1175)</f>
        <v>0</v>
      </c>
      <c r="W1175">
        <f>IMPRODUCT(V1175,T1175)</f>
        <v>0</v>
      </c>
      <c r="X1175">
        <f>IMDIV(W1175,S1175)</f>
        <v>0</v>
      </c>
      <c r="Y1175">
        <f>IMPRODUCT(X1175,R1175)</f>
        <v>0</v>
      </c>
      <c r="Z1175">
        <f>IMDIV(Y1175,Q1175)</f>
        <v>0</v>
      </c>
      <c r="AA1175">
        <f>IMPRODUCT(Z1175,P1175)</f>
        <v>0</v>
      </c>
      <c r="AB1175">
        <f>AA1175</f>
        <v>0</v>
      </c>
      <c r="AC1175">
        <f>IMPRODUCT("-1",AB1175)</f>
        <v>0</v>
      </c>
      <c r="AD1175">
        <f>IMDIV(IMSUB(AB1175,AC1175),"2")</f>
        <v>0</v>
      </c>
      <c r="AE1175" s="6">
        <f>IMABS(AB1175)</f>
        <v>0</v>
      </c>
      <c r="AF1175" s="6">
        <f>IMABS(AC1175)</f>
        <v>0</v>
      </c>
      <c r="AG1175" s="6">
        <f>IMABS(AD1175)</f>
        <v>0</v>
      </c>
      <c r="AH1175" s="7">
        <f>20*LOG10(MAX(AE1175,1E-300)*1E6)</f>
        <v>0</v>
      </c>
      <c r="AI1175" s="7">
        <f>20*LOG10(MAX(AF1175,1E-300)*1E6)</f>
        <v>0</v>
      </c>
      <c r="AJ1175" s="7">
        <f>20*LOG10(MAX(AG1175,1E-300)*1E6)</f>
        <v>0</v>
      </c>
      <c r="AK1175" s="7">
        <f>DEGREES(IMARGUMENT(AB1175))</f>
        <v>0</v>
      </c>
      <c r="AL1175" s="7">
        <f>DEGREES(IMARGUMENT(AC1175))</f>
        <v>0</v>
      </c>
      <c r="AM1175" s="7">
        <f>DEGREES(IMARGUMENT(AD1175))</f>
        <v>0</v>
      </c>
    </row>
    <row r="1176" spans="1:39">
      <c r="A1176" s="6">
        <f>10^(LOG10(F_START)+(ROW()-ROW($A$2))*(LOG10(F_STOP)-LOG10(F_START))/(N_POINTS-1))</f>
        <v>0</v>
      </c>
      <c r="B1176" s="6">
        <f>2*PI()*A1176</f>
        <v>0</v>
      </c>
      <c r="C1176">
        <f>COMPLEX(2*LINE_PS_DCR,2*B1176*LINE_PS_L)</f>
        <v>0</v>
      </c>
      <c r="D1176">
        <f>IMSUM(COMPLEX(0,B1176*(LINE_PS_CLINE+LINE_PS_CCHA/2)),IMDIV("1",IMPRODUCT("2",COMPLEX(C_THROUGH_ESR,B1176*C_THROUGH_ESL-1/(B1176*C_THROUGH_C)))))</f>
        <v>0</v>
      </c>
      <c r="E1176">
        <f>COMPLEX(2*LINE_INPUT_DCR,2*B1176*LINE_INPUT_L)</f>
        <v>0</v>
      </c>
      <c r="F1176">
        <f>COMPLEX(0,B1176*(LINE_INPUT_CLINE+LINE_INPUT_CCHA/2))</f>
        <v>0</v>
      </c>
      <c r="G1176">
        <f>IMPRODUCT("2",IMDIV("1",IMSUM(IMDIV("1",COMPLEX(LDM1_DCR,B1176*LDM1_L)),COMPLEX(0,B1176*LDM1_CPA))))</f>
        <v>0</v>
      </c>
      <c r="H1176">
        <f>IMSUM(IMDIV("1",COMPLEX(CX1_ESR,B1176*CX1_ESL-1/(B1176*CX1_C))),IMDIV("1",IMSUM(COMPLEX(DUMP1_R,0),COMPLEX(DUMP1_ESR,B1176*DUMP1_ESL-1/(B1176*DUMP1_C)))))</f>
        <v>0</v>
      </c>
      <c r="I1176">
        <f>IMPRODUCT("2",IMDIV("1",IMSUM(IMDIV("1",COMPLEX(LDM2_DCR,B1176*LDM2_L)),COMPLEX(0,B1176*LDM2_CPA))))</f>
        <v>0</v>
      </c>
      <c r="J1176">
        <f>IMSUM(IMDIV("1",COMPLEX(CX2_ESR,B1176*CX2_ESL-1/(B1176*CX2_C))),IMDIV("1",IMSUM(COMPLEX(DUMP2_R,0),COMPLEX(DUMP2_ESR,B1176*DUMP2_ESL-1/(B1176*DUMP2_C)))))</f>
        <v>0</v>
      </c>
      <c r="K1176">
        <f>IMPRODUCT("2",IMDIV("1",IMSUM(IMDIV("1",COMPLEX(CMC_DCR,B1176*CMC_L*(1-CMC_K))),COMPLEX(0,B1176*CMC_CPA))))</f>
        <v>0</v>
      </c>
      <c r="L1176">
        <f>IMSUM(COMPLEX(0,B1176*CMC_CLINE),IMDIV("1",IMPRODUCT("2",COMPLEX(CY_ESR,B1176*CY_ESL-1/(B1176*CY_C)))),COMPLEX(1/DUMMY_R,0))</f>
        <v>0</v>
      </c>
      <c r="M1176">
        <f>IMSUM(D1176,IMDIV("1",C1176))</f>
        <v>0</v>
      </c>
      <c r="N1176">
        <f>IMDIV("1",IMSUM(E1176,IMDIV("1",M1176)))</f>
        <v>0</v>
      </c>
      <c r="O1176">
        <f>IMSUM(F1176,N1176)</f>
        <v>0</v>
      </c>
      <c r="P1176">
        <f>IMDIV("1",IMSUM(G1176,IMDIV("1",O1176)))</f>
        <v>0</v>
      </c>
      <c r="Q1176">
        <f>IMSUM(H1176,P1176)</f>
        <v>0</v>
      </c>
      <c r="R1176">
        <f>IMDIV("1",IMSUM(I1176,IMDIV("1",Q1176)))</f>
        <v>0</v>
      </c>
      <c r="S1176">
        <f>IMSUM(J1176,R1176)</f>
        <v>0</v>
      </c>
      <c r="T1176">
        <f>IMDIV("1",IMSUM(K1176,IMDIV("1",S1176)))</f>
        <v>0</v>
      </c>
      <c r="U1176">
        <f>IMSUM(L1176,T1176)</f>
        <v>0</v>
      </c>
      <c r="V1176">
        <f>IMDIV(COMPLEX(I_DM_SOURCE,0),U1176)</f>
        <v>0</v>
      </c>
      <c r="W1176">
        <f>IMPRODUCT(V1176,T1176)</f>
        <v>0</v>
      </c>
      <c r="X1176">
        <f>IMDIV(W1176,S1176)</f>
        <v>0</v>
      </c>
      <c r="Y1176">
        <f>IMPRODUCT(X1176,R1176)</f>
        <v>0</v>
      </c>
      <c r="Z1176">
        <f>IMDIV(Y1176,Q1176)</f>
        <v>0</v>
      </c>
      <c r="AA1176">
        <f>IMPRODUCT(Z1176,P1176)</f>
        <v>0</v>
      </c>
      <c r="AB1176">
        <f>AA1176</f>
        <v>0</v>
      </c>
      <c r="AC1176">
        <f>IMPRODUCT("-1",AB1176)</f>
        <v>0</v>
      </c>
      <c r="AD1176">
        <f>IMDIV(IMSUB(AB1176,AC1176),"2")</f>
        <v>0</v>
      </c>
      <c r="AE1176" s="6">
        <f>IMABS(AB1176)</f>
        <v>0</v>
      </c>
      <c r="AF1176" s="6">
        <f>IMABS(AC1176)</f>
        <v>0</v>
      </c>
      <c r="AG1176" s="6">
        <f>IMABS(AD1176)</f>
        <v>0</v>
      </c>
      <c r="AH1176" s="7">
        <f>20*LOG10(MAX(AE1176,1E-300)*1E6)</f>
        <v>0</v>
      </c>
      <c r="AI1176" s="7">
        <f>20*LOG10(MAX(AF1176,1E-300)*1E6)</f>
        <v>0</v>
      </c>
      <c r="AJ1176" s="7">
        <f>20*LOG10(MAX(AG1176,1E-300)*1E6)</f>
        <v>0</v>
      </c>
      <c r="AK1176" s="7">
        <f>DEGREES(IMARGUMENT(AB1176))</f>
        <v>0</v>
      </c>
      <c r="AL1176" s="7">
        <f>DEGREES(IMARGUMENT(AC1176))</f>
        <v>0</v>
      </c>
      <c r="AM1176" s="7">
        <f>DEGREES(IMARGUMENT(AD1176))</f>
        <v>0</v>
      </c>
    </row>
    <row r="1177" spans="1:39">
      <c r="A1177" s="6">
        <f>10^(LOG10(F_START)+(ROW()-ROW($A$2))*(LOG10(F_STOP)-LOG10(F_START))/(N_POINTS-1))</f>
        <v>0</v>
      </c>
      <c r="B1177" s="6">
        <f>2*PI()*A1177</f>
        <v>0</v>
      </c>
      <c r="C1177">
        <f>COMPLEX(2*LINE_PS_DCR,2*B1177*LINE_PS_L)</f>
        <v>0</v>
      </c>
      <c r="D1177">
        <f>IMSUM(COMPLEX(0,B1177*(LINE_PS_CLINE+LINE_PS_CCHA/2)),IMDIV("1",IMPRODUCT("2",COMPLEX(C_THROUGH_ESR,B1177*C_THROUGH_ESL-1/(B1177*C_THROUGH_C)))))</f>
        <v>0</v>
      </c>
      <c r="E1177">
        <f>COMPLEX(2*LINE_INPUT_DCR,2*B1177*LINE_INPUT_L)</f>
        <v>0</v>
      </c>
      <c r="F1177">
        <f>COMPLEX(0,B1177*(LINE_INPUT_CLINE+LINE_INPUT_CCHA/2))</f>
        <v>0</v>
      </c>
      <c r="G1177">
        <f>IMPRODUCT("2",IMDIV("1",IMSUM(IMDIV("1",COMPLEX(LDM1_DCR,B1177*LDM1_L)),COMPLEX(0,B1177*LDM1_CPA))))</f>
        <v>0</v>
      </c>
      <c r="H1177">
        <f>IMSUM(IMDIV("1",COMPLEX(CX1_ESR,B1177*CX1_ESL-1/(B1177*CX1_C))),IMDIV("1",IMSUM(COMPLEX(DUMP1_R,0),COMPLEX(DUMP1_ESR,B1177*DUMP1_ESL-1/(B1177*DUMP1_C)))))</f>
        <v>0</v>
      </c>
      <c r="I1177">
        <f>IMPRODUCT("2",IMDIV("1",IMSUM(IMDIV("1",COMPLEX(LDM2_DCR,B1177*LDM2_L)),COMPLEX(0,B1177*LDM2_CPA))))</f>
        <v>0</v>
      </c>
      <c r="J1177">
        <f>IMSUM(IMDIV("1",COMPLEX(CX2_ESR,B1177*CX2_ESL-1/(B1177*CX2_C))),IMDIV("1",IMSUM(COMPLEX(DUMP2_R,0),COMPLEX(DUMP2_ESR,B1177*DUMP2_ESL-1/(B1177*DUMP2_C)))))</f>
        <v>0</v>
      </c>
      <c r="K1177">
        <f>IMPRODUCT("2",IMDIV("1",IMSUM(IMDIV("1",COMPLEX(CMC_DCR,B1177*CMC_L*(1-CMC_K))),COMPLEX(0,B1177*CMC_CPA))))</f>
        <v>0</v>
      </c>
      <c r="L1177">
        <f>IMSUM(COMPLEX(0,B1177*CMC_CLINE),IMDIV("1",IMPRODUCT("2",COMPLEX(CY_ESR,B1177*CY_ESL-1/(B1177*CY_C)))),COMPLEX(1/DUMMY_R,0))</f>
        <v>0</v>
      </c>
      <c r="M1177">
        <f>IMSUM(D1177,IMDIV("1",C1177))</f>
        <v>0</v>
      </c>
      <c r="N1177">
        <f>IMDIV("1",IMSUM(E1177,IMDIV("1",M1177)))</f>
        <v>0</v>
      </c>
      <c r="O1177">
        <f>IMSUM(F1177,N1177)</f>
        <v>0</v>
      </c>
      <c r="P1177">
        <f>IMDIV("1",IMSUM(G1177,IMDIV("1",O1177)))</f>
        <v>0</v>
      </c>
      <c r="Q1177">
        <f>IMSUM(H1177,P1177)</f>
        <v>0</v>
      </c>
      <c r="R1177">
        <f>IMDIV("1",IMSUM(I1177,IMDIV("1",Q1177)))</f>
        <v>0</v>
      </c>
      <c r="S1177">
        <f>IMSUM(J1177,R1177)</f>
        <v>0</v>
      </c>
      <c r="T1177">
        <f>IMDIV("1",IMSUM(K1177,IMDIV("1",S1177)))</f>
        <v>0</v>
      </c>
      <c r="U1177">
        <f>IMSUM(L1177,T1177)</f>
        <v>0</v>
      </c>
      <c r="V1177">
        <f>IMDIV(COMPLEX(I_DM_SOURCE,0),U1177)</f>
        <v>0</v>
      </c>
      <c r="W1177">
        <f>IMPRODUCT(V1177,T1177)</f>
        <v>0</v>
      </c>
      <c r="X1177">
        <f>IMDIV(W1177,S1177)</f>
        <v>0</v>
      </c>
      <c r="Y1177">
        <f>IMPRODUCT(X1177,R1177)</f>
        <v>0</v>
      </c>
      <c r="Z1177">
        <f>IMDIV(Y1177,Q1177)</f>
        <v>0</v>
      </c>
      <c r="AA1177">
        <f>IMPRODUCT(Z1177,P1177)</f>
        <v>0</v>
      </c>
      <c r="AB1177">
        <f>AA1177</f>
        <v>0</v>
      </c>
      <c r="AC1177">
        <f>IMPRODUCT("-1",AB1177)</f>
        <v>0</v>
      </c>
      <c r="AD1177">
        <f>IMDIV(IMSUB(AB1177,AC1177),"2")</f>
        <v>0</v>
      </c>
      <c r="AE1177" s="6">
        <f>IMABS(AB1177)</f>
        <v>0</v>
      </c>
      <c r="AF1177" s="6">
        <f>IMABS(AC1177)</f>
        <v>0</v>
      </c>
      <c r="AG1177" s="6">
        <f>IMABS(AD1177)</f>
        <v>0</v>
      </c>
      <c r="AH1177" s="7">
        <f>20*LOG10(MAX(AE1177,1E-300)*1E6)</f>
        <v>0</v>
      </c>
      <c r="AI1177" s="7">
        <f>20*LOG10(MAX(AF1177,1E-300)*1E6)</f>
        <v>0</v>
      </c>
      <c r="AJ1177" s="7">
        <f>20*LOG10(MAX(AG1177,1E-300)*1E6)</f>
        <v>0</v>
      </c>
      <c r="AK1177" s="7">
        <f>DEGREES(IMARGUMENT(AB1177))</f>
        <v>0</v>
      </c>
      <c r="AL1177" s="7">
        <f>DEGREES(IMARGUMENT(AC1177))</f>
        <v>0</v>
      </c>
      <c r="AM1177" s="7">
        <f>DEGREES(IMARGUMENT(AD1177))</f>
        <v>0</v>
      </c>
    </row>
    <row r="1178" spans="1:39">
      <c r="A1178" s="6">
        <f>10^(LOG10(F_START)+(ROW()-ROW($A$2))*(LOG10(F_STOP)-LOG10(F_START))/(N_POINTS-1))</f>
        <v>0</v>
      </c>
      <c r="B1178" s="6">
        <f>2*PI()*A1178</f>
        <v>0</v>
      </c>
      <c r="C1178">
        <f>COMPLEX(2*LINE_PS_DCR,2*B1178*LINE_PS_L)</f>
        <v>0</v>
      </c>
      <c r="D1178">
        <f>IMSUM(COMPLEX(0,B1178*(LINE_PS_CLINE+LINE_PS_CCHA/2)),IMDIV("1",IMPRODUCT("2",COMPLEX(C_THROUGH_ESR,B1178*C_THROUGH_ESL-1/(B1178*C_THROUGH_C)))))</f>
        <v>0</v>
      </c>
      <c r="E1178">
        <f>COMPLEX(2*LINE_INPUT_DCR,2*B1178*LINE_INPUT_L)</f>
        <v>0</v>
      </c>
      <c r="F1178">
        <f>COMPLEX(0,B1178*(LINE_INPUT_CLINE+LINE_INPUT_CCHA/2))</f>
        <v>0</v>
      </c>
      <c r="G1178">
        <f>IMPRODUCT("2",IMDIV("1",IMSUM(IMDIV("1",COMPLEX(LDM1_DCR,B1178*LDM1_L)),COMPLEX(0,B1178*LDM1_CPA))))</f>
        <v>0</v>
      </c>
      <c r="H1178">
        <f>IMSUM(IMDIV("1",COMPLEX(CX1_ESR,B1178*CX1_ESL-1/(B1178*CX1_C))),IMDIV("1",IMSUM(COMPLEX(DUMP1_R,0),COMPLEX(DUMP1_ESR,B1178*DUMP1_ESL-1/(B1178*DUMP1_C)))))</f>
        <v>0</v>
      </c>
      <c r="I1178">
        <f>IMPRODUCT("2",IMDIV("1",IMSUM(IMDIV("1",COMPLEX(LDM2_DCR,B1178*LDM2_L)),COMPLEX(0,B1178*LDM2_CPA))))</f>
        <v>0</v>
      </c>
      <c r="J1178">
        <f>IMSUM(IMDIV("1",COMPLEX(CX2_ESR,B1178*CX2_ESL-1/(B1178*CX2_C))),IMDIV("1",IMSUM(COMPLEX(DUMP2_R,0),COMPLEX(DUMP2_ESR,B1178*DUMP2_ESL-1/(B1178*DUMP2_C)))))</f>
        <v>0</v>
      </c>
      <c r="K1178">
        <f>IMPRODUCT("2",IMDIV("1",IMSUM(IMDIV("1",COMPLEX(CMC_DCR,B1178*CMC_L*(1-CMC_K))),COMPLEX(0,B1178*CMC_CPA))))</f>
        <v>0</v>
      </c>
      <c r="L1178">
        <f>IMSUM(COMPLEX(0,B1178*CMC_CLINE),IMDIV("1",IMPRODUCT("2",COMPLEX(CY_ESR,B1178*CY_ESL-1/(B1178*CY_C)))),COMPLEX(1/DUMMY_R,0))</f>
        <v>0</v>
      </c>
      <c r="M1178">
        <f>IMSUM(D1178,IMDIV("1",C1178))</f>
        <v>0</v>
      </c>
      <c r="N1178">
        <f>IMDIV("1",IMSUM(E1178,IMDIV("1",M1178)))</f>
        <v>0</v>
      </c>
      <c r="O1178">
        <f>IMSUM(F1178,N1178)</f>
        <v>0</v>
      </c>
      <c r="P1178">
        <f>IMDIV("1",IMSUM(G1178,IMDIV("1",O1178)))</f>
        <v>0</v>
      </c>
      <c r="Q1178">
        <f>IMSUM(H1178,P1178)</f>
        <v>0</v>
      </c>
      <c r="R1178">
        <f>IMDIV("1",IMSUM(I1178,IMDIV("1",Q1178)))</f>
        <v>0</v>
      </c>
      <c r="S1178">
        <f>IMSUM(J1178,R1178)</f>
        <v>0</v>
      </c>
      <c r="T1178">
        <f>IMDIV("1",IMSUM(K1178,IMDIV("1",S1178)))</f>
        <v>0</v>
      </c>
      <c r="U1178">
        <f>IMSUM(L1178,T1178)</f>
        <v>0</v>
      </c>
      <c r="V1178">
        <f>IMDIV(COMPLEX(I_DM_SOURCE,0),U1178)</f>
        <v>0</v>
      </c>
      <c r="W1178">
        <f>IMPRODUCT(V1178,T1178)</f>
        <v>0</v>
      </c>
      <c r="X1178">
        <f>IMDIV(W1178,S1178)</f>
        <v>0</v>
      </c>
      <c r="Y1178">
        <f>IMPRODUCT(X1178,R1178)</f>
        <v>0</v>
      </c>
      <c r="Z1178">
        <f>IMDIV(Y1178,Q1178)</f>
        <v>0</v>
      </c>
      <c r="AA1178">
        <f>IMPRODUCT(Z1178,P1178)</f>
        <v>0</v>
      </c>
      <c r="AB1178">
        <f>AA1178</f>
        <v>0</v>
      </c>
      <c r="AC1178">
        <f>IMPRODUCT("-1",AB1178)</f>
        <v>0</v>
      </c>
      <c r="AD1178">
        <f>IMDIV(IMSUB(AB1178,AC1178),"2")</f>
        <v>0</v>
      </c>
      <c r="AE1178" s="6">
        <f>IMABS(AB1178)</f>
        <v>0</v>
      </c>
      <c r="AF1178" s="6">
        <f>IMABS(AC1178)</f>
        <v>0</v>
      </c>
      <c r="AG1178" s="6">
        <f>IMABS(AD1178)</f>
        <v>0</v>
      </c>
      <c r="AH1178" s="7">
        <f>20*LOG10(MAX(AE1178,1E-300)*1E6)</f>
        <v>0</v>
      </c>
      <c r="AI1178" s="7">
        <f>20*LOG10(MAX(AF1178,1E-300)*1E6)</f>
        <v>0</v>
      </c>
      <c r="AJ1178" s="7">
        <f>20*LOG10(MAX(AG1178,1E-300)*1E6)</f>
        <v>0</v>
      </c>
      <c r="AK1178" s="7">
        <f>DEGREES(IMARGUMENT(AB1178))</f>
        <v>0</v>
      </c>
      <c r="AL1178" s="7">
        <f>DEGREES(IMARGUMENT(AC1178))</f>
        <v>0</v>
      </c>
      <c r="AM1178" s="7">
        <f>DEGREES(IMARGUMENT(AD1178))</f>
        <v>0</v>
      </c>
    </row>
    <row r="1179" spans="1:39">
      <c r="A1179" s="6">
        <f>10^(LOG10(F_START)+(ROW()-ROW($A$2))*(LOG10(F_STOP)-LOG10(F_START))/(N_POINTS-1))</f>
        <v>0</v>
      </c>
      <c r="B1179" s="6">
        <f>2*PI()*A1179</f>
        <v>0</v>
      </c>
      <c r="C1179">
        <f>COMPLEX(2*LINE_PS_DCR,2*B1179*LINE_PS_L)</f>
        <v>0</v>
      </c>
      <c r="D1179">
        <f>IMSUM(COMPLEX(0,B1179*(LINE_PS_CLINE+LINE_PS_CCHA/2)),IMDIV("1",IMPRODUCT("2",COMPLEX(C_THROUGH_ESR,B1179*C_THROUGH_ESL-1/(B1179*C_THROUGH_C)))))</f>
        <v>0</v>
      </c>
      <c r="E1179">
        <f>COMPLEX(2*LINE_INPUT_DCR,2*B1179*LINE_INPUT_L)</f>
        <v>0</v>
      </c>
      <c r="F1179">
        <f>COMPLEX(0,B1179*(LINE_INPUT_CLINE+LINE_INPUT_CCHA/2))</f>
        <v>0</v>
      </c>
      <c r="G1179">
        <f>IMPRODUCT("2",IMDIV("1",IMSUM(IMDIV("1",COMPLEX(LDM1_DCR,B1179*LDM1_L)),COMPLEX(0,B1179*LDM1_CPA))))</f>
        <v>0</v>
      </c>
      <c r="H1179">
        <f>IMSUM(IMDIV("1",COMPLEX(CX1_ESR,B1179*CX1_ESL-1/(B1179*CX1_C))),IMDIV("1",IMSUM(COMPLEX(DUMP1_R,0),COMPLEX(DUMP1_ESR,B1179*DUMP1_ESL-1/(B1179*DUMP1_C)))))</f>
        <v>0</v>
      </c>
      <c r="I1179">
        <f>IMPRODUCT("2",IMDIV("1",IMSUM(IMDIV("1",COMPLEX(LDM2_DCR,B1179*LDM2_L)),COMPLEX(0,B1179*LDM2_CPA))))</f>
        <v>0</v>
      </c>
      <c r="J1179">
        <f>IMSUM(IMDIV("1",COMPLEX(CX2_ESR,B1179*CX2_ESL-1/(B1179*CX2_C))),IMDIV("1",IMSUM(COMPLEX(DUMP2_R,0),COMPLEX(DUMP2_ESR,B1179*DUMP2_ESL-1/(B1179*DUMP2_C)))))</f>
        <v>0</v>
      </c>
      <c r="K1179">
        <f>IMPRODUCT("2",IMDIV("1",IMSUM(IMDIV("1",COMPLEX(CMC_DCR,B1179*CMC_L*(1-CMC_K))),COMPLEX(0,B1179*CMC_CPA))))</f>
        <v>0</v>
      </c>
      <c r="L1179">
        <f>IMSUM(COMPLEX(0,B1179*CMC_CLINE),IMDIV("1",IMPRODUCT("2",COMPLEX(CY_ESR,B1179*CY_ESL-1/(B1179*CY_C)))),COMPLEX(1/DUMMY_R,0))</f>
        <v>0</v>
      </c>
      <c r="M1179">
        <f>IMSUM(D1179,IMDIV("1",C1179))</f>
        <v>0</v>
      </c>
      <c r="N1179">
        <f>IMDIV("1",IMSUM(E1179,IMDIV("1",M1179)))</f>
        <v>0</v>
      </c>
      <c r="O1179">
        <f>IMSUM(F1179,N1179)</f>
        <v>0</v>
      </c>
      <c r="P1179">
        <f>IMDIV("1",IMSUM(G1179,IMDIV("1",O1179)))</f>
        <v>0</v>
      </c>
      <c r="Q1179">
        <f>IMSUM(H1179,P1179)</f>
        <v>0</v>
      </c>
      <c r="R1179">
        <f>IMDIV("1",IMSUM(I1179,IMDIV("1",Q1179)))</f>
        <v>0</v>
      </c>
      <c r="S1179">
        <f>IMSUM(J1179,R1179)</f>
        <v>0</v>
      </c>
      <c r="T1179">
        <f>IMDIV("1",IMSUM(K1179,IMDIV("1",S1179)))</f>
        <v>0</v>
      </c>
      <c r="U1179">
        <f>IMSUM(L1179,T1179)</f>
        <v>0</v>
      </c>
      <c r="V1179">
        <f>IMDIV(COMPLEX(I_DM_SOURCE,0),U1179)</f>
        <v>0</v>
      </c>
      <c r="W1179">
        <f>IMPRODUCT(V1179,T1179)</f>
        <v>0</v>
      </c>
      <c r="X1179">
        <f>IMDIV(W1179,S1179)</f>
        <v>0</v>
      </c>
      <c r="Y1179">
        <f>IMPRODUCT(X1179,R1179)</f>
        <v>0</v>
      </c>
      <c r="Z1179">
        <f>IMDIV(Y1179,Q1179)</f>
        <v>0</v>
      </c>
      <c r="AA1179">
        <f>IMPRODUCT(Z1179,P1179)</f>
        <v>0</v>
      </c>
      <c r="AB1179">
        <f>AA1179</f>
        <v>0</v>
      </c>
      <c r="AC1179">
        <f>IMPRODUCT("-1",AB1179)</f>
        <v>0</v>
      </c>
      <c r="AD1179">
        <f>IMDIV(IMSUB(AB1179,AC1179),"2")</f>
        <v>0</v>
      </c>
      <c r="AE1179" s="6">
        <f>IMABS(AB1179)</f>
        <v>0</v>
      </c>
      <c r="AF1179" s="6">
        <f>IMABS(AC1179)</f>
        <v>0</v>
      </c>
      <c r="AG1179" s="6">
        <f>IMABS(AD1179)</f>
        <v>0</v>
      </c>
      <c r="AH1179" s="7">
        <f>20*LOG10(MAX(AE1179,1E-300)*1E6)</f>
        <v>0</v>
      </c>
      <c r="AI1179" s="7">
        <f>20*LOG10(MAX(AF1179,1E-300)*1E6)</f>
        <v>0</v>
      </c>
      <c r="AJ1179" s="7">
        <f>20*LOG10(MAX(AG1179,1E-300)*1E6)</f>
        <v>0</v>
      </c>
      <c r="AK1179" s="7">
        <f>DEGREES(IMARGUMENT(AB1179))</f>
        <v>0</v>
      </c>
      <c r="AL1179" s="7">
        <f>DEGREES(IMARGUMENT(AC1179))</f>
        <v>0</v>
      </c>
      <c r="AM1179" s="7">
        <f>DEGREES(IMARGUMENT(AD1179))</f>
        <v>0</v>
      </c>
    </row>
    <row r="1180" spans="1:39">
      <c r="A1180" s="6">
        <f>10^(LOG10(F_START)+(ROW()-ROW($A$2))*(LOG10(F_STOP)-LOG10(F_START))/(N_POINTS-1))</f>
        <v>0</v>
      </c>
      <c r="B1180" s="6">
        <f>2*PI()*A1180</f>
        <v>0</v>
      </c>
      <c r="C1180">
        <f>COMPLEX(2*LINE_PS_DCR,2*B1180*LINE_PS_L)</f>
        <v>0</v>
      </c>
      <c r="D1180">
        <f>IMSUM(COMPLEX(0,B1180*(LINE_PS_CLINE+LINE_PS_CCHA/2)),IMDIV("1",IMPRODUCT("2",COMPLEX(C_THROUGH_ESR,B1180*C_THROUGH_ESL-1/(B1180*C_THROUGH_C)))))</f>
        <v>0</v>
      </c>
      <c r="E1180">
        <f>COMPLEX(2*LINE_INPUT_DCR,2*B1180*LINE_INPUT_L)</f>
        <v>0</v>
      </c>
      <c r="F1180">
        <f>COMPLEX(0,B1180*(LINE_INPUT_CLINE+LINE_INPUT_CCHA/2))</f>
        <v>0</v>
      </c>
      <c r="G1180">
        <f>IMPRODUCT("2",IMDIV("1",IMSUM(IMDIV("1",COMPLEX(LDM1_DCR,B1180*LDM1_L)),COMPLEX(0,B1180*LDM1_CPA))))</f>
        <v>0</v>
      </c>
      <c r="H1180">
        <f>IMSUM(IMDIV("1",COMPLEX(CX1_ESR,B1180*CX1_ESL-1/(B1180*CX1_C))),IMDIV("1",IMSUM(COMPLEX(DUMP1_R,0),COMPLEX(DUMP1_ESR,B1180*DUMP1_ESL-1/(B1180*DUMP1_C)))))</f>
        <v>0</v>
      </c>
      <c r="I1180">
        <f>IMPRODUCT("2",IMDIV("1",IMSUM(IMDIV("1",COMPLEX(LDM2_DCR,B1180*LDM2_L)),COMPLEX(0,B1180*LDM2_CPA))))</f>
        <v>0</v>
      </c>
      <c r="J1180">
        <f>IMSUM(IMDIV("1",COMPLEX(CX2_ESR,B1180*CX2_ESL-1/(B1180*CX2_C))),IMDIV("1",IMSUM(COMPLEX(DUMP2_R,0),COMPLEX(DUMP2_ESR,B1180*DUMP2_ESL-1/(B1180*DUMP2_C)))))</f>
        <v>0</v>
      </c>
      <c r="K1180">
        <f>IMPRODUCT("2",IMDIV("1",IMSUM(IMDIV("1",COMPLEX(CMC_DCR,B1180*CMC_L*(1-CMC_K))),COMPLEX(0,B1180*CMC_CPA))))</f>
        <v>0</v>
      </c>
      <c r="L1180">
        <f>IMSUM(COMPLEX(0,B1180*CMC_CLINE),IMDIV("1",IMPRODUCT("2",COMPLEX(CY_ESR,B1180*CY_ESL-1/(B1180*CY_C)))),COMPLEX(1/DUMMY_R,0))</f>
        <v>0</v>
      </c>
      <c r="M1180">
        <f>IMSUM(D1180,IMDIV("1",C1180))</f>
        <v>0</v>
      </c>
      <c r="N1180">
        <f>IMDIV("1",IMSUM(E1180,IMDIV("1",M1180)))</f>
        <v>0</v>
      </c>
      <c r="O1180">
        <f>IMSUM(F1180,N1180)</f>
        <v>0</v>
      </c>
      <c r="P1180">
        <f>IMDIV("1",IMSUM(G1180,IMDIV("1",O1180)))</f>
        <v>0</v>
      </c>
      <c r="Q1180">
        <f>IMSUM(H1180,P1180)</f>
        <v>0</v>
      </c>
      <c r="R1180">
        <f>IMDIV("1",IMSUM(I1180,IMDIV("1",Q1180)))</f>
        <v>0</v>
      </c>
      <c r="S1180">
        <f>IMSUM(J1180,R1180)</f>
        <v>0</v>
      </c>
      <c r="T1180">
        <f>IMDIV("1",IMSUM(K1180,IMDIV("1",S1180)))</f>
        <v>0</v>
      </c>
      <c r="U1180">
        <f>IMSUM(L1180,T1180)</f>
        <v>0</v>
      </c>
      <c r="V1180">
        <f>IMDIV(COMPLEX(I_DM_SOURCE,0),U1180)</f>
        <v>0</v>
      </c>
      <c r="W1180">
        <f>IMPRODUCT(V1180,T1180)</f>
        <v>0</v>
      </c>
      <c r="X1180">
        <f>IMDIV(W1180,S1180)</f>
        <v>0</v>
      </c>
      <c r="Y1180">
        <f>IMPRODUCT(X1180,R1180)</f>
        <v>0</v>
      </c>
      <c r="Z1180">
        <f>IMDIV(Y1180,Q1180)</f>
        <v>0</v>
      </c>
      <c r="AA1180">
        <f>IMPRODUCT(Z1180,P1180)</f>
        <v>0</v>
      </c>
      <c r="AB1180">
        <f>AA1180</f>
        <v>0</v>
      </c>
      <c r="AC1180">
        <f>IMPRODUCT("-1",AB1180)</f>
        <v>0</v>
      </c>
      <c r="AD1180">
        <f>IMDIV(IMSUB(AB1180,AC1180),"2")</f>
        <v>0</v>
      </c>
      <c r="AE1180" s="6">
        <f>IMABS(AB1180)</f>
        <v>0</v>
      </c>
      <c r="AF1180" s="6">
        <f>IMABS(AC1180)</f>
        <v>0</v>
      </c>
      <c r="AG1180" s="6">
        <f>IMABS(AD1180)</f>
        <v>0</v>
      </c>
      <c r="AH1180" s="7">
        <f>20*LOG10(MAX(AE1180,1E-300)*1E6)</f>
        <v>0</v>
      </c>
      <c r="AI1180" s="7">
        <f>20*LOG10(MAX(AF1180,1E-300)*1E6)</f>
        <v>0</v>
      </c>
      <c r="AJ1180" s="7">
        <f>20*LOG10(MAX(AG1180,1E-300)*1E6)</f>
        <v>0</v>
      </c>
      <c r="AK1180" s="7">
        <f>DEGREES(IMARGUMENT(AB1180))</f>
        <v>0</v>
      </c>
      <c r="AL1180" s="7">
        <f>DEGREES(IMARGUMENT(AC1180))</f>
        <v>0</v>
      </c>
      <c r="AM1180" s="7">
        <f>DEGREES(IMARGUMENT(AD1180))</f>
        <v>0</v>
      </c>
    </row>
    <row r="1181" spans="1:39">
      <c r="A1181" s="6">
        <f>10^(LOG10(F_START)+(ROW()-ROW($A$2))*(LOG10(F_STOP)-LOG10(F_START))/(N_POINTS-1))</f>
        <v>0</v>
      </c>
      <c r="B1181" s="6">
        <f>2*PI()*A1181</f>
        <v>0</v>
      </c>
      <c r="C1181">
        <f>COMPLEX(2*LINE_PS_DCR,2*B1181*LINE_PS_L)</f>
        <v>0</v>
      </c>
      <c r="D1181">
        <f>IMSUM(COMPLEX(0,B1181*(LINE_PS_CLINE+LINE_PS_CCHA/2)),IMDIV("1",IMPRODUCT("2",COMPLEX(C_THROUGH_ESR,B1181*C_THROUGH_ESL-1/(B1181*C_THROUGH_C)))))</f>
        <v>0</v>
      </c>
      <c r="E1181">
        <f>COMPLEX(2*LINE_INPUT_DCR,2*B1181*LINE_INPUT_L)</f>
        <v>0</v>
      </c>
      <c r="F1181">
        <f>COMPLEX(0,B1181*(LINE_INPUT_CLINE+LINE_INPUT_CCHA/2))</f>
        <v>0</v>
      </c>
      <c r="G1181">
        <f>IMPRODUCT("2",IMDIV("1",IMSUM(IMDIV("1",COMPLEX(LDM1_DCR,B1181*LDM1_L)),COMPLEX(0,B1181*LDM1_CPA))))</f>
        <v>0</v>
      </c>
      <c r="H1181">
        <f>IMSUM(IMDIV("1",COMPLEX(CX1_ESR,B1181*CX1_ESL-1/(B1181*CX1_C))),IMDIV("1",IMSUM(COMPLEX(DUMP1_R,0),COMPLEX(DUMP1_ESR,B1181*DUMP1_ESL-1/(B1181*DUMP1_C)))))</f>
        <v>0</v>
      </c>
      <c r="I1181">
        <f>IMPRODUCT("2",IMDIV("1",IMSUM(IMDIV("1",COMPLEX(LDM2_DCR,B1181*LDM2_L)),COMPLEX(0,B1181*LDM2_CPA))))</f>
        <v>0</v>
      </c>
      <c r="J1181">
        <f>IMSUM(IMDIV("1",COMPLEX(CX2_ESR,B1181*CX2_ESL-1/(B1181*CX2_C))),IMDIV("1",IMSUM(COMPLEX(DUMP2_R,0),COMPLEX(DUMP2_ESR,B1181*DUMP2_ESL-1/(B1181*DUMP2_C)))))</f>
        <v>0</v>
      </c>
      <c r="K1181">
        <f>IMPRODUCT("2",IMDIV("1",IMSUM(IMDIV("1",COMPLEX(CMC_DCR,B1181*CMC_L*(1-CMC_K))),COMPLEX(0,B1181*CMC_CPA))))</f>
        <v>0</v>
      </c>
      <c r="L1181">
        <f>IMSUM(COMPLEX(0,B1181*CMC_CLINE),IMDIV("1",IMPRODUCT("2",COMPLEX(CY_ESR,B1181*CY_ESL-1/(B1181*CY_C)))),COMPLEX(1/DUMMY_R,0))</f>
        <v>0</v>
      </c>
      <c r="M1181">
        <f>IMSUM(D1181,IMDIV("1",C1181))</f>
        <v>0</v>
      </c>
      <c r="N1181">
        <f>IMDIV("1",IMSUM(E1181,IMDIV("1",M1181)))</f>
        <v>0</v>
      </c>
      <c r="O1181">
        <f>IMSUM(F1181,N1181)</f>
        <v>0</v>
      </c>
      <c r="P1181">
        <f>IMDIV("1",IMSUM(G1181,IMDIV("1",O1181)))</f>
        <v>0</v>
      </c>
      <c r="Q1181">
        <f>IMSUM(H1181,P1181)</f>
        <v>0</v>
      </c>
      <c r="R1181">
        <f>IMDIV("1",IMSUM(I1181,IMDIV("1",Q1181)))</f>
        <v>0</v>
      </c>
      <c r="S1181">
        <f>IMSUM(J1181,R1181)</f>
        <v>0</v>
      </c>
      <c r="T1181">
        <f>IMDIV("1",IMSUM(K1181,IMDIV("1",S1181)))</f>
        <v>0</v>
      </c>
      <c r="U1181">
        <f>IMSUM(L1181,T1181)</f>
        <v>0</v>
      </c>
      <c r="V1181">
        <f>IMDIV(COMPLEX(I_DM_SOURCE,0),U1181)</f>
        <v>0</v>
      </c>
      <c r="W1181">
        <f>IMPRODUCT(V1181,T1181)</f>
        <v>0</v>
      </c>
      <c r="X1181">
        <f>IMDIV(W1181,S1181)</f>
        <v>0</v>
      </c>
      <c r="Y1181">
        <f>IMPRODUCT(X1181,R1181)</f>
        <v>0</v>
      </c>
      <c r="Z1181">
        <f>IMDIV(Y1181,Q1181)</f>
        <v>0</v>
      </c>
      <c r="AA1181">
        <f>IMPRODUCT(Z1181,P1181)</f>
        <v>0</v>
      </c>
      <c r="AB1181">
        <f>AA1181</f>
        <v>0</v>
      </c>
      <c r="AC1181">
        <f>IMPRODUCT("-1",AB1181)</f>
        <v>0</v>
      </c>
      <c r="AD1181">
        <f>IMDIV(IMSUB(AB1181,AC1181),"2")</f>
        <v>0</v>
      </c>
      <c r="AE1181" s="6">
        <f>IMABS(AB1181)</f>
        <v>0</v>
      </c>
      <c r="AF1181" s="6">
        <f>IMABS(AC1181)</f>
        <v>0</v>
      </c>
      <c r="AG1181" s="6">
        <f>IMABS(AD1181)</f>
        <v>0</v>
      </c>
      <c r="AH1181" s="7">
        <f>20*LOG10(MAX(AE1181,1E-300)*1E6)</f>
        <v>0</v>
      </c>
      <c r="AI1181" s="7">
        <f>20*LOG10(MAX(AF1181,1E-300)*1E6)</f>
        <v>0</v>
      </c>
      <c r="AJ1181" s="7">
        <f>20*LOG10(MAX(AG1181,1E-300)*1E6)</f>
        <v>0</v>
      </c>
      <c r="AK1181" s="7">
        <f>DEGREES(IMARGUMENT(AB1181))</f>
        <v>0</v>
      </c>
      <c r="AL1181" s="7">
        <f>DEGREES(IMARGUMENT(AC1181))</f>
        <v>0</v>
      </c>
      <c r="AM1181" s="7">
        <f>DEGREES(IMARGUMENT(AD1181))</f>
        <v>0</v>
      </c>
    </row>
    <row r="1182" spans="1:39">
      <c r="A1182" s="6">
        <f>10^(LOG10(F_START)+(ROW()-ROW($A$2))*(LOG10(F_STOP)-LOG10(F_START))/(N_POINTS-1))</f>
        <v>0</v>
      </c>
      <c r="B1182" s="6">
        <f>2*PI()*A1182</f>
        <v>0</v>
      </c>
      <c r="C1182">
        <f>COMPLEX(2*LINE_PS_DCR,2*B1182*LINE_PS_L)</f>
        <v>0</v>
      </c>
      <c r="D1182">
        <f>IMSUM(COMPLEX(0,B1182*(LINE_PS_CLINE+LINE_PS_CCHA/2)),IMDIV("1",IMPRODUCT("2",COMPLEX(C_THROUGH_ESR,B1182*C_THROUGH_ESL-1/(B1182*C_THROUGH_C)))))</f>
        <v>0</v>
      </c>
      <c r="E1182">
        <f>COMPLEX(2*LINE_INPUT_DCR,2*B1182*LINE_INPUT_L)</f>
        <v>0</v>
      </c>
      <c r="F1182">
        <f>COMPLEX(0,B1182*(LINE_INPUT_CLINE+LINE_INPUT_CCHA/2))</f>
        <v>0</v>
      </c>
      <c r="G1182">
        <f>IMPRODUCT("2",IMDIV("1",IMSUM(IMDIV("1",COMPLEX(LDM1_DCR,B1182*LDM1_L)),COMPLEX(0,B1182*LDM1_CPA))))</f>
        <v>0</v>
      </c>
      <c r="H1182">
        <f>IMSUM(IMDIV("1",COMPLEX(CX1_ESR,B1182*CX1_ESL-1/(B1182*CX1_C))),IMDIV("1",IMSUM(COMPLEX(DUMP1_R,0),COMPLEX(DUMP1_ESR,B1182*DUMP1_ESL-1/(B1182*DUMP1_C)))))</f>
        <v>0</v>
      </c>
      <c r="I1182">
        <f>IMPRODUCT("2",IMDIV("1",IMSUM(IMDIV("1",COMPLEX(LDM2_DCR,B1182*LDM2_L)),COMPLEX(0,B1182*LDM2_CPA))))</f>
        <v>0</v>
      </c>
      <c r="J1182">
        <f>IMSUM(IMDIV("1",COMPLEX(CX2_ESR,B1182*CX2_ESL-1/(B1182*CX2_C))),IMDIV("1",IMSUM(COMPLEX(DUMP2_R,0),COMPLEX(DUMP2_ESR,B1182*DUMP2_ESL-1/(B1182*DUMP2_C)))))</f>
        <v>0</v>
      </c>
      <c r="K1182">
        <f>IMPRODUCT("2",IMDIV("1",IMSUM(IMDIV("1",COMPLEX(CMC_DCR,B1182*CMC_L*(1-CMC_K))),COMPLEX(0,B1182*CMC_CPA))))</f>
        <v>0</v>
      </c>
      <c r="L1182">
        <f>IMSUM(COMPLEX(0,B1182*CMC_CLINE),IMDIV("1",IMPRODUCT("2",COMPLEX(CY_ESR,B1182*CY_ESL-1/(B1182*CY_C)))),COMPLEX(1/DUMMY_R,0))</f>
        <v>0</v>
      </c>
      <c r="M1182">
        <f>IMSUM(D1182,IMDIV("1",C1182))</f>
        <v>0</v>
      </c>
      <c r="N1182">
        <f>IMDIV("1",IMSUM(E1182,IMDIV("1",M1182)))</f>
        <v>0</v>
      </c>
      <c r="O1182">
        <f>IMSUM(F1182,N1182)</f>
        <v>0</v>
      </c>
      <c r="P1182">
        <f>IMDIV("1",IMSUM(G1182,IMDIV("1",O1182)))</f>
        <v>0</v>
      </c>
      <c r="Q1182">
        <f>IMSUM(H1182,P1182)</f>
        <v>0</v>
      </c>
      <c r="R1182">
        <f>IMDIV("1",IMSUM(I1182,IMDIV("1",Q1182)))</f>
        <v>0</v>
      </c>
      <c r="S1182">
        <f>IMSUM(J1182,R1182)</f>
        <v>0</v>
      </c>
      <c r="T1182">
        <f>IMDIV("1",IMSUM(K1182,IMDIV("1",S1182)))</f>
        <v>0</v>
      </c>
      <c r="U1182">
        <f>IMSUM(L1182,T1182)</f>
        <v>0</v>
      </c>
      <c r="V1182">
        <f>IMDIV(COMPLEX(I_DM_SOURCE,0),U1182)</f>
        <v>0</v>
      </c>
      <c r="W1182">
        <f>IMPRODUCT(V1182,T1182)</f>
        <v>0</v>
      </c>
      <c r="X1182">
        <f>IMDIV(W1182,S1182)</f>
        <v>0</v>
      </c>
      <c r="Y1182">
        <f>IMPRODUCT(X1182,R1182)</f>
        <v>0</v>
      </c>
      <c r="Z1182">
        <f>IMDIV(Y1182,Q1182)</f>
        <v>0</v>
      </c>
      <c r="AA1182">
        <f>IMPRODUCT(Z1182,P1182)</f>
        <v>0</v>
      </c>
      <c r="AB1182">
        <f>AA1182</f>
        <v>0</v>
      </c>
      <c r="AC1182">
        <f>IMPRODUCT("-1",AB1182)</f>
        <v>0</v>
      </c>
      <c r="AD1182">
        <f>IMDIV(IMSUB(AB1182,AC1182),"2")</f>
        <v>0</v>
      </c>
      <c r="AE1182" s="6">
        <f>IMABS(AB1182)</f>
        <v>0</v>
      </c>
      <c r="AF1182" s="6">
        <f>IMABS(AC1182)</f>
        <v>0</v>
      </c>
      <c r="AG1182" s="6">
        <f>IMABS(AD1182)</f>
        <v>0</v>
      </c>
      <c r="AH1182" s="7">
        <f>20*LOG10(MAX(AE1182,1E-300)*1E6)</f>
        <v>0</v>
      </c>
      <c r="AI1182" s="7">
        <f>20*LOG10(MAX(AF1182,1E-300)*1E6)</f>
        <v>0</v>
      </c>
      <c r="AJ1182" s="7">
        <f>20*LOG10(MAX(AG1182,1E-300)*1E6)</f>
        <v>0</v>
      </c>
      <c r="AK1182" s="7">
        <f>DEGREES(IMARGUMENT(AB1182))</f>
        <v>0</v>
      </c>
      <c r="AL1182" s="7">
        <f>DEGREES(IMARGUMENT(AC1182))</f>
        <v>0</v>
      </c>
      <c r="AM1182" s="7">
        <f>DEGREES(IMARGUMENT(AD1182))</f>
        <v>0</v>
      </c>
    </row>
    <row r="1183" spans="1:39">
      <c r="A1183" s="6">
        <f>10^(LOG10(F_START)+(ROW()-ROW($A$2))*(LOG10(F_STOP)-LOG10(F_START))/(N_POINTS-1))</f>
        <v>0</v>
      </c>
      <c r="B1183" s="6">
        <f>2*PI()*A1183</f>
        <v>0</v>
      </c>
      <c r="C1183">
        <f>COMPLEX(2*LINE_PS_DCR,2*B1183*LINE_PS_L)</f>
        <v>0</v>
      </c>
      <c r="D1183">
        <f>IMSUM(COMPLEX(0,B1183*(LINE_PS_CLINE+LINE_PS_CCHA/2)),IMDIV("1",IMPRODUCT("2",COMPLEX(C_THROUGH_ESR,B1183*C_THROUGH_ESL-1/(B1183*C_THROUGH_C)))))</f>
        <v>0</v>
      </c>
      <c r="E1183">
        <f>COMPLEX(2*LINE_INPUT_DCR,2*B1183*LINE_INPUT_L)</f>
        <v>0</v>
      </c>
      <c r="F1183">
        <f>COMPLEX(0,B1183*(LINE_INPUT_CLINE+LINE_INPUT_CCHA/2))</f>
        <v>0</v>
      </c>
      <c r="G1183">
        <f>IMPRODUCT("2",IMDIV("1",IMSUM(IMDIV("1",COMPLEX(LDM1_DCR,B1183*LDM1_L)),COMPLEX(0,B1183*LDM1_CPA))))</f>
        <v>0</v>
      </c>
      <c r="H1183">
        <f>IMSUM(IMDIV("1",COMPLEX(CX1_ESR,B1183*CX1_ESL-1/(B1183*CX1_C))),IMDIV("1",IMSUM(COMPLEX(DUMP1_R,0),COMPLEX(DUMP1_ESR,B1183*DUMP1_ESL-1/(B1183*DUMP1_C)))))</f>
        <v>0</v>
      </c>
      <c r="I1183">
        <f>IMPRODUCT("2",IMDIV("1",IMSUM(IMDIV("1",COMPLEX(LDM2_DCR,B1183*LDM2_L)),COMPLEX(0,B1183*LDM2_CPA))))</f>
        <v>0</v>
      </c>
      <c r="J1183">
        <f>IMSUM(IMDIV("1",COMPLEX(CX2_ESR,B1183*CX2_ESL-1/(B1183*CX2_C))),IMDIV("1",IMSUM(COMPLEX(DUMP2_R,0),COMPLEX(DUMP2_ESR,B1183*DUMP2_ESL-1/(B1183*DUMP2_C)))))</f>
        <v>0</v>
      </c>
      <c r="K1183">
        <f>IMPRODUCT("2",IMDIV("1",IMSUM(IMDIV("1",COMPLEX(CMC_DCR,B1183*CMC_L*(1-CMC_K))),COMPLEX(0,B1183*CMC_CPA))))</f>
        <v>0</v>
      </c>
      <c r="L1183">
        <f>IMSUM(COMPLEX(0,B1183*CMC_CLINE),IMDIV("1",IMPRODUCT("2",COMPLEX(CY_ESR,B1183*CY_ESL-1/(B1183*CY_C)))),COMPLEX(1/DUMMY_R,0))</f>
        <v>0</v>
      </c>
      <c r="M1183">
        <f>IMSUM(D1183,IMDIV("1",C1183))</f>
        <v>0</v>
      </c>
      <c r="N1183">
        <f>IMDIV("1",IMSUM(E1183,IMDIV("1",M1183)))</f>
        <v>0</v>
      </c>
      <c r="O1183">
        <f>IMSUM(F1183,N1183)</f>
        <v>0</v>
      </c>
      <c r="P1183">
        <f>IMDIV("1",IMSUM(G1183,IMDIV("1",O1183)))</f>
        <v>0</v>
      </c>
      <c r="Q1183">
        <f>IMSUM(H1183,P1183)</f>
        <v>0</v>
      </c>
      <c r="R1183">
        <f>IMDIV("1",IMSUM(I1183,IMDIV("1",Q1183)))</f>
        <v>0</v>
      </c>
      <c r="S1183">
        <f>IMSUM(J1183,R1183)</f>
        <v>0</v>
      </c>
      <c r="T1183">
        <f>IMDIV("1",IMSUM(K1183,IMDIV("1",S1183)))</f>
        <v>0</v>
      </c>
      <c r="U1183">
        <f>IMSUM(L1183,T1183)</f>
        <v>0</v>
      </c>
      <c r="V1183">
        <f>IMDIV(COMPLEX(I_DM_SOURCE,0),U1183)</f>
        <v>0</v>
      </c>
      <c r="W1183">
        <f>IMPRODUCT(V1183,T1183)</f>
        <v>0</v>
      </c>
      <c r="X1183">
        <f>IMDIV(W1183,S1183)</f>
        <v>0</v>
      </c>
      <c r="Y1183">
        <f>IMPRODUCT(X1183,R1183)</f>
        <v>0</v>
      </c>
      <c r="Z1183">
        <f>IMDIV(Y1183,Q1183)</f>
        <v>0</v>
      </c>
      <c r="AA1183">
        <f>IMPRODUCT(Z1183,P1183)</f>
        <v>0</v>
      </c>
      <c r="AB1183">
        <f>AA1183</f>
        <v>0</v>
      </c>
      <c r="AC1183">
        <f>IMPRODUCT("-1",AB1183)</f>
        <v>0</v>
      </c>
      <c r="AD1183">
        <f>IMDIV(IMSUB(AB1183,AC1183),"2")</f>
        <v>0</v>
      </c>
      <c r="AE1183" s="6">
        <f>IMABS(AB1183)</f>
        <v>0</v>
      </c>
      <c r="AF1183" s="6">
        <f>IMABS(AC1183)</f>
        <v>0</v>
      </c>
      <c r="AG1183" s="6">
        <f>IMABS(AD1183)</f>
        <v>0</v>
      </c>
      <c r="AH1183" s="7">
        <f>20*LOG10(MAX(AE1183,1E-300)*1E6)</f>
        <v>0</v>
      </c>
      <c r="AI1183" s="7">
        <f>20*LOG10(MAX(AF1183,1E-300)*1E6)</f>
        <v>0</v>
      </c>
      <c r="AJ1183" s="7">
        <f>20*LOG10(MAX(AG1183,1E-300)*1E6)</f>
        <v>0</v>
      </c>
      <c r="AK1183" s="7">
        <f>DEGREES(IMARGUMENT(AB1183))</f>
        <v>0</v>
      </c>
      <c r="AL1183" s="7">
        <f>DEGREES(IMARGUMENT(AC1183))</f>
        <v>0</v>
      </c>
      <c r="AM1183" s="7">
        <f>DEGREES(IMARGUMENT(AD1183))</f>
        <v>0</v>
      </c>
    </row>
    <row r="1184" spans="1:39">
      <c r="A1184" s="6">
        <f>10^(LOG10(F_START)+(ROW()-ROW($A$2))*(LOG10(F_STOP)-LOG10(F_START))/(N_POINTS-1))</f>
        <v>0</v>
      </c>
      <c r="B1184" s="6">
        <f>2*PI()*A1184</f>
        <v>0</v>
      </c>
      <c r="C1184">
        <f>COMPLEX(2*LINE_PS_DCR,2*B1184*LINE_PS_L)</f>
        <v>0</v>
      </c>
      <c r="D1184">
        <f>IMSUM(COMPLEX(0,B1184*(LINE_PS_CLINE+LINE_PS_CCHA/2)),IMDIV("1",IMPRODUCT("2",COMPLEX(C_THROUGH_ESR,B1184*C_THROUGH_ESL-1/(B1184*C_THROUGH_C)))))</f>
        <v>0</v>
      </c>
      <c r="E1184">
        <f>COMPLEX(2*LINE_INPUT_DCR,2*B1184*LINE_INPUT_L)</f>
        <v>0</v>
      </c>
      <c r="F1184">
        <f>COMPLEX(0,B1184*(LINE_INPUT_CLINE+LINE_INPUT_CCHA/2))</f>
        <v>0</v>
      </c>
      <c r="G1184">
        <f>IMPRODUCT("2",IMDIV("1",IMSUM(IMDIV("1",COMPLEX(LDM1_DCR,B1184*LDM1_L)),COMPLEX(0,B1184*LDM1_CPA))))</f>
        <v>0</v>
      </c>
      <c r="H1184">
        <f>IMSUM(IMDIV("1",COMPLEX(CX1_ESR,B1184*CX1_ESL-1/(B1184*CX1_C))),IMDIV("1",IMSUM(COMPLEX(DUMP1_R,0),COMPLEX(DUMP1_ESR,B1184*DUMP1_ESL-1/(B1184*DUMP1_C)))))</f>
        <v>0</v>
      </c>
      <c r="I1184">
        <f>IMPRODUCT("2",IMDIV("1",IMSUM(IMDIV("1",COMPLEX(LDM2_DCR,B1184*LDM2_L)),COMPLEX(0,B1184*LDM2_CPA))))</f>
        <v>0</v>
      </c>
      <c r="J1184">
        <f>IMSUM(IMDIV("1",COMPLEX(CX2_ESR,B1184*CX2_ESL-1/(B1184*CX2_C))),IMDIV("1",IMSUM(COMPLEX(DUMP2_R,0),COMPLEX(DUMP2_ESR,B1184*DUMP2_ESL-1/(B1184*DUMP2_C)))))</f>
        <v>0</v>
      </c>
      <c r="K1184">
        <f>IMPRODUCT("2",IMDIV("1",IMSUM(IMDIV("1",COMPLEX(CMC_DCR,B1184*CMC_L*(1-CMC_K))),COMPLEX(0,B1184*CMC_CPA))))</f>
        <v>0</v>
      </c>
      <c r="L1184">
        <f>IMSUM(COMPLEX(0,B1184*CMC_CLINE),IMDIV("1",IMPRODUCT("2",COMPLEX(CY_ESR,B1184*CY_ESL-1/(B1184*CY_C)))),COMPLEX(1/DUMMY_R,0))</f>
        <v>0</v>
      </c>
      <c r="M1184">
        <f>IMSUM(D1184,IMDIV("1",C1184))</f>
        <v>0</v>
      </c>
      <c r="N1184">
        <f>IMDIV("1",IMSUM(E1184,IMDIV("1",M1184)))</f>
        <v>0</v>
      </c>
      <c r="O1184">
        <f>IMSUM(F1184,N1184)</f>
        <v>0</v>
      </c>
      <c r="P1184">
        <f>IMDIV("1",IMSUM(G1184,IMDIV("1",O1184)))</f>
        <v>0</v>
      </c>
      <c r="Q1184">
        <f>IMSUM(H1184,P1184)</f>
        <v>0</v>
      </c>
      <c r="R1184">
        <f>IMDIV("1",IMSUM(I1184,IMDIV("1",Q1184)))</f>
        <v>0</v>
      </c>
      <c r="S1184">
        <f>IMSUM(J1184,R1184)</f>
        <v>0</v>
      </c>
      <c r="T1184">
        <f>IMDIV("1",IMSUM(K1184,IMDIV("1",S1184)))</f>
        <v>0</v>
      </c>
      <c r="U1184">
        <f>IMSUM(L1184,T1184)</f>
        <v>0</v>
      </c>
      <c r="V1184">
        <f>IMDIV(COMPLEX(I_DM_SOURCE,0),U1184)</f>
        <v>0</v>
      </c>
      <c r="W1184">
        <f>IMPRODUCT(V1184,T1184)</f>
        <v>0</v>
      </c>
      <c r="X1184">
        <f>IMDIV(W1184,S1184)</f>
        <v>0</v>
      </c>
      <c r="Y1184">
        <f>IMPRODUCT(X1184,R1184)</f>
        <v>0</v>
      </c>
      <c r="Z1184">
        <f>IMDIV(Y1184,Q1184)</f>
        <v>0</v>
      </c>
      <c r="AA1184">
        <f>IMPRODUCT(Z1184,P1184)</f>
        <v>0</v>
      </c>
      <c r="AB1184">
        <f>AA1184</f>
        <v>0</v>
      </c>
      <c r="AC1184">
        <f>IMPRODUCT("-1",AB1184)</f>
        <v>0</v>
      </c>
      <c r="AD1184">
        <f>IMDIV(IMSUB(AB1184,AC1184),"2")</f>
        <v>0</v>
      </c>
      <c r="AE1184" s="6">
        <f>IMABS(AB1184)</f>
        <v>0</v>
      </c>
      <c r="AF1184" s="6">
        <f>IMABS(AC1184)</f>
        <v>0</v>
      </c>
      <c r="AG1184" s="6">
        <f>IMABS(AD1184)</f>
        <v>0</v>
      </c>
      <c r="AH1184" s="7">
        <f>20*LOG10(MAX(AE1184,1E-300)*1E6)</f>
        <v>0</v>
      </c>
      <c r="AI1184" s="7">
        <f>20*LOG10(MAX(AF1184,1E-300)*1E6)</f>
        <v>0</v>
      </c>
      <c r="AJ1184" s="7">
        <f>20*LOG10(MAX(AG1184,1E-300)*1E6)</f>
        <v>0</v>
      </c>
      <c r="AK1184" s="7">
        <f>DEGREES(IMARGUMENT(AB1184))</f>
        <v>0</v>
      </c>
      <c r="AL1184" s="7">
        <f>DEGREES(IMARGUMENT(AC1184))</f>
        <v>0</v>
      </c>
      <c r="AM1184" s="7">
        <f>DEGREES(IMARGUMENT(AD1184))</f>
        <v>0</v>
      </c>
    </row>
    <row r="1185" spans="1:39">
      <c r="A1185" s="6">
        <f>10^(LOG10(F_START)+(ROW()-ROW($A$2))*(LOG10(F_STOP)-LOG10(F_START))/(N_POINTS-1))</f>
        <v>0</v>
      </c>
      <c r="B1185" s="6">
        <f>2*PI()*A1185</f>
        <v>0</v>
      </c>
      <c r="C1185">
        <f>COMPLEX(2*LINE_PS_DCR,2*B1185*LINE_PS_L)</f>
        <v>0</v>
      </c>
      <c r="D1185">
        <f>IMSUM(COMPLEX(0,B1185*(LINE_PS_CLINE+LINE_PS_CCHA/2)),IMDIV("1",IMPRODUCT("2",COMPLEX(C_THROUGH_ESR,B1185*C_THROUGH_ESL-1/(B1185*C_THROUGH_C)))))</f>
        <v>0</v>
      </c>
      <c r="E1185">
        <f>COMPLEX(2*LINE_INPUT_DCR,2*B1185*LINE_INPUT_L)</f>
        <v>0</v>
      </c>
      <c r="F1185">
        <f>COMPLEX(0,B1185*(LINE_INPUT_CLINE+LINE_INPUT_CCHA/2))</f>
        <v>0</v>
      </c>
      <c r="G1185">
        <f>IMPRODUCT("2",IMDIV("1",IMSUM(IMDIV("1",COMPLEX(LDM1_DCR,B1185*LDM1_L)),COMPLEX(0,B1185*LDM1_CPA))))</f>
        <v>0</v>
      </c>
      <c r="H1185">
        <f>IMSUM(IMDIV("1",COMPLEX(CX1_ESR,B1185*CX1_ESL-1/(B1185*CX1_C))),IMDIV("1",IMSUM(COMPLEX(DUMP1_R,0),COMPLEX(DUMP1_ESR,B1185*DUMP1_ESL-1/(B1185*DUMP1_C)))))</f>
        <v>0</v>
      </c>
      <c r="I1185">
        <f>IMPRODUCT("2",IMDIV("1",IMSUM(IMDIV("1",COMPLEX(LDM2_DCR,B1185*LDM2_L)),COMPLEX(0,B1185*LDM2_CPA))))</f>
        <v>0</v>
      </c>
      <c r="J1185">
        <f>IMSUM(IMDIV("1",COMPLEX(CX2_ESR,B1185*CX2_ESL-1/(B1185*CX2_C))),IMDIV("1",IMSUM(COMPLEX(DUMP2_R,0),COMPLEX(DUMP2_ESR,B1185*DUMP2_ESL-1/(B1185*DUMP2_C)))))</f>
        <v>0</v>
      </c>
      <c r="K1185">
        <f>IMPRODUCT("2",IMDIV("1",IMSUM(IMDIV("1",COMPLEX(CMC_DCR,B1185*CMC_L*(1-CMC_K))),COMPLEX(0,B1185*CMC_CPA))))</f>
        <v>0</v>
      </c>
      <c r="L1185">
        <f>IMSUM(COMPLEX(0,B1185*CMC_CLINE),IMDIV("1",IMPRODUCT("2",COMPLEX(CY_ESR,B1185*CY_ESL-1/(B1185*CY_C)))),COMPLEX(1/DUMMY_R,0))</f>
        <v>0</v>
      </c>
      <c r="M1185">
        <f>IMSUM(D1185,IMDIV("1",C1185))</f>
        <v>0</v>
      </c>
      <c r="N1185">
        <f>IMDIV("1",IMSUM(E1185,IMDIV("1",M1185)))</f>
        <v>0</v>
      </c>
      <c r="O1185">
        <f>IMSUM(F1185,N1185)</f>
        <v>0</v>
      </c>
      <c r="P1185">
        <f>IMDIV("1",IMSUM(G1185,IMDIV("1",O1185)))</f>
        <v>0</v>
      </c>
      <c r="Q1185">
        <f>IMSUM(H1185,P1185)</f>
        <v>0</v>
      </c>
      <c r="R1185">
        <f>IMDIV("1",IMSUM(I1185,IMDIV("1",Q1185)))</f>
        <v>0</v>
      </c>
      <c r="S1185">
        <f>IMSUM(J1185,R1185)</f>
        <v>0</v>
      </c>
      <c r="T1185">
        <f>IMDIV("1",IMSUM(K1185,IMDIV("1",S1185)))</f>
        <v>0</v>
      </c>
      <c r="U1185">
        <f>IMSUM(L1185,T1185)</f>
        <v>0</v>
      </c>
      <c r="V1185">
        <f>IMDIV(COMPLEX(I_DM_SOURCE,0),U1185)</f>
        <v>0</v>
      </c>
      <c r="W1185">
        <f>IMPRODUCT(V1185,T1185)</f>
        <v>0</v>
      </c>
      <c r="X1185">
        <f>IMDIV(W1185,S1185)</f>
        <v>0</v>
      </c>
      <c r="Y1185">
        <f>IMPRODUCT(X1185,R1185)</f>
        <v>0</v>
      </c>
      <c r="Z1185">
        <f>IMDIV(Y1185,Q1185)</f>
        <v>0</v>
      </c>
      <c r="AA1185">
        <f>IMPRODUCT(Z1185,P1185)</f>
        <v>0</v>
      </c>
      <c r="AB1185">
        <f>AA1185</f>
        <v>0</v>
      </c>
      <c r="AC1185">
        <f>IMPRODUCT("-1",AB1185)</f>
        <v>0</v>
      </c>
      <c r="AD1185">
        <f>IMDIV(IMSUB(AB1185,AC1185),"2")</f>
        <v>0</v>
      </c>
      <c r="AE1185" s="6">
        <f>IMABS(AB1185)</f>
        <v>0</v>
      </c>
      <c r="AF1185" s="6">
        <f>IMABS(AC1185)</f>
        <v>0</v>
      </c>
      <c r="AG1185" s="6">
        <f>IMABS(AD1185)</f>
        <v>0</v>
      </c>
      <c r="AH1185" s="7">
        <f>20*LOG10(MAX(AE1185,1E-300)*1E6)</f>
        <v>0</v>
      </c>
      <c r="AI1185" s="7">
        <f>20*LOG10(MAX(AF1185,1E-300)*1E6)</f>
        <v>0</v>
      </c>
      <c r="AJ1185" s="7">
        <f>20*LOG10(MAX(AG1185,1E-300)*1E6)</f>
        <v>0</v>
      </c>
      <c r="AK1185" s="7">
        <f>DEGREES(IMARGUMENT(AB1185))</f>
        <v>0</v>
      </c>
      <c r="AL1185" s="7">
        <f>DEGREES(IMARGUMENT(AC1185))</f>
        <v>0</v>
      </c>
      <c r="AM1185" s="7">
        <f>DEGREES(IMARGUMENT(AD1185))</f>
        <v>0</v>
      </c>
    </row>
    <row r="1186" spans="1:39">
      <c r="A1186" s="6">
        <f>10^(LOG10(F_START)+(ROW()-ROW($A$2))*(LOG10(F_STOP)-LOG10(F_START))/(N_POINTS-1))</f>
        <v>0</v>
      </c>
      <c r="B1186" s="6">
        <f>2*PI()*A1186</f>
        <v>0</v>
      </c>
      <c r="C1186">
        <f>COMPLEX(2*LINE_PS_DCR,2*B1186*LINE_PS_L)</f>
        <v>0</v>
      </c>
      <c r="D1186">
        <f>IMSUM(COMPLEX(0,B1186*(LINE_PS_CLINE+LINE_PS_CCHA/2)),IMDIV("1",IMPRODUCT("2",COMPLEX(C_THROUGH_ESR,B1186*C_THROUGH_ESL-1/(B1186*C_THROUGH_C)))))</f>
        <v>0</v>
      </c>
      <c r="E1186">
        <f>COMPLEX(2*LINE_INPUT_DCR,2*B1186*LINE_INPUT_L)</f>
        <v>0</v>
      </c>
      <c r="F1186">
        <f>COMPLEX(0,B1186*(LINE_INPUT_CLINE+LINE_INPUT_CCHA/2))</f>
        <v>0</v>
      </c>
      <c r="G1186">
        <f>IMPRODUCT("2",IMDIV("1",IMSUM(IMDIV("1",COMPLEX(LDM1_DCR,B1186*LDM1_L)),COMPLEX(0,B1186*LDM1_CPA))))</f>
        <v>0</v>
      </c>
      <c r="H1186">
        <f>IMSUM(IMDIV("1",COMPLEX(CX1_ESR,B1186*CX1_ESL-1/(B1186*CX1_C))),IMDIV("1",IMSUM(COMPLEX(DUMP1_R,0),COMPLEX(DUMP1_ESR,B1186*DUMP1_ESL-1/(B1186*DUMP1_C)))))</f>
        <v>0</v>
      </c>
      <c r="I1186">
        <f>IMPRODUCT("2",IMDIV("1",IMSUM(IMDIV("1",COMPLEX(LDM2_DCR,B1186*LDM2_L)),COMPLEX(0,B1186*LDM2_CPA))))</f>
        <v>0</v>
      </c>
      <c r="J1186">
        <f>IMSUM(IMDIV("1",COMPLEX(CX2_ESR,B1186*CX2_ESL-1/(B1186*CX2_C))),IMDIV("1",IMSUM(COMPLEX(DUMP2_R,0),COMPLEX(DUMP2_ESR,B1186*DUMP2_ESL-1/(B1186*DUMP2_C)))))</f>
        <v>0</v>
      </c>
      <c r="K1186">
        <f>IMPRODUCT("2",IMDIV("1",IMSUM(IMDIV("1",COMPLEX(CMC_DCR,B1186*CMC_L*(1-CMC_K))),COMPLEX(0,B1186*CMC_CPA))))</f>
        <v>0</v>
      </c>
      <c r="L1186">
        <f>IMSUM(COMPLEX(0,B1186*CMC_CLINE),IMDIV("1",IMPRODUCT("2",COMPLEX(CY_ESR,B1186*CY_ESL-1/(B1186*CY_C)))),COMPLEX(1/DUMMY_R,0))</f>
        <v>0</v>
      </c>
      <c r="M1186">
        <f>IMSUM(D1186,IMDIV("1",C1186))</f>
        <v>0</v>
      </c>
      <c r="N1186">
        <f>IMDIV("1",IMSUM(E1186,IMDIV("1",M1186)))</f>
        <v>0</v>
      </c>
      <c r="O1186">
        <f>IMSUM(F1186,N1186)</f>
        <v>0</v>
      </c>
      <c r="P1186">
        <f>IMDIV("1",IMSUM(G1186,IMDIV("1",O1186)))</f>
        <v>0</v>
      </c>
      <c r="Q1186">
        <f>IMSUM(H1186,P1186)</f>
        <v>0</v>
      </c>
      <c r="R1186">
        <f>IMDIV("1",IMSUM(I1186,IMDIV("1",Q1186)))</f>
        <v>0</v>
      </c>
      <c r="S1186">
        <f>IMSUM(J1186,R1186)</f>
        <v>0</v>
      </c>
      <c r="T1186">
        <f>IMDIV("1",IMSUM(K1186,IMDIV("1",S1186)))</f>
        <v>0</v>
      </c>
      <c r="U1186">
        <f>IMSUM(L1186,T1186)</f>
        <v>0</v>
      </c>
      <c r="V1186">
        <f>IMDIV(COMPLEX(I_DM_SOURCE,0),U1186)</f>
        <v>0</v>
      </c>
      <c r="W1186">
        <f>IMPRODUCT(V1186,T1186)</f>
        <v>0</v>
      </c>
      <c r="X1186">
        <f>IMDIV(W1186,S1186)</f>
        <v>0</v>
      </c>
      <c r="Y1186">
        <f>IMPRODUCT(X1186,R1186)</f>
        <v>0</v>
      </c>
      <c r="Z1186">
        <f>IMDIV(Y1186,Q1186)</f>
        <v>0</v>
      </c>
      <c r="AA1186">
        <f>IMPRODUCT(Z1186,P1186)</f>
        <v>0</v>
      </c>
      <c r="AB1186">
        <f>AA1186</f>
        <v>0</v>
      </c>
      <c r="AC1186">
        <f>IMPRODUCT("-1",AB1186)</f>
        <v>0</v>
      </c>
      <c r="AD1186">
        <f>IMDIV(IMSUB(AB1186,AC1186),"2")</f>
        <v>0</v>
      </c>
      <c r="AE1186" s="6">
        <f>IMABS(AB1186)</f>
        <v>0</v>
      </c>
      <c r="AF1186" s="6">
        <f>IMABS(AC1186)</f>
        <v>0</v>
      </c>
      <c r="AG1186" s="6">
        <f>IMABS(AD1186)</f>
        <v>0</v>
      </c>
      <c r="AH1186" s="7">
        <f>20*LOG10(MAX(AE1186,1E-300)*1E6)</f>
        <v>0</v>
      </c>
      <c r="AI1186" s="7">
        <f>20*LOG10(MAX(AF1186,1E-300)*1E6)</f>
        <v>0</v>
      </c>
      <c r="AJ1186" s="7">
        <f>20*LOG10(MAX(AG1186,1E-300)*1E6)</f>
        <v>0</v>
      </c>
      <c r="AK1186" s="7">
        <f>DEGREES(IMARGUMENT(AB1186))</f>
        <v>0</v>
      </c>
      <c r="AL1186" s="7">
        <f>DEGREES(IMARGUMENT(AC1186))</f>
        <v>0</v>
      </c>
      <c r="AM1186" s="7">
        <f>DEGREES(IMARGUMENT(AD1186))</f>
        <v>0</v>
      </c>
    </row>
    <row r="1187" spans="1:39">
      <c r="A1187" s="6">
        <f>10^(LOG10(F_START)+(ROW()-ROW($A$2))*(LOG10(F_STOP)-LOG10(F_START))/(N_POINTS-1))</f>
        <v>0</v>
      </c>
      <c r="B1187" s="6">
        <f>2*PI()*A1187</f>
        <v>0</v>
      </c>
      <c r="C1187">
        <f>COMPLEX(2*LINE_PS_DCR,2*B1187*LINE_PS_L)</f>
        <v>0</v>
      </c>
      <c r="D1187">
        <f>IMSUM(COMPLEX(0,B1187*(LINE_PS_CLINE+LINE_PS_CCHA/2)),IMDIV("1",IMPRODUCT("2",COMPLEX(C_THROUGH_ESR,B1187*C_THROUGH_ESL-1/(B1187*C_THROUGH_C)))))</f>
        <v>0</v>
      </c>
      <c r="E1187">
        <f>COMPLEX(2*LINE_INPUT_DCR,2*B1187*LINE_INPUT_L)</f>
        <v>0</v>
      </c>
      <c r="F1187">
        <f>COMPLEX(0,B1187*(LINE_INPUT_CLINE+LINE_INPUT_CCHA/2))</f>
        <v>0</v>
      </c>
      <c r="G1187">
        <f>IMPRODUCT("2",IMDIV("1",IMSUM(IMDIV("1",COMPLEX(LDM1_DCR,B1187*LDM1_L)),COMPLEX(0,B1187*LDM1_CPA))))</f>
        <v>0</v>
      </c>
      <c r="H1187">
        <f>IMSUM(IMDIV("1",COMPLEX(CX1_ESR,B1187*CX1_ESL-1/(B1187*CX1_C))),IMDIV("1",IMSUM(COMPLEX(DUMP1_R,0),COMPLEX(DUMP1_ESR,B1187*DUMP1_ESL-1/(B1187*DUMP1_C)))))</f>
        <v>0</v>
      </c>
      <c r="I1187">
        <f>IMPRODUCT("2",IMDIV("1",IMSUM(IMDIV("1",COMPLEX(LDM2_DCR,B1187*LDM2_L)),COMPLEX(0,B1187*LDM2_CPA))))</f>
        <v>0</v>
      </c>
      <c r="J1187">
        <f>IMSUM(IMDIV("1",COMPLEX(CX2_ESR,B1187*CX2_ESL-1/(B1187*CX2_C))),IMDIV("1",IMSUM(COMPLEX(DUMP2_R,0),COMPLEX(DUMP2_ESR,B1187*DUMP2_ESL-1/(B1187*DUMP2_C)))))</f>
        <v>0</v>
      </c>
      <c r="K1187">
        <f>IMPRODUCT("2",IMDIV("1",IMSUM(IMDIV("1",COMPLEX(CMC_DCR,B1187*CMC_L*(1-CMC_K))),COMPLEX(0,B1187*CMC_CPA))))</f>
        <v>0</v>
      </c>
      <c r="L1187">
        <f>IMSUM(COMPLEX(0,B1187*CMC_CLINE),IMDIV("1",IMPRODUCT("2",COMPLEX(CY_ESR,B1187*CY_ESL-1/(B1187*CY_C)))),COMPLEX(1/DUMMY_R,0))</f>
        <v>0</v>
      </c>
      <c r="M1187">
        <f>IMSUM(D1187,IMDIV("1",C1187))</f>
        <v>0</v>
      </c>
      <c r="N1187">
        <f>IMDIV("1",IMSUM(E1187,IMDIV("1",M1187)))</f>
        <v>0</v>
      </c>
      <c r="O1187">
        <f>IMSUM(F1187,N1187)</f>
        <v>0</v>
      </c>
      <c r="P1187">
        <f>IMDIV("1",IMSUM(G1187,IMDIV("1",O1187)))</f>
        <v>0</v>
      </c>
      <c r="Q1187">
        <f>IMSUM(H1187,P1187)</f>
        <v>0</v>
      </c>
      <c r="R1187">
        <f>IMDIV("1",IMSUM(I1187,IMDIV("1",Q1187)))</f>
        <v>0</v>
      </c>
      <c r="S1187">
        <f>IMSUM(J1187,R1187)</f>
        <v>0</v>
      </c>
      <c r="T1187">
        <f>IMDIV("1",IMSUM(K1187,IMDIV("1",S1187)))</f>
        <v>0</v>
      </c>
      <c r="U1187">
        <f>IMSUM(L1187,T1187)</f>
        <v>0</v>
      </c>
      <c r="V1187">
        <f>IMDIV(COMPLEX(I_DM_SOURCE,0),U1187)</f>
        <v>0</v>
      </c>
      <c r="W1187">
        <f>IMPRODUCT(V1187,T1187)</f>
        <v>0</v>
      </c>
      <c r="X1187">
        <f>IMDIV(W1187,S1187)</f>
        <v>0</v>
      </c>
      <c r="Y1187">
        <f>IMPRODUCT(X1187,R1187)</f>
        <v>0</v>
      </c>
      <c r="Z1187">
        <f>IMDIV(Y1187,Q1187)</f>
        <v>0</v>
      </c>
      <c r="AA1187">
        <f>IMPRODUCT(Z1187,P1187)</f>
        <v>0</v>
      </c>
      <c r="AB1187">
        <f>AA1187</f>
        <v>0</v>
      </c>
      <c r="AC1187">
        <f>IMPRODUCT("-1",AB1187)</f>
        <v>0</v>
      </c>
      <c r="AD1187">
        <f>IMDIV(IMSUB(AB1187,AC1187),"2")</f>
        <v>0</v>
      </c>
      <c r="AE1187" s="6">
        <f>IMABS(AB1187)</f>
        <v>0</v>
      </c>
      <c r="AF1187" s="6">
        <f>IMABS(AC1187)</f>
        <v>0</v>
      </c>
      <c r="AG1187" s="6">
        <f>IMABS(AD1187)</f>
        <v>0</v>
      </c>
      <c r="AH1187" s="7">
        <f>20*LOG10(MAX(AE1187,1E-300)*1E6)</f>
        <v>0</v>
      </c>
      <c r="AI1187" s="7">
        <f>20*LOG10(MAX(AF1187,1E-300)*1E6)</f>
        <v>0</v>
      </c>
      <c r="AJ1187" s="7">
        <f>20*LOG10(MAX(AG1187,1E-300)*1E6)</f>
        <v>0</v>
      </c>
      <c r="AK1187" s="7">
        <f>DEGREES(IMARGUMENT(AB1187))</f>
        <v>0</v>
      </c>
      <c r="AL1187" s="7">
        <f>DEGREES(IMARGUMENT(AC1187))</f>
        <v>0</v>
      </c>
      <c r="AM1187" s="7">
        <f>DEGREES(IMARGUMENT(AD1187))</f>
        <v>0</v>
      </c>
    </row>
    <row r="1188" spans="1:39">
      <c r="A1188" s="6">
        <f>10^(LOG10(F_START)+(ROW()-ROW($A$2))*(LOG10(F_STOP)-LOG10(F_START))/(N_POINTS-1))</f>
        <v>0</v>
      </c>
      <c r="B1188" s="6">
        <f>2*PI()*A1188</f>
        <v>0</v>
      </c>
      <c r="C1188">
        <f>COMPLEX(2*LINE_PS_DCR,2*B1188*LINE_PS_L)</f>
        <v>0</v>
      </c>
      <c r="D1188">
        <f>IMSUM(COMPLEX(0,B1188*(LINE_PS_CLINE+LINE_PS_CCHA/2)),IMDIV("1",IMPRODUCT("2",COMPLEX(C_THROUGH_ESR,B1188*C_THROUGH_ESL-1/(B1188*C_THROUGH_C)))))</f>
        <v>0</v>
      </c>
      <c r="E1188">
        <f>COMPLEX(2*LINE_INPUT_DCR,2*B1188*LINE_INPUT_L)</f>
        <v>0</v>
      </c>
      <c r="F1188">
        <f>COMPLEX(0,B1188*(LINE_INPUT_CLINE+LINE_INPUT_CCHA/2))</f>
        <v>0</v>
      </c>
      <c r="G1188">
        <f>IMPRODUCT("2",IMDIV("1",IMSUM(IMDIV("1",COMPLEX(LDM1_DCR,B1188*LDM1_L)),COMPLEX(0,B1188*LDM1_CPA))))</f>
        <v>0</v>
      </c>
      <c r="H1188">
        <f>IMSUM(IMDIV("1",COMPLEX(CX1_ESR,B1188*CX1_ESL-1/(B1188*CX1_C))),IMDIV("1",IMSUM(COMPLEX(DUMP1_R,0),COMPLEX(DUMP1_ESR,B1188*DUMP1_ESL-1/(B1188*DUMP1_C)))))</f>
        <v>0</v>
      </c>
      <c r="I1188">
        <f>IMPRODUCT("2",IMDIV("1",IMSUM(IMDIV("1",COMPLEX(LDM2_DCR,B1188*LDM2_L)),COMPLEX(0,B1188*LDM2_CPA))))</f>
        <v>0</v>
      </c>
      <c r="J1188">
        <f>IMSUM(IMDIV("1",COMPLEX(CX2_ESR,B1188*CX2_ESL-1/(B1188*CX2_C))),IMDIV("1",IMSUM(COMPLEX(DUMP2_R,0),COMPLEX(DUMP2_ESR,B1188*DUMP2_ESL-1/(B1188*DUMP2_C)))))</f>
        <v>0</v>
      </c>
      <c r="K1188">
        <f>IMPRODUCT("2",IMDIV("1",IMSUM(IMDIV("1",COMPLEX(CMC_DCR,B1188*CMC_L*(1-CMC_K))),COMPLEX(0,B1188*CMC_CPA))))</f>
        <v>0</v>
      </c>
      <c r="L1188">
        <f>IMSUM(COMPLEX(0,B1188*CMC_CLINE),IMDIV("1",IMPRODUCT("2",COMPLEX(CY_ESR,B1188*CY_ESL-1/(B1188*CY_C)))),COMPLEX(1/DUMMY_R,0))</f>
        <v>0</v>
      </c>
      <c r="M1188">
        <f>IMSUM(D1188,IMDIV("1",C1188))</f>
        <v>0</v>
      </c>
      <c r="N1188">
        <f>IMDIV("1",IMSUM(E1188,IMDIV("1",M1188)))</f>
        <v>0</v>
      </c>
      <c r="O1188">
        <f>IMSUM(F1188,N1188)</f>
        <v>0</v>
      </c>
      <c r="P1188">
        <f>IMDIV("1",IMSUM(G1188,IMDIV("1",O1188)))</f>
        <v>0</v>
      </c>
      <c r="Q1188">
        <f>IMSUM(H1188,P1188)</f>
        <v>0</v>
      </c>
      <c r="R1188">
        <f>IMDIV("1",IMSUM(I1188,IMDIV("1",Q1188)))</f>
        <v>0</v>
      </c>
      <c r="S1188">
        <f>IMSUM(J1188,R1188)</f>
        <v>0</v>
      </c>
      <c r="T1188">
        <f>IMDIV("1",IMSUM(K1188,IMDIV("1",S1188)))</f>
        <v>0</v>
      </c>
      <c r="U1188">
        <f>IMSUM(L1188,T1188)</f>
        <v>0</v>
      </c>
      <c r="V1188">
        <f>IMDIV(COMPLEX(I_DM_SOURCE,0),U1188)</f>
        <v>0</v>
      </c>
      <c r="W1188">
        <f>IMPRODUCT(V1188,T1188)</f>
        <v>0</v>
      </c>
      <c r="X1188">
        <f>IMDIV(W1188,S1188)</f>
        <v>0</v>
      </c>
      <c r="Y1188">
        <f>IMPRODUCT(X1188,R1188)</f>
        <v>0</v>
      </c>
      <c r="Z1188">
        <f>IMDIV(Y1188,Q1188)</f>
        <v>0</v>
      </c>
      <c r="AA1188">
        <f>IMPRODUCT(Z1188,P1188)</f>
        <v>0</v>
      </c>
      <c r="AB1188">
        <f>AA1188</f>
        <v>0</v>
      </c>
      <c r="AC1188">
        <f>IMPRODUCT("-1",AB1188)</f>
        <v>0</v>
      </c>
      <c r="AD1188">
        <f>IMDIV(IMSUB(AB1188,AC1188),"2")</f>
        <v>0</v>
      </c>
      <c r="AE1188" s="6">
        <f>IMABS(AB1188)</f>
        <v>0</v>
      </c>
      <c r="AF1188" s="6">
        <f>IMABS(AC1188)</f>
        <v>0</v>
      </c>
      <c r="AG1188" s="6">
        <f>IMABS(AD1188)</f>
        <v>0</v>
      </c>
      <c r="AH1188" s="7">
        <f>20*LOG10(MAX(AE1188,1E-300)*1E6)</f>
        <v>0</v>
      </c>
      <c r="AI1188" s="7">
        <f>20*LOG10(MAX(AF1188,1E-300)*1E6)</f>
        <v>0</v>
      </c>
      <c r="AJ1188" s="7">
        <f>20*LOG10(MAX(AG1188,1E-300)*1E6)</f>
        <v>0</v>
      </c>
      <c r="AK1188" s="7">
        <f>DEGREES(IMARGUMENT(AB1188))</f>
        <v>0</v>
      </c>
      <c r="AL1188" s="7">
        <f>DEGREES(IMARGUMENT(AC1188))</f>
        <v>0</v>
      </c>
      <c r="AM1188" s="7">
        <f>DEGREES(IMARGUMENT(AD1188))</f>
        <v>0</v>
      </c>
    </row>
    <row r="1189" spans="1:39">
      <c r="A1189" s="6">
        <f>10^(LOG10(F_START)+(ROW()-ROW($A$2))*(LOG10(F_STOP)-LOG10(F_START))/(N_POINTS-1))</f>
        <v>0</v>
      </c>
      <c r="B1189" s="6">
        <f>2*PI()*A1189</f>
        <v>0</v>
      </c>
      <c r="C1189">
        <f>COMPLEX(2*LINE_PS_DCR,2*B1189*LINE_PS_L)</f>
        <v>0</v>
      </c>
      <c r="D1189">
        <f>IMSUM(COMPLEX(0,B1189*(LINE_PS_CLINE+LINE_PS_CCHA/2)),IMDIV("1",IMPRODUCT("2",COMPLEX(C_THROUGH_ESR,B1189*C_THROUGH_ESL-1/(B1189*C_THROUGH_C)))))</f>
        <v>0</v>
      </c>
      <c r="E1189">
        <f>COMPLEX(2*LINE_INPUT_DCR,2*B1189*LINE_INPUT_L)</f>
        <v>0</v>
      </c>
      <c r="F1189">
        <f>COMPLEX(0,B1189*(LINE_INPUT_CLINE+LINE_INPUT_CCHA/2))</f>
        <v>0</v>
      </c>
      <c r="G1189">
        <f>IMPRODUCT("2",IMDIV("1",IMSUM(IMDIV("1",COMPLEX(LDM1_DCR,B1189*LDM1_L)),COMPLEX(0,B1189*LDM1_CPA))))</f>
        <v>0</v>
      </c>
      <c r="H1189">
        <f>IMSUM(IMDIV("1",COMPLEX(CX1_ESR,B1189*CX1_ESL-1/(B1189*CX1_C))),IMDIV("1",IMSUM(COMPLEX(DUMP1_R,0),COMPLEX(DUMP1_ESR,B1189*DUMP1_ESL-1/(B1189*DUMP1_C)))))</f>
        <v>0</v>
      </c>
      <c r="I1189">
        <f>IMPRODUCT("2",IMDIV("1",IMSUM(IMDIV("1",COMPLEX(LDM2_DCR,B1189*LDM2_L)),COMPLEX(0,B1189*LDM2_CPA))))</f>
        <v>0</v>
      </c>
      <c r="J1189">
        <f>IMSUM(IMDIV("1",COMPLEX(CX2_ESR,B1189*CX2_ESL-1/(B1189*CX2_C))),IMDIV("1",IMSUM(COMPLEX(DUMP2_R,0),COMPLEX(DUMP2_ESR,B1189*DUMP2_ESL-1/(B1189*DUMP2_C)))))</f>
        <v>0</v>
      </c>
      <c r="K1189">
        <f>IMPRODUCT("2",IMDIV("1",IMSUM(IMDIV("1",COMPLEX(CMC_DCR,B1189*CMC_L*(1-CMC_K))),COMPLEX(0,B1189*CMC_CPA))))</f>
        <v>0</v>
      </c>
      <c r="L1189">
        <f>IMSUM(COMPLEX(0,B1189*CMC_CLINE),IMDIV("1",IMPRODUCT("2",COMPLEX(CY_ESR,B1189*CY_ESL-1/(B1189*CY_C)))),COMPLEX(1/DUMMY_R,0))</f>
        <v>0</v>
      </c>
      <c r="M1189">
        <f>IMSUM(D1189,IMDIV("1",C1189))</f>
        <v>0</v>
      </c>
      <c r="N1189">
        <f>IMDIV("1",IMSUM(E1189,IMDIV("1",M1189)))</f>
        <v>0</v>
      </c>
      <c r="O1189">
        <f>IMSUM(F1189,N1189)</f>
        <v>0</v>
      </c>
      <c r="P1189">
        <f>IMDIV("1",IMSUM(G1189,IMDIV("1",O1189)))</f>
        <v>0</v>
      </c>
      <c r="Q1189">
        <f>IMSUM(H1189,P1189)</f>
        <v>0</v>
      </c>
      <c r="R1189">
        <f>IMDIV("1",IMSUM(I1189,IMDIV("1",Q1189)))</f>
        <v>0</v>
      </c>
      <c r="S1189">
        <f>IMSUM(J1189,R1189)</f>
        <v>0</v>
      </c>
      <c r="T1189">
        <f>IMDIV("1",IMSUM(K1189,IMDIV("1",S1189)))</f>
        <v>0</v>
      </c>
      <c r="U1189">
        <f>IMSUM(L1189,T1189)</f>
        <v>0</v>
      </c>
      <c r="V1189">
        <f>IMDIV(COMPLEX(I_DM_SOURCE,0),U1189)</f>
        <v>0</v>
      </c>
      <c r="W1189">
        <f>IMPRODUCT(V1189,T1189)</f>
        <v>0</v>
      </c>
      <c r="X1189">
        <f>IMDIV(W1189,S1189)</f>
        <v>0</v>
      </c>
      <c r="Y1189">
        <f>IMPRODUCT(X1189,R1189)</f>
        <v>0</v>
      </c>
      <c r="Z1189">
        <f>IMDIV(Y1189,Q1189)</f>
        <v>0</v>
      </c>
      <c r="AA1189">
        <f>IMPRODUCT(Z1189,P1189)</f>
        <v>0</v>
      </c>
      <c r="AB1189">
        <f>AA1189</f>
        <v>0</v>
      </c>
      <c r="AC1189">
        <f>IMPRODUCT("-1",AB1189)</f>
        <v>0</v>
      </c>
      <c r="AD1189">
        <f>IMDIV(IMSUB(AB1189,AC1189),"2")</f>
        <v>0</v>
      </c>
      <c r="AE1189" s="6">
        <f>IMABS(AB1189)</f>
        <v>0</v>
      </c>
      <c r="AF1189" s="6">
        <f>IMABS(AC1189)</f>
        <v>0</v>
      </c>
      <c r="AG1189" s="6">
        <f>IMABS(AD1189)</f>
        <v>0</v>
      </c>
      <c r="AH1189" s="7">
        <f>20*LOG10(MAX(AE1189,1E-300)*1E6)</f>
        <v>0</v>
      </c>
      <c r="AI1189" s="7">
        <f>20*LOG10(MAX(AF1189,1E-300)*1E6)</f>
        <v>0</v>
      </c>
      <c r="AJ1189" s="7">
        <f>20*LOG10(MAX(AG1189,1E-300)*1E6)</f>
        <v>0</v>
      </c>
      <c r="AK1189" s="7">
        <f>DEGREES(IMARGUMENT(AB1189))</f>
        <v>0</v>
      </c>
      <c r="AL1189" s="7">
        <f>DEGREES(IMARGUMENT(AC1189))</f>
        <v>0</v>
      </c>
      <c r="AM1189" s="7">
        <f>DEGREES(IMARGUMENT(AD1189))</f>
        <v>0</v>
      </c>
    </row>
    <row r="1190" spans="1:39">
      <c r="A1190" s="6">
        <f>10^(LOG10(F_START)+(ROW()-ROW($A$2))*(LOG10(F_STOP)-LOG10(F_START))/(N_POINTS-1))</f>
        <v>0</v>
      </c>
      <c r="B1190" s="6">
        <f>2*PI()*A1190</f>
        <v>0</v>
      </c>
      <c r="C1190">
        <f>COMPLEX(2*LINE_PS_DCR,2*B1190*LINE_PS_L)</f>
        <v>0</v>
      </c>
      <c r="D1190">
        <f>IMSUM(COMPLEX(0,B1190*(LINE_PS_CLINE+LINE_PS_CCHA/2)),IMDIV("1",IMPRODUCT("2",COMPLEX(C_THROUGH_ESR,B1190*C_THROUGH_ESL-1/(B1190*C_THROUGH_C)))))</f>
        <v>0</v>
      </c>
      <c r="E1190">
        <f>COMPLEX(2*LINE_INPUT_DCR,2*B1190*LINE_INPUT_L)</f>
        <v>0</v>
      </c>
      <c r="F1190">
        <f>COMPLEX(0,B1190*(LINE_INPUT_CLINE+LINE_INPUT_CCHA/2))</f>
        <v>0</v>
      </c>
      <c r="G1190">
        <f>IMPRODUCT("2",IMDIV("1",IMSUM(IMDIV("1",COMPLEX(LDM1_DCR,B1190*LDM1_L)),COMPLEX(0,B1190*LDM1_CPA))))</f>
        <v>0</v>
      </c>
      <c r="H1190">
        <f>IMSUM(IMDIV("1",COMPLEX(CX1_ESR,B1190*CX1_ESL-1/(B1190*CX1_C))),IMDIV("1",IMSUM(COMPLEX(DUMP1_R,0),COMPLEX(DUMP1_ESR,B1190*DUMP1_ESL-1/(B1190*DUMP1_C)))))</f>
        <v>0</v>
      </c>
      <c r="I1190">
        <f>IMPRODUCT("2",IMDIV("1",IMSUM(IMDIV("1",COMPLEX(LDM2_DCR,B1190*LDM2_L)),COMPLEX(0,B1190*LDM2_CPA))))</f>
        <v>0</v>
      </c>
      <c r="J1190">
        <f>IMSUM(IMDIV("1",COMPLEX(CX2_ESR,B1190*CX2_ESL-1/(B1190*CX2_C))),IMDIV("1",IMSUM(COMPLEX(DUMP2_R,0),COMPLEX(DUMP2_ESR,B1190*DUMP2_ESL-1/(B1190*DUMP2_C)))))</f>
        <v>0</v>
      </c>
      <c r="K1190">
        <f>IMPRODUCT("2",IMDIV("1",IMSUM(IMDIV("1",COMPLEX(CMC_DCR,B1190*CMC_L*(1-CMC_K))),COMPLEX(0,B1190*CMC_CPA))))</f>
        <v>0</v>
      </c>
      <c r="L1190">
        <f>IMSUM(COMPLEX(0,B1190*CMC_CLINE),IMDIV("1",IMPRODUCT("2",COMPLEX(CY_ESR,B1190*CY_ESL-1/(B1190*CY_C)))),COMPLEX(1/DUMMY_R,0))</f>
        <v>0</v>
      </c>
      <c r="M1190">
        <f>IMSUM(D1190,IMDIV("1",C1190))</f>
        <v>0</v>
      </c>
      <c r="N1190">
        <f>IMDIV("1",IMSUM(E1190,IMDIV("1",M1190)))</f>
        <v>0</v>
      </c>
      <c r="O1190">
        <f>IMSUM(F1190,N1190)</f>
        <v>0</v>
      </c>
      <c r="P1190">
        <f>IMDIV("1",IMSUM(G1190,IMDIV("1",O1190)))</f>
        <v>0</v>
      </c>
      <c r="Q1190">
        <f>IMSUM(H1190,P1190)</f>
        <v>0</v>
      </c>
      <c r="R1190">
        <f>IMDIV("1",IMSUM(I1190,IMDIV("1",Q1190)))</f>
        <v>0</v>
      </c>
      <c r="S1190">
        <f>IMSUM(J1190,R1190)</f>
        <v>0</v>
      </c>
      <c r="T1190">
        <f>IMDIV("1",IMSUM(K1190,IMDIV("1",S1190)))</f>
        <v>0</v>
      </c>
      <c r="U1190">
        <f>IMSUM(L1190,T1190)</f>
        <v>0</v>
      </c>
      <c r="V1190">
        <f>IMDIV(COMPLEX(I_DM_SOURCE,0),U1190)</f>
        <v>0</v>
      </c>
      <c r="W1190">
        <f>IMPRODUCT(V1190,T1190)</f>
        <v>0</v>
      </c>
      <c r="X1190">
        <f>IMDIV(W1190,S1190)</f>
        <v>0</v>
      </c>
      <c r="Y1190">
        <f>IMPRODUCT(X1190,R1190)</f>
        <v>0</v>
      </c>
      <c r="Z1190">
        <f>IMDIV(Y1190,Q1190)</f>
        <v>0</v>
      </c>
      <c r="AA1190">
        <f>IMPRODUCT(Z1190,P1190)</f>
        <v>0</v>
      </c>
      <c r="AB1190">
        <f>AA1190</f>
        <v>0</v>
      </c>
      <c r="AC1190">
        <f>IMPRODUCT("-1",AB1190)</f>
        <v>0</v>
      </c>
      <c r="AD1190">
        <f>IMDIV(IMSUB(AB1190,AC1190),"2")</f>
        <v>0</v>
      </c>
      <c r="AE1190" s="6">
        <f>IMABS(AB1190)</f>
        <v>0</v>
      </c>
      <c r="AF1190" s="6">
        <f>IMABS(AC1190)</f>
        <v>0</v>
      </c>
      <c r="AG1190" s="6">
        <f>IMABS(AD1190)</f>
        <v>0</v>
      </c>
      <c r="AH1190" s="7">
        <f>20*LOG10(MAX(AE1190,1E-300)*1E6)</f>
        <v>0</v>
      </c>
      <c r="AI1190" s="7">
        <f>20*LOG10(MAX(AF1190,1E-300)*1E6)</f>
        <v>0</v>
      </c>
      <c r="AJ1190" s="7">
        <f>20*LOG10(MAX(AG1190,1E-300)*1E6)</f>
        <v>0</v>
      </c>
      <c r="AK1190" s="7">
        <f>DEGREES(IMARGUMENT(AB1190))</f>
        <v>0</v>
      </c>
      <c r="AL1190" s="7">
        <f>DEGREES(IMARGUMENT(AC1190))</f>
        <v>0</v>
      </c>
      <c r="AM1190" s="7">
        <f>DEGREES(IMARGUMENT(AD1190))</f>
        <v>0</v>
      </c>
    </row>
    <row r="1191" spans="1:39">
      <c r="A1191" s="6">
        <f>10^(LOG10(F_START)+(ROW()-ROW($A$2))*(LOG10(F_STOP)-LOG10(F_START))/(N_POINTS-1))</f>
        <v>0</v>
      </c>
      <c r="B1191" s="6">
        <f>2*PI()*A1191</f>
        <v>0</v>
      </c>
      <c r="C1191">
        <f>COMPLEX(2*LINE_PS_DCR,2*B1191*LINE_PS_L)</f>
        <v>0</v>
      </c>
      <c r="D1191">
        <f>IMSUM(COMPLEX(0,B1191*(LINE_PS_CLINE+LINE_PS_CCHA/2)),IMDIV("1",IMPRODUCT("2",COMPLEX(C_THROUGH_ESR,B1191*C_THROUGH_ESL-1/(B1191*C_THROUGH_C)))))</f>
        <v>0</v>
      </c>
      <c r="E1191">
        <f>COMPLEX(2*LINE_INPUT_DCR,2*B1191*LINE_INPUT_L)</f>
        <v>0</v>
      </c>
      <c r="F1191">
        <f>COMPLEX(0,B1191*(LINE_INPUT_CLINE+LINE_INPUT_CCHA/2))</f>
        <v>0</v>
      </c>
      <c r="G1191">
        <f>IMPRODUCT("2",IMDIV("1",IMSUM(IMDIV("1",COMPLEX(LDM1_DCR,B1191*LDM1_L)),COMPLEX(0,B1191*LDM1_CPA))))</f>
        <v>0</v>
      </c>
      <c r="H1191">
        <f>IMSUM(IMDIV("1",COMPLEX(CX1_ESR,B1191*CX1_ESL-1/(B1191*CX1_C))),IMDIV("1",IMSUM(COMPLEX(DUMP1_R,0),COMPLEX(DUMP1_ESR,B1191*DUMP1_ESL-1/(B1191*DUMP1_C)))))</f>
        <v>0</v>
      </c>
      <c r="I1191">
        <f>IMPRODUCT("2",IMDIV("1",IMSUM(IMDIV("1",COMPLEX(LDM2_DCR,B1191*LDM2_L)),COMPLEX(0,B1191*LDM2_CPA))))</f>
        <v>0</v>
      </c>
      <c r="J1191">
        <f>IMSUM(IMDIV("1",COMPLEX(CX2_ESR,B1191*CX2_ESL-1/(B1191*CX2_C))),IMDIV("1",IMSUM(COMPLEX(DUMP2_R,0),COMPLEX(DUMP2_ESR,B1191*DUMP2_ESL-1/(B1191*DUMP2_C)))))</f>
        <v>0</v>
      </c>
      <c r="K1191">
        <f>IMPRODUCT("2",IMDIV("1",IMSUM(IMDIV("1",COMPLEX(CMC_DCR,B1191*CMC_L*(1-CMC_K))),COMPLEX(0,B1191*CMC_CPA))))</f>
        <v>0</v>
      </c>
      <c r="L1191">
        <f>IMSUM(COMPLEX(0,B1191*CMC_CLINE),IMDIV("1",IMPRODUCT("2",COMPLEX(CY_ESR,B1191*CY_ESL-1/(B1191*CY_C)))),COMPLEX(1/DUMMY_R,0))</f>
        <v>0</v>
      </c>
      <c r="M1191">
        <f>IMSUM(D1191,IMDIV("1",C1191))</f>
        <v>0</v>
      </c>
      <c r="N1191">
        <f>IMDIV("1",IMSUM(E1191,IMDIV("1",M1191)))</f>
        <v>0</v>
      </c>
      <c r="O1191">
        <f>IMSUM(F1191,N1191)</f>
        <v>0</v>
      </c>
      <c r="P1191">
        <f>IMDIV("1",IMSUM(G1191,IMDIV("1",O1191)))</f>
        <v>0</v>
      </c>
      <c r="Q1191">
        <f>IMSUM(H1191,P1191)</f>
        <v>0</v>
      </c>
      <c r="R1191">
        <f>IMDIV("1",IMSUM(I1191,IMDIV("1",Q1191)))</f>
        <v>0</v>
      </c>
      <c r="S1191">
        <f>IMSUM(J1191,R1191)</f>
        <v>0</v>
      </c>
      <c r="T1191">
        <f>IMDIV("1",IMSUM(K1191,IMDIV("1",S1191)))</f>
        <v>0</v>
      </c>
      <c r="U1191">
        <f>IMSUM(L1191,T1191)</f>
        <v>0</v>
      </c>
      <c r="V1191">
        <f>IMDIV(COMPLEX(I_DM_SOURCE,0),U1191)</f>
        <v>0</v>
      </c>
      <c r="W1191">
        <f>IMPRODUCT(V1191,T1191)</f>
        <v>0</v>
      </c>
      <c r="X1191">
        <f>IMDIV(W1191,S1191)</f>
        <v>0</v>
      </c>
      <c r="Y1191">
        <f>IMPRODUCT(X1191,R1191)</f>
        <v>0</v>
      </c>
      <c r="Z1191">
        <f>IMDIV(Y1191,Q1191)</f>
        <v>0</v>
      </c>
      <c r="AA1191">
        <f>IMPRODUCT(Z1191,P1191)</f>
        <v>0</v>
      </c>
      <c r="AB1191">
        <f>AA1191</f>
        <v>0</v>
      </c>
      <c r="AC1191">
        <f>IMPRODUCT("-1",AB1191)</f>
        <v>0</v>
      </c>
      <c r="AD1191">
        <f>IMDIV(IMSUB(AB1191,AC1191),"2")</f>
        <v>0</v>
      </c>
      <c r="AE1191" s="6">
        <f>IMABS(AB1191)</f>
        <v>0</v>
      </c>
      <c r="AF1191" s="6">
        <f>IMABS(AC1191)</f>
        <v>0</v>
      </c>
      <c r="AG1191" s="6">
        <f>IMABS(AD1191)</f>
        <v>0</v>
      </c>
      <c r="AH1191" s="7">
        <f>20*LOG10(MAX(AE1191,1E-300)*1E6)</f>
        <v>0</v>
      </c>
      <c r="AI1191" s="7">
        <f>20*LOG10(MAX(AF1191,1E-300)*1E6)</f>
        <v>0</v>
      </c>
      <c r="AJ1191" s="7">
        <f>20*LOG10(MAX(AG1191,1E-300)*1E6)</f>
        <v>0</v>
      </c>
      <c r="AK1191" s="7">
        <f>DEGREES(IMARGUMENT(AB1191))</f>
        <v>0</v>
      </c>
      <c r="AL1191" s="7">
        <f>DEGREES(IMARGUMENT(AC1191))</f>
        <v>0</v>
      </c>
      <c r="AM1191" s="7">
        <f>DEGREES(IMARGUMENT(AD1191))</f>
        <v>0</v>
      </c>
    </row>
    <row r="1192" spans="1:39">
      <c r="A1192" s="6">
        <f>10^(LOG10(F_START)+(ROW()-ROW($A$2))*(LOG10(F_STOP)-LOG10(F_START))/(N_POINTS-1))</f>
        <v>0</v>
      </c>
      <c r="B1192" s="6">
        <f>2*PI()*A1192</f>
        <v>0</v>
      </c>
      <c r="C1192">
        <f>COMPLEX(2*LINE_PS_DCR,2*B1192*LINE_PS_L)</f>
        <v>0</v>
      </c>
      <c r="D1192">
        <f>IMSUM(COMPLEX(0,B1192*(LINE_PS_CLINE+LINE_PS_CCHA/2)),IMDIV("1",IMPRODUCT("2",COMPLEX(C_THROUGH_ESR,B1192*C_THROUGH_ESL-1/(B1192*C_THROUGH_C)))))</f>
        <v>0</v>
      </c>
      <c r="E1192">
        <f>COMPLEX(2*LINE_INPUT_DCR,2*B1192*LINE_INPUT_L)</f>
        <v>0</v>
      </c>
      <c r="F1192">
        <f>COMPLEX(0,B1192*(LINE_INPUT_CLINE+LINE_INPUT_CCHA/2))</f>
        <v>0</v>
      </c>
      <c r="G1192">
        <f>IMPRODUCT("2",IMDIV("1",IMSUM(IMDIV("1",COMPLEX(LDM1_DCR,B1192*LDM1_L)),COMPLEX(0,B1192*LDM1_CPA))))</f>
        <v>0</v>
      </c>
      <c r="H1192">
        <f>IMSUM(IMDIV("1",COMPLEX(CX1_ESR,B1192*CX1_ESL-1/(B1192*CX1_C))),IMDIV("1",IMSUM(COMPLEX(DUMP1_R,0),COMPLEX(DUMP1_ESR,B1192*DUMP1_ESL-1/(B1192*DUMP1_C)))))</f>
        <v>0</v>
      </c>
      <c r="I1192">
        <f>IMPRODUCT("2",IMDIV("1",IMSUM(IMDIV("1",COMPLEX(LDM2_DCR,B1192*LDM2_L)),COMPLEX(0,B1192*LDM2_CPA))))</f>
        <v>0</v>
      </c>
      <c r="J1192">
        <f>IMSUM(IMDIV("1",COMPLEX(CX2_ESR,B1192*CX2_ESL-1/(B1192*CX2_C))),IMDIV("1",IMSUM(COMPLEX(DUMP2_R,0),COMPLEX(DUMP2_ESR,B1192*DUMP2_ESL-1/(B1192*DUMP2_C)))))</f>
        <v>0</v>
      </c>
      <c r="K1192">
        <f>IMPRODUCT("2",IMDIV("1",IMSUM(IMDIV("1",COMPLEX(CMC_DCR,B1192*CMC_L*(1-CMC_K))),COMPLEX(0,B1192*CMC_CPA))))</f>
        <v>0</v>
      </c>
      <c r="L1192">
        <f>IMSUM(COMPLEX(0,B1192*CMC_CLINE),IMDIV("1",IMPRODUCT("2",COMPLEX(CY_ESR,B1192*CY_ESL-1/(B1192*CY_C)))),COMPLEX(1/DUMMY_R,0))</f>
        <v>0</v>
      </c>
      <c r="M1192">
        <f>IMSUM(D1192,IMDIV("1",C1192))</f>
        <v>0</v>
      </c>
      <c r="N1192">
        <f>IMDIV("1",IMSUM(E1192,IMDIV("1",M1192)))</f>
        <v>0</v>
      </c>
      <c r="O1192">
        <f>IMSUM(F1192,N1192)</f>
        <v>0</v>
      </c>
      <c r="P1192">
        <f>IMDIV("1",IMSUM(G1192,IMDIV("1",O1192)))</f>
        <v>0</v>
      </c>
      <c r="Q1192">
        <f>IMSUM(H1192,P1192)</f>
        <v>0</v>
      </c>
      <c r="R1192">
        <f>IMDIV("1",IMSUM(I1192,IMDIV("1",Q1192)))</f>
        <v>0</v>
      </c>
      <c r="S1192">
        <f>IMSUM(J1192,R1192)</f>
        <v>0</v>
      </c>
      <c r="T1192">
        <f>IMDIV("1",IMSUM(K1192,IMDIV("1",S1192)))</f>
        <v>0</v>
      </c>
      <c r="U1192">
        <f>IMSUM(L1192,T1192)</f>
        <v>0</v>
      </c>
      <c r="V1192">
        <f>IMDIV(COMPLEX(I_DM_SOURCE,0),U1192)</f>
        <v>0</v>
      </c>
      <c r="W1192">
        <f>IMPRODUCT(V1192,T1192)</f>
        <v>0</v>
      </c>
      <c r="X1192">
        <f>IMDIV(W1192,S1192)</f>
        <v>0</v>
      </c>
      <c r="Y1192">
        <f>IMPRODUCT(X1192,R1192)</f>
        <v>0</v>
      </c>
      <c r="Z1192">
        <f>IMDIV(Y1192,Q1192)</f>
        <v>0</v>
      </c>
      <c r="AA1192">
        <f>IMPRODUCT(Z1192,P1192)</f>
        <v>0</v>
      </c>
      <c r="AB1192">
        <f>AA1192</f>
        <v>0</v>
      </c>
      <c r="AC1192">
        <f>IMPRODUCT("-1",AB1192)</f>
        <v>0</v>
      </c>
      <c r="AD1192">
        <f>IMDIV(IMSUB(AB1192,AC1192),"2")</f>
        <v>0</v>
      </c>
      <c r="AE1192" s="6">
        <f>IMABS(AB1192)</f>
        <v>0</v>
      </c>
      <c r="AF1192" s="6">
        <f>IMABS(AC1192)</f>
        <v>0</v>
      </c>
      <c r="AG1192" s="6">
        <f>IMABS(AD1192)</f>
        <v>0</v>
      </c>
      <c r="AH1192" s="7">
        <f>20*LOG10(MAX(AE1192,1E-300)*1E6)</f>
        <v>0</v>
      </c>
      <c r="AI1192" s="7">
        <f>20*LOG10(MAX(AF1192,1E-300)*1E6)</f>
        <v>0</v>
      </c>
      <c r="AJ1192" s="7">
        <f>20*LOG10(MAX(AG1192,1E-300)*1E6)</f>
        <v>0</v>
      </c>
      <c r="AK1192" s="7">
        <f>DEGREES(IMARGUMENT(AB1192))</f>
        <v>0</v>
      </c>
      <c r="AL1192" s="7">
        <f>DEGREES(IMARGUMENT(AC1192))</f>
        <v>0</v>
      </c>
      <c r="AM1192" s="7">
        <f>DEGREES(IMARGUMENT(AD1192))</f>
        <v>0</v>
      </c>
    </row>
    <row r="1193" spans="1:39">
      <c r="A1193" s="6">
        <f>10^(LOG10(F_START)+(ROW()-ROW($A$2))*(LOG10(F_STOP)-LOG10(F_START))/(N_POINTS-1))</f>
        <v>0</v>
      </c>
      <c r="B1193" s="6">
        <f>2*PI()*A1193</f>
        <v>0</v>
      </c>
      <c r="C1193">
        <f>COMPLEX(2*LINE_PS_DCR,2*B1193*LINE_PS_L)</f>
        <v>0</v>
      </c>
      <c r="D1193">
        <f>IMSUM(COMPLEX(0,B1193*(LINE_PS_CLINE+LINE_PS_CCHA/2)),IMDIV("1",IMPRODUCT("2",COMPLEX(C_THROUGH_ESR,B1193*C_THROUGH_ESL-1/(B1193*C_THROUGH_C)))))</f>
        <v>0</v>
      </c>
      <c r="E1193">
        <f>COMPLEX(2*LINE_INPUT_DCR,2*B1193*LINE_INPUT_L)</f>
        <v>0</v>
      </c>
      <c r="F1193">
        <f>COMPLEX(0,B1193*(LINE_INPUT_CLINE+LINE_INPUT_CCHA/2))</f>
        <v>0</v>
      </c>
      <c r="G1193">
        <f>IMPRODUCT("2",IMDIV("1",IMSUM(IMDIV("1",COMPLEX(LDM1_DCR,B1193*LDM1_L)),COMPLEX(0,B1193*LDM1_CPA))))</f>
        <v>0</v>
      </c>
      <c r="H1193">
        <f>IMSUM(IMDIV("1",COMPLEX(CX1_ESR,B1193*CX1_ESL-1/(B1193*CX1_C))),IMDIV("1",IMSUM(COMPLEX(DUMP1_R,0),COMPLEX(DUMP1_ESR,B1193*DUMP1_ESL-1/(B1193*DUMP1_C)))))</f>
        <v>0</v>
      </c>
      <c r="I1193">
        <f>IMPRODUCT("2",IMDIV("1",IMSUM(IMDIV("1",COMPLEX(LDM2_DCR,B1193*LDM2_L)),COMPLEX(0,B1193*LDM2_CPA))))</f>
        <v>0</v>
      </c>
      <c r="J1193">
        <f>IMSUM(IMDIV("1",COMPLEX(CX2_ESR,B1193*CX2_ESL-1/(B1193*CX2_C))),IMDIV("1",IMSUM(COMPLEX(DUMP2_R,0),COMPLEX(DUMP2_ESR,B1193*DUMP2_ESL-1/(B1193*DUMP2_C)))))</f>
        <v>0</v>
      </c>
      <c r="K1193">
        <f>IMPRODUCT("2",IMDIV("1",IMSUM(IMDIV("1",COMPLEX(CMC_DCR,B1193*CMC_L*(1-CMC_K))),COMPLEX(0,B1193*CMC_CPA))))</f>
        <v>0</v>
      </c>
      <c r="L1193">
        <f>IMSUM(COMPLEX(0,B1193*CMC_CLINE),IMDIV("1",IMPRODUCT("2",COMPLEX(CY_ESR,B1193*CY_ESL-1/(B1193*CY_C)))),COMPLEX(1/DUMMY_R,0))</f>
        <v>0</v>
      </c>
      <c r="M1193">
        <f>IMSUM(D1193,IMDIV("1",C1193))</f>
        <v>0</v>
      </c>
      <c r="N1193">
        <f>IMDIV("1",IMSUM(E1193,IMDIV("1",M1193)))</f>
        <v>0</v>
      </c>
      <c r="O1193">
        <f>IMSUM(F1193,N1193)</f>
        <v>0</v>
      </c>
      <c r="P1193">
        <f>IMDIV("1",IMSUM(G1193,IMDIV("1",O1193)))</f>
        <v>0</v>
      </c>
      <c r="Q1193">
        <f>IMSUM(H1193,P1193)</f>
        <v>0</v>
      </c>
      <c r="R1193">
        <f>IMDIV("1",IMSUM(I1193,IMDIV("1",Q1193)))</f>
        <v>0</v>
      </c>
      <c r="S1193">
        <f>IMSUM(J1193,R1193)</f>
        <v>0</v>
      </c>
      <c r="T1193">
        <f>IMDIV("1",IMSUM(K1193,IMDIV("1",S1193)))</f>
        <v>0</v>
      </c>
      <c r="U1193">
        <f>IMSUM(L1193,T1193)</f>
        <v>0</v>
      </c>
      <c r="V1193">
        <f>IMDIV(COMPLEX(I_DM_SOURCE,0),U1193)</f>
        <v>0</v>
      </c>
      <c r="W1193">
        <f>IMPRODUCT(V1193,T1193)</f>
        <v>0</v>
      </c>
      <c r="X1193">
        <f>IMDIV(W1193,S1193)</f>
        <v>0</v>
      </c>
      <c r="Y1193">
        <f>IMPRODUCT(X1193,R1193)</f>
        <v>0</v>
      </c>
      <c r="Z1193">
        <f>IMDIV(Y1193,Q1193)</f>
        <v>0</v>
      </c>
      <c r="AA1193">
        <f>IMPRODUCT(Z1193,P1193)</f>
        <v>0</v>
      </c>
      <c r="AB1193">
        <f>AA1193</f>
        <v>0</v>
      </c>
      <c r="AC1193">
        <f>IMPRODUCT("-1",AB1193)</f>
        <v>0</v>
      </c>
      <c r="AD1193">
        <f>IMDIV(IMSUB(AB1193,AC1193),"2")</f>
        <v>0</v>
      </c>
      <c r="AE1193" s="6">
        <f>IMABS(AB1193)</f>
        <v>0</v>
      </c>
      <c r="AF1193" s="6">
        <f>IMABS(AC1193)</f>
        <v>0</v>
      </c>
      <c r="AG1193" s="6">
        <f>IMABS(AD1193)</f>
        <v>0</v>
      </c>
      <c r="AH1193" s="7">
        <f>20*LOG10(MAX(AE1193,1E-300)*1E6)</f>
        <v>0</v>
      </c>
      <c r="AI1193" s="7">
        <f>20*LOG10(MAX(AF1193,1E-300)*1E6)</f>
        <v>0</v>
      </c>
      <c r="AJ1193" s="7">
        <f>20*LOG10(MAX(AG1193,1E-300)*1E6)</f>
        <v>0</v>
      </c>
      <c r="AK1193" s="7">
        <f>DEGREES(IMARGUMENT(AB1193))</f>
        <v>0</v>
      </c>
      <c r="AL1193" s="7">
        <f>DEGREES(IMARGUMENT(AC1193))</f>
        <v>0</v>
      </c>
      <c r="AM1193" s="7">
        <f>DEGREES(IMARGUMENT(AD1193))</f>
        <v>0</v>
      </c>
    </row>
    <row r="1194" spans="1:39">
      <c r="A1194" s="6">
        <f>10^(LOG10(F_START)+(ROW()-ROW($A$2))*(LOG10(F_STOP)-LOG10(F_START))/(N_POINTS-1))</f>
        <v>0</v>
      </c>
      <c r="B1194" s="6">
        <f>2*PI()*A1194</f>
        <v>0</v>
      </c>
      <c r="C1194">
        <f>COMPLEX(2*LINE_PS_DCR,2*B1194*LINE_PS_L)</f>
        <v>0</v>
      </c>
      <c r="D1194">
        <f>IMSUM(COMPLEX(0,B1194*(LINE_PS_CLINE+LINE_PS_CCHA/2)),IMDIV("1",IMPRODUCT("2",COMPLEX(C_THROUGH_ESR,B1194*C_THROUGH_ESL-1/(B1194*C_THROUGH_C)))))</f>
        <v>0</v>
      </c>
      <c r="E1194">
        <f>COMPLEX(2*LINE_INPUT_DCR,2*B1194*LINE_INPUT_L)</f>
        <v>0</v>
      </c>
      <c r="F1194">
        <f>COMPLEX(0,B1194*(LINE_INPUT_CLINE+LINE_INPUT_CCHA/2))</f>
        <v>0</v>
      </c>
      <c r="G1194">
        <f>IMPRODUCT("2",IMDIV("1",IMSUM(IMDIV("1",COMPLEX(LDM1_DCR,B1194*LDM1_L)),COMPLEX(0,B1194*LDM1_CPA))))</f>
        <v>0</v>
      </c>
      <c r="H1194">
        <f>IMSUM(IMDIV("1",COMPLEX(CX1_ESR,B1194*CX1_ESL-1/(B1194*CX1_C))),IMDIV("1",IMSUM(COMPLEX(DUMP1_R,0),COMPLEX(DUMP1_ESR,B1194*DUMP1_ESL-1/(B1194*DUMP1_C)))))</f>
        <v>0</v>
      </c>
      <c r="I1194">
        <f>IMPRODUCT("2",IMDIV("1",IMSUM(IMDIV("1",COMPLEX(LDM2_DCR,B1194*LDM2_L)),COMPLEX(0,B1194*LDM2_CPA))))</f>
        <v>0</v>
      </c>
      <c r="J1194">
        <f>IMSUM(IMDIV("1",COMPLEX(CX2_ESR,B1194*CX2_ESL-1/(B1194*CX2_C))),IMDIV("1",IMSUM(COMPLEX(DUMP2_R,0),COMPLEX(DUMP2_ESR,B1194*DUMP2_ESL-1/(B1194*DUMP2_C)))))</f>
        <v>0</v>
      </c>
      <c r="K1194">
        <f>IMPRODUCT("2",IMDIV("1",IMSUM(IMDIV("1",COMPLEX(CMC_DCR,B1194*CMC_L*(1-CMC_K))),COMPLEX(0,B1194*CMC_CPA))))</f>
        <v>0</v>
      </c>
      <c r="L1194">
        <f>IMSUM(COMPLEX(0,B1194*CMC_CLINE),IMDIV("1",IMPRODUCT("2",COMPLEX(CY_ESR,B1194*CY_ESL-1/(B1194*CY_C)))),COMPLEX(1/DUMMY_R,0))</f>
        <v>0</v>
      </c>
      <c r="M1194">
        <f>IMSUM(D1194,IMDIV("1",C1194))</f>
        <v>0</v>
      </c>
      <c r="N1194">
        <f>IMDIV("1",IMSUM(E1194,IMDIV("1",M1194)))</f>
        <v>0</v>
      </c>
      <c r="O1194">
        <f>IMSUM(F1194,N1194)</f>
        <v>0</v>
      </c>
      <c r="P1194">
        <f>IMDIV("1",IMSUM(G1194,IMDIV("1",O1194)))</f>
        <v>0</v>
      </c>
      <c r="Q1194">
        <f>IMSUM(H1194,P1194)</f>
        <v>0</v>
      </c>
      <c r="R1194">
        <f>IMDIV("1",IMSUM(I1194,IMDIV("1",Q1194)))</f>
        <v>0</v>
      </c>
      <c r="S1194">
        <f>IMSUM(J1194,R1194)</f>
        <v>0</v>
      </c>
      <c r="T1194">
        <f>IMDIV("1",IMSUM(K1194,IMDIV("1",S1194)))</f>
        <v>0</v>
      </c>
      <c r="U1194">
        <f>IMSUM(L1194,T1194)</f>
        <v>0</v>
      </c>
      <c r="V1194">
        <f>IMDIV(COMPLEX(I_DM_SOURCE,0),U1194)</f>
        <v>0</v>
      </c>
      <c r="W1194">
        <f>IMPRODUCT(V1194,T1194)</f>
        <v>0</v>
      </c>
      <c r="X1194">
        <f>IMDIV(W1194,S1194)</f>
        <v>0</v>
      </c>
      <c r="Y1194">
        <f>IMPRODUCT(X1194,R1194)</f>
        <v>0</v>
      </c>
      <c r="Z1194">
        <f>IMDIV(Y1194,Q1194)</f>
        <v>0</v>
      </c>
      <c r="AA1194">
        <f>IMPRODUCT(Z1194,P1194)</f>
        <v>0</v>
      </c>
      <c r="AB1194">
        <f>AA1194</f>
        <v>0</v>
      </c>
      <c r="AC1194">
        <f>IMPRODUCT("-1",AB1194)</f>
        <v>0</v>
      </c>
      <c r="AD1194">
        <f>IMDIV(IMSUB(AB1194,AC1194),"2")</f>
        <v>0</v>
      </c>
      <c r="AE1194" s="6">
        <f>IMABS(AB1194)</f>
        <v>0</v>
      </c>
      <c r="AF1194" s="6">
        <f>IMABS(AC1194)</f>
        <v>0</v>
      </c>
      <c r="AG1194" s="6">
        <f>IMABS(AD1194)</f>
        <v>0</v>
      </c>
      <c r="AH1194" s="7">
        <f>20*LOG10(MAX(AE1194,1E-300)*1E6)</f>
        <v>0</v>
      </c>
      <c r="AI1194" s="7">
        <f>20*LOG10(MAX(AF1194,1E-300)*1E6)</f>
        <v>0</v>
      </c>
      <c r="AJ1194" s="7">
        <f>20*LOG10(MAX(AG1194,1E-300)*1E6)</f>
        <v>0</v>
      </c>
      <c r="AK1194" s="7">
        <f>DEGREES(IMARGUMENT(AB1194))</f>
        <v>0</v>
      </c>
      <c r="AL1194" s="7">
        <f>DEGREES(IMARGUMENT(AC1194))</f>
        <v>0</v>
      </c>
      <c r="AM1194" s="7">
        <f>DEGREES(IMARGUMENT(AD1194))</f>
        <v>0</v>
      </c>
    </row>
    <row r="1195" spans="1:39">
      <c r="A1195" s="6">
        <f>10^(LOG10(F_START)+(ROW()-ROW($A$2))*(LOG10(F_STOP)-LOG10(F_START))/(N_POINTS-1))</f>
        <v>0</v>
      </c>
      <c r="B1195" s="6">
        <f>2*PI()*A1195</f>
        <v>0</v>
      </c>
      <c r="C1195">
        <f>COMPLEX(2*LINE_PS_DCR,2*B1195*LINE_PS_L)</f>
        <v>0</v>
      </c>
      <c r="D1195">
        <f>IMSUM(COMPLEX(0,B1195*(LINE_PS_CLINE+LINE_PS_CCHA/2)),IMDIV("1",IMPRODUCT("2",COMPLEX(C_THROUGH_ESR,B1195*C_THROUGH_ESL-1/(B1195*C_THROUGH_C)))))</f>
        <v>0</v>
      </c>
      <c r="E1195">
        <f>COMPLEX(2*LINE_INPUT_DCR,2*B1195*LINE_INPUT_L)</f>
        <v>0</v>
      </c>
      <c r="F1195">
        <f>COMPLEX(0,B1195*(LINE_INPUT_CLINE+LINE_INPUT_CCHA/2))</f>
        <v>0</v>
      </c>
      <c r="G1195">
        <f>IMPRODUCT("2",IMDIV("1",IMSUM(IMDIV("1",COMPLEX(LDM1_DCR,B1195*LDM1_L)),COMPLEX(0,B1195*LDM1_CPA))))</f>
        <v>0</v>
      </c>
      <c r="H1195">
        <f>IMSUM(IMDIV("1",COMPLEX(CX1_ESR,B1195*CX1_ESL-1/(B1195*CX1_C))),IMDIV("1",IMSUM(COMPLEX(DUMP1_R,0),COMPLEX(DUMP1_ESR,B1195*DUMP1_ESL-1/(B1195*DUMP1_C)))))</f>
        <v>0</v>
      </c>
      <c r="I1195">
        <f>IMPRODUCT("2",IMDIV("1",IMSUM(IMDIV("1",COMPLEX(LDM2_DCR,B1195*LDM2_L)),COMPLEX(0,B1195*LDM2_CPA))))</f>
        <v>0</v>
      </c>
      <c r="J1195">
        <f>IMSUM(IMDIV("1",COMPLEX(CX2_ESR,B1195*CX2_ESL-1/(B1195*CX2_C))),IMDIV("1",IMSUM(COMPLEX(DUMP2_R,0),COMPLEX(DUMP2_ESR,B1195*DUMP2_ESL-1/(B1195*DUMP2_C)))))</f>
        <v>0</v>
      </c>
      <c r="K1195">
        <f>IMPRODUCT("2",IMDIV("1",IMSUM(IMDIV("1",COMPLEX(CMC_DCR,B1195*CMC_L*(1-CMC_K))),COMPLEX(0,B1195*CMC_CPA))))</f>
        <v>0</v>
      </c>
      <c r="L1195">
        <f>IMSUM(COMPLEX(0,B1195*CMC_CLINE),IMDIV("1",IMPRODUCT("2",COMPLEX(CY_ESR,B1195*CY_ESL-1/(B1195*CY_C)))),COMPLEX(1/DUMMY_R,0))</f>
        <v>0</v>
      </c>
      <c r="M1195">
        <f>IMSUM(D1195,IMDIV("1",C1195))</f>
        <v>0</v>
      </c>
      <c r="N1195">
        <f>IMDIV("1",IMSUM(E1195,IMDIV("1",M1195)))</f>
        <v>0</v>
      </c>
      <c r="O1195">
        <f>IMSUM(F1195,N1195)</f>
        <v>0</v>
      </c>
      <c r="P1195">
        <f>IMDIV("1",IMSUM(G1195,IMDIV("1",O1195)))</f>
        <v>0</v>
      </c>
      <c r="Q1195">
        <f>IMSUM(H1195,P1195)</f>
        <v>0</v>
      </c>
      <c r="R1195">
        <f>IMDIV("1",IMSUM(I1195,IMDIV("1",Q1195)))</f>
        <v>0</v>
      </c>
      <c r="S1195">
        <f>IMSUM(J1195,R1195)</f>
        <v>0</v>
      </c>
      <c r="T1195">
        <f>IMDIV("1",IMSUM(K1195,IMDIV("1",S1195)))</f>
        <v>0</v>
      </c>
      <c r="U1195">
        <f>IMSUM(L1195,T1195)</f>
        <v>0</v>
      </c>
      <c r="V1195">
        <f>IMDIV(COMPLEX(I_DM_SOURCE,0),U1195)</f>
        <v>0</v>
      </c>
      <c r="W1195">
        <f>IMPRODUCT(V1195,T1195)</f>
        <v>0</v>
      </c>
      <c r="X1195">
        <f>IMDIV(W1195,S1195)</f>
        <v>0</v>
      </c>
      <c r="Y1195">
        <f>IMPRODUCT(X1195,R1195)</f>
        <v>0</v>
      </c>
      <c r="Z1195">
        <f>IMDIV(Y1195,Q1195)</f>
        <v>0</v>
      </c>
      <c r="AA1195">
        <f>IMPRODUCT(Z1195,P1195)</f>
        <v>0</v>
      </c>
      <c r="AB1195">
        <f>AA1195</f>
        <v>0</v>
      </c>
      <c r="AC1195">
        <f>IMPRODUCT("-1",AB1195)</f>
        <v>0</v>
      </c>
      <c r="AD1195">
        <f>IMDIV(IMSUB(AB1195,AC1195),"2")</f>
        <v>0</v>
      </c>
      <c r="AE1195" s="6">
        <f>IMABS(AB1195)</f>
        <v>0</v>
      </c>
      <c r="AF1195" s="6">
        <f>IMABS(AC1195)</f>
        <v>0</v>
      </c>
      <c r="AG1195" s="6">
        <f>IMABS(AD1195)</f>
        <v>0</v>
      </c>
      <c r="AH1195" s="7">
        <f>20*LOG10(MAX(AE1195,1E-300)*1E6)</f>
        <v>0</v>
      </c>
      <c r="AI1195" s="7">
        <f>20*LOG10(MAX(AF1195,1E-300)*1E6)</f>
        <v>0</v>
      </c>
      <c r="AJ1195" s="7">
        <f>20*LOG10(MAX(AG1195,1E-300)*1E6)</f>
        <v>0</v>
      </c>
      <c r="AK1195" s="7">
        <f>DEGREES(IMARGUMENT(AB1195))</f>
        <v>0</v>
      </c>
      <c r="AL1195" s="7">
        <f>DEGREES(IMARGUMENT(AC1195))</f>
        <v>0</v>
      </c>
      <c r="AM1195" s="7">
        <f>DEGREES(IMARGUMENT(AD1195))</f>
        <v>0</v>
      </c>
    </row>
    <row r="1196" spans="1:39">
      <c r="A1196" s="6">
        <f>10^(LOG10(F_START)+(ROW()-ROW($A$2))*(LOG10(F_STOP)-LOG10(F_START))/(N_POINTS-1))</f>
        <v>0</v>
      </c>
      <c r="B1196" s="6">
        <f>2*PI()*A1196</f>
        <v>0</v>
      </c>
      <c r="C1196">
        <f>COMPLEX(2*LINE_PS_DCR,2*B1196*LINE_PS_L)</f>
        <v>0</v>
      </c>
      <c r="D1196">
        <f>IMSUM(COMPLEX(0,B1196*(LINE_PS_CLINE+LINE_PS_CCHA/2)),IMDIV("1",IMPRODUCT("2",COMPLEX(C_THROUGH_ESR,B1196*C_THROUGH_ESL-1/(B1196*C_THROUGH_C)))))</f>
        <v>0</v>
      </c>
      <c r="E1196">
        <f>COMPLEX(2*LINE_INPUT_DCR,2*B1196*LINE_INPUT_L)</f>
        <v>0</v>
      </c>
      <c r="F1196">
        <f>COMPLEX(0,B1196*(LINE_INPUT_CLINE+LINE_INPUT_CCHA/2))</f>
        <v>0</v>
      </c>
      <c r="G1196">
        <f>IMPRODUCT("2",IMDIV("1",IMSUM(IMDIV("1",COMPLEX(LDM1_DCR,B1196*LDM1_L)),COMPLEX(0,B1196*LDM1_CPA))))</f>
        <v>0</v>
      </c>
      <c r="H1196">
        <f>IMSUM(IMDIV("1",COMPLEX(CX1_ESR,B1196*CX1_ESL-1/(B1196*CX1_C))),IMDIV("1",IMSUM(COMPLEX(DUMP1_R,0),COMPLEX(DUMP1_ESR,B1196*DUMP1_ESL-1/(B1196*DUMP1_C)))))</f>
        <v>0</v>
      </c>
      <c r="I1196">
        <f>IMPRODUCT("2",IMDIV("1",IMSUM(IMDIV("1",COMPLEX(LDM2_DCR,B1196*LDM2_L)),COMPLEX(0,B1196*LDM2_CPA))))</f>
        <v>0</v>
      </c>
      <c r="J1196">
        <f>IMSUM(IMDIV("1",COMPLEX(CX2_ESR,B1196*CX2_ESL-1/(B1196*CX2_C))),IMDIV("1",IMSUM(COMPLEX(DUMP2_R,0),COMPLEX(DUMP2_ESR,B1196*DUMP2_ESL-1/(B1196*DUMP2_C)))))</f>
        <v>0</v>
      </c>
      <c r="K1196">
        <f>IMPRODUCT("2",IMDIV("1",IMSUM(IMDIV("1",COMPLEX(CMC_DCR,B1196*CMC_L*(1-CMC_K))),COMPLEX(0,B1196*CMC_CPA))))</f>
        <v>0</v>
      </c>
      <c r="L1196">
        <f>IMSUM(COMPLEX(0,B1196*CMC_CLINE),IMDIV("1",IMPRODUCT("2",COMPLEX(CY_ESR,B1196*CY_ESL-1/(B1196*CY_C)))),COMPLEX(1/DUMMY_R,0))</f>
        <v>0</v>
      </c>
      <c r="M1196">
        <f>IMSUM(D1196,IMDIV("1",C1196))</f>
        <v>0</v>
      </c>
      <c r="N1196">
        <f>IMDIV("1",IMSUM(E1196,IMDIV("1",M1196)))</f>
        <v>0</v>
      </c>
      <c r="O1196">
        <f>IMSUM(F1196,N1196)</f>
        <v>0</v>
      </c>
      <c r="P1196">
        <f>IMDIV("1",IMSUM(G1196,IMDIV("1",O1196)))</f>
        <v>0</v>
      </c>
      <c r="Q1196">
        <f>IMSUM(H1196,P1196)</f>
        <v>0</v>
      </c>
      <c r="R1196">
        <f>IMDIV("1",IMSUM(I1196,IMDIV("1",Q1196)))</f>
        <v>0</v>
      </c>
      <c r="S1196">
        <f>IMSUM(J1196,R1196)</f>
        <v>0</v>
      </c>
      <c r="T1196">
        <f>IMDIV("1",IMSUM(K1196,IMDIV("1",S1196)))</f>
        <v>0</v>
      </c>
      <c r="U1196">
        <f>IMSUM(L1196,T1196)</f>
        <v>0</v>
      </c>
      <c r="V1196">
        <f>IMDIV(COMPLEX(I_DM_SOURCE,0),U1196)</f>
        <v>0</v>
      </c>
      <c r="W1196">
        <f>IMPRODUCT(V1196,T1196)</f>
        <v>0</v>
      </c>
      <c r="X1196">
        <f>IMDIV(W1196,S1196)</f>
        <v>0</v>
      </c>
      <c r="Y1196">
        <f>IMPRODUCT(X1196,R1196)</f>
        <v>0</v>
      </c>
      <c r="Z1196">
        <f>IMDIV(Y1196,Q1196)</f>
        <v>0</v>
      </c>
      <c r="AA1196">
        <f>IMPRODUCT(Z1196,P1196)</f>
        <v>0</v>
      </c>
      <c r="AB1196">
        <f>AA1196</f>
        <v>0</v>
      </c>
      <c r="AC1196">
        <f>IMPRODUCT("-1",AB1196)</f>
        <v>0</v>
      </c>
      <c r="AD1196">
        <f>IMDIV(IMSUB(AB1196,AC1196),"2")</f>
        <v>0</v>
      </c>
      <c r="AE1196" s="6">
        <f>IMABS(AB1196)</f>
        <v>0</v>
      </c>
      <c r="AF1196" s="6">
        <f>IMABS(AC1196)</f>
        <v>0</v>
      </c>
      <c r="AG1196" s="6">
        <f>IMABS(AD1196)</f>
        <v>0</v>
      </c>
      <c r="AH1196" s="7">
        <f>20*LOG10(MAX(AE1196,1E-300)*1E6)</f>
        <v>0</v>
      </c>
      <c r="AI1196" s="7">
        <f>20*LOG10(MAX(AF1196,1E-300)*1E6)</f>
        <v>0</v>
      </c>
      <c r="AJ1196" s="7">
        <f>20*LOG10(MAX(AG1196,1E-300)*1E6)</f>
        <v>0</v>
      </c>
      <c r="AK1196" s="7">
        <f>DEGREES(IMARGUMENT(AB1196))</f>
        <v>0</v>
      </c>
      <c r="AL1196" s="7">
        <f>DEGREES(IMARGUMENT(AC1196))</f>
        <v>0</v>
      </c>
      <c r="AM1196" s="7">
        <f>DEGREES(IMARGUMENT(AD1196))</f>
        <v>0</v>
      </c>
    </row>
    <row r="1197" spans="1:39">
      <c r="A1197" s="6">
        <f>10^(LOG10(F_START)+(ROW()-ROW($A$2))*(LOG10(F_STOP)-LOG10(F_START))/(N_POINTS-1))</f>
        <v>0</v>
      </c>
      <c r="B1197" s="6">
        <f>2*PI()*A1197</f>
        <v>0</v>
      </c>
      <c r="C1197">
        <f>COMPLEX(2*LINE_PS_DCR,2*B1197*LINE_PS_L)</f>
        <v>0</v>
      </c>
      <c r="D1197">
        <f>IMSUM(COMPLEX(0,B1197*(LINE_PS_CLINE+LINE_PS_CCHA/2)),IMDIV("1",IMPRODUCT("2",COMPLEX(C_THROUGH_ESR,B1197*C_THROUGH_ESL-1/(B1197*C_THROUGH_C)))))</f>
        <v>0</v>
      </c>
      <c r="E1197">
        <f>COMPLEX(2*LINE_INPUT_DCR,2*B1197*LINE_INPUT_L)</f>
        <v>0</v>
      </c>
      <c r="F1197">
        <f>COMPLEX(0,B1197*(LINE_INPUT_CLINE+LINE_INPUT_CCHA/2))</f>
        <v>0</v>
      </c>
      <c r="G1197">
        <f>IMPRODUCT("2",IMDIV("1",IMSUM(IMDIV("1",COMPLEX(LDM1_DCR,B1197*LDM1_L)),COMPLEX(0,B1197*LDM1_CPA))))</f>
        <v>0</v>
      </c>
      <c r="H1197">
        <f>IMSUM(IMDIV("1",COMPLEX(CX1_ESR,B1197*CX1_ESL-1/(B1197*CX1_C))),IMDIV("1",IMSUM(COMPLEX(DUMP1_R,0),COMPLEX(DUMP1_ESR,B1197*DUMP1_ESL-1/(B1197*DUMP1_C)))))</f>
        <v>0</v>
      </c>
      <c r="I1197">
        <f>IMPRODUCT("2",IMDIV("1",IMSUM(IMDIV("1",COMPLEX(LDM2_DCR,B1197*LDM2_L)),COMPLEX(0,B1197*LDM2_CPA))))</f>
        <v>0</v>
      </c>
      <c r="J1197">
        <f>IMSUM(IMDIV("1",COMPLEX(CX2_ESR,B1197*CX2_ESL-1/(B1197*CX2_C))),IMDIV("1",IMSUM(COMPLEX(DUMP2_R,0),COMPLEX(DUMP2_ESR,B1197*DUMP2_ESL-1/(B1197*DUMP2_C)))))</f>
        <v>0</v>
      </c>
      <c r="K1197">
        <f>IMPRODUCT("2",IMDIV("1",IMSUM(IMDIV("1",COMPLEX(CMC_DCR,B1197*CMC_L*(1-CMC_K))),COMPLEX(0,B1197*CMC_CPA))))</f>
        <v>0</v>
      </c>
      <c r="L1197">
        <f>IMSUM(COMPLEX(0,B1197*CMC_CLINE),IMDIV("1",IMPRODUCT("2",COMPLEX(CY_ESR,B1197*CY_ESL-1/(B1197*CY_C)))),COMPLEX(1/DUMMY_R,0))</f>
        <v>0</v>
      </c>
      <c r="M1197">
        <f>IMSUM(D1197,IMDIV("1",C1197))</f>
        <v>0</v>
      </c>
      <c r="N1197">
        <f>IMDIV("1",IMSUM(E1197,IMDIV("1",M1197)))</f>
        <v>0</v>
      </c>
      <c r="O1197">
        <f>IMSUM(F1197,N1197)</f>
        <v>0</v>
      </c>
      <c r="P1197">
        <f>IMDIV("1",IMSUM(G1197,IMDIV("1",O1197)))</f>
        <v>0</v>
      </c>
      <c r="Q1197">
        <f>IMSUM(H1197,P1197)</f>
        <v>0</v>
      </c>
      <c r="R1197">
        <f>IMDIV("1",IMSUM(I1197,IMDIV("1",Q1197)))</f>
        <v>0</v>
      </c>
      <c r="S1197">
        <f>IMSUM(J1197,R1197)</f>
        <v>0</v>
      </c>
      <c r="T1197">
        <f>IMDIV("1",IMSUM(K1197,IMDIV("1",S1197)))</f>
        <v>0</v>
      </c>
      <c r="U1197">
        <f>IMSUM(L1197,T1197)</f>
        <v>0</v>
      </c>
      <c r="V1197">
        <f>IMDIV(COMPLEX(I_DM_SOURCE,0),U1197)</f>
        <v>0</v>
      </c>
      <c r="W1197">
        <f>IMPRODUCT(V1197,T1197)</f>
        <v>0</v>
      </c>
      <c r="X1197">
        <f>IMDIV(W1197,S1197)</f>
        <v>0</v>
      </c>
      <c r="Y1197">
        <f>IMPRODUCT(X1197,R1197)</f>
        <v>0</v>
      </c>
      <c r="Z1197">
        <f>IMDIV(Y1197,Q1197)</f>
        <v>0</v>
      </c>
      <c r="AA1197">
        <f>IMPRODUCT(Z1197,P1197)</f>
        <v>0</v>
      </c>
      <c r="AB1197">
        <f>AA1197</f>
        <v>0</v>
      </c>
      <c r="AC1197">
        <f>IMPRODUCT("-1",AB1197)</f>
        <v>0</v>
      </c>
      <c r="AD1197">
        <f>IMDIV(IMSUB(AB1197,AC1197),"2")</f>
        <v>0</v>
      </c>
      <c r="AE1197" s="6">
        <f>IMABS(AB1197)</f>
        <v>0</v>
      </c>
      <c r="AF1197" s="6">
        <f>IMABS(AC1197)</f>
        <v>0</v>
      </c>
      <c r="AG1197" s="6">
        <f>IMABS(AD1197)</f>
        <v>0</v>
      </c>
      <c r="AH1197" s="7">
        <f>20*LOG10(MAX(AE1197,1E-300)*1E6)</f>
        <v>0</v>
      </c>
      <c r="AI1197" s="7">
        <f>20*LOG10(MAX(AF1197,1E-300)*1E6)</f>
        <v>0</v>
      </c>
      <c r="AJ1197" s="7">
        <f>20*LOG10(MAX(AG1197,1E-300)*1E6)</f>
        <v>0</v>
      </c>
      <c r="AK1197" s="7">
        <f>DEGREES(IMARGUMENT(AB1197))</f>
        <v>0</v>
      </c>
      <c r="AL1197" s="7">
        <f>DEGREES(IMARGUMENT(AC1197))</f>
        <v>0</v>
      </c>
      <c r="AM1197" s="7">
        <f>DEGREES(IMARGUMENT(AD1197))</f>
        <v>0</v>
      </c>
    </row>
    <row r="1198" spans="1:39">
      <c r="A1198" s="6">
        <f>10^(LOG10(F_START)+(ROW()-ROW($A$2))*(LOG10(F_STOP)-LOG10(F_START))/(N_POINTS-1))</f>
        <v>0</v>
      </c>
      <c r="B1198" s="6">
        <f>2*PI()*A1198</f>
        <v>0</v>
      </c>
      <c r="C1198">
        <f>COMPLEX(2*LINE_PS_DCR,2*B1198*LINE_PS_L)</f>
        <v>0</v>
      </c>
      <c r="D1198">
        <f>IMSUM(COMPLEX(0,B1198*(LINE_PS_CLINE+LINE_PS_CCHA/2)),IMDIV("1",IMPRODUCT("2",COMPLEX(C_THROUGH_ESR,B1198*C_THROUGH_ESL-1/(B1198*C_THROUGH_C)))))</f>
        <v>0</v>
      </c>
      <c r="E1198">
        <f>COMPLEX(2*LINE_INPUT_DCR,2*B1198*LINE_INPUT_L)</f>
        <v>0</v>
      </c>
      <c r="F1198">
        <f>COMPLEX(0,B1198*(LINE_INPUT_CLINE+LINE_INPUT_CCHA/2))</f>
        <v>0</v>
      </c>
      <c r="G1198">
        <f>IMPRODUCT("2",IMDIV("1",IMSUM(IMDIV("1",COMPLEX(LDM1_DCR,B1198*LDM1_L)),COMPLEX(0,B1198*LDM1_CPA))))</f>
        <v>0</v>
      </c>
      <c r="H1198">
        <f>IMSUM(IMDIV("1",COMPLEX(CX1_ESR,B1198*CX1_ESL-1/(B1198*CX1_C))),IMDIV("1",IMSUM(COMPLEX(DUMP1_R,0),COMPLEX(DUMP1_ESR,B1198*DUMP1_ESL-1/(B1198*DUMP1_C)))))</f>
        <v>0</v>
      </c>
      <c r="I1198">
        <f>IMPRODUCT("2",IMDIV("1",IMSUM(IMDIV("1",COMPLEX(LDM2_DCR,B1198*LDM2_L)),COMPLEX(0,B1198*LDM2_CPA))))</f>
        <v>0</v>
      </c>
      <c r="J1198">
        <f>IMSUM(IMDIV("1",COMPLEX(CX2_ESR,B1198*CX2_ESL-1/(B1198*CX2_C))),IMDIV("1",IMSUM(COMPLEX(DUMP2_R,0),COMPLEX(DUMP2_ESR,B1198*DUMP2_ESL-1/(B1198*DUMP2_C)))))</f>
        <v>0</v>
      </c>
      <c r="K1198">
        <f>IMPRODUCT("2",IMDIV("1",IMSUM(IMDIV("1",COMPLEX(CMC_DCR,B1198*CMC_L*(1-CMC_K))),COMPLEX(0,B1198*CMC_CPA))))</f>
        <v>0</v>
      </c>
      <c r="L1198">
        <f>IMSUM(COMPLEX(0,B1198*CMC_CLINE),IMDIV("1",IMPRODUCT("2",COMPLEX(CY_ESR,B1198*CY_ESL-1/(B1198*CY_C)))),COMPLEX(1/DUMMY_R,0))</f>
        <v>0</v>
      </c>
      <c r="M1198">
        <f>IMSUM(D1198,IMDIV("1",C1198))</f>
        <v>0</v>
      </c>
      <c r="N1198">
        <f>IMDIV("1",IMSUM(E1198,IMDIV("1",M1198)))</f>
        <v>0</v>
      </c>
      <c r="O1198">
        <f>IMSUM(F1198,N1198)</f>
        <v>0</v>
      </c>
      <c r="P1198">
        <f>IMDIV("1",IMSUM(G1198,IMDIV("1",O1198)))</f>
        <v>0</v>
      </c>
      <c r="Q1198">
        <f>IMSUM(H1198,P1198)</f>
        <v>0</v>
      </c>
      <c r="R1198">
        <f>IMDIV("1",IMSUM(I1198,IMDIV("1",Q1198)))</f>
        <v>0</v>
      </c>
      <c r="S1198">
        <f>IMSUM(J1198,R1198)</f>
        <v>0</v>
      </c>
      <c r="T1198">
        <f>IMDIV("1",IMSUM(K1198,IMDIV("1",S1198)))</f>
        <v>0</v>
      </c>
      <c r="U1198">
        <f>IMSUM(L1198,T1198)</f>
        <v>0</v>
      </c>
      <c r="V1198">
        <f>IMDIV(COMPLEX(I_DM_SOURCE,0),U1198)</f>
        <v>0</v>
      </c>
      <c r="W1198">
        <f>IMPRODUCT(V1198,T1198)</f>
        <v>0</v>
      </c>
      <c r="X1198">
        <f>IMDIV(W1198,S1198)</f>
        <v>0</v>
      </c>
      <c r="Y1198">
        <f>IMPRODUCT(X1198,R1198)</f>
        <v>0</v>
      </c>
      <c r="Z1198">
        <f>IMDIV(Y1198,Q1198)</f>
        <v>0</v>
      </c>
      <c r="AA1198">
        <f>IMPRODUCT(Z1198,P1198)</f>
        <v>0</v>
      </c>
      <c r="AB1198">
        <f>AA1198</f>
        <v>0</v>
      </c>
      <c r="AC1198">
        <f>IMPRODUCT("-1",AB1198)</f>
        <v>0</v>
      </c>
      <c r="AD1198">
        <f>IMDIV(IMSUB(AB1198,AC1198),"2")</f>
        <v>0</v>
      </c>
      <c r="AE1198" s="6">
        <f>IMABS(AB1198)</f>
        <v>0</v>
      </c>
      <c r="AF1198" s="6">
        <f>IMABS(AC1198)</f>
        <v>0</v>
      </c>
      <c r="AG1198" s="6">
        <f>IMABS(AD1198)</f>
        <v>0</v>
      </c>
      <c r="AH1198" s="7">
        <f>20*LOG10(MAX(AE1198,1E-300)*1E6)</f>
        <v>0</v>
      </c>
      <c r="AI1198" s="7">
        <f>20*LOG10(MAX(AF1198,1E-300)*1E6)</f>
        <v>0</v>
      </c>
      <c r="AJ1198" s="7">
        <f>20*LOG10(MAX(AG1198,1E-300)*1E6)</f>
        <v>0</v>
      </c>
      <c r="AK1198" s="7">
        <f>DEGREES(IMARGUMENT(AB1198))</f>
        <v>0</v>
      </c>
      <c r="AL1198" s="7">
        <f>DEGREES(IMARGUMENT(AC1198))</f>
        <v>0</v>
      </c>
      <c r="AM1198" s="7">
        <f>DEGREES(IMARGUMENT(AD1198))</f>
        <v>0</v>
      </c>
    </row>
    <row r="1199" spans="1:39">
      <c r="A1199" s="6">
        <f>10^(LOG10(F_START)+(ROW()-ROW($A$2))*(LOG10(F_STOP)-LOG10(F_START))/(N_POINTS-1))</f>
        <v>0</v>
      </c>
      <c r="B1199" s="6">
        <f>2*PI()*A1199</f>
        <v>0</v>
      </c>
      <c r="C1199">
        <f>COMPLEX(2*LINE_PS_DCR,2*B1199*LINE_PS_L)</f>
        <v>0</v>
      </c>
      <c r="D1199">
        <f>IMSUM(COMPLEX(0,B1199*(LINE_PS_CLINE+LINE_PS_CCHA/2)),IMDIV("1",IMPRODUCT("2",COMPLEX(C_THROUGH_ESR,B1199*C_THROUGH_ESL-1/(B1199*C_THROUGH_C)))))</f>
        <v>0</v>
      </c>
      <c r="E1199">
        <f>COMPLEX(2*LINE_INPUT_DCR,2*B1199*LINE_INPUT_L)</f>
        <v>0</v>
      </c>
      <c r="F1199">
        <f>COMPLEX(0,B1199*(LINE_INPUT_CLINE+LINE_INPUT_CCHA/2))</f>
        <v>0</v>
      </c>
      <c r="G1199">
        <f>IMPRODUCT("2",IMDIV("1",IMSUM(IMDIV("1",COMPLEX(LDM1_DCR,B1199*LDM1_L)),COMPLEX(0,B1199*LDM1_CPA))))</f>
        <v>0</v>
      </c>
      <c r="H1199">
        <f>IMSUM(IMDIV("1",COMPLEX(CX1_ESR,B1199*CX1_ESL-1/(B1199*CX1_C))),IMDIV("1",IMSUM(COMPLEX(DUMP1_R,0),COMPLEX(DUMP1_ESR,B1199*DUMP1_ESL-1/(B1199*DUMP1_C)))))</f>
        <v>0</v>
      </c>
      <c r="I1199">
        <f>IMPRODUCT("2",IMDIV("1",IMSUM(IMDIV("1",COMPLEX(LDM2_DCR,B1199*LDM2_L)),COMPLEX(0,B1199*LDM2_CPA))))</f>
        <v>0</v>
      </c>
      <c r="J1199">
        <f>IMSUM(IMDIV("1",COMPLEX(CX2_ESR,B1199*CX2_ESL-1/(B1199*CX2_C))),IMDIV("1",IMSUM(COMPLEX(DUMP2_R,0),COMPLEX(DUMP2_ESR,B1199*DUMP2_ESL-1/(B1199*DUMP2_C)))))</f>
        <v>0</v>
      </c>
      <c r="K1199">
        <f>IMPRODUCT("2",IMDIV("1",IMSUM(IMDIV("1",COMPLEX(CMC_DCR,B1199*CMC_L*(1-CMC_K))),COMPLEX(0,B1199*CMC_CPA))))</f>
        <v>0</v>
      </c>
      <c r="L1199">
        <f>IMSUM(COMPLEX(0,B1199*CMC_CLINE),IMDIV("1",IMPRODUCT("2",COMPLEX(CY_ESR,B1199*CY_ESL-1/(B1199*CY_C)))),COMPLEX(1/DUMMY_R,0))</f>
        <v>0</v>
      </c>
      <c r="M1199">
        <f>IMSUM(D1199,IMDIV("1",C1199))</f>
        <v>0</v>
      </c>
      <c r="N1199">
        <f>IMDIV("1",IMSUM(E1199,IMDIV("1",M1199)))</f>
        <v>0</v>
      </c>
      <c r="O1199">
        <f>IMSUM(F1199,N1199)</f>
        <v>0</v>
      </c>
      <c r="P1199">
        <f>IMDIV("1",IMSUM(G1199,IMDIV("1",O1199)))</f>
        <v>0</v>
      </c>
      <c r="Q1199">
        <f>IMSUM(H1199,P1199)</f>
        <v>0</v>
      </c>
      <c r="R1199">
        <f>IMDIV("1",IMSUM(I1199,IMDIV("1",Q1199)))</f>
        <v>0</v>
      </c>
      <c r="S1199">
        <f>IMSUM(J1199,R1199)</f>
        <v>0</v>
      </c>
      <c r="T1199">
        <f>IMDIV("1",IMSUM(K1199,IMDIV("1",S1199)))</f>
        <v>0</v>
      </c>
      <c r="U1199">
        <f>IMSUM(L1199,T1199)</f>
        <v>0</v>
      </c>
      <c r="V1199">
        <f>IMDIV(COMPLEX(I_DM_SOURCE,0),U1199)</f>
        <v>0</v>
      </c>
      <c r="W1199">
        <f>IMPRODUCT(V1199,T1199)</f>
        <v>0</v>
      </c>
      <c r="X1199">
        <f>IMDIV(W1199,S1199)</f>
        <v>0</v>
      </c>
      <c r="Y1199">
        <f>IMPRODUCT(X1199,R1199)</f>
        <v>0</v>
      </c>
      <c r="Z1199">
        <f>IMDIV(Y1199,Q1199)</f>
        <v>0</v>
      </c>
      <c r="AA1199">
        <f>IMPRODUCT(Z1199,P1199)</f>
        <v>0</v>
      </c>
      <c r="AB1199">
        <f>AA1199</f>
        <v>0</v>
      </c>
      <c r="AC1199">
        <f>IMPRODUCT("-1",AB1199)</f>
        <v>0</v>
      </c>
      <c r="AD1199">
        <f>IMDIV(IMSUB(AB1199,AC1199),"2")</f>
        <v>0</v>
      </c>
      <c r="AE1199" s="6">
        <f>IMABS(AB1199)</f>
        <v>0</v>
      </c>
      <c r="AF1199" s="6">
        <f>IMABS(AC1199)</f>
        <v>0</v>
      </c>
      <c r="AG1199" s="6">
        <f>IMABS(AD1199)</f>
        <v>0</v>
      </c>
      <c r="AH1199" s="7">
        <f>20*LOG10(MAX(AE1199,1E-300)*1E6)</f>
        <v>0</v>
      </c>
      <c r="AI1199" s="7">
        <f>20*LOG10(MAX(AF1199,1E-300)*1E6)</f>
        <v>0</v>
      </c>
      <c r="AJ1199" s="7">
        <f>20*LOG10(MAX(AG1199,1E-300)*1E6)</f>
        <v>0</v>
      </c>
      <c r="AK1199" s="7">
        <f>DEGREES(IMARGUMENT(AB1199))</f>
        <v>0</v>
      </c>
      <c r="AL1199" s="7">
        <f>DEGREES(IMARGUMENT(AC1199))</f>
        <v>0</v>
      </c>
      <c r="AM1199" s="7">
        <f>DEGREES(IMARGUMENT(AD1199))</f>
        <v>0</v>
      </c>
    </row>
    <row r="1200" spans="1:39">
      <c r="A1200" s="6">
        <f>10^(LOG10(F_START)+(ROW()-ROW($A$2))*(LOG10(F_STOP)-LOG10(F_START))/(N_POINTS-1))</f>
        <v>0</v>
      </c>
      <c r="B1200" s="6">
        <f>2*PI()*A1200</f>
        <v>0</v>
      </c>
      <c r="C1200">
        <f>COMPLEX(2*LINE_PS_DCR,2*B1200*LINE_PS_L)</f>
        <v>0</v>
      </c>
      <c r="D1200">
        <f>IMSUM(COMPLEX(0,B1200*(LINE_PS_CLINE+LINE_PS_CCHA/2)),IMDIV("1",IMPRODUCT("2",COMPLEX(C_THROUGH_ESR,B1200*C_THROUGH_ESL-1/(B1200*C_THROUGH_C)))))</f>
        <v>0</v>
      </c>
      <c r="E1200">
        <f>COMPLEX(2*LINE_INPUT_DCR,2*B1200*LINE_INPUT_L)</f>
        <v>0</v>
      </c>
      <c r="F1200">
        <f>COMPLEX(0,B1200*(LINE_INPUT_CLINE+LINE_INPUT_CCHA/2))</f>
        <v>0</v>
      </c>
      <c r="G1200">
        <f>IMPRODUCT("2",IMDIV("1",IMSUM(IMDIV("1",COMPLEX(LDM1_DCR,B1200*LDM1_L)),COMPLEX(0,B1200*LDM1_CPA))))</f>
        <v>0</v>
      </c>
      <c r="H1200">
        <f>IMSUM(IMDIV("1",COMPLEX(CX1_ESR,B1200*CX1_ESL-1/(B1200*CX1_C))),IMDIV("1",IMSUM(COMPLEX(DUMP1_R,0),COMPLEX(DUMP1_ESR,B1200*DUMP1_ESL-1/(B1200*DUMP1_C)))))</f>
        <v>0</v>
      </c>
      <c r="I1200">
        <f>IMPRODUCT("2",IMDIV("1",IMSUM(IMDIV("1",COMPLEX(LDM2_DCR,B1200*LDM2_L)),COMPLEX(0,B1200*LDM2_CPA))))</f>
        <v>0</v>
      </c>
      <c r="J1200">
        <f>IMSUM(IMDIV("1",COMPLEX(CX2_ESR,B1200*CX2_ESL-1/(B1200*CX2_C))),IMDIV("1",IMSUM(COMPLEX(DUMP2_R,0),COMPLEX(DUMP2_ESR,B1200*DUMP2_ESL-1/(B1200*DUMP2_C)))))</f>
        <v>0</v>
      </c>
      <c r="K1200">
        <f>IMPRODUCT("2",IMDIV("1",IMSUM(IMDIV("1",COMPLEX(CMC_DCR,B1200*CMC_L*(1-CMC_K))),COMPLEX(0,B1200*CMC_CPA))))</f>
        <v>0</v>
      </c>
      <c r="L1200">
        <f>IMSUM(COMPLEX(0,B1200*CMC_CLINE),IMDIV("1",IMPRODUCT("2",COMPLEX(CY_ESR,B1200*CY_ESL-1/(B1200*CY_C)))),COMPLEX(1/DUMMY_R,0))</f>
        <v>0</v>
      </c>
      <c r="M1200">
        <f>IMSUM(D1200,IMDIV("1",C1200))</f>
        <v>0</v>
      </c>
      <c r="N1200">
        <f>IMDIV("1",IMSUM(E1200,IMDIV("1",M1200)))</f>
        <v>0</v>
      </c>
      <c r="O1200">
        <f>IMSUM(F1200,N1200)</f>
        <v>0</v>
      </c>
      <c r="P1200">
        <f>IMDIV("1",IMSUM(G1200,IMDIV("1",O1200)))</f>
        <v>0</v>
      </c>
      <c r="Q1200">
        <f>IMSUM(H1200,P1200)</f>
        <v>0</v>
      </c>
      <c r="R1200">
        <f>IMDIV("1",IMSUM(I1200,IMDIV("1",Q1200)))</f>
        <v>0</v>
      </c>
      <c r="S1200">
        <f>IMSUM(J1200,R1200)</f>
        <v>0</v>
      </c>
      <c r="T1200">
        <f>IMDIV("1",IMSUM(K1200,IMDIV("1",S1200)))</f>
        <v>0</v>
      </c>
      <c r="U1200">
        <f>IMSUM(L1200,T1200)</f>
        <v>0</v>
      </c>
      <c r="V1200">
        <f>IMDIV(COMPLEX(I_DM_SOURCE,0),U1200)</f>
        <v>0</v>
      </c>
      <c r="W1200">
        <f>IMPRODUCT(V1200,T1200)</f>
        <v>0</v>
      </c>
      <c r="X1200">
        <f>IMDIV(W1200,S1200)</f>
        <v>0</v>
      </c>
      <c r="Y1200">
        <f>IMPRODUCT(X1200,R1200)</f>
        <v>0</v>
      </c>
      <c r="Z1200">
        <f>IMDIV(Y1200,Q1200)</f>
        <v>0</v>
      </c>
      <c r="AA1200">
        <f>IMPRODUCT(Z1200,P1200)</f>
        <v>0</v>
      </c>
      <c r="AB1200">
        <f>AA1200</f>
        <v>0</v>
      </c>
      <c r="AC1200">
        <f>IMPRODUCT("-1",AB1200)</f>
        <v>0</v>
      </c>
      <c r="AD1200">
        <f>IMDIV(IMSUB(AB1200,AC1200),"2")</f>
        <v>0</v>
      </c>
      <c r="AE1200" s="6">
        <f>IMABS(AB1200)</f>
        <v>0</v>
      </c>
      <c r="AF1200" s="6">
        <f>IMABS(AC1200)</f>
        <v>0</v>
      </c>
      <c r="AG1200" s="6">
        <f>IMABS(AD1200)</f>
        <v>0</v>
      </c>
      <c r="AH1200" s="7">
        <f>20*LOG10(MAX(AE1200,1E-300)*1E6)</f>
        <v>0</v>
      </c>
      <c r="AI1200" s="7">
        <f>20*LOG10(MAX(AF1200,1E-300)*1E6)</f>
        <v>0</v>
      </c>
      <c r="AJ1200" s="7">
        <f>20*LOG10(MAX(AG1200,1E-300)*1E6)</f>
        <v>0</v>
      </c>
      <c r="AK1200" s="7">
        <f>DEGREES(IMARGUMENT(AB1200))</f>
        <v>0</v>
      </c>
      <c r="AL1200" s="7">
        <f>DEGREES(IMARGUMENT(AC1200))</f>
        <v>0</v>
      </c>
      <c r="AM1200" s="7">
        <f>DEGREES(IMARGUMENT(AD1200))</f>
        <v>0</v>
      </c>
    </row>
    <row r="1201" spans="1:39">
      <c r="A1201" s="6">
        <f>10^(LOG10(F_START)+(ROW()-ROW($A$2))*(LOG10(F_STOP)-LOG10(F_START))/(N_POINTS-1))</f>
        <v>0</v>
      </c>
      <c r="B1201" s="6">
        <f>2*PI()*A1201</f>
        <v>0</v>
      </c>
      <c r="C1201">
        <f>COMPLEX(2*LINE_PS_DCR,2*B1201*LINE_PS_L)</f>
        <v>0</v>
      </c>
      <c r="D1201">
        <f>IMSUM(COMPLEX(0,B1201*(LINE_PS_CLINE+LINE_PS_CCHA/2)),IMDIV("1",IMPRODUCT("2",COMPLEX(C_THROUGH_ESR,B1201*C_THROUGH_ESL-1/(B1201*C_THROUGH_C)))))</f>
        <v>0</v>
      </c>
      <c r="E1201">
        <f>COMPLEX(2*LINE_INPUT_DCR,2*B1201*LINE_INPUT_L)</f>
        <v>0</v>
      </c>
      <c r="F1201">
        <f>COMPLEX(0,B1201*(LINE_INPUT_CLINE+LINE_INPUT_CCHA/2))</f>
        <v>0</v>
      </c>
      <c r="G1201">
        <f>IMPRODUCT("2",IMDIV("1",IMSUM(IMDIV("1",COMPLEX(LDM1_DCR,B1201*LDM1_L)),COMPLEX(0,B1201*LDM1_CPA))))</f>
        <v>0</v>
      </c>
      <c r="H1201">
        <f>IMSUM(IMDIV("1",COMPLEX(CX1_ESR,B1201*CX1_ESL-1/(B1201*CX1_C))),IMDIV("1",IMSUM(COMPLEX(DUMP1_R,0),COMPLEX(DUMP1_ESR,B1201*DUMP1_ESL-1/(B1201*DUMP1_C)))))</f>
        <v>0</v>
      </c>
      <c r="I1201">
        <f>IMPRODUCT("2",IMDIV("1",IMSUM(IMDIV("1",COMPLEX(LDM2_DCR,B1201*LDM2_L)),COMPLEX(0,B1201*LDM2_CPA))))</f>
        <v>0</v>
      </c>
      <c r="J1201">
        <f>IMSUM(IMDIV("1",COMPLEX(CX2_ESR,B1201*CX2_ESL-1/(B1201*CX2_C))),IMDIV("1",IMSUM(COMPLEX(DUMP2_R,0),COMPLEX(DUMP2_ESR,B1201*DUMP2_ESL-1/(B1201*DUMP2_C)))))</f>
        <v>0</v>
      </c>
      <c r="K1201">
        <f>IMPRODUCT("2",IMDIV("1",IMSUM(IMDIV("1",COMPLEX(CMC_DCR,B1201*CMC_L*(1-CMC_K))),COMPLEX(0,B1201*CMC_CPA))))</f>
        <v>0</v>
      </c>
      <c r="L1201">
        <f>IMSUM(COMPLEX(0,B1201*CMC_CLINE),IMDIV("1",IMPRODUCT("2",COMPLEX(CY_ESR,B1201*CY_ESL-1/(B1201*CY_C)))),COMPLEX(1/DUMMY_R,0))</f>
        <v>0</v>
      </c>
      <c r="M1201">
        <f>IMSUM(D1201,IMDIV("1",C1201))</f>
        <v>0</v>
      </c>
      <c r="N1201">
        <f>IMDIV("1",IMSUM(E1201,IMDIV("1",M1201)))</f>
        <v>0</v>
      </c>
      <c r="O1201">
        <f>IMSUM(F1201,N1201)</f>
        <v>0</v>
      </c>
      <c r="P1201">
        <f>IMDIV("1",IMSUM(G1201,IMDIV("1",O1201)))</f>
        <v>0</v>
      </c>
      <c r="Q1201">
        <f>IMSUM(H1201,P1201)</f>
        <v>0</v>
      </c>
      <c r="R1201">
        <f>IMDIV("1",IMSUM(I1201,IMDIV("1",Q1201)))</f>
        <v>0</v>
      </c>
      <c r="S1201">
        <f>IMSUM(J1201,R1201)</f>
        <v>0</v>
      </c>
      <c r="T1201">
        <f>IMDIV("1",IMSUM(K1201,IMDIV("1",S1201)))</f>
        <v>0</v>
      </c>
      <c r="U1201">
        <f>IMSUM(L1201,T1201)</f>
        <v>0</v>
      </c>
      <c r="V1201">
        <f>IMDIV(COMPLEX(I_DM_SOURCE,0),U1201)</f>
        <v>0</v>
      </c>
      <c r="W1201">
        <f>IMPRODUCT(V1201,T1201)</f>
        <v>0</v>
      </c>
      <c r="X1201">
        <f>IMDIV(W1201,S1201)</f>
        <v>0</v>
      </c>
      <c r="Y1201">
        <f>IMPRODUCT(X1201,R1201)</f>
        <v>0</v>
      </c>
      <c r="Z1201">
        <f>IMDIV(Y1201,Q1201)</f>
        <v>0</v>
      </c>
      <c r="AA1201">
        <f>IMPRODUCT(Z1201,P1201)</f>
        <v>0</v>
      </c>
      <c r="AB1201">
        <f>AA1201</f>
        <v>0</v>
      </c>
      <c r="AC1201">
        <f>IMPRODUCT("-1",AB1201)</f>
        <v>0</v>
      </c>
      <c r="AD1201">
        <f>IMDIV(IMSUB(AB1201,AC1201),"2")</f>
        <v>0</v>
      </c>
      <c r="AE1201" s="6">
        <f>IMABS(AB1201)</f>
        <v>0</v>
      </c>
      <c r="AF1201" s="6">
        <f>IMABS(AC1201)</f>
        <v>0</v>
      </c>
      <c r="AG1201" s="6">
        <f>IMABS(AD1201)</f>
        <v>0</v>
      </c>
      <c r="AH1201" s="7">
        <f>20*LOG10(MAX(AE1201,1E-300)*1E6)</f>
        <v>0</v>
      </c>
      <c r="AI1201" s="7">
        <f>20*LOG10(MAX(AF1201,1E-300)*1E6)</f>
        <v>0</v>
      </c>
      <c r="AJ1201" s="7">
        <f>20*LOG10(MAX(AG1201,1E-300)*1E6)</f>
        <v>0</v>
      </c>
      <c r="AK1201" s="7">
        <f>DEGREES(IMARGUMENT(AB1201))</f>
        <v>0</v>
      </c>
      <c r="AL1201" s="7">
        <f>DEGREES(IMARGUMENT(AC1201))</f>
        <v>0</v>
      </c>
      <c r="AM1201" s="7">
        <f>DEGREES(IMARGUMENT(AD1201))</f>
        <v>0</v>
      </c>
    </row>
    <row r="1202" spans="1:39">
      <c r="A1202" s="6">
        <f>10^(LOG10(F_START)+(ROW()-ROW($A$2))*(LOG10(F_STOP)-LOG10(F_START))/(N_POINTS-1))</f>
        <v>0</v>
      </c>
      <c r="B1202" s="6">
        <f>2*PI()*A1202</f>
        <v>0</v>
      </c>
      <c r="C1202">
        <f>COMPLEX(2*LINE_PS_DCR,2*B1202*LINE_PS_L)</f>
        <v>0</v>
      </c>
      <c r="D1202">
        <f>IMSUM(COMPLEX(0,B1202*(LINE_PS_CLINE+LINE_PS_CCHA/2)),IMDIV("1",IMPRODUCT("2",COMPLEX(C_THROUGH_ESR,B1202*C_THROUGH_ESL-1/(B1202*C_THROUGH_C)))))</f>
        <v>0</v>
      </c>
      <c r="E1202">
        <f>COMPLEX(2*LINE_INPUT_DCR,2*B1202*LINE_INPUT_L)</f>
        <v>0</v>
      </c>
      <c r="F1202">
        <f>COMPLEX(0,B1202*(LINE_INPUT_CLINE+LINE_INPUT_CCHA/2))</f>
        <v>0</v>
      </c>
      <c r="G1202">
        <f>IMPRODUCT("2",IMDIV("1",IMSUM(IMDIV("1",COMPLEX(LDM1_DCR,B1202*LDM1_L)),COMPLEX(0,B1202*LDM1_CPA))))</f>
        <v>0</v>
      </c>
      <c r="H1202">
        <f>IMSUM(IMDIV("1",COMPLEX(CX1_ESR,B1202*CX1_ESL-1/(B1202*CX1_C))),IMDIV("1",IMSUM(COMPLEX(DUMP1_R,0),COMPLEX(DUMP1_ESR,B1202*DUMP1_ESL-1/(B1202*DUMP1_C)))))</f>
        <v>0</v>
      </c>
      <c r="I1202">
        <f>IMPRODUCT("2",IMDIV("1",IMSUM(IMDIV("1",COMPLEX(LDM2_DCR,B1202*LDM2_L)),COMPLEX(0,B1202*LDM2_CPA))))</f>
        <v>0</v>
      </c>
      <c r="J1202">
        <f>IMSUM(IMDIV("1",COMPLEX(CX2_ESR,B1202*CX2_ESL-1/(B1202*CX2_C))),IMDIV("1",IMSUM(COMPLEX(DUMP2_R,0),COMPLEX(DUMP2_ESR,B1202*DUMP2_ESL-1/(B1202*DUMP2_C)))))</f>
        <v>0</v>
      </c>
      <c r="K1202">
        <f>IMPRODUCT("2",IMDIV("1",IMSUM(IMDIV("1",COMPLEX(CMC_DCR,B1202*CMC_L*(1-CMC_K))),COMPLEX(0,B1202*CMC_CPA))))</f>
        <v>0</v>
      </c>
      <c r="L1202">
        <f>IMSUM(COMPLEX(0,B1202*CMC_CLINE),IMDIV("1",IMPRODUCT("2",COMPLEX(CY_ESR,B1202*CY_ESL-1/(B1202*CY_C)))),COMPLEX(1/DUMMY_R,0))</f>
        <v>0</v>
      </c>
      <c r="M1202">
        <f>IMSUM(D1202,IMDIV("1",C1202))</f>
        <v>0</v>
      </c>
      <c r="N1202">
        <f>IMDIV("1",IMSUM(E1202,IMDIV("1",M1202)))</f>
        <v>0</v>
      </c>
      <c r="O1202">
        <f>IMSUM(F1202,N1202)</f>
        <v>0</v>
      </c>
      <c r="P1202">
        <f>IMDIV("1",IMSUM(G1202,IMDIV("1",O1202)))</f>
        <v>0</v>
      </c>
      <c r="Q1202">
        <f>IMSUM(H1202,P1202)</f>
        <v>0</v>
      </c>
      <c r="R1202">
        <f>IMDIV("1",IMSUM(I1202,IMDIV("1",Q1202)))</f>
        <v>0</v>
      </c>
      <c r="S1202">
        <f>IMSUM(J1202,R1202)</f>
        <v>0</v>
      </c>
      <c r="T1202">
        <f>IMDIV("1",IMSUM(K1202,IMDIV("1",S1202)))</f>
        <v>0</v>
      </c>
      <c r="U1202">
        <f>IMSUM(L1202,T1202)</f>
        <v>0</v>
      </c>
      <c r="V1202">
        <f>IMDIV(COMPLEX(I_DM_SOURCE,0),U1202)</f>
        <v>0</v>
      </c>
      <c r="W1202">
        <f>IMPRODUCT(V1202,T1202)</f>
        <v>0</v>
      </c>
      <c r="X1202">
        <f>IMDIV(W1202,S1202)</f>
        <v>0</v>
      </c>
      <c r="Y1202">
        <f>IMPRODUCT(X1202,R1202)</f>
        <v>0</v>
      </c>
      <c r="Z1202">
        <f>IMDIV(Y1202,Q1202)</f>
        <v>0</v>
      </c>
      <c r="AA1202">
        <f>IMPRODUCT(Z1202,P1202)</f>
        <v>0</v>
      </c>
      <c r="AB1202">
        <f>AA1202</f>
        <v>0</v>
      </c>
      <c r="AC1202">
        <f>IMPRODUCT("-1",AB1202)</f>
        <v>0</v>
      </c>
      <c r="AD1202">
        <f>IMDIV(IMSUB(AB1202,AC1202),"2")</f>
        <v>0</v>
      </c>
      <c r="AE1202" s="6">
        <f>IMABS(AB1202)</f>
        <v>0</v>
      </c>
      <c r="AF1202" s="6">
        <f>IMABS(AC1202)</f>
        <v>0</v>
      </c>
      <c r="AG1202" s="6">
        <f>IMABS(AD1202)</f>
        <v>0</v>
      </c>
      <c r="AH1202" s="7">
        <f>20*LOG10(MAX(AE1202,1E-300)*1E6)</f>
        <v>0</v>
      </c>
      <c r="AI1202" s="7">
        <f>20*LOG10(MAX(AF1202,1E-300)*1E6)</f>
        <v>0</v>
      </c>
      <c r="AJ1202" s="7">
        <f>20*LOG10(MAX(AG1202,1E-300)*1E6)</f>
        <v>0</v>
      </c>
      <c r="AK1202" s="7">
        <f>DEGREES(IMARGUMENT(AB1202))</f>
        <v>0</v>
      </c>
      <c r="AL1202" s="7">
        <f>DEGREES(IMARGUMENT(AC1202))</f>
        <v>0</v>
      </c>
      <c r="AM1202" s="7">
        <f>DEGREES(IMARGUMENT(AD1202))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0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3.7109375" customWidth="1"/>
    <col min="2" max="7" width="15.7109375" customWidth="1"/>
  </cols>
  <sheetData>
    <row r="1" spans="1:7">
      <c r="A1" s="1" t="s">
        <v>146</v>
      </c>
    </row>
    <row r="3" spans="1:7">
      <c r="A3" s="2" t="s">
        <v>3</v>
      </c>
      <c r="B3" s="3" t="s">
        <v>147</v>
      </c>
    </row>
    <row r="5" spans="1:7">
      <c r="A5" s="4" t="s">
        <v>107</v>
      </c>
      <c r="B5" s="4" t="s">
        <v>140</v>
      </c>
      <c r="C5" s="4" t="s">
        <v>141</v>
      </c>
      <c r="D5" s="4" t="s">
        <v>142</v>
      </c>
      <c r="E5" s="4" t="s">
        <v>137</v>
      </c>
      <c r="F5" s="4" t="s">
        <v>138</v>
      </c>
      <c r="G5" s="4" t="s">
        <v>139</v>
      </c>
    </row>
    <row r="6" spans="1:7">
      <c r="A6" s="6">
        <f>Calc_Formulas!A2</f>
        <v>0</v>
      </c>
      <c r="B6" s="7">
        <f>Calc_Formulas!AH2</f>
        <v>0</v>
      </c>
      <c r="C6" s="7">
        <f>Calc_Formulas!AI2</f>
        <v>0</v>
      </c>
      <c r="D6" s="7">
        <f>Calc_Formulas!AJ2</f>
        <v>0</v>
      </c>
      <c r="E6" s="6">
        <f>Calc_Formulas!AE2</f>
        <v>0</v>
      </c>
      <c r="F6" s="6">
        <f>Calc_Formulas!AF2</f>
        <v>0</v>
      </c>
      <c r="G6" s="6">
        <f>Calc_Formulas!AG2</f>
        <v>0</v>
      </c>
    </row>
    <row r="7" spans="1:7">
      <c r="A7" s="6">
        <f>Calc_Formulas!A3</f>
        <v>0</v>
      </c>
      <c r="B7" s="7">
        <f>Calc_Formulas!AH3</f>
        <v>0</v>
      </c>
      <c r="C7" s="7">
        <f>Calc_Formulas!AI3</f>
        <v>0</v>
      </c>
      <c r="D7" s="7">
        <f>Calc_Formulas!AJ3</f>
        <v>0</v>
      </c>
      <c r="E7" s="6">
        <f>Calc_Formulas!AE3</f>
        <v>0</v>
      </c>
      <c r="F7" s="6">
        <f>Calc_Formulas!AF3</f>
        <v>0</v>
      </c>
      <c r="G7" s="6">
        <f>Calc_Formulas!AG3</f>
        <v>0</v>
      </c>
    </row>
    <row r="8" spans="1:7">
      <c r="A8" s="6">
        <f>Calc_Formulas!A4</f>
        <v>0</v>
      </c>
      <c r="B8" s="7">
        <f>Calc_Formulas!AH4</f>
        <v>0</v>
      </c>
      <c r="C8" s="7">
        <f>Calc_Formulas!AI4</f>
        <v>0</v>
      </c>
      <c r="D8" s="7">
        <f>Calc_Formulas!AJ4</f>
        <v>0</v>
      </c>
      <c r="E8" s="6">
        <f>Calc_Formulas!AE4</f>
        <v>0</v>
      </c>
      <c r="F8" s="6">
        <f>Calc_Formulas!AF4</f>
        <v>0</v>
      </c>
      <c r="G8" s="6">
        <f>Calc_Formulas!AG4</f>
        <v>0</v>
      </c>
    </row>
    <row r="9" spans="1:7">
      <c r="A9" s="6">
        <f>Calc_Formulas!A5</f>
        <v>0</v>
      </c>
      <c r="B9" s="7">
        <f>Calc_Formulas!AH5</f>
        <v>0</v>
      </c>
      <c r="C9" s="7">
        <f>Calc_Formulas!AI5</f>
        <v>0</v>
      </c>
      <c r="D9" s="7">
        <f>Calc_Formulas!AJ5</f>
        <v>0</v>
      </c>
      <c r="E9" s="6">
        <f>Calc_Formulas!AE5</f>
        <v>0</v>
      </c>
      <c r="F9" s="6">
        <f>Calc_Formulas!AF5</f>
        <v>0</v>
      </c>
      <c r="G9" s="6">
        <f>Calc_Formulas!AG5</f>
        <v>0</v>
      </c>
    </row>
    <row r="10" spans="1:7">
      <c r="A10" s="6">
        <f>Calc_Formulas!A6</f>
        <v>0</v>
      </c>
      <c r="B10" s="7">
        <f>Calc_Formulas!AH6</f>
        <v>0</v>
      </c>
      <c r="C10" s="7">
        <f>Calc_Formulas!AI6</f>
        <v>0</v>
      </c>
      <c r="D10" s="7">
        <f>Calc_Formulas!AJ6</f>
        <v>0</v>
      </c>
      <c r="E10" s="6">
        <f>Calc_Formulas!AE6</f>
        <v>0</v>
      </c>
      <c r="F10" s="6">
        <f>Calc_Formulas!AF6</f>
        <v>0</v>
      </c>
      <c r="G10" s="6">
        <f>Calc_Formulas!AG6</f>
        <v>0</v>
      </c>
    </row>
    <row r="11" spans="1:7">
      <c r="A11" s="6">
        <f>Calc_Formulas!A7</f>
        <v>0</v>
      </c>
      <c r="B11" s="7">
        <f>Calc_Formulas!AH7</f>
        <v>0</v>
      </c>
      <c r="C11" s="7">
        <f>Calc_Formulas!AI7</f>
        <v>0</v>
      </c>
      <c r="D11" s="7">
        <f>Calc_Formulas!AJ7</f>
        <v>0</v>
      </c>
      <c r="E11" s="6">
        <f>Calc_Formulas!AE7</f>
        <v>0</v>
      </c>
      <c r="F11" s="6">
        <f>Calc_Formulas!AF7</f>
        <v>0</v>
      </c>
      <c r="G11" s="6">
        <f>Calc_Formulas!AG7</f>
        <v>0</v>
      </c>
    </row>
    <row r="12" spans="1:7">
      <c r="A12" s="6">
        <f>Calc_Formulas!A8</f>
        <v>0</v>
      </c>
      <c r="B12" s="7">
        <f>Calc_Formulas!AH8</f>
        <v>0</v>
      </c>
      <c r="C12" s="7">
        <f>Calc_Formulas!AI8</f>
        <v>0</v>
      </c>
      <c r="D12" s="7">
        <f>Calc_Formulas!AJ8</f>
        <v>0</v>
      </c>
      <c r="E12" s="6">
        <f>Calc_Formulas!AE8</f>
        <v>0</v>
      </c>
      <c r="F12" s="6">
        <f>Calc_Formulas!AF8</f>
        <v>0</v>
      </c>
      <c r="G12" s="6">
        <f>Calc_Formulas!AG8</f>
        <v>0</v>
      </c>
    </row>
    <row r="13" spans="1:7">
      <c r="A13" s="6">
        <f>Calc_Formulas!A9</f>
        <v>0</v>
      </c>
      <c r="B13" s="7">
        <f>Calc_Formulas!AH9</f>
        <v>0</v>
      </c>
      <c r="C13" s="7">
        <f>Calc_Formulas!AI9</f>
        <v>0</v>
      </c>
      <c r="D13" s="7">
        <f>Calc_Formulas!AJ9</f>
        <v>0</v>
      </c>
      <c r="E13" s="6">
        <f>Calc_Formulas!AE9</f>
        <v>0</v>
      </c>
      <c r="F13" s="6">
        <f>Calc_Formulas!AF9</f>
        <v>0</v>
      </c>
      <c r="G13" s="6">
        <f>Calc_Formulas!AG9</f>
        <v>0</v>
      </c>
    </row>
    <row r="14" spans="1:7">
      <c r="A14" s="6">
        <f>Calc_Formulas!A10</f>
        <v>0</v>
      </c>
      <c r="B14" s="7">
        <f>Calc_Formulas!AH10</f>
        <v>0</v>
      </c>
      <c r="C14" s="7">
        <f>Calc_Formulas!AI10</f>
        <v>0</v>
      </c>
      <c r="D14" s="7">
        <f>Calc_Formulas!AJ10</f>
        <v>0</v>
      </c>
      <c r="E14" s="6">
        <f>Calc_Formulas!AE10</f>
        <v>0</v>
      </c>
      <c r="F14" s="6">
        <f>Calc_Formulas!AF10</f>
        <v>0</v>
      </c>
      <c r="G14" s="6">
        <f>Calc_Formulas!AG10</f>
        <v>0</v>
      </c>
    </row>
    <row r="15" spans="1:7">
      <c r="A15" s="6">
        <f>Calc_Formulas!A11</f>
        <v>0</v>
      </c>
      <c r="B15" s="7">
        <f>Calc_Formulas!AH11</f>
        <v>0</v>
      </c>
      <c r="C15" s="7">
        <f>Calc_Formulas!AI11</f>
        <v>0</v>
      </c>
      <c r="D15" s="7">
        <f>Calc_Formulas!AJ11</f>
        <v>0</v>
      </c>
      <c r="E15" s="6">
        <f>Calc_Formulas!AE11</f>
        <v>0</v>
      </c>
      <c r="F15" s="6">
        <f>Calc_Formulas!AF11</f>
        <v>0</v>
      </c>
      <c r="G15" s="6">
        <f>Calc_Formulas!AG11</f>
        <v>0</v>
      </c>
    </row>
    <row r="16" spans="1:7">
      <c r="A16" s="6">
        <f>Calc_Formulas!A12</f>
        <v>0</v>
      </c>
      <c r="B16" s="7">
        <f>Calc_Formulas!AH12</f>
        <v>0</v>
      </c>
      <c r="C16" s="7">
        <f>Calc_Formulas!AI12</f>
        <v>0</v>
      </c>
      <c r="D16" s="7">
        <f>Calc_Formulas!AJ12</f>
        <v>0</v>
      </c>
      <c r="E16" s="6">
        <f>Calc_Formulas!AE12</f>
        <v>0</v>
      </c>
      <c r="F16" s="6">
        <f>Calc_Formulas!AF12</f>
        <v>0</v>
      </c>
      <c r="G16" s="6">
        <f>Calc_Formulas!AG12</f>
        <v>0</v>
      </c>
    </row>
    <row r="17" spans="1:7">
      <c r="A17" s="6">
        <f>Calc_Formulas!A13</f>
        <v>0</v>
      </c>
      <c r="B17" s="7">
        <f>Calc_Formulas!AH13</f>
        <v>0</v>
      </c>
      <c r="C17" s="7">
        <f>Calc_Formulas!AI13</f>
        <v>0</v>
      </c>
      <c r="D17" s="7">
        <f>Calc_Formulas!AJ13</f>
        <v>0</v>
      </c>
      <c r="E17" s="6">
        <f>Calc_Formulas!AE13</f>
        <v>0</v>
      </c>
      <c r="F17" s="6">
        <f>Calc_Formulas!AF13</f>
        <v>0</v>
      </c>
      <c r="G17" s="6">
        <f>Calc_Formulas!AG13</f>
        <v>0</v>
      </c>
    </row>
    <row r="18" spans="1:7">
      <c r="A18" s="6">
        <f>Calc_Formulas!A14</f>
        <v>0</v>
      </c>
      <c r="B18" s="7">
        <f>Calc_Formulas!AH14</f>
        <v>0</v>
      </c>
      <c r="C18" s="7">
        <f>Calc_Formulas!AI14</f>
        <v>0</v>
      </c>
      <c r="D18" s="7">
        <f>Calc_Formulas!AJ14</f>
        <v>0</v>
      </c>
      <c r="E18" s="6">
        <f>Calc_Formulas!AE14</f>
        <v>0</v>
      </c>
      <c r="F18" s="6">
        <f>Calc_Formulas!AF14</f>
        <v>0</v>
      </c>
      <c r="G18" s="6">
        <f>Calc_Formulas!AG14</f>
        <v>0</v>
      </c>
    </row>
    <row r="19" spans="1:7">
      <c r="A19" s="6">
        <f>Calc_Formulas!A15</f>
        <v>0</v>
      </c>
      <c r="B19" s="7">
        <f>Calc_Formulas!AH15</f>
        <v>0</v>
      </c>
      <c r="C19" s="7">
        <f>Calc_Formulas!AI15</f>
        <v>0</v>
      </c>
      <c r="D19" s="7">
        <f>Calc_Formulas!AJ15</f>
        <v>0</v>
      </c>
      <c r="E19" s="6">
        <f>Calc_Formulas!AE15</f>
        <v>0</v>
      </c>
      <c r="F19" s="6">
        <f>Calc_Formulas!AF15</f>
        <v>0</v>
      </c>
      <c r="G19" s="6">
        <f>Calc_Formulas!AG15</f>
        <v>0</v>
      </c>
    </row>
    <row r="20" spans="1:7">
      <c r="A20" s="6">
        <f>Calc_Formulas!A16</f>
        <v>0</v>
      </c>
      <c r="B20" s="7">
        <f>Calc_Formulas!AH16</f>
        <v>0</v>
      </c>
      <c r="C20" s="7">
        <f>Calc_Formulas!AI16</f>
        <v>0</v>
      </c>
      <c r="D20" s="7">
        <f>Calc_Formulas!AJ16</f>
        <v>0</v>
      </c>
      <c r="E20" s="6">
        <f>Calc_Formulas!AE16</f>
        <v>0</v>
      </c>
      <c r="F20" s="6">
        <f>Calc_Formulas!AF16</f>
        <v>0</v>
      </c>
      <c r="G20" s="6">
        <f>Calc_Formulas!AG16</f>
        <v>0</v>
      </c>
    </row>
    <row r="21" spans="1:7">
      <c r="A21" s="6">
        <f>Calc_Formulas!A17</f>
        <v>0</v>
      </c>
      <c r="B21" s="7">
        <f>Calc_Formulas!AH17</f>
        <v>0</v>
      </c>
      <c r="C21" s="7">
        <f>Calc_Formulas!AI17</f>
        <v>0</v>
      </c>
      <c r="D21" s="7">
        <f>Calc_Formulas!AJ17</f>
        <v>0</v>
      </c>
      <c r="E21" s="6">
        <f>Calc_Formulas!AE17</f>
        <v>0</v>
      </c>
      <c r="F21" s="6">
        <f>Calc_Formulas!AF17</f>
        <v>0</v>
      </c>
      <c r="G21" s="6">
        <f>Calc_Formulas!AG17</f>
        <v>0</v>
      </c>
    </row>
    <row r="22" spans="1:7">
      <c r="A22" s="6">
        <f>Calc_Formulas!A18</f>
        <v>0</v>
      </c>
      <c r="B22" s="7">
        <f>Calc_Formulas!AH18</f>
        <v>0</v>
      </c>
      <c r="C22" s="7">
        <f>Calc_Formulas!AI18</f>
        <v>0</v>
      </c>
      <c r="D22" s="7">
        <f>Calc_Formulas!AJ18</f>
        <v>0</v>
      </c>
      <c r="E22" s="6">
        <f>Calc_Formulas!AE18</f>
        <v>0</v>
      </c>
      <c r="F22" s="6">
        <f>Calc_Formulas!AF18</f>
        <v>0</v>
      </c>
      <c r="G22" s="6">
        <f>Calc_Formulas!AG18</f>
        <v>0</v>
      </c>
    </row>
    <row r="23" spans="1:7">
      <c r="A23" s="6">
        <f>Calc_Formulas!A19</f>
        <v>0</v>
      </c>
      <c r="B23" s="7">
        <f>Calc_Formulas!AH19</f>
        <v>0</v>
      </c>
      <c r="C23" s="7">
        <f>Calc_Formulas!AI19</f>
        <v>0</v>
      </c>
      <c r="D23" s="7">
        <f>Calc_Formulas!AJ19</f>
        <v>0</v>
      </c>
      <c r="E23" s="6">
        <f>Calc_Formulas!AE19</f>
        <v>0</v>
      </c>
      <c r="F23" s="6">
        <f>Calc_Formulas!AF19</f>
        <v>0</v>
      </c>
      <c r="G23" s="6">
        <f>Calc_Formulas!AG19</f>
        <v>0</v>
      </c>
    </row>
    <row r="24" spans="1:7">
      <c r="A24" s="6">
        <f>Calc_Formulas!A20</f>
        <v>0</v>
      </c>
      <c r="B24" s="7">
        <f>Calc_Formulas!AH20</f>
        <v>0</v>
      </c>
      <c r="C24" s="7">
        <f>Calc_Formulas!AI20</f>
        <v>0</v>
      </c>
      <c r="D24" s="7">
        <f>Calc_Formulas!AJ20</f>
        <v>0</v>
      </c>
      <c r="E24" s="6">
        <f>Calc_Formulas!AE20</f>
        <v>0</v>
      </c>
      <c r="F24" s="6">
        <f>Calc_Formulas!AF20</f>
        <v>0</v>
      </c>
      <c r="G24" s="6">
        <f>Calc_Formulas!AG20</f>
        <v>0</v>
      </c>
    </row>
    <row r="25" spans="1:7">
      <c r="A25" s="6">
        <f>Calc_Formulas!A21</f>
        <v>0</v>
      </c>
      <c r="B25" s="7">
        <f>Calc_Formulas!AH21</f>
        <v>0</v>
      </c>
      <c r="C25" s="7">
        <f>Calc_Formulas!AI21</f>
        <v>0</v>
      </c>
      <c r="D25" s="7">
        <f>Calc_Formulas!AJ21</f>
        <v>0</v>
      </c>
      <c r="E25" s="6">
        <f>Calc_Formulas!AE21</f>
        <v>0</v>
      </c>
      <c r="F25" s="6">
        <f>Calc_Formulas!AF21</f>
        <v>0</v>
      </c>
      <c r="G25" s="6">
        <f>Calc_Formulas!AG21</f>
        <v>0</v>
      </c>
    </row>
    <row r="26" spans="1:7">
      <c r="A26" s="6">
        <f>Calc_Formulas!A22</f>
        <v>0</v>
      </c>
      <c r="B26" s="7">
        <f>Calc_Formulas!AH22</f>
        <v>0</v>
      </c>
      <c r="C26" s="7">
        <f>Calc_Formulas!AI22</f>
        <v>0</v>
      </c>
      <c r="D26" s="7">
        <f>Calc_Formulas!AJ22</f>
        <v>0</v>
      </c>
      <c r="E26" s="6">
        <f>Calc_Formulas!AE22</f>
        <v>0</v>
      </c>
      <c r="F26" s="6">
        <f>Calc_Formulas!AF22</f>
        <v>0</v>
      </c>
      <c r="G26" s="6">
        <f>Calc_Formulas!AG22</f>
        <v>0</v>
      </c>
    </row>
    <row r="27" spans="1:7">
      <c r="A27" s="6">
        <f>Calc_Formulas!A23</f>
        <v>0</v>
      </c>
      <c r="B27" s="7">
        <f>Calc_Formulas!AH23</f>
        <v>0</v>
      </c>
      <c r="C27" s="7">
        <f>Calc_Formulas!AI23</f>
        <v>0</v>
      </c>
      <c r="D27" s="7">
        <f>Calc_Formulas!AJ23</f>
        <v>0</v>
      </c>
      <c r="E27" s="6">
        <f>Calc_Formulas!AE23</f>
        <v>0</v>
      </c>
      <c r="F27" s="6">
        <f>Calc_Formulas!AF23</f>
        <v>0</v>
      </c>
      <c r="G27" s="6">
        <f>Calc_Formulas!AG23</f>
        <v>0</v>
      </c>
    </row>
    <row r="28" spans="1:7">
      <c r="A28" s="6">
        <f>Calc_Formulas!A24</f>
        <v>0</v>
      </c>
      <c r="B28" s="7">
        <f>Calc_Formulas!AH24</f>
        <v>0</v>
      </c>
      <c r="C28" s="7">
        <f>Calc_Formulas!AI24</f>
        <v>0</v>
      </c>
      <c r="D28" s="7">
        <f>Calc_Formulas!AJ24</f>
        <v>0</v>
      </c>
      <c r="E28" s="6">
        <f>Calc_Formulas!AE24</f>
        <v>0</v>
      </c>
      <c r="F28" s="6">
        <f>Calc_Formulas!AF24</f>
        <v>0</v>
      </c>
      <c r="G28" s="6">
        <f>Calc_Formulas!AG24</f>
        <v>0</v>
      </c>
    </row>
    <row r="29" spans="1:7">
      <c r="A29" s="6">
        <f>Calc_Formulas!A25</f>
        <v>0</v>
      </c>
      <c r="B29" s="7">
        <f>Calc_Formulas!AH25</f>
        <v>0</v>
      </c>
      <c r="C29" s="7">
        <f>Calc_Formulas!AI25</f>
        <v>0</v>
      </c>
      <c r="D29" s="7">
        <f>Calc_Formulas!AJ25</f>
        <v>0</v>
      </c>
      <c r="E29" s="6">
        <f>Calc_Formulas!AE25</f>
        <v>0</v>
      </c>
      <c r="F29" s="6">
        <f>Calc_Formulas!AF25</f>
        <v>0</v>
      </c>
      <c r="G29" s="6">
        <f>Calc_Formulas!AG25</f>
        <v>0</v>
      </c>
    </row>
    <row r="30" spans="1:7">
      <c r="A30" s="6">
        <f>Calc_Formulas!A26</f>
        <v>0</v>
      </c>
      <c r="B30" s="7">
        <f>Calc_Formulas!AH26</f>
        <v>0</v>
      </c>
      <c r="C30" s="7">
        <f>Calc_Formulas!AI26</f>
        <v>0</v>
      </c>
      <c r="D30" s="7">
        <f>Calc_Formulas!AJ26</f>
        <v>0</v>
      </c>
      <c r="E30" s="6">
        <f>Calc_Formulas!AE26</f>
        <v>0</v>
      </c>
      <c r="F30" s="6">
        <f>Calc_Formulas!AF26</f>
        <v>0</v>
      </c>
      <c r="G30" s="6">
        <f>Calc_Formulas!AG26</f>
        <v>0</v>
      </c>
    </row>
    <row r="31" spans="1:7">
      <c r="A31" s="6">
        <f>Calc_Formulas!A27</f>
        <v>0</v>
      </c>
      <c r="B31" s="7">
        <f>Calc_Formulas!AH27</f>
        <v>0</v>
      </c>
      <c r="C31" s="7">
        <f>Calc_Formulas!AI27</f>
        <v>0</v>
      </c>
      <c r="D31" s="7">
        <f>Calc_Formulas!AJ27</f>
        <v>0</v>
      </c>
      <c r="E31" s="6">
        <f>Calc_Formulas!AE27</f>
        <v>0</v>
      </c>
      <c r="F31" s="6">
        <f>Calc_Formulas!AF27</f>
        <v>0</v>
      </c>
      <c r="G31" s="6">
        <f>Calc_Formulas!AG27</f>
        <v>0</v>
      </c>
    </row>
    <row r="32" spans="1:7">
      <c r="A32" s="6">
        <f>Calc_Formulas!A28</f>
        <v>0</v>
      </c>
      <c r="B32" s="7">
        <f>Calc_Formulas!AH28</f>
        <v>0</v>
      </c>
      <c r="C32" s="7">
        <f>Calc_Formulas!AI28</f>
        <v>0</v>
      </c>
      <c r="D32" s="7">
        <f>Calc_Formulas!AJ28</f>
        <v>0</v>
      </c>
      <c r="E32" s="6">
        <f>Calc_Formulas!AE28</f>
        <v>0</v>
      </c>
      <c r="F32" s="6">
        <f>Calc_Formulas!AF28</f>
        <v>0</v>
      </c>
      <c r="G32" s="6">
        <f>Calc_Formulas!AG28</f>
        <v>0</v>
      </c>
    </row>
    <row r="33" spans="1:7">
      <c r="A33" s="6">
        <f>Calc_Formulas!A29</f>
        <v>0</v>
      </c>
      <c r="B33" s="7">
        <f>Calc_Formulas!AH29</f>
        <v>0</v>
      </c>
      <c r="C33" s="7">
        <f>Calc_Formulas!AI29</f>
        <v>0</v>
      </c>
      <c r="D33" s="7">
        <f>Calc_Formulas!AJ29</f>
        <v>0</v>
      </c>
      <c r="E33" s="6">
        <f>Calc_Formulas!AE29</f>
        <v>0</v>
      </c>
      <c r="F33" s="6">
        <f>Calc_Formulas!AF29</f>
        <v>0</v>
      </c>
      <c r="G33" s="6">
        <f>Calc_Formulas!AG29</f>
        <v>0</v>
      </c>
    </row>
    <row r="34" spans="1:7">
      <c r="A34" s="6">
        <f>Calc_Formulas!A30</f>
        <v>0</v>
      </c>
      <c r="B34" s="7">
        <f>Calc_Formulas!AH30</f>
        <v>0</v>
      </c>
      <c r="C34" s="7">
        <f>Calc_Formulas!AI30</f>
        <v>0</v>
      </c>
      <c r="D34" s="7">
        <f>Calc_Formulas!AJ30</f>
        <v>0</v>
      </c>
      <c r="E34" s="6">
        <f>Calc_Formulas!AE30</f>
        <v>0</v>
      </c>
      <c r="F34" s="6">
        <f>Calc_Formulas!AF30</f>
        <v>0</v>
      </c>
      <c r="G34" s="6">
        <f>Calc_Formulas!AG30</f>
        <v>0</v>
      </c>
    </row>
    <row r="35" spans="1:7">
      <c r="A35" s="6">
        <f>Calc_Formulas!A31</f>
        <v>0</v>
      </c>
      <c r="B35" s="7">
        <f>Calc_Formulas!AH31</f>
        <v>0</v>
      </c>
      <c r="C35" s="7">
        <f>Calc_Formulas!AI31</f>
        <v>0</v>
      </c>
      <c r="D35" s="7">
        <f>Calc_Formulas!AJ31</f>
        <v>0</v>
      </c>
      <c r="E35" s="6">
        <f>Calc_Formulas!AE31</f>
        <v>0</v>
      </c>
      <c r="F35" s="6">
        <f>Calc_Formulas!AF31</f>
        <v>0</v>
      </c>
      <c r="G35" s="6">
        <f>Calc_Formulas!AG31</f>
        <v>0</v>
      </c>
    </row>
    <row r="36" spans="1:7">
      <c r="A36" s="6">
        <f>Calc_Formulas!A32</f>
        <v>0</v>
      </c>
      <c r="B36" s="7">
        <f>Calc_Formulas!AH32</f>
        <v>0</v>
      </c>
      <c r="C36" s="7">
        <f>Calc_Formulas!AI32</f>
        <v>0</v>
      </c>
      <c r="D36" s="7">
        <f>Calc_Formulas!AJ32</f>
        <v>0</v>
      </c>
      <c r="E36" s="6">
        <f>Calc_Formulas!AE32</f>
        <v>0</v>
      </c>
      <c r="F36" s="6">
        <f>Calc_Formulas!AF32</f>
        <v>0</v>
      </c>
      <c r="G36" s="6">
        <f>Calc_Formulas!AG32</f>
        <v>0</v>
      </c>
    </row>
    <row r="37" spans="1:7">
      <c r="A37" s="6">
        <f>Calc_Formulas!A33</f>
        <v>0</v>
      </c>
      <c r="B37" s="7">
        <f>Calc_Formulas!AH33</f>
        <v>0</v>
      </c>
      <c r="C37" s="7">
        <f>Calc_Formulas!AI33</f>
        <v>0</v>
      </c>
      <c r="D37" s="7">
        <f>Calc_Formulas!AJ33</f>
        <v>0</v>
      </c>
      <c r="E37" s="6">
        <f>Calc_Formulas!AE33</f>
        <v>0</v>
      </c>
      <c r="F37" s="6">
        <f>Calc_Formulas!AF33</f>
        <v>0</v>
      </c>
      <c r="G37" s="6">
        <f>Calc_Formulas!AG33</f>
        <v>0</v>
      </c>
    </row>
    <row r="38" spans="1:7">
      <c r="A38" s="6">
        <f>Calc_Formulas!A34</f>
        <v>0</v>
      </c>
      <c r="B38" s="7">
        <f>Calc_Formulas!AH34</f>
        <v>0</v>
      </c>
      <c r="C38" s="7">
        <f>Calc_Formulas!AI34</f>
        <v>0</v>
      </c>
      <c r="D38" s="7">
        <f>Calc_Formulas!AJ34</f>
        <v>0</v>
      </c>
      <c r="E38" s="6">
        <f>Calc_Formulas!AE34</f>
        <v>0</v>
      </c>
      <c r="F38" s="6">
        <f>Calc_Formulas!AF34</f>
        <v>0</v>
      </c>
      <c r="G38" s="6">
        <f>Calc_Formulas!AG34</f>
        <v>0</v>
      </c>
    </row>
    <row r="39" spans="1:7">
      <c r="A39" s="6">
        <f>Calc_Formulas!A35</f>
        <v>0</v>
      </c>
      <c r="B39" s="7">
        <f>Calc_Formulas!AH35</f>
        <v>0</v>
      </c>
      <c r="C39" s="7">
        <f>Calc_Formulas!AI35</f>
        <v>0</v>
      </c>
      <c r="D39" s="7">
        <f>Calc_Formulas!AJ35</f>
        <v>0</v>
      </c>
      <c r="E39" s="6">
        <f>Calc_Formulas!AE35</f>
        <v>0</v>
      </c>
      <c r="F39" s="6">
        <f>Calc_Formulas!AF35</f>
        <v>0</v>
      </c>
      <c r="G39" s="6">
        <f>Calc_Formulas!AG35</f>
        <v>0</v>
      </c>
    </row>
    <row r="40" spans="1:7">
      <c r="A40" s="6">
        <f>Calc_Formulas!A36</f>
        <v>0</v>
      </c>
      <c r="B40" s="7">
        <f>Calc_Formulas!AH36</f>
        <v>0</v>
      </c>
      <c r="C40" s="7">
        <f>Calc_Formulas!AI36</f>
        <v>0</v>
      </c>
      <c r="D40" s="7">
        <f>Calc_Formulas!AJ36</f>
        <v>0</v>
      </c>
      <c r="E40" s="6">
        <f>Calc_Formulas!AE36</f>
        <v>0</v>
      </c>
      <c r="F40" s="6">
        <f>Calc_Formulas!AF36</f>
        <v>0</v>
      </c>
      <c r="G40" s="6">
        <f>Calc_Formulas!AG36</f>
        <v>0</v>
      </c>
    </row>
    <row r="41" spans="1:7">
      <c r="A41" s="6">
        <f>Calc_Formulas!A37</f>
        <v>0</v>
      </c>
      <c r="B41" s="7">
        <f>Calc_Formulas!AH37</f>
        <v>0</v>
      </c>
      <c r="C41" s="7">
        <f>Calc_Formulas!AI37</f>
        <v>0</v>
      </c>
      <c r="D41" s="7">
        <f>Calc_Formulas!AJ37</f>
        <v>0</v>
      </c>
      <c r="E41" s="6">
        <f>Calc_Formulas!AE37</f>
        <v>0</v>
      </c>
      <c r="F41" s="6">
        <f>Calc_Formulas!AF37</f>
        <v>0</v>
      </c>
      <c r="G41" s="6">
        <f>Calc_Formulas!AG37</f>
        <v>0</v>
      </c>
    </row>
    <row r="42" spans="1:7">
      <c r="A42" s="6">
        <f>Calc_Formulas!A38</f>
        <v>0</v>
      </c>
      <c r="B42" s="7">
        <f>Calc_Formulas!AH38</f>
        <v>0</v>
      </c>
      <c r="C42" s="7">
        <f>Calc_Formulas!AI38</f>
        <v>0</v>
      </c>
      <c r="D42" s="7">
        <f>Calc_Formulas!AJ38</f>
        <v>0</v>
      </c>
      <c r="E42" s="6">
        <f>Calc_Formulas!AE38</f>
        <v>0</v>
      </c>
      <c r="F42" s="6">
        <f>Calc_Formulas!AF38</f>
        <v>0</v>
      </c>
      <c r="G42" s="6">
        <f>Calc_Formulas!AG38</f>
        <v>0</v>
      </c>
    </row>
    <row r="43" spans="1:7">
      <c r="A43" s="6">
        <f>Calc_Formulas!A39</f>
        <v>0</v>
      </c>
      <c r="B43" s="7">
        <f>Calc_Formulas!AH39</f>
        <v>0</v>
      </c>
      <c r="C43" s="7">
        <f>Calc_Formulas!AI39</f>
        <v>0</v>
      </c>
      <c r="D43" s="7">
        <f>Calc_Formulas!AJ39</f>
        <v>0</v>
      </c>
      <c r="E43" s="6">
        <f>Calc_Formulas!AE39</f>
        <v>0</v>
      </c>
      <c r="F43" s="6">
        <f>Calc_Formulas!AF39</f>
        <v>0</v>
      </c>
      <c r="G43" s="6">
        <f>Calc_Formulas!AG39</f>
        <v>0</v>
      </c>
    </row>
    <row r="44" spans="1:7">
      <c r="A44" s="6">
        <f>Calc_Formulas!A40</f>
        <v>0</v>
      </c>
      <c r="B44" s="7">
        <f>Calc_Formulas!AH40</f>
        <v>0</v>
      </c>
      <c r="C44" s="7">
        <f>Calc_Formulas!AI40</f>
        <v>0</v>
      </c>
      <c r="D44" s="7">
        <f>Calc_Formulas!AJ40</f>
        <v>0</v>
      </c>
      <c r="E44" s="6">
        <f>Calc_Formulas!AE40</f>
        <v>0</v>
      </c>
      <c r="F44" s="6">
        <f>Calc_Formulas!AF40</f>
        <v>0</v>
      </c>
      <c r="G44" s="6">
        <f>Calc_Formulas!AG40</f>
        <v>0</v>
      </c>
    </row>
    <row r="45" spans="1:7">
      <c r="A45" s="6">
        <f>Calc_Formulas!A41</f>
        <v>0</v>
      </c>
      <c r="B45" s="7">
        <f>Calc_Formulas!AH41</f>
        <v>0</v>
      </c>
      <c r="C45" s="7">
        <f>Calc_Formulas!AI41</f>
        <v>0</v>
      </c>
      <c r="D45" s="7">
        <f>Calc_Formulas!AJ41</f>
        <v>0</v>
      </c>
      <c r="E45" s="6">
        <f>Calc_Formulas!AE41</f>
        <v>0</v>
      </c>
      <c r="F45" s="6">
        <f>Calc_Formulas!AF41</f>
        <v>0</v>
      </c>
      <c r="G45" s="6">
        <f>Calc_Formulas!AG41</f>
        <v>0</v>
      </c>
    </row>
    <row r="46" spans="1:7">
      <c r="A46" s="6">
        <f>Calc_Formulas!A42</f>
        <v>0</v>
      </c>
      <c r="B46" s="7">
        <f>Calc_Formulas!AH42</f>
        <v>0</v>
      </c>
      <c r="C46" s="7">
        <f>Calc_Formulas!AI42</f>
        <v>0</v>
      </c>
      <c r="D46" s="7">
        <f>Calc_Formulas!AJ42</f>
        <v>0</v>
      </c>
      <c r="E46" s="6">
        <f>Calc_Formulas!AE42</f>
        <v>0</v>
      </c>
      <c r="F46" s="6">
        <f>Calc_Formulas!AF42</f>
        <v>0</v>
      </c>
      <c r="G46" s="6">
        <f>Calc_Formulas!AG42</f>
        <v>0</v>
      </c>
    </row>
    <row r="47" spans="1:7">
      <c r="A47" s="6">
        <f>Calc_Formulas!A43</f>
        <v>0</v>
      </c>
      <c r="B47" s="7">
        <f>Calc_Formulas!AH43</f>
        <v>0</v>
      </c>
      <c r="C47" s="7">
        <f>Calc_Formulas!AI43</f>
        <v>0</v>
      </c>
      <c r="D47" s="7">
        <f>Calc_Formulas!AJ43</f>
        <v>0</v>
      </c>
      <c r="E47" s="6">
        <f>Calc_Formulas!AE43</f>
        <v>0</v>
      </c>
      <c r="F47" s="6">
        <f>Calc_Formulas!AF43</f>
        <v>0</v>
      </c>
      <c r="G47" s="6">
        <f>Calc_Formulas!AG43</f>
        <v>0</v>
      </c>
    </row>
    <row r="48" spans="1:7">
      <c r="A48" s="6">
        <f>Calc_Formulas!A44</f>
        <v>0</v>
      </c>
      <c r="B48" s="7">
        <f>Calc_Formulas!AH44</f>
        <v>0</v>
      </c>
      <c r="C48" s="7">
        <f>Calc_Formulas!AI44</f>
        <v>0</v>
      </c>
      <c r="D48" s="7">
        <f>Calc_Formulas!AJ44</f>
        <v>0</v>
      </c>
      <c r="E48" s="6">
        <f>Calc_Formulas!AE44</f>
        <v>0</v>
      </c>
      <c r="F48" s="6">
        <f>Calc_Formulas!AF44</f>
        <v>0</v>
      </c>
      <c r="G48" s="6">
        <f>Calc_Formulas!AG44</f>
        <v>0</v>
      </c>
    </row>
    <row r="49" spans="1:7">
      <c r="A49" s="6">
        <f>Calc_Formulas!A45</f>
        <v>0</v>
      </c>
      <c r="B49" s="7">
        <f>Calc_Formulas!AH45</f>
        <v>0</v>
      </c>
      <c r="C49" s="7">
        <f>Calc_Formulas!AI45</f>
        <v>0</v>
      </c>
      <c r="D49" s="7">
        <f>Calc_Formulas!AJ45</f>
        <v>0</v>
      </c>
      <c r="E49" s="6">
        <f>Calc_Formulas!AE45</f>
        <v>0</v>
      </c>
      <c r="F49" s="6">
        <f>Calc_Formulas!AF45</f>
        <v>0</v>
      </c>
      <c r="G49" s="6">
        <f>Calc_Formulas!AG45</f>
        <v>0</v>
      </c>
    </row>
    <row r="50" spans="1:7">
      <c r="A50" s="6">
        <f>Calc_Formulas!A46</f>
        <v>0</v>
      </c>
      <c r="B50" s="7">
        <f>Calc_Formulas!AH46</f>
        <v>0</v>
      </c>
      <c r="C50" s="7">
        <f>Calc_Formulas!AI46</f>
        <v>0</v>
      </c>
      <c r="D50" s="7">
        <f>Calc_Formulas!AJ46</f>
        <v>0</v>
      </c>
      <c r="E50" s="6">
        <f>Calc_Formulas!AE46</f>
        <v>0</v>
      </c>
      <c r="F50" s="6">
        <f>Calc_Formulas!AF46</f>
        <v>0</v>
      </c>
      <c r="G50" s="6">
        <f>Calc_Formulas!AG46</f>
        <v>0</v>
      </c>
    </row>
    <row r="51" spans="1:7">
      <c r="A51" s="6">
        <f>Calc_Formulas!A47</f>
        <v>0</v>
      </c>
      <c r="B51" s="7">
        <f>Calc_Formulas!AH47</f>
        <v>0</v>
      </c>
      <c r="C51" s="7">
        <f>Calc_Formulas!AI47</f>
        <v>0</v>
      </c>
      <c r="D51" s="7">
        <f>Calc_Formulas!AJ47</f>
        <v>0</v>
      </c>
      <c r="E51" s="6">
        <f>Calc_Formulas!AE47</f>
        <v>0</v>
      </c>
      <c r="F51" s="6">
        <f>Calc_Formulas!AF47</f>
        <v>0</v>
      </c>
      <c r="G51" s="6">
        <f>Calc_Formulas!AG47</f>
        <v>0</v>
      </c>
    </row>
    <row r="52" spans="1:7">
      <c r="A52" s="6">
        <f>Calc_Formulas!A48</f>
        <v>0</v>
      </c>
      <c r="B52" s="7">
        <f>Calc_Formulas!AH48</f>
        <v>0</v>
      </c>
      <c r="C52" s="7">
        <f>Calc_Formulas!AI48</f>
        <v>0</v>
      </c>
      <c r="D52" s="7">
        <f>Calc_Formulas!AJ48</f>
        <v>0</v>
      </c>
      <c r="E52" s="6">
        <f>Calc_Formulas!AE48</f>
        <v>0</v>
      </c>
      <c r="F52" s="6">
        <f>Calc_Formulas!AF48</f>
        <v>0</v>
      </c>
      <c r="G52" s="6">
        <f>Calc_Formulas!AG48</f>
        <v>0</v>
      </c>
    </row>
    <row r="53" spans="1:7">
      <c r="A53" s="6">
        <f>Calc_Formulas!A49</f>
        <v>0</v>
      </c>
      <c r="B53" s="7">
        <f>Calc_Formulas!AH49</f>
        <v>0</v>
      </c>
      <c r="C53" s="7">
        <f>Calc_Formulas!AI49</f>
        <v>0</v>
      </c>
      <c r="D53" s="7">
        <f>Calc_Formulas!AJ49</f>
        <v>0</v>
      </c>
      <c r="E53" s="6">
        <f>Calc_Formulas!AE49</f>
        <v>0</v>
      </c>
      <c r="F53" s="6">
        <f>Calc_Formulas!AF49</f>
        <v>0</v>
      </c>
      <c r="G53" s="6">
        <f>Calc_Formulas!AG49</f>
        <v>0</v>
      </c>
    </row>
    <row r="54" spans="1:7">
      <c r="A54" s="6">
        <f>Calc_Formulas!A50</f>
        <v>0</v>
      </c>
      <c r="B54" s="7">
        <f>Calc_Formulas!AH50</f>
        <v>0</v>
      </c>
      <c r="C54" s="7">
        <f>Calc_Formulas!AI50</f>
        <v>0</v>
      </c>
      <c r="D54" s="7">
        <f>Calc_Formulas!AJ50</f>
        <v>0</v>
      </c>
      <c r="E54" s="6">
        <f>Calc_Formulas!AE50</f>
        <v>0</v>
      </c>
      <c r="F54" s="6">
        <f>Calc_Formulas!AF50</f>
        <v>0</v>
      </c>
      <c r="G54" s="6">
        <f>Calc_Formulas!AG50</f>
        <v>0</v>
      </c>
    </row>
    <row r="55" spans="1:7">
      <c r="A55" s="6">
        <f>Calc_Formulas!A51</f>
        <v>0</v>
      </c>
      <c r="B55" s="7">
        <f>Calc_Formulas!AH51</f>
        <v>0</v>
      </c>
      <c r="C55" s="7">
        <f>Calc_Formulas!AI51</f>
        <v>0</v>
      </c>
      <c r="D55" s="7">
        <f>Calc_Formulas!AJ51</f>
        <v>0</v>
      </c>
      <c r="E55" s="6">
        <f>Calc_Formulas!AE51</f>
        <v>0</v>
      </c>
      <c r="F55" s="6">
        <f>Calc_Formulas!AF51</f>
        <v>0</v>
      </c>
      <c r="G55" s="6">
        <f>Calc_Formulas!AG51</f>
        <v>0</v>
      </c>
    </row>
    <row r="56" spans="1:7">
      <c r="A56" s="6">
        <f>Calc_Formulas!A52</f>
        <v>0</v>
      </c>
      <c r="B56" s="7">
        <f>Calc_Formulas!AH52</f>
        <v>0</v>
      </c>
      <c r="C56" s="7">
        <f>Calc_Formulas!AI52</f>
        <v>0</v>
      </c>
      <c r="D56" s="7">
        <f>Calc_Formulas!AJ52</f>
        <v>0</v>
      </c>
      <c r="E56" s="6">
        <f>Calc_Formulas!AE52</f>
        <v>0</v>
      </c>
      <c r="F56" s="6">
        <f>Calc_Formulas!AF52</f>
        <v>0</v>
      </c>
      <c r="G56" s="6">
        <f>Calc_Formulas!AG52</f>
        <v>0</v>
      </c>
    </row>
    <row r="57" spans="1:7">
      <c r="A57" s="6">
        <f>Calc_Formulas!A53</f>
        <v>0</v>
      </c>
      <c r="B57" s="7">
        <f>Calc_Formulas!AH53</f>
        <v>0</v>
      </c>
      <c r="C57" s="7">
        <f>Calc_Formulas!AI53</f>
        <v>0</v>
      </c>
      <c r="D57" s="7">
        <f>Calc_Formulas!AJ53</f>
        <v>0</v>
      </c>
      <c r="E57" s="6">
        <f>Calc_Formulas!AE53</f>
        <v>0</v>
      </c>
      <c r="F57" s="6">
        <f>Calc_Formulas!AF53</f>
        <v>0</v>
      </c>
      <c r="G57" s="6">
        <f>Calc_Formulas!AG53</f>
        <v>0</v>
      </c>
    </row>
    <row r="58" spans="1:7">
      <c r="A58" s="6">
        <f>Calc_Formulas!A54</f>
        <v>0</v>
      </c>
      <c r="B58" s="7">
        <f>Calc_Formulas!AH54</f>
        <v>0</v>
      </c>
      <c r="C58" s="7">
        <f>Calc_Formulas!AI54</f>
        <v>0</v>
      </c>
      <c r="D58" s="7">
        <f>Calc_Formulas!AJ54</f>
        <v>0</v>
      </c>
      <c r="E58" s="6">
        <f>Calc_Formulas!AE54</f>
        <v>0</v>
      </c>
      <c r="F58" s="6">
        <f>Calc_Formulas!AF54</f>
        <v>0</v>
      </c>
      <c r="G58" s="6">
        <f>Calc_Formulas!AG54</f>
        <v>0</v>
      </c>
    </row>
    <row r="59" spans="1:7">
      <c r="A59" s="6">
        <f>Calc_Formulas!A55</f>
        <v>0</v>
      </c>
      <c r="B59" s="7">
        <f>Calc_Formulas!AH55</f>
        <v>0</v>
      </c>
      <c r="C59" s="7">
        <f>Calc_Formulas!AI55</f>
        <v>0</v>
      </c>
      <c r="D59" s="7">
        <f>Calc_Formulas!AJ55</f>
        <v>0</v>
      </c>
      <c r="E59" s="6">
        <f>Calc_Formulas!AE55</f>
        <v>0</v>
      </c>
      <c r="F59" s="6">
        <f>Calc_Formulas!AF55</f>
        <v>0</v>
      </c>
      <c r="G59" s="6">
        <f>Calc_Formulas!AG55</f>
        <v>0</v>
      </c>
    </row>
    <row r="60" spans="1:7">
      <c r="A60" s="6">
        <f>Calc_Formulas!A56</f>
        <v>0</v>
      </c>
      <c r="B60" s="7">
        <f>Calc_Formulas!AH56</f>
        <v>0</v>
      </c>
      <c r="C60" s="7">
        <f>Calc_Formulas!AI56</f>
        <v>0</v>
      </c>
      <c r="D60" s="7">
        <f>Calc_Formulas!AJ56</f>
        <v>0</v>
      </c>
      <c r="E60" s="6">
        <f>Calc_Formulas!AE56</f>
        <v>0</v>
      </c>
      <c r="F60" s="6">
        <f>Calc_Formulas!AF56</f>
        <v>0</v>
      </c>
      <c r="G60" s="6">
        <f>Calc_Formulas!AG56</f>
        <v>0</v>
      </c>
    </row>
    <row r="61" spans="1:7">
      <c r="A61" s="6">
        <f>Calc_Formulas!A57</f>
        <v>0</v>
      </c>
      <c r="B61" s="7">
        <f>Calc_Formulas!AH57</f>
        <v>0</v>
      </c>
      <c r="C61" s="7">
        <f>Calc_Formulas!AI57</f>
        <v>0</v>
      </c>
      <c r="D61" s="7">
        <f>Calc_Formulas!AJ57</f>
        <v>0</v>
      </c>
      <c r="E61" s="6">
        <f>Calc_Formulas!AE57</f>
        <v>0</v>
      </c>
      <c r="F61" s="6">
        <f>Calc_Formulas!AF57</f>
        <v>0</v>
      </c>
      <c r="G61" s="6">
        <f>Calc_Formulas!AG57</f>
        <v>0</v>
      </c>
    </row>
    <row r="62" spans="1:7">
      <c r="A62" s="6">
        <f>Calc_Formulas!A58</f>
        <v>0</v>
      </c>
      <c r="B62" s="7">
        <f>Calc_Formulas!AH58</f>
        <v>0</v>
      </c>
      <c r="C62" s="7">
        <f>Calc_Formulas!AI58</f>
        <v>0</v>
      </c>
      <c r="D62" s="7">
        <f>Calc_Formulas!AJ58</f>
        <v>0</v>
      </c>
      <c r="E62" s="6">
        <f>Calc_Formulas!AE58</f>
        <v>0</v>
      </c>
      <c r="F62" s="6">
        <f>Calc_Formulas!AF58</f>
        <v>0</v>
      </c>
      <c r="G62" s="6">
        <f>Calc_Formulas!AG58</f>
        <v>0</v>
      </c>
    </row>
    <row r="63" spans="1:7">
      <c r="A63" s="6">
        <f>Calc_Formulas!A59</f>
        <v>0</v>
      </c>
      <c r="B63" s="7">
        <f>Calc_Formulas!AH59</f>
        <v>0</v>
      </c>
      <c r="C63" s="7">
        <f>Calc_Formulas!AI59</f>
        <v>0</v>
      </c>
      <c r="D63" s="7">
        <f>Calc_Formulas!AJ59</f>
        <v>0</v>
      </c>
      <c r="E63" s="6">
        <f>Calc_Formulas!AE59</f>
        <v>0</v>
      </c>
      <c r="F63" s="6">
        <f>Calc_Formulas!AF59</f>
        <v>0</v>
      </c>
      <c r="G63" s="6">
        <f>Calc_Formulas!AG59</f>
        <v>0</v>
      </c>
    </row>
    <row r="64" spans="1:7">
      <c r="A64" s="6">
        <f>Calc_Formulas!A60</f>
        <v>0</v>
      </c>
      <c r="B64" s="7">
        <f>Calc_Formulas!AH60</f>
        <v>0</v>
      </c>
      <c r="C64" s="7">
        <f>Calc_Formulas!AI60</f>
        <v>0</v>
      </c>
      <c r="D64" s="7">
        <f>Calc_Formulas!AJ60</f>
        <v>0</v>
      </c>
      <c r="E64" s="6">
        <f>Calc_Formulas!AE60</f>
        <v>0</v>
      </c>
      <c r="F64" s="6">
        <f>Calc_Formulas!AF60</f>
        <v>0</v>
      </c>
      <c r="G64" s="6">
        <f>Calc_Formulas!AG60</f>
        <v>0</v>
      </c>
    </row>
    <row r="65" spans="1:7">
      <c r="A65" s="6">
        <f>Calc_Formulas!A61</f>
        <v>0</v>
      </c>
      <c r="B65" s="7">
        <f>Calc_Formulas!AH61</f>
        <v>0</v>
      </c>
      <c r="C65" s="7">
        <f>Calc_Formulas!AI61</f>
        <v>0</v>
      </c>
      <c r="D65" s="7">
        <f>Calc_Formulas!AJ61</f>
        <v>0</v>
      </c>
      <c r="E65" s="6">
        <f>Calc_Formulas!AE61</f>
        <v>0</v>
      </c>
      <c r="F65" s="6">
        <f>Calc_Formulas!AF61</f>
        <v>0</v>
      </c>
      <c r="G65" s="6">
        <f>Calc_Formulas!AG61</f>
        <v>0</v>
      </c>
    </row>
    <row r="66" spans="1:7">
      <c r="A66" s="6">
        <f>Calc_Formulas!A62</f>
        <v>0</v>
      </c>
      <c r="B66" s="7">
        <f>Calc_Formulas!AH62</f>
        <v>0</v>
      </c>
      <c r="C66" s="7">
        <f>Calc_Formulas!AI62</f>
        <v>0</v>
      </c>
      <c r="D66" s="7">
        <f>Calc_Formulas!AJ62</f>
        <v>0</v>
      </c>
      <c r="E66" s="6">
        <f>Calc_Formulas!AE62</f>
        <v>0</v>
      </c>
      <c r="F66" s="6">
        <f>Calc_Formulas!AF62</f>
        <v>0</v>
      </c>
      <c r="G66" s="6">
        <f>Calc_Formulas!AG62</f>
        <v>0</v>
      </c>
    </row>
    <row r="67" spans="1:7">
      <c r="A67" s="6">
        <f>Calc_Formulas!A63</f>
        <v>0</v>
      </c>
      <c r="B67" s="7">
        <f>Calc_Formulas!AH63</f>
        <v>0</v>
      </c>
      <c r="C67" s="7">
        <f>Calc_Formulas!AI63</f>
        <v>0</v>
      </c>
      <c r="D67" s="7">
        <f>Calc_Formulas!AJ63</f>
        <v>0</v>
      </c>
      <c r="E67" s="6">
        <f>Calc_Formulas!AE63</f>
        <v>0</v>
      </c>
      <c r="F67" s="6">
        <f>Calc_Formulas!AF63</f>
        <v>0</v>
      </c>
      <c r="G67" s="6">
        <f>Calc_Formulas!AG63</f>
        <v>0</v>
      </c>
    </row>
    <row r="68" spans="1:7">
      <c r="A68" s="6">
        <f>Calc_Formulas!A64</f>
        <v>0</v>
      </c>
      <c r="B68" s="7">
        <f>Calc_Formulas!AH64</f>
        <v>0</v>
      </c>
      <c r="C68" s="7">
        <f>Calc_Formulas!AI64</f>
        <v>0</v>
      </c>
      <c r="D68" s="7">
        <f>Calc_Formulas!AJ64</f>
        <v>0</v>
      </c>
      <c r="E68" s="6">
        <f>Calc_Formulas!AE64</f>
        <v>0</v>
      </c>
      <c r="F68" s="6">
        <f>Calc_Formulas!AF64</f>
        <v>0</v>
      </c>
      <c r="G68" s="6">
        <f>Calc_Formulas!AG64</f>
        <v>0</v>
      </c>
    </row>
    <row r="69" spans="1:7">
      <c r="A69" s="6">
        <f>Calc_Formulas!A65</f>
        <v>0</v>
      </c>
      <c r="B69" s="7">
        <f>Calc_Formulas!AH65</f>
        <v>0</v>
      </c>
      <c r="C69" s="7">
        <f>Calc_Formulas!AI65</f>
        <v>0</v>
      </c>
      <c r="D69" s="7">
        <f>Calc_Formulas!AJ65</f>
        <v>0</v>
      </c>
      <c r="E69" s="6">
        <f>Calc_Formulas!AE65</f>
        <v>0</v>
      </c>
      <c r="F69" s="6">
        <f>Calc_Formulas!AF65</f>
        <v>0</v>
      </c>
      <c r="G69" s="6">
        <f>Calc_Formulas!AG65</f>
        <v>0</v>
      </c>
    </row>
    <row r="70" spans="1:7">
      <c r="A70" s="6">
        <f>Calc_Formulas!A66</f>
        <v>0</v>
      </c>
      <c r="B70" s="7">
        <f>Calc_Formulas!AH66</f>
        <v>0</v>
      </c>
      <c r="C70" s="7">
        <f>Calc_Formulas!AI66</f>
        <v>0</v>
      </c>
      <c r="D70" s="7">
        <f>Calc_Formulas!AJ66</f>
        <v>0</v>
      </c>
      <c r="E70" s="6">
        <f>Calc_Formulas!AE66</f>
        <v>0</v>
      </c>
      <c r="F70" s="6">
        <f>Calc_Formulas!AF66</f>
        <v>0</v>
      </c>
      <c r="G70" s="6">
        <f>Calc_Formulas!AG66</f>
        <v>0</v>
      </c>
    </row>
    <row r="71" spans="1:7">
      <c r="A71" s="6">
        <f>Calc_Formulas!A67</f>
        <v>0</v>
      </c>
      <c r="B71" s="7">
        <f>Calc_Formulas!AH67</f>
        <v>0</v>
      </c>
      <c r="C71" s="7">
        <f>Calc_Formulas!AI67</f>
        <v>0</v>
      </c>
      <c r="D71" s="7">
        <f>Calc_Formulas!AJ67</f>
        <v>0</v>
      </c>
      <c r="E71" s="6">
        <f>Calc_Formulas!AE67</f>
        <v>0</v>
      </c>
      <c r="F71" s="6">
        <f>Calc_Formulas!AF67</f>
        <v>0</v>
      </c>
      <c r="G71" s="6">
        <f>Calc_Formulas!AG67</f>
        <v>0</v>
      </c>
    </row>
    <row r="72" spans="1:7">
      <c r="A72" s="6">
        <f>Calc_Formulas!A68</f>
        <v>0</v>
      </c>
      <c r="B72" s="7">
        <f>Calc_Formulas!AH68</f>
        <v>0</v>
      </c>
      <c r="C72" s="7">
        <f>Calc_Formulas!AI68</f>
        <v>0</v>
      </c>
      <c r="D72" s="7">
        <f>Calc_Formulas!AJ68</f>
        <v>0</v>
      </c>
      <c r="E72" s="6">
        <f>Calc_Formulas!AE68</f>
        <v>0</v>
      </c>
      <c r="F72" s="6">
        <f>Calc_Formulas!AF68</f>
        <v>0</v>
      </c>
      <c r="G72" s="6">
        <f>Calc_Formulas!AG68</f>
        <v>0</v>
      </c>
    </row>
    <row r="73" spans="1:7">
      <c r="A73" s="6">
        <f>Calc_Formulas!A69</f>
        <v>0</v>
      </c>
      <c r="B73" s="7">
        <f>Calc_Formulas!AH69</f>
        <v>0</v>
      </c>
      <c r="C73" s="7">
        <f>Calc_Formulas!AI69</f>
        <v>0</v>
      </c>
      <c r="D73" s="7">
        <f>Calc_Formulas!AJ69</f>
        <v>0</v>
      </c>
      <c r="E73" s="6">
        <f>Calc_Formulas!AE69</f>
        <v>0</v>
      </c>
      <c r="F73" s="6">
        <f>Calc_Formulas!AF69</f>
        <v>0</v>
      </c>
      <c r="G73" s="6">
        <f>Calc_Formulas!AG69</f>
        <v>0</v>
      </c>
    </row>
    <row r="74" spans="1:7">
      <c r="A74" s="6">
        <f>Calc_Formulas!A70</f>
        <v>0</v>
      </c>
      <c r="B74" s="7">
        <f>Calc_Formulas!AH70</f>
        <v>0</v>
      </c>
      <c r="C74" s="7">
        <f>Calc_Formulas!AI70</f>
        <v>0</v>
      </c>
      <c r="D74" s="7">
        <f>Calc_Formulas!AJ70</f>
        <v>0</v>
      </c>
      <c r="E74" s="6">
        <f>Calc_Formulas!AE70</f>
        <v>0</v>
      </c>
      <c r="F74" s="6">
        <f>Calc_Formulas!AF70</f>
        <v>0</v>
      </c>
      <c r="G74" s="6">
        <f>Calc_Formulas!AG70</f>
        <v>0</v>
      </c>
    </row>
    <row r="75" spans="1:7">
      <c r="A75" s="6">
        <f>Calc_Formulas!A71</f>
        <v>0</v>
      </c>
      <c r="B75" s="7">
        <f>Calc_Formulas!AH71</f>
        <v>0</v>
      </c>
      <c r="C75" s="7">
        <f>Calc_Formulas!AI71</f>
        <v>0</v>
      </c>
      <c r="D75" s="7">
        <f>Calc_Formulas!AJ71</f>
        <v>0</v>
      </c>
      <c r="E75" s="6">
        <f>Calc_Formulas!AE71</f>
        <v>0</v>
      </c>
      <c r="F75" s="6">
        <f>Calc_Formulas!AF71</f>
        <v>0</v>
      </c>
      <c r="G75" s="6">
        <f>Calc_Formulas!AG71</f>
        <v>0</v>
      </c>
    </row>
    <row r="76" spans="1:7">
      <c r="A76" s="6">
        <f>Calc_Formulas!A72</f>
        <v>0</v>
      </c>
      <c r="B76" s="7">
        <f>Calc_Formulas!AH72</f>
        <v>0</v>
      </c>
      <c r="C76" s="7">
        <f>Calc_Formulas!AI72</f>
        <v>0</v>
      </c>
      <c r="D76" s="7">
        <f>Calc_Formulas!AJ72</f>
        <v>0</v>
      </c>
      <c r="E76" s="6">
        <f>Calc_Formulas!AE72</f>
        <v>0</v>
      </c>
      <c r="F76" s="6">
        <f>Calc_Formulas!AF72</f>
        <v>0</v>
      </c>
      <c r="G76" s="6">
        <f>Calc_Formulas!AG72</f>
        <v>0</v>
      </c>
    </row>
    <row r="77" spans="1:7">
      <c r="A77" s="6">
        <f>Calc_Formulas!A73</f>
        <v>0</v>
      </c>
      <c r="B77" s="7">
        <f>Calc_Formulas!AH73</f>
        <v>0</v>
      </c>
      <c r="C77" s="7">
        <f>Calc_Formulas!AI73</f>
        <v>0</v>
      </c>
      <c r="D77" s="7">
        <f>Calc_Formulas!AJ73</f>
        <v>0</v>
      </c>
      <c r="E77" s="6">
        <f>Calc_Formulas!AE73</f>
        <v>0</v>
      </c>
      <c r="F77" s="6">
        <f>Calc_Formulas!AF73</f>
        <v>0</v>
      </c>
      <c r="G77" s="6">
        <f>Calc_Formulas!AG73</f>
        <v>0</v>
      </c>
    </row>
    <row r="78" spans="1:7">
      <c r="A78" s="6">
        <f>Calc_Formulas!A74</f>
        <v>0</v>
      </c>
      <c r="B78" s="7">
        <f>Calc_Formulas!AH74</f>
        <v>0</v>
      </c>
      <c r="C78" s="7">
        <f>Calc_Formulas!AI74</f>
        <v>0</v>
      </c>
      <c r="D78" s="7">
        <f>Calc_Formulas!AJ74</f>
        <v>0</v>
      </c>
      <c r="E78" s="6">
        <f>Calc_Formulas!AE74</f>
        <v>0</v>
      </c>
      <c r="F78" s="6">
        <f>Calc_Formulas!AF74</f>
        <v>0</v>
      </c>
      <c r="G78" s="6">
        <f>Calc_Formulas!AG74</f>
        <v>0</v>
      </c>
    </row>
    <row r="79" spans="1:7">
      <c r="A79" s="6">
        <f>Calc_Formulas!A75</f>
        <v>0</v>
      </c>
      <c r="B79" s="7">
        <f>Calc_Formulas!AH75</f>
        <v>0</v>
      </c>
      <c r="C79" s="7">
        <f>Calc_Formulas!AI75</f>
        <v>0</v>
      </c>
      <c r="D79" s="7">
        <f>Calc_Formulas!AJ75</f>
        <v>0</v>
      </c>
      <c r="E79" s="6">
        <f>Calc_Formulas!AE75</f>
        <v>0</v>
      </c>
      <c r="F79" s="6">
        <f>Calc_Formulas!AF75</f>
        <v>0</v>
      </c>
      <c r="G79" s="6">
        <f>Calc_Formulas!AG75</f>
        <v>0</v>
      </c>
    </row>
    <row r="80" spans="1:7">
      <c r="A80" s="6">
        <f>Calc_Formulas!A76</f>
        <v>0</v>
      </c>
      <c r="B80" s="7">
        <f>Calc_Formulas!AH76</f>
        <v>0</v>
      </c>
      <c r="C80" s="7">
        <f>Calc_Formulas!AI76</f>
        <v>0</v>
      </c>
      <c r="D80" s="7">
        <f>Calc_Formulas!AJ76</f>
        <v>0</v>
      </c>
      <c r="E80" s="6">
        <f>Calc_Formulas!AE76</f>
        <v>0</v>
      </c>
      <c r="F80" s="6">
        <f>Calc_Formulas!AF76</f>
        <v>0</v>
      </c>
      <c r="G80" s="6">
        <f>Calc_Formulas!AG76</f>
        <v>0</v>
      </c>
    </row>
    <row r="81" spans="1:7">
      <c r="A81" s="6">
        <f>Calc_Formulas!A77</f>
        <v>0</v>
      </c>
      <c r="B81" s="7">
        <f>Calc_Formulas!AH77</f>
        <v>0</v>
      </c>
      <c r="C81" s="7">
        <f>Calc_Formulas!AI77</f>
        <v>0</v>
      </c>
      <c r="D81" s="7">
        <f>Calc_Formulas!AJ77</f>
        <v>0</v>
      </c>
      <c r="E81" s="6">
        <f>Calc_Formulas!AE77</f>
        <v>0</v>
      </c>
      <c r="F81" s="6">
        <f>Calc_Formulas!AF77</f>
        <v>0</v>
      </c>
      <c r="G81" s="6">
        <f>Calc_Formulas!AG77</f>
        <v>0</v>
      </c>
    </row>
    <row r="82" spans="1:7">
      <c r="A82" s="6">
        <f>Calc_Formulas!A78</f>
        <v>0</v>
      </c>
      <c r="B82" s="7">
        <f>Calc_Formulas!AH78</f>
        <v>0</v>
      </c>
      <c r="C82" s="7">
        <f>Calc_Formulas!AI78</f>
        <v>0</v>
      </c>
      <c r="D82" s="7">
        <f>Calc_Formulas!AJ78</f>
        <v>0</v>
      </c>
      <c r="E82" s="6">
        <f>Calc_Formulas!AE78</f>
        <v>0</v>
      </c>
      <c r="F82" s="6">
        <f>Calc_Formulas!AF78</f>
        <v>0</v>
      </c>
      <c r="G82" s="6">
        <f>Calc_Formulas!AG78</f>
        <v>0</v>
      </c>
    </row>
    <row r="83" spans="1:7">
      <c r="A83" s="6">
        <f>Calc_Formulas!A79</f>
        <v>0</v>
      </c>
      <c r="B83" s="7">
        <f>Calc_Formulas!AH79</f>
        <v>0</v>
      </c>
      <c r="C83" s="7">
        <f>Calc_Formulas!AI79</f>
        <v>0</v>
      </c>
      <c r="D83" s="7">
        <f>Calc_Formulas!AJ79</f>
        <v>0</v>
      </c>
      <c r="E83" s="6">
        <f>Calc_Formulas!AE79</f>
        <v>0</v>
      </c>
      <c r="F83" s="6">
        <f>Calc_Formulas!AF79</f>
        <v>0</v>
      </c>
      <c r="G83" s="6">
        <f>Calc_Formulas!AG79</f>
        <v>0</v>
      </c>
    </row>
    <row r="84" spans="1:7">
      <c r="A84" s="6">
        <f>Calc_Formulas!A80</f>
        <v>0</v>
      </c>
      <c r="B84" s="7">
        <f>Calc_Formulas!AH80</f>
        <v>0</v>
      </c>
      <c r="C84" s="7">
        <f>Calc_Formulas!AI80</f>
        <v>0</v>
      </c>
      <c r="D84" s="7">
        <f>Calc_Formulas!AJ80</f>
        <v>0</v>
      </c>
      <c r="E84" s="6">
        <f>Calc_Formulas!AE80</f>
        <v>0</v>
      </c>
      <c r="F84" s="6">
        <f>Calc_Formulas!AF80</f>
        <v>0</v>
      </c>
      <c r="G84" s="6">
        <f>Calc_Formulas!AG80</f>
        <v>0</v>
      </c>
    </row>
    <row r="85" spans="1:7">
      <c r="A85" s="6">
        <f>Calc_Formulas!A81</f>
        <v>0</v>
      </c>
      <c r="B85" s="7">
        <f>Calc_Formulas!AH81</f>
        <v>0</v>
      </c>
      <c r="C85" s="7">
        <f>Calc_Formulas!AI81</f>
        <v>0</v>
      </c>
      <c r="D85" s="7">
        <f>Calc_Formulas!AJ81</f>
        <v>0</v>
      </c>
      <c r="E85" s="6">
        <f>Calc_Formulas!AE81</f>
        <v>0</v>
      </c>
      <c r="F85" s="6">
        <f>Calc_Formulas!AF81</f>
        <v>0</v>
      </c>
      <c r="G85" s="6">
        <f>Calc_Formulas!AG81</f>
        <v>0</v>
      </c>
    </row>
    <row r="86" spans="1:7">
      <c r="A86" s="6">
        <f>Calc_Formulas!A82</f>
        <v>0</v>
      </c>
      <c r="B86" s="7">
        <f>Calc_Formulas!AH82</f>
        <v>0</v>
      </c>
      <c r="C86" s="7">
        <f>Calc_Formulas!AI82</f>
        <v>0</v>
      </c>
      <c r="D86" s="7">
        <f>Calc_Formulas!AJ82</f>
        <v>0</v>
      </c>
      <c r="E86" s="6">
        <f>Calc_Formulas!AE82</f>
        <v>0</v>
      </c>
      <c r="F86" s="6">
        <f>Calc_Formulas!AF82</f>
        <v>0</v>
      </c>
      <c r="G86" s="6">
        <f>Calc_Formulas!AG82</f>
        <v>0</v>
      </c>
    </row>
    <row r="87" spans="1:7">
      <c r="A87" s="6">
        <f>Calc_Formulas!A83</f>
        <v>0</v>
      </c>
      <c r="B87" s="7">
        <f>Calc_Formulas!AH83</f>
        <v>0</v>
      </c>
      <c r="C87" s="7">
        <f>Calc_Formulas!AI83</f>
        <v>0</v>
      </c>
      <c r="D87" s="7">
        <f>Calc_Formulas!AJ83</f>
        <v>0</v>
      </c>
      <c r="E87" s="6">
        <f>Calc_Formulas!AE83</f>
        <v>0</v>
      </c>
      <c r="F87" s="6">
        <f>Calc_Formulas!AF83</f>
        <v>0</v>
      </c>
      <c r="G87" s="6">
        <f>Calc_Formulas!AG83</f>
        <v>0</v>
      </c>
    </row>
    <row r="88" spans="1:7">
      <c r="A88" s="6">
        <f>Calc_Formulas!A84</f>
        <v>0</v>
      </c>
      <c r="B88" s="7">
        <f>Calc_Formulas!AH84</f>
        <v>0</v>
      </c>
      <c r="C88" s="7">
        <f>Calc_Formulas!AI84</f>
        <v>0</v>
      </c>
      <c r="D88" s="7">
        <f>Calc_Formulas!AJ84</f>
        <v>0</v>
      </c>
      <c r="E88" s="6">
        <f>Calc_Formulas!AE84</f>
        <v>0</v>
      </c>
      <c r="F88" s="6">
        <f>Calc_Formulas!AF84</f>
        <v>0</v>
      </c>
      <c r="G88" s="6">
        <f>Calc_Formulas!AG84</f>
        <v>0</v>
      </c>
    </row>
    <row r="89" spans="1:7">
      <c r="A89" s="6">
        <f>Calc_Formulas!A85</f>
        <v>0</v>
      </c>
      <c r="B89" s="7">
        <f>Calc_Formulas!AH85</f>
        <v>0</v>
      </c>
      <c r="C89" s="7">
        <f>Calc_Formulas!AI85</f>
        <v>0</v>
      </c>
      <c r="D89" s="7">
        <f>Calc_Formulas!AJ85</f>
        <v>0</v>
      </c>
      <c r="E89" s="6">
        <f>Calc_Formulas!AE85</f>
        <v>0</v>
      </c>
      <c r="F89" s="6">
        <f>Calc_Formulas!AF85</f>
        <v>0</v>
      </c>
      <c r="G89" s="6">
        <f>Calc_Formulas!AG85</f>
        <v>0</v>
      </c>
    </row>
    <row r="90" spans="1:7">
      <c r="A90" s="6">
        <f>Calc_Formulas!A86</f>
        <v>0</v>
      </c>
      <c r="B90" s="7">
        <f>Calc_Formulas!AH86</f>
        <v>0</v>
      </c>
      <c r="C90" s="7">
        <f>Calc_Formulas!AI86</f>
        <v>0</v>
      </c>
      <c r="D90" s="7">
        <f>Calc_Formulas!AJ86</f>
        <v>0</v>
      </c>
      <c r="E90" s="6">
        <f>Calc_Formulas!AE86</f>
        <v>0</v>
      </c>
      <c r="F90" s="6">
        <f>Calc_Formulas!AF86</f>
        <v>0</v>
      </c>
      <c r="G90" s="6">
        <f>Calc_Formulas!AG86</f>
        <v>0</v>
      </c>
    </row>
    <row r="91" spans="1:7">
      <c r="A91" s="6">
        <f>Calc_Formulas!A87</f>
        <v>0</v>
      </c>
      <c r="B91" s="7">
        <f>Calc_Formulas!AH87</f>
        <v>0</v>
      </c>
      <c r="C91" s="7">
        <f>Calc_Formulas!AI87</f>
        <v>0</v>
      </c>
      <c r="D91" s="7">
        <f>Calc_Formulas!AJ87</f>
        <v>0</v>
      </c>
      <c r="E91" s="6">
        <f>Calc_Formulas!AE87</f>
        <v>0</v>
      </c>
      <c r="F91" s="6">
        <f>Calc_Formulas!AF87</f>
        <v>0</v>
      </c>
      <c r="G91" s="6">
        <f>Calc_Formulas!AG87</f>
        <v>0</v>
      </c>
    </row>
    <row r="92" spans="1:7">
      <c r="A92" s="6">
        <f>Calc_Formulas!A88</f>
        <v>0</v>
      </c>
      <c r="B92" s="7">
        <f>Calc_Formulas!AH88</f>
        <v>0</v>
      </c>
      <c r="C92" s="7">
        <f>Calc_Formulas!AI88</f>
        <v>0</v>
      </c>
      <c r="D92" s="7">
        <f>Calc_Formulas!AJ88</f>
        <v>0</v>
      </c>
      <c r="E92" s="6">
        <f>Calc_Formulas!AE88</f>
        <v>0</v>
      </c>
      <c r="F92" s="6">
        <f>Calc_Formulas!AF88</f>
        <v>0</v>
      </c>
      <c r="G92" s="6">
        <f>Calc_Formulas!AG88</f>
        <v>0</v>
      </c>
    </row>
    <row r="93" spans="1:7">
      <c r="A93" s="6">
        <f>Calc_Formulas!A89</f>
        <v>0</v>
      </c>
      <c r="B93" s="7">
        <f>Calc_Formulas!AH89</f>
        <v>0</v>
      </c>
      <c r="C93" s="7">
        <f>Calc_Formulas!AI89</f>
        <v>0</v>
      </c>
      <c r="D93" s="7">
        <f>Calc_Formulas!AJ89</f>
        <v>0</v>
      </c>
      <c r="E93" s="6">
        <f>Calc_Formulas!AE89</f>
        <v>0</v>
      </c>
      <c r="F93" s="6">
        <f>Calc_Formulas!AF89</f>
        <v>0</v>
      </c>
      <c r="G93" s="6">
        <f>Calc_Formulas!AG89</f>
        <v>0</v>
      </c>
    </row>
    <row r="94" spans="1:7">
      <c r="A94" s="6">
        <f>Calc_Formulas!A90</f>
        <v>0</v>
      </c>
      <c r="B94" s="7">
        <f>Calc_Formulas!AH90</f>
        <v>0</v>
      </c>
      <c r="C94" s="7">
        <f>Calc_Formulas!AI90</f>
        <v>0</v>
      </c>
      <c r="D94" s="7">
        <f>Calc_Formulas!AJ90</f>
        <v>0</v>
      </c>
      <c r="E94" s="6">
        <f>Calc_Formulas!AE90</f>
        <v>0</v>
      </c>
      <c r="F94" s="6">
        <f>Calc_Formulas!AF90</f>
        <v>0</v>
      </c>
      <c r="G94" s="6">
        <f>Calc_Formulas!AG90</f>
        <v>0</v>
      </c>
    </row>
    <row r="95" spans="1:7">
      <c r="A95" s="6">
        <f>Calc_Formulas!A91</f>
        <v>0</v>
      </c>
      <c r="B95" s="7">
        <f>Calc_Formulas!AH91</f>
        <v>0</v>
      </c>
      <c r="C95" s="7">
        <f>Calc_Formulas!AI91</f>
        <v>0</v>
      </c>
      <c r="D95" s="7">
        <f>Calc_Formulas!AJ91</f>
        <v>0</v>
      </c>
      <c r="E95" s="6">
        <f>Calc_Formulas!AE91</f>
        <v>0</v>
      </c>
      <c r="F95" s="6">
        <f>Calc_Formulas!AF91</f>
        <v>0</v>
      </c>
      <c r="G95" s="6">
        <f>Calc_Formulas!AG91</f>
        <v>0</v>
      </c>
    </row>
    <row r="96" spans="1:7">
      <c r="A96" s="6">
        <f>Calc_Formulas!A92</f>
        <v>0</v>
      </c>
      <c r="B96" s="7">
        <f>Calc_Formulas!AH92</f>
        <v>0</v>
      </c>
      <c r="C96" s="7">
        <f>Calc_Formulas!AI92</f>
        <v>0</v>
      </c>
      <c r="D96" s="7">
        <f>Calc_Formulas!AJ92</f>
        <v>0</v>
      </c>
      <c r="E96" s="6">
        <f>Calc_Formulas!AE92</f>
        <v>0</v>
      </c>
      <c r="F96" s="6">
        <f>Calc_Formulas!AF92</f>
        <v>0</v>
      </c>
      <c r="G96" s="6">
        <f>Calc_Formulas!AG92</f>
        <v>0</v>
      </c>
    </row>
    <row r="97" spans="1:7">
      <c r="A97" s="6">
        <f>Calc_Formulas!A93</f>
        <v>0</v>
      </c>
      <c r="B97" s="7">
        <f>Calc_Formulas!AH93</f>
        <v>0</v>
      </c>
      <c r="C97" s="7">
        <f>Calc_Formulas!AI93</f>
        <v>0</v>
      </c>
      <c r="D97" s="7">
        <f>Calc_Formulas!AJ93</f>
        <v>0</v>
      </c>
      <c r="E97" s="6">
        <f>Calc_Formulas!AE93</f>
        <v>0</v>
      </c>
      <c r="F97" s="6">
        <f>Calc_Formulas!AF93</f>
        <v>0</v>
      </c>
      <c r="G97" s="6">
        <f>Calc_Formulas!AG93</f>
        <v>0</v>
      </c>
    </row>
    <row r="98" spans="1:7">
      <c r="A98" s="6">
        <f>Calc_Formulas!A94</f>
        <v>0</v>
      </c>
      <c r="B98" s="7">
        <f>Calc_Formulas!AH94</f>
        <v>0</v>
      </c>
      <c r="C98" s="7">
        <f>Calc_Formulas!AI94</f>
        <v>0</v>
      </c>
      <c r="D98" s="7">
        <f>Calc_Formulas!AJ94</f>
        <v>0</v>
      </c>
      <c r="E98" s="6">
        <f>Calc_Formulas!AE94</f>
        <v>0</v>
      </c>
      <c r="F98" s="6">
        <f>Calc_Formulas!AF94</f>
        <v>0</v>
      </c>
      <c r="G98" s="6">
        <f>Calc_Formulas!AG94</f>
        <v>0</v>
      </c>
    </row>
    <row r="99" spans="1:7">
      <c r="A99" s="6">
        <f>Calc_Formulas!A95</f>
        <v>0</v>
      </c>
      <c r="B99" s="7">
        <f>Calc_Formulas!AH95</f>
        <v>0</v>
      </c>
      <c r="C99" s="7">
        <f>Calc_Formulas!AI95</f>
        <v>0</v>
      </c>
      <c r="D99" s="7">
        <f>Calc_Formulas!AJ95</f>
        <v>0</v>
      </c>
      <c r="E99" s="6">
        <f>Calc_Formulas!AE95</f>
        <v>0</v>
      </c>
      <c r="F99" s="6">
        <f>Calc_Formulas!AF95</f>
        <v>0</v>
      </c>
      <c r="G99" s="6">
        <f>Calc_Formulas!AG95</f>
        <v>0</v>
      </c>
    </row>
    <row r="100" spans="1:7">
      <c r="A100" s="6">
        <f>Calc_Formulas!A96</f>
        <v>0</v>
      </c>
      <c r="B100" s="7">
        <f>Calc_Formulas!AH96</f>
        <v>0</v>
      </c>
      <c r="C100" s="7">
        <f>Calc_Formulas!AI96</f>
        <v>0</v>
      </c>
      <c r="D100" s="7">
        <f>Calc_Formulas!AJ96</f>
        <v>0</v>
      </c>
      <c r="E100" s="6">
        <f>Calc_Formulas!AE96</f>
        <v>0</v>
      </c>
      <c r="F100" s="6">
        <f>Calc_Formulas!AF96</f>
        <v>0</v>
      </c>
      <c r="G100" s="6">
        <f>Calc_Formulas!AG96</f>
        <v>0</v>
      </c>
    </row>
    <row r="101" spans="1:7">
      <c r="A101" s="6">
        <f>Calc_Formulas!A97</f>
        <v>0</v>
      </c>
      <c r="B101" s="7">
        <f>Calc_Formulas!AH97</f>
        <v>0</v>
      </c>
      <c r="C101" s="7">
        <f>Calc_Formulas!AI97</f>
        <v>0</v>
      </c>
      <c r="D101" s="7">
        <f>Calc_Formulas!AJ97</f>
        <v>0</v>
      </c>
      <c r="E101" s="6">
        <f>Calc_Formulas!AE97</f>
        <v>0</v>
      </c>
      <c r="F101" s="6">
        <f>Calc_Formulas!AF97</f>
        <v>0</v>
      </c>
      <c r="G101" s="6">
        <f>Calc_Formulas!AG97</f>
        <v>0</v>
      </c>
    </row>
    <row r="102" spans="1:7">
      <c r="A102" s="6">
        <f>Calc_Formulas!A98</f>
        <v>0</v>
      </c>
      <c r="B102" s="7">
        <f>Calc_Formulas!AH98</f>
        <v>0</v>
      </c>
      <c r="C102" s="7">
        <f>Calc_Formulas!AI98</f>
        <v>0</v>
      </c>
      <c r="D102" s="7">
        <f>Calc_Formulas!AJ98</f>
        <v>0</v>
      </c>
      <c r="E102" s="6">
        <f>Calc_Formulas!AE98</f>
        <v>0</v>
      </c>
      <c r="F102" s="6">
        <f>Calc_Formulas!AF98</f>
        <v>0</v>
      </c>
      <c r="G102" s="6">
        <f>Calc_Formulas!AG98</f>
        <v>0</v>
      </c>
    </row>
    <row r="103" spans="1:7">
      <c r="A103" s="6">
        <f>Calc_Formulas!A99</f>
        <v>0</v>
      </c>
      <c r="B103" s="7">
        <f>Calc_Formulas!AH99</f>
        <v>0</v>
      </c>
      <c r="C103" s="7">
        <f>Calc_Formulas!AI99</f>
        <v>0</v>
      </c>
      <c r="D103" s="7">
        <f>Calc_Formulas!AJ99</f>
        <v>0</v>
      </c>
      <c r="E103" s="6">
        <f>Calc_Formulas!AE99</f>
        <v>0</v>
      </c>
      <c r="F103" s="6">
        <f>Calc_Formulas!AF99</f>
        <v>0</v>
      </c>
      <c r="G103" s="6">
        <f>Calc_Formulas!AG99</f>
        <v>0</v>
      </c>
    </row>
    <row r="104" spans="1:7">
      <c r="A104" s="6">
        <f>Calc_Formulas!A100</f>
        <v>0</v>
      </c>
      <c r="B104" s="7">
        <f>Calc_Formulas!AH100</f>
        <v>0</v>
      </c>
      <c r="C104" s="7">
        <f>Calc_Formulas!AI100</f>
        <v>0</v>
      </c>
      <c r="D104" s="7">
        <f>Calc_Formulas!AJ100</f>
        <v>0</v>
      </c>
      <c r="E104" s="6">
        <f>Calc_Formulas!AE100</f>
        <v>0</v>
      </c>
      <c r="F104" s="6">
        <f>Calc_Formulas!AF100</f>
        <v>0</v>
      </c>
      <c r="G104" s="6">
        <f>Calc_Formulas!AG100</f>
        <v>0</v>
      </c>
    </row>
    <row r="105" spans="1:7">
      <c r="A105" s="6">
        <f>Calc_Formulas!A101</f>
        <v>0</v>
      </c>
      <c r="B105" s="7">
        <f>Calc_Formulas!AH101</f>
        <v>0</v>
      </c>
      <c r="C105" s="7">
        <f>Calc_Formulas!AI101</f>
        <v>0</v>
      </c>
      <c r="D105" s="7">
        <f>Calc_Formulas!AJ101</f>
        <v>0</v>
      </c>
      <c r="E105" s="6">
        <f>Calc_Formulas!AE101</f>
        <v>0</v>
      </c>
      <c r="F105" s="6">
        <f>Calc_Formulas!AF101</f>
        <v>0</v>
      </c>
      <c r="G105" s="6">
        <f>Calc_Formulas!AG101</f>
        <v>0</v>
      </c>
    </row>
    <row r="106" spans="1:7">
      <c r="A106" s="6">
        <f>Calc_Formulas!A102</f>
        <v>0</v>
      </c>
      <c r="B106" s="7">
        <f>Calc_Formulas!AH102</f>
        <v>0</v>
      </c>
      <c r="C106" s="7">
        <f>Calc_Formulas!AI102</f>
        <v>0</v>
      </c>
      <c r="D106" s="7">
        <f>Calc_Formulas!AJ102</f>
        <v>0</v>
      </c>
      <c r="E106" s="6">
        <f>Calc_Formulas!AE102</f>
        <v>0</v>
      </c>
      <c r="F106" s="6">
        <f>Calc_Formulas!AF102</f>
        <v>0</v>
      </c>
      <c r="G106" s="6">
        <f>Calc_Formulas!AG102</f>
        <v>0</v>
      </c>
    </row>
    <row r="107" spans="1:7">
      <c r="A107" s="6">
        <f>Calc_Formulas!A103</f>
        <v>0</v>
      </c>
      <c r="B107" s="7">
        <f>Calc_Formulas!AH103</f>
        <v>0</v>
      </c>
      <c r="C107" s="7">
        <f>Calc_Formulas!AI103</f>
        <v>0</v>
      </c>
      <c r="D107" s="7">
        <f>Calc_Formulas!AJ103</f>
        <v>0</v>
      </c>
      <c r="E107" s="6">
        <f>Calc_Formulas!AE103</f>
        <v>0</v>
      </c>
      <c r="F107" s="6">
        <f>Calc_Formulas!AF103</f>
        <v>0</v>
      </c>
      <c r="G107" s="6">
        <f>Calc_Formulas!AG103</f>
        <v>0</v>
      </c>
    </row>
    <row r="108" spans="1:7">
      <c r="A108" s="6">
        <f>Calc_Formulas!A104</f>
        <v>0</v>
      </c>
      <c r="B108" s="7">
        <f>Calc_Formulas!AH104</f>
        <v>0</v>
      </c>
      <c r="C108" s="7">
        <f>Calc_Formulas!AI104</f>
        <v>0</v>
      </c>
      <c r="D108" s="7">
        <f>Calc_Formulas!AJ104</f>
        <v>0</v>
      </c>
      <c r="E108" s="6">
        <f>Calc_Formulas!AE104</f>
        <v>0</v>
      </c>
      <c r="F108" s="6">
        <f>Calc_Formulas!AF104</f>
        <v>0</v>
      </c>
      <c r="G108" s="6">
        <f>Calc_Formulas!AG104</f>
        <v>0</v>
      </c>
    </row>
    <row r="109" spans="1:7">
      <c r="A109" s="6">
        <f>Calc_Formulas!A105</f>
        <v>0</v>
      </c>
      <c r="B109" s="7">
        <f>Calc_Formulas!AH105</f>
        <v>0</v>
      </c>
      <c r="C109" s="7">
        <f>Calc_Formulas!AI105</f>
        <v>0</v>
      </c>
      <c r="D109" s="7">
        <f>Calc_Formulas!AJ105</f>
        <v>0</v>
      </c>
      <c r="E109" s="6">
        <f>Calc_Formulas!AE105</f>
        <v>0</v>
      </c>
      <c r="F109" s="6">
        <f>Calc_Formulas!AF105</f>
        <v>0</v>
      </c>
      <c r="G109" s="6">
        <f>Calc_Formulas!AG105</f>
        <v>0</v>
      </c>
    </row>
    <row r="110" spans="1:7">
      <c r="A110" s="6">
        <f>Calc_Formulas!A106</f>
        <v>0</v>
      </c>
      <c r="B110" s="7">
        <f>Calc_Formulas!AH106</f>
        <v>0</v>
      </c>
      <c r="C110" s="7">
        <f>Calc_Formulas!AI106</f>
        <v>0</v>
      </c>
      <c r="D110" s="7">
        <f>Calc_Formulas!AJ106</f>
        <v>0</v>
      </c>
      <c r="E110" s="6">
        <f>Calc_Formulas!AE106</f>
        <v>0</v>
      </c>
      <c r="F110" s="6">
        <f>Calc_Formulas!AF106</f>
        <v>0</v>
      </c>
      <c r="G110" s="6">
        <f>Calc_Formulas!AG106</f>
        <v>0</v>
      </c>
    </row>
    <row r="111" spans="1:7">
      <c r="A111" s="6">
        <f>Calc_Formulas!A107</f>
        <v>0</v>
      </c>
      <c r="B111" s="7">
        <f>Calc_Formulas!AH107</f>
        <v>0</v>
      </c>
      <c r="C111" s="7">
        <f>Calc_Formulas!AI107</f>
        <v>0</v>
      </c>
      <c r="D111" s="7">
        <f>Calc_Formulas!AJ107</f>
        <v>0</v>
      </c>
      <c r="E111" s="6">
        <f>Calc_Formulas!AE107</f>
        <v>0</v>
      </c>
      <c r="F111" s="6">
        <f>Calc_Formulas!AF107</f>
        <v>0</v>
      </c>
      <c r="G111" s="6">
        <f>Calc_Formulas!AG107</f>
        <v>0</v>
      </c>
    </row>
    <row r="112" spans="1:7">
      <c r="A112" s="6">
        <f>Calc_Formulas!A108</f>
        <v>0</v>
      </c>
      <c r="B112" s="7">
        <f>Calc_Formulas!AH108</f>
        <v>0</v>
      </c>
      <c r="C112" s="7">
        <f>Calc_Formulas!AI108</f>
        <v>0</v>
      </c>
      <c r="D112" s="7">
        <f>Calc_Formulas!AJ108</f>
        <v>0</v>
      </c>
      <c r="E112" s="6">
        <f>Calc_Formulas!AE108</f>
        <v>0</v>
      </c>
      <c r="F112" s="6">
        <f>Calc_Formulas!AF108</f>
        <v>0</v>
      </c>
      <c r="G112" s="6">
        <f>Calc_Formulas!AG108</f>
        <v>0</v>
      </c>
    </row>
    <row r="113" spans="1:7">
      <c r="A113" s="6">
        <f>Calc_Formulas!A109</f>
        <v>0</v>
      </c>
      <c r="B113" s="7">
        <f>Calc_Formulas!AH109</f>
        <v>0</v>
      </c>
      <c r="C113" s="7">
        <f>Calc_Formulas!AI109</f>
        <v>0</v>
      </c>
      <c r="D113" s="7">
        <f>Calc_Formulas!AJ109</f>
        <v>0</v>
      </c>
      <c r="E113" s="6">
        <f>Calc_Formulas!AE109</f>
        <v>0</v>
      </c>
      <c r="F113" s="6">
        <f>Calc_Formulas!AF109</f>
        <v>0</v>
      </c>
      <c r="G113" s="6">
        <f>Calc_Formulas!AG109</f>
        <v>0</v>
      </c>
    </row>
    <row r="114" spans="1:7">
      <c r="A114" s="6">
        <f>Calc_Formulas!A110</f>
        <v>0</v>
      </c>
      <c r="B114" s="7">
        <f>Calc_Formulas!AH110</f>
        <v>0</v>
      </c>
      <c r="C114" s="7">
        <f>Calc_Formulas!AI110</f>
        <v>0</v>
      </c>
      <c r="D114" s="7">
        <f>Calc_Formulas!AJ110</f>
        <v>0</v>
      </c>
      <c r="E114" s="6">
        <f>Calc_Formulas!AE110</f>
        <v>0</v>
      </c>
      <c r="F114" s="6">
        <f>Calc_Formulas!AF110</f>
        <v>0</v>
      </c>
      <c r="G114" s="6">
        <f>Calc_Formulas!AG110</f>
        <v>0</v>
      </c>
    </row>
    <row r="115" spans="1:7">
      <c r="A115" s="6">
        <f>Calc_Formulas!A111</f>
        <v>0</v>
      </c>
      <c r="B115" s="7">
        <f>Calc_Formulas!AH111</f>
        <v>0</v>
      </c>
      <c r="C115" s="7">
        <f>Calc_Formulas!AI111</f>
        <v>0</v>
      </c>
      <c r="D115" s="7">
        <f>Calc_Formulas!AJ111</f>
        <v>0</v>
      </c>
      <c r="E115" s="6">
        <f>Calc_Formulas!AE111</f>
        <v>0</v>
      </c>
      <c r="F115" s="6">
        <f>Calc_Formulas!AF111</f>
        <v>0</v>
      </c>
      <c r="G115" s="6">
        <f>Calc_Formulas!AG111</f>
        <v>0</v>
      </c>
    </row>
    <row r="116" spans="1:7">
      <c r="A116" s="6">
        <f>Calc_Formulas!A112</f>
        <v>0</v>
      </c>
      <c r="B116" s="7">
        <f>Calc_Formulas!AH112</f>
        <v>0</v>
      </c>
      <c r="C116" s="7">
        <f>Calc_Formulas!AI112</f>
        <v>0</v>
      </c>
      <c r="D116" s="7">
        <f>Calc_Formulas!AJ112</f>
        <v>0</v>
      </c>
      <c r="E116" s="6">
        <f>Calc_Formulas!AE112</f>
        <v>0</v>
      </c>
      <c r="F116" s="6">
        <f>Calc_Formulas!AF112</f>
        <v>0</v>
      </c>
      <c r="G116" s="6">
        <f>Calc_Formulas!AG112</f>
        <v>0</v>
      </c>
    </row>
    <row r="117" spans="1:7">
      <c r="A117" s="6">
        <f>Calc_Formulas!A113</f>
        <v>0</v>
      </c>
      <c r="B117" s="7">
        <f>Calc_Formulas!AH113</f>
        <v>0</v>
      </c>
      <c r="C117" s="7">
        <f>Calc_Formulas!AI113</f>
        <v>0</v>
      </c>
      <c r="D117" s="7">
        <f>Calc_Formulas!AJ113</f>
        <v>0</v>
      </c>
      <c r="E117" s="6">
        <f>Calc_Formulas!AE113</f>
        <v>0</v>
      </c>
      <c r="F117" s="6">
        <f>Calc_Formulas!AF113</f>
        <v>0</v>
      </c>
      <c r="G117" s="6">
        <f>Calc_Formulas!AG113</f>
        <v>0</v>
      </c>
    </row>
    <row r="118" spans="1:7">
      <c r="A118" s="6">
        <f>Calc_Formulas!A114</f>
        <v>0</v>
      </c>
      <c r="B118" s="7">
        <f>Calc_Formulas!AH114</f>
        <v>0</v>
      </c>
      <c r="C118" s="7">
        <f>Calc_Formulas!AI114</f>
        <v>0</v>
      </c>
      <c r="D118" s="7">
        <f>Calc_Formulas!AJ114</f>
        <v>0</v>
      </c>
      <c r="E118" s="6">
        <f>Calc_Formulas!AE114</f>
        <v>0</v>
      </c>
      <c r="F118" s="6">
        <f>Calc_Formulas!AF114</f>
        <v>0</v>
      </c>
      <c r="G118" s="6">
        <f>Calc_Formulas!AG114</f>
        <v>0</v>
      </c>
    </row>
    <row r="119" spans="1:7">
      <c r="A119" s="6">
        <f>Calc_Formulas!A115</f>
        <v>0</v>
      </c>
      <c r="B119" s="7">
        <f>Calc_Formulas!AH115</f>
        <v>0</v>
      </c>
      <c r="C119" s="7">
        <f>Calc_Formulas!AI115</f>
        <v>0</v>
      </c>
      <c r="D119" s="7">
        <f>Calc_Formulas!AJ115</f>
        <v>0</v>
      </c>
      <c r="E119" s="6">
        <f>Calc_Formulas!AE115</f>
        <v>0</v>
      </c>
      <c r="F119" s="6">
        <f>Calc_Formulas!AF115</f>
        <v>0</v>
      </c>
      <c r="G119" s="6">
        <f>Calc_Formulas!AG115</f>
        <v>0</v>
      </c>
    </row>
    <row r="120" spans="1:7">
      <c r="A120" s="6">
        <f>Calc_Formulas!A116</f>
        <v>0</v>
      </c>
      <c r="B120" s="7">
        <f>Calc_Formulas!AH116</f>
        <v>0</v>
      </c>
      <c r="C120" s="7">
        <f>Calc_Formulas!AI116</f>
        <v>0</v>
      </c>
      <c r="D120" s="7">
        <f>Calc_Formulas!AJ116</f>
        <v>0</v>
      </c>
      <c r="E120" s="6">
        <f>Calc_Formulas!AE116</f>
        <v>0</v>
      </c>
      <c r="F120" s="6">
        <f>Calc_Formulas!AF116</f>
        <v>0</v>
      </c>
      <c r="G120" s="6">
        <f>Calc_Formulas!AG116</f>
        <v>0</v>
      </c>
    </row>
    <row r="121" spans="1:7">
      <c r="A121" s="6">
        <f>Calc_Formulas!A117</f>
        <v>0</v>
      </c>
      <c r="B121" s="7">
        <f>Calc_Formulas!AH117</f>
        <v>0</v>
      </c>
      <c r="C121" s="7">
        <f>Calc_Formulas!AI117</f>
        <v>0</v>
      </c>
      <c r="D121" s="7">
        <f>Calc_Formulas!AJ117</f>
        <v>0</v>
      </c>
      <c r="E121" s="6">
        <f>Calc_Formulas!AE117</f>
        <v>0</v>
      </c>
      <c r="F121" s="6">
        <f>Calc_Formulas!AF117</f>
        <v>0</v>
      </c>
      <c r="G121" s="6">
        <f>Calc_Formulas!AG117</f>
        <v>0</v>
      </c>
    </row>
    <row r="122" spans="1:7">
      <c r="A122" s="6">
        <f>Calc_Formulas!A118</f>
        <v>0</v>
      </c>
      <c r="B122" s="7">
        <f>Calc_Formulas!AH118</f>
        <v>0</v>
      </c>
      <c r="C122" s="7">
        <f>Calc_Formulas!AI118</f>
        <v>0</v>
      </c>
      <c r="D122" s="7">
        <f>Calc_Formulas!AJ118</f>
        <v>0</v>
      </c>
      <c r="E122" s="6">
        <f>Calc_Formulas!AE118</f>
        <v>0</v>
      </c>
      <c r="F122" s="6">
        <f>Calc_Formulas!AF118</f>
        <v>0</v>
      </c>
      <c r="G122" s="6">
        <f>Calc_Formulas!AG118</f>
        <v>0</v>
      </c>
    </row>
    <row r="123" spans="1:7">
      <c r="A123" s="6">
        <f>Calc_Formulas!A119</f>
        <v>0</v>
      </c>
      <c r="B123" s="7">
        <f>Calc_Formulas!AH119</f>
        <v>0</v>
      </c>
      <c r="C123" s="7">
        <f>Calc_Formulas!AI119</f>
        <v>0</v>
      </c>
      <c r="D123" s="7">
        <f>Calc_Formulas!AJ119</f>
        <v>0</v>
      </c>
      <c r="E123" s="6">
        <f>Calc_Formulas!AE119</f>
        <v>0</v>
      </c>
      <c r="F123" s="6">
        <f>Calc_Formulas!AF119</f>
        <v>0</v>
      </c>
      <c r="G123" s="6">
        <f>Calc_Formulas!AG119</f>
        <v>0</v>
      </c>
    </row>
    <row r="124" spans="1:7">
      <c r="A124" s="6">
        <f>Calc_Formulas!A120</f>
        <v>0</v>
      </c>
      <c r="B124" s="7">
        <f>Calc_Formulas!AH120</f>
        <v>0</v>
      </c>
      <c r="C124" s="7">
        <f>Calc_Formulas!AI120</f>
        <v>0</v>
      </c>
      <c r="D124" s="7">
        <f>Calc_Formulas!AJ120</f>
        <v>0</v>
      </c>
      <c r="E124" s="6">
        <f>Calc_Formulas!AE120</f>
        <v>0</v>
      </c>
      <c r="F124" s="6">
        <f>Calc_Formulas!AF120</f>
        <v>0</v>
      </c>
      <c r="G124" s="6">
        <f>Calc_Formulas!AG120</f>
        <v>0</v>
      </c>
    </row>
    <row r="125" spans="1:7">
      <c r="A125" s="6">
        <f>Calc_Formulas!A121</f>
        <v>0</v>
      </c>
      <c r="B125" s="7">
        <f>Calc_Formulas!AH121</f>
        <v>0</v>
      </c>
      <c r="C125" s="7">
        <f>Calc_Formulas!AI121</f>
        <v>0</v>
      </c>
      <c r="D125" s="7">
        <f>Calc_Formulas!AJ121</f>
        <v>0</v>
      </c>
      <c r="E125" s="6">
        <f>Calc_Formulas!AE121</f>
        <v>0</v>
      </c>
      <c r="F125" s="6">
        <f>Calc_Formulas!AF121</f>
        <v>0</v>
      </c>
      <c r="G125" s="6">
        <f>Calc_Formulas!AG121</f>
        <v>0</v>
      </c>
    </row>
    <row r="126" spans="1:7">
      <c r="A126" s="6">
        <f>Calc_Formulas!A122</f>
        <v>0</v>
      </c>
      <c r="B126" s="7">
        <f>Calc_Formulas!AH122</f>
        <v>0</v>
      </c>
      <c r="C126" s="7">
        <f>Calc_Formulas!AI122</f>
        <v>0</v>
      </c>
      <c r="D126" s="7">
        <f>Calc_Formulas!AJ122</f>
        <v>0</v>
      </c>
      <c r="E126" s="6">
        <f>Calc_Formulas!AE122</f>
        <v>0</v>
      </c>
      <c r="F126" s="6">
        <f>Calc_Formulas!AF122</f>
        <v>0</v>
      </c>
      <c r="G126" s="6">
        <f>Calc_Formulas!AG122</f>
        <v>0</v>
      </c>
    </row>
    <row r="127" spans="1:7">
      <c r="A127" s="6">
        <f>Calc_Formulas!A123</f>
        <v>0</v>
      </c>
      <c r="B127" s="7">
        <f>Calc_Formulas!AH123</f>
        <v>0</v>
      </c>
      <c r="C127" s="7">
        <f>Calc_Formulas!AI123</f>
        <v>0</v>
      </c>
      <c r="D127" s="7">
        <f>Calc_Formulas!AJ123</f>
        <v>0</v>
      </c>
      <c r="E127" s="6">
        <f>Calc_Formulas!AE123</f>
        <v>0</v>
      </c>
      <c r="F127" s="6">
        <f>Calc_Formulas!AF123</f>
        <v>0</v>
      </c>
      <c r="G127" s="6">
        <f>Calc_Formulas!AG123</f>
        <v>0</v>
      </c>
    </row>
    <row r="128" spans="1:7">
      <c r="A128" s="6">
        <f>Calc_Formulas!A124</f>
        <v>0</v>
      </c>
      <c r="B128" s="7">
        <f>Calc_Formulas!AH124</f>
        <v>0</v>
      </c>
      <c r="C128" s="7">
        <f>Calc_Formulas!AI124</f>
        <v>0</v>
      </c>
      <c r="D128" s="7">
        <f>Calc_Formulas!AJ124</f>
        <v>0</v>
      </c>
      <c r="E128" s="6">
        <f>Calc_Formulas!AE124</f>
        <v>0</v>
      </c>
      <c r="F128" s="6">
        <f>Calc_Formulas!AF124</f>
        <v>0</v>
      </c>
      <c r="G128" s="6">
        <f>Calc_Formulas!AG124</f>
        <v>0</v>
      </c>
    </row>
    <row r="129" spans="1:7">
      <c r="A129" s="6">
        <f>Calc_Formulas!A125</f>
        <v>0</v>
      </c>
      <c r="B129" s="7">
        <f>Calc_Formulas!AH125</f>
        <v>0</v>
      </c>
      <c r="C129" s="7">
        <f>Calc_Formulas!AI125</f>
        <v>0</v>
      </c>
      <c r="D129" s="7">
        <f>Calc_Formulas!AJ125</f>
        <v>0</v>
      </c>
      <c r="E129" s="6">
        <f>Calc_Formulas!AE125</f>
        <v>0</v>
      </c>
      <c r="F129" s="6">
        <f>Calc_Formulas!AF125</f>
        <v>0</v>
      </c>
      <c r="G129" s="6">
        <f>Calc_Formulas!AG125</f>
        <v>0</v>
      </c>
    </row>
    <row r="130" spans="1:7">
      <c r="A130" s="6">
        <f>Calc_Formulas!A126</f>
        <v>0</v>
      </c>
      <c r="B130" s="7">
        <f>Calc_Formulas!AH126</f>
        <v>0</v>
      </c>
      <c r="C130" s="7">
        <f>Calc_Formulas!AI126</f>
        <v>0</v>
      </c>
      <c r="D130" s="7">
        <f>Calc_Formulas!AJ126</f>
        <v>0</v>
      </c>
      <c r="E130" s="6">
        <f>Calc_Formulas!AE126</f>
        <v>0</v>
      </c>
      <c r="F130" s="6">
        <f>Calc_Formulas!AF126</f>
        <v>0</v>
      </c>
      <c r="G130" s="6">
        <f>Calc_Formulas!AG126</f>
        <v>0</v>
      </c>
    </row>
    <row r="131" spans="1:7">
      <c r="A131" s="6">
        <f>Calc_Formulas!A127</f>
        <v>0</v>
      </c>
      <c r="B131" s="7">
        <f>Calc_Formulas!AH127</f>
        <v>0</v>
      </c>
      <c r="C131" s="7">
        <f>Calc_Formulas!AI127</f>
        <v>0</v>
      </c>
      <c r="D131" s="7">
        <f>Calc_Formulas!AJ127</f>
        <v>0</v>
      </c>
      <c r="E131" s="6">
        <f>Calc_Formulas!AE127</f>
        <v>0</v>
      </c>
      <c r="F131" s="6">
        <f>Calc_Formulas!AF127</f>
        <v>0</v>
      </c>
      <c r="G131" s="6">
        <f>Calc_Formulas!AG127</f>
        <v>0</v>
      </c>
    </row>
    <row r="132" spans="1:7">
      <c r="A132" s="6">
        <f>Calc_Formulas!A128</f>
        <v>0</v>
      </c>
      <c r="B132" s="7">
        <f>Calc_Formulas!AH128</f>
        <v>0</v>
      </c>
      <c r="C132" s="7">
        <f>Calc_Formulas!AI128</f>
        <v>0</v>
      </c>
      <c r="D132" s="7">
        <f>Calc_Formulas!AJ128</f>
        <v>0</v>
      </c>
      <c r="E132" s="6">
        <f>Calc_Formulas!AE128</f>
        <v>0</v>
      </c>
      <c r="F132" s="6">
        <f>Calc_Formulas!AF128</f>
        <v>0</v>
      </c>
      <c r="G132" s="6">
        <f>Calc_Formulas!AG128</f>
        <v>0</v>
      </c>
    </row>
    <row r="133" spans="1:7">
      <c r="A133" s="6">
        <f>Calc_Formulas!A129</f>
        <v>0</v>
      </c>
      <c r="B133" s="7">
        <f>Calc_Formulas!AH129</f>
        <v>0</v>
      </c>
      <c r="C133" s="7">
        <f>Calc_Formulas!AI129</f>
        <v>0</v>
      </c>
      <c r="D133" s="7">
        <f>Calc_Formulas!AJ129</f>
        <v>0</v>
      </c>
      <c r="E133" s="6">
        <f>Calc_Formulas!AE129</f>
        <v>0</v>
      </c>
      <c r="F133" s="6">
        <f>Calc_Formulas!AF129</f>
        <v>0</v>
      </c>
      <c r="G133" s="6">
        <f>Calc_Formulas!AG129</f>
        <v>0</v>
      </c>
    </row>
    <row r="134" spans="1:7">
      <c r="A134" s="6">
        <f>Calc_Formulas!A130</f>
        <v>0</v>
      </c>
      <c r="B134" s="7">
        <f>Calc_Formulas!AH130</f>
        <v>0</v>
      </c>
      <c r="C134" s="7">
        <f>Calc_Formulas!AI130</f>
        <v>0</v>
      </c>
      <c r="D134" s="7">
        <f>Calc_Formulas!AJ130</f>
        <v>0</v>
      </c>
      <c r="E134" s="6">
        <f>Calc_Formulas!AE130</f>
        <v>0</v>
      </c>
      <c r="F134" s="6">
        <f>Calc_Formulas!AF130</f>
        <v>0</v>
      </c>
      <c r="G134" s="6">
        <f>Calc_Formulas!AG130</f>
        <v>0</v>
      </c>
    </row>
    <row r="135" spans="1:7">
      <c r="A135" s="6">
        <f>Calc_Formulas!A131</f>
        <v>0</v>
      </c>
      <c r="B135" s="7">
        <f>Calc_Formulas!AH131</f>
        <v>0</v>
      </c>
      <c r="C135" s="7">
        <f>Calc_Formulas!AI131</f>
        <v>0</v>
      </c>
      <c r="D135" s="7">
        <f>Calc_Formulas!AJ131</f>
        <v>0</v>
      </c>
      <c r="E135" s="6">
        <f>Calc_Formulas!AE131</f>
        <v>0</v>
      </c>
      <c r="F135" s="6">
        <f>Calc_Formulas!AF131</f>
        <v>0</v>
      </c>
      <c r="G135" s="6">
        <f>Calc_Formulas!AG131</f>
        <v>0</v>
      </c>
    </row>
    <row r="136" spans="1:7">
      <c r="A136" s="6">
        <f>Calc_Formulas!A132</f>
        <v>0</v>
      </c>
      <c r="B136" s="7">
        <f>Calc_Formulas!AH132</f>
        <v>0</v>
      </c>
      <c r="C136" s="7">
        <f>Calc_Formulas!AI132</f>
        <v>0</v>
      </c>
      <c r="D136" s="7">
        <f>Calc_Formulas!AJ132</f>
        <v>0</v>
      </c>
      <c r="E136" s="6">
        <f>Calc_Formulas!AE132</f>
        <v>0</v>
      </c>
      <c r="F136" s="6">
        <f>Calc_Formulas!AF132</f>
        <v>0</v>
      </c>
      <c r="G136" s="6">
        <f>Calc_Formulas!AG132</f>
        <v>0</v>
      </c>
    </row>
    <row r="137" spans="1:7">
      <c r="A137" s="6">
        <f>Calc_Formulas!A133</f>
        <v>0</v>
      </c>
      <c r="B137" s="7">
        <f>Calc_Formulas!AH133</f>
        <v>0</v>
      </c>
      <c r="C137" s="7">
        <f>Calc_Formulas!AI133</f>
        <v>0</v>
      </c>
      <c r="D137" s="7">
        <f>Calc_Formulas!AJ133</f>
        <v>0</v>
      </c>
      <c r="E137" s="6">
        <f>Calc_Formulas!AE133</f>
        <v>0</v>
      </c>
      <c r="F137" s="6">
        <f>Calc_Formulas!AF133</f>
        <v>0</v>
      </c>
      <c r="G137" s="6">
        <f>Calc_Formulas!AG133</f>
        <v>0</v>
      </c>
    </row>
    <row r="138" spans="1:7">
      <c r="A138" s="6">
        <f>Calc_Formulas!A134</f>
        <v>0</v>
      </c>
      <c r="B138" s="7">
        <f>Calc_Formulas!AH134</f>
        <v>0</v>
      </c>
      <c r="C138" s="7">
        <f>Calc_Formulas!AI134</f>
        <v>0</v>
      </c>
      <c r="D138" s="7">
        <f>Calc_Formulas!AJ134</f>
        <v>0</v>
      </c>
      <c r="E138" s="6">
        <f>Calc_Formulas!AE134</f>
        <v>0</v>
      </c>
      <c r="F138" s="6">
        <f>Calc_Formulas!AF134</f>
        <v>0</v>
      </c>
      <c r="G138" s="6">
        <f>Calc_Formulas!AG134</f>
        <v>0</v>
      </c>
    </row>
    <row r="139" spans="1:7">
      <c r="A139" s="6">
        <f>Calc_Formulas!A135</f>
        <v>0</v>
      </c>
      <c r="B139" s="7">
        <f>Calc_Formulas!AH135</f>
        <v>0</v>
      </c>
      <c r="C139" s="7">
        <f>Calc_Formulas!AI135</f>
        <v>0</v>
      </c>
      <c r="D139" s="7">
        <f>Calc_Formulas!AJ135</f>
        <v>0</v>
      </c>
      <c r="E139" s="6">
        <f>Calc_Formulas!AE135</f>
        <v>0</v>
      </c>
      <c r="F139" s="6">
        <f>Calc_Formulas!AF135</f>
        <v>0</v>
      </c>
      <c r="G139" s="6">
        <f>Calc_Formulas!AG135</f>
        <v>0</v>
      </c>
    </row>
    <row r="140" spans="1:7">
      <c r="A140" s="6">
        <f>Calc_Formulas!A136</f>
        <v>0</v>
      </c>
      <c r="B140" s="7">
        <f>Calc_Formulas!AH136</f>
        <v>0</v>
      </c>
      <c r="C140" s="7">
        <f>Calc_Formulas!AI136</f>
        <v>0</v>
      </c>
      <c r="D140" s="7">
        <f>Calc_Formulas!AJ136</f>
        <v>0</v>
      </c>
      <c r="E140" s="6">
        <f>Calc_Formulas!AE136</f>
        <v>0</v>
      </c>
      <c r="F140" s="6">
        <f>Calc_Formulas!AF136</f>
        <v>0</v>
      </c>
      <c r="G140" s="6">
        <f>Calc_Formulas!AG136</f>
        <v>0</v>
      </c>
    </row>
    <row r="141" spans="1:7">
      <c r="A141" s="6">
        <f>Calc_Formulas!A137</f>
        <v>0</v>
      </c>
      <c r="B141" s="7">
        <f>Calc_Formulas!AH137</f>
        <v>0</v>
      </c>
      <c r="C141" s="7">
        <f>Calc_Formulas!AI137</f>
        <v>0</v>
      </c>
      <c r="D141" s="7">
        <f>Calc_Formulas!AJ137</f>
        <v>0</v>
      </c>
      <c r="E141" s="6">
        <f>Calc_Formulas!AE137</f>
        <v>0</v>
      </c>
      <c r="F141" s="6">
        <f>Calc_Formulas!AF137</f>
        <v>0</v>
      </c>
      <c r="G141" s="6">
        <f>Calc_Formulas!AG137</f>
        <v>0</v>
      </c>
    </row>
    <row r="142" spans="1:7">
      <c r="A142" s="6">
        <f>Calc_Formulas!A138</f>
        <v>0</v>
      </c>
      <c r="B142" s="7">
        <f>Calc_Formulas!AH138</f>
        <v>0</v>
      </c>
      <c r="C142" s="7">
        <f>Calc_Formulas!AI138</f>
        <v>0</v>
      </c>
      <c r="D142" s="7">
        <f>Calc_Formulas!AJ138</f>
        <v>0</v>
      </c>
      <c r="E142" s="6">
        <f>Calc_Formulas!AE138</f>
        <v>0</v>
      </c>
      <c r="F142" s="6">
        <f>Calc_Formulas!AF138</f>
        <v>0</v>
      </c>
      <c r="G142" s="6">
        <f>Calc_Formulas!AG138</f>
        <v>0</v>
      </c>
    </row>
    <row r="143" spans="1:7">
      <c r="A143" s="6">
        <f>Calc_Formulas!A139</f>
        <v>0</v>
      </c>
      <c r="B143" s="7">
        <f>Calc_Formulas!AH139</f>
        <v>0</v>
      </c>
      <c r="C143" s="7">
        <f>Calc_Formulas!AI139</f>
        <v>0</v>
      </c>
      <c r="D143" s="7">
        <f>Calc_Formulas!AJ139</f>
        <v>0</v>
      </c>
      <c r="E143" s="6">
        <f>Calc_Formulas!AE139</f>
        <v>0</v>
      </c>
      <c r="F143" s="6">
        <f>Calc_Formulas!AF139</f>
        <v>0</v>
      </c>
      <c r="G143" s="6">
        <f>Calc_Formulas!AG139</f>
        <v>0</v>
      </c>
    </row>
    <row r="144" spans="1:7">
      <c r="A144" s="6">
        <f>Calc_Formulas!A140</f>
        <v>0</v>
      </c>
      <c r="B144" s="7">
        <f>Calc_Formulas!AH140</f>
        <v>0</v>
      </c>
      <c r="C144" s="7">
        <f>Calc_Formulas!AI140</f>
        <v>0</v>
      </c>
      <c r="D144" s="7">
        <f>Calc_Formulas!AJ140</f>
        <v>0</v>
      </c>
      <c r="E144" s="6">
        <f>Calc_Formulas!AE140</f>
        <v>0</v>
      </c>
      <c r="F144" s="6">
        <f>Calc_Formulas!AF140</f>
        <v>0</v>
      </c>
      <c r="G144" s="6">
        <f>Calc_Formulas!AG140</f>
        <v>0</v>
      </c>
    </row>
    <row r="145" spans="1:7">
      <c r="A145" s="6">
        <f>Calc_Formulas!A141</f>
        <v>0</v>
      </c>
      <c r="B145" s="7">
        <f>Calc_Formulas!AH141</f>
        <v>0</v>
      </c>
      <c r="C145" s="7">
        <f>Calc_Formulas!AI141</f>
        <v>0</v>
      </c>
      <c r="D145" s="7">
        <f>Calc_Formulas!AJ141</f>
        <v>0</v>
      </c>
      <c r="E145" s="6">
        <f>Calc_Formulas!AE141</f>
        <v>0</v>
      </c>
      <c r="F145" s="6">
        <f>Calc_Formulas!AF141</f>
        <v>0</v>
      </c>
      <c r="G145" s="6">
        <f>Calc_Formulas!AG141</f>
        <v>0</v>
      </c>
    </row>
    <row r="146" spans="1:7">
      <c r="A146" s="6">
        <f>Calc_Formulas!A142</f>
        <v>0</v>
      </c>
      <c r="B146" s="7">
        <f>Calc_Formulas!AH142</f>
        <v>0</v>
      </c>
      <c r="C146" s="7">
        <f>Calc_Formulas!AI142</f>
        <v>0</v>
      </c>
      <c r="D146" s="7">
        <f>Calc_Formulas!AJ142</f>
        <v>0</v>
      </c>
      <c r="E146" s="6">
        <f>Calc_Formulas!AE142</f>
        <v>0</v>
      </c>
      <c r="F146" s="6">
        <f>Calc_Formulas!AF142</f>
        <v>0</v>
      </c>
      <c r="G146" s="6">
        <f>Calc_Formulas!AG142</f>
        <v>0</v>
      </c>
    </row>
    <row r="147" spans="1:7">
      <c r="A147" s="6">
        <f>Calc_Formulas!A143</f>
        <v>0</v>
      </c>
      <c r="B147" s="7">
        <f>Calc_Formulas!AH143</f>
        <v>0</v>
      </c>
      <c r="C147" s="7">
        <f>Calc_Formulas!AI143</f>
        <v>0</v>
      </c>
      <c r="D147" s="7">
        <f>Calc_Formulas!AJ143</f>
        <v>0</v>
      </c>
      <c r="E147" s="6">
        <f>Calc_Formulas!AE143</f>
        <v>0</v>
      </c>
      <c r="F147" s="6">
        <f>Calc_Formulas!AF143</f>
        <v>0</v>
      </c>
      <c r="G147" s="6">
        <f>Calc_Formulas!AG143</f>
        <v>0</v>
      </c>
    </row>
    <row r="148" spans="1:7">
      <c r="A148" s="6">
        <f>Calc_Formulas!A144</f>
        <v>0</v>
      </c>
      <c r="B148" s="7">
        <f>Calc_Formulas!AH144</f>
        <v>0</v>
      </c>
      <c r="C148" s="7">
        <f>Calc_Formulas!AI144</f>
        <v>0</v>
      </c>
      <c r="D148" s="7">
        <f>Calc_Formulas!AJ144</f>
        <v>0</v>
      </c>
      <c r="E148" s="6">
        <f>Calc_Formulas!AE144</f>
        <v>0</v>
      </c>
      <c r="F148" s="6">
        <f>Calc_Formulas!AF144</f>
        <v>0</v>
      </c>
      <c r="G148" s="6">
        <f>Calc_Formulas!AG144</f>
        <v>0</v>
      </c>
    </row>
    <row r="149" spans="1:7">
      <c r="A149" s="6">
        <f>Calc_Formulas!A145</f>
        <v>0</v>
      </c>
      <c r="B149" s="7">
        <f>Calc_Formulas!AH145</f>
        <v>0</v>
      </c>
      <c r="C149" s="7">
        <f>Calc_Formulas!AI145</f>
        <v>0</v>
      </c>
      <c r="D149" s="7">
        <f>Calc_Formulas!AJ145</f>
        <v>0</v>
      </c>
      <c r="E149" s="6">
        <f>Calc_Formulas!AE145</f>
        <v>0</v>
      </c>
      <c r="F149" s="6">
        <f>Calc_Formulas!AF145</f>
        <v>0</v>
      </c>
      <c r="G149" s="6">
        <f>Calc_Formulas!AG145</f>
        <v>0</v>
      </c>
    </row>
    <row r="150" spans="1:7">
      <c r="A150" s="6">
        <f>Calc_Formulas!A146</f>
        <v>0</v>
      </c>
      <c r="B150" s="7">
        <f>Calc_Formulas!AH146</f>
        <v>0</v>
      </c>
      <c r="C150" s="7">
        <f>Calc_Formulas!AI146</f>
        <v>0</v>
      </c>
      <c r="D150" s="7">
        <f>Calc_Formulas!AJ146</f>
        <v>0</v>
      </c>
      <c r="E150" s="6">
        <f>Calc_Formulas!AE146</f>
        <v>0</v>
      </c>
      <c r="F150" s="6">
        <f>Calc_Formulas!AF146</f>
        <v>0</v>
      </c>
      <c r="G150" s="6">
        <f>Calc_Formulas!AG146</f>
        <v>0</v>
      </c>
    </row>
    <row r="151" spans="1:7">
      <c r="A151" s="6">
        <f>Calc_Formulas!A147</f>
        <v>0</v>
      </c>
      <c r="B151" s="7">
        <f>Calc_Formulas!AH147</f>
        <v>0</v>
      </c>
      <c r="C151" s="7">
        <f>Calc_Formulas!AI147</f>
        <v>0</v>
      </c>
      <c r="D151" s="7">
        <f>Calc_Formulas!AJ147</f>
        <v>0</v>
      </c>
      <c r="E151" s="6">
        <f>Calc_Formulas!AE147</f>
        <v>0</v>
      </c>
      <c r="F151" s="6">
        <f>Calc_Formulas!AF147</f>
        <v>0</v>
      </c>
      <c r="G151" s="6">
        <f>Calc_Formulas!AG147</f>
        <v>0</v>
      </c>
    </row>
    <row r="152" spans="1:7">
      <c r="A152" s="6">
        <f>Calc_Formulas!A148</f>
        <v>0</v>
      </c>
      <c r="B152" s="7">
        <f>Calc_Formulas!AH148</f>
        <v>0</v>
      </c>
      <c r="C152" s="7">
        <f>Calc_Formulas!AI148</f>
        <v>0</v>
      </c>
      <c r="D152" s="7">
        <f>Calc_Formulas!AJ148</f>
        <v>0</v>
      </c>
      <c r="E152" s="6">
        <f>Calc_Formulas!AE148</f>
        <v>0</v>
      </c>
      <c r="F152" s="6">
        <f>Calc_Formulas!AF148</f>
        <v>0</v>
      </c>
      <c r="G152" s="6">
        <f>Calc_Formulas!AG148</f>
        <v>0</v>
      </c>
    </row>
    <row r="153" spans="1:7">
      <c r="A153" s="6">
        <f>Calc_Formulas!A149</f>
        <v>0</v>
      </c>
      <c r="B153" s="7">
        <f>Calc_Formulas!AH149</f>
        <v>0</v>
      </c>
      <c r="C153" s="7">
        <f>Calc_Formulas!AI149</f>
        <v>0</v>
      </c>
      <c r="D153" s="7">
        <f>Calc_Formulas!AJ149</f>
        <v>0</v>
      </c>
      <c r="E153" s="6">
        <f>Calc_Formulas!AE149</f>
        <v>0</v>
      </c>
      <c r="F153" s="6">
        <f>Calc_Formulas!AF149</f>
        <v>0</v>
      </c>
      <c r="G153" s="6">
        <f>Calc_Formulas!AG149</f>
        <v>0</v>
      </c>
    </row>
    <row r="154" spans="1:7">
      <c r="A154" s="6">
        <f>Calc_Formulas!A150</f>
        <v>0</v>
      </c>
      <c r="B154" s="7">
        <f>Calc_Formulas!AH150</f>
        <v>0</v>
      </c>
      <c r="C154" s="7">
        <f>Calc_Formulas!AI150</f>
        <v>0</v>
      </c>
      <c r="D154" s="7">
        <f>Calc_Formulas!AJ150</f>
        <v>0</v>
      </c>
      <c r="E154" s="6">
        <f>Calc_Formulas!AE150</f>
        <v>0</v>
      </c>
      <c r="F154" s="6">
        <f>Calc_Formulas!AF150</f>
        <v>0</v>
      </c>
      <c r="G154" s="6">
        <f>Calc_Formulas!AG150</f>
        <v>0</v>
      </c>
    </row>
    <row r="155" spans="1:7">
      <c r="A155" s="6">
        <f>Calc_Formulas!A151</f>
        <v>0</v>
      </c>
      <c r="B155" s="7">
        <f>Calc_Formulas!AH151</f>
        <v>0</v>
      </c>
      <c r="C155" s="7">
        <f>Calc_Formulas!AI151</f>
        <v>0</v>
      </c>
      <c r="D155" s="7">
        <f>Calc_Formulas!AJ151</f>
        <v>0</v>
      </c>
      <c r="E155" s="6">
        <f>Calc_Formulas!AE151</f>
        <v>0</v>
      </c>
      <c r="F155" s="6">
        <f>Calc_Formulas!AF151</f>
        <v>0</v>
      </c>
      <c r="G155" s="6">
        <f>Calc_Formulas!AG151</f>
        <v>0</v>
      </c>
    </row>
    <row r="156" spans="1:7">
      <c r="A156" s="6">
        <f>Calc_Formulas!A152</f>
        <v>0</v>
      </c>
      <c r="B156" s="7">
        <f>Calc_Formulas!AH152</f>
        <v>0</v>
      </c>
      <c r="C156" s="7">
        <f>Calc_Formulas!AI152</f>
        <v>0</v>
      </c>
      <c r="D156" s="7">
        <f>Calc_Formulas!AJ152</f>
        <v>0</v>
      </c>
      <c r="E156" s="6">
        <f>Calc_Formulas!AE152</f>
        <v>0</v>
      </c>
      <c r="F156" s="6">
        <f>Calc_Formulas!AF152</f>
        <v>0</v>
      </c>
      <c r="G156" s="6">
        <f>Calc_Formulas!AG152</f>
        <v>0</v>
      </c>
    </row>
    <row r="157" spans="1:7">
      <c r="A157" s="6">
        <f>Calc_Formulas!A153</f>
        <v>0</v>
      </c>
      <c r="B157" s="7">
        <f>Calc_Formulas!AH153</f>
        <v>0</v>
      </c>
      <c r="C157" s="7">
        <f>Calc_Formulas!AI153</f>
        <v>0</v>
      </c>
      <c r="D157" s="7">
        <f>Calc_Formulas!AJ153</f>
        <v>0</v>
      </c>
      <c r="E157" s="6">
        <f>Calc_Formulas!AE153</f>
        <v>0</v>
      </c>
      <c r="F157" s="6">
        <f>Calc_Formulas!AF153</f>
        <v>0</v>
      </c>
      <c r="G157" s="6">
        <f>Calc_Formulas!AG153</f>
        <v>0</v>
      </c>
    </row>
    <row r="158" spans="1:7">
      <c r="A158" s="6">
        <f>Calc_Formulas!A154</f>
        <v>0</v>
      </c>
      <c r="B158" s="7">
        <f>Calc_Formulas!AH154</f>
        <v>0</v>
      </c>
      <c r="C158" s="7">
        <f>Calc_Formulas!AI154</f>
        <v>0</v>
      </c>
      <c r="D158" s="7">
        <f>Calc_Formulas!AJ154</f>
        <v>0</v>
      </c>
      <c r="E158" s="6">
        <f>Calc_Formulas!AE154</f>
        <v>0</v>
      </c>
      <c r="F158" s="6">
        <f>Calc_Formulas!AF154</f>
        <v>0</v>
      </c>
      <c r="G158" s="6">
        <f>Calc_Formulas!AG154</f>
        <v>0</v>
      </c>
    </row>
    <row r="159" spans="1:7">
      <c r="A159" s="6">
        <f>Calc_Formulas!A155</f>
        <v>0</v>
      </c>
      <c r="B159" s="7">
        <f>Calc_Formulas!AH155</f>
        <v>0</v>
      </c>
      <c r="C159" s="7">
        <f>Calc_Formulas!AI155</f>
        <v>0</v>
      </c>
      <c r="D159" s="7">
        <f>Calc_Formulas!AJ155</f>
        <v>0</v>
      </c>
      <c r="E159" s="6">
        <f>Calc_Formulas!AE155</f>
        <v>0</v>
      </c>
      <c r="F159" s="6">
        <f>Calc_Formulas!AF155</f>
        <v>0</v>
      </c>
      <c r="G159" s="6">
        <f>Calc_Formulas!AG155</f>
        <v>0</v>
      </c>
    </row>
    <row r="160" spans="1:7">
      <c r="A160" s="6">
        <f>Calc_Formulas!A156</f>
        <v>0</v>
      </c>
      <c r="B160" s="7">
        <f>Calc_Formulas!AH156</f>
        <v>0</v>
      </c>
      <c r="C160" s="7">
        <f>Calc_Formulas!AI156</f>
        <v>0</v>
      </c>
      <c r="D160" s="7">
        <f>Calc_Formulas!AJ156</f>
        <v>0</v>
      </c>
      <c r="E160" s="6">
        <f>Calc_Formulas!AE156</f>
        <v>0</v>
      </c>
      <c r="F160" s="6">
        <f>Calc_Formulas!AF156</f>
        <v>0</v>
      </c>
      <c r="G160" s="6">
        <f>Calc_Formulas!AG156</f>
        <v>0</v>
      </c>
    </row>
    <row r="161" spans="1:7">
      <c r="A161" s="6">
        <f>Calc_Formulas!A157</f>
        <v>0</v>
      </c>
      <c r="B161" s="7">
        <f>Calc_Formulas!AH157</f>
        <v>0</v>
      </c>
      <c r="C161" s="7">
        <f>Calc_Formulas!AI157</f>
        <v>0</v>
      </c>
      <c r="D161" s="7">
        <f>Calc_Formulas!AJ157</f>
        <v>0</v>
      </c>
      <c r="E161" s="6">
        <f>Calc_Formulas!AE157</f>
        <v>0</v>
      </c>
      <c r="F161" s="6">
        <f>Calc_Formulas!AF157</f>
        <v>0</v>
      </c>
      <c r="G161" s="6">
        <f>Calc_Formulas!AG157</f>
        <v>0</v>
      </c>
    </row>
    <row r="162" spans="1:7">
      <c r="A162" s="6">
        <f>Calc_Formulas!A158</f>
        <v>0</v>
      </c>
      <c r="B162" s="7">
        <f>Calc_Formulas!AH158</f>
        <v>0</v>
      </c>
      <c r="C162" s="7">
        <f>Calc_Formulas!AI158</f>
        <v>0</v>
      </c>
      <c r="D162" s="7">
        <f>Calc_Formulas!AJ158</f>
        <v>0</v>
      </c>
      <c r="E162" s="6">
        <f>Calc_Formulas!AE158</f>
        <v>0</v>
      </c>
      <c r="F162" s="6">
        <f>Calc_Formulas!AF158</f>
        <v>0</v>
      </c>
      <c r="G162" s="6">
        <f>Calc_Formulas!AG158</f>
        <v>0</v>
      </c>
    </row>
    <row r="163" spans="1:7">
      <c r="A163" s="6">
        <f>Calc_Formulas!A159</f>
        <v>0</v>
      </c>
      <c r="B163" s="7">
        <f>Calc_Formulas!AH159</f>
        <v>0</v>
      </c>
      <c r="C163" s="7">
        <f>Calc_Formulas!AI159</f>
        <v>0</v>
      </c>
      <c r="D163" s="7">
        <f>Calc_Formulas!AJ159</f>
        <v>0</v>
      </c>
      <c r="E163" s="6">
        <f>Calc_Formulas!AE159</f>
        <v>0</v>
      </c>
      <c r="F163" s="6">
        <f>Calc_Formulas!AF159</f>
        <v>0</v>
      </c>
      <c r="G163" s="6">
        <f>Calc_Formulas!AG159</f>
        <v>0</v>
      </c>
    </row>
    <row r="164" spans="1:7">
      <c r="A164" s="6">
        <f>Calc_Formulas!A160</f>
        <v>0</v>
      </c>
      <c r="B164" s="7">
        <f>Calc_Formulas!AH160</f>
        <v>0</v>
      </c>
      <c r="C164" s="7">
        <f>Calc_Formulas!AI160</f>
        <v>0</v>
      </c>
      <c r="D164" s="7">
        <f>Calc_Formulas!AJ160</f>
        <v>0</v>
      </c>
      <c r="E164" s="6">
        <f>Calc_Formulas!AE160</f>
        <v>0</v>
      </c>
      <c r="F164" s="6">
        <f>Calc_Formulas!AF160</f>
        <v>0</v>
      </c>
      <c r="G164" s="6">
        <f>Calc_Formulas!AG160</f>
        <v>0</v>
      </c>
    </row>
    <row r="165" spans="1:7">
      <c r="A165" s="6">
        <f>Calc_Formulas!A161</f>
        <v>0</v>
      </c>
      <c r="B165" s="7">
        <f>Calc_Formulas!AH161</f>
        <v>0</v>
      </c>
      <c r="C165" s="7">
        <f>Calc_Formulas!AI161</f>
        <v>0</v>
      </c>
      <c r="D165" s="7">
        <f>Calc_Formulas!AJ161</f>
        <v>0</v>
      </c>
      <c r="E165" s="6">
        <f>Calc_Formulas!AE161</f>
        <v>0</v>
      </c>
      <c r="F165" s="6">
        <f>Calc_Formulas!AF161</f>
        <v>0</v>
      </c>
      <c r="G165" s="6">
        <f>Calc_Formulas!AG161</f>
        <v>0</v>
      </c>
    </row>
    <row r="166" spans="1:7">
      <c r="A166" s="6">
        <f>Calc_Formulas!A162</f>
        <v>0</v>
      </c>
      <c r="B166" s="7">
        <f>Calc_Formulas!AH162</f>
        <v>0</v>
      </c>
      <c r="C166" s="7">
        <f>Calc_Formulas!AI162</f>
        <v>0</v>
      </c>
      <c r="D166" s="7">
        <f>Calc_Formulas!AJ162</f>
        <v>0</v>
      </c>
      <c r="E166" s="6">
        <f>Calc_Formulas!AE162</f>
        <v>0</v>
      </c>
      <c r="F166" s="6">
        <f>Calc_Formulas!AF162</f>
        <v>0</v>
      </c>
      <c r="G166" s="6">
        <f>Calc_Formulas!AG162</f>
        <v>0</v>
      </c>
    </row>
    <row r="167" spans="1:7">
      <c r="A167" s="6">
        <f>Calc_Formulas!A163</f>
        <v>0</v>
      </c>
      <c r="B167" s="7">
        <f>Calc_Formulas!AH163</f>
        <v>0</v>
      </c>
      <c r="C167" s="7">
        <f>Calc_Formulas!AI163</f>
        <v>0</v>
      </c>
      <c r="D167" s="7">
        <f>Calc_Formulas!AJ163</f>
        <v>0</v>
      </c>
      <c r="E167" s="6">
        <f>Calc_Formulas!AE163</f>
        <v>0</v>
      </c>
      <c r="F167" s="6">
        <f>Calc_Formulas!AF163</f>
        <v>0</v>
      </c>
      <c r="G167" s="6">
        <f>Calc_Formulas!AG163</f>
        <v>0</v>
      </c>
    </row>
    <row r="168" spans="1:7">
      <c r="A168" s="6">
        <f>Calc_Formulas!A164</f>
        <v>0</v>
      </c>
      <c r="B168" s="7">
        <f>Calc_Formulas!AH164</f>
        <v>0</v>
      </c>
      <c r="C168" s="7">
        <f>Calc_Formulas!AI164</f>
        <v>0</v>
      </c>
      <c r="D168" s="7">
        <f>Calc_Formulas!AJ164</f>
        <v>0</v>
      </c>
      <c r="E168" s="6">
        <f>Calc_Formulas!AE164</f>
        <v>0</v>
      </c>
      <c r="F168" s="6">
        <f>Calc_Formulas!AF164</f>
        <v>0</v>
      </c>
      <c r="G168" s="6">
        <f>Calc_Formulas!AG164</f>
        <v>0</v>
      </c>
    </row>
    <row r="169" spans="1:7">
      <c r="A169" s="6">
        <f>Calc_Formulas!A165</f>
        <v>0</v>
      </c>
      <c r="B169" s="7">
        <f>Calc_Formulas!AH165</f>
        <v>0</v>
      </c>
      <c r="C169" s="7">
        <f>Calc_Formulas!AI165</f>
        <v>0</v>
      </c>
      <c r="D169" s="7">
        <f>Calc_Formulas!AJ165</f>
        <v>0</v>
      </c>
      <c r="E169" s="6">
        <f>Calc_Formulas!AE165</f>
        <v>0</v>
      </c>
      <c r="F169" s="6">
        <f>Calc_Formulas!AF165</f>
        <v>0</v>
      </c>
      <c r="G169" s="6">
        <f>Calc_Formulas!AG165</f>
        <v>0</v>
      </c>
    </row>
    <row r="170" spans="1:7">
      <c r="A170" s="6">
        <f>Calc_Formulas!A166</f>
        <v>0</v>
      </c>
      <c r="B170" s="7">
        <f>Calc_Formulas!AH166</f>
        <v>0</v>
      </c>
      <c r="C170" s="7">
        <f>Calc_Formulas!AI166</f>
        <v>0</v>
      </c>
      <c r="D170" s="7">
        <f>Calc_Formulas!AJ166</f>
        <v>0</v>
      </c>
      <c r="E170" s="6">
        <f>Calc_Formulas!AE166</f>
        <v>0</v>
      </c>
      <c r="F170" s="6">
        <f>Calc_Formulas!AF166</f>
        <v>0</v>
      </c>
      <c r="G170" s="6">
        <f>Calc_Formulas!AG166</f>
        <v>0</v>
      </c>
    </row>
    <row r="171" spans="1:7">
      <c r="A171" s="6">
        <f>Calc_Formulas!A167</f>
        <v>0</v>
      </c>
      <c r="B171" s="7">
        <f>Calc_Formulas!AH167</f>
        <v>0</v>
      </c>
      <c r="C171" s="7">
        <f>Calc_Formulas!AI167</f>
        <v>0</v>
      </c>
      <c r="D171" s="7">
        <f>Calc_Formulas!AJ167</f>
        <v>0</v>
      </c>
      <c r="E171" s="6">
        <f>Calc_Formulas!AE167</f>
        <v>0</v>
      </c>
      <c r="F171" s="6">
        <f>Calc_Formulas!AF167</f>
        <v>0</v>
      </c>
      <c r="G171" s="6">
        <f>Calc_Formulas!AG167</f>
        <v>0</v>
      </c>
    </row>
    <row r="172" spans="1:7">
      <c r="A172" s="6">
        <f>Calc_Formulas!A168</f>
        <v>0</v>
      </c>
      <c r="B172" s="7">
        <f>Calc_Formulas!AH168</f>
        <v>0</v>
      </c>
      <c r="C172" s="7">
        <f>Calc_Formulas!AI168</f>
        <v>0</v>
      </c>
      <c r="D172" s="7">
        <f>Calc_Formulas!AJ168</f>
        <v>0</v>
      </c>
      <c r="E172" s="6">
        <f>Calc_Formulas!AE168</f>
        <v>0</v>
      </c>
      <c r="F172" s="6">
        <f>Calc_Formulas!AF168</f>
        <v>0</v>
      </c>
      <c r="G172" s="6">
        <f>Calc_Formulas!AG168</f>
        <v>0</v>
      </c>
    </row>
    <row r="173" spans="1:7">
      <c r="A173" s="6">
        <f>Calc_Formulas!A169</f>
        <v>0</v>
      </c>
      <c r="B173" s="7">
        <f>Calc_Formulas!AH169</f>
        <v>0</v>
      </c>
      <c r="C173" s="7">
        <f>Calc_Formulas!AI169</f>
        <v>0</v>
      </c>
      <c r="D173" s="7">
        <f>Calc_Formulas!AJ169</f>
        <v>0</v>
      </c>
      <c r="E173" s="6">
        <f>Calc_Formulas!AE169</f>
        <v>0</v>
      </c>
      <c r="F173" s="6">
        <f>Calc_Formulas!AF169</f>
        <v>0</v>
      </c>
      <c r="G173" s="6">
        <f>Calc_Formulas!AG169</f>
        <v>0</v>
      </c>
    </row>
    <row r="174" spans="1:7">
      <c r="A174" s="6">
        <f>Calc_Formulas!A170</f>
        <v>0</v>
      </c>
      <c r="B174" s="7">
        <f>Calc_Formulas!AH170</f>
        <v>0</v>
      </c>
      <c r="C174" s="7">
        <f>Calc_Formulas!AI170</f>
        <v>0</v>
      </c>
      <c r="D174" s="7">
        <f>Calc_Formulas!AJ170</f>
        <v>0</v>
      </c>
      <c r="E174" s="6">
        <f>Calc_Formulas!AE170</f>
        <v>0</v>
      </c>
      <c r="F174" s="6">
        <f>Calc_Formulas!AF170</f>
        <v>0</v>
      </c>
      <c r="G174" s="6">
        <f>Calc_Formulas!AG170</f>
        <v>0</v>
      </c>
    </row>
    <row r="175" spans="1:7">
      <c r="A175" s="6">
        <f>Calc_Formulas!A171</f>
        <v>0</v>
      </c>
      <c r="B175" s="7">
        <f>Calc_Formulas!AH171</f>
        <v>0</v>
      </c>
      <c r="C175" s="7">
        <f>Calc_Formulas!AI171</f>
        <v>0</v>
      </c>
      <c r="D175" s="7">
        <f>Calc_Formulas!AJ171</f>
        <v>0</v>
      </c>
      <c r="E175" s="6">
        <f>Calc_Formulas!AE171</f>
        <v>0</v>
      </c>
      <c r="F175" s="6">
        <f>Calc_Formulas!AF171</f>
        <v>0</v>
      </c>
      <c r="G175" s="6">
        <f>Calc_Formulas!AG171</f>
        <v>0</v>
      </c>
    </row>
    <row r="176" spans="1:7">
      <c r="A176" s="6">
        <f>Calc_Formulas!A172</f>
        <v>0</v>
      </c>
      <c r="B176" s="7">
        <f>Calc_Formulas!AH172</f>
        <v>0</v>
      </c>
      <c r="C176" s="7">
        <f>Calc_Formulas!AI172</f>
        <v>0</v>
      </c>
      <c r="D176" s="7">
        <f>Calc_Formulas!AJ172</f>
        <v>0</v>
      </c>
      <c r="E176" s="6">
        <f>Calc_Formulas!AE172</f>
        <v>0</v>
      </c>
      <c r="F176" s="6">
        <f>Calc_Formulas!AF172</f>
        <v>0</v>
      </c>
      <c r="G176" s="6">
        <f>Calc_Formulas!AG172</f>
        <v>0</v>
      </c>
    </row>
    <row r="177" spans="1:7">
      <c r="A177" s="6">
        <f>Calc_Formulas!A173</f>
        <v>0</v>
      </c>
      <c r="B177" s="7">
        <f>Calc_Formulas!AH173</f>
        <v>0</v>
      </c>
      <c r="C177" s="7">
        <f>Calc_Formulas!AI173</f>
        <v>0</v>
      </c>
      <c r="D177" s="7">
        <f>Calc_Formulas!AJ173</f>
        <v>0</v>
      </c>
      <c r="E177" s="6">
        <f>Calc_Formulas!AE173</f>
        <v>0</v>
      </c>
      <c r="F177" s="6">
        <f>Calc_Formulas!AF173</f>
        <v>0</v>
      </c>
      <c r="G177" s="6">
        <f>Calc_Formulas!AG173</f>
        <v>0</v>
      </c>
    </row>
    <row r="178" spans="1:7">
      <c r="A178" s="6">
        <f>Calc_Formulas!A174</f>
        <v>0</v>
      </c>
      <c r="B178" s="7">
        <f>Calc_Formulas!AH174</f>
        <v>0</v>
      </c>
      <c r="C178" s="7">
        <f>Calc_Formulas!AI174</f>
        <v>0</v>
      </c>
      <c r="D178" s="7">
        <f>Calc_Formulas!AJ174</f>
        <v>0</v>
      </c>
      <c r="E178" s="6">
        <f>Calc_Formulas!AE174</f>
        <v>0</v>
      </c>
      <c r="F178" s="6">
        <f>Calc_Formulas!AF174</f>
        <v>0</v>
      </c>
      <c r="G178" s="6">
        <f>Calc_Formulas!AG174</f>
        <v>0</v>
      </c>
    </row>
    <row r="179" spans="1:7">
      <c r="A179" s="6">
        <f>Calc_Formulas!A175</f>
        <v>0</v>
      </c>
      <c r="B179" s="7">
        <f>Calc_Formulas!AH175</f>
        <v>0</v>
      </c>
      <c r="C179" s="7">
        <f>Calc_Formulas!AI175</f>
        <v>0</v>
      </c>
      <c r="D179" s="7">
        <f>Calc_Formulas!AJ175</f>
        <v>0</v>
      </c>
      <c r="E179" s="6">
        <f>Calc_Formulas!AE175</f>
        <v>0</v>
      </c>
      <c r="F179" s="6">
        <f>Calc_Formulas!AF175</f>
        <v>0</v>
      </c>
      <c r="G179" s="6">
        <f>Calc_Formulas!AG175</f>
        <v>0</v>
      </c>
    </row>
    <row r="180" spans="1:7">
      <c r="A180" s="6">
        <f>Calc_Formulas!A176</f>
        <v>0</v>
      </c>
      <c r="B180" s="7">
        <f>Calc_Formulas!AH176</f>
        <v>0</v>
      </c>
      <c r="C180" s="7">
        <f>Calc_Formulas!AI176</f>
        <v>0</v>
      </c>
      <c r="D180" s="7">
        <f>Calc_Formulas!AJ176</f>
        <v>0</v>
      </c>
      <c r="E180" s="6">
        <f>Calc_Formulas!AE176</f>
        <v>0</v>
      </c>
      <c r="F180" s="6">
        <f>Calc_Formulas!AF176</f>
        <v>0</v>
      </c>
      <c r="G180" s="6">
        <f>Calc_Formulas!AG176</f>
        <v>0</v>
      </c>
    </row>
    <row r="181" spans="1:7">
      <c r="A181" s="6">
        <f>Calc_Formulas!A177</f>
        <v>0</v>
      </c>
      <c r="B181" s="7">
        <f>Calc_Formulas!AH177</f>
        <v>0</v>
      </c>
      <c r="C181" s="7">
        <f>Calc_Formulas!AI177</f>
        <v>0</v>
      </c>
      <c r="D181" s="7">
        <f>Calc_Formulas!AJ177</f>
        <v>0</v>
      </c>
      <c r="E181" s="6">
        <f>Calc_Formulas!AE177</f>
        <v>0</v>
      </c>
      <c r="F181" s="6">
        <f>Calc_Formulas!AF177</f>
        <v>0</v>
      </c>
      <c r="G181" s="6">
        <f>Calc_Formulas!AG177</f>
        <v>0</v>
      </c>
    </row>
    <row r="182" spans="1:7">
      <c r="A182" s="6">
        <f>Calc_Formulas!A178</f>
        <v>0</v>
      </c>
      <c r="B182" s="7">
        <f>Calc_Formulas!AH178</f>
        <v>0</v>
      </c>
      <c r="C182" s="7">
        <f>Calc_Formulas!AI178</f>
        <v>0</v>
      </c>
      <c r="D182" s="7">
        <f>Calc_Formulas!AJ178</f>
        <v>0</v>
      </c>
      <c r="E182" s="6">
        <f>Calc_Formulas!AE178</f>
        <v>0</v>
      </c>
      <c r="F182" s="6">
        <f>Calc_Formulas!AF178</f>
        <v>0</v>
      </c>
      <c r="G182" s="6">
        <f>Calc_Formulas!AG178</f>
        <v>0</v>
      </c>
    </row>
    <row r="183" spans="1:7">
      <c r="A183" s="6">
        <f>Calc_Formulas!A179</f>
        <v>0</v>
      </c>
      <c r="B183" s="7">
        <f>Calc_Formulas!AH179</f>
        <v>0</v>
      </c>
      <c r="C183" s="7">
        <f>Calc_Formulas!AI179</f>
        <v>0</v>
      </c>
      <c r="D183" s="7">
        <f>Calc_Formulas!AJ179</f>
        <v>0</v>
      </c>
      <c r="E183" s="6">
        <f>Calc_Formulas!AE179</f>
        <v>0</v>
      </c>
      <c r="F183" s="6">
        <f>Calc_Formulas!AF179</f>
        <v>0</v>
      </c>
      <c r="G183" s="6">
        <f>Calc_Formulas!AG179</f>
        <v>0</v>
      </c>
    </row>
    <row r="184" spans="1:7">
      <c r="A184" s="6">
        <f>Calc_Formulas!A180</f>
        <v>0</v>
      </c>
      <c r="B184" s="7">
        <f>Calc_Formulas!AH180</f>
        <v>0</v>
      </c>
      <c r="C184" s="7">
        <f>Calc_Formulas!AI180</f>
        <v>0</v>
      </c>
      <c r="D184" s="7">
        <f>Calc_Formulas!AJ180</f>
        <v>0</v>
      </c>
      <c r="E184" s="6">
        <f>Calc_Formulas!AE180</f>
        <v>0</v>
      </c>
      <c r="F184" s="6">
        <f>Calc_Formulas!AF180</f>
        <v>0</v>
      </c>
      <c r="G184" s="6">
        <f>Calc_Formulas!AG180</f>
        <v>0</v>
      </c>
    </row>
    <row r="185" spans="1:7">
      <c r="A185" s="6">
        <f>Calc_Formulas!A181</f>
        <v>0</v>
      </c>
      <c r="B185" s="7">
        <f>Calc_Formulas!AH181</f>
        <v>0</v>
      </c>
      <c r="C185" s="7">
        <f>Calc_Formulas!AI181</f>
        <v>0</v>
      </c>
      <c r="D185" s="7">
        <f>Calc_Formulas!AJ181</f>
        <v>0</v>
      </c>
      <c r="E185" s="6">
        <f>Calc_Formulas!AE181</f>
        <v>0</v>
      </c>
      <c r="F185" s="6">
        <f>Calc_Formulas!AF181</f>
        <v>0</v>
      </c>
      <c r="G185" s="6">
        <f>Calc_Formulas!AG181</f>
        <v>0</v>
      </c>
    </row>
    <row r="186" spans="1:7">
      <c r="A186" s="6">
        <f>Calc_Formulas!A182</f>
        <v>0</v>
      </c>
      <c r="B186" s="7">
        <f>Calc_Formulas!AH182</f>
        <v>0</v>
      </c>
      <c r="C186" s="7">
        <f>Calc_Formulas!AI182</f>
        <v>0</v>
      </c>
      <c r="D186" s="7">
        <f>Calc_Formulas!AJ182</f>
        <v>0</v>
      </c>
      <c r="E186" s="6">
        <f>Calc_Formulas!AE182</f>
        <v>0</v>
      </c>
      <c r="F186" s="6">
        <f>Calc_Formulas!AF182</f>
        <v>0</v>
      </c>
      <c r="G186" s="6">
        <f>Calc_Formulas!AG182</f>
        <v>0</v>
      </c>
    </row>
    <row r="187" spans="1:7">
      <c r="A187" s="6">
        <f>Calc_Formulas!A183</f>
        <v>0</v>
      </c>
      <c r="B187" s="7">
        <f>Calc_Formulas!AH183</f>
        <v>0</v>
      </c>
      <c r="C187" s="7">
        <f>Calc_Formulas!AI183</f>
        <v>0</v>
      </c>
      <c r="D187" s="7">
        <f>Calc_Formulas!AJ183</f>
        <v>0</v>
      </c>
      <c r="E187" s="6">
        <f>Calc_Formulas!AE183</f>
        <v>0</v>
      </c>
      <c r="F187" s="6">
        <f>Calc_Formulas!AF183</f>
        <v>0</v>
      </c>
      <c r="G187" s="6">
        <f>Calc_Formulas!AG183</f>
        <v>0</v>
      </c>
    </row>
    <row r="188" spans="1:7">
      <c r="A188" s="6">
        <f>Calc_Formulas!A184</f>
        <v>0</v>
      </c>
      <c r="B188" s="7">
        <f>Calc_Formulas!AH184</f>
        <v>0</v>
      </c>
      <c r="C188" s="7">
        <f>Calc_Formulas!AI184</f>
        <v>0</v>
      </c>
      <c r="D188" s="7">
        <f>Calc_Formulas!AJ184</f>
        <v>0</v>
      </c>
      <c r="E188" s="6">
        <f>Calc_Formulas!AE184</f>
        <v>0</v>
      </c>
      <c r="F188" s="6">
        <f>Calc_Formulas!AF184</f>
        <v>0</v>
      </c>
      <c r="G188" s="6">
        <f>Calc_Formulas!AG184</f>
        <v>0</v>
      </c>
    </row>
    <row r="189" spans="1:7">
      <c r="A189" s="6">
        <f>Calc_Formulas!A185</f>
        <v>0</v>
      </c>
      <c r="B189" s="7">
        <f>Calc_Formulas!AH185</f>
        <v>0</v>
      </c>
      <c r="C189" s="7">
        <f>Calc_Formulas!AI185</f>
        <v>0</v>
      </c>
      <c r="D189" s="7">
        <f>Calc_Formulas!AJ185</f>
        <v>0</v>
      </c>
      <c r="E189" s="6">
        <f>Calc_Formulas!AE185</f>
        <v>0</v>
      </c>
      <c r="F189" s="6">
        <f>Calc_Formulas!AF185</f>
        <v>0</v>
      </c>
      <c r="G189" s="6">
        <f>Calc_Formulas!AG185</f>
        <v>0</v>
      </c>
    </row>
    <row r="190" spans="1:7">
      <c r="A190" s="6">
        <f>Calc_Formulas!A186</f>
        <v>0</v>
      </c>
      <c r="B190" s="7">
        <f>Calc_Formulas!AH186</f>
        <v>0</v>
      </c>
      <c r="C190" s="7">
        <f>Calc_Formulas!AI186</f>
        <v>0</v>
      </c>
      <c r="D190" s="7">
        <f>Calc_Formulas!AJ186</f>
        <v>0</v>
      </c>
      <c r="E190" s="6">
        <f>Calc_Formulas!AE186</f>
        <v>0</v>
      </c>
      <c r="F190" s="6">
        <f>Calc_Formulas!AF186</f>
        <v>0</v>
      </c>
      <c r="G190" s="6">
        <f>Calc_Formulas!AG186</f>
        <v>0</v>
      </c>
    </row>
    <row r="191" spans="1:7">
      <c r="A191" s="6">
        <f>Calc_Formulas!A187</f>
        <v>0</v>
      </c>
      <c r="B191" s="7">
        <f>Calc_Formulas!AH187</f>
        <v>0</v>
      </c>
      <c r="C191" s="7">
        <f>Calc_Formulas!AI187</f>
        <v>0</v>
      </c>
      <c r="D191" s="7">
        <f>Calc_Formulas!AJ187</f>
        <v>0</v>
      </c>
      <c r="E191" s="6">
        <f>Calc_Formulas!AE187</f>
        <v>0</v>
      </c>
      <c r="F191" s="6">
        <f>Calc_Formulas!AF187</f>
        <v>0</v>
      </c>
      <c r="G191" s="6">
        <f>Calc_Formulas!AG187</f>
        <v>0</v>
      </c>
    </row>
    <row r="192" spans="1:7">
      <c r="A192" s="6">
        <f>Calc_Formulas!A188</f>
        <v>0</v>
      </c>
      <c r="B192" s="7">
        <f>Calc_Formulas!AH188</f>
        <v>0</v>
      </c>
      <c r="C192" s="7">
        <f>Calc_Formulas!AI188</f>
        <v>0</v>
      </c>
      <c r="D192" s="7">
        <f>Calc_Formulas!AJ188</f>
        <v>0</v>
      </c>
      <c r="E192" s="6">
        <f>Calc_Formulas!AE188</f>
        <v>0</v>
      </c>
      <c r="F192" s="6">
        <f>Calc_Formulas!AF188</f>
        <v>0</v>
      </c>
      <c r="G192" s="6">
        <f>Calc_Formulas!AG188</f>
        <v>0</v>
      </c>
    </row>
    <row r="193" spans="1:7">
      <c r="A193" s="6">
        <f>Calc_Formulas!A189</f>
        <v>0</v>
      </c>
      <c r="B193" s="7">
        <f>Calc_Formulas!AH189</f>
        <v>0</v>
      </c>
      <c r="C193" s="7">
        <f>Calc_Formulas!AI189</f>
        <v>0</v>
      </c>
      <c r="D193" s="7">
        <f>Calc_Formulas!AJ189</f>
        <v>0</v>
      </c>
      <c r="E193" s="6">
        <f>Calc_Formulas!AE189</f>
        <v>0</v>
      </c>
      <c r="F193" s="6">
        <f>Calc_Formulas!AF189</f>
        <v>0</v>
      </c>
      <c r="G193" s="6">
        <f>Calc_Formulas!AG189</f>
        <v>0</v>
      </c>
    </row>
    <row r="194" spans="1:7">
      <c r="A194" s="6">
        <f>Calc_Formulas!A190</f>
        <v>0</v>
      </c>
      <c r="B194" s="7">
        <f>Calc_Formulas!AH190</f>
        <v>0</v>
      </c>
      <c r="C194" s="7">
        <f>Calc_Formulas!AI190</f>
        <v>0</v>
      </c>
      <c r="D194" s="7">
        <f>Calc_Formulas!AJ190</f>
        <v>0</v>
      </c>
      <c r="E194" s="6">
        <f>Calc_Formulas!AE190</f>
        <v>0</v>
      </c>
      <c r="F194" s="6">
        <f>Calc_Formulas!AF190</f>
        <v>0</v>
      </c>
      <c r="G194" s="6">
        <f>Calc_Formulas!AG190</f>
        <v>0</v>
      </c>
    </row>
    <row r="195" spans="1:7">
      <c r="A195" s="6">
        <f>Calc_Formulas!A191</f>
        <v>0</v>
      </c>
      <c r="B195" s="7">
        <f>Calc_Formulas!AH191</f>
        <v>0</v>
      </c>
      <c r="C195" s="7">
        <f>Calc_Formulas!AI191</f>
        <v>0</v>
      </c>
      <c r="D195" s="7">
        <f>Calc_Formulas!AJ191</f>
        <v>0</v>
      </c>
      <c r="E195" s="6">
        <f>Calc_Formulas!AE191</f>
        <v>0</v>
      </c>
      <c r="F195" s="6">
        <f>Calc_Formulas!AF191</f>
        <v>0</v>
      </c>
      <c r="G195" s="6">
        <f>Calc_Formulas!AG191</f>
        <v>0</v>
      </c>
    </row>
    <row r="196" spans="1:7">
      <c r="A196" s="6">
        <f>Calc_Formulas!A192</f>
        <v>0</v>
      </c>
      <c r="B196" s="7">
        <f>Calc_Formulas!AH192</f>
        <v>0</v>
      </c>
      <c r="C196" s="7">
        <f>Calc_Formulas!AI192</f>
        <v>0</v>
      </c>
      <c r="D196" s="7">
        <f>Calc_Formulas!AJ192</f>
        <v>0</v>
      </c>
      <c r="E196" s="6">
        <f>Calc_Formulas!AE192</f>
        <v>0</v>
      </c>
      <c r="F196" s="6">
        <f>Calc_Formulas!AF192</f>
        <v>0</v>
      </c>
      <c r="G196" s="6">
        <f>Calc_Formulas!AG192</f>
        <v>0</v>
      </c>
    </row>
    <row r="197" spans="1:7">
      <c r="A197" s="6">
        <f>Calc_Formulas!A193</f>
        <v>0</v>
      </c>
      <c r="B197" s="7">
        <f>Calc_Formulas!AH193</f>
        <v>0</v>
      </c>
      <c r="C197" s="7">
        <f>Calc_Formulas!AI193</f>
        <v>0</v>
      </c>
      <c r="D197" s="7">
        <f>Calc_Formulas!AJ193</f>
        <v>0</v>
      </c>
      <c r="E197" s="6">
        <f>Calc_Formulas!AE193</f>
        <v>0</v>
      </c>
      <c r="F197" s="6">
        <f>Calc_Formulas!AF193</f>
        <v>0</v>
      </c>
      <c r="G197" s="6">
        <f>Calc_Formulas!AG193</f>
        <v>0</v>
      </c>
    </row>
    <row r="198" spans="1:7">
      <c r="A198" s="6">
        <f>Calc_Formulas!A194</f>
        <v>0</v>
      </c>
      <c r="B198" s="7">
        <f>Calc_Formulas!AH194</f>
        <v>0</v>
      </c>
      <c r="C198" s="7">
        <f>Calc_Formulas!AI194</f>
        <v>0</v>
      </c>
      <c r="D198" s="7">
        <f>Calc_Formulas!AJ194</f>
        <v>0</v>
      </c>
      <c r="E198" s="6">
        <f>Calc_Formulas!AE194</f>
        <v>0</v>
      </c>
      <c r="F198" s="6">
        <f>Calc_Formulas!AF194</f>
        <v>0</v>
      </c>
      <c r="G198" s="6">
        <f>Calc_Formulas!AG194</f>
        <v>0</v>
      </c>
    </row>
    <row r="199" spans="1:7">
      <c r="A199" s="6">
        <f>Calc_Formulas!A195</f>
        <v>0</v>
      </c>
      <c r="B199" s="7">
        <f>Calc_Formulas!AH195</f>
        <v>0</v>
      </c>
      <c r="C199" s="7">
        <f>Calc_Formulas!AI195</f>
        <v>0</v>
      </c>
      <c r="D199" s="7">
        <f>Calc_Formulas!AJ195</f>
        <v>0</v>
      </c>
      <c r="E199" s="6">
        <f>Calc_Formulas!AE195</f>
        <v>0</v>
      </c>
      <c r="F199" s="6">
        <f>Calc_Formulas!AF195</f>
        <v>0</v>
      </c>
      <c r="G199" s="6">
        <f>Calc_Formulas!AG195</f>
        <v>0</v>
      </c>
    </row>
    <row r="200" spans="1:7">
      <c r="A200" s="6">
        <f>Calc_Formulas!A196</f>
        <v>0</v>
      </c>
      <c r="B200" s="7">
        <f>Calc_Formulas!AH196</f>
        <v>0</v>
      </c>
      <c r="C200" s="7">
        <f>Calc_Formulas!AI196</f>
        <v>0</v>
      </c>
      <c r="D200" s="7">
        <f>Calc_Formulas!AJ196</f>
        <v>0</v>
      </c>
      <c r="E200" s="6">
        <f>Calc_Formulas!AE196</f>
        <v>0</v>
      </c>
      <c r="F200" s="6">
        <f>Calc_Formulas!AF196</f>
        <v>0</v>
      </c>
      <c r="G200" s="6">
        <f>Calc_Formulas!AG196</f>
        <v>0</v>
      </c>
    </row>
    <row r="201" spans="1:7">
      <c r="A201" s="6">
        <f>Calc_Formulas!A197</f>
        <v>0</v>
      </c>
      <c r="B201" s="7">
        <f>Calc_Formulas!AH197</f>
        <v>0</v>
      </c>
      <c r="C201" s="7">
        <f>Calc_Formulas!AI197</f>
        <v>0</v>
      </c>
      <c r="D201" s="7">
        <f>Calc_Formulas!AJ197</f>
        <v>0</v>
      </c>
      <c r="E201" s="6">
        <f>Calc_Formulas!AE197</f>
        <v>0</v>
      </c>
      <c r="F201" s="6">
        <f>Calc_Formulas!AF197</f>
        <v>0</v>
      </c>
      <c r="G201" s="6">
        <f>Calc_Formulas!AG197</f>
        <v>0</v>
      </c>
    </row>
    <row r="202" spans="1:7">
      <c r="A202" s="6">
        <f>Calc_Formulas!A198</f>
        <v>0</v>
      </c>
      <c r="B202" s="7">
        <f>Calc_Formulas!AH198</f>
        <v>0</v>
      </c>
      <c r="C202" s="7">
        <f>Calc_Formulas!AI198</f>
        <v>0</v>
      </c>
      <c r="D202" s="7">
        <f>Calc_Formulas!AJ198</f>
        <v>0</v>
      </c>
      <c r="E202" s="6">
        <f>Calc_Formulas!AE198</f>
        <v>0</v>
      </c>
      <c r="F202" s="6">
        <f>Calc_Formulas!AF198</f>
        <v>0</v>
      </c>
      <c r="G202" s="6">
        <f>Calc_Formulas!AG198</f>
        <v>0</v>
      </c>
    </row>
    <row r="203" spans="1:7">
      <c r="A203" s="6">
        <f>Calc_Formulas!A199</f>
        <v>0</v>
      </c>
      <c r="B203" s="7">
        <f>Calc_Formulas!AH199</f>
        <v>0</v>
      </c>
      <c r="C203" s="7">
        <f>Calc_Formulas!AI199</f>
        <v>0</v>
      </c>
      <c r="D203" s="7">
        <f>Calc_Formulas!AJ199</f>
        <v>0</v>
      </c>
      <c r="E203" s="6">
        <f>Calc_Formulas!AE199</f>
        <v>0</v>
      </c>
      <c r="F203" s="6">
        <f>Calc_Formulas!AF199</f>
        <v>0</v>
      </c>
      <c r="G203" s="6">
        <f>Calc_Formulas!AG199</f>
        <v>0</v>
      </c>
    </row>
    <row r="204" spans="1:7">
      <c r="A204" s="6">
        <f>Calc_Formulas!A200</f>
        <v>0</v>
      </c>
      <c r="B204" s="7">
        <f>Calc_Formulas!AH200</f>
        <v>0</v>
      </c>
      <c r="C204" s="7">
        <f>Calc_Formulas!AI200</f>
        <v>0</v>
      </c>
      <c r="D204" s="7">
        <f>Calc_Formulas!AJ200</f>
        <v>0</v>
      </c>
      <c r="E204" s="6">
        <f>Calc_Formulas!AE200</f>
        <v>0</v>
      </c>
      <c r="F204" s="6">
        <f>Calc_Formulas!AF200</f>
        <v>0</v>
      </c>
      <c r="G204" s="6">
        <f>Calc_Formulas!AG200</f>
        <v>0</v>
      </c>
    </row>
    <row r="205" spans="1:7">
      <c r="A205" s="6">
        <f>Calc_Formulas!A201</f>
        <v>0</v>
      </c>
      <c r="B205" s="7">
        <f>Calc_Formulas!AH201</f>
        <v>0</v>
      </c>
      <c r="C205" s="7">
        <f>Calc_Formulas!AI201</f>
        <v>0</v>
      </c>
      <c r="D205" s="7">
        <f>Calc_Formulas!AJ201</f>
        <v>0</v>
      </c>
      <c r="E205" s="6">
        <f>Calc_Formulas!AE201</f>
        <v>0</v>
      </c>
      <c r="F205" s="6">
        <f>Calc_Formulas!AF201</f>
        <v>0</v>
      </c>
      <c r="G205" s="6">
        <f>Calc_Formulas!AG201</f>
        <v>0</v>
      </c>
    </row>
    <row r="206" spans="1:7">
      <c r="A206" s="6">
        <f>Calc_Formulas!A202</f>
        <v>0</v>
      </c>
      <c r="B206" s="7">
        <f>Calc_Formulas!AH202</f>
        <v>0</v>
      </c>
      <c r="C206" s="7">
        <f>Calc_Formulas!AI202</f>
        <v>0</v>
      </c>
      <c r="D206" s="7">
        <f>Calc_Formulas!AJ202</f>
        <v>0</v>
      </c>
      <c r="E206" s="6">
        <f>Calc_Formulas!AE202</f>
        <v>0</v>
      </c>
      <c r="F206" s="6">
        <f>Calc_Formulas!AF202</f>
        <v>0</v>
      </c>
      <c r="G206" s="6">
        <f>Calc_Formulas!AG202</f>
        <v>0</v>
      </c>
    </row>
    <row r="207" spans="1:7">
      <c r="A207" s="6">
        <f>Calc_Formulas!A203</f>
        <v>0</v>
      </c>
      <c r="B207" s="7">
        <f>Calc_Formulas!AH203</f>
        <v>0</v>
      </c>
      <c r="C207" s="7">
        <f>Calc_Formulas!AI203</f>
        <v>0</v>
      </c>
      <c r="D207" s="7">
        <f>Calc_Formulas!AJ203</f>
        <v>0</v>
      </c>
      <c r="E207" s="6">
        <f>Calc_Formulas!AE203</f>
        <v>0</v>
      </c>
      <c r="F207" s="6">
        <f>Calc_Formulas!AF203</f>
        <v>0</v>
      </c>
      <c r="G207" s="6">
        <f>Calc_Formulas!AG203</f>
        <v>0</v>
      </c>
    </row>
    <row r="208" spans="1:7">
      <c r="A208" s="6">
        <f>Calc_Formulas!A204</f>
        <v>0</v>
      </c>
      <c r="B208" s="7">
        <f>Calc_Formulas!AH204</f>
        <v>0</v>
      </c>
      <c r="C208" s="7">
        <f>Calc_Formulas!AI204</f>
        <v>0</v>
      </c>
      <c r="D208" s="7">
        <f>Calc_Formulas!AJ204</f>
        <v>0</v>
      </c>
      <c r="E208" s="6">
        <f>Calc_Formulas!AE204</f>
        <v>0</v>
      </c>
      <c r="F208" s="6">
        <f>Calc_Formulas!AF204</f>
        <v>0</v>
      </c>
      <c r="G208" s="6">
        <f>Calc_Formulas!AG204</f>
        <v>0</v>
      </c>
    </row>
    <row r="209" spans="1:7">
      <c r="A209" s="6">
        <f>Calc_Formulas!A205</f>
        <v>0</v>
      </c>
      <c r="B209" s="7">
        <f>Calc_Formulas!AH205</f>
        <v>0</v>
      </c>
      <c r="C209" s="7">
        <f>Calc_Formulas!AI205</f>
        <v>0</v>
      </c>
      <c r="D209" s="7">
        <f>Calc_Formulas!AJ205</f>
        <v>0</v>
      </c>
      <c r="E209" s="6">
        <f>Calc_Formulas!AE205</f>
        <v>0</v>
      </c>
      <c r="F209" s="6">
        <f>Calc_Formulas!AF205</f>
        <v>0</v>
      </c>
      <c r="G209" s="6">
        <f>Calc_Formulas!AG205</f>
        <v>0</v>
      </c>
    </row>
    <row r="210" spans="1:7">
      <c r="A210" s="6">
        <f>Calc_Formulas!A206</f>
        <v>0</v>
      </c>
      <c r="B210" s="7">
        <f>Calc_Formulas!AH206</f>
        <v>0</v>
      </c>
      <c r="C210" s="7">
        <f>Calc_Formulas!AI206</f>
        <v>0</v>
      </c>
      <c r="D210" s="7">
        <f>Calc_Formulas!AJ206</f>
        <v>0</v>
      </c>
      <c r="E210" s="6">
        <f>Calc_Formulas!AE206</f>
        <v>0</v>
      </c>
      <c r="F210" s="6">
        <f>Calc_Formulas!AF206</f>
        <v>0</v>
      </c>
      <c r="G210" s="6">
        <f>Calc_Formulas!AG206</f>
        <v>0</v>
      </c>
    </row>
    <row r="211" spans="1:7">
      <c r="A211" s="6">
        <f>Calc_Formulas!A207</f>
        <v>0</v>
      </c>
      <c r="B211" s="7">
        <f>Calc_Formulas!AH207</f>
        <v>0</v>
      </c>
      <c r="C211" s="7">
        <f>Calc_Formulas!AI207</f>
        <v>0</v>
      </c>
      <c r="D211" s="7">
        <f>Calc_Formulas!AJ207</f>
        <v>0</v>
      </c>
      <c r="E211" s="6">
        <f>Calc_Formulas!AE207</f>
        <v>0</v>
      </c>
      <c r="F211" s="6">
        <f>Calc_Formulas!AF207</f>
        <v>0</v>
      </c>
      <c r="G211" s="6">
        <f>Calc_Formulas!AG207</f>
        <v>0</v>
      </c>
    </row>
    <row r="212" spans="1:7">
      <c r="A212" s="6">
        <f>Calc_Formulas!A208</f>
        <v>0</v>
      </c>
      <c r="B212" s="7">
        <f>Calc_Formulas!AH208</f>
        <v>0</v>
      </c>
      <c r="C212" s="7">
        <f>Calc_Formulas!AI208</f>
        <v>0</v>
      </c>
      <c r="D212" s="7">
        <f>Calc_Formulas!AJ208</f>
        <v>0</v>
      </c>
      <c r="E212" s="6">
        <f>Calc_Formulas!AE208</f>
        <v>0</v>
      </c>
      <c r="F212" s="6">
        <f>Calc_Formulas!AF208</f>
        <v>0</v>
      </c>
      <c r="G212" s="6">
        <f>Calc_Formulas!AG208</f>
        <v>0</v>
      </c>
    </row>
    <row r="213" spans="1:7">
      <c r="A213" s="6">
        <f>Calc_Formulas!A209</f>
        <v>0</v>
      </c>
      <c r="B213" s="7">
        <f>Calc_Formulas!AH209</f>
        <v>0</v>
      </c>
      <c r="C213" s="7">
        <f>Calc_Formulas!AI209</f>
        <v>0</v>
      </c>
      <c r="D213" s="7">
        <f>Calc_Formulas!AJ209</f>
        <v>0</v>
      </c>
      <c r="E213" s="6">
        <f>Calc_Formulas!AE209</f>
        <v>0</v>
      </c>
      <c r="F213" s="6">
        <f>Calc_Formulas!AF209</f>
        <v>0</v>
      </c>
      <c r="G213" s="6">
        <f>Calc_Formulas!AG209</f>
        <v>0</v>
      </c>
    </row>
    <row r="214" spans="1:7">
      <c r="A214" s="6">
        <f>Calc_Formulas!A210</f>
        <v>0</v>
      </c>
      <c r="B214" s="7">
        <f>Calc_Formulas!AH210</f>
        <v>0</v>
      </c>
      <c r="C214" s="7">
        <f>Calc_Formulas!AI210</f>
        <v>0</v>
      </c>
      <c r="D214" s="7">
        <f>Calc_Formulas!AJ210</f>
        <v>0</v>
      </c>
      <c r="E214" s="6">
        <f>Calc_Formulas!AE210</f>
        <v>0</v>
      </c>
      <c r="F214" s="6">
        <f>Calc_Formulas!AF210</f>
        <v>0</v>
      </c>
      <c r="G214" s="6">
        <f>Calc_Formulas!AG210</f>
        <v>0</v>
      </c>
    </row>
    <row r="215" spans="1:7">
      <c r="A215" s="6">
        <f>Calc_Formulas!A211</f>
        <v>0</v>
      </c>
      <c r="B215" s="7">
        <f>Calc_Formulas!AH211</f>
        <v>0</v>
      </c>
      <c r="C215" s="7">
        <f>Calc_Formulas!AI211</f>
        <v>0</v>
      </c>
      <c r="D215" s="7">
        <f>Calc_Formulas!AJ211</f>
        <v>0</v>
      </c>
      <c r="E215" s="6">
        <f>Calc_Formulas!AE211</f>
        <v>0</v>
      </c>
      <c r="F215" s="6">
        <f>Calc_Formulas!AF211</f>
        <v>0</v>
      </c>
      <c r="G215" s="6">
        <f>Calc_Formulas!AG211</f>
        <v>0</v>
      </c>
    </row>
    <row r="216" spans="1:7">
      <c r="A216" s="6">
        <f>Calc_Formulas!A212</f>
        <v>0</v>
      </c>
      <c r="B216" s="7">
        <f>Calc_Formulas!AH212</f>
        <v>0</v>
      </c>
      <c r="C216" s="7">
        <f>Calc_Formulas!AI212</f>
        <v>0</v>
      </c>
      <c r="D216" s="7">
        <f>Calc_Formulas!AJ212</f>
        <v>0</v>
      </c>
      <c r="E216" s="6">
        <f>Calc_Formulas!AE212</f>
        <v>0</v>
      </c>
      <c r="F216" s="6">
        <f>Calc_Formulas!AF212</f>
        <v>0</v>
      </c>
      <c r="G216" s="6">
        <f>Calc_Formulas!AG212</f>
        <v>0</v>
      </c>
    </row>
    <row r="217" spans="1:7">
      <c r="A217" s="6">
        <f>Calc_Formulas!A213</f>
        <v>0</v>
      </c>
      <c r="B217" s="7">
        <f>Calc_Formulas!AH213</f>
        <v>0</v>
      </c>
      <c r="C217" s="7">
        <f>Calc_Formulas!AI213</f>
        <v>0</v>
      </c>
      <c r="D217" s="7">
        <f>Calc_Formulas!AJ213</f>
        <v>0</v>
      </c>
      <c r="E217" s="6">
        <f>Calc_Formulas!AE213</f>
        <v>0</v>
      </c>
      <c r="F217" s="6">
        <f>Calc_Formulas!AF213</f>
        <v>0</v>
      </c>
      <c r="G217" s="6">
        <f>Calc_Formulas!AG213</f>
        <v>0</v>
      </c>
    </row>
    <row r="218" spans="1:7">
      <c r="A218" s="6">
        <f>Calc_Formulas!A214</f>
        <v>0</v>
      </c>
      <c r="B218" s="7">
        <f>Calc_Formulas!AH214</f>
        <v>0</v>
      </c>
      <c r="C218" s="7">
        <f>Calc_Formulas!AI214</f>
        <v>0</v>
      </c>
      <c r="D218" s="7">
        <f>Calc_Formulas!AJ214</f>
        <v>0</v>
      </c>
      <c r="E218" s="6">
        <f>Calc_Formulas!AE214</f>
        <v>0</v>
      </c>
      <c r="F218" s="6">
        <f>Calc_Formulas!AF214</f>
        <v>0</v>
      </c>
      <c r="G218" s="6">
        <f>Calc_Formulas!AG214</f>
        <v>0</v>
      </c>
    </row>
    <row r="219" spans="1:7">
      <c r="A219" s="6">
        <f>Calc_Formulas!A215</f>
        <v>0</v>
      </c>
      <c r="B219" s="7">
        <f>Calc_Formulas!AH215</f>
        <v>0</v>
      </c>
      <c r="C219" s="7">
        <f>Calc_Formulas!AI215</f>
        <v>0</v>
      </c>
      <c r="D219" s="7">
        <f>Calc_Formulas!AJ215</f>
        <v>0</v>
      </c>
      <c r="E219" s="6">
        <f>Calc_Formulas!AE215</f>
        <v>0</v>
      </c>
      <c r="F219" s="6">
        <f>Calc_Formulas!AF215</f>
        <v>0</v>
      </c>
      <c r="G219" s="6">
        <f>Calc_Formulas!AG215</f>
        <v>0</v>
      </c>
    </row>
    <row r="220" spans="1:7">
      <c r="A220" s="6">
        <f>Calc_Formulas!A216</f>
        <v>0</v>
      </c>
      <c r="B220" s="7">
        <f>Calc_Formulas!AH216</f>
        <v>0</v>
      </c>
      <c r="C220" s="7">
        <f>Calc_Formulas!AI216</f>
        <v>0</v>
      </c>
      <c r="D220" s="7">
        <f>Calc_Formulas!AJ216</f>
        <v>0</v>
      </c>
      <c r="E220" s="6">
        <f>Calc_Formulas!AE216</f>
        <v>0</v>
      </c>
      <c r="F220" s="6">
        <f>Calc_Formulas!AF216</f>
        <v>0</v>
      </c>
      <c r="G220" s="6">
        <f>Calc_Formulas!AG216</f>
        <v>0</v>
      </c>
    </row>
    <row r="221" spans="1:7">
      <c r="A221" s="6">
        <f>Calc_Formulas!A217</f>
        <v>0</v>
      </c>
      <c r="B221" s="7">
        <f>Calc_Formulas!AH217</f>
        <v>0</v>
      </c>
      <c r="C221" s="7">
        <f>Calc_Formulas!AI217</f>
        <v>0</v>
      </c>
      <c r="D221" s="7">
        <f>Calc_Formulas!AJ217</f>
        <v>0</v>
      </c>
      <c r="E221" s="6">
        <f>Calc_Formulas!AE217</f>
        <v>0</v>
      </c>
      <c r="F221" s="6">
        <f>Calc_Formulas!AF217</f>
        <v>0</v>
      </c>
      <c r="G221" s="6">
        <f>Calc_Formulas!AG217</f>
        <v>0</v>
      </c>
    </row>
    <row r="222" spans="1:7">
      <c r="A222" s="6">
        <f>Calc_Formulas!A218</f>
        <v>0</v>
      </c>
      <c r="B222" s="7">
        <f>Calc_Formulas!AH218</f>
        <v>0</v>
      </c>
      <c r="C222" s="7">
        <f>Calc_Formulas!AI218</f>
        <v>0</v>
      </c>
      <c r="D222" s="7">
        <f>Calc_Formulas!AJ218</f>
        <v>0</v>
      </c>
      <c r="E222" s="6">
        <f>Calc_Formulas!AE218</f>
        <v>0</v>
      </c>
      <c r="F222" s="6">
        <f>Calc_Formulas!AF218</f>
        <v>0</v>
      </c>
      <c r="G222" s="6">
        <f>Calc_Formulas!AG218</f>
        <v>0</v>
      </c>
    </row>
    <row r="223" spans="1:7">
      <c r="A223" s="6">
        <f>Calc_Formulas!A219</f>
        <v>0</v>
      </c>
      <c r="B223" s="7">
        <f>Calc_Formulas!AH219</f>
        <v>0</v>
      </c>
      <c r="C223" s="7">
        <f>Calc_Formulas!AI219</f>
        <v>0</v>
      </c>
      <c r="D223" s="7">
        <f>Calc_Formulas!AJ219</f>
        <v>0</v>
      </c>
      <c r="E223" s="6">
        <f>Calc_Formulas!AE219</f>
        <v>0</v>
      </c>
      <c r="F223" s="6">
        <f>Calc_Formulas!AF219</f>
        <v>0</v>
      </c>
      <c r="G223" s="6">
        <f>Calc_Formulas!AG219</f>
        <v>0</v>
      </c>
    </row>
    <row r="224" spans="1:7">
      <c r="A224" s="6">
        <f>Calc_Formulas!A220</f>
        <v>0</v>
      </c>
      <c r="B224" s="7">
        <f>Calc_Formulas!AH220</f>
        <v>0</v>
      </c>
      <c r="C224" s="7">
        <f>Calc_Formulas!AI220</f>
        <v>0</v>
      </c>
      <c r="D224" s="7">
        <f>Calc_Formulas!AJ220</f>
        <v>0</v>
      </c>
      <c r="E224" s="6">
        <f>Calc_Formulas!AE220</f>
        <v>0</v>
      </c>
      <c r="F224" s="6">
        <f>Calc_Formulas!AF220</f>
        <v>0</v>
      </c>
      <c r="G224" s="6">
        <f>Calc_Formulas!AG220</f>
        <v>0</v>
      </c>
    </row>
    <row r="225" spans="1:7">
      <c r="A225" s="6">
        <f>Calc_Formulas!A221</f>
        <v>0</v>
      </c>
      <c r="B225" s="7">
        <f>Calc_Formulas!AH221</f>
        <v>0</v>
      </c>
      <c r="C225" s="7">
        <f>Calc_Formulas!AI221</f>
        <v>0</v>
      </c>
      <c r="D225" s="7">
        <f>Calc_Formulas!AJ221</f>
        <v>0</v>
      </c>
      <c r="E225" s="6">
        <f>Calc_Formulas!AE221</f>
        <v>0</v>
      </c>
      <c r="F225" s="6">
        <f>Calc_Formulas!AF221</f>
        <v>0</v>
      </c>
      <c r="G225" s="6">
        <f>Calc_Formulas!AG221</f>
        <v>0</v>
      </c>
    </row>
    <row r="226" spans="1:7">
      <c r="A226" s="6">
        <f>Calc_Formulas!A222</f>
        <v>0</v>
      </c>
      <c r="B226" s="7">
        <f>Calc_Formulas!AH222</f>
        <v>0</v>
      </c>
      <c r="C226" s="7">
        <f>Calc_Formulas!AI222</f>
        <v>0</v>
      </c>
      <c r="D226" s="7">
        <f>Calc_Formulas!AJ222</f>
        <v>0</v>
      </c>
      <c r="E226" s="6">
        <f>Calc_Formulas!AE222</f>
        <v>0</v>
      </c>
      <c r="F226" s="6">
        <f>Calc_Formulas!AF222</f>
        <v>0</v>
      </c>
      <c r="G226" s="6">
        <f>Calc_Formulas!AG222</f>
        <v>0</v>
      </c>
    </row>
    <row r="227" spans="1:7">
      <c r="A227" s="6">
        <f>Calc_Formulas!A223</f>
        <v>0</v>
      </c>
      <c r="B227" s="7">
        <f>Calc_Formulas!AH223</f>
        <v>0</v>
      </c>
      <c r="C227" s="7">
        <f>Calc_Formulas!AI223</f>
        <v>0</v>
      </c>
      <c r="D227" s="7">
        <f>Calc_Formulas!AJ223</f>
        <v>0</v>
      </c>
      <c r="E227" s="6">
        <f>Calc_Formulas!AE223</f>
        <v>0</v>
      </c>
      <c r="F227" s="6">
        <f>Calc_Formulas!AF223</f>
        <v>0</v>
      </c>
      <c r="G227" s="6">
        <f>Calc_Formulas!AG223</f>
        <v>0</v>
      </c>
    </row>
    <row r="228" spans="1:7">
      <c r="A228" s="6">
        <f>Calc_Formulas!A224</f>
        <v>0</v>
      </c>
      <c r="B228" s="7">
        <f>Calc_Formulas!AH224</f>
        <v>0</v>
      </c>
      <c r="C228" s="7">
        <f>Calc_Formulas!AI224</f>
        <v>0</v>
      </c>
      <c r="D228" s="7">
        <f>Calc_Formulas!AJ224</f>
        <v>0</v>
      </c>
      <c r="E228" s="6">
        <f>Calc_Formulas!AE224</f>
        <v>0</v>
      </c>
      <c r="F228" s="6">
        <f>Calc_Formulas!AF224</f>
        <v>0</v>
      </c>
      <c r="G228" s="6">
        <f>Calc_Formulas!AG224</f>
        <v>0</v>
      </c>
    </row>
    <row r="229" spans="1:7">
      <c r="A229" s="6">
        <f>Calc_Formulas!A225</f>
        <v>0</v>
      </c>
      <c r="B229" s="7">
        <f>Calc_Formulas!AH225</f>
        <v>0</v>
      </c>
      <c r="C229" s="7">
        <f>Calc_Formulas!AI225</f>
        <v>0</v>
      </c>
      <c r="D229" s="7">
        <f>Calc_Formulas!AJ225</f>
        <v>0</v>
      </c>
      <c r="E229" s="6">
        <f>Calc_Formulas!AE225</f>
        <v>0</v>
      </c>
      <c r="F229" s="6">
        <f>Calc_Formulas!AF225</f>
        <v>0</v>
      </c>
      <c r="G229" s="6">
        <f>Calc_Formulas!AG225</f>
        <v>0</v>
      </c>
    </row>
    <row r="230" spans="1:7">
      <c r="A230" s="6">
        <f>Calc_Formulas!A226</f>
        <v>0</v>
      </c>
      <c r="B230" s="7">
        <f>Calc_Formulas!AH226</f>
        <v>0</v>
      </c>
      <c r="C230" s="7">
        <f>Calc_Formulas!AI226</f>
        <v>0</v>
      </c>
      <c r="D230" s="7">
        <f>Calc_Formulas!AJ226</f>
        <v>0</v>
      </c>
      <c r="E230" s="6">
        <f>Calc_Formulas!AE226</f>
        <v>0</v>
      </c>
      <c r="F230" s="6">
        <f>Calc_Formulas!AF226</f>
        <v>0</v>
      </c>
      <c r="G230" s="6">
        <f>Calc_Formulas!AG226</f>
        <v>0</v>
      </c>
    </row>
    <row r="231" spans="1:7">
      <c r="A231" s="6">
        <f>Calc_Formulas!A227</f>
        <v>0</v>
      </c>
      <c r="B231" s="7">
        <f>Calc_Formulas!AH227</f>
        <v>0</v>
      </c>
      <c r="C231" s="7">
        <f>Calc_Formulas!AI227</f>
        <v>0</v>
      </c>
      <c r="D231" s="7">
        <f>Calc_Formulas!AJ227</f>
        <v>0</v>
      </c>
      <c r="E231" s="6">
        <f>Calc_Formulas!AE227</f>
        <v>0</v>
      </c>
      <c r="F231" s="6">
        <f>Calc_Formulas!AF227</f>
        <v>0</v>
      </c>
      <c r="G231" s="6">
        <f>Calc_Formulas!AG227</f>
        <v>0</v>
      </c>
    </row>
    <row r="232" spans="1:7">
      <c r="A232" s="6">
        <f>Calc_Formulas!A228</f>
        <v>0</v>
      </c>
      <c r="B232" s="7">
        <f>Calc_Formulas!AH228</f>
        <v>0</v>
      </c>
      <c r="C232" s="7">
        <f>Calc_Formulas!AI228</f>
        <v>0</v>
      </c>
      <c r="D232" s="7">
        <f>Calc_Formulas!AJ228</f>
        <v>0</v>
      </c>
      <c r="E232" s="6">
        <f>Calc_Formulas!AE228</f>
        <v>0</v>
      </c>
      <c r="F232" s="6">
        <f>Calc_Formulas!AF228</f>
        <v>0</v>
      </c>
      <c r="G232" s="6">
        <f>Calc_Formulas!AG228</f>
        <v>0</v>
      </c>
    </row>
    <row r="233" spans="1:7">
      <c r="A233" s="6">
        <f>Calc_Formulas!A229</f>
        <v>0</v>
      </c>
      <c r="B233" s="7">
        <f>Calc_Formulas!AH229</f>
        <v>0</v>
      </c>
      <c r="C233" s="7">
        <f>Calc_Formulas!AI229</f>
        <v>0</v>
      </c>
      <c r="D233" s="7">
        <f>Calc_Formulas!AJ229</f>
        <v>0</v>
      </c>
      <c r="E233" s="6">
        <f>Calc_Formulas!AE229</f>
        <v>0</v>
      </c>
      <c r="F233" s="6">
        <f>Calc_Formulas!AF229</f>
        <v>0</v>
      </c>
      <c r="G233" s="6">
        <f>Calc_Formulas!AG229</f>
        <v>0</v>
      </c>
    </row>
    <row r="234" spans="1:7">
      <c r="A234" s="6">
        <f>Calc_Formulas!A230</f>
        <v>0</v>
      </c>
      <c r="B234" s="7">
        <f>Calc_Formulas!AH230</f>
        <v>0</v>
      </c>
      <c r="C234" s="7">
        <f>Calc_Formulas!AI230</f>
        <v>0</v>
      </c>
      <c r="D234" s="7">
        <f>Calc_Formulas!AJ230</f>
        <v>0</v>
      </c>
      <c r="E234" s="6">
        <f>Calc_Formulas!AE230</f>
        <v>0</v>
      </c>
      <c r="F234" s="6">
        <f>Calc_Formulas!AF230</f>
        <v>0</v>
      </c>
      <c r="G234" s="6">
        <f>Calc_Formulas!AG230</f>
        <v>0</v>
      </c>
    </row>
    <row r="235" spans="1:7">
      <c r="A235" s="6">
        <f>Calc_Formulas!A231</f>
        <v>0</v>
      </c>
      <c r="B235" s="7">
        <f>Calc_Formulas!AH231</f>
        <v>0</v>
      </c>
      <c r="C235" s="7">
        <f>Calc_Formulas!AI231</f>
        <v>0</v>
      </c>
      <c r="D235" s="7">
        <f>Calc_Formulas!AJ231</f>
        <v>0</v>
      </c>
      <c r="E235" s="6">
        <f>Calc_Formulas!AE231</f>
        <v>0</v>
      </c>
      <c r="F235" s="6">
        <f>Calc_Formulas!AF231</f>
        <v>0</v>
      </c>
      <c r="G235" s="6">
        <f>Calc_Formulas!AG231</f>
        <v>0</v>
      </c>
    </row>
    <row r="236" spans="1:7">
      <c r="A236" s="6">
        <f>Calc_Formulas!A232</f>
        <v>0</v>
      </c>
      <c r="B236" s="7">
        <f>Calc_Formulas!AH232</f>
        <v>0</v>
      </c>
      <c r="C236" s="7">
        <f>Calc_Formulas!AI232</f>
        <v>0</v>
      </c>
      <c r="D236" s="7">
        <f>Calc_Formulas!AJ232</f>
        <v>0</v>
      </c>
      <c r="E236" s="6">
        <f>Calc_Formulas!AE232</f>
        <v>0</v>
      </c>
      <c r="F236" s="6">
        <f>Calc_Formulas!AF232</f>
        <v>0</v>
      </c>
      <c r="G236" s="6">
        <f>Calc_Formulas!AG232</f>
        <v>0</v>
      </c>
    </row>
    <row r="237" spans="1:7">
      <c r="A237" s="6">
        <f>Calc_Formulas!A233</f>
        <v>0</v>
      </c>
      <c r="B237" s="7">
        <f>Calc_Formulas!AH233</f>
        <v>0</v>
      </c>
      <c r="C237" s="7">
        <f>Calc_Formulas!AI233</f>
        <v>0</v>
      </c>
      <c r="D237" s="7">
        <f>Calc_Formulas!AJ233</f>
        <v>0</v>
      </c>
      <c r="E237" s="6">
        <f>Calc_Formulas!AE233</f>
        <v>0</v>
      </c>
      <c r="F237" s="6">
        <f>Calc_Formulas!AF233</f>
        <v>0</v>
      </c>
      <c r="G237" s="6">
        <f>Calc_Formulas!AG233</f>
        <v>0</v>
      </c>
    </row>
    <row r="238" spans="1:7">
      <c r="A238" s="6">
        <f>Calc_Formulas!A234</f>
        <v>0</v>
      </c>
      <c r="B238" s="7">
        <f>Calc_Formulas!AH234</f>
        <v>0</v>
      </c>
      <c r="C238" s="7">
        <f>Calc_Formulas!AI234</f>
        <v>0</v>
      </c>
      <c r="D238" s="7">
        <f>Calc_Formulas!AJ234</f>
        <v>0</v>
      </c>
      <c r="E238" s="6">
        <f>Calc_Formulas!AE234</f>
        <v>0</v>
      </c>
      <c r="F238" s="6">
        <f>Calc_Formulas!AF234</f>
        <v>0</v>
      </c>
      <c r="G238" s="6">
        <f>Calc_Formulas!AG234</f>
        <v>0</v>
      </c>
    </row>
    <row r="239" spans="1:7">
      <c r="A239" s="6">
        <f>Calc_Formulas!A235</f>
        <v>0</v>
      </c>
      <c r="B239" s="7">
        <f>Calc_Formulas!AH235</f>
        <v>0</v>
      </c>
      <c r="C239" s="7">
        <f>Calc_Formulas!AI235</f>
        <v>0</v>
      </c>
      <c r="D239" s="7">
        <f>Calc_Formulas!AJ235</f>
        <v>0</v>
      </c>
      <c r="E239" s="6">
        <f>Calc_Formulas!AE235</f>
        <v>0</v>
      </c>
      <c r="F239" s="6">
        <f>Calc_Formulas!AF235</f>
        <v>0</v>
      </c>
      <c r="G239" s="6">
        <f>Calc_Formulas!AG235</f>
        <v>0</v>
      </c>
    </row>
    <row r="240" spans="1:7">
      <c r="A240" s="6">
        <f>Calc_Formulas!A236</f>
        <v>0</v>
      </c>
      <c r="B240" s="7">
        <f>Calc_Formulas!AH236</f>
        <v>0</v>
      </c>
      <c r="C240" s="7">
        <f>Calc_Formulas!AI236</f>
        <v>0</v>
      </c>
      <c r="D240" s="7">
        <f>Calc_Formulas!AJ236</f>
        <v>0</v>
      </c>
      <c r="E240" s="6">
        <f>Calc_Formulas!AE236</f>
        <v>0</v>
      </c>
      <c r="F240" s="6">
        <f>Calc_Formulas!AF236</f>
        <v>0</v>
      </c>
      <c r="G240" s="6">
        <f>Calc_Formulas!AG236</f>
        <v>0</v>
      </c>
    </row>
    <row r="241" spans="1:7">
      <c r="A241" s="6">
        <f>Calc_Formulas!A237</f>
        <v>0</v>
      </c>
      <c r="B241" s="7">
        <f>Calc_Formulas!AH237</f>
        <v>0</v>
      </c>
      <c r="C241" s="7">
        <f>Calc_Formulas!AI237</f>
        <v>0</v>
      </c>
      <c r="D241" s="7">
        <f>Calc_Formulas!AJ237</f>
        <v>0</v>
      </c>
      <c r="E241" s="6">
        <f>Calc_Formulas!AE237</f>
        <v>0</v>
      </c>
      <c r="F241" s="6">
        <f>Calc_Formulas!AF237</f>
        <v>0</v>
      </c>
      <c r="G241" s="6">
        <f>Calc_Formulas!AG237</f>
        <v>0</v>
      </c>
    </row>
    <row r="242" spans="1:7">
      <c r="A242" s="6">
        <f>Calc_Formulas!A238</f>
        <v>0</v>
      </c>
      <c r="B242" s="7">
        <f>Calc_Formulas!AH238</f>
        <v>0</v>
      </c>
      <c r="C242" s="7">
        <f>Calc_Formulas!AI238</f>
        <v>0</v>
      </c>
      <c r="D242" s="7">
        <f>Calc_Formulas!AJ238</f>
        <v>0</v>
      </c>
      <c r="E242" s="6">
        <f>Calc_Formulas!AE238</f>
        <v>0</v>
      </c>
      <c r="F242" s="6">
        <f>Calc_Formulas!AF238</f>
        <v>0</v>
      </c>
      <c r="G242" s="6">
        <f>Calc_Formulas!AG238</f>
        <v>0</v>
      </c>
    </row>
    <row r="243" spans="1:7">
      <c r="A243" s="6">
        <f>Calc_Formulas!A239</f>
        <v>0</v>
      </c>
      <c r="B243" s="7">
        <f>Calc_Formulas!AH239</f>
        <v>0</v>
      </c>
      <c r="C243" s="7">
        <f>Calc_Formulas!AI239</f>
        <v>0</v>
      </c>
      <c r="D243" s="7">
        <f>Calc_Formulas!AJ239</f>
        <v>0</v>
      </c>
      <c r="E243" s="6">
        <f>Calc_Formulas!AE239</f>
        <v>0</v>
      </c>
      <c r="F243" s="6">
        <f>Calc_Formulas!AF239</f>
        <v>0</v>
      </c>
      <c r="G243" s="6">
        <f>Calc_Formulas!AG239</f>
        <v>0</v>
      </c>
    </row>
    <row r="244" spans="1:7">
      <c r="A244" s="6">
        <f>Calc_Formulas!A240</f>
        <v>0</v>
      </c>
      <c r="B244" s="7">
        <f>Calc_Formulas!AH240</f>
        <v>0</v>
      </c>
      <c r="C244" s="7">
        <f>Calc_Formulas!AI240</f>
        <v>0</v>
      </c>
      <c r="D244" s="7">
        <f>Calc_Formulas!AJ240</f>
        <v>0</v>
      </c>
      <c r="E244" s="6">
        <f>Calc_Formulas!AE240</f>
        <v>0</v>
      </c>
      <c r="F244" s="6">
        <f>Calc_Formulas!AF240</f>
        <v>0</v>
      </c>
      <c r="G244" s="6">
        <f>Calc_Formulas!AG240</f>
        <v>0</v>
      </c>
    </row>
    <row r="245" spans="1:7">
      <c r="A245" s="6">
        <f>Calc_Formulas!A241</f>
        <v>0</v>
      </c>
      <c r="B245" s="7">
        <f>Calc_Formulas!AH241</f>
        <v>0</v>
      </c>
      <c r="C245" s="7">
        <f>Calc_Formulas!AI241</f>
        <v>0</v>
      </c>
      <c r="D245" s="7">
        <f>Calc_Formulas!AJ241</f>
        <v>0</v>
      </c>
      <c r="E245" s="6">
        <f>Calc_Formulas!AE241</f>
        <v>0</v>
      </c>
      <c r="F245" s="6">
        <f>Calc_Formulas!AF241</f>
        <v>0</v>
      </c>
      <c r="G245" s="6">
        <f>Calc_Formulas!AG241</f>
        <v>0</v>
      </c>
    </row>
    <row r="246" spans="1:7">
      <c r="A246" s="6">
        <f>Calc_Formulas!A242</f>
        <v>0</v>
      </c>
      <c r="B246" s="7">
        <f>Calc_Formulas!AH242</f>
        <v>0</v>
      </c>
      <c r="C246" s="7">
        <f>Calc_Formulas!AI242</f>
        <v>0</v>
      </c>
      <c r="D246" s="7">
        <f>Calc_Formulas!AJ242</f>
        <v>0</v>
      </c>
      <c r="E246" s="6">
        <f>Calc_Formulas!AE242</f>
        <v>0</v>
      </c>
      <c r="F246" s="6">
        <f>Calc_Formulas!AF242</f>
        <v>0</v>
      </c>
      <c r="G246" s="6">
        <f>Calc_Formulas!AG242</f>
        <v>0</v>
      </c>
    </row>
    <row r="247" spans="1:7">
      <c r="A247" s="6">
        <f>Calc_Formulas!A243</f>
        <v>0</v>
      </c>
      <c r="B247" s="7">
        <f>Calc_Formulas!AH243</f>
        <v>0</v>
      </c>
      <c r="C247" s="7">
        <f>Calc_Formulas!AI243</f>
        <v>0</v>
      </c>
      <c r="D247" s="7">
        <f>Calc_Formulas!AJ243</f>
        <v>0</v>
      </c>
      <c r="E247" s="6">
        <f>Calc_Formulas!AE243</f>
        <v>0</v>
      </c>
      <c r="F247" s="6">
        <f>Calc_Formulas!AF243</f>
        <v>0</v>
      </c>
      <c r="G247" s="6">
        <f>Calc_Formulas!AG243</f>
        <v>0</v>
      </c>
    </row>
    <row r="248" spans="1:7">
      <c r="A248" s="6">
        <f>Calc_Formulas!A244</f>
        <v>0</v>
      </c>
      <c r="B248" s="7">
        <f>Calc_Formulas!AH244</f>
        <v>0</v>
      </c>
      <c r="C248" s="7">
        <f>Calc_Formulas!AI244</f>
        <v>0</v>
      </c>
      <c r="D248" s="7">
        <f>Calc_Formulas!AJ244</f>
        <v>0</v>
      </c>
      <c r="E248" s="6">
        <f>Calc_Formulas!AE244</f>
        <v>0</v>
      </c>
      <c r="F248" s="6">
        <f>Calc_Formulas!AF244</f>
        <v>0</v>
      </c>
      <c r="G248" s="6">
        <f>Calc_Formulas!AG244</f>
        <v>0</v>
      </c>
    </row>
    <row r="249" spans="1:7">
      <c r="A249" s="6">
        <f>Calc_Formulas!A245</f>
        <v>0</v>
      </c>
      <c r="B249" s="7">
        <f>Calc_Formulas!AH245</f>
        <v>0</v>
      </c>
      <c r="C249" s="7">
        <f>Calc_Formulas!AI245</f>
        <v>0</v>
      </c>
      <c r="D249" s="7">
        <f>Calc_Formulas!AJ245</f>
        <v>0</v>
      </c>
      <c r="E249" s="6">
        <f>Calc_Formulas!AE245</f>
        <v>0</v>
      </c>
      <c r="F249" s="6">
        <f>Calc_Formulas!AF245</f>
        <v>0</v>
      </c>
      <c r="G249" s="6">
        <f>Calc_Formulas!AG245</f>
        <v>0</v>
      </c>
    </row>
    <row r="250" spans="1:7">
      <c r="A250" s="6">
        <f>Calc_Formulas!A246</f>
        <v>0</v>
      </c>
      <c r="B250" s="7">
        <f>Calc_Formulas!AH246</f>
        <v>0</v>
      </c>
      <c r="C250" s="7">
        <f>Calc_Formulas!AI246</f>
        <v>0</v>
      </c>
      <c r="D250" s="7">
        <f>Calc_Formulas!AJ246</f>
        <v>0</v>
      </c>
      <c r="E250" s="6">
        <f>Calc_Formulas!AE246</f>
        <v>0</v>
      </c>
      <c r="F250" s="6">
        <f>Calc_Formulas!AF246</f>
        <v>0</v>
      </c>
      <c r="G250" s="6">
        <f>Calc_Formulas!AG246</f>
        <v>0</v>
      </c>
    </row>
    <row r="251" spans="1:7">
      <c r="A251" s="6">
        <f>Calc_Formulas!A247</f>
        <v>0</v>
      </c>
      <c r="B251" s="7">
        <f>Calc_Formulas!AH247</f>
        <v>0</v>
      </c>
      <c r="C251" s="7">
        <f>Calc_Formulas!AI247</f>
        <v>0</v>
      </c>
      <c r="D251" s="7">
        <f>Calc_Formulas!AJ247</f>
        <v>0</v>
      </c>
      <c r="E251" s="6">
        <f>Calc_Formulas!AE247</f>
        <v>0</v>
      </c>
      <c r="F251" s="6">
        <f>Calc_Formulas!AF247</f>
        <v>0</v>
      </c>
      <c r="G251" s="6">
        <f>Calc_Formulas!AG247</f>
        <v>0</v>
      </c>
    </row>
    <row r="252" spans="1:7">
      <c r="A252" s="6">
        <f>Calc_Formulas!A248</f>
        <v>0</v>
      </c>
      <c r="B252" s="7">
        <f>Calc_Formulas!AH248</f>
        <v>0</v>
      </c>
      <c r="C252" s="7">
        <f>Calc_Formulas!AI248</f>
        <v>0</v>
      </c>
      <c r="D252" s="7">
        <f>Calc_Formulas!AJ248</f>
        <v>0</v>
      </c>
      <c r="E252" s="6">
        <f>Calc_Formulas!AE248</f>
        <v>0</v>
      </c>
      <c r="F252" s="6">
        <f>Calc_Formulas!AF248</f>
        <v>0</v>
      </c>
      <c r="G252" s="6">
        <f>Calc_Formulas!AG248</f>
        <v>0</v>
      </c>
    </row>
    <row r="253" spans="1:7">
      <c r="A253" s="6">
        <f>Calc_Formulas!A249</f>
        <v>0</v>
      </c>
      <c r="B253" s="7">
        <f>Calc_Formulas!AH249</f>
        <v>0</v>
      </c>
      <c r="C253" s="7">
        <f>Calc_Formulas!AI249</f>
        <v>0</v>
      </c>
      <c r="D253" s="7">
        <f>Calc_Formulas!AJ249</f>
        <v>0</v>
      </c>
      <c r="E253" s="6">
        <f>Calc_Formulas!AE249</f>
        <v>0</v>
      </c>
      <c r="F253" s="6">
        <f>Calc_Formulas!AF249</f>
        <v>0</v>
      </c>
      <c r="G253" s="6">
        <f>Calc_Formulas!AG249</f>
        <v>0</v>
      </c>
    </row>
    <row r="254" spans="1:7">
      <c r="A254" s="6">
        <f>Calc_Formulas!A250</f>
        <v>0</v>
      </c>
      <c r="B254" s="7">
        <f>Calc_Formulas!AH250</f>
        <v>0</v>
      </c>
      <c r="C254" s="7">
        <f>Calc_Formulas!AI250</f>
        <v>0</v>
      </c>
      <c r="D254" s="7">
        <f>Calc_Formulas!AJ250</f>
        <v>0</v>
      </c>
      <c r="E254" s="6">
        <f>Calc_Formulas!AE250</f>
        <v>0</v>
      </c>
      <c r="F254" s="6">
        <f>Calc_Formulas!AF250</f>
        <v>0</v>
      </c>
      <c r="G254" s="6">
        <f>Calc_Formulas!AG250</f>
        <v>0</v>
      </c>
    </row>
    <row r="255" spans="1:7">
      <c r="A255" s="6">
        <f>Calc_Formulas!A251</f>
        <v>0</v>
      </c>
      <c r="B255" s="7">
        <f>Calc_Formulas!AH251</f>
        <v>0</v>
      </c>
      <c r="C255" s="7">
        <f>Calc_Formulas!AI251</f>
        <v>0</v>
      </c>
      <c r="D255" s="7">
        <f>Calc_Formulas!AJ251</f>
        <v>0</v>
      </c>
      <c r="E255" s="6">
        <f>Calc_Formulas!AE251</f>
        <v>0</v>
      </c>
      <c r="F255" s="6">
        <f>Calc_Formulas!AF251</f>
        <v>0</v>
      </c>
      <c r="G255" s="6">
        <f>Calc_Formulas!AG251</f>
        <v>0</v>
      </c>
    </row>
    <row r="256" spans="1:7">
      <c r="A256" s="6">
        <f>Calc_Formulas!A252</f>
        <v>0</v>
      </c>
      <c r="B256" s="7">
        <f>Calc_Formulas!AH252</f>
        <v>0</v>
      </c>
      <c r="C256" s="7">
        <f>Calc_Formulas!AI252</f>
        <v>0</v>
      </c>
      <c r="D256" s="7">
        <f>Calc_Formulas!AJ252</f>
        <v>0</v>
      </c>
      <c r="E256" s="6">
        <f>Calc_Formulas!AE252</f>
        <v>0</v>
      </c>
      <c r="F256" s="6">
        <f>Calc_Formulas!AF252</f>
        <v>0</v>
      </c>
      <c r="G256" s="6">
        <f>Calc_Formulas!AG252</f>
        <v>0</v>
      </c>
    </row>
    <row r="257" spans="1:7">
      <c r="A257" s="6">
        <f>Calc_Formulas!A253</f>
        <v>0</v>
      </c>
      <c r="B257" s="7">
        <f>Calc_Formulas!AH253</f>
        <v>0</v>
      </c>
      <c r="C257" s="7">
        <f>Calc_Formulas!AI253</f>
        <v>0</v>
      </c>
      <c r="D257" s="7">
        <f>Calc_Formulas!AJ253</f>
        <v>0</v>
      </c>
      <c r="E257" s="6">
        <f>Calc_Formulas!AE253</f>
        <v>0</v>
      </c>
      <c r="F257" s="6">
        <f>Calc_Formulas!AF253</f>
        <v>0</v>
      </c>
      <c r="G257" s="6">
        <f>Calc_Formulas!AG253</f>
        <v>0</v>
      </c>
    </row>
    <row r="258" spans="1:7">
      <c r="A258" s="6">
        <f>Calc_Formulas!A254</f>
        <v>0</v>
      </c>
      <c r="B258" s="7">
        <f>Calc_Formulas!AH254</f>
        <v>0</v>
      </c>
      <c r="C258" s="7">
        <f>Calc_Formulas!AI254</f>
        <v>0</v>
      </c>
      <c r="D258" s="7">
        <f>Calc_Formulas!AJ254</f>
        <v>0</v>
      </c>
      <c r="E258" s="6">
        <f>Calc_Formulas!AE254</f>
        <v>0</v>
      </c>
      <c r="F258" s="6">
        <f>Calc_Formulas!AF254</f>
        <v>0</v>
      </c>
      <c r="G258" s="6">
        <f>Calc_Formulas!AG254</f>
        <v>0</v>
      </c>
    </row>
    <row r="259" spans="1:7">
      <c r="A259" s="6">
        <f>Calc_Formulas!A255</f>
        <v>0</v>
      </c>
      <c r="B259" s="7">
        <f>Calc_Formulas!AH255</f>
        <v>0</v>
      </c>
      <c r="C259" s="7">
        <f>Calc_Formulas!AI255</f>
        <v>0</v>
      </c>
      <c r="D259" s="7">
        <f>Calc_Formulas!AJ255</f>
        <v>0</v>
      </c>
      <c r="E259" s="6">
        <f>Calc_Formulas!AE255</f>
        <v>0</v>
      </c>
      <c r="F259" s="6">
        <f>Calc_Formulas!AF255</f>
        <v>0</v>
      </c>
      <c r="G259" s="6">
        <f>Calc_Formulas!AG255</f>
        <v>0</v>
      </c>
    </row>
    <row r="260" spans="1:7">
      <c r="A260" s="6">
        <f>Calc_Formulas!A256</f>
        <v>0</v>
      </c>
      <c r="B260" s="7">
        <f>Calc_Formulas!AH256</f>
        <v>0</v>
      </c>
      <c r="C260" s="7">
        <f>Calc_Formulas!AI256</f>
        <v>0</v>
      </c>
      <c r="D260" s="7">
        <f>Calc_Formulas!AJ256</f>
        <v>0</v>
      </c>
      <c r="E260" s="6">
        <f>Calc_Formulas!AE256</f>
        <v>0</v>
      </c>
      <c r="F260" s="6">
        <f>Calc_Formulas!AF256</f>
        <v>0</v>
      </c>
      <c r="G260" s="6">
        <f>Calc_Formulas!AG256</f>
        <v>0</v>
      </c>
    </row>
    <row r="261" spans="1:7">
      <c r="A261" s="6">
        <f>Calc_Formulas!A257</f>
        <v>0</v>
      </c>
      <c r="B261" s="7">
        <f>Calc_Formulas!AH257</f>
        <v>0</v>
      </c>
      <c r="C261" s="7">
        <f>Calc_Formulas!AI257</f>
        <v>0</v>
      </c>
      <c r="D261" s="7">
        <f>Calc_Formulas!AJ257</f>
        <v>0</v>
      </c>
      <c r="E261" s="6">
        <f>Calc_Formulas!AE257</f>
        <v>0</v>
      </c>
      <c r="F261" s="6">
        <f>Calc_Formulas!AF257</f>
        <v>0</v>
      </c>
      <c r="G261" s="6">
        <f>Calc_Formulas!AG257</f>
        <v>0</v>
      </c>
    </row>
    <row r="262" spans="1:7">
      <c r="A262" s="6">
        <f>Calc_Formulas!A258</f>
        <v>0</v>
      </c>
      <c r="B262" s="7">
        <f>Calc_Formulas!AH258</f>
        <v>0</v>
      </c>
      <c r="C262" s="7">
        <f>Calc_Formulas!AI258</f>
        <v>0</v>
      </c>
      <c r="D262" s="7">
        <f>Calc_Formulas!AJ258</f>
        <v>0</v>
      </c>
      <c r="E262" s="6">
        <f>Calc_Formulas!AE258</f>
        <v>0</v>
      </c>
      <c r="F262" s="6">
        <f>Calc_Formulas!AF258</f>
        <v>0</v>
      </c>
      <c r="G262" s="6">
        <f>Calc_Formulas!AG258</f>
        <v>0</v>
      </c>
    </row>
    <row r="263" spans="1:7">
      <c r="A263" s="6">
        <f>Calc_Formulas!A259</f>
        <v>0</v>
      </c>
      <c r="B263" s="7">
        <f>Calc_Formulas!AH259</f>
        <v>0</v>
      </c>
      <c r="C263" s="7">
        <f>Calc_Formulas!AI259</f>
        <v>0</v>
      </c>
      <c r="D263" s="7">
        <f>Calc_Formulas!AJ259</f>
        <v>0</v>
      </c>
      <c r="E263" s="6">
        <f>Calc_Formulas!AE259</f>
        <v>0</v>
      </c>
      <c r="F263" s="6">
        <f>Calc_Formulas!AF259</f>
        <v>0</v>
      </c>
      <c r="G263" s="6">
        <f>Calc_Formulas!AG259</f>
        <v>0</v>
      </c>
    </row>
    <row r="264" spans="1:7">
      <c r="A264" s="6">
        <f>Calc_Formulas!A260</f>
        <v>0</v>
      </c>
      <c r="B264" s="7">
        <f>Calc_Formulas!AH260</f>
        <v>0</v>
      </c>
      <c r="C264" s="7">
        <f>Calc_Formulas!AI260</f>
        <v>0</v>
      </c>
      <c r="D264" s="7">
        <f>Calc_Formulas!AJ260</f>
        <v>0</v>
      </c>
      <c r="E264" s="6">
        <f>Calc_Formulas!AE260</f>
        <v>0</v>
      </c>
      <c r="F264" s="6">
        <f>Calc_Formulas!AF260</f>
        <v>0</v>
      </c>
      <c r="G264" s="6">
        <f>Calc_Formulas!AG260</f>
        <v>0</v>
      </c>
    </row>
    <row r="265" spans="1:7">
      <c r="A265" s="6">
        <f>Calc_Formulas!A261</f>
        <v>0</v>
      </c>
      <c r="B265" s="7">
        <f>Calc_Formulas!AH261</f>
        <v>0</v>
      </c>
      <c r="C265" s="7">
        <f>Calc_Formulas!AI261</f>
        <v>0</v>
      </c>
      <c r="D265" s="7">
        <f>Calc_Formulas!AJ261</f>
        <v>0</v>
      </c>
      <c r="E265" s="6">
        <f>Calc_Formulas!AE261</f>
        <v>0</v>
      </c>
      <c r="F265" s="6">
        <f>Calc_Formulas!AF261</f>
        <v>0</v>
      </c>
      <c r="G265" s="6">
        <f>Calc_Formulas!AG261</f>
        <v>0</v>
      </c>
    </row>
    <row r="266" spans="1:7">
      <c r="A266" s="6">
        <f>Calc_Formulas!A262</f>
        <v>0</v>
      </c>
      <c r="B266" s="7">
        <f>Calc_Formulas!AH262</f>
        <v>0</v>
      </c>
      <c r="C266" s="7">
        <f>Calc_Formulas!AI262</f>
        <v>0</v>
      </c>
      <c r="D266" s="7">
        <f>Calc_Formulas!AJ262</f>
        <v>0</v>
      </c>
      <c r="E266" s="6">
        <f>Calc_Formulas!AE262</f>
        <v>0</v>
      </c>
      <c r="F266" s="6">
        <f>Calc_Formulas!AF262</f>
        <v>0</v>
      </c>
      <c r="G266" s="6">
        <f>Calc_Formulas!AG262</f>
        <v>0</v>
      </c>
    </row>
    <row r="267" spans="1:7">
      <c r="A267" s="6">
        <f>Calc_Formulas!A263</f>
        <v>0</v>
      </c>
      <c r="B267" s="7">
        <f>Calc_Formulas!AH263</f>
        <v>0</v>
      </c>
      <c r="C267" s="7">
        <f>Calc_Formulas!AI263</f>
        <v>0</v>
      </c>
      <c r="D267" s="7">
        <f>Calc_Formulas!AJ263</f>
        <v>0</v>
      </c>
      <c r="E267" s="6">
        <f>Calc_Formulas!AE263</f>
        <v>0</v>
      </c>
      <c r="F267" s="6">
        <f>Calc_Formulas!AF263</f>
        <v>0</v>
      </c>
      <c r="G267" s="6">
        <f>Calc_Formulas!AG263</f>
        <v>0</v>
      </c>
    </row>
    <row r="268" spans="1:7">
      <c r="A268" s="6">
        <f>Calc_Formulas!A264</f>
        <v>0</v>
      </c>
      <c r="B268" s="7">
        <f>Calc_Formulas!AH264</f>
        <v>0</v>
      </c>
      <c r="C268" s="7">
        <f>Calc_Formulas!AI264</f>
        <v>0</v>
      </c>
      <c r="D268" s="7">
        <f>Calc_Formulas!AJ264</f>
        <v>0</v>
      </c>
      <c r="E268" s="6">
        <f>Calc_Formulas!AE264</f>
        <v>0</v>
      </c>
      <c r="F268" s="6">
        <f>Calc_Formulas!AF264</f>
        <v>0</v>
      </c>
      <c r="G268" s="6">
        <f>Calc_Formulas!AG264</f>
        <v>0</v>
      </c>
    </row>
    <row r="269" spans="1:7">
      <c r="A269" s="6">
        <f>Calc_Formulas!A265</f>
        <v>0</v>
      </c>
      <c r="B269" s="7">
        <f>Calc_Formulas!AH265</f>
        <v>0</v>
      </c>
      <c r="C269" s="7">
        <f>Calc_Formulas!AI265</f>
        <v>0</v>
      </c>
      <c r="D269" s="7">
        <f>Calc_Formulas!AJ265</f>
        <v>0</v>
      </c>
      <c r="E269" s="6">
        <f>Calc_Formulas!AE265</f>
        <v>0</v>
      </c>
      <c r="F269" s="6">
        <f>Calc_Formulas!AF265</f>
        <v>0</v>
      </c>
      <c r="G269" s="6">
        <f>Calc_Formulas!AG265</f>
        <v>0</v>
      </c>
    </row>
    <row r="270" spans="1:7">
      <c r="A270" s="6">
        <f>Calc_Formulas!A266</f>
        <v>0</v>
      </c>
      <c r="B270" s="7">
        <f>Calc_Formulas!AH266</f>
        <v>0</v>
      </c>
      <c r="C270" s="7">
        <f>Calc_Formulas!AI266</f>
        <v>0</v>
      </c>
      <c r="D270" s="7">
        <f>Calc_Formulas!AJ266</f>
        <v>0</v>
      </c>
      <c r="E270" s="6">
        <f>Calc_Formulas!AE266</f>
        <v>0</v>
      </c>
      <c r="F270" s="6">
        <f>Calc_Formulas!AF266</f>
        <v>0</v>
      </c>
      <c r="G270" s="6">
        <f>Calc_Formulas!AG266</f>
        <v>0</v>
      </c>
    </row>
    <row r="271" spans="1:7">
      <c r="A271" s="6">
        <f>Calc_Formulas!A267</f>
        <v>0</v>
      </c>
      <c r="B271" s="7">
        <f>Calc_Formulas!AH267</f>
        <v>0</v>
      </c>
      <c r="C271" s="7">
        <f>Calc_Formulas!AI267</f>
        <v>0</v>
      </c>
      <c r="D271" s="7">
        <f>Calc_Formulas!AJ267</f>
        <v>0</v>
      </c>
      <c r="E271" s="6">
        <f>Calc_Formulas!AE267</f>
        <v>0</v>
      </c>
      <c r="F271" s="6">
        <f>Calc_Formulas!AF267</f>
        <v>0</v>
      </c>
      <c r="G271" s="6">
        <f>Calc_Formulas!AG267</f>
        <v>0</v>
      </c>
    </row>
    <row r="272" spans="1:7">
      <c r="A272" s="6">
        <f>Calc_Formulas!A268</f>
        <v>0</v>
      </c>
      <c r="B272" s="7">
        <f>Calc_Formulas!AH268</f>
        <v>0</v>
      </c>
      <c r="C272" s="7">
        <f>Calc_Formulas!AI268</f>
        <v>0</v>
      </c>
      <c r="D272" s="7">
        <f>Calc_Formulas!AJ268</f>
        <v>0</v>
      </c>
      <c r="E272" s="6">
        <f>Calc_Formulas!AE268</f>
        <v>0</v>
      </c>
      <c r="F272" s="6">
        <f>Calc_Formulas!AF268</f>
        <v>0</v>
      </c>
      <c r="G272" s="6">
        <f>Calc_Formulas!AG268</f>
        <v>0</v>
      </c>
    </row>
    <row r="273" spans="1:7">
      <c r="A273" s="6">
        <f>Calc_Formulas!A269</f>
        <v>0</v>
      </c>
      <c r="B273" s="7">
        <f>Calc_Formulas!AH269</f>
        <v>0</v>
      </c>
      <c r="C273" s="7">
        <f>Calc_Formulas!AI269</f>
        <v>0</v>
      </c>
      <c r="D273" s="7">
        <f>Calc_Formulas!AJ269</f>
        <v>0</v>
      </c>
      <c r="E273" s="6">
        <f>Calc_Formulas!AE269</f>
        <v>0</v>
      </c>
      <c r="F273" s="6">
        <f>Calc_Formulas!AF269</f>
        <v>0</v>
      </c>
      <c r="G273" s="6">
        <f>Calc_Formulas!AG269</f>
        <v>0</v>
      </c>
    </row>
    <row r="274" spans="1:7">
      <c r="A274" s="6">
        <f>Calc_Formulas!A270</f>
        <v>0</v>
      </c>
      <c r="B274" s="7">
        <f>Calc_Formulas!AH270</f>
        <v>0</v>
      </c>
      <c r="C274" s="7">
        <f>Calc_Formulas!AI270</f>
        <v>0</v>
      </c>
      <c r="D274" s="7">
        <f>Calc_Formulas!AJ270</f>
        <v>0</v>
      </c>
      <c r="E274" s="6">
        <f>Calc_Formulas!AE270</f>
        <v>0</v>
      </c>
      <c r="F274" s="6">
        <f>Calc_Formulas!AF270</f>
        <v>0</v>
      </c>
      <c r="G274" s="6">
        <f>Calc_Formulas!AG270</f>
        <v>0</v>
      </c>
    </row>
    <row r="275" spans="1:7">
      <c r="A275" s="6">
        <f>Calc_Formulas!A271</f>
        <v>0</v>
      </c>
      <c r="B275" s="7">
        <f>Calc_Formulas!AH271</f>
        <v>0</v>
      </c>
      <c r="C275" s="7">
        <f>Calc_Formulas!AI271</f>
        <v>0</v>
      </c>
      <c r="D275" s="7">
        <f>Calc_Formulas!AJ271</f>
        <v>0</v>
      </c>
      <c r="E275" s="6">
        <f>Calc_Formulas!AE271</f>
        <v>0</v>
      </c>
      <c r="F275" s="6">
        <f>Calc_Formulas!AF271</f>
        <v>0</v>
      </c>
      <c r="G275" s="6">
        <f>Calc_Formulas!AG271</f>
        <v>0</v>
      </c>
    </row>
    <row r="276" spans="1:7">
      <c r="A276" s="6">
        <f>Calc_Formulas!A272</f>
        <v>0</v>
      </c>
      <c r="B276" s="7">
        <f>Calc_Formulas!AH272</f>
        <v>0</v>
      </c>
      <c r="C276" s="7">
        <f>Calc_Formulas!AI272</f>
        <v>0</v>
      </c>
      <c r="D276" s="7">
        <f>Calc_Formulas!AJ272</f>
        <v>0</v>
      </c>
      <c r="E276" s="6">
        <f>Calc_Formulas!AE272</f>
        <v>0</v>
      </c>
      <c r="F276" s="6">
        <f>Calc_Formulas!AF272</f>
        <v>0</v>
      </c>
      <c r="G276" s="6">
        <f>Calc_Formulas!AG272</f>
        <v>0</v>
      </c>
    </row>
    <row r="277" spans="1:7">
      <c r="A277" s="6">
        <f>Calc_Formulas!A273</f>
        <v>0</v>
      </c>
      <c r="B277" s="7">
        <f>Calc_Formulas!AH273</f>
        <v>0</v>
      </c>
      <c r="C277" s="7">
        <f>Calc_Formulas!AI273</f>
        <v>0</v>
      </c>
      <c r="D277" s="7">
        <f>Calc_Formulas!AJ273</f>
        <v>0</v>
      </c>
      <c r="E277" s="6">
        <f>Calc_Formulas!AE273</f>
        <v>0</v>
      </c>
      <c r="F277" s="6">
        <f>Calc_Formulas!AF273</f>
        <v>0</v>
      </c>
      <c r="G277" s="6">
        <f>Calc_Formulas!AG273</f>
        <v>0</v>
      </c>
    </row>
    <row r="278" spans="1:7">
      <c r="A278" s="6">
        <f>Calc_Formulas!A274</f>
        <v>0</v>
      </c>
      <c r="B278" s="7">
        <f>Calc_Formulas!AH274</f>
        <v>0</v>
      </c>
      <c r="C278" s="7">
        <f>Calc_Formulas!AI274</f>
        <v>0</v>
      </c>
      <c r="D278" s="7">
        <f>Calc_Formulas!AJ274</f>
        <v>0</v>
      </c>
      <c r="E278" s="6">
        <f>Calc_Formulas!AE274</f>
        <v>0</v>
      </c>
      <c r="F278" s="6">
        <f>Calc_Formulas!AF274</f>
        <v>0</v>
      </c>
      <c r="G278" s="6">
        <f>Calc_Formulas!AG274</f>
        <v>0</v>
      </c>
    </row>
    <row r="279" spans="1:7">
      <c r="A279" s="6">
        <f>Calc_Formulas!A275</f>
        <v>0</v>
      </c>
      <c r="B279" s="7">
        <f>Calc_Formulas!AH275</f>
        <v>0</v>
      </c>
      <c r="C279" s="7">
        <f>Calc_Formulas!AI275</f>
        <v>0</v>
      </c>
      <c r="D279" s="7">
        <f>Calc_Formulas!AJ275</f>
        <v>0</v>
      </c>
      <c r="E279" s="6">
        <f>Calc_Formulas!AE275</f>
        <v>0</v>
      </c>
      <c r="F279" s="6">
        <f>Calc_Formulas!AF275</f>
        <v>0</v>
      </c>
      <c r="G279" s="6">
        <f>Calc_Formulas!AG275</f>
        <v>0</v>
      </c>
    </row>
    <row r="280" spans="1:7">
      <c r="A280" s="6">
        <f>Calc_Formulas!A276</f>
        <v>0</v>
      </c>
      <c r="B280" s="7">
        <f>Calc_Formulas!AH276</f>
        <v>0</v>
      </c>
      <c r="C280" s="7">
        <f>Calc_Formulas!AI276</f>
        <v>0</v>
      </c>
      <c r="D280" s="7">
        <f>Calc_Formulas!AJ276</f>
        <v>0</v>
      </c>
      <c r="E280" s="6">
        <f>Calc_Formulas!AE276</f>
        <v>0</v>
      </c>
      <c r="F280" s="6">
        <f>Calc_Formulas!AF276</f>
        <v>0</v>
      </c>
      <c r="G280" s="6">
        <f>Calc_Formulas!AG276</f>
        <v>0</v>
      </c>
    </row>
    <row r="281" spans="1:7">
      <c r="A281" s="6">
        <f>Calc_Formulas!A277</f>
        <v>0</v>
      </c>
      <c r="B281" s="7">
        <f>Calc_Formulas!AH277</f>
        <v>0</v>
      </c>
      <c r="C281" s="7">
        <f>Calc_Formulas!AI277</f>
        <v>0</v>
      </c>
      <c r="D281" s="7">
        <f>Calc_Formulas!AJ277</f>
        <v>0</v>
      </c>
      <c r="E281" s="6">
        <f>Calc_Formulas!AE277</f>
        <v>0</v>
      </c>
      <c r="F281" s="6">
        <f>Calc_Formulas!AF277</f>
        <v>0</v>
      </c>
      <c r="G281" s="6">
        <f>Calc_Formulas!AG277</f>
        <v>0</v>
      </c>
    </row>
    <row r="282" spans="1:7">
      <c r="A282" s="6">
        <f>Calc_Formulas!A278</f>
        <v>0</v>
      </c>
      <c r="B282" s="7">
        <f>Calc_Formulas!AH278</f>
        <v>0</v>
      </c>
      <c r="C282" s="7">
        <f>Calc_Formulas!AI278</f>
        <v>0</v>
      </c>
      <c r="D282" s="7">
        <f>Calc_Formulas!AJ278</f>
        <v>0</v>
      </c>
      <c r="E282" s="6">
        <f>Calc_Formulas!AE278</f>
        <v>0</v>
      </c>
      <c r="F282" s="6">
        <f>Calc_Formulas!AF278</f>
        <v>0</v>
      </c>
      <c r="G282" s="6">
        <f>Calc_Formulas!AG278</f>
        <v>0</v>
      </c>
    </row>
    <row r="283" spans="1:7">
      <c r="A283" s="6">
        <f>Calc_Formulas!A279</f>
        <v>0</v>
      </c>
      <c r="B283" s="7">
        <f>Calc_Formulas!AH279</f>
        <v>0</v>
      </c>
      <c r="C283" s="7">
        <f>Calc_Formulas!AI279</f>
        <v>0</v>
      </c>
      <c r="D283" s="7">
        <f>Calc_Formulas!AJ279</f>
        <v>0</v>
      </c>
      <c r="E283" s="6">
        <f>Calc_Formulas!AE279</f>
        <v>0</v>
      </c>
      <c r="F283" s="6">
        <f>Calc_Formulas!AF279</f>
        <v>0</v>
      </c>
      <c r="G283" s="6">
        <f>Calc_Formulas!AG279</f>
        <v>0</v>
      </c>
    </row>
    <row r="284" spans="1:7">
      <c r="A284" s="6">
        <f>Calc_Formulas!A280</f>
        <v>0</v>
      </c>
      <c r="B284" s="7">
        <f>Calc_Formulas!AH280</f>
        <v>0</v>
      </c>
      <c r="C284" s="7">
        <f>Calc_Formulas!AI280</f>
        <v>0</v>
      </c>
      <c r="D284" s="7">
        <f>Calc_Formulas!AJ280</f>
        <v>0</v>
      </c>
      <c r="E284" s="6">
        <f>Calc_Formulas!AE280</f>
        <v>0</v>
      </c>
      <c r="F284" s="6">
        <f>Calc_Formulas!AF280</f>
        <v>0</v>
      </c>
      <c r="G284" s="6">
        <f>Calc_Formulas!AG280</f>
        <v>0</v>
      </c>
    </row>
    <row r="285" spans="1:7">
      <c r="A285" s="6">
        <f>Calc_Formulas!A281</f>
        <v>0</v>
      </c>
      <c r="B285" s="7">
        <f>Calc_Formulas!AH281</f>
        <v>0</v>
      </c>
      <c r="C285" s="7">
        <f>Calc_Formulas!AI281</f>
        <v>0</v>
      </c>
      <c r="D285" s="7">
        <f>Calc_Formulas!AJ281</f>
        <v>0</v>
      </c>
      <c r="E285" s="6">
        <f>Calc_Formulas!AE281</f>
        <v>0</v>
      </c>
      <c r="F285" s="6">
        <f>Calc_Formulas!AF281</f>
        <v>0</v>
      </c>
      <c r="G285" s="6">
        <f>Calc_Formulas!AG281</f>
        <v>0</v>
      </c>
    </row>
    <row r="286" spans="1:7">
      <c r="A286" s="6">
        <f>Calc_Formulas!A282</f>
        <v>0</v>
      </c>
      <c r="B286" s="7">
        <f>Calc_Formulas!AH282</f>
        <v>0</v>
      </c>
      <c r="C286" s="7">
        <f>Calc_Formulas!AI282</f>
        <v>0</v>
      </c>
      <c r="D286" s="7">
        <f>Calc_Formulas!AJ282</f>
        <v>0</v>
      </c>
      <c r="E286" s="6">
        <f>Calc_Formulas!AE282</f>
        <v>0</v>
      </c>
      <c r="F286" s="6">
        <f>Calc_Formulas!AF282</f>
        <v>0</v>
      </c>
      <c r="G286" s="6">
        <f>Calc_Formulas!AG282</f>
        <v>0</v>
      </c>
    </row>
    <row r="287" spans="1:7">
      <c r="A287" s="6">
        <f>Calc_Formulas!A283</f>
        <v>0</v>
      </c>
      <c r="B287" s="7">
        <f>Calc_Formulas!AH283</f>
        <v>0</v>
      </c>
      <c r="C287" s="7">
        <f>Calc_Formulas!AI283</f>
        <v>0</v>
      </c>
      <c r="D287" s="7">
        <f>Calc_Formulas!AJ283</f>
        <v>0</v>
      </c>
      <c r="E287" s="6">
        <f>Calc_Formulas!AE283</f>
        <v>0</v>
      </c>
      <c r="F287" s="6">
        <f>Calc_Formulas!AF283</f>
        <v>0</v>
      </c>
      <c r="G287" s="6">
        <f>Calc_Formulas!AG283</f>
        <v>0</v>
      </c>
    </row>
    <row r="288" spans="1:7">
      <c r="A288" s="6">
        <f>Calc_Formulas!A284</f>
        <v>0</v>
      </c>
      <c r="B288" s="7">
        <f>Calc_Formulas!AH284</f>
        <v>0</v>
      </c>
      <c r="C288" s="7">
        <f>Calc_Formulas!AI284</f>
        <v>0</v>
      </c>
      <c r="D288" s="7">
        <f>Calc_Formulas!AJ284</f>
        <v>0</v>
      </c>
      <c r="E288" s="6">
        <f>Calc_Formulas!AE284</f>
        <v>0</v>
      </c>
      <c r="F288" s="6">
        <f>Calc_Formulas!AF284</f>
        <v>0</v>
      </c>
      <c r="G288" s="6">
        <f>Calc_Formulas!AG284</f>
        <v>0</v>
      </c>
    </row>
    <row r="289" spans="1:7">
      <c r="A289" s="6">
        <f>Calc_Formulas!A285</f>
        <v>0</v>
      </c>
      <c r="B289" s="7">
        <f>Calc_Formulas!AH285</f>
        <v>0</v>
      </c>
      <c r="C289" s="7">
        <f>Calc_Formulas!AI285</f>
        <v>0</v>
      </c>
      <c r="D289" s="7">
        <f>Calc_Formulas!AJ285</f>
        <v>0</v>
      </c>
      <c r="E289" s="6">
        <f>Calc_Formulas!AE285</f>
        <v>0</v>
      </c>
      <c r="F289" s="6">
        <f>Calc_Formulas!AF285</f>
        <v>0</v>
      </c>
      <c r="G289" s="6">
        <f>Calc_Formulas!AG285</f>
        <v>0</v>
      </c>
    </row>
    <row r="290" spans="1:7">
      <c r="A290" s="6">
        <f>Calc_Formulas!A286</f>
        <v>0</v>
      </c>
      <c r="B290" s="7">
        <f>Calc_Formulas!AH286</f>
        <v>0</v>
      </c>
      <c r="C290" s="7">
        <f>Calc_Formulas!AI286</f>
        <v>0</v>
      </c>
      <c r="D290" s="7">
        <f>Calc_Formulas!AJ286</f>
        <v>0</v>
      </c>
      <c r="E290" s="6">
        <f>Calc_Formulas!AE286</f>
        <v>0</v>
      </c>
      <c r="F290" s="6">
        <f>Calc_Formulas!AF286</f>
        <v>0</v>
      </c>
      <c r="G290" s="6">
        <f>Calc_Formulas!AG286</f>
        <v>0</v>
      </c>
    </row>
    <row r="291" spans="1:7">
      <c r="A291" s="6">
        <f>Calc_Formulas!A287</f>
        <v>0</v>
      </c>
      <c r="B291" s="7">
        <f>Calc_Formulas!AH287</f>
        <v>0</v>
      </c>
      <c r="C291" s="7">
        <f>Calc_Formulas!AI287</f>
        <v>0</v>
      </c>
      <c r="D291" s="7">
        <f>Calc_Formulas!AJ287</f>
        <v>0</v>
      </c>
      <c r="E291" s="6">
        <f>Calc_Formulas!AE287</f>
        <v>0</v>
      </c>
      <c r="F291" s="6">
        <f>Calc_Formulas!AF287</f>
        <v>0</v>
      </c>
      <c r="G291" s="6">
        <f>Calc_Formulas!AG287</f>
        <v>0</v>
      </c>
    </row>
    <row r="292" spans="1:7">
      <c r="A292" s="6">
        <f>Calc_Formulas!A288</f>
        <v>0</v>
      </c>
      <c r="B292" s="7">
        <f>Calc_Formulas!AH288</f>
        <v>0</v>
      </c>
      <c r="C292" s="7">
        <f>Calc_Formulas!AI288</f>
        <v>0</v>
      </c>
      <c r="D292" s="7">
        <f>Calc_Formulas!AJ288</f>
        <v>0</v>
      </c>
      <c r="E292" s="6">
        <f>Calc_Formulas!AE288</f>
        <v>0</v>
      </c>
      <c r="F292" s="6">
        <f>Calc_Formulas!AF288</f>
        <v>0</v>
      </c>
      <c r="G292" s="6">
        <f>Calc_Formulas!AG288</f>
        <v>0</v>
      </c>
    </row>
    <row r="293" spans="1:7">
      <c r="A293" s="6">
        <f>Calc_Formulas!A289</f>
        <v>0</v>
      </c>
      <c r="B293" s="7">
        <f>Calc_Formulas!AH289</f>
        <v>0</v>
      </c>
      <c r="C293" s="7">
        <f>Calc_Formulas!AI289</f>
        <v>0</v>
      </c>
      <c r="D293" s="7">
        <f>Calc_Formulas!AJ289</f>
        <v>0</v>
      </c>
      <c r="E293" s="6">
        <f>Calc_Formulas!AE289</f>
        <v>0</v>
      </c>
      <c r="F293" s="6">
        <f>Calc_Formulas!AF289</f>
        <v>0</v>
      </c>
      <c r="G293" s="6">
        <f>Calc_Formulas!AG289</f>
        <v>0</v>
      </c>
    </row>
    <row r="294" spans="1:7">
      <c r="A294" s="6">
        <f>Calc_Formulas!A290</f>
        <v>0</v>
      </c>
      <c r="B294" s="7">
        <f>Calc_Formulas!AH290</f>
        <v>0</v>
      </c>
      <c r="C294" s="7">
        <f>Calc_Formulas!AI290</f>
        <v>0</v>
      </c>
      <c r="D294" s="7">
        <f>Calc_Formulas!AJ290</f>
        <v>0</v>
      </c>
      <c r="E294" s="6">
        <f>Calc_Formulas!AE290</f>
        <v>0</v>
      </c>
      <c r="F294" s="6">
        <f>Calc_Formulas!AF290</f>
        <v>0</v>
      </c>
      <c r="G294" s="6">
        <f>Calc_Formulas!AG290</f>
        <v>0</v>
      </c>
    </row>
    <row r="295" spans="1:7">
      <c r="A295" s="6">
        <f>Calc_Formulas!A291</f>
        <v>0</v>
      </c>
      <c r="B295" s="7">
        <f>Calc_Formulas!AH291</f>
        <v>0</v>
      </c>
      <c r="C295" s="7">
        <f>Calc_Formulas!AI291</f>
        <v>0</v>
      </c>
      <c r="D295" s="7">
        <f>Calc_Formulas!AJ291</f>
        <v>0</v>
      </c>
      <c r="E295" s="6">
        <f>Calc_Formulas!AE291</f>
        <v>0</v>
      </c>
      <c r="F295" s="6">
        <f>Calc_Formulas!AF291</f>
        <v>0</v>
      </c>
      <c r="G295" s="6">
        <f>Calc_Formulas!AG291</f>
        <v>0</v>
      </c>
    </row>
    <row r="296" spans="1:7">
      <c r="A296" s="6">
        <f>Calc_Formulas!A292</f>
        <v>0</v>
      </c>
      <c r="B296" s="7">
        <f>Calc_Formulas!AH292</f>
        <v>0</v>
      </c>
      <c r="C296" s="7">
        <f>Calc_Formulas!AI292</f>
        <v>0</v>
      </c>
      <c r="D296" s="7">
        <f>Calc_Formulas!AJ292</f>
        <v>0</v>
      </c>
      <c r="E296" s="6">
        <f>Calc_Formulas!AE292</f>
        <v>0</v>
      </c>
      <c r="F296" s="6">
        <f>Calc_Formulas!AF292</f>
        <v>0</v>
      </c>
      <c r="G296" s="6">
        <f>Calc_Formulas!AG292</f>
        <v>0</v>
      </c>
    </row>
    <row r="297" spans="1:7">
      <c r="A297" s="6">
        <f>Calc_Formulas!A293</f>
        <v>0</v>
      </c>
      <c r="B297" s="7">
        <f>Calc_Formulas!AH293</f>
        <v>0</v>
      </c>
      <c r="C297" s="7">
        <f>Calc_Formulas!AI293</f>
        <v>0</v>
      </c>
      <c r="D297" s="7">
        <f>Calc_Formulas!AJ293</f>
        <v>0</v>
      </c>
      <c r="E297" s="6">
        <f>Calc_Formulas!AE293</f>
        <v>0</v>
      </c>
      <c r="F297" s="6">
        <f>Calc_Formulas!AF293</f>
        <v>0</v>
      </c>
      <c r="G297" s="6">
        <f>Calc_Formulas!AG293</f>
        <v>0</v>
      </c>
    </row>
    <row r="298" spans="1:7">
      <c r="A298" s="6">
        <f>Calc_Formulas!A294</f>
        <v>0</v>
      </c>
      <c r="B298" s="7">
        <f>Calc_Formulas!AH294</f>
        <v>0</v>
      </c>
      <c r="C298" s="7">
        <f>Calc_Formulas!AI294</f>
        <v>0</v>
      </c>
      <c r="D298" s="7">
        <f>Calc_Formulas!AJ294</f>
        <v>0</v>
      </c>
      <c r="E298" s="6">
        <f>Calc_Formulas!AE294</f>
        <v>0</v>
      </c>
      <c r="F298" s="6">
        <f>Calc_Formulas!AF294</f>
        <v>0</v>
      </c>
      <c r="G298" s="6">
        <f>Calc_Formulas!AG294</f>
        <v>0</v>
      </c>
    </row>
    <row r="299" spans="1:7">
      <c r="A299" s="6">
        <f>Calc_Formulas!A295</f>
        <v>0</v>
      </c>
      <c r="B299" s="7">
        <f>Calc_Formulas!AH295</f>
        <v>0</v>
      </c>
      <c r="C299" s="7">
        <f>Calc_Formulas!AI295</f>
        <v>0</v>
      </c>
      <c r="D299" s="7">
        <f>Calc_Formulas!AJ295</f>
        <v>0</v>
      </c>
      <c r="E299" s="6">
        <f>Calc_Formulas!AE295</f>
        <v>0</v>
      </c>
      <c r="F299" s="6">
        <f>Calc_Formulas!AF295</f>
        <v>0</v>
      </c>
      <c r="G299" s="6">
        <f>Calc_Formulas!AG295</f>
        <v>0</v>
      </c>
    </row>
    <row r="300" spans="1:7">
      <c r="A300" s="6">
        <f>Calc_Formulas!A296</f>
        <v>0</v>
      </c>
      <c r="B300" s="7">
        <f>Calc_Formulas!AH296</f>
        <v>0</v>
      </c>
      <c r="C300" s="7">
        <f>Calc_Formulas!AI296</f>
        <v>0</v>
      </c>
      <c r="D300" s="7">
        <f>Calc_Formulas!AJ296</f>
        <v>0</v>
      </c>
      <c r="E300" s="6">
        <f>Calc_Formulas!AE296</f>
        <v>0</v>
      </c>
      <c r="F300" s="6">
        <f>Calc_Formulas!AF296</f>
        <v>0</v>
      </c>
      <c r="G300" s="6">
        <f>Calc_Formulas!AG296</f>
        <v>0</v>
      </c>
    </row>
    <row r="301" spans="1:7">
      <c r="A301" s="6">
        <f>Calc_Formulas!A297</f>
        <v>0</v>
      </c>
      <c r="B301" s="7">
        <f>Calc_Formulas!AH297</f>
        <v>0</v>
      </c>
      <c r="C301" s="7">
        <f>Calc_Formulas!AI297</f>
        <v>0</v>
      </c>
      <c r="D301" s="7">
        <f>Calc_Formulas!AJ297</f>
        <v>0</v>
      </c>
      <c r="E301" s="6">
        <f>Calc_Formulas!AE297</f>
        <v>0</v>
      </c>
      <c r="F301" s="6">
        <f>Calc_Formulas!AF297</f>
        <v>0</v>
      </c>
      <c r="G301" s="6">
        <f>Calc_Formulas!AG297</f>
        <v>0</v>
      </c>
    </row>
    <row r="302" spans="1:7">
      <c r="A302" s="6">
        <f>Calc_Formulas!A298</f>
        <v>0</v>
      </c>
      <c r="B302" s="7">
        <f>Calc_Formulas!AH298</f>
        <v>0</v>
      </c>
      <c r="C302" s="7">
        <f>Calc_Formulas!AI298</f>
        <v>0</v>
      </c>
      <c r="D302" s="7">
        <f>Calc_Formulas!AJ298</f>
        <v>0</v>
      </c>
      <c r="E302" s="6">
        <f>Calc_Formulas!AE298</f>
        <v>0</v>
      </c>
      <c r="F302" s="6">
        <f>Calc_Formulas!AF298</f>
        <v>0</v>
      </c>
      <c r="G302" s="6">
        <f>Calc_Formulas!AG298</f>
        <v>0</v>
      </c>
    </row>
    <row r="303" spans="1:7">
      <c r="A303" s="6">
        <f>Calc_Formulas!A299</f>
        <v>0</v>
      </c>
      <c r="B303" s="7">
        <f>Calc_Formulas!AH299</f>
        <v>0</v>
      </c>
      <c r="C303" s="7">
        <f>Calc_Formulas!AI299</f>
        <v>0</v>
      </c>
      <c r="D303" s="7">
        <f>Calc_Formulas!AJ299</f>
        <v>0</v>
      </c>
      <c r="E303" s="6">
        <f>Calc_Formulas!AE299</f>
        <v>0</v>
      </c>
      <c r="F303" s="6">
        <f>Calc_Formulas!AF299</f>
        <v>0</v>
      </c>
      <c r="G303" s="6">
        <f>Calc_Formulas!AG299</f>
        <v>0</v>
      </c>
    </row>
    <row r="304" spans="1:7">
      <c r="A304" s="6">
        <f>Calc_Formulas!A300</f>
        <v>0</v>
      </c>
      <c r="B304" s="7">
        <f>Calc_Formulas!AH300</f>
        <v>0</v>
      </c>
      <c r="C304" s="7">
        <f>Calc_Formulas!AI300</f>
        <v>0</v>
      </c>
      <c r="D304" s="7">
        <f>Calc_Formulas!AJ300</f>
        <v>0</v>
      </c>
      <c r="E304" s="6">
        <f>Calc_Formulas!AE300</f>
        <v>0</v>
      </c>
      <c r="F304" s="6">
        <f>Calc_Formulas!AF300</f>
        <v>0</v>
      </c>
      <c r="G304" s="6">
        <f>Calc_Formulas!AG300</f>
        <v>0</v>
      </c>
    </row>
    <row r="305" spans="1:7">
      <c r="A305" s="6">
        <f>Calc_Formulas!A301</f>
        <v>0</v>
      </c>
      <c r="B305" s="7">
        <f>Calc_Formulas!AH301</f>
        <v>0</v>
      </c>
      <c r="C305" s="7">
        <f>Calc_Formulas!AI301</f>
        <v>0</v>
      </c>
      <c r="D305" s="7">
        <f>Calc_Formulas!AJ301</f>
        <v>0</v>
      </c>
      <c r="E305" s="6">
        <f>Calc_Formulas!AE301</f>
        <v>0</v>
      </c>
      <c r="F305" s="6">
        <f>Calc_Formulas!AF301</f>
        <v>0</v>
      </c>
      <c r="G305" s="6">
        <f>Calc_Formulas!AG301</f>
        <v>0</v>
      </c>
    </row>
    <row r="306" spans="1:7">
      <c r="A306" s="6">
        <f>Calc_Formulas!A302</f>
        <v>0</v>
      </c>
      <c r="B306" s="7">
        <f>Calc_Formulas!AH302</f>
        <v>0</v>
      </c>
      <c r="C306" s="7">
        <f>Calc_Formulas!AI302</f>
        <v>0</v>
      </c>
      <c r="D306" s="7">
        <f>Calc_Formulas!AJ302</f>
        <v>0</v>
      </c>
      <c r="E306" s="6">
        <f>Calc_Formulas!AE302</f>
        <v>0</v>
      </c>
      <c r="F306" s="6">
        <f>Calc_Formulas!AF302</f>
        <v>0</v>
      </c>
      <c r="G306" s="6">
        <f>Calc_Formulas!AG302</f>
        <v>0</v>
      </c>
    </row>
    <row r="307" spans="1:7">
      <c r="A307" s="6">
        <f>Calc_Formulas!A303</f>
        <v>0</v>
      </c>
      <c r="B307" s="7">
        <f>Calc_Formulas!AH303</f>
        <v>0</v>
      </c>
      <c r="C307" s="7">
        <f>Calc_Formulas!AI303</f>
        <v>0</v>
      </c>
      <c r="D307" s="7">
        <f>Calc_Formulas!AJ303</f>
        <v>0</v>
      </c>
      <c r="E307" s="6">
        <f>Calc_Formulas!AE303</f>
        <v>0</v>
      </c>
      <c r="F307" s="6">
        <f>Calc_Formulas!AF303</f>
        <v>0</v>
      </c>
      <c r="G307" s="6">
        <f>Calc_Formulas!AG303</f>
        <v>0</v>
      </c>
    </row>
    <row r="308" spans="1:7">
      <c r="A308" s="6">
        <f>Calc_Formulas!A304</f>
        <v>0</v>
      </c>
      <c r="B308" s="7">
        <f>Calc_Formulas!AH304</f>
        <v>0</v>
      </c>
      <c r="C308" s="7">
        <f>Calc_Formulas!AI304</f>
        <v>0</v>
      </c>
      <c r="D308" s="7">
        <f>Calc_Formulas!AJ304</f>
        <v>0</v>
      </c>
      <c r="E308" s="6">
        <f>Calc_Formulas!AE304</f>
        <v>0</v>
      </c>
      <c r="F308" s="6">
        <f>Calc_Formulas!AF304</f>
        <v>0</v>
      </c>
      <c r="G308" s="6">
        <f>Calc_Formulas!AG304</f>
        <v>0</v>
      </c>
    </row>
    <row r="309" spans="1:7">
      <c r="A309" s="6">
        <f>Calc_Formulas!A305</f>
        <v>0</v>
      </c>
      <c r="B309" s="7">
        <f>Calc_Formulas!AH305</f>
        <v>0</v>
      </c>
      <c r="C309" s="7">
        <f>Calc_Formulas!AI305</f>
        <v>0</v>
      </c>
      <c r="D309" s="7">
        <f>Calc_Formulas!AJ305</f>
        <v>0</v>
      </c>
      <c r="E309" s="6">
        <f>Calc_Formulas!AE305</f>
        <v>0</v>
      </c>
      <c r="F309" s="6">
        <f>Calc_Formulas!AF305</f>
        <v>0</v>
      </c>
      <c r="G309" s="6">
        <f>Calc_Formulas!AG305</f>
        <v>0</v>
      </c>
    </row>
    <row r="310" spans="1:7">
      <c r="A310" s="6">
        <f>Calc_Formulas!A306</f>
        <v>0</v>
      </c>
      <c r="B310" s="7">
        <f>Calc_Formulas!AH306</f>
        <v>0</v>
      </c>
      <c r="C310" s="7">
        <f>Calc_Formulas!AI306</f>
        <v>0</v>
      </c>
      <c r="D310" s="7">
        <f>Calc_Formulas!AJ306</f>
        <v>0</v>
      </c>
      <c r="E310" s="6">
        <f>Calc_Formulas!AE306</f>
        <v>0</v>
      </c>
      <c r="F310" s="6">
        <f>Calc_Formulas!AF306</f>
        <v>0</v>
      </c>
      <c r="G310" s="6">
        <f>Calc_Formulas!AG306</f>
        <v>0</v>
      </c>
    </row>
    <row r="311" spans="1:7">
      <c r="A311" s="6">
        <f>Calc_Formulas!A307</f>
        <v>0</v>
      </c>
      <c r="B311" s="7">
        <f>Calc_Formulas!AH307</f>
        <v>0</v>
      </c>
      <c r="C311" s="7">
        <f>Calc_Formulas!AI307</f>
        <v>0</v>
      </c>
      <c r="D311" s="7">
        <f>Calc_Formulas!AJ307</f>
        <v>0</v>
      </c>
      <c r="E311" s="6">
        <f>Calc_Formulas!AE307</f>
        <v>0</v>
      </c>
      <c r="F311" s="6">
        <f>Calc_Formulas!AF307</f>
        <v>0</v>
      </c>
      <c r="G311" s="6">
        <f>Calc_Formulas!AG307</f>
        <v>0</v>
      </c>
    </row>
    <row r="312" spans="1:7">
      <c r="A312" s="6">
        <f>Calc_Formulas!A308</f>
        <v>0</v>
      </c>
      <c r="B312" s="7">
        <f>Calc_Formulas!AH308</f>
        <v>0</v>
      </c>
      <c r="C312" s="7">
        <f>Calc_Formulas!AI308</f>
        <v>0</v>
      </c>
      <c r="D312" s="7">
        <f>Calc_Formulas!AJ308</f>
        <v>0</v>
      </c>
      <c r="E312" s="6">
        <f>Calc_Formulas!AE308</f>
        <v>0</v>
      </c>
      <c r="F312" s="6">
        <f>Calc_Formulas!AF308</f>
        <v>0</v>
      </c>
      <c r="G312" s="6">
        <f>Calc_Formulas!AG308</f>
        <v>0</v>
      </c>
    </row>
    <row r="313" spans="1:7">
      <c r="A313" s="6">
        <f>Calc_Formulas!A309</f>
        <v>0</v>
      </c>
      <c r="B313" s="7">
        <f>Calc_Formulas!AH309</f>
        <v>0</v>
      </c>
      <c r="C313" s="7">
        <f>Calc_Formulas!AI309</f>
        <v>0</v>
      </c>
      <c r="D313" s="7">
        <f>Calc_Formulas!AJ309</f>
        <v>0</v>
      </c>
      <c r="E313" s="6">
        <f>Calc_Formulas!AE309</f>
        <v>0</v>
      </c>
      <c r="F313" s="6">
        <f>Calc_Formulas!AF309</f>
        <v>0</v>
      </c>
      <c r="G313" s="6">
        <f>Calc_Formulas!AG309</f>
        <v>0</v>
      </c>
    </row>
    <row r="314" spans="1:7">
      <c r="A314" s="6">
        <f>Calc_Formulas!A310</f>
        <v>0</v>
      </c>
      <c r="B314" s="7">
        <f>Calc_Formulas!AH310</f>
        <v>0</v>
      </c>
      <c r="C314" s="7">
        <f>Calc_Formulas!AI310</f>
        <v>0</v>
      </c>
      <c r="D314" s="7">
        <f>Calc_Formulas!AJ310</f>
        <v>0</v>
      </c>
      <c r="E314" s="6">
        <f>Calc_Formulas!AE310</f>
        <v>0</v>
      </c>
      <c r="F314" s="6">
        <f>Calc_Formulas!AF310</f>
        <v>0</v>
      </c>
      <c r="G314" s="6">
        <f>Calc_Formulas!AG310</f>
        <v>0</v>
      </c>
    </row>
    <row r="315" spans="1:7">
      <c r="A315" s="6">
        <f>Calc_Formulas!A311</f>
        <v>0</v>
      </c>
      <c r="B315" s="7">
        <f>Calc_Formulas!AH311</f>
        <v>0</v>
      </c>
      <c r="C315" s="7">
        <f>Calc_Formulas!AI311</f>
        <v>0</v>
      </c>
      <c r="D315" s="7">
        <f>Calc_Formulas!AJ311</f>
        <v>0</v>
      </c>
      <c r="E315" s="6">
        <f>Calc_Formulas!AE311</f>
        <v>0</v>
      </c>
      <c r="F315" s="6">
        <f>Calc_Formulas!AF311</f>
        <v>0</v>
      </c>
      <c r="G315" s="6">
        <f>Calc_Formulas!AG311</f>
        <v>0</v>
      </c>
    </row>
    <row r="316" spans="1:7">
      <c r="A316" s="6">
        <f>Calc_Formulas!A312</f>
        <v>0</v>
      </c>
      <c r="B316" s="7">
        <f>Calc_Formulas!AH312</f>
        <v>0</v>
      </c>
      <c r="C316" s="7">
        <f>Calc_Formulas!AI312</f>
        <v>0</v>
      </c>
      <c r="D316" s="7">
        <f>Calc_Formulas!AJ312</f>
        <v>0</v>
      </c>
      <c r="E316" s="6">
        <f>Calc_Formulas!AE312</f>
        <v>0</v>
      </c>
      <c r="F316" s="6">
        <f>Calc_Formulas!AF312</f>
        <v>0</v>
      </c>
      <c r="G316" s="6">
        <f>Calc_Formulas!AG312</f>
        <v>0</v>
      </c>
    </row>
    <row r="317" spans="1:7">
      <c r="A317" s="6">
        <f>Calc_Formulas!A313</f>
        <v>0</v>
      </c>
      <c r="B317" s="7">
        <f>Calc_Formulas!AH313</f>
        <v>0</v>
      </c>
      <c r="C317" s="7">
        <f>Calc_Formulas!AI313</f>
        <v>0</v>
      </c>
      <c r="D317" s="7">
        <f>Calc_Formulas!AJ313</f>
        <v>0</v>
      </c>
      <c r="E317" s="6">
        <f>Calc_Formulas!AE313</f>
        <v>0</v>
      </c>
      <c r="F317" s="6">
        <f>Calc_Formulas!AF313</f>
        <v>0</v>
      </c>
      <c r="G317" s="6">
        <f>Calc_Formulas!AG313</f>
        <v>0</v>
      </c>
    </row>
    <row r="318" spans="1:7">
      <c r="A318" s="6">
        <f>Calc_Formulas!A314</f>
        <v>0</v>
      </c>
      <c r="B318" s="7">
        <f>Calc_Formulas!AH314</f>
        <v>0</v>
      </c>
      <c r="C318" s="7">
        <f>Calc_Formulas!AI314</f>
        <v>0</v>
      </c>
      <c r="D318" s="7">
        <f>Calc_Formulas!AJ314</f>
        <v>0</v>
      </c>
      <c r="E318" s="6">
        <f>Calc_Formulas!AE314</f>
        <v>0</v>
      </c>
      <c r="F318" s="6">
        <f>Calc_Formulas!AF314</f>
        <v>0</v>
      </c>
      <c r="G318" s="6">
        <f>Calc_Formulas!AG314</f>
        <v>0</v>
      </c>
    </row>
    <row r="319" spans="1:7">
      <c r="A319" s="6">
        <f>Calc_Formulas!A315</f>
        <v>0</v>
      </c>
      <c r="B319" s="7">
        <f>Calc_Formulas!AH315</f>
        <v>0</v>
      </c>
      <c r="C319" s="7">
        <f>Calc_Formulas!AI315</f>
        <v>0</v>
      </c>
      <c r="D319" s="7">
        <f>Calc_Formulas!AJ315</f>
        <v>0</v>
      </c>
      <c r="E319" s="6">
        <f>Calc_Formulas!AE315</f>
        <v>0</v>
      </c>
      <c r="F319" s="6">
        <f>Calc_Formulas!AF315</f>
        <v>0</v>
      </c>
      <c r="G319" s="6">
        <f>Calc_Formulas!AG315</f>
        <v>0</v>
      </c>
    </row>
    <row r="320" spans="1:7">
      <c r="A320" s="6">
        <f>Calc_Formulas!A316</f>
        <v>0</v>
      </c>
      <c r="B320" s="7">
        <f>Calc_Formulas!AH316</f>
        <v>0</v>
      </c>
      <c r="C320" s="7">
        <f>Calc_Formulas!AI316</f>
        <v>0</v>
      </c>
      <c r="D320" s="7">
        <f>Calc_Formulas!AJ316</f>
        <v>0</v>
      </c>
      <c r="E320" s="6">
        <f>Calc_Formulas!AE316</f>
        <v>0</v>
      </c>
      <c r="F320" s="6">
        <f>Calc_Formulas!AF316</f>
        <v>0</v>
      </c>
      <c r="G320" s="6">
        <f>Calc_Formulas!AG316</f>
        <v>0</v>
      </c>
    </row>
    <row r="321" spans="1:7">
      <c r="A321" s="6">
        <f>Calc_Formulas!A317</f>
        <v>0</v>
      </c>
      <c r="B321" s="7">
        <f>Calc_Formulas!AH317</f>
        <v>0</v>
      </c>
      <c r="C321" s="7">
        <f>Calc_Formulas!AI317</f>
        <v>0</v>
      </c>
      <c r="D321" s="7">
        <f>Calc_Formulas!AJ317</f>
        <v>0</v>
      </c>
      <c r="E321" s="6">
        <f>Calc_Formulas!AE317</f>
        <v>0</v>
      </c>
      <c r="F321" s="6">
        <f>Calc_Formulas!AF317</f>
        <v>0</v>
      </c>
      <c r="G321" s="6">
        <f>Calc_Formulas!AG317</f>
        <v>0</v>
      </c>
    </row>
    <row r="322" spans="1:7">
      <c r="A322" s="6">
        <f>Calc_Formulas!A318</f>
        <v>0</v>
      </c>
      <c r="B322" s="7">
        <f>Calc_Formulas!AH318</f>
        <v>0</v>
      </c>
      <c r="C322" s="7">
        <f>Calc_Formulas!AI318</f>
        <v>0</v>
      </c>
      <c r="D322" s="7">
        <f>Calc_Formulas!AJ318</f>
        <v>0</v>
      </c>
      <c r="E322" s="6">
        <f>Calc_Formulas!AE318</f>
        <v>0</v>
      </c>
      <c r="F322" s="6">
        <f>Calc_Formulas!AF318</f>
        <v>0</v>
      </c>
      <c r="G322" s="6">
        <f>Calc_Formulas!AG318</f>
        <v>0</v>
      </c>
    </row>
    <row r="323" spans="1:7">
      <c r="A323" s="6">
        <f>Calc_Formulas!A319</f>
        <v>0</v>
      </c>
      <c r="B323" s="7">
        <f>Calc_Formulas!AH319</f>
        <v>0</v>
      </c>
      <c r="C323" s="7">
        <f>Calc_Formulas!AI319</f>
        <v>0</v>
      </c>
      <c r="D323" s="7">
        <f>Calc_Formulas!AJ319</f>
        <v>0</v>
      </c>
      <c r="E323" s="6">
        <f>Calc_Formulas!AE319</f>
        <v>0</v>
      </c>
      <c r="F323" s="6">
        <f>Calc_Formulas!AF319</f>
        <v>0</v>
      </c>
      <c r="G323" s="6">
        <f>Calc_Formulas!AG319</f>
        <v>0</v>
      </c>
    </row>
    <row r="324" spans="1:7">
      <c r="A324" s="6">
        <f>Calc_Formulas!A320</f>
        <v>0</v>
      </c>
      <c r="B324" s="7">
        <f>Calc_Formulas!AH320</f>
        <v>0</v>
      </c>
      <c r="C324" s="7">
        <f>Calc_Formulas!AI320</f>
        <v>0</v>
      </c>
      <c r="D324" s="7">
        <f>Calc_Formulas!AJ320</f>
        <v>0</v>
      </c>
      <c r="E324" s="6">
        <f>Calc_Formulas!AE320</f>
        <v>0</v>
      </c>
      <c r="F324" s="6">
        <f>Calc_Formulas!AF320</f>
        <v>0</v>
      </c>
      <c r="G324" s="6">
        <f>Calc_Formulas!AG320</f>
        <v>0</v>
      </c>
    </row>
    <row r="325" spans="1:7">
      <c r="A325" s="6">
        <f>Calc_Formulas!A321</f>
        <v>0</v>
      </c>
      <c r="B325" s="7">
        <f>Calc_Formulas!AH321</f>
        <v>0</v>
      </c>
      <c r="C325" s="7">
        <f>Calc_Formulas!AI321</f>
        <v>0</v>
      </c>
      <c r="D325" s="7">
        <f>Calc_Formulas!AJ321</f>
        <v>0</v>
      </c>
      <c r="E325" s="6">
        <f>Calc_Formulas!AE321</f>
        <v>0</v>
      </c>
      <c r="F325" s="6">
        <f>Calc_Formulas!AF321</f>
        <v>0</v>
      </c>
      <c r="G325" s="6">
        <f>Calc_Formulas!AG321</f>
        <v>0</v>
      </c>
    </row>
    <row r="326" spans="1:7">
      <c r="A326" s="6">
        <f>Calc_Formulas!A322</f>
        <v>0</v>
      </c>
      <c r="B326" s="7">
        <f>Calc_Formulas!AH322</f>
        <v>0</v>
      </c>
      <c r="C326" s="7">
        <f>Calc_Formulas!AI322</f>
        <v>0</v>
      </c>
      <c r="D326" s="7">
        <f>Calc_Formulas!AJ322</f>
        <v>0</v>
      </c>
      <c r="E326" s="6">
        <f>Calc_Formulas!AE322</f>
        <v>0</v>
      </c>
      <c r="F326" s="6">
        <f>Calc_Formulas!AF322</f>
        <v>0</v>
      </c>
      <c r="G326" s="6">
        <f>Calc_Formulas!AG322</f>
        <v>0</v>
      </c>
    </row>
    <row r="327" spans="1:7">
      <c r="A327" s="6">
        <f>Calc_Formulas!A323</f>
        <v>0</v>
      </c>
      <c r="B327" s="7">
        <f>Calc_Formulas!AH323</f>
        <v>0</v>
      </c>
      <c r="C327" s="7">
        <f>Calc_Formulas!AI323</f>
        <v>0</v>
      </c>
      <c r="D327" s="7">
        <f>Calc_Formulas!AJ323</f>
        <v>0</v>
      </c>
      <c r="E327" s="6">
        <f>Calc_Formulas!AE323</f>
        <v>0</v>
      </c>
      <c r="F327" s="6">
        <f>Calc_Formulas!AF323</f>
        <v>0</v>
      </c>
      <c r="G327" s="6">
        <f>Calc_Formulas!AG323</f>
        <v>0</v>
      </c>
    </row>
    <row r="328" spans="1:7">
      <c r="A328" s="6">
        <f>Calc_Formulas!A324</f>
        <v>0</v>
      </c>
      <c r="B328" s="7">
        <f>Calc_Formulas!AH324</f>
        <v>0</v>
      </c>
      <c r="C328" s="7">
        <f>Calc_Formulas!AI324</f>
        <v>0</v>
      </c>
      <c r="D328" s="7">
        <f>Calc_Formulas!AJ324</f>
        <v>0</v>
      </c>
      <c r="E328" s="6">
        <f>Calc_Formulas!AE324</f>
        <v>0</v>
      </c>
      <c r="F328" s="6">
        <f>Calc_Formulas!AF324</f>
        <v>0</v>
      </c>
      <c r="G328" s="6">
        <f>Calc_Formulas!AG324</f>
        <v>0</v>
      </c>
    </row>
    <row r="329" spans="1:7">
      <c r="A329" s="6">
        <f>Calc_Formulas!A325</f>
        <v>0</v>
      </c>
      <c r="B329" s="7">
        <f>Calc_Formulas!AH325</f>
        <v>0</v>
      </c>
      <c r="C329" s="7">
        <f>Calc_Formulas!AI325</f>
        <v>0</v>
      </c>
      <c r="D329" s="7">
        <f>Calc_Formulas!AJ325</f>
        <v>0</v>
      </c>
      <c r="E329" s="6">
        <f>Calc_Formulas!AE325</f>
        <v>0</v>
      </c>
      <c r="F329" s="6">
        <f>Calc_Formulas!AF325</f>
        <v>0</v>
      </c>
      <c r="G329" s="6">
        <f>Calc_Formulas!AG325</f>
        <v>0</v>
      </c>
    </row>
    <row r="330" spans="1:7">
      <c r="A330" s="6">
        <f>Calc_Formulas!A326</f>
        <v>0</v>
      </c>
      <c r="B330" s="7">
        <f>Calc_Formulas!AH326</f>
        <v>0</v>
      </c>
      <c r="C330" s="7">
        <f>Calc_Formulas!AI326</f>
        <v>0</v>
      </c>
      <c r="D330" s="7">
        <f>Calc_Formulas!AJ326</f>
        <v>0</v>
      </c>
      <c r="E330" s="6">
        <f>Calc_Formulas!AE326</f>
        <v>0</v>
      </c>
      <c r="F330" s="6">
        <f>Calc_Formulas!AF326</f>
        <v>0</v>
      </c>
      <c r="G330" s="6">
        <f>Calc_Formulas!AG326</f>
        <v>0</v>
      </c>
    </row>
    <row r="331" spans="1:7">
      <c r="A331" s="6">
        <f>Calc_Formulas!A327</f>
        <v>0</v>
      </c>
      <c r="B331" s="7">
        <f>Calc_Formulas!AH327</f>
        <v>0</v>
      </c>
      <c r="C331" s="7">
        <f>Calc_Formulas!AI327</f>
        <v>0</v>
      </c>
      <c r="D331" s="7">
        <f>Calc_Formulas!AJ327</f>
        <v>0</v>
      </c>
      <c r="E331" s="6">
        <f>Calc_Formulas!AE327</f>
        <v>0</v>
      </c>
      <c r="F331" s="6">
        <f>Calc_Formulas!AF327</f>
        <v>0</v>
      </c>
      <c r="G331" s="6">
        <f>Calc_Formulas!AG327</f>
        <v>0</v>
      </c>
    </row>
    <row r="332" spans="1:7">
      <c r="A332" s="6">
        <f>Calc_Formulas!A328</f>
        <v>0</v>
      </c>
      <c r="B332" s="7">
        <f>Calc_Formulas!AH328</f>
        <v>0</v>
      </c>
      <c r="C332" s="7">
        <f>Calc_Formulas!AI328</f>
        <v>0</v>
      </c>
      <c r="D332" s="7">
        <f>Calc_Formulas!AJ328</f>
        <v>0</v>
      </c>
      <c r="E332" s="6">
        <f>Calc_Formulas!AE328</f>
        <v>0</v>
      </c>
      <c r="F332" s="6">
        <f>Calc_Formulas!AF328</f>
        <v>0</v>
      </c>
      <c r="G332" s="6">
        <f>Calc_Formulas!AG328</f>
        <v>0</v>
      </c>
    </row>
    <row r="333" spans="1:7">
      <c r="A333" s="6">
        <f>Calc_Formulas!A329</f>
        <v>0</v>
      </c>
      <c r="B333" s="7">
        <f>Calc_Formulas!AH329</f>
        <v>0</v>
      </c>
      <c r="C333" s="7">
        <f>Calc_Formulas!AI329</f>
        <v>0</v>
      </c>
      <c r="D333" s="7">
        <f>Calc_Formulas!AJ329</f>
        <v>0</v>
      </c>
      <c r="E333" s="6">
        <f>Calc_Formulas!AE329</f>
        <v>0</v>
      </c>
      <c r="F333" s="6">
        <f>Calc_Formulas!AF329</f>
        <v>0</v>
      </c>
      <c r="G333" s="6">
        <f>Calc_Formulas!AG329</f>
        <v>0</v>
      </c>
    </row>
    <row r="334" spans="1:7">
      <c r="A334" s="6">
        <f>Calc_Formulas!A330</f>
        <v>0</v>
      </c>
      <c r="B334" s="7">
        <f>Calc_Formulas!AH330</f>
        <v>0</v>
      </c>
      <c r="C334" s="7">
        <f>Calc_Formulas!AI330</f>
        <v>0</v>
      </c>
      <c r="D334" s="7">
        <f>Calc_Formulas!AJ330</f>
        <v>0</v>
      </c>
      <c r="E334" s="6">
        <f>Calc_Formulas!AE330</f>
        <v>0</v>
      </c>
      <c r="F334" s="6">
        <f>Calc_Formulas!AF330</f>
        <v>0</v>
      </c>
      <c r="G334" s="6">
        <f>Calc_Formulas!AG330</f>
        <v>0</v>
      </c>
    </row>
    <row r="335" spans="1:7">
      <c r="A335" s="6">
        <f>Calc_Formulas!A331</f>
        <v>0</v>
      </c>
      <c r="B335" s="7">
        <f>Calc_Formulas!AH331</f>
        <v>0</v>
      </c>
      <c r="C335" s="7">
        <f>Calc_Formulas!AI331</f>
        <v>0</v>
      </c>
      <c r="D335" s="7">
        <f>Calc_Formulas!AJ331</f>
        <v>0</v>
      </c>
      <c r="E335" s="6">
        <f>Calc_Formulas!AE331</f>
        <v>0</v>
      </c>
      <c r="F335" s="6">
        <f>Calc_Formulas!AF331</f>
        <v>0</v>
      </c>
      <c r="G335" s="6">
        <f>Calc_Formulas!AG331</f>
        <v>0</v>
      </c>
    </row>
    <row r="336" spans="1:7">
      <c r="A336" s="6">
        <f>Calc_Formulas!A332</f>
        <v>0</v>
      </c>
      <c r="B336" s="7">
        <f>Calc_Formulas!AH332</f>
        <v>0</v>
      </c>
      <c r="C336" s="7">
        <f>Calc_Formulas!AI332</f>
        <v>0</v>
      </c>
      <c r="D336" s="7">
        <f>Calc_Formulas!AJ332</f>
        <v>0</v>
      </c>
      <c r="E336" s="6">
        <f>Calc_Formulas!AE332</f>
        <v>0</v>
      </c>
      <c r="F336" s="6">
        <f>Calc_Formulas!AF332</f>
        <v>0</v>
      </c>
      <c r="G336" s="6">
        <f>Calc_Formulas!AG332</f>
        <v>0</v>
      </c>
    </row>
    <row r="337" spans="1:7">
      <c r="A337" s="6">
        <f>Calc_Formulas!A333</f>
        <v>0</v>
      </c>
      <c r="B337" s="7">
        <f>Calc_Formulas!AH333</f>
        <v>0</v>
      </c>
      <c r="C337" s="7">
        <f>Calc_Formulas!AI333</f>
        <v>0</v>
      </c>
      <c r="D337" s="7">
        <f>Calc_Formulas!AJ333</f>
        <v>0</v>
      </c>
      <c r="E337" s="6">
        <f>Calc_Formulas!AE333</f>
        <v>0</v>
      </c>
      <c r="F337" s="6">
        <f>Calc_Formulas!AF333</f>
        <v>0</v>
      </c>
      <c r="G337" s="6">
        <f>Calc_Formulas!AG333</f>
        <v>0</v>
      </c>
    </row>
    <row r="338" spans="1:7">
      <c r="A338" s="6">
        <f>Calc_Formulas!A334</f>
        <v>0</v>
      </c>
      <c r="B338" s="7">
        <f>Calc_Formulas!AH334</f>
        <v>0</v>
      </c>
      <c r="C338" s="7">
        <f>Calc_Formulas!AI334</f>
        <v>0</v>
      </c>
      <c r="D338" s="7">
        <f>Calc_Formulas!AJ334</f>
        <v>0</v>
      </c>
      <c r="E338" s="6">
        <f>Calc_Formulas!AE334</f>
        <v>0</v>
      </c>
      <c r="F338" s="6">
        <f>Calc_Formulas!AF334</f>
        <v>0</v>
      </c>
      <c r="G338" s="6">
        <f>Calc_Formulas!AG334</f>
        <v>0</v>
      </c>
    </row>
    <row r="339" spans="1:7">
      <c r="A339" s="6">
        <f>Calc_Formulas!A335</f>
        <v>0</v>
      </c>
      <c r="B339" s="7">
        <f>Calc_Formulas!AH335</f>
        <v>0</v>
      </c>
      <c r="C339" s="7">
        <f>Calc_Formulas!AI335</f>
        <v>0</v>
      </c>
      <c r="D339" s="7">
        <f>Calc_Formulas!AJ335</f>
        <v>0</v>
      </c>
      <c r="E339" s="6">
        <f>Calc_Formulas!AE335</f>
        <v>0</v>
      </c>
      <c r="F339" s="6">
        <f>Calc_Formulas!AF335</f>
        <v>0</v>
      </c>
      <c r="G339" s="6">
        <f>Calc_Formulas!AG335</f>
        <v>0</v>
      </c>
    </row>
    <row r="340" spans="1:7">
      <c r="A340" s="6">
        <f>Calc_Formulas!A336</f>
        <v>0</v>
      </c>
      <c r="B340" s="7">
        <f>Calc_Formulas!AH336</f>
        <v>0</v>
      </c>
      <c r="C340" s="7">
        <f>Calc_Formulas!AI336</f>
        <v>0</v>
      </c>
      <c r="D340" s="7">
        <f>Calc_Formulas!AJ336</f>
        <v>0</v>
      </c>
      <c r="E340" s="6">
        <f>Calc_Formulas!AE336</f>
        <v>0</v>
      </c>
      <c r="F340" s="6">
        <f>Calc_Formulas!AF336</f>
        <v>0</v>
      </c>
      <c r="G340" s="6">
        <f>Calc_Formulas!AG336</f>
        <v>0</v>
      </c>
    </row>
    <row r="341" spans="1:7">
      <c r="A341" s="6">
        <f>Calc_Formulas!A337</f>
        <v>0</v>
      </c>
      <c r="B341" s="7">
        <f>Calc_Formulas!AH337</f>
        <v>0</v>
      </c>
      <c r="C341" s="7">
        <f>Calc_Formulas!AI337</f>
        <v>0</v>
      </c>
      <c r="D341" s="7">
        <f>Calc_Formulas!AJ337</f>
        <v>0</v>
      </c>
      <c r="E341" s="6">
        <f>Calc_Formulas!AE337</f>
        <v>0</v>
      </c>
      <c r="F341" s="6">
        <f>Calc_Formulas!AF337</f>
        <v>0</v>
      </c>
      <c r="G341" s="6">
        <f>Calc_Formulas!AG337</f>
        <v>0</v>
      </c>
    </row>
    <row r="342" spans="1:7">
      <c r="A342" s="6">
        <f>Calc_Formulas!A338</f>
        <v>0</v>
      </c>
      <c r="B342" s="7">
        <f>Calc_Formulas!AH338</f>
        <v>0</v>
      </c>
      <c r="C342" s="7">
        <f>Calc_Formulas!AI338</f>
        <v>0</v>
      </c>
      <c r="D342" s="7">
        <f>Calc_Formulas!AJ338</f>
        <v>0</v>
      </c>
      <c r="E342" s="6">
        <f>Calc_Formulas!AE338</f>
        <v>0</v>
      </c>
      <c r="F342" s="6">
        <f>Calc_Formulas!AF338</f>
        <v>0</v>
      </c>
      <c r="G342" s="6">
        <f>Calc_Formulas!AG338</f>
        <v>0</v>
      </c>
    </row>
    <row r="343" spans="1:7">
      <c r="A343" s="6">
        <f>Calc_Formulas!A339</f>
        <v>0</v>
      </c>
      <c r="B343" s="7">
        <f>Calc_Formulas!AH339</f>
        <v>0</v>
      </c>
      <c r="C343" s="7">
        <f>Calc_Formulas!AI339</f>
        <v>0</v>
      </c>
      <c r="D343" s="7">
        <f>Calc_Formulas!AJ339</f>
        <v>0</v>
      </c>
      <c r="E343" s="6">
        <f>Calc_Formulas!AE339</f>
        <v>0</v>
      </c>
      <c r="F343" s="6">
        <f>Calc_Formulas!AF339</f>
        <v>0</v>
      </c>
      <c r="G343" s="6">
        <f>Calc_Formulas!AG339</f>
        <v>0</v>
      </c>
    </row>
    <row r="344" spans="1:7">
      <c r="A344" s="6">
        <f>Calc_Formulas!A340</f>
        <v>0</v>
      </c>
      <c r="B344" s="7">
        <f>Calc_Formulas!AH340</f>
        <v>0</v>
      </c>
      <c r="C344" s="7">
        <f>Calc_Formulas!AI340</f>
        <v>0</v>
      </c>
      <c r="D344" s="7">
        <f>Calc_Formulas!AJ340</f>
        <v>0</v>
      </c>
      <c r="E344" s="6">
        <f>Calc_Formulas!AE340</f>
        <v>0</v>
      </c>
      <c r="F344" s="6">
        <f>Calc_Formulas!AF340</f>
        <v>0</v>
      </c>
      <c r="G344" s="6">
        <f>Calc_Formulas!AG340</f>
        <v>0</v>
      </c>
    </row>
    <row r="345" spans="1:7">
      <c r="A345" s="6">
        <f>Calc_Formulas!A341</f>
        <v>0</v>
      </c>
      <c r="B345" s="7">
        <f>Calc_Formulas!AH341</f>
        <v>0</v>
      </c>
      <c r="C345" s="7">
        <f>Calc_Formulas!AI341</f>
        <v>0</v>
      </c>
      <c r="D345" s="7">
        <f>Calc_Formulas!AJ341</f>
        <v>0</v>
      </c>
      <c r="E345" s="6">
        <f>Calc_Formulas!AE341</f>
        <v>0</v>
      </c>
      <c r="F345" s="6">
        <f>Calc_Formulas!AF341</f>
        <v>0</v>
      </c>
      <c r="G345" s="6">
        <f>Calc_Formulas!AG341</f>
        <v>0</v>
      </c>
    </row>
    <row r="346" spans="1:7">
      <c r="A346" s="6">
        <f>Calc_Formulas!A342</f>
        <v>0</v>
      </c>
      <c r="B346" s="7">
        <f>Calc_Formulas!AH342</f>
        <v>0</v>
      </c>
      <c r="C346" s="7">
        <f>Calc_Formulas!AI342</f>
        <v>0</v>
      </c>
      <c r="D346" s="7">
        <f>Calc_Formulas!AJ342</f>
        <v>0</v>
      </c>
      <c r="E346" s="6">
        <f>Calc_Formulas!AE342</f>
        <v>0</v>
      </c>
      <c r="F346" s="6">
        <f>Calc_Formulas!AF342</f>
        <v>0</v>
      </c>
      <c r="G346" s="6">
        <f>Calc_Formulas!AG342</f>
        <v>0</v>
      </c>
    </row>
    <row r="347" spans="1:7">
      <c r="A347" s="6">
        <f>Calc_Formulas!A343</f>
        <v>0</v>
      </c>
      <c r="B347" s="7">
        <f>Calc_Formulas!AH343</f>
        <v>0</v>
      </c>
      <c r="C347" s="7">
        <f>Calc_Formulas!AI343</f>
        <v>0</v>
      </c>
      <c r="D347" s="7">
        <f>Calc_Formulas!AJ343</f>
        <v>0</v>
      </c>
      <c r="E347" s="6">
        <f>Calc_Formulas!AE343</f>
        <v>0</v>
      </c>
      <c r="F347" s="6">
        <f>Calc_Formulas!AF343</f>
        <v>0</v>
      </c>
      <c r="G347" s="6">
        <f>Calc_Formulas!AG343</f>
        <v>0</v>
      </c>
    </row>
    <row r="348" spans="1:7">
      <c r="A348" s="6">
        <f>Calc_Formulas!A344</f>
        <v>0</v>
      </c>
      <c r="B348" s="7">
        <f>Calc_Formulas!AH344</f>
        <v>0</v>
      </c>
      <c r="C348" s="7">
        <f>Calc_Formulas!AI344</f>
        <v>0</v>
      </c>
      <c r="D348" s="7">
        <f>Calc_Formulas!AJ344</f>
        <v>0</v>
      </c>
      <c r="E348" s="6">
        <f>Calc_Formulas!AE344</f>
        <v>0</v>
      </c>
      <c r="F348" s="6">
        <f>Calc_Formulas!AF344</f>
        <v>0</v>
      </c>
      <c r="G348" s="6">
        <f>Calc_Formulas!AG344</f>
        <v>0</v>
      </c>
    </row>
    <row r="349" spans="1:7">
      <c r="A349" s="6">
        <f>Calc_Formulas!A345</f>
        <v>0</v>
      </c>
      <c r="B349" s="7">
        <f>Calc_Formulas!AH345</f>
        <v>0</v>
      </c>
      <c r="C349" s="7">
        <f>Calc_Formulas!AI345</f>
        <v>0</v>
      </c>
      <c r="D349" s="7">
        <f>Calc_Formulas!AJ345</f>
        <v>0</v>
      </c>
      <c r="E349" s="6">
        <f>Calc_Formulas!AE345</f>
        <v>0</v>
      </c>
      <c r="F349" s="6">
        <f>Calc_Formulas!AF345</f>
        <v>0</v>
      </c>
      <c r="G349" s="6">
        <f>Calc_Formulas!AG345</f>
        <v>0</v>
      </c>
    </row>
    <row r="350" spans="1:7">
      <c r="A350" s="6">
        <f>Calc_Formulas!A346</f>
        <v>0</v>
      </c>
      <c r="B350" s="7">
        <f>Calc_Formulas!AH346</f>
        <v>0</v>
      </c>
      <c r="C350" s="7">
        <f>Calc_Formulas!AI346</f>
        <v>0</v>
      </c>
      <c r="D350" s="7">
        <f>Calc_Formulas!AJ346</f>
        <v>0</v>
      </c>
      <c r="E350" s="6">
        <f>Calc_Formulas!AE346</f>
        <v>0</v>
      </c>
      <c r="F350" s="6">
        <f>Calc_Formulas!AF346</f>
        <v>0</v>
      </c>
      <c r="G350" s="6">
        <f>Calc_Formulas!AG346</f>
        <v>0</v>
      </c>
    </row>
    <row r="351" spans="1:7">
      <c r="A351" s="6">
        <f>Calc_Formulas!A347</f>
        <v>0</v>
      </c>
      <c r="B351" s="7">
        <f>Calc_Formulas!AH347</f>
        <v>0</v>
      </c>
      <c r="C351" s="7">
        <f>Calc_Formulas!AI347</f>
        <v>0</v>
      </c>
      <c r="D351" s="7">
        <f>Calc_Formulas!AJ347</f>
        <v>0</v>
      </c>
      <c r="E351" s="6">
        <f>Calc_Formulas!AE347</f>
        <v>0</v>
      </c>
      <c r="F351" s="6">
        <f>Calc_Formulas!AF347</f>
        <v>0</v>
      </c>
      <c r="G351" s="6">
        <f>Calc_Formulas!AG347</f>
        <v>0</v>
      </c>
    </row>
    <row r="352" spans="1:7">
      <c r="A352" s="6">
        <f>Calc_Formulas!A348</f>
        <v>0</v>
      </c>
      <c r="B352" s="7">
        <f>Calc_Formulas!AH348</f>
        <v>0</v>
      </c>
      <c r="C352" s="7">
        <f>Calc_Formulas!AI348</f>
        <v>0</v>
      </c>
      <c r="D352" s="7">
        <f>Calc_Formulas!AJ348</f>
        <v>0</v>
      </c>
      <c r="E352" s="6">
        <f>Calc_Formulas!AE348</f>
        <v>0</v>
      </c>
      <c r="F352" s="6">
        <f>Calc_Formulas!AF348</f>
        <v>0</v>
      </c>
      <c r="G352" s="6">
        <f>Calc_Formulas!AG348</f>
        <v>0</v>
      </c>
    </row>
    <row r="353" spans="1:7">
      <c r="A353" s="6">
        <f>Calc_Formulas!A349</f>
        <v>0</v>
      </c>
      <c r="B353" s="7">
        <f>Calc_Formulas!AH349</f>
        <v>0</v>
      </c>
      <c r="C353" s="7">
        <f>Calc_Formulas!AI349</f>
        <v>0</v>
      </c>
      <c r="D353" s="7">
        <f>Calc_Formulas!AJ349</f>
        <v>0</v>
      </c>
      <c r="E353" s="6">
        <f>Calc_Formulas!AE349</f>
        <v>0</v>
      </c>
      <c r="F353" s="6">
        <f>Calc_Formulas!AF349</f>
        <v>0</v>
      </c>
      <c r="G353" s="6">
        <f>Calc_Formulas!AG349</f>
        <v>0</v>
      </c>
    </row>
    <row r="354" spans="1:7">
      <c r="A354" s="6">
        <f>Calc_Formulas!A350</f>
        <v>0</v>
      </c>
      <c r="B354" s="7">
        <f>Calc_Formulas!AH350</f>
        <v>0</v>
      </c>
      <c r="C354" s="7">
        <f>Calc_Formulas!AI350</f>
        <v>0</v>
      </c>
      <c r="D354" s="7">
        <f>Calc_Formulas!AJ350</f>
        <v>0</v>
      </c>
      <c r="E354" s="6">
        <f>Calc_Formulas!AE350</f>
        <v>0</v>
      </c>
      <c r="F354" s="6">
        <f>Calc_Formulas!AF350</f>
        <v>0</v>
      </c>
      <c r="G354" s="6">
        <f>Calc_Formulas!AG350</f>
        <v>0</v>
      </c>
    </row>
    <row r="355" spans="1:7">
      <c r="A355" s="6">
        <f>Calc_Formulas!A351</f>
        <v>0</v>
      </c>
      <c r="B355" s="7">
        <f>Calc_Formulas!AH351</f>
        <v>0</v>
      </c>
      <c r="C355" s="7">
        <f>Calc_Formulas!AI351</f>
        <v>0</v>
      </c>
      <c r="D355" s="7">
        <f>Calc_Formulas!AJ351</f>
        <v>0</v>
      </c>
      <c r="E355" s="6">
        <f>Calc_Formulas!AE351</f>
        <v>0</v>
      </c>
      <c r="F355" s="6">
        <f>Calc_Formulas!AF351</f>
        <v>0</v>
      </c>
      <c r="G355" s="6">
        <f>Calc_Formulas!AG351</f>
        <v>0</v>
      </c>
    </row>
    <row r="356" spans="1:7">
      <c r="A356" s="6">
        <f>Calc_Formulas!A352</f>
        <v>0</v>
      </c>
      <c r="B356" s="7">
        <f>Calc_Formulas!AH352</f>
        <v>0</v>
      </c>
      <c r="C356" s="7">
        <f>Calc_Formulas!AI352</f>
        <v>0</v>
      </c>
      <c r="D356" s="7">
        <f>Calc_Formulas!AJ352</f>
        <v>0</v>
      </c>
      <c r="E356" s="6">
        <f>Calc_Formulas!AE352</f>
        <v>0</v>
      </c>
      <c r="F356" s="6">
        <f>Calc_Formulas!AF352</f>
        <v>0</v>
      </c>
      <c r="G356" s="6">
        <f>Calc_Formulas!AG352</f>
        <v>0</v>
      </c>
    </row>
    <row r="357" spans="1:7">
      <c r="A357" s="6">
        <f>Calc_Formulas!A353</f>
        <v>0</v>
      </c>
      <c r="B357" s="7">
        <f>Calc_Formulas!AH353</f>
        <v>0</v>
      </c>
      <c r="C357" s="7">
        <f>Calc_Formulas!AI353</f>
        <v>0</v>
      </c>
      <c r="D357" s="7">
        <f>Calc_Formulas!AJ353</f>
        <v>0</v>
      </c>
      <c r="E357" s="6">
        <f>Calc_Formulas!AE353</f>
        <v>0</v>
      </c>
      <c r="F357" s="6">
        <f>Calc_Formulas!AF353</f>
        <v>0</v>
      </c>
      <c r="G357" s="6">
        <f>Calc_Formulas!AG353</f>
        <v>0</v>
      </c>
    </row>
    <row r="358" spans="1:7">
      <c r="A358" s="6">
        <f>Calc_Formulas!A354</f>
        <v>0</v>
      </c>
      <c r="B358" s="7">
        <f>Calc_Formulas!AH354</f>
        <v>0</v>
      </c>
      <c r="C358" s="7">
        <f>Calc_Formulas!AI354</f>
        <v>0</v>
      </c>
      <c r="D358" s="7">
        <f>Calc_Formulas!AJ354</f>
        <v>0</v>
      </c>
      <c r="E358" s="6">
        <f>Calc_Formulas!AE354</f>
        <v>0</v>
      </c>
      <c r="F358" s="6">
        <f>Calc_Formulas!AF354</f>
        <v>0</v>
      </c>
      <c r="G358" s="6">
        <f>Calc_Formulas!AG354</f>
        <v>0</v>
      </c>
    </row>
    <row r="359" spans="1:7">
      <c r="A359" s="6">
        <f>Calc_Formulas!A355</f>
        <v>0</v>
      </c>
      <c r="B359" s="7">
        <f>Calc_Formulas!AH355</f>
        <v>0</v>
      </c>
      <c r="C359" s="7">
        <f>Calc_Formulas!AI355</f>
        <v>0</v>
      </c>
      <c r="D359" s="7">
        <f>Calc_Formulas!AJ355</f>
        <v>0</v>
      </c>
      <c r="E359" s="6">
        <f>Calc_Formulas!AE355</f>
        <v>0</v>
      </c>
      <c r="F359" s="6">
        <f>Calc_Formulas!AF355</f>
        <v>0</v>
      </c>
      <c r="G359" s="6">
        <f>Calc_Formulas!AG355</f>
        <v>0</v>
      </c>
    </row>
    <row r="360" spans="1:7">
      <c r="A360" s="6">
        <f>Calc_Formulas!A356</f>
        <v>0</v>
      </c>
      <c r="B360" s="7">
        <f>Calc_Formulas!AH356</f>
        <v>0</v>
      </c>
      <c r="C360" s="7">
        <f>Calc_Formulas!AI356</f>
        <v>0</v>
      </c>
      <c r="D360" s="7">
        <f>Calc_Formulas!AJ356</f>
        <v>0</v>
      </c>
      <c r="E360" s="6">
        <f>Calc_Formulas!AE356</f>
        <v>0</v>
      </c>
      <c r="F360" s="6">
        <f>Calc_Formulas!AF356</f>
        <v>0</v>
      </c>
      <c r="G360" s="6">
        <f>Calc_Formulas!AG356</f>
        <v>0</v>
      </c>
    </row>
    <row r="361" spans="1:7">
      <c r="A361" s="6">
        <f>Calc_Formulas!A357</f>
        <v>0</v>
      </c>
      <c r="B361" s="7">
        <f>Calc_Formulas!AH357</f>
        <v>0</v>
      </c>
      <c r="C361" s="7">
        <f>Calc_Formulas!AI357</f>
        <v>0</v>
      </c>
      <c r="D361" s="7">
        <f>Calc_Formulas!AJ357</f>
        <v>0</v>
      </c>
      <c r="E361" s="6">
        <f>Calc_Formulas!AE357</f>
        <v>0</v>
      </c>
      <c r="F361" s="6">
        <f>Calc_Formulas!AF357</f>
        <v>0</v>
      </c>
      <c r="G361" s="6">
        <f>Calc_Formulas!AG357</f>
        <v>0</v>
      </c>
    </row>
    <row r="362" spans="1:7">
      <c r="A362" s="6">
        <f>Calc_Formulas!A358</f>
        <v>0</v>
      </c>
      <c r="B362" s="7">
        <f>Calc_Formulas!AH358</f>
        <v>0</v>
      </c>
      <c r="C362" s="7">
        <f>Calc_Formulas!AI358</f>
        <v>0</v>
      </c>
      <c r="D362" s="7">
        <f>Calc_Formulas!AJ358</f>
        <v>0</v>
      </c>
      <c r="E362" s="6">
        <f>Calc_Formulas!AE358</f>
        <v>0</v>
      </c>
      <c r="F362" s="6">
        <f>Calc_Formulas!AF358</f>
        <v>0</v>
      </c>
      <c r="G362" s="6">
        <f>Calc_Formulas!AG358</f>
        <v>0</v>
      </c>
    </row>
    <row r="363" spans="1:7">
      <c r="A363" s="6">
        <f>Calc_Formulas!A359</f>
        <v>0</v>
      </c>
      <c r="B363" s="7">
        <f>Calc_Formulas!AH359</f>
        <v>0</v>
      </c>
      <c r="C363" s="7">
        <f>Calc_Formulas!AI359</f>
        <v>0</v>
      </c>
      <c r="D363" s="7">
        <f>Calc_Formulas!AJ359</f>
        <v>0</v>
      </c>
      <c r="E363" s="6">
        <f>Calc_Formulas!AE359</f>
        <v>0</v>
      </c>
      <c r="F363" s="6">
        <f>Calc_Formulas!AF359</f>
        <v>0</v>
      </c>
      <c r="G363" s="6">
        <f>Calc_Formulas!AG359</f>
        <v>0</v>
      </c>
    </row>
    <row r="364" spans="1:7">
      <c r="A364" s="6">
        <f>Calc_Formulas!A360</f>
        <v>0</v>
      </c>
      <c r="B364" s="7">
        <f>Calc_Formulas!AH360</f>
        <v>0</v>
      </c>
      <c r="C364" s="7">
        <f>Calc_Formulas!AI360</f>
        <v>0</v>
      </c>
      <c r="D364" s="7">
        <f>Calc_Formulas!AJ360</f>
        <v>0</v>
      </c>
      <c r="E364" s="6">
        <f>Calc_Formulas!AE360</f>
        <v>0</v>
      </c>
      <c r="F364" s="6">
        <f>Calc_Formulas!AF360</f>
        <v>0</v>
      </c>
      <c r="G364" s="6">
        <f>Calc_Formulas!AG360</f>
        <v>0</v>
      </c>
    </row>
    <row r="365" spans="1:7">
      <c r="A365" s="6">
        <f>Calc_Formulas!A361</f>
        <v>0</v>
      </c>
      <c r="B365" s="7">
        <f>Calc_Formulas!AH361</f>
        <v>0</v>
      </c>
      <c r="C365" s="7">
        <f>Calc_Formulas!AI361</f>
        <v>0</v>
      </c>
      <c r="D365" s="7">
        <f>Calc_Formulas!AJ361</f>
        <v>0</v>
      </c>
      <c r="E365" s="6">
        <f>Calc_Formulas!AE361</f>
        <v>0</v>
      </c>
      <c r="F365" s="6">
        <f>Calc_Formulas!AF361</f>
        <v>0</v>
      </c>
      <c r="G365" s="6">
        <f>Calc_Formulas!AG361</f>
        <v>0</v>
      </c>
    </row>
    <row r="366" spans="1:7">
      <c r="A366" s="6">
        <f>Calc_Formulas!A362</f>
        <v>0</v>
      </c>
      <c r="B366" s="7">
        <f>Calc_Formulas!AH362</f>
        <v>0</v>
      </c>
      <c r="C366" s="7">
        <f>Calc_Formulas!AI362</f>
        <v>0</v>
      </c>
      <c r="D366" s="7">
        <f>Calc_Formulas!AJ362</f>
        <v>0</v>
      </c>
      <c r="E366" s="6">
        <f>Calc_Formulas!AE362</f>
        <v>0</v>
      </c>
      <c r="F366" s="6">
        <f>Calc_Formulas!AF362</f>
        <v>0</v>
      </c>
      <c r="G366" s="6">
        <f>Calc_Formulas!AG362</f>
        <v>0</v>
      </c>
    </row>
    <row r="367" spans="1:7">
      <c r="A367" s="6">
        <f>Calc_Formulas!A363</f>
        <v>0</v>
      </c>
      <c r="B367" s="7">
        <f>Calc_Formulas!AH363</f>
        <v>0</v>
      </c>
      <c r="C367" s="7">
        <f>Calc_Formulas!AI363</f>
        <v>0</v>
      </c>
      <c r="D367" s="7">
        <f>Calc_Formulas!AJ363</f>
        <v>0</v>
      </c>
      <c r="E367" s="6">
        <f>Calc_Formulas!AE363</f>
        <v>0</v>
      </c>
      <c r="F367" s="6">
        <f>Calc_Formulas!AF363</f>
        <v>0</v>
      </c>
      <c r="G367" s="6">
        <f>Calc_Formulas!AG363</f>
        <v>0</v>
      </c>
    </row>
    <row r="368" spans="1:7">
      <c r="A368" s="6">
        <f>Calc_Formulas!A364</f>
        <v>0</v>
      </c>
      <c r="B368" s="7">
        <f>Calc_Formulas!AH364</f>
        <v>0</v>
      </c>
      <c r="C368" s="7">
        <f>Calc_Formulas!AI364</f>
        <v>0</v>
      </c>
      <c r="D368" s="7">
        <f>Calc_Formulas!AJ364</f>
        <v>0</v>
      </c>
      <c r="E368" s="6">
        <f>Calc_Formulas!AE364</f>
        <v>0</v>
      </c>
      <c r="F368" s="6">
        <f>Calc_Formulas!AF364</f>
        <v>0</v>
      </c>
      <c r="G368" s="6">
        <f>Calc_Formulas!AG364</f>
        <v>0</v>
      </c>
    </row>
    <row r="369" spans="1:7">
      <c r="A369" s="6">
        <f>Calc_Formulas!A365</f>
        <v>0</v>
      </c>
      <c r="B369" s="7">
        <f>Calc_Formulas!AH365</f>
        <v>0</v>
      </c>
      <c r="C369" s="7">
        <f>Calc_Formulas!AI365</f>
        <v>0</v>
      </c>
      <c r="D369" s="7">
        <f>Calc_Formulas!AJ365</f>
        <v>0</v>
      </c>
      <c r="E369" s="6">
        <f>Calc_Formulas!AE365</f>
        <v>0</v>
      </c>
      <c r="F369" s="6">
        <f>Calc_Formulas!AF365</f>
        <v>0</v>
      </c>
      <c r="G369" s="6">
        <f>Calc_Formulas!AG365</f>
        <v>0</v>
      </c>
    </row>
    <row r="370" spans="1:7">
      <c r="A370" s="6">
        <f>Calc_Formulas!A366</f>
        <v>0</v>
      </c>
      <c r="B370" s="7">
        <f>Calc_Formulas!AH366</f>
        <v>0</v>
      </c>
      <c r="C370" s="7">
        <f>Calc_Formulas!AI366</f>
        <v>0</v>
      </c>
      <c r="D370" s="7">
        <f>Calc_Formulas!AJ366</f>
        <v>0</v>
      </c>
      <c r="E370" s="6">
        <f>Calc_Formulas!AE366</f>
        <v>0</v>
      </c>
      <c r="F370" s="6">
        <f>Calc_Formulas!AF366</f>
        <v>0</v>
      </c>
      <c r="G370" s="6">
        <f>Calc_Formulas!AG366</f>
        <v>0</v>
      </c>
    </row>
    <row r="371" spans="1:7">
      <c r="A371" s="6">
        <f>Calc_Formulas!A367</f>
        <v>0</v>
      </c>
      <c r="B371" s="7">
        <f>Calc_Formulas!AH367</f>
        <v>0</v>
      </c>
      <c r="C371" s="7">
        <f>Calc_Formulas!AI367</f>
        <v>0</v>
      </c>
      <c r="D371" s="7">
        <f>Calc_Formulas!AJ367</f>
        <v>0</v>
      </c>
      <c r="E371" s="6">
        <f>Calc_Formulas!AE367</f>
        <v>0</v>
      </c>
      <c r="F371" s="6">
        <f>Calc_Formulas!AF367</f>
        <v>0</v>
      </c>
      <c r="G371" s="6">
        <f>Calc_Formulas!AG367</f>
        <v>0</v>
      </c>
    </row>
    <row r="372" spans="1:7">
      <c r="A372" s="6">
        <f>Calc_Formulas!A368</f>
        <v>0</v>
      </c>
      <c r="B372" s="7">
        <f>Calc_Formulas!AH368</f>
        <v>0</v>
      </c>
      <c r="C372" s="7">
        <f>Calc_Formulas!AI368</f>
        <v>0</v>
      </c>
      <c r="D372" s="7">
        <f>Calc_Formulas!AJ368</f>
        <v>0</v>
      </c>
      <c r="E372" s="6">
        <f>Calc_Formulas!AE368</f>
        <v>0</v>
      </c>
      <c r="F372" s="6">
        <f>Calc_Formulas!AF368</f>
        <v>0</v>
      </c>
      <c r="G372" s="6">
        <f>Calc_Formulas!AG368</f>
        <v>0</v>
      </c>
    </row>
    <row r="373" spans="1:7">
      <c r="A373" s="6">
        <f>Calc_Formulas!A369</f>
        <v>0</v>
      </c>
      <c r="B373" s="7">
        <f>Calc_Formulas!AH369</f>
        <v>0</v>
      </c>
      <c r="C373" s="7">
        <f>Calc_Formulas!AI369</f>
        <v>0</v>
      </c>
      <c r="D373" s="7">
        <f>Calc_Formulas!AJ369</f>
        <v>0</v>
      </c>
      <c r="E373" s="6">
        <f>Calc_Formulas!AE369</f>
        <v>0</v>
      </c>
      <c r="F373" s="6">
        <f>Calc_Formulas!AF369</f>
        <v>0</v>
      </c>
      <c r="G373" s="6">
        <f>Calc_Formulas!AG369</f>
        <v>0</v>
      </c>
    </row>
    <row r="374" spans="1:7">
      <c r="A374" s="6">
        <f>Calc_Formulas!A370</f>
        <v>0</v>
      </c>
      <c r="B374" s="7">
        <f>Calc_Formulas!AH370</f>
        <v>0</v>
      </c>
      <c r="C374" s="7">
        <f>Calc_Formulas!AI370</f>
        <v>0</v>
      </c>
      <c r="D374" s="7">
        <f>Calc_Formulas!AJ370</f>
        <v>0</v>
      </c>
      <c r="E374" s="6">
        <f>Calc_Formulas!AE370</f>
        <v>0</v>
      </c>
      <c r="F374" s="6">
        <f>Calc_Formulas!AF370</f>
        <v>0</v>
      </c>
      <c r="G374" s="6">
        <f>Calc_Formulas!AG370</f>
        <v>0</v>
      </c>
    </row>
    <row r="375" spans="1:7">
      <c r="A375" s="6">
        <f>Calc_Formulas!A371</f>
        <v>0</v>
      </c>
      <c r="B375" s="7">
        <f>Calc_Formulas!AH371</f>
        <v>0</v>
      </c>
      <c r="C375" s="7">
        <f>Calc_Formulas!AI371</f>
        <v>0</v>
      </c>
      <c r="D375" s="7">
        <f>Calc_Formulas!AJ371</f>
        <v>0</v>
      </c>
      <c r="E375" s="6">
        <f>Calc_Formulas!AE371</f>
        <v>0</v>
      </c>
      <c r="F375" s="6">
        <f>Calc_Formulas!AF371</f>
        <v>0</v>
      </c>
      <c r="G375" s="6">
        <f>Calc_Formulas!AG371</f>
        <v>0</v>
      </c>
    </row>
    <row r="376" spans="1:7">
      <c r="A376" s="6">
        <f>Calc_Formulas!A372</f>
        <v>0</v>
      </c>
      <c r="B376" s="7">
        <f>Calc_Formulas!AH372</f>
        <v>0</v>
      </c>
      <c r="C376" s="7">
        <f>Calc_Formulas!AI372</f>
        <v>0</v>
      </c>
      <c r="D376" s="7">
        <f>Calc_Formulas!AJ372</f>
        <v>0</v>
      </c>
      <c r="E376" s="6">
        <f>Calc_Formulas!AE372</f>
        <v>0</v>
      </c>
      <c r="F376" s="6">
        <f>Calc_Formulas!AF372</f>
        <v>0</v>
      </c>
      <c r="G376" s="6">
        <f>Calc_Formulas!AG372</f>
        <v>0</v>
      </c>
    </row>
    <row r="377" spans="1:7">
      <c r="A377" s="6">
        <f>Calc_Formulas!A373</f>
        <v>0</v>
      </c>
      <c r="B377" s="7">
        <f>Calc_Formulas!AH373</f>
        <v>0</v>
      </c>
      <c r="C377" s="7">
        <f>Calc_Formulas!AI373</f>
        <v>0</v>
      </c>
      <c r="D377" s="7">
        <f>Calc_Formulas!AJ373</f>
        <v>0</v>
      </c>
      <c r="E377" s="6">
        <f>Calc_Formulas!AE373</f>
        <v>0</v>
      </c>
      <c r="F377" s="6">
        <f>Calc_Formulas!AF373</f>
        <v>0</v>
      </c>
      <c r="G377" s="6">
        <f>Calc_Formulas!AG373</f>
        <v>0</v>
      </c>
    </row>
    <row r="378" spans="1:7">
      <c r="A378" s="6">
        <f>Calc_Formulas!A374</f>
        <v>0</v>
      </c>
      <c r="B378" s="7">
        <f>Calc_Formulas!AH374</f>
        <v>0</v>
      </c>
      <c r="C378" s="7">
        <f>Calc_Formulas!AI374</f>
        <v>0</v>
      </c>
      <c r="D378" s="7">
        <f>Calc_Formulas!AJ374</f>
        <v>0</v>
      </c>
      <c r="E378" s="6">
        <f>Calc_Formulas!AE374</f>
        <v>0</v>
      </c>
      <c r="F378" s="6">
        <f>Calc_Formulas!AF374</f>
        <v>0</v>
      </c>
      <c r="G378" s="6">
        <f>Calc_Formulas!AG374</f>
        <v>0</v>
      </c>
    </row>
    <row r="379" spans="1:7">
      <c r="A379" s="6">
        <f>Calc_Formulas!A375</f>
        <v>0</v>
      </c>
      <c r="B379" s="7">
        <f>Calc_Formulas!AH375</f>
        <v>0</v>
      </c>
      <c r="C379" s="7">
        <f>Calc_Formulas!AI375</f>
        <v>0</v>
      </c>
      <c r="D379" s="7">
        <f>Calc_Formulas!AJ375</f>
        <v>0</v>
      </c>
      <c r="E379" s="6">
        <f>Calc_Formulas!AE375</f>
        <v>0</v>
      </c>
      <c r="F379" s="6">
        <f>Calc_Formulas!AF375</f>
        <v>0</v>
      </c>
      <c r="G379" s="6">
        <f>Calc_Formulas!AG375</f>
        <v>0</v>
      </c>
    </row>
    <row r="380" spans="1:7">
      <c r="A380" s="6">
        <f>Calc_Formulas!A376</f>
        <v>0</v>
      </c>
      <c r="B380" s="7">
        <f>Calc_Formulas!AH376</f>
        <v>0</v>
      </c>
      <c r="C380" s="7">
        <f>Calc_Formulas!AI376</f>
        <v>0</v>
      </c>
      <c r="D380" s="7">
        <f>Calc_Formulas!AJ376</f>
        <v>0</v>
      </c>
      <c r="E380" s="6">
        <f>Calc_Formulas!AE376</f>
        <v>0</v>
      </c>
      <c r="F380" s="6">
        <f>Calc_Formulas!AF376</f>
        <v>0</v>
      </c>
      <c r="G380" s="6">
        <f>Calc_Formulas!AG376</f>
        <v>0</v>
      </c>
    </row>
    <row r="381" spans="1:7">
      <c r="A381" s="6">
        <f>Calc_Formulas!A377</f>
        <v>0</v>
      </c>
      <c r="B381" s="7">
        <f>Calc_Formulas!AH377</f>
        <v>0</v>
      </c>
      <c r="C381" s="7">
        <f>Calc_Formulas!AI377</f>
        <v>0</v>
      </c>
      <c r="D381" s="7">
        <f>Calc_Formulas!AJ377</f>
        <v>0</v>
      </c>
      <c r="E381" s="6">
        <f>Calc_Formulas!AE377</f>
        <v>0</v>
      </c>
      <c r="F381" s="6">
        <f>Calc_Formulas!AF377</f>
        <v>0</v>
      </c>
      <c r="G381" s="6">
        <f>Calc_Formulas!AG377</f>
        <v>0</v>
      </c>
    </row>
    <row r="382" spans="1:7">
      <c r="A382" s="6">
        <f>Calc_Formulas!A378</f>
        <v>0</v>
      </c>
      <c r="B382" s="7">
        <f>Calc_Formulas!AH378</f>
        <v>0</v>
      </c>
      <c r="C382" s="7">
        <f>Calc_Formulas!AI378</f>
        <v>0</v>
      </c>
      <c r="D382" s="7">
        <f>Calc_Formulas!AJ378</f>
        <v>0</v>
      </c>
      <c r="E382" s="6">
        <f>Calc_Formulas!AE378</f>
        <v>0</v>
      </c>
      <c r="F382" s="6">
        <f>Calc_Formulas!AF378</f>
        <v>0</v>
      </c>
      <c r="G382" s="6">
        <f>Calc_Formulas!AG378</f>
        <v>0</v>
      </c>
    </row>
    <row r="383" spans="1:7">
      <c r="A383" s="6">
        <f>Calc_Formulas!A379</f>
        <v>0</v>
      </c>
      <c r="B383" s="7">
        <f>Calc_Formulas!AH379</f>
        <v>0</v>
      </c>
      <c r="C383" s="7">
        <f>Calc_Formulas!AI379</f>
        <v>0</v>
      </c>
      <c r="D383" s="7">
        <f>Calc_Formulas!AJ379</f>
        <v>0</v>
      </c>
      <c r="E383" s="6">
        <f>Calc_Formulas!AE379</f>
        <v>0</v>
      </c>
      <c r="F383" s="6">
        <f>Calc_Formulas!AF379</f>
        <v>0</v>
      </c>
      <c r="G383" s="6">
        <f>Calc_Formulas!AG379</f>
        <v>0</v>
      </c>
    </row>
    <row r="384" spans="1:7">
      <c r="A384" s="6">
        <f>Calc_Formulas!A380</f>
        <v>0</v>
      </c>
      <c r="B384" s="7">
        <f>Calc_Formulas!AH380</f>
        <v>0</v>
      </c>
      <c r="C384" s="7">
        <f>Calc_Formulas!AI380</f>
        <v>0</v>
      </c>
      <c r="D384" s="7">
        <f>Calc_Formulas!AJ380</f>
        <v>0</v>
      </c>
      <c r="E384" s="6">
        <f>Calc_Formulas!AE380</f>
        <v>0</v>
      </c>
      <c r="F384" s="6">
        <f>Calc_Formulas!AF380</f>
        <v>0</v>
      </c>
      <c r="G384" s="6">
        <f>Calc_Formulas!AG380</f>
        <v>0</v>
      </c>
    </row>
    <row r="385" spans="1:7">
      <c r="A385" s="6">
        <f>Calc_Formulas!A381</f>
        <v>0</v>
      </c>
      <c r="B385" s="7">
        <f>Calc_Formulas!AH381</f>
        <v>0</v>
      </c>
      <c r="C385" s="7">
        <f>Calc_Formulas!AI381</f>
        <v>0</v>
      </c>
      <c r="D385" s="7">
        <f>Calc_Formulas!AJ381</f>
        <v>0</v>
      </c>
      <c r="E385" s="6">
        <f>Calc_Formulas!AE381</f>
        <v>0</v>
      </c>
      <c r="F385" s="6">
        <f>Calc_Formulas!AF381</f>
        <v>0</v>
      </c>
      <c r="G385" s="6">
        <f>Calc_Formulas!AG381</f>
        <v>0</v>
      </c>
    </row>
    <row r="386" spans="1:7">
      <c r="A386" s="6">
        <f>Calc_Formulas!A382</f>
        <v>0</v>
      </c>
      <c r="B386" s="7">
        <f>Calc_Formulas!AH382</f>
        <v>0</v>
      </c>
      <c r="C386" s="7">
        <f>Calc_Formulas!AI382</f>
        <v>0</v>
      </c>
      <c r="D386" s="7">
        <f>Calc_Formulas!AJ382</f>
        <v>0</v>
      </c>
      <c r="E386" s="6">
        <f>Calc_Formulas!AE382</f>
        <v>0</v>
      </c>
      <c r="F386" s="6">
        <f>Calc_Formulas!AF382</f>
        <v>0</v>
      </c>
      <c r="G386" s="6">
        <f>Calc_Formulas!AG382</f>
        <v>0</v>
      </c>
    </row>
    <row r="387" spans="1:7">
      <c r="A387" s="6">
        <f>Calc_Formulas!A383</f>
        <v>0</v>
      </c>
      <c r="B387" s="7">
        <f>Calc_Formulas!AH383</f>
        <v>0</v>
      </c>
      <c r="C387" s="7">
        <f>Calc_Formulas!AI383</f>
        <v>0</v>
      </c>
      <c r="D387" s="7">
        <f>Calc_Formulas!AJ383</f>
        <v>0</v>
      </c>
      <c r="E387" s="6">
        <f>Calc_Formulas!AE383</f>
        <v>0</v>
      </c>
      <c r="F387" s="6">
        <f>Calc_Formulas!AF383</f>
        <v>0</v>
      </c>
      <c r="G387" s="6">
        <f>Calc_Formulas!AG383</f>
        <v>0</v>
      </c>
    </row>
    <row r="388" spans="1:7">
      <c r="A388" s="6">
        <f>Calc_Formulas!A384</f>
        <v>0</v>
      </c>
      <c r="B388" s="7">
        <f>Calc_Formulas!AH384</f>
        <v>0</v>
      </c>
      <c r="C388" s="7">
        <f>Calc_Formulas!AI384</f>
        <v>0</v>
      </c>
      <c r="D388" s="7">
        <f>Calc_Formulas!AJ384</f>
        <v>0</v>
      </c>
      <c r="E388" s="6">
        <f>Calc_Formulas!AE384</f>
        <v>0</v>
      </c>
      <c r="F388" s="6">
        <f>Calc_Formulas!AF384</f>
        <v>0</v>
      </c>
      <c r="G388" s="6">
        <f>Calc_Formulas!AG384</f>
        <v>0</v>
      </c>
    </row>
    <row r="389" spans="1:7">
      <c r="A389" s="6">
        <f>Calc_Formulas!A385</f>
        <v>0</v>
      </c>
      <c r="B389" s="7">
        <f>Calc_Formulas!AH385</f>
        <v>0</v>
      </c>
      <c r="C389" s="7">
        <f>Calc_Formulas!AI385</f>
        <v>0</v>
      </c>
      <c r="D389" s="7">
        <f>Calc_Formulas!AJ385</f>
        <v>0</v>
      </c>
      <c r="E389" s="6">
        <f>Calc_Formulas!AE385</f>
        <v>0</v>
      </c>
      <c r="F389" s="6">
        <f>Calc_Formulas!AF385</f>
        <v>0</v>
      </c>
      <c r="G389" s="6">
        <f>Calc_Formulas!AG385</f>
        <v>0</v>
      </c>
    </row>
    <row r="390" spans="1:7">
      <c r="A390" s="6">
        <f>Calc_Formulas!A386</f>
        <v>0</v>
      </c>
      <c r="B390" s="7">
        <f>Calc_Formulas!AH386</f>
        <v>0</v>
      </c>
      <c r="C390" s="7">
        <f>Calc_Formulas!AI386</f>
        <v>0</v>
      </c>
      <c r="D390" s="7">
        <f>Calc_Formulas!AJ386</f>
        <v>0</v>
      </c>
      <c r="E390" s="6">
        <f>Calc_Formulas!AE386</f>
        <v>0</v>
      </c>
      <c r="F390" s="6">
        <f>Calc_Formulas!AF386</f>
        <v>0</v>
      </c>
      <c r="G390" s="6">
        <f>Calc_Formulas!AG386</f>
        <v>0</v>
      </c>
    </row>
    <row r="391" spans="1:7">
      <c r="A391" s="6">
        <f>Calc_Formulas!A387</f>
        <v>0</v>
      </c>
      <c r="B391" s="7">
        <f>Calc_Formulas!AH387</f>
        <v>0</v>
      </c>
      <c r="C391" s="7">
        <f>Calc_Formulas!AI387</f>
        <v>0</v>
      </c>
      <c r="D391" s="7">
        <f>Calc_Formulas!AJ387</f>
        <v>0</v>
      </c>
      <c r="E391" s="6">
        <f>Calc_Formulas!AE387</f>
        <v>0</v>
      </c>
      <c r="F391" s="6">
        <f>Calc_Formulas!AF387</f>
        <v>0</v>
      </c>
      <c r="G391" s="6">
        <f>Calc_Formulas!AG387</f>
        <v>0</v>
      </c>
    </row>
    <row r="392" spans="1:7">
      <c r="A392" s="6">
        <f>Calc_Formulas!A388</f>
        <v>0</v>
      </c>
      <c r="B392" s="7">
        <f>Calc_Formulas!AH388</f>
        <v>0</v>
      </c>
      <c r="C392" s="7">
        <f>Calc_Formulas!AI388</f>
        <v>0</v>
      </c>
      <c r="D392" s="7">
        <f>Calc_Formulas!AJ388</f>
        <v>0</v>
      </c>
      <c r="E392" s="6">
        <f>Calc_Formulas!AE388</f>
        <v>0</v>
      </c>
      <c r="F392" s="6">
        <f>Calc_Formulas!AF388</f>
        <v>0</v>
      </c>
      <c r="G392" s="6">
        <f>Calc_Formulas!AG388</f>
        <v>0</v>
      </c>
    </row>
    <row r="393" spans="1:7">
      <c r="A393" s="6">
        <f>Calc_Formulas!A389</f>
        <v>0</v>
      </c>
      <c r="B393" s="7">
        <f>Calc_Formulas!AH389</f>
        <v>0</v>
      </c>
      <c r="C393" s="7">
        <f>Calc_Formulas!AI389</f>
        <v>0</v>
      </c>
      <c r="D393" s="7">
        <f>Calc_Formulas!AJ389</f>
        <v>0</v>
      </c>
      <c r="E393" s="6">
        <f>Calc_Formulas!AE389</f>
        <v>0</v>
      </c>
      <c r="F393" s="6">
        <f>Calc_Formulas!AF389</f>
        <v>0</v>
      </c>
      <c r="G393" s="6">
        <f>Calc_Formulas!AG389</f>
        <v>0</v>
      </c>
    </row>
    <row r="394" spans="1:7">
      <c r="A394" s="6">
        <f>Calc_Formulas!A390</f>
        <v>0</v>
      </c>
      <c r="B394" s="7">
        <f>Calc_Formulas!AH390</f>
        <v>0</v>
      </c>
      <c r="C394" s="7">
        <f>Calc_Formulas!AI390</f>
        <v>0</v>
      </c>
      <c r="D394" s="7">
        <f>Calc_Formulas!AJ390</f>
        <v>0</v>
      </c>
      <c r="E394" s="6">
        <f>Calc_Formulas!AE390</f>
        <v>0</v>
      </c>
      <c r="F394" s="6">
        <f>Calc_Formulas!AF390</f>
        <v>0</v>
      </c>
      <c r="G394" s="6">
        <f>Calc_Formulas!AG390</f>
        <v>0</v>
      </c>
    </row>
    <row r="395" spans="1:7">
      <c r="A395" s="6">
        <f>Calc_Formulas!A391</f>
        <v>0</v>
      </c>
      <c r="B395" s="7">
        <f>Calc_Formulas!AH391</f>
        <v>0</v>
      </c>
      <c r="C395" s="7">
        <f>Calc_Formulas!AI391</f>
        <v>0</v>
      </c>
      <c r="D395" s="7">
        <f>Calc_Formulas!AJ391</f>
        <v>0</v>
      </c>
      <c r="E395" s="6">
        <f>Calc_Formulas!AE391</f>
        <v>0</v>
      </c>
      <c r="F395" s="6">
        <f>Calc_Formulas!AF391</f>
        <v>0</v>
      </c>
      <c r="G395" s="6">
        <f>Calc_Formulas!AG391</f>
        <v>0</v>
      </c>
    </row>
    <row r="396" spans="1:7">
      <c r="A396" s="6">
        <f>Calc_Formulas!A392</f>
        <v>0</v>
      </c>
      <c r="B396" s="7">
        <f>Calc_Formulas!AH392</f>
        <v>0</v>
      </c>
      <c r="C396" s="7">
        <f>Calc_Formulas!AI392</f>
        <v>0</v>
      </c>
      <c r="D396" s="7">
        <f>Calc_Formulas!AJ392</f>
        <v>0</v>
      </c>
      <c r="E396" s="6">
        <f>Calc_Formulas!AE392</f>
        <v>0</v>
      </c>
      <c r="F396" s="6">
        <f>Calc_Formulas!AF392</f>
        <v>0</v>
      </c>
      <c r="G396" s="6">
        <f>Calc_Formulas!AG392</f>
        <v>0</v>
      </c>
    </row>
    <row r="397" spans="1:7">
      <c r="A397" s="6">
        <f>Calc_Formulas!A393</f>
        <v>0</v>
      </c>
      <c r="B397" s="7">
        <f>Calc_Formulas!AH393</f>
        <v>0</v>
      </c>
      <c r="C397" s="7">
        <f>Calc_Formulas!AI393</f>
        <v>0</v>
      </c>
      <c r="D397" s="7">
        <f>Calc_Formulas!AJ393</f>
        <v>0</v>
      </c>
      <c r="E397" s="6">
        <f>Calc_Formulas!AE393</f>
        <v>0</v>
      </c>
      <c r="F397" s="6">
        <f>Calc_Formulas!AF393</f>
        <v>0</v>
      </c>
      <c r="G397" s="6">
        <f>Calc_Formulas!AG393</f>
        <v>0</v>
      </c>
    </row>
    <row r="398" spans="1:7">
      <c r="A398" s="6">
        <f>Calc_Formulas!A394</f>
        <v>0</v>
      </c>
      <c r="B398" s="7">
        <f>Calc_Formulas!AH394</f>
        <v>0</v>
      </c>
      <c r="C398" s="7">
        <f>Calc_Formulas!AI394</f>
        <v>0</v>
      </c>
      <c r="D398" s="7">
        <f>Calc_Formulas!AJ394</f>
        <v>0</v>
      </c>
      <c r="E398" s="6">
        <f>Calc_Formulas!AE394</f>
        <v>0</v>
      </c>
      <c r="F398" s="6">
        <f>Calc_Formulas!AF394</f>
        <v>0</v>
      </c>
      <c r="G398" s="6">
        <f>Calc_Formulas!AG394</f>
        <v>0</v>
      </c>
    </row>
    <row r="399" spans="1:7">
      <c r="A399" s="6">
        <f>Calc_Formulas!A395</f>
        <v>0</v>
      </c>
      <c r="B399" s="7">
        <f>Calc_Formulas!AH395</f>
        <v>0</v>
      </c>
      <c r="C399" s="7">
        <f>Calc_Formulas!AI395</f>
        <v>0</v>
      </c>
      <c r="D399" s="7">
        <f>Calc_Formulas!AJ395</f>
        <v>0</v>
      </c>
      <c r="E399" s="6">
        <f>Calc_Formulas!AE395</f>
        <v>0</v>
      </c>
      <c r="F399" s="6">
        <f>Calc_Formulas!AF395</f>
        <v>0</v>
      </c>
      <c r="G399" s="6">
        <f>Calc_Formulas!AG395</f>
        <v>0</v>
      </c>
    </row>
    <row r="400" spans="1:7">
      <c r="A400" s="6">
        <f>Calc_Formulas!A396</f>
        <v>0</v>
      </c>
      <c r="B400" s="7">
        <f>Calc_Formulas!AH396</f>
        <v>0</v>
      </c>
      <c r="C400" s="7">
        <f>Calc_Formulas!AI396</f>
        <v>0</v>
      </c>
      <c r="D400" s="7">
        <f>Calc_Formulas!AJ396</f>
        <v>0</v>
      </c>
      <c r="E400" s="6">
        <f>Calc_Formulas!AE396</f>
        <v>0</v>
      </c>
      <c r="F400" s="6">
        <f>Calc_Formulas!AF396</f>
        <v>0</v>
      </c>
      <c r="G400" s="6">
        <f>Calc_Formulas!AG396</f>
        <v>0</v>
      </c>
    </row>
    <row r="401" spans="1:7">
      <c r="A401" s="6">
        <f>Calc_Formulas!A397</f>
        <v>0</v>
      </c>
      <c r="B401" s="7">
        <f>Calc_Formulas!AH397</f>
        <v>0</v>
      </c>
      <c r="C401" s="7">
        <f>Calc_Formulas!AI397</f>
        <v>0</v>
      </c>
      <c r="D401" s="7">
        <f>Calc_Formulas!AJ397</f>
        <v>0</v>
      </c>
      <c r="E401" s="6">
        <f>Calc_Formulas!AE397</f>
        <v>0</v>
      </c>
      <c r="F401" s="6">
        <f>Calc_Formulas!AF397</f>
        <v>0</v>
      </c>
      <c r="G401" s="6">
        <f>Calc_Formulas!AG397</f>
        <v>0</v>
      </c>
    </row>
    <row r="402" spans="1:7">
      <c r="A402" s="6">
        <f>Calc_Formulas!A398</f>
        <v>0</v>
      </c>
      <c r="B402" s="7">
        <f>Calc_Formulas!AH398</f>
        <v>0</v>
      </c>
      <c r="C402" s="7">
        <f>Calc_Formulas!AI398</f>
        <v>0</v>
      </c>
      <c r="D402" s="7">
        <f>Calc_Formulas!AJ398</f>
        <v>0</v>
      </c>
      <c r="E402" s="6">
        <f>Calc_Formulas!AE398</f>
        <v>0</v>
      </c>
      <c r="F402" s="6">
        <f>Calc_Formulas!AF398</f>
        <v>0</v>
      </c>
      <c r="G402" s="6">
        <f>Calc_Formulas!AG398</f>
        <v>0</v>
      </c>
    </row>
    <row r="403" spans="1:7">
      <c r="A403" s="6">
        <f>Calc_Formulas!A399</f>
        <v>0</v>
      </c>
      <c r="B403" s="7">
        <f>Calc_Formulas!AH399</f>
        <v>0</v>
      </c>
      <c r="C403" s="7">
        <f>Calc_Formulas!AI399</f>
        <v>0</v>
      </c>
      <c r="D403" s="7">
        <f>Calc_Formulas!AJ399</f>
        <v>0</v>
      </c>
      <c r="E403" s="6">
        <f>Calc_Formulas!AE399</f>
        <v>0</v>
      </c>
      <c r="F403" s="6">
        <f>Calc_Formulas!AF399</f>
        <v>0</v>
      </c>
      <c r="G403" s="6">
        <f>Calc_Formulas!AG399</f>
        <v>0</v>
      </c>
    </row>
    <row r="404" spans="1:7">
      <c r="A404" s="6">
        <f>Calc_Formulas!A400</f>
        <v>0</v>
      </c>
      <c r="B404" s="7">
        <f>Calc_Formulas!AH400</f>
        <v>0</v>
      </c>
      <c r="C404" s="7">
        <f>Calc_Formulas!AI400</f>
        <v>0</v>
      </c>
      <c r="D404" s="7">
        <f>Calc_Formulas!AJ400</f>
        <v>0</v>
      </c>
      <c r="E404" s="6">
        <f>Calc_Formulas!AE400</f>
        <v>0</v>
      </c>
      <c r="F404" s="6">
        <f>Calc_Formulas!AF400</f>
        <v>0</v>
      </c>
      <c r="G404" s="6">
        <f>Calc_Formulas!AG400</f>
        <v>0</v>
      </c>
    </row>
    <row r="405" spans="1:7">
      <c r="A405" s="6">
        <f>Calc_Formulas!A401</f>
        <v>0</v>
      </c>
      <c r="B405" s="7">
        <f>Calc_Formulas!AH401</f>
        <v>0</v>
      </c>
      <c r="C405" s="7">
        <f>Calc_Formulas!AI401</f>
        <v>0</v>
      </c>
      <c r="D405" s="7">
        <f>Calc_Formulas!AJ401</f>
        <v>0</v>
      </c>
      <c r="E405" s="6">
        <f>Calc_Formulas!AE401</f>
        <v>0</v>
      </c>
      <c r="F405" s="6">
        <f>Calc_Formulas!AF401</f>
        <v>0</v>
      </c>
      <c r="G405" s="6">
        <f>Calc_Formulas!AG401</f>
        <v>0</v>
      </c>
    </row>
    <row r="406" spans="1:7">
      <c r="A406" s="6">
        <f>Calc_Formulas!A402</f>
        <v>0</v>
      </c>
      <c r="B406" s="7">
        <f>Calc_Formulas!AH402</f>
        <v>0</v>
      </c>
      <c r="C406" s="7">
        <f>Calc_Formulas!AI402</f>
        <v>0</v>
      </c>
      <c r="D406" s="7">
        <f>Calc_Formulas!AJ402</f>
        <v>0</v>
      </c>
      <c r="E406" s="6">
        <f>Calc_Formulas!AE402</f>
        <v>0</v>
      </c>
      <c r="F406" s="6">
        <f>Calc_Formulas!AF402</f>
        <v>0</v>
      </c>
      <c r="G406" s="6">
        <f>Calc_Formulas!AG402</f>
        <v>0</v>
      </c>
    </row>
    <row r="407" spans="1:7">
      <c r="A407" s="6">
        <f>Calc_Formulas!A403</f>
        <v>0</v>
      </c>
      <c r="B407" s="7">
        <f>Calc_Formulas!AH403</f>
        <v>0</v>
      </c>
      <c r="C407" s="7">
        <f>Calc_Formulas!AI403</f>
        <v>0</v>
      </c>
      <c r="D407" s="7">
        <f>Calc_Formulas!AJ403</f>
        <v>0</v>
      </c>
      <c r="E407" s="6">
        <f>Calc_Formulas!AE403</f>
        <v>0</v>
      </c>
      <c r="F407" s="6">
        <f>Calc_Formulas!AF403</f>
        <v>0</v>
      </c>
      <c r="G407" s="6">
        <f>Calc_Formulas!AG403</f>
        <v>0</v>
      </c>
    </row>
    <row r="408" spans="1:7">
      <c r="A408" s="6">
        <f>Calc_Formulas!A404</f>
        <v>0</v>
      </c>
      <c r="B408" s="7">
        <f>Calc_Formulas!AH404</f>
        <v>0</v>
      </c>
      <c r="C408" s="7">
        <f>Calc_Formulas!AI404</f>
        <v>0</v>
      </c>
      <c r="D408" s="7">
        <f>Calc_Formulas!AJ404</f>
        <v>0</v>
      </c>
      <c r="E408" s="6">
        <f>Calc_Formulas!AE404</f>
        <v>0</v>
      </c>
      <c r="F408" s="6">
        <f>Calc_Formulas!AF404</f>
        <v>0</v>
      </c>
      <c r="G408" s="6">
        <f>Calc_Formulas!AG404</f>
        <v>0</v>
      </c>
    </row>
    <row r="409" spans="1:7">
      <c r="A409" s="6">
        <f>Calc_Formulas!A405</f>
        <v>0</v>
      </c>
      <c r="B409" s="7">
        <f>Calc_Formulas!AH405</f>
        <v>0</v>
      </c>
      <c r="C409" s="7">
        <f>Calc_Formulas!AI405</f>
        <v>0</v>
      </c>
      <c r="D409" s="7">
        <f>Calc_Formulas!AJ405</f>
        <v>0</v>
      </c>
      <c r="E409" s="6">
        <f>Calc_Formulas!AE405</f>
        <v>0</v>
      </c>
      <c r="F409" s="6">
        <f>Calc_Formulas!AF405</f>
        <v>0</v>
      </c>
      <c r="G409" s="6">
        <f>Calc_Formulas!AG405</f>
        <v>0</v>
      </c>
    </row>
    <row r="410" spans="1:7">
      <c r="A410" s="6">
        <f>Calc_Formulas!A406</f>
        <v>0</v>
      </c>
      <c r="B410" s="7">
        <f>Calc_Formulas!AH406</f>
        <v>0</v>
      </c>
      <c r="C410" s="7">
        <f>Calc_Formulas!AI406</f>
        <v>0</v>
      </c>
      <c r="D410" s="7">
        <f>Calc_Formulas!AJ406</f>
        <v>0</v>
      </c>
      <c r="E410" s="6">
        <f>Calc_Formulas!AE406</f>
        <v>0</v>
      </c>
      <c r="F410" s="6">
        <f>Calc_Formulas!AF406</f>
        <v>0</v>
      </c>
      <c r="G410" s="6">
        <f>Calc_Formulas!AG406</f>
        <v>0</v>
      </c>
    </row>
    <row r="411" spans="1:7">
      <c r="A411" s="6">
        <f>Calc_Formulas!A407</f>
        <v>0</v>
      </c>
      <c r="B411" s="7">
        <f>Calc_Formulas!AH407</f>
        <v>0</v>
      </c>
      <c r="C411" s="7">
        <f>Calc_Formulas!AI407</f>
        <v>0</v>
      </c>
      <c r="D411" s="7">
        <f>Calc_Formulas!AJ407</f>
        <v>0</v>
      </c>
      <c r="E411" s="6">
        <f>Calc_Formulas!AE407</f>
        <v>0</v>
      </c>
      <c r="F411" s="6">
        <f>Calc_Formulas!AF407</f>
        <v>0</v>
      </c>
      <c r="G411" s="6">
        <f>Calc_Formulas!AG407</f>
        <v>0</v>
      </c>
    </row>
    <row r="412" spans="1:7">
      <c r="A412" s="6">
        <f>Calc_Formulas!A408</f>
        <v>0</v>
      </c>
      <c r="B412" s="7">
        <f>Calc_Formulas!AH408</f>
        <v>0</v>
      </c>
      <c r="C412" s="7">
        <f>Calc_Formulas!AI408</f>
        <v>0</v>
      </c>
      <c r="D412" s="7">
        <f>Calc_Formulas!AJ408</f>
        <v>0</v>
      </c>
      <c r="E412" s="6">
        <f>Calc_Formulas!AE408</f>
        <v>0</v>
      </c>
      <c r="F412" s="6">
        <f>Calc_Formulas!AF408</f>
        <v>0</v>
      </c>
      <c r="G412" s="6">
        <f>Calc_Formulas!AG408</f>
        <v>0</v>
      </c>
    </row>
    <row r="413" spans="1:7">
      <c r="A413" s="6">
        <f>Calc_Formulas!A409</f>
        <v>0</v>
      </c>
      <c r="B413" s="7">
        <f>Calc_Formulas!AH409</f>
        <v>0</v>
      </c>
      <c r="C413" s="7">
        <f>Calc_Formulas!AI409</f>
        <v>0</v>
      </c>
      <c r="D413" s="7">
        <f>Calc_Formulas!AJ409</f>
        <v>0</v>
      </c>
      <c r="E413" s="6">
        <f>Calc_Formulas!AE409</f>
        <v>0</v>
      </c>
      <c r="F413" s="6">
        <f>Calc_Formulas!AF409</f>
        <v>0</v>
      </c>
      <c r="G413" s="6">
        <f>Calc_Formulas!AG409</f>
        <v>0</v>
      </c>
    </row>
    <row r="414" spans="1:7">
      <c r="A414" s="6">
        <f>Calc_Formulas!A410</f>
        <v>0</v>
      </c>
      <c r="B414" s="7">
        <f>Calc_Formulas!AH410</f>
        <v>0</v>
      </c>
      <c r="C414" s="7">
        <f>Calc_Formulas!AI410</f>
        <v>0</v>
      </c>
      <c r="D414" s="7">
        <f>Calc_Formulas!AJ410</f>
        <v>0</v>
      </c>
      <c r="E414" s="6">
        <f>Calc_Formulas!AE410</f>
        <v>0</v>
      </c>
      <c r="F414" s="6">
        <f>Calc_Formulas!AF410</f>
        <v>0</v>
      </c>
      <c r="G414" s="6">
        <f>Calc_Formulas!AG410</f>
        <v>0</v>
      </c>
    </row>
    <row r="415" spans="1:7">
      <c r="A415" s="6">
        <f>Calc_Formulas!A411</f>
        <v>0</v>
      </c>
      <c r="B415" s="7">
        <f>Calc_Formulas!AH411</f>
        <v>0</v>
      </c>
      <c r="C415" s="7">
        <f>Calc_Formulas!AI411</f>
        <v>0</v>
      </c>
      <c r="D415" s="7">
        <f>Calc_Formulas!AJ411</f>
        <v>0</v>
      </c>
      <c r="E415" s="6">
        <f>Calc_Formulas!AE411</f>
        <v>0</v>
      </c>
      <c r="F415" s="6">
        <f>Calc_Formulas!AF411</f>
        <v>0</v>
      </c>
      <c r="G415" s="6">
        <f>Calc_Formulas!AG411</f>
        <v>0</v>
      </c>
    </row>
    <row r="416" spans="1:7">
      <c r="A416" s="6">
        <f>Calc_Formulas!A412</f>
        <v>0</v>
      </c>
      <c r="B416" s="7">
        <f>Calc_Formulas!AH412</f>
        <v>0</v>
      </c>
      <c r="C416" s="7">
        <f>Calc_Formulas!AI412</f>
        <v>0</v>
      </c>
      <c r="D416" s="7">
        <f>Calc_Formulas!AJ412</f>
        <v>0</v>
      </c>
      <c r="E416" s="6">
        <f>Calc_Formulas!AE412</f>
        <v>0</v>
      </c>
      <c r="F416" s="6">
        <f>Calc_Formulas!AF412</f>
        <v>0</v>
      </c>
      <c r="G416" s="6">
        <f>Calc_Formulas!AG412</f>
        <v>0</v>
      </c>
    </row>
    <row r="417" spans="1:7">
      <c r="A417" s="6">
        <f>Calc_Formulas!A413</f>
        <v>0</v>
      </c>
      <c r="B417" s="7">
        <f>Calc_Formulas!AH413</f>
        <v>0</v>
      </c>
      <c r="C417" s="7">
        <f>Calc_Formulas!AI413</f>
        <v>0</v>
      </c>
      <c r="D417" s="7">
        <f>Calc_Formulas!AJ413</f>
        <v>0</v>
      </c>
      <c r="E417" s="6">
        <f>Calc_Formulas!AE413</f>
        <v>0</v>
      </c>
      <c r="F417" s="6">
        <f>Calc_Formulas!AF413</f>
        <v>0</v>
      </c>
      <c r="G417" s="6">
        <f>Calc_Formulas!AG413</f>
        <v>0</v>
      </c>
    </row>
    <row r="418" spans="1:7">
      <c r="A418" s="6">
        <f>Calc_Formulas!A414</f>
        <v>0</v>
      </c>
      <c r="B418" s="7">
        <f>Calc_Formulas!AH414</f>
        <v>0</v>
      </c>
      <c r="C418" s="7">
        <f>Calc_Formulas!AI414</f>
        <v>0</v>
      </c>
      <c r="D418" s="7">
        <f>Calc_Formulas!AJ414</f>
        <v>0</v>
      </c>
      <c r="E418" s="6">
        <f>Calc_Formulas!AE414</f>
        <v>0</v>
      </c>
      <c r="F418" s="6">
        <f>Calc_Formulas!AF414</f>
        <v>0</v>
      </c>
      <c r="G418" s="6">
        <f>Calc_Formulas!AG414</f>
        <v>0</v>
      </c>
    </row>
    <row r="419" spans="1:7">
      <c r="A419" s="6">
        <f>Calc_Formulas!A415</f>
        <v>0</v>
      </c>
      <c r="B419" s="7">
        <f>Calc_Formulas!AH415</f>
        <v>0</v>
      </c>
      <c r="C419" s="7">
        <f>Calc_Formulas!AI415</f>
        <v>0</v>
      </c>
      <c r="D419" s="7">
        <f>Calc_Formulas!AJ415</f>
        <v>0</v>
      </c>
      <c r="E419" s="6">
        <f>Calc_Formulas!AE415</f>
        <v>0</v>
      </c>
      <c r="F419" s="6">
        <f>Calc_Formulas!AF415</f>
        <v>0</v>
      </c>
      <c r="G419" s="6">
        <f>Calc_Formulas!AG415</f>
        <v>0</v>
      </c>
    </row>
    <row r="420" spans="1:7">
      <c r="A420" s="6">
        <f>Calc_Formulas!A416</f>
        <v>0</v>
      </c>
      <c r="B420" s="7">
        <f>Calc_Formulas!AH416</f>
        <v>0</v>
      </c>
      <c r="C420" s="7">
        <f>Calc_Formulas!AI416</f>
        <v>0</v>
      </c>
      <c r="D420" s="7">
        <f>Calc_Formulas!AJ416</f>
        <v>0</v>
      </c>
      <c r="E420" s="6">
        <f>Calc_Formulas!AE416</f>
        <v>0</v>
      </c>
      <c r="F420" s="6">
        <f>Calc_Formulas!AF416</f>
        <v>0</v>
      </c>
      <c r="G420" s="6">
        <f>Calc_Formulas!AG416</f>
        <v>0</v>
      </c>
    </row>
    <row r="421" spans="1:7">
      <c r="A421" s="6">
        <f>Calc_Formulas!A417</f>
        <v>0</v>
      </c>
      <c r="B421" s="7">
        <f>Calc_Formulas!AH417</f>
        <v>0</v>
      </c>
      <c r="C421" s="7">
        <f>Calc_Formulas!AI417</f>
        <v>0</v>
      </c>
      <c r="D421" s="7">
        <f>Calc_Formulas!AJ417</f>
        <v>0</v>
      </c>
      <c r="E421" s="6">
        <f>Calc_Formulas!AE417</f>
        <v>0</v>
      </c>
      <c r="F421" s="6">
        <f>Calc_Formulas!AF417</f>
        <v>0</v>
      </c>
      <c r="G421" s="6">
        <f>Calc_Formulas!AG417</f>
        <v>0</v>
      </c>
    </row>
    <row r="422" spans="1:7">
      <c r="A422" s="6">
        <f>Calc_Formulas!A418</f>
        <v>0</v>
      </c>
      <c r="B422" s="7">
        <f>Calc_Formulas!AH418</f>
        <v>0</v>
      </c>
      <c r="C422" s="7">
        <f>Calc_Formulas!AI418</f>
        <v>0</v>
      </c>
      <c r="D422" s="7">
        <f>Calc_Formulas!AJ418</f>
        <v>0</v>
      </c>
      <c r="E422" s="6">
        <f>Calc_Formulas!AE418</f>
        <v>0</v>
      </c>
      <c r="F422" s="6">
        <f>Calc_Formulas!AF418</f>
        <v>0</v>
      </c>
      <c r="G422" s="6">
        <f>Calc_Formulas!AG418</f>
        <v>0</v>
      </c>
    </row>
    <row r="423" spans="1:7">
      <c r="A423" s="6">
        <f>Calc_Formulas!A419</f>
        <v>0</v>
      </c>
      <c r="B423" s="7">
        <f>Calc_Formulas!AH419</f>
        <v>0</v>
      </c>
      <c r="C423" s="7">
        <f>Calc_Formulas!AI419</f>
        <v>0</v>
      </c>
      <c r="D423" s="7">
        <f>Calc_Formulas!AJ419</f>
        <v>0</v>
      </c>
      <c r="E423" s="6">
        <f>Calc_Formulas!AE419</f>
        <v>0</v>
      </c>
      <c r="F423" s="6">
        <f>Calc_Formulas!AF419</f>
        <v>0</v>
      </c>
      <c r="G423" s="6">
        <f>Calc_Formulas!AG419</f>
        <v>0</v>
      </c>
    </row>
    <row r="424" spans="1:7">
      <c r="A424" s="6">
        <f>Calc_Formulas!A420</f>
        <v>0</v>
      </c>
      <c r="B424" s="7">
        <f>Calc_Formulas!AH420</f>
        <v>0</v>
      </c>
      <c r="C424" s="7">
        <f>Calc_Formulas!AI420</f>
        <v>0</v>
      </c>
      <c r="D424" s="7">
        <f>Calc_Formulas!AJ420</f>
        <v>0</v>
      </c>
      <c r="E424" s="6">
        <f>Calc_Formulas!AE420</f>
        <v>0</v>
      </c>
      <c r="F424" s="6">
        <f>Calc_Formulas!AF420</f>
        <v>0</v>
      </c>
      <c r="G424" s="6">
        <f>Calc_Formulas!AG420</f>
        <v>0</v>
      </c>
    </row>
    <row r="425" spans="1:7">
      <c r="A425" s="6">
        <f>Calc_Formulas!A421</f>
        <v>0</v>
      </c>
      <c r="B425" s="7">
        <f>Calc_Formulas!AH421</f>
        <v>0</v>
      </c>
      <c r="C425" s="7">
        <f>Calc_Formulas!AI421</f>
        <v>0</v>
      </c>
      <c r="D425" s="7">
        <f>Calc_Formulas!AJ421</f>
        <v>0</v>
      </c>
      <c r="E425" s="6">
        <f>Calc_Formulas!AE421</f>
        <v>0</v>
      </c>
      <c r="F425" s="6">
        <f>Calc_Formulas!AF421</f>
        <v>0</v>
      </c>
      <c r="G425" s="6">
        <f>Calc_Formulas!AG421</f>
        <v>0</v>
      </c>
    </row>
    <row r="426" spans="1:7">
      <c r="A426" s="6">
        <f>Calc_Formulas!A422</f>
        <v>0</v>
      </c>
      <c r="B426" s="7">
        <f>Calc_Formulas!AH422</f>
        <v>0</v>
      </c>
      <c r="C426" s="7">
        <f>Calc_Formulas!AI422</f>
        <v>0</v>
      </c>
      <c r="D426" s="7">
        <f>Calc_Formulas!AJ422</f>
        <v>0</v>
      </c>
      <c r="E426" s="6">
        <f>Calc_Formulas!AE422</f>
        <v>0</v>
      </c>
      <c r="F426" s="6">
        <f>Calc_Formulas!AF422</f>
        <v>0</v>
      </c>
      <c r="G426" s="6">
        <f>Calc_Formulas!AG422</f>
        <v>0</v>
      </c>
    </row>
    <row r="427" spans="1:7">
      <c r="A427" s="6">
        <f>Calc_Formulas!A423</f>
        <v>0</v>
      </c>
      <c r="B427" s="7">
        <f>Calc_Formulas!AH423</f>
        <v>0</v>
      </c>
      <c r="C427" s="7">
        <f>Calc_Formulas!AI423</f>
        <v>0</v>
      </c>
      <c r="D427" s="7">
        <f>Calc_Formulas!AJ423</f>
        <v>0</v>
      </c>
      <c r="E427" s="6">
        <f>Calc_Formulas!AE423</f>
        <v>0</v>
      </c>
      <c r="F427" s="6">
        <f>Calc_Formulas!AF423</f>
        <v>0</v>
      </c>
      <c r="G427" s="6">
        <f>Calc_Formulas!AG423</f>
        <v>0</v>
      </c>
    </row>
    <row r="428" spans="1:7">
      <c r="A428" s="6">
        <f>Calc_Formulas!A424</f>
        <v>0</v>
      </c>
      <c r="B428" s="7">
        <f>Calc_Formulas!AH424</f>
        <v>0</v>
      </c>
      <c r="C428" s="7">
        <f>Calc_Formulas!AI424</f>
        <v>0</v>
      </c>
      <c r="D428" s="7">
        <f>Calc_Formulas!AJ424</f>
        <v>0</v>
      </c>
      <c r="E428" s="6">
        <f>Calc_Formulas!AE424</f>
        <v>0</v>
      </c>
      <c r="F428" s="6">
        <f>Calc_Formulas!AF424</f>
        <v>0</v>
      </c>
      <c r="G428" s="6">
        <f>Calc_Formulas!AG424</f>
        <v>0</v>
      </c>
    </row>
    <row r="429" spans="1:7">
      <c r="A429" s="6">
        <f>Calc_Formulas!A425</f>
        <v>0</v>
      </c>
      <c r="B429" s="7">
        <f>Calc_Formulas!AH425</f>
        <v>0</v>
      </c>
      <c r="C429" s="7">
        <f>Calc_Formulas!AI425</f>
        <v>0</v>
      </c>
      <c r="D429" s="7">
        <f>Calc_Formulas!AJ425</f>
        <v>0</v>
      </c>
      <c r="E429" s="6">
        <f>Calc_Formulas!AE425</f>
        <v>0</v>
      </c>
      <c r="F429" s="6">
        <f>Calc_Formulas!AF425</f>
        <v>0</v>
      </c>
      <c r="G429" s="6">
        <f>Calc_Formulas!AG425</f>
        <v>0</v>
      </c>
    </row>
    <row r="430" spans="1:7">
      <c r="A430" s="6">
        <f>Calc_Formulas!A426</f>
        <v>0</v>
      </c>
      <c r="B430" s="7">
        <f>Calc_Formulas!AH426</f>
        <v>0</v>
      </c>
      <c r="C430" s="7">
        <f>Calc_Formulas!AI426</f>
        <v>0</v>
      </c>
      <c r="D430" s="7">
        <f>Calc_Formulas!AJ426</f>
        <v>0</v>
      </c>
      <c r="E430" s="6">
        <f>Calc_Formulas!AE426</f>
        <v>0</v>
      </c>
      <c r="F430" s="6">
        <f>Calc_Formulas!AF426</f>
        <v>0</v>
      </c>
      <c r="G430" s="6">
        <f>Calc_Formulas!AG426</f>
        <v>0</v>
      </c>
    </row>
    <row r="431" spans="1:7">
      <c r="A431" s="6">
        <f>Calc_Formulas!A427</f>
        <v>0</v>
      </c>
      <c r="B431" s="7">
        <f>Calc_Formulas!AH427</f>
        <v>0</v>
      </c>
      <c r="C431" s="7">
        <f>Calc_Formulas!AI427</f>
        <v>0</v>
      </c>
      <c r="D431" s="7">
        <f>Calc_Formulas!AJ427</f>
        <v>0</v>
      </c>
      <c r="E431" s="6">
        <f>Calc_Formulas!AE427</f>
        <v>0</v>
      </c>
      <c r="F431" s="6">
        <f>Calc_Formulas!AF427</f>
        <v>0</v>
      </c>
      <c r="G431" s="6">
        <f>Calc_Formulas!AG427</f>
        <v>0</v>
      </c>
    </row>
    <row r="432" spans="1:7">
      <c r="A432" s="6">
        <f>Calc_Formulas!A428</f>
        <v>0</v>
      </c>
      <c r="B432" s="7">
        <f>Calc_Formulas!AH428</f>
        <v>0</v>
      </c>
      <c r="C432" s="7">
        <f>Calc_Formulas!AI428</f>
        <v>0</v>
      </c>
      <c r="D432" s="7">
        <f>Calc_Formulas!AJ428</f>
        <v>0</v>
      </c>
      <c r="E432" s="6">
        <f>Calc_Formulas!AE428</f>
        <v>0</v>
      </c>
      <c r="F432" s="6">
        <f>Calc_Formulas!AF428</f>
        <v>0</v>
      </c>
      <c r="G432" s="6">
        <f>Calc_Formulas!AG428</f>
        <v>0</v>
      </c>
    </row>
    <row r="433" spans="1:7">
      <c r="A433" s="6">
        <f>Calc_Formulas!A429</f>
        <v>0</v>
      </c>
      <c r="B433" s="7">
        <f>Calc_Formulas!AH429</f>
        <v>0</v>
      </c>
      <c r="C433" s="7">
        <f>Calc_Formulas!AI429</f>
        <v>0</v>
      </c>
      <c r="D433" s="7">
        <f>Calc_Formulas!AJ429</f>
        <v>0</v>
      </c>
      <c r="E433" s="6">
        <f>Calc_Formulas!AE429</f>
        <v>0</v>
      </c>
      <c r="F433" s="6">
        <f>Calc_Formulas!AF429</f>
        <v>0</v>
      </c>
      <c r="G433" s="6">
        <f>Calc_Formulas!AG429</f>
        <v>0</v>
      </c>
    </row>
    <row r="434" spans="1:7">
      <c r="A434" s="6">
        <f>Calc_Formulas!A430</f>
        <v>0</v>
      </c>
      <c r="B434" s="7">
        <f>Calc_Formulas!AH430</f>
        <v>0</v>
      </c>
      <c r="C434" s="7">
        <f>Calc_Formulas!AI430</f>
        <v>0</v>
      </c>
      <c r="D434" s="7">
        <f>Calc_Formulas!AJ430</f>
        <v>0</v>
      </c>
      <c r="E434" s="6">
        <f>Calc_Formulas!AE430</f>
        <v>0</v>
      </c>
      <c r="F434" s="6">
        <f>Calc_Formulas!AF430</f>
        <v>0</v>
      </c>
      <c r="G434" s="6">
        <f>Calc_Formulas!AG430</f>
        <v>0</v>
      </c>
    </row>
    <row r="435" spans="1:7">
      <c r="A435" s="6">
        <f>Calc_Formulas!A431</f>
        <v>0</v>
      </c>
      <c r="B435" s="7">
        <f>Calc_Formulas!AH431</f>
        <v>0</v>
      </c>
      <c r="C435" s="7">
        <f>Calc_Formulas!AI431</f>
        <v>0</v>
      </c>
      <c r="D435" s="7">
        <f>Calc_Formulas!AJ431</f>
        <v>0</v>
      </c>
      <c r="E435" s="6">
        <f>Calc_Formulas!AE431</f>
        <v>0</v>
      </c>
      <c r="F435" s="6">
        <f>Calc_Formulas!AF431</f>
        <v>0</v>
      </c>
      <c r="G435" s="6">
        <f>Calc_Formulas!AG431</f>
        <v>0</v>
      </c>
    </row>
    <row r="436" spans="1:7">
      <c r="A436" s="6">
        <f>Calc_Formulas!A432</f>
        <v>0</v>
      </c>
      <c r="B436" s="7">
        <f>Calc_Formulas!AH432</f>
        <v>0</v>
      </c>
      <c r="C436" s="7">
        <f>Calc_Formulas!AI432</f>
        <v>0</v>
      </c>
      <c r="D436" s="7">
        <f>Calc_Formulas!AJ432</f>
        <v>0</v>
      </c>
      <c r="E436" s="6">
        <f>Calc_Formulas!AE432</f>
        <v>0</v>
      </c>
      <c r="F436" s="6">
        <f>Calc_Formulas!AF432</f>
        <v>0</v>
      </c>
      <c r="G436" s="6">
        <f>Calc_Formulas!AG432</f>
        <v>0</v>
      </c>
    </row>
    <row r="437" spans="1:7">
      <c r="A437" s="6">
        <f>Calc_Formulas!A433</f>
        <v>0</v>
      </c>
      <c r="B437" s="7">
        <f>Calc_Formulas!AH433</f>
        <v>0</v>
      </c>
      <c r="C437" s="7">
        <f>Calc_Formulas!AI433</f>
        <v>0</v>
      </c>
      <c r="D437" s="7">
        <f>Calc_Formulas!AJ433</f>
        <v>0</v>
      </c>
      <c r="E437" s="6">
        <f>Calc_Formulas!AE433</f>
        <v>0</v>
      </c>
      <c r="F437" s="6">
        <f>Calc_Formulas!AF433</f>
        <v>0</v>
      </c>
      <c r="G437" s="6">
        <f>Calc_Formulas!AG433</f>
        <v>0</v>
      </c>
    </row>
    <row r="438" spans="1:7">
      <c r="A438" s="6">
        <f>Calc_Formulas!A434</f>
        <v>0</v>
      </c>
      <c r="B438" s="7">
        <f>Calc_Formulas!AH434</f>
        <v>0</v>
      </c>
      <c r="C438" s="7">
        <f>Calc_Formulas!AI434</f>
        <v>0</v>
      </c>
      <c r="D438" s="7">
        <f>Calc_Formulas!AJ434</f>
        <v>0</v>
      </c>
      <c r="E438" s="6">
        <f>Calc_Formulas!AE434</f>
        <v>0</v>
      </c>
      <c r="F438" s="6">
        <f>Calc_Formulas!AF434</f>
        <v>0</v>
      </c>
      <c r="G438" s="6">
        <f>Calc_Formulas!AG434</f>
        <v>0</v>
      </c>
    </row>
    <row r="439" spans="1:7">
      <c r="A439" s="6">
        <f>Calc_Formulas!A435</f>
        <v>0</v>
      </c>
      <c r="B439" s="7">
        <f>Calc_Formulas!AH435</f>
        <v>0</v>
      </c>
      <c r="C439" s="7">
        <f>Calc_Formulas!AI435</f>
        <v>0</v>
      </c>
      <c r="D439" s="7">
        <f>Calc_Formulas!AJ435</f>
        <v>0</v>
      </c>
      <c r="E439" s="6">
        <f>Calc_Formulas!AE435</f>
        <v>0</v>
      </c>
      <c r="F439" s="6">
        <f>Calc_Formulas!AF435</f>
        <v>0</v>
      </c>
      <c r="G439" s="6">
        <f>Calc_Formulas!AG435</f>
        <v>0</v>
      </c>
    </row>
    <row r="440" spans="1:7">
      <c r="A440" s="6">
        <f>Calc_Formulas!A436</f>
        <v>0</v>
      </c>
      <c r="B440" s="7">
        <f>Calc_Formulas!AH436</f>
        <v>0</v>
      </c>
      <c r="C440" s="7">
        <f>Calc_Formulas!AI436</f>
        <v>0</v>
      </c>
      <c r="D440" s="7">
        <f>Calc_Formulas!AJ436</f>
        <v>0</v>
      </c>
      <c r="E440" s="6">
        <f>Calc_Formulas!AE436</f>
        <v>0</v>
      </c>
      <c r="F440" s="6">
        <f>Calc_Formulas!AF436</f>
        <v>0</v>
      </c>
      <c r="G440" s="6">
        <f>Calc_Formulas!AG436</f>
        <v>0</v>
      </c>
    </row>
    <row r="441" spans="1:7">
      <c r="A441" s="6">
        <f>Calc_Formulas!A437</f>
        <v>0</v>
      </c>
      <c r="B441" s="7">
        <f>Calc_Formulas!AH437</f>
        <v>0</v>
      </c>
      <c r="C441" s="7">
        <f>Calc_Formulas!AI437</f>
        <v>0</v>
      </c>
      <c r="D441" s="7">
        <f>Calc_Formulas!AJ437</f>
        <v>0</v>
      </c>
      <c r="E441" s="6">
        <f>Calc_Formulas!AE437</f>
        <v>0</v>
      </c>
      <c r="F441" s="6">
        <f>Calc_Formulas!AF437</f>
        <v>0</v>
      </c>
      <c r="G441" s="6">
        <f>Calc_Formulas!AG437</f>
        <v>0</v>
      </c>
    </row>
    <row r="442" spans="1:7">
      <c r="A442" s="6">
        <f>Calc_Formulas!A438</f>
        <v>0</v>
      </c>
      <c r="B442" s="7">
        <f>Calc_Formulas!AH438</f>
        <v>0</v>
      </c>
      <c r="C442" s="7">
        <f>Calc_Formulas!AI438</f>
        <v>0</v>
      </c>
      <c r="D442" s="7">
        <f>Calc_Formulas!AJ438</f>
        <v>0</v>
      </c>
      <c r="E442" s="6">
        <f>Calc_Formulas!AE438</f>
        <v>0</v>
      </c>
      <c r="F442" s="6">
        <f>Calc_Formulas!AF438</f>
        <v>0</v>
      </c>
      <c r="G442" s="6">
        <f>Calc_Formulas!AG438</f>
        <v>0</v>
      </c>
    </row>
    <row r="443" spans="1:7">
      <c r="A443" s="6">
        <f>Calc_Formulas!A439</f>
        <v>0</v>
      </c>
      <c r="B443" s="7">
        <f>Calc_Formulas!AH439</f>
        <v>0</v>
      </c>
      <c r="C443" s="7">
        <f>Calc_Formulas!AI439</f>
        <v>0</v>
      </c>
      <c r="D443" s="7">
        <f>Calc_Formulas!AJ439</f>
        <v>0</v>
      </c>
      <c r="E443" s="6">
        <f>Calc_Formulas!AE439</f>
        <v>0</v>
      </c>
      <c r="F443" s="6">
        <f>Calc_Formulas!AF439</f>
        <v>0</v>
      </c>
      <c r="G443" s="6">
        <f>Calc_Formulas!AG439</f>
        <v>0</v>
      </c>
    </row>
    <row r="444" spans="1:7">
      <c r="A444" s="6">
        <f>Calc_Formulas!A440</f>
        <v>0</v>
      </c>
      <c r="B444" s="7">
        <f>Calc_Formulas!AH440</f>
        <v>0</v>
      </c>
      <c r="C444" s="7">
        <f>Calc_Formulas!AI440</f>
        <v>0</v>
      </c>
      <c r="D444" s="7">
        <f>Calc_Formulas!AJ440</f>
        <v>0</v>
      </c>
      <c r="E444" s="6">
        <f>Calc_Formulas!AE440</f>
        <v>0</v>
      </c>
      <c r="F444" s="6">
        <f>Calc_Formulas!AF440</f>
        <v>0</v>
      </c>
      <c r="G444" s="6">
        <f>Calc_Formulas!AG440</f>
        <v>0</v>
      </c>
    </row>
    <row r="445" spans="1:7">
      <c r="A445" s="6">
        <f>Calc_Formulas!A441</f>
        <v>0</v>
      </c>
      <c r="B445" s="7">
        <f>Calc_Formulas!AH441</f>
        <v>0</v>
      </c>
      <c r="C445" s="7">
        <f>Calc_Formulas!AI441</f>
        <v>0</v>
      </c>
      <c r="D445" s="7">
        <f>Calc_Formulas!AJ441</f>
        <v>0</v>
      </c>
      <c r="E445" s="6">
        <f>Calc_Formulas!AE441</f>
        <v>0</v>
      </c>
      <c r="F445" s="6">
        <f>Calc_Formulas!AF441</f>
        <v>0</v>
      </c>
      <c r="G445" s="6">
        <f>Calc_Formulas!AG441</f>
        <v>0</v>
      </c>
    </row>
    <row r="446" spans="1:7">
      <c r="A446" s="6">
        <f>Calc_Formulas!A442</f>
        <v>0</v>
      </c>
      <c r="B446" s="7">
        <f>Calc_Formulas!AH442</f>
        <v>0</v>
      </c>
      <c r="C446" s="7">
        <f>Calc_Formulas!AI442</f>
        <v>0</v>
      </c>
      <c r="D446" s="7">
        <f>Calc_Formulas!AJ442</f>
        <v>0</v>
      </c>
      <c r="E446" s="6">
        <f>Calc_Formulas!AE442</f>
        <v>0</v>
      </c>
      <c r="F446" s="6">
        <f>Calc_Formulas!AF442</f>
        <v>0</v>
      </c>
      <c r="G446" s="6">
        <f>Calc_Formulas!AG442</f>
        <v>0</v>
      </c>
    </row>
    <row r="447" spans="1:7">
      <c r="A447" s="6">
        <f>Calc_Formulas!A443</f>
        <v>0</v>
      </c>
      <c r="B447" s="7">
        <f>Calc_Formulas!AH443</f>
        <v>0</v>
      </c>
      <c r="C447" s="7">
        <f>Calc_Formulas!AI443</f>
        <v>0</v>
      </c>
      <c r="D447" s="7">
        <f>Calc_Formulas!AJ443</f>
        <v>0</v>
      </c>
      <c r="E447" s="6">
        <f>Calc_Formulas!AE443</f>
        <v>0</v>
      </c>
      <c r="F447" s="6">
        <f>Calc_Formulas!AF443</f>
        <v>0</v>
      </c>
      <c r="G447" s="6">
        <f>Calc_Formulas!AG443</f>
        <v>0</v>
      </c>
    </row>
    <row r="448" spans="1:7">
      <c r="A448" s="6">
        <f>Calc_Formulas!A444</f>
        <v>0</v>
      </c>
      <c r="B448" s="7">
        <f>Calc_Formulas!AH444</f>
        <v>0</v>
      </c>
      <c r="C448" s="7">
        <f>Calc_Formulas!AI444</f>
        <v>0</v>
      </c>
      <c r="D448" s="7">
        <f>Calc_Formulas!AJ444</f>
        <v>0</v>
      </c>
      <c r="E448" s="6">
        <f>Calc_Formulas!AE444</f>
        <v>0</v>
      </c>
      <c r="F448" s="6">
        <f>Calc_Formulas!AF444</f>
        <v>0</v>
      </c>
      <c r="G448" s="6">
        <f>Calc_Formulas!AG444</f>
        <v>0</v>
      </c>
    </row>
    <row r="449" spans="1:7">
      <c r="A449" s="6">
        <f>Calc_Formulas!A445</f>
        <v>0</v>
      </c>
      <c r="B449" s="7">
        <f>Calc_Formulas!AH445</f>
        <v>0</v>
      </c>
      <c r="C449" s="7">
        <f>Calc_Formulas!AI445</f>
        <v>0</v>
      </c>
      <c r="D449" s="7">
        <f>Calc_Formulas!AJ445</f>
        <v>0</v>
      </c>
      <c r="E449" s="6">
        <f>Calc_Formulas!AE445</f>
        <v>0</v>
      </c>
      <c r="F449" s="6">
        <f>Calc_Formulas!AF445</f>
        <v>0</v>
      </c>
      <c r="G449" s="6">
        <f>Calc_Formulas!AG445</f>
        <v>0</v>
      </c>
    </row>
    <row r="450" spans="1:7">
      <c r="A450" s="6">
        <f>Calc_Formulas!A446</f>
        <v>0</v>
      </c>
      <c r="B450" s="7">
        <f>Calc_Formulas!AH446</f>
        <v>0</v>
      </c>
      <c r="C450" s="7">
        <f>Calc_Formulas!AI446</f>
        <v>0</v>
      </c>
      <c r="D450" s="7">
        <f>Calc_Formulas!AJ446</f>
        <v>0</v>
      </c>
      <c r="E450" s="6">
        <f>Calc_Formulas!AE446</f>
        <v>0</v>
      </c>
      <c r="F450" s="6">
        <f>Calc_Formulas!AF446</f>
        <v>0</v>
      </c>
      <c r="G450" s="6">
        <f>Calc_Formulas!AG446</f>
        <v>0</v>
      </c>
    </row>
    <row r="451" spans="1:7">
      <c r="A451" s="6">
        <f>Calc_Formulas!A447</f>
        <v>0</v>
      </c>
      <c r="B451" s="7">
        <f>Calc_Formulas!AH447</f>
        <v>0</v>
      </c>
      <c r="C451" s="7">
        <f>Calc_Formulas!AI447</f>
        <v>0</v>
      </c>
      <c r="D451" s="7">
        <f>Calc_Formulas!AJ447</f>
        <v>0</v>
      </c>
      <c r="E451" s="6">
        <f>Calc_Formulas!AE447</f>
        <v>0</v>
      </c>
      <c r="F451" s="6">
        <f>Calc_Formulas!AF447</f>
        <v>0</v>
      </c>
      <c r="G451" s="6">
        <f>Calc_Formulas!AG447</f>
        <v>0</v>
      </c>
    </row>
    <row r="452" spans="1:7">
      <c r="A452" s="6">
        <f>Calc_Formulas!A448</f>
        <v>0</v>
      </c>
      <c r="B452" s="7">
        <f>Calc_Formulas!AH448</f>
        <v>0</v>
      </c>
      <c r="C452" s="7">
        <f>Calc_Formulas!AI448</f>
        <v>0</v>
      </c>
      <c r="D452" s="7">
        <f>Calc_Formulas!AJ448</f>
        <v>0</v>
      </c>
      <c r="E452" s="6">
        <f>Calc_Formulas!AE448</f>
        <v>0</v>
      </c>
      <c r="F452" s="6">
        <f>Calc_Formulas!AF448</f>
        <v>0</v>
      </c>
      <c r="G452" s="6">
        <f>Calc_Formulas!AG448</f>
        <v>0</v>
      </c>
    </row>
    <row r="453" spans="1:7">
      <c r="A453" s="6">
        <f>Calc_Formulas!A449</f>
        <v>0</v>
      </c>
      <c r="B453" s="7">
        <f>Calc_Formulas!AH449</f>
        <v>0</v>
      </c>
      <c r="C453" s="7">
        <f>Calc_Formulas!AI449</f>
        <v>0</v>
      </c>
      <c r="D453" s="7">
        <f>Calc_Formulas!AJ449</f>
        <v>0</v>
      </c>
      <c r="E453" s="6">
        <f>Calc_Formulas!AE449</f>
        <v>0</v>
      </c>
      <c r="F453" s="6">
        <f>Calc_Formulas!AF449</f>
        <v>0</v>
      </c>
      <c r="G453" s="6">
        <f>Calc_Formulas!AG449</f>
        <v>0</v>
      </c>
    </row>
    <row r="454" spans="1:7">
      <c r="A454" s="6">
        <f>Calc_Formulas!A450</f>
        <v>0</v>
      </c>
      <c r="B454" s="7">
        <f>Calc_Formulas!AH450</f>
        <v>0</v>
      </c>
      <c r="C454" s="7">
        <f>Calc_Formulas!AI450</f>
        <v>0</v>
      </c>
      <c r="D454" s="7">
        <f>Calc_Formulas!AJ450</f>
        <v>0</v>
      </c>
      <c r="E454" s="6">
        <f>Calc_Formulas!AE450</f>
        <v>0</v>
      </c>
      <c r="F454" s="6">
        <f>Calc_Formulas!AF450</f>
        <v>0</v>
      </c>
      <c r="G454" s="6">
        <f>Calc_Formulas!AG450</f>
        <v>0</v>
      </c>
    </row>
    <row r="455" spans="1:7">
      <c r="A455" s="6">
        <f>Calc_Formulas!A451</f>
        <v>0</v>
      </c>
      <c r="B455" s="7">
        <f>Calc_Formulas!AH451</f>
        <v>0</v>
      </c>
      <c r="C455" s="7">
        <f>Calc_Formulas!AI451</f>
        <v>0</v>
      </c>
      <c r="D455" s="7">
        <f>Calc_Formulas!AJ451</f>
        <v>0</v>
      </c>
      <c r="E455" s="6">
        <f>Calc_Formulas!AE451</f>
        <v>0</v>
      </c>
      <c r="F455" s="6">
        <f>Calc_Formulas!AF451</f>
        <v>0</v>
      </c>
      <c r="G455" s="6">
        <f>Calc_Formulas!AG451</f>
        <v>0</v>
      </c>
    </row>
    <row r="456" spans="1:7">
      <c r="A456" s="6">
        <f>Calc_Formulas!A452</f>
        <v>0</v>
      </c>
      <c r="B456" s="7">
        <f>Calc_Formulas!AH452</f>
        <v>0</v>
      </c>
      <c r="C456" s="7">
        <f>Calc_Formulas!AI452</f>
        <v>0</v>
      </c>
      <c r="D456" s="7">
        <f>Calc_Formulas!AJ452</f>
        <v>0</v>
      </c>
      <c r="E456" s="6">
        <f>Calc_Formulas!AE452</f>
        <v>0</v>
      </c>
      <c r="F456" s="6">
        <f>Calc_Formulas!AF452</f>
        <v>0</v>
      </c>
      <c r="G456" s="6">
        <f>Calc_Formulas!AG452</f>
        <v>0</v>
      </c>
    </row>
    <row r="457" spans="1:7">
      <c r="A457" s="6">
        <f>Calc_Formulas!A453</f>
        <v>0</v>
      </c>
      <c r="B457" s="7">
        <f>Calc_Formulas!AH453</f>
        <v>0</v>
      </c>
      <c r="C457" s="7">
        <f>Calc_Formulas!AI453</f>
        <v>0</v>
      </c>
      <c r="D457" s="7">
        <f>Calc_Formulas!AJ453</f>
        <v>0</v>
      </c>
      <c r="E457" s="6">
        <f>Calc_Formulas!AE453</f>
        <v>0</v>
      </c>
      <c r="F457" s="6">
        <f>Calc_Formulas!AF453</f>
        <v>0</v>
      </c>
      <c r="G457" s="6">
        <f>Calc_Formulas!AG453</f>
        <v>0</v>
      </c>
    </row>
    <row r="458" spans="1:7">
      <c r="A458" s="6">
        <f>Calc_Formulas!A454</f>
        <v>0</v>
      </c>
      <c r="B458" s="7">
        <f>Calc_Formulas!AH454</f>
        <v>0</v>
      </c>
      <c r="C458" s="7">
        <f>Calc_Formulas!AI454</f>
        <v>0</v>
      </c>
      <c r="D458" s="7">
        <f>Calc_Formulas!AJ454</f>
        <v>0</v>
      </c>
      <c r="E458" s="6">
        <f>Calc_Formulas!AE454</f>
        <v>0</v>
      </c>
      <c r="F458" s="6">
        <f>Calc_Formulas!AF454</f>
        <v>0</v>
      </c>
      <c r="G458" s="6">
        <f>Calc_Formulas!AG454</f>
        <v>0</v>
      </c>
    </row>
    <row r="459" spans="1:7">
      <c r="A459" s="6">
        <f>Calc_Formulas!A455</f>
        <v>0</v>
      </c>
      <c r="B459" s="7">
        <f>Calc_Formulas!AH455</f>
        <v>0</v>
      </c>
      <c r="C459" s="7">
        <f>Calc_Formulas!AI455</f>
        <v>0</v>
      </c>
      <c r="D459" s="7">
        <f>Calc_Formulas!AJ455</f>
        <v>0</v>
      </c>
      <c r="E459" s="6">
        <f>Calc_Formulas!AE455</f>
        <v>0</v>
      </c>
      <c r="F459" s="6">
        <f>Calc_Formulas!AF455</f>
        <v>0</v>
      </c>
      <c r="G459" s="6">
        <f>Calc_Formulas!AG455</f>
        <v>0</v>
      </c>
    </row>
    <row r="460" spans="1:7">
      <c r="A460" s="6">
        <f>Calc_Formulas!A456</f>
        <v>0</v>
      </c>
      <c r="B460" s="7">
        <f>Calc_Formulas!AH456</f>
        <v>0</v>
      </c>
      <c r="C460" s="7">
        <f>Calc_Formulas!AI456</f>
        <v>0</v>
      </c>
      <c r="D460" s="7">
        <f>Calc_Formulas!AJ456</f>
        <v>0</v>
      </c>
      <c r="E460" s="6">
        <f>Calc_Formulas!AE456</f>
        <v>0</v>
      </c>
      <c r="F460" s="6">
        <f>Calc_Formulas!AF456</f>
        <v>0</v>
      </c>
      <c r="G460" s="6">
        <f>Calc_Formulas!AG456</f>
        <v>0</v>
      </c>
    </row>
    <row r="461" spans="1:7">
      <c r="A461" s="6">
        <f>Calc_Formulas!A457</f>
        <v>0</v>
      </c>
      <c r="B461" s="7">
        <f>Calc_Formulas!AH457</f>
        <v>0</v>
      </c>
      <c r="C461" s="7">
        <f>Calc_Formulas!AI457</f>
        <v>0</v>
      </c>
      <c r="D461" s="7">
        <f>Calc_Formulas!AJ457</f>
        <v>0</v>
      </c>
      <c r="E461" s="6">
        <f>Calc_Formulas!AE457</f>
        <v>0</v>
      </c>
      <c r="F461" s="6">
        <f>Calc_Formulas!AF457</f>
        <v>0</v>
      </c>
      <c r="G461" s="6">
        <f>Calc_Formulas!AG457</f>
        <v>0</v>
      </c>
    </row>
    <row r="462" spans="1:7">
      <c r="A462" s="6">
        <f>Calc_Formulas!A458</f>
        <v>0</v>
      </c>
      <c r="B462" s="7">
        <f>Calc_Formulas!AH458</f>
        <v>0</v>
      </c>
      <c r="C462" s="7">
        <f>Calc_Formulas!AI458</f>
        <v>0</v>
      </c>
      <c r="D462" s="7">
        <f>Calc_Formulas!AJ458</f>
        <v>0</v>
      </c>
      <c r="E462" s="6">
        <f>Calc_Formulas!AE458</f>
        <v>0</v>
      </c>
      <c r="F462" s="6">
        <f>Calc_Formulas!AF458</f>
        <v>0</v>
      </c>
      <c r="G462" s="6">
        <f>Calc_Formulas!AG458</f>
        <v>0</v>
      </c>
    </row>
    <row r="463" spans="1:7">
      <c r="A463" s="6">
        <f>Calc_Formulas!A459</f>
        <v>0</v>
      </c>
      <c r="B463" s="7">
        <f>Calc_Formulas!AH459</f>
        <v>0</v>
      </c>
      <c r="C463" s="7">
        <f>Calc_Formulas!AI459</f>
        <v>0</v>
      </c>
      <c r="D463" s="7">
        <f>Calc_Formulas!AJ459</f>
        <v>0</v>
      </c>
      <c r="E463" s="6">
        <f>Calc_Formulas!AE459</f>
        <v>0</v>
      </c>
      <c r="F463" s="6">
        <f>Calc_Formulas!AF459</f>
        <v>0</v>
      </c>
      <c r="G463" s="6">
        <f>Calc_Formulas!AG459</f>
        <v>0</v>
      </c>
    </row>
    <row r="464" spans="1:7">
      <c r="A464" s="6">
        <f>Calc_Formulas!A460</f>
        <v>0</v>
      </c>
      <c r="B464" s="7">
        <f>Calc_Formulas!AH460</f>
        <v>0</v>
      </c>
      <c r="C464" s="7">
        <f>Calc_Formulas!AI460</f>
        <v>0</v>
      </c>
      <c r="D464" s="7">
        <f>Calc_Formulas!AJ460</f>
        <v>0</v>
      </c>
      <c r="E464" s="6">
        <f>Calc_Formulas!AE460</f>
        <v>0</v>
      </c>
      <c r="F464" s="6">
        <f>Calc_Formulas!AF460</f>
        <v>0</v>
      </c>
      <c r="G464" s="6">
        <f>Calc_Formulas!AG460</f>
        <v>0</v>
      </c>
    </row>
    <row r="465" spans="1:7">
      <c r="A465" s="6">
        <f>Calc_Formulas!A461</f>
        <v>0</v>
      </c>
      <c r="B465" s="7">
        <f>Calc_Formulas!AH461</f>
        <v>0</v>
      </c>
      <c r="C465" s="7">
        <f>Calc_Formulas!AI461</f>
        <v>0</v>
      </c>
      <c r="D465" s="7">
        <f>Calc_Formulas!AJ461</f>
        <v>0</v>
      </c>
      <c r="E465" s="6">
        <f>Calc_Formulas!AE461</f>
        <v>0</v>
      </c>
      <c r="F465" s="6">
        <f>Calc_Formulas!AF461</f>
        <v>0</v>
      </c>
      <c r="G465" s="6">
        <f>Calc_Formulas!AG461</f>
        <v>0</v>
      </c>
    </row>
    <row r="466" spans="1:7">
      <c r="A466" s="6">
        <f>Calc_Formulas!A462</f>
        <v>0</v>
      </c>
      <c r="B466" s="7">
        <f>Calc_Formulas!AH462</f>
        <v>0</v>
      </c>
      <c r="C466" s="7">
        <f>Calc_Formulas!AI462</f>
        <v>0</v>
      </c>
      <c r="D466" s="7">
        <f>Calc_Formulas!AJ462</f>
        <v>0</v>
      </c>
      <c r="E466" s="6">
        <f>Calc_Formulas!AE462</f>
        <v>0</v>
      </c>
      <c r="F466" s="6">
        <f>Calc_Formulas!AF462</f>
        <v>0</v>
      </c>
      <c r="G466" s="6">
        <f>Calc_Formulas!AG462</f>
        <v>0</v>
      </c>
    </row>
    <row r="467" spans="1:7">
      <c r="A467" s="6">
        <f>Calc_Formulas!A463</f>
        <v>0</v>
      </c>
      <c r="B467" s="7">
        <f>Calc_Formulas!AH463</f>
        <v>0</v>
      </c>
      <c r="C467" s="7">
        <f>Calc_Formulas!AI463</f>
        <v>0</v>
      </c>
      <c r="D467" s="7">
        <f>Calc_Formulas!AJ463</f>
        <v>0</v>
      </c>
      <c r="E467" s="6">
        <f>Calc_Formulas!AE463</f>
        <v>0</v>
      </c>
      <c r="F467" s="6">
        <f>Calc_Formulas!AF463</f>
        <v>0</v>
      </c>
      <c r="G467" s="6">
        <f>Calc_Formulas!AG463</f>
        <v>0</v>
      </c>
    </row>
    <row r="468" spans="1:7">
      <c r="A468" s="6">
        <f>Calc_Formulas!A464</f>
        <v>0</v>
      </c>
      <c r="B468" s="7">
        <f>Calc_Formulas!AH464</f>
        <v>0</v>
      </c>
      <c r="C468" s="7">
        <f>Calc_Formulas!AI464</f>
        <v>0</v>
      </c>
      <c r="D468" s="7">
        <f>Calc_Formulas!AJ464</f>
        <v>0</v>
      </c>
      <c r="E468" s="6">
        <f>Calc_Formulas!AE464</f>
        <v>0</v>
      </c>
      <c r="F468" s="6">
        <f>Calc_Formulas!AF464</f>
        <v>0</v>
      </c>
      <c r="G468" s="6">
        <f>Calc_Formulas!AG464</f>
        <v>0</v>
      </c>
    </row>
    <row r="469" spans="1:7">
      <c r="A469" s="6">
        <f>Calc_Formulas!A465</f>
        <v>0</v>
      </c>
      <c r="B469" s="7">
        <f>Calc_Formulas!AH465</f>
        <v>0</v>
      </c>
      <c r="C469" s="7">
        <f>Calc_Formulas!AI465</f>
        <v>0</v>
      </c>
      <c r="D469" s="7">
        <f>Calc_Formulas!AJ465</f>
        <v>0</v>
      </c>
      <c r="E469" s="6">
        <f>Calc_Formulas!AE465</f>
        <v>0</v>
      </c>
      <c r="F469" s="6">
        <f>Calc_Formulas!AF465</f>
        <v>0</v>
      </c>
      <c r="G469" s="6">
        <f>Calc_Formulas!AG465</f>
        <v>0</v>
      </c>
    </row>
    <row r="470" spans="1:7">
      <c r="A470" s="6">
        <f>Calc_Formulas!A466</f>
        <v>0</v>
      </c>
      <c r="B470" s="7">
        <f>Calc_Formulas!AH466</f>
        <v>0</v>
      </c>
      <c r="C470" s="7">
        <f>Calc_Formulas!AI466</f>
        <v>0</v>
      </c>
      <c r="D470" s="7">
        <f>Calc_Formulas!AJ466</f>
        <v>0</v>
      </c>
      <c r="E470" s="6">
        <f>Calc_Formulas!AE466</f>
        <v>0</v>
      </c>
      <c r="F470" s="6">
        <f>Calc_Formulas!AF466</f>
        <v>0</v>
      </c>
      <c r="G470" s="6">
        <f>Calc_Formulas!AG466</f>
        <v>0</v>
      </c>
    </row>
    <row r="471" spans="1:7">
      <c r="A471" s="6">
        <f>Calc_Formulas!A467</f>
        <v>0</v>
      </c>
      <c r="B471" s="7">
        <f>Calc_Formulas!AH467</f>
        <v>0</v>
      </c>
      <c r="C471" s="7">
        <f>Calc_Formulas!AI467</f>
        <v>0</v>
      </c>
      <c r="D471" s="7">
        <f>Calc_Formulas!AJ467</f>
        <v>0</v>
      </c>
      <c r="E471" s="6">
        <f>Calc_Formulas!AE467</f>
        <v>0</v>
      </c>
      <c r="F471" s="6">
        <f>Calc_Formulas!AF467</f>
        <v>0</v>
      </c>
      <c r="G471" s="6">
        <f>Calc_Formulas!AG467</f>
        <v>0</v>
      </c>
    </row>
    <row r="472" spans="1:7">
      <c r="A472" s="6">
        <f>Calc_Formulas!A468</f>
        <v>0</v>
      </c>
      <c r="B472" s="7">
        <f>Calc_Formulas!AH468</f>
        <v>0</v>
      </c>
      <c r="C472" s="7">
        <f>Calc_Formulas!AI468</f>
        <v>0</v>
      </c>
      <c r="D472" s="7">
        <f>Calc_Formulas!AJ468</f>
        <v>0</v>
      </c>
      <c r="E472" s="6">
        <f>Calc_Formulas!AE468</f>
        <v>0</v>
      </c>
      <c r="F472" s="6">
        <f>Calc_Formulas!AF468</f>
        <v>0</v>
      </c>
      <c r="G472" s="6">
        <f>Calc_Formulas!AG468</f>
        <v>0</v>
      </c>
    </row>
    <row r="473" spans="1:7">
      <c r="A473" s="6">
        <f>Calc_Formulas!A469</f>
        <v>0</v>
      </c>
      <c r="B473" s="7">
        <f>Calc_Formulas!AH469</f>
        <v>0</v>
      </c>
      <c r="C473" s="7">
        <f>Calc_Formulas!AI469</f>
        <v>0</v>
      </c>
      <c r="D473" s="7">
        <f>Calc_Formulas!AJ469</f>
        <v>0</v>
      </c>
      <c r="E473" s="6">
        <f>Calc_Formulas!AE469</f>
        <v>0</v>
      </c>
      <c r="F473" s="6">
        <f>Calc_Formulas!AF469</f>
        <v>0</v>
      </c>
      <c r="G473" s="6">
        <f>Calc_Formulas!AG469</f>
        <v>0</v>
      </c>
    </row>
    <row r="474" spans="1:7">
      <c r="A474" s="6">
        <f>Calc_Formulas!A470</f>
        <v>0</v>
      </c>
      <c r="B474" s="7">
        <f>Calc_Formulas!AH470</f>
        <v>0</v>
      </c>
      <c r="C474" s="7">
        <f>Calc_Formulas!AI470</f>
        <v>0</v>
      </c>
      <c r="D474" s="7">
        <f>Calc_Formulas!AJ470</f>
        <v>0</v>
      </c>
      <c r="E474" s="6">
        <f>Calc_Formulas!AE470</f>
        <v>0</v>
      </c>
      <c r="F474" s="6">
        <f>Calc_Formulas!AF470</f>
        <v>0</v>
      </c>
      <c r="G474" s="6">
        <f>Calc_Formulas!AG470</f>
        <v>0</v>
      </c>
    </row>
    <row r="475" spans="1:7">
      <c r="A475" s="6">
        <f>Calc_Formulas!A471</f>
        <v>0</v>
      </c>
      <c r="B475" s="7">
        <f>Calc_Formulas!AH471</f>
        <v>0</v>
      </c>
      <c r="C475" s="7">
        <f>Calc_Formulas!AI471</f>
        <v>0</v>
      </c>
      <c r="D475" s="7">
        <f>Calc_Formulas!AJ471</f>
        <v>0</v>
      </c>
      <c r="E475" s="6">
        <f>Calc_Formulas!AE471</f>
        <v>0</v>
      </c>
      <c r="F475" s="6">
        <f>Calc_Formulas!AF471</f>
        <v>0</v>
      </c>
      <c r="G475" s="6">
        <f>Calc_Formulas!AG471</f>
        <v>0</v>
      </c>
    </row>
    <row r="476" spans="1:7">
      <c r="A476" s="6">
        <f>Calc_Formulas!A472</f>
        <v>0</v>
      </c>
      <c r="B476" s="7">
        <f>Calc_Formulas!AH472</f>
        <v>0</v>
      </c>
      <c r="C476" s="7">
        <f>Calc_Formulas!AI472</f>
        <v>0</v>
      </c>
      <c r="D476" s="7">
        <f>Calc_Formulas!AJ472</f>
        <v>0</v>
      </c>
      <c r="E476" s="6">
        <f>Calc_Formulas!AE472</f>
        <v>0</v>
      </c>
      <c r="F476" s="6">
        <f>Calc_Formulas!AF472</f>
        <v>0</v>
      </c>
      <c r="G476" s="6">
        <f>Calc_Formulas!AG472</f>
        <v>0</v>
      </c>
    </row>
    <row r="477" spans="1:7">
      <c r="A477" s="6">
        <f>Calc_Formulas!A473</f>
        <v>0</v>
      </c>
      <c r="B477" s="7">
        <f>Calc_Formulas!AH473</f>
        <v>0</v>
      </c>
      <c r="C477" s="7">
        <f>Calc_Formulas!AI473</f>
        <v>0</v>
      </c>
      <c r="D477" s="7">
        <f>Calc_Formulas!AJ473</f>
        <v>0</v>
      </c>
      <c r="E477" s="6">
        <f>Calc_Formulas!AE473</f>
        <v>0</v>
      </c>
      <c r="F477" s="6">
        <f>Calc_Formulas!AF473</f>
        <v>0</v>
      </c>
      <c r="G477" s="6">
        <f>Calc_Formulas!AG473</f>
        <v>0</v>
      </c>
    </row>
    <row r="478" spans="1:7">
      <c r="A478" s="6">
        <f>Calc_Formulas!A474</f>
        <v>0</v>
      </c>
      <c r="B478" s="7">
        <f>Calc_Formulas!AH474</f>
        <v>0</v>
      </c>
      <c r="C478" s="7">
        <f>Calc_Formulas!AI474</f>
        <v>0</v>
      </c>
      <c r="D478" s="7">
        <f>Calc_Formulas!AJ474</f>
        <v>0</v>
      </c>
      <c r="E478" s="6">
        <f>Calc_Formulas!AE474</f>
        <v>0</v>
      </c>
      <c r="F478" s="6">
        <f>Calc_Formulas!AF474</f>
        <v>0</v>
      </c>
      <c r="G478" s="6">
        <f>Calc_Formulas!AG474</f>
        <v>0</v>
      </c>
    </row>
    <row r="479" spans="1:7">
      <c r="A479" s="6">
        <f>Calc_Formulas!A475</f>
        <v>0</v>
      </c>
      <c r="B479" s="7">
        <f>Calc_Formulas!AH475</f>
        <v>0</v>
      </c>
      <c r="C479" s="7">
        <f>Calc_Formulas!AI475</f>
        <v>0</v>
      </c>
      <c r="D479" s="7">
        <f>Calc_Formulas!AJ475</f>
        <v>0</v>
      </c>
      <c r="E479" s="6">
        <f>Calc_Formulas!AE475</f>
        <v>0</v>
      </c>
      <c r="F479" s="6">
        <f>Calc_Formulas!AF475</f>
        <v>0</v>
      </c>
      <c r="G479" s="6">
        <f>Calc_Formulas!AG475</f>
        <v>0</v>
      </c>
    </row>
    <row r="480" spans="1:7">
      <c r="A480" s="6">
        <f>Calc_Formulas!A476</f>
        <v>0</v>
      </c>
      <c r="B480" s="7">
        <f>Calc_Formulas!AH476</f>
        <v>0</v>
      </c>
      <c r="C480" s="7">
        <f>Calc_Formulas!AI476</f>
        <v>0</v>
      </c>
      <c r="D480" s="7">
        <f>Calc_Formulas!AJ476</f>
        <v>0</v>
      </c>
      <c r="E480" s="6">
        <f>Calc_Formulas!AE476</f>
        <v>0</v>
      </c>
      <c r="F480" s="6">
        <f>Calc_Formulas!AF476</f>
        <v>0</v>
      </c>
      <c r="G480" s="6">
        <f>Calc_Formulas!AG476</f>
        <v>0</v>
      </c>
    </row>
    <row r="481" spans="1:7">
      <c r="A481" s="6">
        <f>Calc_Formulas!A477</f>
        <v>0</v>
      </c>
      <c r="B481" s="7">
        <f>Calc_Formulas!AH477</f>
        <v>0</v>
      </c>
      <c r="C481" s="7">
        <f>Calc_Formulas!AI477</f>
        <v>0</v>
      </c>
      <c r="D481" s="7">
        <f>Calc_Formulas!AJ477</f>
        <v>0</v>
      </c>
      <c r="E481" s="6">
        <f>Calc_Formulas!AE477</f>
        <v>0</v>
      </c>
      <c r="F481" s="6">
        <f>Calc_Formulas!AF477</f>
        <v>0</v>
      </c>
      <c r="G481" s="6">
        <f>Calc_Formulas!AG477</f>
        <v>0</v>
      </c>
    </row>
    <row r="482" spans="1:7">
      <c r="A482" s="6">
        <f>Calc_Formulas!A478</f>
        <v>0</v>
      </c>
      <c r="B482" s="7">
        <f>Calc_Formulas!AH478</f>
        <v>0</v>
      </c>
      <c r="C482" s="7">
        <f>Calc_Formulas!AI478</f>
        <v>0</v>
      </c>
      <c r="D482" s="7">
        <f>Calc_Formulas!AJ478</f>
        <v>0</v>
      </c>
      <c r="E482" s="6">
        <f>Calc_Formulas!AE478</f>
        <v>0</v>
      </c>
      <c r="F482" s="6">
        <f>Calc_Formulas!AF478</f>
        <v>0</v>
      </c>
      <c r="G482" s="6">
        <f>Calc_Formulas!AG478</f>
        <v>0</v>
      </c>
    </row>
    <row r="483" spans="1:7">
      <c r="A483" s="6">
        <f>Calc_Formulas!A479</f>
        <v>0</v>
      </c>
      <c r="B483" s="7">
        <f>Calc_Formulas!AH479</f>
        <v>0</v>
      </c>
      <c r="C483" s="7">
        <f>Calc_Formulas!AI479</f>
        <v>0</v>
      </c>
      <c r="D483" s="7">
        <f>Calc_Formulas!AJ479</f>
        <v>0</v>
      </c>
      <c r="E483" s="6">
        <f>Calc_Formulas!AE479</f>
        <v>0</v>
      </c>
      <c r="F483" s="6">
        <f>Calc_Formulas!AF479</f>
        <v>0</v>
      </c>
      <c r="G483" s="6">
        <f>Calc_Formulas!AG479</f>
        <v>0</v>
      </c>
    </row>
    <row r="484" spans="1:7">
      <c r="A484" s="6">
        <f>Calc_Formulas!A480</f>
        <v>0</v>
      </c>
      <c r="B484" s="7">
        <f>Calc_Formulas!AH480</f>
        <v>0</v>
      </c>
      <c r="C484" s="7">
        <f>Calc_Formulas!AI480</f>
        <v>0</v>
      </c>
      <c r="D484" s="7">
        <f>Calc_Formulas!AJ480</f>
        <v>0</v>
      </c>
      <c r="E484" s="6">
        <f>Calc_Formulas!AE480</f>
        <v>0</v>
      </c>
      <c r="F484" s="6">
        <f>Calc_Formulas!AF480</f>
        <v>0</v>
      </c>
      <c r="G484" s="6">
        <f>Calc_Formulas!AG480</f>
        <v>0</v>
      </c>
    </row>
    <row r="485" spans="1:7">
      <c r="A485" s="6">
        <f>Calc_Formulas!A481</f>
        <v>0</v>
      </c>
      <c r="B485" s="7">
        <f>Calc_Formulas!AH481</f>
        <v>0</v>
      </c>
      <c r="C485" s="7">
        <f>Calc_Formulas!AI481</f>
        <v>0</v>
      </c>
      <c r="D485" s="7">
        <f>Calc_Formulas!AJ481</f>
        <v>0</v>
      </c>
      <c r="E485" s="6">
        <f>Calc_Formulas!AE481</f>
        <v>0</v>
      </c>
      <c r="F485" s="6">
        <f>Calc_Formulas!AF481</f>
        <v>0</v>
      </c>
      <c r="G485" s="6">
        <f>Calc_Formulas!AG481</f>
        <v>0</v>
      </c>
    </row>
    <row r="486" spans="1:7">
      <c r="A486" s="6">
        <f>Calc_Formulas!A482</f>
        <v>0</v>
      </c>
      <c r="B486" s="7">
        <f>Calc_Formulas!AH482</f>
        <v>0</v>
      </c>
      <c r="C486" s="7">
        <f>Calc_Formulas!AI482</f>
        <v>0</v>
      </c>
      <c r="D486" s="7">
        <f>Calc_Formulas!AJ482</f>
        <v>0</v>
      </c>
      <c r="E486" s="6">
        <f>Calc_Formulas!AE482</f>
        <v>0</v>
      </c>
      <c r="F486" s="6">
        <f>Calc_Formulas!AF482</f>
        <v>0</v>
      </c>
      <c r="G486" s="6">
        <f>Calc_Formulas!AG482</f>
        <v>0</v>
      </c>
    </row>
    <row r="487" spans="1:7">
      <c r="A487" s="6">
        <f>Calc_Formulas!A483</f>
        <v>0</v>
      </c>
      <c r="B487" s="7">
        <f>Calc_Formulas!AH483</f>
        <v>0</v>
      </c>
      <c r="C487" s="7">
        <f>Calc_Formulas!AI483</f>
        <v>0</v>
      </c>
      <c r="D487" s="7">
        <f>Calc_Formulas!AJ483</f>
        <v>0</v>
      </c>
      <c r="E487" s="6">
        <f>Calc_Formulas!AE483</f>
        <v>0</v>
      </c>
      <c r="F487" s="6">
        <f>Calc_Formulas!AF483</f>
        <v>0</v>
      </c>
      <c r="G487" s="6">
        <f>Calc_Formulas!AG483</f>
        <v>0</v>
      </c>
    </row>
    <row r="488" spans="1:7">
      <c r="A488" s="6">
        <f>Calc_Formulas!A484</f>
        <v>0</v>
      </c>
      <c r="B488" s="7">
        <f>Calc_Formulas!AH484</f>
        <v>0</v>
      </c>
      <c r="C488" s="7">
        <f>Calc_Formulas!AI484</f>
        <v>0</v>
      </c>
      <c r="D488" s="7">
        <f>Calc_Formulas!AJ484</f>
        <v>0</v>
      </c>
      <c r="E488" s="6">
        <f>Calc_Formulas!AE484</f>
        <v>0</v>
      </c>
      <c r="F488" s="6">
        <f>Calc_Formulas!AF484</f>
        <v>0</v>
      </c>
      <c r="G488" s="6">
        <f>Calc_Formulas!AG484</f>
        <v>0</v>
      </c>
    </row>
    <row r="489" spans="1:7">
      <c r="A489" s="6">
        <f>Calc_Formulas!A485</f>
        <v>0</v>
      </c>
      <c r="B489" s="7">
        <f>Calc_Formulas!AH485</f>
        <v>0</v>
      </c>
      <c r="C489" s="7">
        <f>Calc_Formulas!AI485</f>
        <v>0</v>
      </c>
      <c r="D489" s="7">
        <f>Calc_Formulas!AJ485</f>
        <v>0</v>
      </c>
      <c r="E489" s="6">
        <f>Calc_Formulas!AE485</f>
        <v>0</v>
      </c>
      <c r="F489" s="6">
        <f>Calc_Formulas!AF485</f>
        <v>0</v>
      </c>
      <c r="G489" s="6">
        <f>Calc_Formulas!AG485</f>
        <v>0</v>
      </c>
    </row>
    <row r="490" spans="1:7">
      <c r="A490" s="6">
        <f>Calc_Formulas!A486</f>
        <v>0</v>
      </c>
      <c r="B490" s="7">
        <f>Calc_Formulas!AH486</f>
        <v>0</v>
      </c>
      <c r="C490" s="7">
        <f>Calc_Formulas!AI486</f>
        <v>0</v>
      </c>
      <c r="D490" s="7">
        <f>Calc_Formulas!AJ486</f>
        <v>0</v>
      </c>
      <c r="E490" s="6">
        <f>Calc_Formulas!AE486</f>
        <v>0</v>
      </c>
      <c r="F490" s="6">
        <f>Calc_Formulas!AF486</f>
        <v>0</v>
      </c>
      <c r="G490" s="6">
        <f>Calc_Formulas!AG486</f>
        <v>0</v>
      </c>
    </row>
    <row r="491" spans="1:7">
      <c r="A491" s="6">
        <f>Calc_Formulas!A487</f>
        <v>0</v>
      </c>
      <c r="B491" s="7">
        <f>Calc_Formulas!AH487</f>
        <v>0</v>
      </c>
      <c r="C491" s="7">
        <f>Calc_Formulas!AI487</f>
        <v>0</v>
      </c>
      <c r="D491" s="7">
        <f>Calc_Formulas!AJ487</f>
        <v>0</v>
      </c>
      <c r="E491" s="6">
        <f>Calc_Formulas!AE487</f>
        <v>0</v>
      </c>
      <c r="F491" s="6">
        <f>Calc_Formulas!AF487</f>
        <v>0</v>
      </c>
      <c r="G491" s="6">
        <f>Calc_Formulas!AG487</f>
        <v>0</v>
      </c>
    </row>
    <row r="492" spans="1:7">
      <c r="A492" s="6">
        <f>Calc_Formulas!A488</f>
        <v>0</v>
      </c>
      <c r="B492" s="7">
        <f>Calc_Formulas!AH488</f>
        <v>0</v>
      </c>
      <c r="C492" s="7">
        <f>Calc_Formulas!AI488</f>
        <v>0</v>
      </c>
      <c r="D492" s="7">
        <f>Calc_Formulas!AJ488</f>
        <v>0</v>
      </c>
      <c r="E492" s="6">
        <f>Calc_Formulas!AE488</f>
        <v>0</v>
      </c>
      <c r="F492" s="6">
        <f>Calc_Formulas!AF488</f>
        <v>0</v>
      </c>
      <c r="G492" s="6">
        <f>Calc_Formulas!AG488</f>
        <v>0</v>
      </c>
    </row>
    <row r="493" spans="1:7">
      <c r="A493" s="6">
        <f>Calc_Formulas!A489</f>
        <v>0</v>
      </c>
      <c r="B493" s="7">
        <f>Calc_Formulas!AH489</f>
        <v>0</v>
      </c>
      <c r="C493" s="7">
        <f>Calc_Formulas!AI489</f>
        <v>0</v>
      </c>
      <c r="D493" s="7">
        <f>Calc_Formulas!AJ489</f>
        <v>0</v>
      </c>
      <c r="E493" s="6">
        <f>Calc_Formulas!AE489</f>
        <v>0</v>
      </c>
      <c r="F493" s="6">
        <f>Calc_Formulas!AF489</f>
        <v>0</v>
      </c>
      <c r="G493" s="6">
        <f>Calc_Formulas!AG489</f>
        <v>0</v>
      </c>
    </row>
    <row r="494" spans="1:7">
      <c r="A494" s="6">
        <f>Calc_Formulas!A490</f>
        <v>0</v>
      </c>
      <c r="B494" s="7">
        <f>Calc_Formulas!AH490</f>
        <v>0</v>
      </c>
      <c r="C494" s="7">
        <f>Calc_Formulas!AI490</f>
        <v>0</v>
      </c>
      <c r="D494" s="7">
        <f>Calc_Formulas!AJ490</f>
        <v>0</v>
      </c>
      <c r="E494" s="6">
        <f>Calc_Formulas!AE490</f>
        <v>0</v>
      </c>
      <c r="F494" s="6">
        <f>Calc_Formulas!AF490</f>
        <v>0</v>
      </c>
      <c r="G494" s="6">
        <f>Calc_Formulas!AG490</f>
        <v>0</v>
      </c>
    </row>
    <row r="495" spans="1:7">
      <c r="A495" s="6">
        <f>Calc_Formulas!A491</f>
        <v>0</v>
      </c>
      <c r="B495" s="7">
        <f>Calc_Formulas!AH491</f>
        <v>0</v>
      </c>
      <c r="C495" s="7">
        <f>Calc_Formulas!AI491</f>
        <v>0</v>
      </c>
      <c r="D495" s="7">
        <f>Calc_Formulas!AJ491</f>
        <v>0</v>
      </c>
      <c r="E495" s="6">
        <f>Calc_Formulas!AE491</f>
        <v>0</v>
      </c>
      <c r="F495" s="6">
        <f>Calc_Formulas!AF491</f>
        <v>0</v>
      </c>
      <c r="G495" s="6">
        <f>Calc_Formulas!AG491</f>
        <v>0</v>
      </c>
    </row>
    <row r="496" spans="1:7">
      <c r="A496" s="6">
        <f>Calc_Formulas!A492</f>
        <v>0</v>
      </c>
      <c r="B496" s="7">
        <f>Calc_Formulas!AH492</f>
        <v>0</v>
      </c>
      <c r="C496" s="7">
        <f>Calc_Formulas!AI492</f>
        <v>0</v>
      </c>
      <c r="D496" s="7">
        <f>Calc_Formulas!AJ492</f>
        <v>0</v>
      </c>
      <c r="E496" s="6">
        <f>Calc_Formulas!AE492</f>
        <v>0</v>
      </c>
      <c r="F496" s="6">
        <f>Calc_Formulas!AF492</f>
        <v>0</v>
      </c>
      <c r="G496" s="6">
        <f>Calc_Formulas!AG492</f>
        <v>0</v>
      </c>
    </row>
    <row r="497" spans="1:7">
      <c r="A497" s="6">
        <f>Calc_Formulas!A493</f>
        <v>0</v>
      </c>
      <c r="B497" s="7">
        <f>Calc_Formulas!AH493</f>
        <v>0</v>
      </c>
      <c r="C497" s="7">
        <f>Calc_Formulas!AI493</f>
        <v>0</v>
      </c>
      <c r="D497" s="7">
        <f>Calc_Formulas!AJ493</f>
        <v>0</v>
      </c>
      <c r="E497" s="6">
        <f>Calc_Formulas!AE493</f>
        <v>0</v>
      </c>
      <c r="F497" s="6">
        <f>Calc_Formulas!AF493</f>
        <v>0</v>
      </c>
      <c r="G497" s="6">
        <f>Calc_Formulas!AG493</f>
        <v>0</v>
      </c>
    </row>
    <row r="498" spans="1:7">
      <c r="A498" s="6">
        <f>Calc_Formulas!A494</f>
        <v>0</v>
      </c>
      <c r="B498" s="7">
        <f>Calc_Formulas!AH494</f>
        <v>0</v>
      </c>
      <c r="C498" s="7">
        <f>Calc_Formulas!AI494</f>
        <v>0</v>
      </c>
      <c r="D498" s="7">
        <f>Calc_Formulas!AJ494</f>
        <v>0</v>
      </c>
      <c r="E498" s="6">
        <f>Calc_Formulas!AE494</f>
        <v>0</v>
      </c>
      <c r="F498" s="6">
        <f>Calc_Formulas!AF494</f>
        <v>0</v>
      </c>
      <c r="G498" s="6">
        <f>Calc_Formulas!AG494</f>
        <v>0</v>
      </c>
    </row>
    <row r="499" spans="1:7">
      <c r="A499" s="6">
        <f>Calc_Formulas!A495</f>
        <v>0</v>
      </c>
      <c r="B499" s="7">
        <f>Calc_Formulas!AH495</f>
        <v>0</v>
      </c>
      <c r="C499" s="7">
        <f>Calc_Formulas!AI495</f>
        <v>0</v>
      </c>
      <c r="D499" s="7">
        <f>Calc_Formulas!AJ495</f>
        <v>0</v>
      </c>
      <c r="E499" s="6">
        <f>Calc_Formulas!AE495</f>
        <v>0</v>
      </c>
      <c r="F499" s="6">
        <f>Calc_Formulas!AF495</f>
        <v>0</v>
      </c>
      <c r="G499" s="6">
        <f>Calc_Formulas!AG495</f>
        <v>0</v>
      </c>
    </row>
    <row r="500" spans="1:7">
      <c r="A500" s="6">
        <f>Calc_Formulas!A496</f>
        <v>0</v>
      </c>
      <c r="B500" s="7">
        <f>Calc_Formulas!AH496</f>
        <v>0</v>
      </c>
      <c r="C500" s="7">
        <f>Calc_Formulas!AI496</f>
        <v>0</v>
      </c>
      <c r="D500" s="7">
        <f>Calc_Formulas!AJ496</f>
        <v>0</v>
      </c>
      <c r="E500" s="6">
        <f>Calc_Formulas!AE496</f>
        <v>0</v>
      </c>
      <c r="F500" s="6">
        <f>Calc_Formulas!AF496</f>
        <v>0</v>
      </c>
      <c r="G500" s="6">
        <f>Calc_Formulas!AG496</f>
        <v>0</v>
      </c>
    </row>
    <row r="501" spans="1:7">
      <c r="A501" s="6">
        <f>Calc_Formulas!A497</f>
        <v>0</v>
      </c>
      <c r="B501" s="7">
        <f>Calc_Formulas!AH497</f>
        <v>0</v>
      </c>
      <c r="C501" s="7">
        <f>Calc_Formulas!AI497</f>
        <v>0</v>
      </c>
      <c r="D501" s="7">
        <f>Calc_Formulas!AJ497</f>
        <v>0</v>
      </c>
      <c r="E501" s="6">
        <f>Calc_Formulas!AE497</f>
        <v>0</v>
      </c>
      <c r="F501" s="6">
        <f>Calc_Formulas!AF497</f>
        <v>0</v>
      </c>
      <c r="G501" s="6">
        <f>Calc_Formulas!AG497</f>
        <v>0</v>
      </c>
    </row>
    <row r="502" spans="1:7">
      <c r="A502" s="6">
        <f>Calc_Formulas!A498</f>
        <v>0</v>
      </c>
      <c r="B502" s="7">
        <f>Calc_Formulas!AH498</f>
        <v>0</v>
      </c>
      <c r="C502" s="7">
        <f>Calc_Formulas!AI498</f>
        <v>0</v>
      </c>
      <c r="D502" s="7">
        <f>Calc_Formulas!AJ498</f>
        <v>0</v>
      </c>
      <c r="E502" s="6">
        <f>Calc_Formulas!AE498</f>
        <v>0</v>
      </c>
      <c r="F502" s="6">
        <f>Calc_Formulas!AF498</f>
        <v>0</v>
      </c>
      <c r="G502" s="6">
        <f>Calc_Formulas!AG498</f>
        <v>0</v>
      </c>
    </row>
    <row r="503" spans="1:7">
      <c r="A503" s="6">
        <f>Calc_Formulas!A499</f>
        <v>0</v>
      </c>
      <c r="B503" s="7">
        <f>Calc_Formulas!AH499</f>
        <v>0</v>
      </c>
      <c r="C503" s="7">
        <f>Calc_Formulas!AI499</f>
        <v>0</v>
      </c>
      <c r="D503" s="7">
        <f>Calc_Formulas!AJ499</f>
        <v>0</v>
      </c>
      <c r="E503" s="6">
        <f>Calc_Formulas!AE499</f>
        <v>0</v>
      </c>
      <c r="F503" s="6">
        <f>Calc_Formulas!AF499</f>
        <v>0</v>
      </c>
      <c r="G503" s="6">
        <f>Calc_Formulas!AG499</f>
        <v>0</v>
      </c>
    </row>
    <row r="504" spans="1:7">
      <c r="A504" s="6">
        <f>Calc_Formulas!A500</f>
        <v>0</v>
      </c>
      <c r="B504" s="7">
        <f>Calc_Formulas!AH500</f>
        <v>0</v>
      </c>
      <c r="C504" s="7">
        <f>Calc_Formulas!AI500</f>
        <v>0</v>
      </c>
      <c r="D504" s="7">
        <f>Calc_Formulas!AJ500</f>
        <v>0</v>
      </c>
      <c r="E504" s="6">
        <f>Calc_Formulas!AE500</f>
        <v>0</v>
      </c>
      <c r="F504" s="6">
        <f>Calc_Formulas!AF500</f>
        <v>0</v>
      </c>
      <c r="G504" s="6">
        <f>Calc_Formulas!AG500</f>
        <v>0</v>
      </c>
    </row>
    <row r="505" spans="1:7">
      <c r="A505" s="6">
        <f>Calc_Formulas!A501</f>
        <v>0</v>
      </c>
      <c r="B505" s="7">
        <f>Calc_Formulas!AH501</f>
        <v>0</v>
      </c>
      <c r="C505" s="7">
        <f>Calc_Formulas!AI501</f>
        <v>0</v>
      </c>
      <c r="D505" s="7">
        <f>Calc_Formulas!AJ501</f>
        <v>0</v>
      </c>
      <c r="E505" s="6">
        <f>Calc_Formulas!AE501</f>
        <v>0</v>
      </c>
      <c r="F505" s="6">
        <f>Calc_Formulas!AF501</f>
        <v>0</v>
      </c>
      <c r="G505" s="6">
        <f>Calc_Formulas!AG501</f>
        <v>0</v>
      </c>
    </row>
    <row r="506" spans="1:7">
      <c r="A506" s="6">
        <f>Calc_Formulas!A502</f>
        <v>0</v>
      </c>
      <c r="B506" s="7">
        <f>Calc_Formulas!AH502</f>
        <v>0</v>
      </c>
      <c r="C506" s="7">
        <f>Calc_Formulas!AI502</f>
        <v>0</v>
      </c>
      <c r="D506" s="7">
        <f>Calc_Formulas!AJ502</f>
        <v>0</v>
      </c>
      <c r="E506" s="6">
        <f>Calc_Formulas!AE502</f>
        <v>0</v>
      </c>
      <c r="F506" s="6">
        <f>Calc_Formulas!AF502</f>
        <v>0</v>
      </c>
      <c r="G506" s="6">
        <f>Calc_Formulas!AG502</f>
        <v>0</v>
      </c>
    </row>
    <row r="507" spans="1:7">
      <c r="A507" s="6">
        <f>Calc_Formulas!A503</f>
        <v>0</v>
      </c>
      <c r="B507" s="7">
        <f>Calc_Formulas!AH503</f>
        <v>0</v>
      </c>
      <c r="C507" s="7">
        <f>Calc_Formulas!AI503</f>
        <v>0</v>
      </c>
      <c r="D507" s="7">
        <f>Calc_Formulas!AJ503</f>
        <v>0</v>
      </c>
      <c r="E507" s="6">
        <f>Calc_Formulas!AE503</f>
        <v>0</v>
      </c>
      <c r="F507" s="6">
        <f>Calc_Formulas!AF503</f>
        <v>0</v>
      </c>
      <c r="G507" s="6">
        <f>Calc_Formulas!AG503</f>
        <v>0</v>
      </c>
    </row>
    <row r="508" spans="1:7">
      <c r="A508" s="6">
        <f>Calc_Formulas!A504</f>
        <v>0</v>
      </c>
      <c r="B508" s="7">
        <f>Calc_Formulas!AH504</f>
        <v>0</v>
      </c>
      <c r="C508" s="7">
        <f>Calc_Formulas!AI504</f>
        <v>0</v>
      </c>
      <c r="D508" s="7">
        <f>Calc_Formulas!AJ504</f>
        <v>0</v>
      </c>
      <c r="E508" s="6">
        <f>Calc_Formulas!AE504</f>
        <v>0</v>
      </c>
      <c r="F508" s="6">
        <f>Calc_Formulas!AF504</f>
        <v>0</v>
      </c>
      <c r="G508" s="6">
        <f>Calc_Formulas!AG504</f>
        <v>0</v>
      </c>
    </row>
    <row r="509" spans="1:7">
      <c r="A509" s="6">
        <f>Calc_Formulas!A505</f>
        <v>0</v>
      </c>
      <c r="B509" s="7">
        <f>Calc_Formulas!AH505</f>
        <v>0</v>
      </c>
      <c r="C509" s="7">
        <f>Calc_Formulas!AI505</f>
        <v>0</v>
      </c>
      <c r="D509" s="7">
        <f>Calc_Formulas!AJ505</f>
        <v>0</v>
      </c>
      <c r="E509" s="6">
        <f>Calc_Formulas!AE505</f>
        <v>0</v>
      </c>
      <c r="F509" s="6">
        <f>Calc_Formulas!AF505</f>
        <v>0</v>
      </c>
      <c r="G509" s="6">
        <f>Calc_Formulas!AG505</f>
        <v>0</v>
      </c>
    </row>
    <row r="510" spans="1:7">
      <c r="A510" s="6">
        <f>Calc_Formulas!A506</f>
        <v>0</v>
      </c>
      <c r="B510" s="7">
        <f>Calc_Formulas!AH506</f>
        <v>0</v>
      </c>
      <c r="C510" s="7">
        <f>Calc_Formulas!AI506</f>
        <v>0</v>
      </c>
      <c r="D510" s="7">
        <f>Calc_Formulas!AJ506</f>
        <v>0</v>
      </c>
      <c r="E510" s="6">
        <f>Calc_Formulas!AE506</f>
        <v>0</v>
      </c>
      <c r="F510" s="6">
        <f>Calc_Formulas!AF506</f>
        <v>0</v>
      </c>
      <c r="G510" s="6">
        <f>Calc_Formulas!AG506</f>
        <v>0</v>
      </c>
    </row>
    <row r="511" spans="1:7">
      <c r="A511" s="6">
        <f>Calc_Formulas!A507</f>
        <v>0</v>
      </c>
      <c r="B511" s="7">
        <f>Calc_Formulas!AH507</f>
        <v>0</v>
      </c>
      <c r="C511" s="7">
        <f>Calc_Formulas!AI507</f>
        <v>0</v>
      </c>
      <c r="D511" s="7">
        <f>Calc_Formulas!AJ507</f>
        <v>0</v>
      </c>
      <c r="E511" s="6">
        <f>Calc_Formulas!AE507</f>
        <v>0</v>
      </c>
      <c r="F511" s="6">
        <f>Calc_Formulas!AF507</f>
        <v>0</v>
      </c>
      <c r="G511" s="6">
        <f>Calc_Formulas!AG507</f>
        <v>0</v>
      </c>
    </row>
    <row r="512" spans="1:7">
      <c r="A512" s="6">
        <f>Calc_Formulas!A508</f>
        <v>0</v>
      </c>
      <c r="B512" s="7">
        <f>Calc_Formulas!AH508</f>
        <v>0</v>
      </c>
      <c r="C512" s="7">
        <f>Calc_Formulas!AI508</f>
        <v>0</v>
      </c>
      <c r="D512" s="7">
        <f>Calc_Formulas!AJ508</f>
        <v>0</v>
      </c>
      <c r="E512" s="6">
        <f>Calc_Formulas!AE508</f>
        <v>0</v>
      </c>
      <c r="F512" s="6">
        <f>Calc_Formulas!AF508</f>
        <v>0</v>
      </c>
      <c r="G512" s="6">
        <f>Calc_Formulas!AG508</f>
        <v>0</v>
      </c>
    </row>
    <row r="513" spans="1:7">
      <c r="A513" s="6">
        <f>Calc_Formulas!A509</f>
        <v>0</v>
      </c>
      <c r="B513" s="7">
        <f>Calc_Formulas!AH509</f>
        <v>0</v>
      </c>
      <c r="C513" s="7">
        <f>Calc_Formulas!AI509</f>
        <v>0</v>
      </c>
      <c r="D513" s="7">
        <f>Calc_Formulas!AJ509</f>
        <v>0</v>
      </c>
      <c r="E513" s="6">
        <f>Calc_Formulas!AE509</f>
        <v>0</v>
      </c>
      <c r="F513" s="6">
        <f>Calc_Formulas!AF509</f>
        <v>0</v>
      </c>
      <c r="G513" s="6">
        <f>Calc_Formulas!AG509</f>
        <v>0</v>
      </c>
    </row>
    <row r="514" spans="1:7">
      <c r="A514" s="6">
        <f>Calc_Formulas!A510</f>
        <v>0</v>
      </c>
      <c r="B514" s="7">
        <f>Calc_Formulas!AH510</f>
        <v>0</v>
      </c>
      <c r="C514" s="7">
        <f>Calc_Formulas!AI510</f>
        <v>0</v>
      </c>
      <c r="D514" s="7">
        <f>Calc_Formulas!AJ510</f>
        <v>0</v>
      </c>
      <c r="E514" s="6">
        <f>Calc_Formulas!AE510</f>
        <v>0</v>
      </c>
      <c r="F514" s="6">
        <f>Calc_Formulas!AF510</f>
        <v>0</v>
      </c>
      <c r="G514" s="6">
        <f>Calc_Formulas!AG510</f>
        <v>0</v>
      </c>
    </row>
    <row r="515" spans="1:7">
      <c r="A515" s="6">
        <f>Calc_Formulas!A511</f>
        <v>0</v>
      </c>
      <c r="B515" s="7">
        <f>Calc_Formulas!AH511</f>
        <v>0</v>
      </c>
      <c r="C515" s="7">
        <f>Calc_Formulas!AI511</f>
        <v>0</v>
      </c>
      <c r="D515" s="7">
        <f>Calc_Formulas!AJ511</f>
        <v>0</v>
      </c>
      <c r="E515" s="6">
        <f>Calc_Formulas!AE511</f>
        <v>0</v>
      </c>
      <c r="F515" s="6">
        <f>Calc_Formulas!AF511</f>
        <v>0</v>
      </c>
      <c r="G515" s="6">
        <f>Calc_Formulas!AG511</f>
        <v>0</v>
      </c>
    </row>
    <row r="516" spans="1:7">
      <c r="A516" s="6">
        <f>Calc_Formulas!A512</f>
        <v>0</v>
      </c>
      <c r="B516" s="7">
        <f>Calc_Formulas!AH512</f>
        <v>0</v>
      </c>
      <c r="C516" s="7">
        <f>Calc_Formulas!AI512</f>
        <v>0</v>
      </c>
      <c r="D516" s="7">
        <f>Calc_Formulas!AJ512</f>
        <v>0</v>
      </c>
      <c r="E516" s="6">
        <f>Calc_Formulas!AE512</f>
        <v>0</v>
      </c>
      <c r="F516" s="6">
        <f>Calc_Formulas!AF512</f>
        <v>0</v>
      </c>
      <c r="G516" s="6">
        <f>Calc_Formulas!AG512</f>
        <v>0</v>
      </c>
    </row>
    <row r="517" spans="1:7">
      <c r="A517" s="6">
        <f>Calc_Formulas!A513</f>
        <v>0</v>
      </c>
      <c r="B517" s="7">
        <f>Calc_Formulas!AH513</f>
        <v>0</v>
      </c>
      <c r="C517" s="7">
        <f>Calc_Formulas!AI513</f>
        <v>0</v>
      </c>
      <c r="D517" s="7">
        <f>Calc_Formulas!AJ513</f>
        <v>0</v>
      </c>
      <c r="E517" s="6">
        <f>Calc_Formulas!AE513</f>
        <v>0</v>
      </c>
      <c r="F517" s="6">
        <f>Calc_Formulas!AF513</f>
        <v>0</v>
      </c>
      <c r="G517" s="6">
        <f>Calc_Formulas!AG513</f>
        <v>0</v>
      </c>
    </row>
    <row r="518" spans="1:7">
      <c r="A518" s="6">
        <f>Calc_Formulas!A514</f>
        <v>0</v>
      </c>
      <c r="B518" s="7">
        <f>Calc_Formulas!AH514</f>
        <v>0</v>
      </c>
      <c r="C518" s="7">
        <f>Calc_Formulas!AI514</f>
        <v>0</v>
      </c>
      <c r="D518" s="7">
        <f>Calc_Formulas!AJ514</f>
        <v>0</v>
      </c>
      <c r="E518" s="6">
        <f>Calc_Formulas!AE514</f>
        <v>0</v>
      </c>
      <c r="F518" s="6">
        <f>Calc_Formulas!AF514</f>
        <v>0</v>
      </c>
      <c r="G518" s="6">
        <f>Calc_Formulas!AG514</f>
        <v>0</v>
      </c>
    </row>
    <row r="519" spans="1:7">
      <c r="A519" s="6">
        <f>Calc_Formulas!A515</f>
        <v>0</v>
      </c>
      <c r="B519" s="7">
        <f>Calc_Formulas!AH515</f>
        <v>0</v>
      </c>
      <c r="C519" s="7">
        <f>Calc_Formulas!AI515</f>
        <v>0</v>
      </c>
      <c r="D519" s="7">
        <f>Calc_Formulas!AJ515</f>
        <v>0</v>
      </c>
      <c r="E519" s="6">
        <f>Calc_Formulas!AE515</f>
        <v>0</v>
      </c>
      <c r="F519" s="6">
        <f>Calc_Formulas!AF515</f>
        <v>0</v>
      </c>
      <c r="G519" s="6">
        <f>Calc_Formulas!AG515</f>
        <v>0</v>
      </c>
    </row>
    <row r="520" spans="1:7">
      <c r="A520" s="6">
        <f>Calc_Formulas!A516</f>
        <v>0</v>
      </c>
      <c r="B520" s="7">
        <f>Calc_Formulas!AH516</f>
        <v>0</v>
      </c>
      <c r="C520" s="7">
        <f>Calc_Formulas!AI516</f>
        <v>0</v>
      </c>
      <c r="D520" s="7">
        <f>Calc_Formulas!AJ516</f>
        <v>0</v>
      </c>
      <c r="E520" s="6">
        <f>Calc_Formulas!AE516</f>
        <v>0</v>
      </c>
      <c r="F520" s="6">
        <f>Calc_Formulas!AF516</f>
        <v>0</v>
      </c>
      <c r="G520" s="6">
        <f>Calc_Formulas!AG516</f>
        <v>0</v>
      </c>
    </row>
    <row r="521" spans="1:7">
      <c r="A521" s="6">
        <f>Calc_Formulas!A517</f>
        <v>0</v>
      </c>
      <c r="B521" s="7">
        <f>Calc_Formulas!AH517</f>
        <v>0</v>
      </c>
      <c r="C521" s="7">
        <f>Calc_Formulas!AI517</f>
        <v>0</v>
      </c>
      <c r="D521" s="7">
        <f>Calc_Formulas!AJ517</f>
        <v>0</v>
      </c>
      <c r="E521" s="6">
        <f>Calc_Formulas!AE517</f>
        <v>0</v>
      </c>
      <c r="F521" s="6">
        <f>Calc_Formulas!AF517</f>
        <v>0</v>
      </c>
      <c r="G521" s="6">
        <f>Calc_Formulas!AG517</f>
        <v>0</v>
      </c>
    </row>
    <row r="522" spans="1:7">
      <c r="A522" s="6">
        <f>Calc_Formulas!A518</f>
        <v>0</v>
      </c>
      <c r="B522" s="7">
        <f>Calc_Formulas!AH518</f>
        <v>0</v>
      </c>
      <c r="C522" s="7">
        <f>Calc_Formulas!AI518</f>
        <v>0</v>
      </c>
      <c r="D522" s="7">
        <f>Calc_Formulas!AJ518</f>
        <v>0</v>
      </c>
      <c r="E522" s="6">
        <f>Calc_Formulas!AE518</f>
        <v>0</v>
      </c>
      <c r="F522" s="6">
        <f>Calc_Formulas!AF518</f>
        <v>0</v>
      </c>
      <c r="G522" s="6">
        <f>Calc_Formulas!AG518</f>
        <v>0</v>
      </c>
    </row>
    <row r="523" spans="1:7">
      <c r="A523" s="6">
        <f>Calc_Formulas!A519</f>
        <v>0</v>
      </c>
      <c r="B523" s="7">
        <f>Calc_Formulas!AH519</f>
        <v>0</v>
      </c>
      <c r="C523" s="7">
        <f>Calc_Formulas!AI519</f>
        <v>0</v>
      </c>
      <c r="D523" s="7">
        <f>Calc_Formulas!AJ519</f>
        <v>0</v>
      </c>
      <c r="E523" s="6">
        <f>Calc_Formulas!AE519</f>
        <v>0</v>
      </c>
      <c r="F523" s="6">
        <f>Calc_Formulas!AF519</f>
        <v>0</v>
      </c>
      <c r="G523" s="6">
        <f>Calc_Formulas!AG519</f>
        <v>0</v>
      </c>
    </row>
    <row r="524" spans="1:7">
      <c r="A524" s="6">
        <f>Calc_Formulas!A520</f>
        <v>0</v>
      </c>
      <c r="B524" s="7">
        <f>Calc_Formulas!AH520</f>
        <v>0</v>
      </c>
      <c r="C524" s="7">
        <f>Calc_Formulas!AI520</f>
        <v>0</v>
      </c>
      <c r="D524" s="7">
        <f>Calc_Formulas!AJ520</f>
        <v>0</v>
      </c>
      <c r="E524" s="6">
        <f>Calc_Formulas!AE520</f>
        <v>0</v>
      </c>
      <c r="F524" s="6">
        <f>Calc_Formulas!AF520</f>
        <v>0</v>
      </c>
      <c r="G524" s="6">
        <f>Calc_Formulas!AG520</f>
        <v>0</v>
      </c>
    </row>
    <row r="525" spans="1:7">
      <c r="A525" s="6">
        <f>Calc_Formulas!A521</f>
        <v>0</v>
      </c>
      <c r="B525" s="7">
        <f>Calc_Formulas!AH521</f>
        <v>0</v>
      </c>
      <c r="C525" s="7">
        <f>Calc_Formulas!AI521</f>
        <v>0</v>
      </c>
      <c r="D525" s="7">
        <f>Calc_Formulas!AJ521</f>
        <v>0</v>
      </c>
      <c r="E525" s="6">
        <f>Calc_Formulas!AE521</f>
        <v>0</v>
      </c>
      <c r="F525" s="6">
        <f>Calc_Formulas!AF521</f>
        <v>0</v>
      </c>
      <c r="G525" s="6">
        <f>Calc_Formulas!AG521</f>
        <v>0</v>
      </c>
    </row>
    <row r="526" spans="1:7">
      <c r="A526" s="6">
        <f>Calc_Formulas!A522</f>
        <v>0</v>
      </c>
      <c r="B526" s="7">
        <f>Calc_Formulas!AH522</f>
        <v>0</v>
      </c>
      <c r="C526" s="7">
        <f>Calc_Formulas!AI522</f>
        <v>0</v>
      </c>
      <c r="D526" s="7">
        <f>Calc_Formulas!AJ522</f>
        <v>0</v>
      </c>
      <c r="E526" s="6">
        <f>Calc_Formulas!AE522</f>
        <v>0</v>
      </c>
      <c r="F526" s="6">
        <f>Calc_Formulas!AF522</f>
        <v>0</v>
      </c>
      <c r="G526" s="6">
        <f>Calc_Formulas!AG522</f>
        <v>0</v>
      </c>
    </row>
    <row r="527" spans="1:7">
      <c r="A527" s="6">
        <f>Calc_Formulas!A523</f>
        <v>0</v>
      </c>
      <c r="B527" s="7">
        <f>Calc_Formulas!AH523</f>
        <v>0</v>
      </c>
      <c r="C527" s="7">
        <f>Calc_Formulas!AI523</f>
        <v>0</v>
      </c>
      <c r="D527" s="7">
        <f>Calc_Formulas!AJ523</f>
        <v>0</v>
      </c>
      <c r="E527" s="6">
        <f>Calc_Formulas!AE523</f>
        <v>0</v>
      </c>
      <c r="F527" s="6">
        <f>Calc_Formulas!AF523</f>
        <v>0</v>
      </c>
      <c r="G527" s="6">
        <f>Calc_Formulas!AG523</f>
        <v>0</v>
      </c>
    </row>
    <row r="528" spans="1:7">
      <c r="A528" s="6">
        <f>Calc_Formulas!A524</f>
        <v>0</v>
      </c>
      <c r="B528" s="7">
        <f>Calc_Formulas!AH524</f>
        <v>0</v>
      </c>
      <c r="C528" s="7">
        <f>Calc_Formulas!AI524</f>
        <v>0</v>
      </c>
      <c r="D528" s="7">
        <f>Calc_Formulas!AJ524</f>
        <v>0</v>
      </c>
      <c r="E528" s="6">
        <f>Calc_Formulas!AE524</f>
        <v>0</v>
      </c>
      <c r="F528" s="6">
        <f>Calc_Formulas!AF524</f>
        <v>0</v>
      </c>
      <c r="G528" s="6">
        <f>Calc_Formulas!AG524</f>
        <v>0</v>
      </c>
    </row>
    <row r="529" spans="1:7">
      <c r="A529" s="6">
        <f>Calc_Formulas!A525</f>
        <v>0</v>
      </c>
      <c r="B529" s="7">
        <f>Calc_Formulas!AH525</f>
        <v>0</v>
      </c>
      <c r="C529" s="7">
        <f>Calc_Formulas!AI525</f>
        <v>0</v>
      </c>
      <c r="D529" s="7">
        <f>Calc_Formulas!AJ525</f>
        <v>0</v>
      </c>
      <c r="E529" s="6">
        <f>Calc_Formulas!AE525</f>
        <v>0</v>
      </c>
      <c r="F529" s="6">
        <f>Calc_Formulas!AF525</f>
        <v>0</v>
      </c>
      <c r="G529" s="6">
        <f>Calc_Formulas!AG525</f>
        <v>0</v>
      </c>
    </row>
    <row r="530" spans="1:7">
      <c r="A530" s="6">
        <f>Calc_Formulas!A526</f>
        <v>0</v>
      </c>
      <c r="B530" s="7">
        <f>Calc_Formulas!AH526</f>
        <v>0</v>
      </c>
      <c r="C530" s="7">
        <f>Calc_Formulas!AI526</f>
        <v>0</v>
      </c>
      <c r="D530" s="7">
        <f>Calc_Formulas!AJ526</f>
        <v>0</v>
      </c>
      <c r="E530" s="6">
        <f>Calc_Formulas!AE526</f>
        <v>0</v>
      </c>
      <c r="F530" s="6">
        <f>Calc_Formulas!AF526</f>
        <v>0</v>
      </c>
      <c r="G530" s="6">
        <f>Calc_Formulas!AG526</f>
        <v>0</v>
      </c>
    </row>
    <row r="531" spans="1:7">
      <c r="A531" s="6">
        <f>Calc_Formulas!A527</f>
        <v>0</v>
      </c>
      <c r="B531" s="7">
        <f>Calc_Formulas!AH527</f>
        <v>0</v>
      </c>
      <c r="C531" s="7">
        <f>Calc_Formulas!AI527</f>
        <v>0</v>
      </c>
      <c r="D531" s="7">
        <f>Calc_Formulas!AJ527</f>
        <v>0</v>
      </c>
      <c r="E531" s="6">
        <f>Calc_Formulas!AE527</f>
        <v>0</v>
      </c>
      <c r="F531" s="6">
        <f>Calc_Formulas!AF527</f>
        <v>0</v>
      </c>
      <c r="G531" s="6">
        <f>Calc_Formulas!AG527</f>
        <v>0</v>
      </c>
    </row>
    <row r="532" spans="1:7">
      <c r="A532" s="6">
        <f>Calc_Formulas!A528</f>
        <v>0</v>
      </c>
      <c r="B532" s="7">
        <f>Calc_Formulas!AH528</f>
        <v>0</v>
      </c>
      <c r="C532" s="7">
        <f>Calc_Formulas!AI528</f>
        <v>0</v>
      </c>
      <c r="D532" s="7">
        <f>Calc_Formulas!AJ528</f>
        <v>0</v>
      </c>
      <c r="E532" s="6">
        <f>Calc_Formulas!AE528</f>
        <v>0</v>
      </c>
      <c r="F532" s="6">
        <f>Calc_Formulas!AF528</f>
        <v>0</v>
      </c>
      <c r="G532" s="6">
        <f>Calc_Formulas!AG528</f>
        <v>0</v>
      </c>
    </row>
    <row r="533" spans="1:7">
      <c r="A533" s="6">
        <f>Calc_Formulas!A529</f>
        <v>0</v>
      </c>
      <c r="B533" s="7">
        <f>Calc_Formulas!AH529</f>
        <v>0</v>
      </c>
      <c r="C533" s="7">
        <f>Calc_Formulas!AI529</f>
        <v>0</v>
      </c>
      <c r="D533" s="7">
        <f>Calc_Formulas!AJ529</f>
        <v>0</v>
      </c>
      <c r="E533" s="6">
        <f>Calc_Formulas!AE529</f>
        <v>0</v>
      </c>
      <c r="F533" s="6">
        <f>Calc_Formulas!AF529</f>
        <v>0</v>
      </c>
      <c r="G533" s="6">
        <f>Calc_Formulas!AG529</f>
        <v>0</v>
      </c>
    </row>
    <row r="534" spans="1:7">
      <c r="A534" s="6">
        <f>Calc_Formulas!A530</f>
        <v>0</v>
      </c>
      <c r="B534" s="7">
        <f>Calc_Formulas!AH530</f>
        <v>0</v>
      </c>
      <c r="C534" s="7">
        <f>Calc_Formulas!AI530</f>
        <v>0</v>
      </c>
      <c r="D534" s="7">
        <f>Calc_Formulas!AJ530</f>
        <v>0</v>
      </c>
      <c r="E534" s="6">
        <f>Calc_Formulas!AE530</f>
        <v>0</v>
      </c>
      <c r="F534" s="6">
        <f>Calc_Formulas!AF530</f>
        <v>0</v>
      </c>
      <c r="G534" s="6">
        <f>Calc_Formulas!AG530</f>
        <v>0</v>
      </c>
    </row>
    <row r="535" spans="1:7">
      <c r="A535" s="6">
        <f>Calc_Formulas!A531</f>
        <v>0</v>
      </c>
      <c r="B535" s="7">
        <f>Calc_Formulas!AH531</f>
        <v>0</v>
      </c>
      <c r="C535" s="7">
        <f>Calc_Formulas!AI531</f>
        <v>0</v>
      </c>
      <c r="D535" s="7">
        <f>Calc_Formulas!AJ531</f>
        <v>0</v>
      </c>
      <c r="E535" s="6">
        <f>Calc_Formulas!AE531</f>
        <v>0</v>
      </c>
      <c r="F535" s="6">
        <f>Calc_Formulas!AF531</f>
        <v>0</v>
      </c>
      <c r="G535" s="6">
        <f>Calc_Formulas!AG531</f>
        <v>0</v>
      </c>
    </row>
    <row r="536" spans="1:7">
      <c r="A536" s="6">
        <f>Calc_Formulas!A532</f>
        <v>0</v>
      </c>
      <c r="B536" s="7">
        <f>Calc_Formulas!AH532</f>
        <v>0</v>
      </c>
      <c r="C536" s="7">
        <f>Calc_Formulas!AI532</f>
        <v>0</v>
      </c>
      <c r="D536" s="7">
        <f>Calc_Formulas!AJ532</f>
        <v>0</v>
      </c>
      <c r="E536" s="6">
        <f>Calc_Formulas!AE532</f>
        <v>0</v>
      </c>
      <c r="F536" s="6">
        <f>Calc_Formulas!AF532</f>
        <v>0</v>
      </c>
      <c r="G536" s="6">
        <f>Calc_Formulas!AG532</f>
        <v>0</v>
      </c>
    </row>
    <row r="537" spans="1:7">
      <c r="A537" s="6">
        <f>Calc_Formulas!A533</f>
        <v>0</v>
      </c>
      <c r="B537" s="7">
        <f>Calc_Formulas!AH533</f>
        <v>0</v>
      </c>
      <c r="C537" s="7">
        <f>Calc_Formulas!AI533</f>
        <v>0</v>
      </c>
      <c r="D537" s="7">
        <f>Calc_Formulas!AJ533</f>
        <v>0</v>
      </c>
      <c r="E537" s="6">
        <f>Calc_Formulas!AE533</f>
        <v>0</v>
      </c>
      <c r="F537" s="6">
        <f>Calc_Formulas!AF533</f>
        <v>0</v>
      </c>
      <c r="G537" s="6">
        <f>Calc_Formulas!AG533</f>
        <v>0</v>
      </c>
    </row>
    <row r="538" spans="1:7">
      <c r="A538" s="6">
        <f>Calc_Formulas!A534</f>
        <v>0</v>
      </c>
      <c r="B538" s="7">
        <f>Calc_Formulas!AH534</f>
        <v>0</v>
      </c>
      <c r="C538" s="7">
        <f>Calc_Formulas!AI534</f>
        <v>0</v>
      </c>
      <c r="D538" s="7">
        <f>Calc_Formulas!AJ534</f>
        <v>0</v>
      </c>
      <c r="E538" s="6">
        <f>Calc_Formulas!AE534</f>
        <v>0</v>
      </c>
      <c r="F538" s="6">
        <f>Calc_Formulas!AF534</f>
        <v>0</v>
      </c>
      <c r="G538" s="6">
        <f>Calc_Formulas!AG534</f>
        <v>0</v>
      </c>
    </row>
    <row r="539" spans="1:7">
      <c r="A539" s="6">
        <f>Calc_Formulas!A535</f>
        <v>0</v>
      </c>
      <c r="B539" s="7">
        <f>Calc_Formulas!AH535</f>
        <v>0</v>
      </c>
      <c r="C539" s="7">
        <f>Calc_Formulas!AI535</f>
        <v>0</v>
      </c>
      <c r="D539" s="7">
        <f>Calc_Formulas!AJ535</f>
        <v>0</v>
      </c>
      <c r="E539" s="6">
        <f>Calc_Formulas!AE535</f>
        <v>0</v>
      </c>
      <c r="F539" s="6">
        <f>Calc_Formulas!AF535</f>
        <v>0</v>
      </c>
      <c r="G539" s="6">
        <f>Calc_Formulas!AG535</f>
        <v>0</v>
      </c>
    </row>
    <row r="540" spans="1:7">
      <c r="A540" s="6">
        <f>Calc_Formulas!A536</f>
        <v>0</v>
      </c>
      <c r="B540" s="7">
        <f>Calc_Formulas!AH536</f>
        <v>0</v>
      </c>
      <c r="C540" s="7">
        <f>Calc_Formulas!AI536</f>
        <v>0</v>
      </c>
      <c r="D540" s="7">
        <f>Calc_Formulas!AJ536</f>
        <v>0</v>
      </c>
      <c r="E540" s="6">
        <f>Calc_Formulas!AE536</f>
        <v>0</v>
      </c>
      <c r="F540" s="6">
        <f>Calc_Formulas!AF536</f>
        <v>0</v>
      </c>
      <c r="G540" s="6">
        <f>Calc_Formulas!AG536</f>
        <v>0</v>
      </c>
    </row>
    <row r="541" spans="1:7">
      <c r="A541" s="6">
        <f>Calc_Formulas!A537</f>
        <v>0</v>
      </c>
      <c r="B541" s="7">
        <f>Calc_Formulas!AH537</f>
        <v>0</v>
      </c>
      <c r="C541" s="7">
        <f>Calc_Formulas!AI537</f>
        <v>0</v>
      </c>
      <c r="D541" s="7">
        <f>Calc_Formulas!AJ537</f>
        <v>0</v>
      </c>
      <c r="E541" s="6">
        <f>Calc_Formulas!AE537</f>
        <v>0</v>
      </c>
      <c r="F541" s="6">
        <f>Calc_Formulas!AF537</f>
        <v>0</v>
      </c>
      <c r="G541" s="6">
        <f>Calc_Formulas!AG537</f>
        <v>0</v>
      </c>
    </row>
    <row r="542" spans="1:7">
      <c r="A542" s="6">
        <f>Calc_Formulas!A538</f>
        <v>0</v>
      </c>
      <c r="B542" s="7">
        <f>Calc_Formulas!AH538</f>
        <v>0</v>
      </c>
      <c r="C542" s="7">
        <f>Calc_Formulas!AI538</f>
        <v>0</v>
      </c>
      <c r="D542" s="7">
        <f>Calc_Formulas!AJ538</f>
        <v>0</v>
      </c>
      <c r="E542" s="6">
        <f>Calc_Formulas!AE538</f>
        <v>0</v>
      </c>
      <c r="F542" s="6">
        <f>Calc_Formulas!AF538</f>
        <v>0</v>
      </c>
      <c r="G542" s="6">
        <f>Calc_Formulas!AG538</f>
        <v>0</v>
      </c>
    </row>
    <row r="543" spans="1:7">
      <c r="A543" s="6">
        <f>Calc_Formulas!A539</f>
        <v>0</v>
      </c>
      <c r="B543" s="7">
        <f>Calc_Formulas!AH539</f>
        <v>0</v>
      </c>
      <c r="C543" s="7">
        <f>Calc_Formulas!AI539</f>
        <v>0</v>
      </c>
      <c r="D543" s="7">
        <f>Calc_Formulas!AJ539</f>
        <v>0</v>
      </c>
      <c r="E543" s="6">
        <f>Calc_Formulas!AE539</f>
        <v>0</v>
      </c>
      <c r="F543" s="6">
        <f>Calc_Formulas!AF539</f>
        <v>0</v>
      </c>
      <c r="G543" s="6">
        <f>Calc_Formulas!AG539</f>
        <v>0</v>
      </c>
    </row>
    <row r="544" spans="1:7">
      <c r="A544" s="6">
        <f>Calc_Formulas!A540</f>
        <v>0</v>
      </c>
      <c r="B544" s="7">
        <f>Calc_Formulas!AH540</f>
        <v>0</v>
      </c>
      <c r="C544" s="7">
        <f>Calc_Formulas!AI540</f>
        <v>0</v>
      </c>
      <c r="D544" s="7">
        <f>Calc_Formulas!AJ540</f>
        <v>0</v>
      </c>
      <c r="E544" s="6">
        <f>Calc_Formulas!AE540</f>
        <v>0</v>
      </c>
      <c r="F544" s="6">
        <f>Calc_Formulas!AF540</f>
        <v>0</v>
      </c>
      <c r="G544" s="6">
        <f>Calc_Formulas!AG540</f>
        <v>0</v>
      </c>
    </row>
    <row r="545" spans="1:7">
      <c r="A545" s="6">
        <f>Calc_Formulas!A541</f>
        <v>0</v>
      </c>
      <c r="B545" s="7">
        <f>Calc_Formulas!AH541</f>
        <v>0</v>
      </c>
      <c r="C545" s="7">
        <f>Calc_Formulas!AI541</f>
        <v>0</v>
      </c>
      <c r="D545" s="7">
        <f>Calc_Formulas!AJ541</f>
        <v>0</v>
      </c>
      <c r="E545" s="6">
        <f>Calc_Formulas!AE541</f>
        <v>0</v>
      </c>
      <c r="F545" s="6">
        <f>Calc_Formulas!AF541</f>
        <v>0</v>
      </c>
      <c r="G545" s="6">
        <f>Calc_Formulas!AG541</f>
        <v>0</v>
      </c>
    </row>
    <row r="546" spans="1:7">
      <c r="A546" s="6">
        <f>Calc_Formulas!A542</f>
        <v>0</v>
      </c>
      <c r="B546" s="7">
        <f>Calc_Formulas!AH542</f>
        <v>0</v>
      </c>
      <c r="C546" s="7">
        <f>Calc_Formulas!AI542</f>
        <v>0</v>
      </c>
      <c r="D546" s="7">
        <f>Calc_Formulas!AJ542</f>
        <v>0</v>
      </c>
      <c r="E546" s="6">
        <f>Calc_Formulas!AE542</f>
        <v>0</v>
      </c>
      <c r="F546" s="6">
        <f>Calc_Formulas!AF542</f>
        <v>0</v>
      </c>
      <c r="G546" s="6">
        <f>Calc_Formulas!AG542</f>
        <v>0</v>
      </c>
    </row>
    <row r="547" spans="1:7">
      <c r="A547" s="6">
        <f>Calc_Formulas!A543</f>
        <v>0</v>
      </c>
      <c r="B547" s="7">
        <f>Calc_Formulas!AH543</f>
        <v>0</v>
      </c>
      <c r="C547" s="7">
        <f>Calc_Formulas!AI543</f>
        <v>0</v>
      </c>
      <c r="D547" s="7">
        <f>Calc_Formulas!AJ543</f>
        <v>0</v>
      </c>
      <c r="E547" s="6">
        <f>Calc_Formulas!AE543</f>
        <v>0</v>
      </c>
      <c r="F547" s="6">
        <f>Calc_Formulas!AF543</f>
        <v>0</v>
      </c>
      <c r="G547" s="6">
        <f>Calc_Formulas!AG543</f>
        <v>0</v>
      </c>
    </row>
    <row r="548" spans="1:7">
      <c r="A548" s="6">
        <f>Calc_Formulas!A544</f>
        <v>0</v>
      </c>
      <c r="B548" s="7">
        <f>Calc_Formulas!AH544</f>
        <v>0</v>
      </c>
      <c r="C548" s="7">
        <f>Calc_Formulas!AI544</f>
        <v>0</v>
      </c>
      <c r="D548" s="7">
        <f>Calc_Formulas!AJ544</f>
        <v>0</v>
      </c>
      <c r="E548" s="6">
        <f>Calc_Formulas!AE544</f>
        <v>0</v>
      </c>
      <c r="F548" s="6">
        <f>Calc_Formulas!AF544</f>
        <v>0</v>
      </c>
      <c r="G548" s="6">
        <f>Calc_Formulas!AG544</f>
        <v>0</v>
      </c>
    </row>
    <row r="549" spans="1:7">
      <c r="A549" s="6">
        <f>Calc_Formulas!A545</f>
        <v>0</v>
      </c>
      <c r="B549" s="7">
        <f>Calc_Formulas!AH545</f>
        <v>0</v>
      </c>
      <c r="C549" s="7">
        <f>Calc_Formulas!AI545</f>
        <v>0</v>
      </c>
      <c r="D549" s="7">
        <f>Calc_Formulas!AJ545</f>
        <v>0</v>
      </c>
      <c r="E549" s="6">
        <f>Calc_Formulas!AE545</f>
        <v>0</v>
      </c>
      <c r="F549" s="6">
        <f>Calc_Formulas!AF545</f>
        <v>0</v>
      </c>
      <c r="G549" s="6">
        <f>Calc_Formulas!AG545</f>
        <v>0</v>
      </c>
    </row>
    <row r="550" spans="1:7">
      <c r="A550" s="6">
        <f>Calc_Formulas!A546</f>
        <v>0</v>
      </c>
      <c r="B550" s="7">
        <f>Calc_Formulas!AH546</f>
        <v>0</v>
      </c>
      <c r="C550" s="7">
        <f>Calc_Formulas!AI546</f>
        <v>0</v>
      </c>
      <c r="D550" s="7">
        <f>Calc_Formulas!AJ546</f>
        <v>0</v>
      </c>
      <c r="E550" s="6">
        <f>Calc_Formulas!AE546</f>
        <v>0</v>
      </c>
      <c r="F550" s="6">
        <f>Calc_Formulas!AF546</f>
        <v>0</v>
      </c>
      <c r="G550" s="6">
        <f>Calc_Formulas!AG546</f>
        <v>0</v>
      </c>
    </row>
    <row r="551" spans="1:7">
      <c r="A551" s="6">
        <f>Calc_Formulas!A547</f>
        <v>0</v>
      </c>
      <c r="B551" s="7">
        <f>Calc_Formulas!AH547</f>
        <v>0</v>
      </c>
      <c r="C551" s="7">
        <f>Calc_Formulas!AI547</f>
        <v>0</v>
      </c>
      <c r="D551" s="7">
        <f>Calc_Formulas!AJ547</f>
        <v>0</v>
      </c>
      <c r="E551" s="6">
        <f>Calc_Formulas!AE547</f>
        <v>0</v>
      </c>
      <c r="F551" s="6">
        <f>Calc_Formulas!AF547</f>
        <v>0</v>
      </c>
      <c r="G551" s="6">
        <f>Calc_Formulas!AG547</f>
        <v>0</v>
      </c>
    </row>
    <row r="552" spans="1:7">
      <c r="A552" s="6">
        <f>Calc_Formulas!A548</f>
        <v>0</v>
      </c>
      <c r="B552" s="7">
        <f>Calc_Formulas!AH548</f>
        <v>0</v>
      </c>
      <c r="C552" s="7">
        <f>Calc_Formulas!AI548</f>
        <v>0</v>
      </c>
      <c r="D552" s="7">
        <f>Calc_Formulas!AJ548</f>
        <v>0</v>
      </c>
      <c r="E552" s="6">
        <f>Calc_Formulas!AE548</f>
        <v>0</v>
      </c>
      <c r="F552" s="6">
        <f>Calc_Formulas!AF548</f>
        <v>0</v>
      </c>
      <c r="G552" s="6">
        <f>Calc_Formulas!AG548</f>
        <v>0</v>
      </c>
    </row>
    <row r="553" spans="1:7">
      <c r="A553" s="6">
        <f>Calc_Formulas!A549</f>
        <v>0</v>
      </c>
      <c r="B553" s="7">
        <f>Calc_Formulas!AH549</f>
        <v>0</v>
      </c>
      <c r="C553" s="7">
        <f>Calc_Formulas!AI549</f>
        <v>0</v>
      </c>
      <c r="D553" s="7">
        <f>Calc_Formulas!AJ549</f>
        <v>0</v>
      </c>
      <c r="E553" s="6">
        <f>Calc_Formulas!AE549</f>
        <v>0</v>
      </c>
      <c r="F553" s="6">
        <f>Calc_Formulas!AF549</f>
        <v>0</v>
      </c>
      <c r="G553" s="6">
        <f>Calc_Formulas!AG549</f>
        <v>0</v>
      </c>
    </row>
    <row r="554" spans="1:7">
      <c r="A554" s="6">
        <f>Calc_Formulas!A550</f>
        <v>0</v>
      </c>
      <c r="B554" s="7">
        <f>Calc_Formulas!AH550</f>
        <v>0</v>
      </c>
      <c r="C554" s="7">
        <f>Calc_Formulas!AI550</f>
        <v>0</v>
      </c>
      <c r="D554" s="7">
        <f>Calc_Formulas!AJ550</f>
        <v>0</v>
      </c>
      <c r="E554" s="6">
        <f>Calc_Formulas!AE550</f>
        <v>0</v>
      </c>
      <c r="F554" s="6">
        <f>Calc_Formulas!AF550</f>
        <v>0</v>
      </c>
      <c r="G554" s="6">
        <f>Calc_Formulas!AG550</f>
        <v>0</v>
      </c>
    </row>
    <row r="555" spans="1:7">
      <c r="A555" s="6">
        <f>Calc_Formulas!A551</f>
        <v>0</v>
      </c>
      <c r="B555" s="7">
        <f>Calc_Formulas!AH551</f>
        <v>0</v>
      </c>
      <c r="C555" s="7">
        <f>Calc_Formulas!AI551</f>
        <v>0</v>
      </c>
      <c r="D555" s="7">
        <f>Calc_Formulas!AJ551</f>
        <v>0</v>
      </c>
      <c r="E555" s="6">
        <f>Calc_Formulas!AE551</f>
        <v>0</v>
      </c>
      <c r="F555" s="6">
        <f>Calc_Formulas!AF551</f>
        <v>0</v>
      </c>
      <c r="G555" s="6">
        <f>Calc_Formulas!AG551</f>
        <v>0</v>
      </c>
    </row>
    <row r="556" spans="1:7">
      <c r="A556" s="6">
        <f>Calc_Formulas!A552</f>
        <v>0</v>
      </c>
      <c r="B556" s="7">
        <f>Calc_Formulas!AH552</f>
        <v>0</v>
      </c>
      <c r="C556" s="7">
        <f>Calc_Formulas!AI552</f>
        <v>0</v>
      </c>
      <c r="D556" s="7">
        <f>Calc_Formulas!AJ552</f>
        <v>0</v>
      </c>
      <c r="E556" s="6">
        <f>Calc_Formulas!AE552</f>
        <v>0</v>
      </c>
      <c r="F556" s="6">
        <f>Calc_Formulas!AF552</f>
        <v>0</v>
      </c>
      <c r="G556" s="6">
        <f>Calc_Formulas!AG552</f>
        <v>0</v>
      </c>
    </row>
    <row r="557" spans="1:7">
      <c r="A557" s="6">
        <f>Calc_Formulas!A553</f>
        <v>0</v>
      </c>
      <c r="B557" s="7">
        <f>Calc_Formulas!AH553</f>
        <v>0</v>
      </c>
      <c r="C557" s="7">
        <f>Calc_Formulas!AI553</f>
        <v>0</v>
      </c>
      <c r="D557" s="7">
        <f>Calc_Formulas!AJ553</f>
        <v>0</v>
      </c>
      <c r="E557" s="6">
        <f>Calc_Formulas!AE553</f>
        <v>0</v>
      </c>
      <c r="F557" s="6">
        <f>Calc_Formulas!AF553</f>
        <v>0</v>
      </c>
      <c r="G557" s="6">
        <f>Calc_Formulas!AG553</f>
        <v>0</v>
      </c>
    </row>
    <row r="558" spans="1:7">
      <c r="A558" s="6">
        <f>Calc_Formulas!A554</f>
        <v>0</v>
      </c>
      <c r="B558" s="7">
        <f>Calc_Formulas!AH554</f>
        <v>0</v>
      </c>
      <c r="C558" s="7">
        <f>Calc_Formulas!AI554</f>
        <v>0</v>
      </c>
      <c r="D558" s="7">
        <f>Calc_Formulas!AJ554</f>
        <v>0</v>
      </c>
      <c r="E558" s="6">
        <f>Calc_Formulas!AE554</f>
        <v>0</v>
      </c>
      <c r="F558" s="6">
        <f>Calc_Formulas!AF554</f>
        <v>0</v>
      </c>
      <c r="G558" s="6">
        <f>Calc_Formulas!AG554</f>
        <v>0</v>
      </c>
    </row>
    <row r="559" spans="1:7">
      <c r="A559" s="6">
        <f>Calc_Formulas!A555</f>
        <v>0</v>
      </c>
      <c r="B559" s="7">
        <f>Calc_Formulas!AH555</f>
        <v>0</v>
      </c>
      <c r="C559" s="7">
        <f>Calc_Formulas!AI555</f>
        <v>0</v>
      </c>
      <c r="D559" s="7">
        <f>Calc_Formulas!AJ555</f>
        <v>0</v>
      </c>
      <c r="E559" s="6">
        <f>Calc_Formulas!AE555</f>
        <v>0</v>
      </c>
      <c r="F559" s="6">
        <f>Calc_Formulas!AF555</f>
        <v>0</v>
      </c>
      <c r="G559" s="6">
        <f>Calc_Formulas!AG555</f>
        <v>0</v>
      </c>
    </row>
    <row r="560" spans="1:7">
      <c r="A560" s="6">
        <f>Calc_Formulas!A556</f>
        <v>0</v>
      </c>
      <c r="B560" s="7">
        <f>Calc_Formulas!AH556</f>
        <v>0</v>
      </c>
      <c r="C560" s="7">
        <f>Calc_Formulas!AI556</f>
        <v>0</v>
      </c>
      <c r="D560" s="7">
        <f>Calc_Formulas!AJ556</f>
        <v>0</v>
      </c>
      <c r="E560" s="6">
        <f>Calc_Formulas!AE556</f>
        <v>0</v>
      </c>
      <c r="F560" s="6">
        <f>Calc_Formulas!AF556</f>
        <v>0</v>
      </c>
      <c r="G560" s="6">
        <f>Calc_Formulas!AG556</f>
        <v>0</v>
      </c>
    </row>
    <row r="561" spans="1:7">
      <c r="A561" s="6">
        <f>Calc_Formulas!A557</f>
        <v>0</v>
      </c>
      <c r="B561" s="7">
        <f>Calc_Formulas!AH557</f>
        <v>0</v>
      </c>
      <c r="C561" s="7">
        <f>Calc_Formulas!AI557</f>
        <v>0</v>
      </c>
      <c r="D561" s="7">
        <f>Calc_Formulas!AJ557</f>
        <v>0</v>
      </c>
      <c r="E561" s="6">
        <f>Calc_Formulas!AE557</f>
        <v>0</v>
      </c>
      <c r="F561" s="6">
        <f>Calc_Formulas!AF557</f>
        <v>0</v>
      </c>
      <c r="G561" s="6">
        <f>Calc_Formulas!AG557</f>
        <v>0</v>
      </c>
    </row>
    <row r="562" spans="1:7">
      <c r="A562" s="6">
        <f>Calc_Formulas!A558</f>
        <v>0</v>
      </c>
      <c r="B562" s="7">
        <f>Calc_Formulas!AH558</f>
        <v>0</v>
      </c>
      <c r="C562" s="7">
        <f>Calc_Formulas!AI558</f>
        <v>0</v>
      </c>
      <c r="D562" s="7">
        <f>Calc_Formulas!AJ558</f>
        <v>0</v>
      </c>
      <c r="E562" s="6">
        <f>Calc_Formulas!AE558</f>
        <v>0</v>
      </c>
      <c r="F562" s="6">
        <f>Calc_Formulas!AF558</f>
        <v>0</v>
      </c>
      <c r="G562" s="6">
        <f>Calc_Formulas!AG558</f>
        <v>0</v>
      </c>
    </row>
    <row r="563" spans="1:7">
      <c r="A563" s="6">
        <f>Calc_Formulas!A559</f>
        <v>0</v>
      </c>
      <c r="B563" s="7">
        <f>Calc_Formulas!AH559</f>
        <v>0</v>
      </c>
      <c r="C563" s="7">
        <f>Calc_Formulas!AI559</f>
        <v>0</v>
      </c>
      <c r="D563" s="7">
        <f>Calc_Formulas!AJ559</f>
        <v>0</v>
      </c>
      <c r="E563" s="6">
        <f>Calc_Formulas!AE559</f>
        <v>0</v>
      </c>
      <c r="F563" s="6">
        <f>Calc_Formulas!AF559</f>
        <v>0</v>
      </c>
      <c r="G563" s="6">
        <f>Calc_Formulas!AG559</f>
        <v>0</v>
      </c>
    </row>
    <row r="564" spans="1:7">
      <c r="A564" s="6">
        <f>Calc_Formulas!A560</f>
        <v>0</v>
      </c>
      <c r="B564" s="7">
        <f>Calc_Formulas!AH560</f>
        <v>0</v>
      </c>
      <c r="C564" s="7">
        <f>Calc_Formulas!AI560</f>
        <v>0</v>
      </c>
      <c r="D564" s="7">
        <f>Calc_Formulas!AJ560</f>
        <v>0</v>
      </c>
      <c r="E564" s="6">
        <f>Calc_Formulas!AE560</f>
        <v>0</v>
      </c>
      <c r="F564" s="6">
        <f>Calc_Formulas!AF560</f>
        <v>0</v>
      </c>
      <c r="G564" s="6">
        <f>Calc_Formulas!AG560</f>
        <v>0</v>
      </c>
    </row>
    <row r="565" spans="1:7">
      <c r="A565" s="6">
        <f>Calc_Formulas!A561</f>
        <v>0</v>
      </c>
      <c r="B565" s="7">
        <f>Calc_Formulas!AH561</f>
        <v>0</v>
      </c>
      <c r="C565" s="7">
        <f>Calc_Formulas!AI561</f>
        <v>0</v>
      </c>
      <c r="D565" s="7">
        <f>Calc_Formulas!AJ561</f>
        <v>0</v>
      </c>
      <c r="E565" s="6">
        <f>Calc_Formulas!AE561</f>
        <v>0</v>
      </c>
      <c r="F565" s="6">
        <f>Calc_Formulas!AF561</f>
        <v>0</v>
      </c>
      <c r="G565" s="6">
        <f>Calc_Formulas!AG561</f>
        <v>0</v>
      </c>
    </row>
    <row r="566" spans="1:7">
      <c r="A566" s="6">
        <f>Calc_Formulas!A562</f>
        <v>0</v>
      </c>
      <c r="B566" s="7">
        <f>Calc_Formulas!AH562</f>
        <v>0</v>
      </c>
      <c r="C566" s="7">
        <f>Calc_Formulas!AI562</f>
        <v>0</v>
      </c>
      <c r="D566" s="7">
        <f>Calc_Formulas!AJ562</f>
        <v>0</v>
      </c>
      <c r="E566" s="6">
        <f>Calc_Formulas!AE562</f>
        <v>0</v>
      </c>
      <c r="F566" s="6">
        <f>Calc_Formulas!AF562</f>
        <v>0</v>
      </c>
      <c r="G566" s="6">
        <f>Calc_Formulas!AG562</f>
        <v>0</v>
      </c>
    </row>
    <row r="567" spans="1:7">
      <c r="A567" s="6">
        <f>Calc_Formulas!A563</f>
        <v>0</v>
      </c>
      <c r="B567" s="7">
        <f>Calc_Formulas!AH563</f>
        <v>0</v>
      </c>
      <c r="C567" s="7">
        <f>Calc_Formulas!AI563</f>
        <v>0</v>
      </c>
      <c r="D567" s="7">
        <f>Calc_Formulas!AJ563</f>
        <v>0</v>
      </c>
      <c r="E567" s="6">
        <f>Calc_Formulas!AE563</f>
        <v>0</v>
      </c>
      <c r="F567" s="6">
        <f>Calc_Formulas!AF563</f>
        <v>0</v>
      </c>
      <c r="G567" s="6">
        <f>Calc_Formulas!AG563</f>
        <v>0</v>
      </c>
    </row>
    <row r="568" spans="1:7">
      <c r="A568" s="6">
        <f>Calc_Formulas!A564</f>
        <v>0</v>
      </c>
      <c r="B568" s="7">
        <f>Calc_Formulas!AH564</f>
        <v>0</v>
      </c>
      <c r="C568" s="7">
        <f>Calc_Formulas!AI564</f>
        <v>0</v>
      </c>
      <c r="D568" s="7">
        <f>Calc_Formulas!AJ564</f>
        <v>0</v>
      </c>
      <c r="E568" s="6">
        <f>Calc_Formulas!AE564</f>
        <v>0</v>
      </c>
      <c r="F568" s="6">
        <f>Calc_Formulas!AF564</f>
        <v>0</v>
      </c>
      <c r="G568" s="6">
        <f>Calc_Formulas!AG564</f>
        <v>0</v>
      </c>
    </row>
    <row r="569" spans="1:7">
      <c r="A569" s="6">
        <f>Calc_Formulas!A565</f>
        <v>0</v>
      </c>
      <c r="B569" s="7">
        <f>Calc_Formulas!AH565</f>
        <v>0</v>
      </c>
      <c r="C569" s="7">
        <f>Calc_Formulas!AI565</f>
        <v>0</v>
      </c>
      <c r="D569" s="7">
        <f>Calc_Formulas!AJ565</f>
        <v>0</v>
      </c>
      <c r="E569" s="6">
        <f>Calc_Formulas!AE565</f>
        <v>0</v>
      </c>
      <c r="F569" s="6">
        <f>Calc_Formulas!AF565</f>
        <v>0</v>
      </c>
      <c r="G569" s="6">
        <f>Calc_Formulas!AG565</f>
        <v>0</v>
      </c>
    </row>
    <row r="570" spans="1:7">
      <c r="A570" s="6">
        <f>Calc_Formulas!A566</f>
        <v>0</v>
      </c>
      <c r="B570" s="7">
        <f>Calc_Formulas!AH566</f>
        <v>0</v>
      </c>
      <c r="C570" s="7">
        <f>Calc_Formulas!AI566</f>
        <v>0</v>
      </c>
      <c r="D570" s="7">
        <f>Calc_Formulas!AJ566</f>
        <v>0</v>
      </c>
      <c r="E570" s="6">
        <f>Calc_Formulas!AE566</f>
        <v>0</v>
      </c>
      <c r="F570" s="6">
        <f>Calc_Formulas!AF566</f>
        <v>0</v>
      </c>
      <c r="G570" s="6">
        <f>Calc_Formulas!AG566</f>
        <v>0</v>
      </c>
    </row>
    <row r="571" spans="1:7">
      <c r="A571" s="6">
        <f>Calc_Formulas!A567</f>
        <v>0</v>
      </c>
      <c r="B571" s="7">
        <f>Calc_Formulas!AH567</f>
        <v>0</v>
      </c>
      <c r="C571" s="7">
        <f>Calc_Formulas!AI567</f>
        <v>0</v>
      </c>
      <c r="D571" s="7">
        <f>Calc_Formulas!AJ567</f>
        <v>0</v>
      </c>
      <c r="E571" s="6">
        <f>Calc_Formulas!AE567</f>
        <v>0</v>
      </c>
      <c r="F571" s="6">
        <f>Calc_Formulas!AF567</f>
        <v>0</v>
      </c>
      <c r="G571" s="6">
        <f>Calc_Formulas!AG567</f>
        <v>0</v>
      </c>
    </row>
    <row r="572" spans="1:7">
      <c r="A572" s="6">
        <f>Calc_Formulas!A568</f>
        <v>0</v>
      </c>
      <c r="B572" s="7">
        <f>Calc_Formulas!AH568</f>
        <v>0</v>
      </c>
      <c r="C572" s="7">
        <f>Calc_Formulas!AI568</f>
        <v>0</v>
      </c>
      <c r="D572" s="7">
        <f>Calc_Formulas!AJ568</f>
        <v>0</v>
      </c>
      <c r="E572" s="6">
        <f>Calc_Formulas!AE568</f>
        <v>0</v>
      </c>
      <c r="F572" s="6">
        <f>Calc_Formulas!AF568</f>
        <v>0</v>
      </c>
      <c r="G572" s="6">
        <f>Calc_Formulas!AG568</f>
        <v>0</v>
      </c>
    </row>
    <row r="573" spans="1:7">
      <c r="A573" s="6">
        <f>Calc_Formulas!A569</f>
        <v>0</v>
      </c>
      <c r="B573" s="7">
        <f>Calc_Formulas!AH569</f>
        <v>0</v>
      </c>
      <c r="C573" s="7">
        <f>Calc_Formulas!AI569</f>
        <v>0</v>
      </c>
      <c r="D573" s="7">
        <f>Calc_Formulas!AJ569</f>
        <v>0</v>
      </c>
      <c r="E573" s="6">
        <f>Calc_Formulas!AE569</f>
        <v>0</v>
      </c>
      <c r="F573" s="6">
        <f>Calc_Formulas!AF569</f>
        <v>0</v>
      </c>
      <c r="G573" s="6">
        <f>Calc_Formulas!AG569</f>
        <v>0</v>
      </c>
    </row>
    <row r="574" spans="1:7">
      <c r="A574" s="6">
        <f>Calc_Formulas!A570</f>
        <v>0</v>
      </c>
      <c r="B574" s="7">
        <f>Calc_Formulas!AH570</f>
        <v>0</v>
      </c>
      <c r="C574" s="7">
        <f>Calc_Formulas!AI570</f>
        <v>0</v>
      </c>
      <c r="D574" s="7">
        <f>Calc_Formulas!AJ570</f>
        <v>0</v>
      </c>
      <c r="E574" s="6">
        <f>Calc_Formulas!AE570</f>
        <v>0</v>
      </c>
      <c r="F574" s="6">
        <f>Calc_Formulas!AF570</f>
        <v>0</v>
      </c>
      <c r="G574" s="6">
        <f>Calc_Formulas!AG570</f>
        <v>0</v>
      </c>
    </row>
    <row r="575" spans="1:7">
      <c r="A575" s="6">
        <f>Calc_Formulas!A571</f>
        <v>0</v>
      </c>
      <c r="B575" s="7">
        <f>Calc_Formulas!AH571</f>
        <v>0</v>
      </c>
      <c r="C575" s="7">
        <f>Calc_Formulas!AI571</f>
        <v>0</v>
      </c>
      <c r="D575" s="7">
        <f>Calc_Formulas!AJ571</f>
        <v>0</v>
      </c>
      <c r="E575" s="6">
        <f>Calc_Formulas!AE571</f>
        <v>0</v>
      </c>
      <c r="F575" s="6">
        <f>Calc_Formulas!AF571</f>
        <v>0</v>
      </c>
      <c r="G575" s="6">
        <f>Calc_Formulas!AG571</f>
        <v>0</v>
      </c>
    </row>
    <row r="576" spans="1:7">
      <c r="A576" s="6">
        <f>Calc_Formulas!A572</f>
        <v>0</v>
      </c>
      <c r="B576" s="7">
        <f>Calc_Formulas!AH572</f>
        <v>0</v>
      </c>
      <c r="C576" s="7">
        <f>Calc_Formulas!AI572</f>
        <v>0</v>
      </c>
      <c r="D576" s="7">
        <f>Calc_Formulas!AJ572</f>
        <v>0</v>
      </c>
      <c r="E576" s="6">
        <f>Calc_Formulas!AE572</f>
        <v>0</v>
      </c>
      <c r="F576" s="6">
        <f>Calc_Formulas!AF572</f>
        <v>0</v>
      </c>
      <c r="G576" s="6">
        <f>Calc_Formulas!AG572</f>
        <v>0</v>
      </c>
    </row>
    <row r="577" spans="1:7">
      <c r="A577" s="6">
        <f>Calc_Formulas!A573</f>
        <v>0</v>
      </c>
      <c r="B577" s="7">
        <f>Calc_Formulas!AH573</f>
        <v>0</v>
      </c>
      <c r="C577" s="7">
        <f>Calc_Formulas!AI573</f>
        <v>0</v>
      </c>
      <c r="D577" s="7">
        <f>Calc_Formulas!AJ573</f>
        <v>0</v>
      </c>
      <c r="E577" s="6">
        <f>Calc_Formulas!AE573</f>
        <v>0</v>
      </c>
      <c r="F577" s="6">
        <f>Calc_Formulas!AF573</f>
        <v>0</v>
      </c>
      <c r="G577" s="6">
        <f>Calc_Formulas!AG573</f>
        <v>0</v>
      </c>
    </row>
    <row r="578" spans="1:7">
      <c r="A578" s="6">
        <f>Calc_Formulas!A574</f>
        <v>0</v>
      </c>
      <c r="B578" s="7">
        <f>Calc_Formulas!AH574</f>
        <v>0</v>
      </c>
      <c r="C578" s="7">
        <f>Calc_Formulas!AI574</f>
        <v>0</v>
      </c>
      <c r="D578" s="7">
        <f>Calc_Formulas!AJ574</f>
        <v>0</v>
      </c>
      <c r="E578" s="6">
        <f>Calc_Formulas!AE574</f>
        <v>0</v>
      </c>
      <c r="F578" s="6">
        <f>Calc_Formulas!AF574</f>
        <v>0</v>
      </c>
      <c r="G578" s="6">
        <f>Calc_Formulas!AG574</f>
        <v>0</v>
      </c>
    </row>
    <row r="579" spans="1:7">
      <c r="A579" s="6">
        <f>Calc_Formulas!A575</f>
        <v>0</v>
      </c>
      <c r="B579" s="7">
        <f>Calc_Formulas!AH575</f>
        <v>0</v>
      </c>
      <c r="C579" s="7">
        <f>Calc_Formulas!AI575</f>
        <v>0</v>
      </c>
      <c r="D579" s="7">
        <f>Calc_Formulas!AJ575</f>
        <v>0</v>
      </c>
      <c r="E579" s="6">
        <f>Calc_Formulas!AE575</f>
        <v>0</v>
      </c>
      <c r="F579" s="6">
        <f>Calc_Formulas!AF575</f>
        <v>0</v>
      </c>
      <c r="G579" s="6">
        <f>Calc_Formulas!AG575</f>
        <v>0</v>
      </c>
    </row>
    <row r="580" spans="1:7">
      <c r="A580" s="6">
        <f>Calc_Formulas!A576</f>
        <v>0</v>
      </c>
      <c r="B580" s="7">
        <f>Calc_Formulas!AH576</f>
        <v>0</v>
      </c>
      <c r="C580" s="7">
        <f>Calc_Formulas!AI576</f>
        <v>0</v>
      </c>
      <c r="D580" s="7">
        <f>Calc_Formulas!AJ576</f>
        <v>0</v>
      </c>
      <c r="E580" s="6">
        <f>Calc_Formulas!AE576</f>
        <v>0</v>
      </c>
      <c r="F580" s="6">
        <f>Calc_Formulas!AF576</f>
        <v>0</v>
      </c>
      <c r="G580" s="6">
        <f>Calc_Formulas!AG576</f>
        <v>0</v>
      </c>
    </row>
    <row r="581" spans="1:7">
      <c r="A581" s="6">
        <f>Calc_Formulas!A577</f>
        <v>0</v>
      </c>
      <c r="B581" s="7">
        <f>Calc_Formulas!AH577</f>
        <v>0</v>
      </c>
      <c r="C581" s="7">
        <f>Calc_Formulas!AI577</f>
        <v>0</v>
      </c>
      <c r="D581" s="7">
        <f>Calc_Formulas!AJ577</f>
        <v>0</v>
      </c>
      <c r="E581" s="6">
        <f>Calc_Formulas!AE577</f>
        <v>0</v>
      </c>
      <c r="F581" s="6">
        <f>Calc_Formulas!AF577</f>
        <v>0</v>
      </c>
      <c r="G581" s="6">
        <f>Calc_Formulas!AG577</f>
        <v>0</v>
      </c>
    </row>
    <row r="582" spans="1:7">
      <c r="A582" s="6">
        <f>Calc_Formulas!A578</f>
        <v>0</v>
      </c>
      <c r="B582" s="7">
        <f>Calc_Formulas!AH578</f>
        <v>0</v>
      </c>
      <c r="C582" s="7">
        <f>Calc_Formulas!AI578</f>
        <v>0</v>
      </c>
      <c r="D582" s="7">
        <f>Calc_Formulas!AJ578</f>
        <v>0</v>
      </c>
      <c r="E582" s="6">
        <f>Calc_Formulas!AE578</f>
        <v>0</v>
      </c>
      <c r="F582" s="6">
        <f>Calc_Formulas!AF578</f>
        <v>0</v>
      </c>
      <c r="G582" s="6">
        <f>Calc_Formulas!AG578</f>
        <v>0</v>
      </c>
    </row>
    <row r="583" spans="1:7">
      <c r="A583" s="6">
        <f>Calc_Formulas!A579</f>
        <v>0</v>
      </c>
      <c r="B583" s="7">
        <f>Calc_Formulas!AH579</f>
        <v>0</v>
      </c>
      <c r="C583" s="7">
        <f>Calc_Formulas!AI579</f>
        <v>0</v>
      </c>
      <c r="D583" s="7">
        <f>Calc_Formulas!AJ579</f>
        <v>0</v>
      </c>
      <c r="E583" s="6">
        <f>Calc_Formulas!AE579</f>
        <v>0</v>
      </c>
      <c r="F583" s="6">
        <f>Calc_Formulas!AF579</f>
        <v>0</v>
      </c>
      <c r="G583" s="6">
        <f>Calc_Formulas!AG579</f>
        <v>0</v>
      </c>
    </row>
    <row r="584" spans="1:7">
      <c r="A584" s="6">
        <f>Calc_Formulas!A580</f>
        <v>0</v>
      </c>
      <c r="B584" s="7">
        <f>Calc_Formulas!AH580</f>
        <v>0</v>
      </c>
      <c r="C584" s="7">
        <f>Calc_Formulas!AI580</f>
        <v>0</v>
      </c>
      <c r="D584" s="7">
        <f>Calc_Formulas!AJ580</f>
        <v>0</v>
      </c>
      <c r="E584" s="6">
        <f>Calc_Formulas!AE580</f>
        <v>0</v>
      </c>
      <c r="F584" s="6">
        <f>Calc_Formulas!AF580</f>
        <v>0</v>
      </c>
      <c r="G584" s="6">
        <f>Calc_Formulas!AG580</f>
        <v>0</v>
      </c>
    </row>
    <row r="585" spans="1:7">
      <c r="A585" s="6">
        <f>Calc_Formulas!A581</f>
        <v>0</v>
      </c>
      <c r="B585" s="7">
        <f>Calc_Formulas!AH581</f>
        <v>0</v>
      </c>
      <c r="C585" s="7">
        <f>Calc_Formulas!AI581</f>
        <v>0</v>
      </c>
      <c r="D585" s="7">
        <f>Calc_Formulas!AJ581</f>
        <v>0</v>
      </c>
      <c r="E585" s="6">
        <f>Calc_Formulas!AE581</f>
        <v>0</v>
      </c>
      <c r="F585" s="6">
        <f>Calc_Formulas!AF581</f>
        <v>0</v>
      </c>
      <c r="G585" s="6">
        <f>Calc_Formulas!AG581</f>
        <v>0</v>
      </c>
    </row>
    <row r="586" spans="1:7">
      <c r="A586" s="6">
        <f>Calc_Formulas!A582</f>
        <v>0</v>
      </c>
      <c r="B586" s="7">
        <f>Calc_Formulas!AH582</f>
        <v>0</v>
      </c>
      <c r="C586" s="7">
        <f>Calc_Formulas!AI582</f>
        <v>0</v>
      </c>
      <c r="D586" s="7">
        <f>Calc_Formulas!AJ582</f>
        <v>0</v>
      </c>
      <c r="E586" s="6">
        <f>Calc_Formulas!AE582</f>
        <v>0</v>
      </c>
      <c r="F586" s="6">
        <f>Calc_Formulas!AF582</f>
        <v>0</v>
      </c>
      <c r="G586" s="6">
        <f>Calc_Formulas!AG582</f>
        <v>0</v>
      </c>
    </row>
    <row r="587" spans="1:7">
      <c r="A587" s="6">
        <f>Calc_Formulas!A583</f>
        <v>0</v>
      </c>
      <c r="B587" s="7">
        <f>Calc_Formulas!AH583</f>
        <v>0</v>
      </c>
      <c r="C587" s="7">
        <f>Calc_Formulas!AI583</f>
        <v>0</v>
      </c>
      <c r="D587" s="7">
        <f>Calc_Formulas!AJ583</f>
        <v>0</v>
      </c>
      <c r="E587" s="6">
        <f>Calc_Formulas!AE583</f>
        <v>0</v>
      </c>
      <c r="F587" s="6">
        <f>Calc_Formulas!AF583</f>
        <v>0</v>
      </c>
      <c r="G587" s="6">
        <f>Calc_Formulas!AG583</f>
        <v>0</v>
      </c>
    </row>
    <row r="588" spans="1:7">
      <c r="A588" s="6">
        <f>Calc_Formulas!A584</f>
        <v>0</v>
      </c>
      <c r="B588" s="7">
        <f>Calc_Formulas!AH584</f>
        <v>0</v>
      </c>
      <c r="C588" s="7">
        <f>Calc_Formulas!AI584</f>
        <v>0</v>
      </c>
      <c r="D588" s="7">
        <f>Calc_Formulas!AJ584</f>
        <v>0</v>
      </c>
      <c r="E588" s="6">
        <f>Calc_Formulas!AE584</f>
        <v>0</v>
      </c>
      <c r="F588" s="6">
        <f>Calc_Formulas!AF584</f>
        <v>0</v>
      </c>
      <c r="G588" s="6">
        <f>Calc_Formulas!AG584</f>
        <v>0</v>
      </c>
    </row>
    <row r="589" spans="1:7">
      <c r="A589" s="6">
        <f>Calc_Formulas!A585</f>
        <v>0</v>
      </c>
      <c r="B589" s="7">
        <f>Calc_Formulas!AH585</f>
        <v>0</v>
      </c>
      <c r="C589" s="7">
        <f>Calc_Formulas!AI585</f>
        <v>0</v>
      </c>
      <c r="D589" s="7">
        <f>Calc_Formulas!AJ585</f>
        <v>0</v>
      </c>
      <c r="E589" s="6">
        <f>Calc_Formulas!AE585</f>
        <v>0</v>
      </c>
      <c r="F589" s="6">
        <f>Calc_Formulas!AF585</f>
        <v>0</v>
      </c>
      <c r="G589" s="6">
        <f>Calc_Formulas!AG585</f>
        <v>0</v>
      </c>
    </row>
    <row r="590" spans="1:7">
      <c r="A590" s="6">
        <f>Calc_Formulas!A586</f>
        <v>0</v>
      </c>
      <c r="B590" s="7">
        <f>Calc_Formulas!AH586</f>
        <v>0</v>
      </c>
      <c r="C590" s="7">
        <f>Calc_Formulas!AI586</f>
        <v>0</v>
      </c>
      <c r="D590" s="7">
        <f>Calc_Formulas!AJ586</f>
        <v>0</v>
      </c>
      <c r="E590" s="6">
        <f>Calc_Formulas!AE586</f>
        <v>0</v>
      </c>
      <c r="F590" s="6">
        <f>Calc_Formulas!AF586</f>
        <v>0</v>
      </c>
      <c r="G590" s="6">
        <f>Calc_Formulas!AG586</f>
        <v>0</v>
      </c>
    </row>
    <row r="591" spans="1:7">
      <c r="A591" s="6">
        <f>Calc_Formulas!A587</f>
        <v>0</v>
      </c>
      <c r="B591" s="7">
        <f>Calc_Formulas!AH587</f>
        <v>0</v>
      </c>
      <c r="C591" s="7">
        <f>Calc_Formulas!AI587</f>
        <v>0</v>
      </c>
      <c r="D591" s="7">
        <f>Calc_Formulas!AJ587</f>
        <v>0</v>
      </c>
      <c r="E591" s="6">
        <f>Calc_Formulas!AE587</f>
        <v>0</v>
      </c>
      <c r="F591" s="6">
        <f>Calc_Formulas!AF587</f>
        <v>0</v>
      </c>
      <c r="G591" s="6">
        <f>Calc_Formulas!AG587</f>
        <v>0</v>
      </c>
    </row>
    <row r="592" spans="1:7">
      <c r="A592" s="6">
        <f>Calc_Formulas!A588</f>
        <v>0</v>
      </c>
      <c r="B592" s="7">
        <f>Calc_Formulas!AH588</f>
        <v>0</v>
      </c>
      <c r="C592" s="7">
        <f>Calc_Formulas!AI588</f>
        <v>0</v>
      </c>
      <c r="D592" s="7">
        <f>Calc_Formulas!AJ588</f>
        <v>0</v>
      </c>
      <c r="E592" s="6">
        <f>Calc_Formulas!AE588</f>
        <v>0</v>
      </c>
      <c r="F592" s="6">
        <f>Calc_Formulas!AF588</f>
        <v>0</v>
      </c>
      <c r="G592" s="6">
        <f>Calc_Formulas!AG588</f>
        <v>0</v>
      </c>
    </row>
    <row r="593" spans="1:7">
      <c r="A593" s="6">
        <f>Calc_Formulas!A589</f>
        <v>0</v>
      </c>
      <c r="B593" s="7">
        <f>Calc_Formulas!AH589</f>
        <v>0</v>
      </c>
      <c r="C593" s="7">
        <f>Calc_Formulas!AI589</f>
        <v>0</v>
      </c>
      <c r="D593" s="7">
        <f>Calc_Formulas!AJ589</f>
        <v>0</v>
      </c>
      <c r="E593" s="6">
        <f>Calc_Formulas!AE589</f>
        <v>0</v>
      </c>
      <c r="F593" s="6">
        <f>Calc_Formulas!AF589</f>
        <v>0</v>
      </c>
      <c r="G593" s="6">
        <f>Calc_Formulas!AG589</f>
        <v>0</v>
      </c>
    </row>
    <row r="594" spans="1:7">
      <c r="A594" s="6">
        <f>Calc_Formulas!A590</f>
        <v>0</v>
      </c>
      <c r="B594" s="7">
        <f>Calc_Formulas!AH590</f>
        <v>0</v>
      </c>
      <c r="C594" s="7">
        <f>Calc_Formulas!AI590</f>
        <v>0</v>
      </c>
      <c r="D594" s="7">
        <f>Calc_Formulas!AJ590</f>
        <v>0</v>
      </c>
      <c r="E594" s="6">
        <f>Calc_Formulas!AE590</f>
        <v>0</v>
      </c>
      <c r="F594" s="6">
        <f>Calc_Formulas!AF590</f>
        <v>0</v>
      </c>
      <c r="G594" s="6">
        <f>Calc_Formulas!AG590</f>
        <v>0</v>
      </c>
    </row>
    <row r="595" spans="1:7">
      <c r="A595" s="6">
        <f>Calc_Formulas!A591</f>
        <v>0</v>
      </c>
      <c r="B595" s="7">
        <f>Calc_Formulas!AH591</f>
        <v>0</v>
      </c>
      <c r="C595" s="7">
        <f>Calc_Formulas!AI591</f>
        <v>0</v>
      </c>
      <c r="D595" s="7">
        <f>Calc_Formulas!AJ591</f>
        <v>0</v>
      </c>
      <c r="E595" s="6">
        <f>Calc_Formulas!AE591</f>
        <v>0</v>
      </c>
      <c r="F595" s="6">
        <f>Calc_Formulas!AF591</f>
        <v>0</v>
      </c>
      <c r="G595" s="6">
        <f>Calc_Formulas!AG591</f>
        <v>0</v>
      </c>
    </row>
    <row r="596" spans="1:7">
      <c r="A596" s="6">
        <f>Calc_Formulas!A592</f>
        <v>0</v>
      </c>
      <c r="B596" s="7">
        <f>Calc_Formulas!AH592</f>
        <v>0</v>
      </c>
      <c r="C596" s="7">
        <f>Calc_Formulas!AI592</f>
        <v>0</v>
      </c>
      <c r="D596" s="7">
        <f>Calc_Formulas!AJ592</f>
        <v>0</v>
      </c>
      <c r="E596" s="6">
        <f>Calc_Formulas!AE592</f>
        <v>0</v>
      </c>
      <c r="F596" s="6">
        <f>Calc_Formulas!AF592</f>
        <v>0</v>
      </c>
      <c r="G596" s="6">
        <f>Calc_Formulas!AG592</f>
        <v>0</v>
      </c>
    </row>
    <row r="597" spans="1:7">
      <c r="A597" s="6">
        <f>Calc_Formulas!A593</f>
        <v>0</v>
      </c>
      <c r="B597" s="7">
        <f>Calc_Formulas!AH593</f>
        <v>0</v>
      </c>
      <c r="C597" s="7">
        <f>Calc_Formulas!AI593</f>
        <v>0</v>
      </c>
      <c r="D597" s="7">
        <f>Calc_Formulas!AJ593</f>
        <v>0</v>
      </c>
      <c r="E597" s="6">
        <f>Calc_Formulas!AE593</f>
        <v>0</v>
      </c>
      <c r="F597" s="6">
        <f>Calc_Formulas!AF593</f>
        <v>0</v>
      </c>
      <c r="G597" s="6">
        <f>Calc_Formulas!AG593</f>
        <v>0</v>
      </c>
    </row>
    <row r="598" spans="1:7">
      <c r="A598" s="6">
        <f>Calc_Formulas!A594</f>
        <v>0</v>
      </c>
      <c r="B598" s="7">
        <f>Calc_Formulas!AH594</f>
        <v>0</v>
      </c>
      <c r="C598" s="7">
        <f>Calc_Formulas!AI594</f>
        <v>0</v>
      </c>
      <c r="D598" s="7">
        <f>Calc_Formulas!AJ594</f>
        <v>0</v>
      </c>
      <c r="E598" s="6">
        <f>Calc_Formulas!AE594</f>
        <v>0</v>
      </c>
      <c r="F598" s="6">
        <f>Calc_Formulas!AF594</f>
        <v>0</v>
      </c>
      <c r="G598" s="6">
        <f>Calc_Formulas!AG594</f>
        <v>0</v>
      </c>
    </row>
    <row r="599" spans="1:7">
      <c r="A599" s="6">
        <f>Calc_Formulas!A595</f>
        <v>0</v>
      </c>
      <c r="B599" s="7">
        <f>Calc_Formulas!AH595</f>
        <v>0</v>
      </c>
      <c r="C599" s="7">
        <f>Calc_Formulas!AI595</f>
        <v>0</v>
      </c>
      <c r="D599" s="7">
        <f>Calc_Formulas!AJ595</f>
        <v>0</v>
      </c>
      <c r="E599" s="6">
        <f>Calc_Formulas!AE595</f>
        <v>0</v>
      </c>
      <c r="F599" s="6">
        <f>Calc_Formulas!AF595</f>
        <v>0</v>
      </c>
      <c r="G599" s="6">
        <f>Calc_Formulas!AG595</f>
        <v>0</v>
      </c>
    </row>
    <row r="600" spans="1:7">
      <c r="A600" s="6">
        <f>Calc_Formulas!A596</f>
        <v>0</v>
      </c>
      <c r="B600" s="7">
        <f>Calc_Formulas!AH596</f>
        <v>0</v>
      </c>
      <c r="C600" s="7">
        <f>Calc_Formulas!AI596</f>
        <v>0</v>
      </c>
      <c r="D600" s="7">
        <f>Calc_Formulas!AJ596</f>
        <v>0</v>
      </c>
      <c r="E600" s="6">
        <f>Calc_Formulas!AE596</f>
        <v>0</v>
      </c>
      <c r="F600" s="6">
        <f>Calc_Formulas!AF596</f>
        <v>0</v>
      </c>
      <c r="G600" s="6">
        <f>Calc_Formulas!AG596</f>
        <v>0</v>
      </c>
    </row>
    <row r="601" spans="1:7">
      <c r="A601" s="6">
        <f>Calc_Formulas!A597</f>
        <v>0</v>
      </c>
      <c r="B601" s="7">
        <f>Calc_Formulas!AH597</f>
        <v>0</v>
      </c>
      <c r="C601" s="7">
        <f>Calc_Formulas!AI597</f>
        <v>0</v>
      </c>
      <c r="D601" s="7">
        <f>Calc_Formulas!AJ597</f>
        <v>0</v>
      </c>
      <c r="E601" s="6">
        <f>Calc_Formulas!AE597</f>
        <v>0</v>
      </c>
      <c r="F601" s="6">
        <f>Calc_Formulas!AF597</f>
        <v>0</v>
      </c>
      <c r="G601" s="6">
        <f>Calc_Formulas!AG597</f>
        <v>0</v>
      </c>
    </row>
    <row r="602" spans="1:7">
      <c r="A602" s="6">
        <f>Calc_Formulas!A598</f>
        <v>0</v>
      </c>
      <c r="B602" s="7">
        <f>Calc_Formulas!AH598</f>
        <v>0</v>
      </c>
      <c r="C602" s="7">
        <f>Calc_Formulas!AI598</f>
        <v>0</v>
      </c>
      <c r="D602" s="7">
        <f>Calc_Formulas!AJ598</f>
        <v>0</v>
      </c>
      <c r="E602" s="6">
        <f>Calc_Formulas!AE598</f>
        <v>0</v>
      </c>
      <c r="F602" s="6">
        <f>Calc_Formulas!AF598</f>
        <v>0</v>
      </c>
      <c r="G602" s="6">
        <f>Calc_Formulas!AG598</f>
        <v>0</v>
      </c>
    </row>
    <row r="603" spans="1:7">
      <c r="A603" s="6">
        <f>Calc_Formulas!A599</f>
        <v>0</v>
      </c>
      <c r="B603" s="7">
        <f>Calc_Formulas!AH599</f>
        <v>0</v>
      </c>
      <c r="C603" s="7">
        <f>Calc_Formulas!AI599</f>
        <v>0</v>
      </c>
      <c r="D603" s="7">
        <f>Calc_Formulas!AJ599</f>
        <v>0</v>
      </c>
      <c r="E603" s="6">
        <f>Calc_Formulas!AE599</f>
        <v>0</v>
      </c>
      <c r="F603" s="6">
        <f>Calc_Formulas!AF599</f>
        <v>0</v>
      </c>
      <c r="G603" s="6">
        <f>Calc_Formulas!AG599</f>
        <v>0</v>
      </c>
    </row>
    <row r="604" spans="1:7">
      <c r="A604" s="6">
        <f>Calc_Formulas!A600</f>
        <v>0</v>
      </c>
      <c r="B604" s="7">
        <f>Calc_Formulas!AH600</f>
        <v>0</v>
      </c>
      <c r="C604" s="7">
        <f>Calc_Formulas!AI600</f>
        <v>0</v>
      </c>
      <c r="D604" s="7">
        <f>Calc_Formulas!AJ600</f>
        <v>0</v>
      </c>
      <c r="E604" s="6">
        <f>Calc_Formulas!AE600</f>
        <v>0</v>
      </c>
      <c r="F604" s="6">
        <f>Calc_Formulas!AF600</f>
        <v>0</v>
      </c>
      <c r="G604" s="6">
        <f>Calc_Formulas!AG600</f>
        <v>0</v>
      </c>
    </row>
    <row r="605" spans="1:7">
      <c r="A605" s="6">
        <f>Calc_Formulas!A601</f>
        <v>0</v>
      </c>
      <c r="B605" s="7">
        <f>Calc_Formulas!AH601</f>
        <v>0</v>
      </c>
      <c r="C605" s="7">
        <f>Calc_Formulas!AI601</f>
        <v>0</v>
      </c>
      <c r="D605" s="7">
        <f>Calc_Formulas!AJ601</f>
        <v>0</v>
      </c>
      <c r="E605" s="6">
        <f>Calc_Formulas!AE601</f>
        <v>0</v>
      </c>
      <c r="F605" s="6">
        <f>Calc_Formulas!AF601</f>
        <v>0</v>
      </c>
      <c r="G605" s="6">
        <f>Calc_Formulas!AG601</f>
        <v>0</v>
      </c>
    </row>
    <row r="606" spans="1:7">
      <c r="A606" s="6">
        <f>Calc_Formulas!A602</f>
        <v>0</v>
      </c>
      <c r="B606" s="7">
        <f>Calc_Formulas!AH602</f>
        <v>0</v>
      </c>
      <c r="C606" s="7">
        <f>Calc_Formulas!AI602</f>
        <v>0</v>
      </c>
      <c r="D606" s="7">
        <f>Calc_Formulas!AJ602</f>
        <v>0</v>
      </c>
      <c r="E606" s="6">
        <f>Calc_Formulas!AE602</f>
        <v>0</v>
      </c>
      <c r="F606" s="6">
        <f>Calc_Formulas!AF602</f>
        <v>0</v>
      </c>
      <c r="G606" s="6">
        <f>Calc_Formulas!AG602</f>
        <v>0</v>
      </c>
    </row>
    <row r="607" spans="1:7">
      <c r="A607" s="6">
        <f>Calc_Formulas!A603</f>
        <v>0</v>
      </c>
      <c r="B607" s="7">
        <f>Calc_Formulas!AH603</f>
        <v>0</v>
      </c>
      <c r="C607" s="7">
        <f>Calc_Formulas!AI603</f>
        <v>0</v>
      </c>
      <c r="D607" s="7">
        <f>Calc_Formulas!AJ603</f>
        <v>0</v>
      </c>
      <c r="E607" s="6">
        <f>Calc_Formulas!AE603</f>
        <v>0</v>
      </c>
      <c r="F607" s="6">
        <f>Calc_Formulas!AF603</f>
        <v>0</v>
      </c>
      <c r="G607" s="6">
        <f>Calc_Formulas!AG603</f>
        <v>0</v>
      </c>
    </row>
    <row r="608" spans="1:7">
      <c r="A608" s="6">
        <f>Calc_Formulas!A604</f>
        <v>0</v>
      </c>
      <c r="B608" s="7">
        <f>Calc_Formulas!AH604</f>
        <v>0</v>
      </c>
      <c r="C608" s="7">
        <f>Calc_Formulas!AI604</f>
        <v>0</v>
      </c>
      <c r="D608" s="7">
        <f>Calc_Formulas!AJ604</f>
        <v>0</v>
      </c>
      <c r="E608" s="6">
        <f>Calc_Formulas!AE604</f>
        <v>0</v>
      </c>
      <c r="F608" s="6">
        <f>Calc_Formulas!AF604</f>
        <v>0</v>
      </c>
      <c r="G608" s="6">
        <f>Calc_Formulas!AG604</f>
        <v>0</v>
      </c>
    </row>
    <row r="609" spans="1:7">
      <c r="A609" s="6">
        <f>Calc_Formulas!A605</f>
        <v>0</v>
      </c>
      <c r="B609" s="7">
        <f>Calc_Formulas!AH605</f>
        <v>0</v>
      </c>
      <c r="C609" s="7">
        <f>Calc_Formulas!AI605</f>
        <v>0</v>
      </c>
      <c r="D609" s="7">
        <f>Calc_Formulas!AJ605</f>
        <v>0</v>
      </c>
      <c r="E609" s="6">
        <f>Calc_Formulas!AE605</f>
        <v>0</v>
      </c>
      <c r="F609" s="6">
        <f>Calc_Formulas!AF605</f>
        <v>0</v>
      </c>
      <c r="G609" s="6">
        <f>Calc_Formulas!AG605</f>
        <v>0</v>
      </c>
    </row>
    <row r="610" spans="1:7">
      <c r="A610" s="6">
        <f>Calc_Formulas!A606</f>
        <v>0</v>
      </c>
      <c r="B610" s="7">
        <f>Calc_Formulas!AH606</f>
        <v>0</v>
      </c>
      <c r="C610" s="7">
        <f>Calc_Formulas!AI606</f>
        <v>0</v>
      </c>
      <c r="D610" s="7">
        <f>Calc_Formulas!AJ606</f>
        <v>0</v>
      </c>
      <c r="E610" s="6">
        <f>Calc_Formulas!AE606</f>
        <v>0</v>
      </c>
      <c r="F610" s="6">
        <f>Calc_Formulas!AF606</f>
        <v>0</v>
      </c>
      <c r="G610" s="6">
        <f>Calc_Formulas!AG606</f>
        <v>0</v>
      </c>
    </row>
    <row r="611" spans="1:7">
      <c r="A611" s="6">
        <f>Calc_Formulas!A607</f>
        <v>0</v>
      </c>
      <c r="B611" s="7">
        <f>Calc_Formulas!AH607</f>
        <v>0</v>
      </c>
      <c r="C611" s="7">
        <f>Calc_Formulas!AI607</f>
        <v>0</v>
      </c>
      <c r="D611" s="7">
        <f>Calc_Formulas!AJ607</f>
        <v>0</v>
      </c>
      <c r="E611" s="6">
        <f>Calc_Formulas!AE607</f>
        <v>0</v>
      </c>
      <c r="F611" s="6">
        <f>Calc_Formulas!AF607</f>
        <v>0</v>
      </c>
      <c r="G611" s="6">
        <f>Calc_Formulas!AG607</f>
        <v>0</v>
      </c>
    </row>
    <row r="612" spans="1:7">
      <c r="A612" s="6">
        <f>Calc_Formulas!A608</f>
        <v>0</v>
      </c>
      <c r="B612" s="7">
        <f>Calc_Formulas!AH608</f>
        <v>0</v>
      </c>
      <c r="C612" s="7">
        <f>Calc_Formulas!AI608</f>
        <v>0</v>
      </c>
      <c r="D612" s="7">
        <f>Calc_Formulas!AJ608</f>
        <v>0</v>
      </c>
      <c r="E612" s="6">
        <f>Calc_Formulas!AE608</f>
        <v>0</v>
      </c>
      <c r="F612" s="6">
        <f>Calc_Formulas!AF608</f>
        <v>0</v>
      </c>
      <c r="G612" s="6">
        <f>Calc_Formulas!AG608</f>
        <v>0</v>
      </c>
    </row>
    <row r="613" spans="1:7">
      <c r="A613" s="6">
        <f>Calc_Formulas!A609</f>
        <v>0</v>
      </c>
      <c r="B613" s="7">
        <f>Calc_Formulas!AH609</f>
        <v>0</v>
      </c>
      <c r="C613" s="7">
        <f>Calc_Formulas!AI609</f>
        <v>0</v>
      </c>
      <c r="D613" s="7">
        <f>Calc_Formulas!AJ609</f>
        <v>0</v>
      </c>
      <c r="E613" s="6">
        <f>Calc_Formulas!AE609</f>
        <v>0</v>
      </c>
      <c r="F613" s="6">
        <f>Calc_Formulas!AF609</f>
        <v>0</v>
      </c>
      <c r="G613" s="6">
        <f>Calc_Formulas!AG609</f>
        <v>0</v>
      </c>
    </row>
    <row r="614" spans="1:7">
      <c r="A614" s="6">
        <f>Calc_Formulas!A610</f>
        <v>0</v>
      </c>
      <c r="B614" s="7">
        <f>Calc_Formulas!AH610</f>
        <v>0</v>
      </c>
      <c r="C614" s="7">
        <f>Calc_Formulas!AI610</f>
        <v>0</v>
      </c>
      <c r="D614" s="7">
        <f>Calc_Formulas!AJ610</f>
        <v>0</v>
      </c>
      <c r="E614" s="6">
        <f>Calc_Formulas!AE610</f>
        <v>0</v>
      </c>
      <c r="F614" s="6">
        <f>Calc_Formulas!AF610</f>
        <v>0</v>
      </c>
      <c r="G614" s="6">
        <f>Calc_Formulas!AG610</f>
        <v>0</v>
      </c>
    </row>
    <row r="615" spans="1:7">
      <c r="A615" s="6">
        <f>Calc_Formulas!A611</f>
        <v>0</v>
      </c>
      <c r="B615" s="7">
        <f>Calc_Formulas!AH611</f>
        <v>0</v>
      </c>
      <c r="C615" s="7">
        <f>Calc_Formulas!AI611</f>
        <v>0</v>
      </c>
      <c r="D615" s="7">
        <f>Calc_Formulas!AJ611</f>
        <v>0</v>
      </c>
      <c r="E615" s="6">
        <f>Calc_Formulas!AE611</f>
        <v>0</v>
      </c>
      <c r="F615" s="6">
        <f>Calc_Formulas!AF611</f>
        <v>0</v>
      </c>
      <c r="G615" s="6">
        <f>Calc_Formulas!AG611</f>
        <v>0</v>
      </c>
    </row>
    <row r="616" spans="1:7">
      <c r="A616" s="6">
        <f>Calc_Formulas!A612</f>
        <v>0</v>
      </c>
      <c r="B616" s="7">
        <f>Calc_Formulas!AH612</f>
        <v>0</v>
      </c>
      <c r="C616" s="7">
        <f>Calc_Formulas!AI612</f>
        <v>0</v>
      </c>
      <c r="D616" s="7">
        <f>Calc_Formulas!AJ612</f>
        <v>0</v>
      </c>
      <c r="E616" s="6">
        <f>Calc_Formulas!AE612</f>
        <v>0</v>
      </c>
      <c r="F616" s="6">
        <f>Calc_Formulas!AF612</f>
        <v>0</v>
      </c>
      <c r="G616" s="6">
        <f>Calc_Formulas!AG612</f>
        <v>0</v>
      </c>
    </row>
    <row r="617" spans="1:7">
      <c r="A617" s="6">
        <f>Calc_Formulas!A613</f>
        <v>0</v>
      </c>
      <c r="B617" s="7">
        <f>Calc_Formulas!AH613</f>
        <v>0</v>
      </c>
      <c r="C617" s="7">
        <f>Calc_Formulas!AI613</f>
        <v>0</v>
      </c>
      <c r="D617" s="7">
        <f>Calc_Formulas!AJ613</f>
        <v>0</v>
      </c>
      <c r="E617" s="6">
        <f>Calc_Formulas!AE613</f>
        <v>0</v>
      </c>
      <c r="F617" s="6">
        <f>Calc_Formulas!AF613</f>
        <v>0</v>
      </c>
      <c r="G617" s="6">
        <f>Calc_Formulas!AG613</f>
        <v>0</v>
      </c>
    </row>
    <row r="618" spans="1:7">
      <c r="A618" s="6">
        <f>Calc_Formulas!A614</f>
        <v>0</v>
      </c>
      <c r="B618" s="7">
        <f>Calc_Formulas!AH614</f>
        <v>0</v>
      </c>
      <c r="C618" s="7">
        <f>Calc_Formulas!AI614</f>
        <v>0</v>
      </c>
      <c r="D618" s="7">
        <f>Calc_Formulas!AJ614</f>
        <v>0</v>
      </c>
      <c r="E618" s="6">
        <f>Calc_Formulas!AE614</f>
        <v>0</v>
      </c>
      <c r="F618" s="6">
        <f>Calc_Formulas!AF614</f>
        <v>0</v>
      </c>
      <c r="G618" s="6">
        <f>Calc_Formulas!AG614</f>
        <v>0</v>
      </c>
    </row>
    <row r="619" spans="1:7">
      <c r="A619" s="6">
        <f>Calc_Formulas!A615</f>
        <v>0</v>
      </c>
      <c r="B619" s="7">
        <f>Calc_Formulas!AH615</f>
        <v>0</v>
      </c>
      <c r="C619" s="7">
        <f>Calc_Formulas!AI615</f>
        <v>0</v>
      </c>
      <c r="D619" s="7">
        <f>Calc_Formulas!AJ615</f>
        <v>0</v>
      </c>
      <c r="E619" s="6">
        <f>Calc_Formulas!AE615</f>
        <v>0</v>
      </c>
      <c r="F619" s="6">
        <f>Calc_Formulas!AF615</f>
        <v>0</v>
      </c>
      <c r="G619" s="6">
        <f>Calc_Formulas!AG615</f>
        <v>0</v>
      </c>
    </row>
    <row r="620" spans="1:7">
      <c r="A620" s="6">
        <f>Calc_Formulas!A616</f>
        <v>0</v>
      </c>
      <c r="B620" s="7">
        <f>Calc_Formulas!AH616</f>
        <v>0</v>
      </c>
      <c r="C620" s="7">
        <f>Calc_Formulas!AI616</f>
        <v>0</v>
      </c>
      <c r="D620" s="7">
        <f>Calc_Formulas!AJ616</f>
        <v>0</v>
      </c>
      <c r="E620" s="6">
        <f>Calc_Formulas!AE616</f>
        <v>0</v>
      </c>
      <c r="F620" s="6">
        <f>Calc_Formulas!AF616</f>
        <v>0</v>
      </c>
      <c r="G620" s="6">
        <f>Calc_Formulas!AG616</f>
        <v>0</v>
      </c>
    </row>
    <row r="621" spans="1:7">
      <c r="A621" s="6">
        <f>Calc_Formulas!A617</f>
        <v>0</v>
      </c>
      <c r="B621" s="7">
        <f>Calc_Formulas!AH617</f>
        <v>0</v>
      </c>
      <c r="C621" s="7">
        <f>Calc_Formulas!AI617</f>
        <v>0</v>
      </c>
      <c r="D621" s="7">
        <f>Calc_Formulas!AJ617</f>
        <v>0</v>
      </c>
      <c r="E621" s="6">
        <f>Calc_Formulas!AE617</f>
        <v>0</v>
      </c>
      <c r="F621" s="6">
        <f>Calc_Formulas!AF617</f>
        <v>0</v>
      </c>
      <c r="G621" s="6">
        <f>Calc_Formulas!AG617</f>
        <v>0</v>
      </c>
    </row>
    <row r="622" spans="1:7">
      <c r="A622" s="6">
        <f>Calc_Formulas!A618</f>
        <v>0</v>
      </c>
      <c r="B622" s="7">
        <f>Calc_Formulas!AH618</f>
        <v>0</v>
      </c>
      <c r="C622" s="7">
        <f>Calc_Formulas!AI618</f>
        <v>0</v>
      </c>
      <c r="D622" s="7">
        <f>Calc_Formulas!AJ618</f>
        <v>0</v>
      </c>
      <c r="E622" s="6">
        <f>Calc_Formulas!AE618</f>
        <v>0</v>
      </c>
      <c r="F622" s="6">
        <f>Calc_Formulas!AF618</f>
        <v>0</v>
      </c>
      <c r="G622" s="6">
        <f>Calc_Formulas!AG618</f>
        <v>0</v>
      </c>
    </row>
    <row r="623" spans="1:7">
      <c r="A623" s="6">
        <f>Calc_Formulas!A619</f>
        <v>0</v>
      </c>
      <c r="B623" s="7">
        <f>Calc_Formulas!AH619</f>
        <v>0</v>
      </c>
      <c r="C623" s="7">
        <f>Calc_Formulas!AI619</f>
        <v>0</v>
      </c>
      <c r="D623" s="7">
        <f>Calc_Formulas!AJ619</f>
        <v>0</v>
      </c>
      <c r="E623" s="6">
        <f>Calc_Formulas!AE619</f>
        <v>0</v>
      </c>
      <c r="F623" s="6">
        <f>Calc_Formulas!AF619</f>
        <v>0</v>
      </c>
      <c r="G623" s="6">
        <f>Calc_Formulas!AG619</f>
        <v>0</v>
      </c>
    </row>
    <row r="624" spans="1:7">
      <c r="A624" s="6">
        <f>Calc_Formulas!A620</f>
        <v>0</v>
      </c>
      <c r="B624" s="7">
        <f>Calc_Formulas!AH620</f>
        <v>0</v>
      </c>
      <c r="C624" s="7">
        <f>Calc_Formulas!AI620</f>
        <v>0</v>
      </c>
      <c r="D624" s="7">
        <f>Calc_Formulas!AJ620</f>
        <v>0</v>
      </c>
      <c r="E624" s="6">
        <f>Calc_Formulas!AE620</f>
        <v>0</v>
      </c>
      <c r="F624" s="6">
        <f>Calc_Formulas!AF620</f>
        <v>0</v>
      </c>
      <c r="G624" s="6">
        <f>Calc_Formulas!AG620</f>
        <v>0</v>
      </c>
    </row>
    <row r="625" spans="1:7">
      <c r="A625" s="6">
        <f>Calc_Formulas!A621</f>
        <v>0</v>
      </c>
      <c r="B625" s="7">
        <f>Calc_Formulas!AH621</f>
        <v>0</v>
      </c>
      <c r="C625" s="7">
        <f>Calc_Formulas!AI621</f>
        <v>0</v>
      </c>
      <c r="D625" s="7">
        <f>Calc_Formulas!AJ621</f>
        <v>0</v>
      </c>
      <c r="E625" s="6">
        <f>Calc_Formulas!AE621</f>
        <v>0</v>
      </c>
      <c r="F625" s="6">
        <f>Calc_Formulas!AF621</f>
        <v>0</v>
      </c>
      <c r="G625" s="6">
        <f>Calc_Formulas!AG621</f>
        <v>0</v>
      </c>
    </row>
    <row r="626" spans="1:7">
      <c r="A626" s="6">
        <f>Calc_Formulas!A622</f>
        <v>0</v>
      </c>
      <c r="B626" s="7">
        <f>Calc_Formulas!AH622</f>
        <v>0</v>
      </c>
      <c r="C626" s="7">
        <f>Calc_Formulas!AI622</f>
        <v>0</v>
      </c>
      <c r="D626" s="7">
        <f>Calc_Formulas!AJ622</f>
        <v>0</v>
      </c>
      <c r="E626" s="6">
        <f>Calc_Formulas!AE622</f>
        <v>0</v>
      </c>
      <c r="F626" s="6">
        <f>Calc_Formulas!AF622</f>
        <v>0</v>
      </c>
      <c r="G626" s="6">
        <f>Calc_Formulas!AG622</f>
        <v>0</v>
      </c>
    </row>
    <row r="627" spans="1:7">
      <c r="A627" s="6">
        <f>Calc_Formulas!A623</f>
        <v>0</v>
      </c>
      <c r="B627" s="7">
        <f>Calc_Formulas!AH623</f>
        <v>0</v>
      </c>
      <c r="C627" s="7">
        <f>Calc_Formulas!AI623</f>
        <v>0</v>
      </c>
      <c r="D627" s="7">
        <f>Calc_Formulas!AJ623</f>
        <v>0</v>
      </c>
      <c r="E627" s="6">
        <f>Calc_Formulas!AE623</f>
        <v>0</v>
      </c>
      <c r="F627" s="6">
        <f>Calc_Formulas!AF623</f>
        <v>0</v>
      </c>
      <c r="G627" s="6">
        <f>Calc_Formulas!AG623</f>
        <v>0</v>
      </c>
    </row>
    <row r="628" spans="1:7">
      <c r="A628" s="6">
        <f>Calc_Formulas!A624</f>
        <v>0</v>
      </c>
      <c r="B628" s="7">
        <f>Calc_Formulas!AH624</f>
        <v>0</v>
      </c>
      <c r="C628" s="7">
        <f>Calc_Formulas!AI624</f>
        <v>0</v>
      </c>
      <c r="D628" s="7">
        <f>Calc_Formulas!AJ624</f>
        <v>0</v>
      </c>
      <c r="E628" s="6">
        <f>Calc_Formulas!AE624</f>
        <v>0</v>
      </c>
      <c r="F628" s="6">
        <f>Calc_Formulas!AF624</f>
        <v>0</v>
      </c>
      <c r="G628" s="6">
        <f>Calc_Formulas!AG624</f>
        <v>0</v>
      </c>
    </row>
    <row r="629" spans="1:7">
      <c r="A629" s="6">
        <f>Calc_Formulas!A625</f>
        <v>0</v>
      </c>
      <c r="B629" s="7">
        <f>Calc_Formulas!AH625</f>
        <v>0</v>
      </c>
      <c r="C629" s="7">
        <f>Calc_Formulas!AI625</f>
        <v>0</v>
      </c>
      <c r="D629" s="7">
        <f>Calc_Formulas!AJ625</f>
        <v>0</v>
      </c>
      <c r="E629" s="6">
        <f>Calc_Formulas!AE625</f>
        <v>0</v>
      </c>
      <c r="F629" s="6">
        <f>Calc_Formulas!AF625</f>
        <v>0</v>
      </c>
      <c r="G629" s="6">
        <f>Calc_Formulas!AG625</f>
        <v>0</v>
      </c>
    </row>
    <row r="630" spans="1:7">
      <c r="A630" s="6">
        <f>Calc_Formulas!A626</f>
        <v>0</v>
      </c>
      <c r="B630" s="7">
        <f>Calc_Formulas!AH626</f>
        <v>0</v>
      </c>
      <c r="C630" s="7">
        <f>Calc_Formulas!AI626</f>
        <v>0</v>
      </c>
      <c r="D630" s="7">
        <f>Calc_Formulas!AJ626</f>
        <v>0</v>
      </c>
      <c r="E630" s="6">
        <f>Calc_Formulas!AE626</f>
        <v>0</v>
      </c>
      <c r="F630" s="6">
        <f>Calc_Formulas!AF626</f>
        <v>0</v>
      </c>
      <c r="G630" s="6">
        <f>Calc_Formulas!AG626</f>
        <v>0</v>
      </c>
    </row>
    <row r="631" spans="1:7">
      <c r="A631" s="6">
        <f>Calc_Formulas!A627</f>
        <v>0</v>
      </c>
      <c r="B631" s="7">
        <f>Calc_Formulas!AH627</f>
        <v>0</v>
      </c>
      <c r="C631" s="7">
        <f>Calc_Formulas!AI627</f>
        <v>0</v>
      </c>
      <c r="D631" s="7">
        <f>Calc_Formulas!AJ627</f>
        <v>0</v>
      </c>
      <c r="E631" s="6">
        <f>Calc_Formulas!AE627</f>
        <v>0</v>
      </c>
      <c r="F631" s="6">
        <f>Calc_Formulas!AF627</f>
        <v>0</v>
      </c>
      <c r="G631" s="6">
        <f>Calc_Formulas!AG627</f>
        <v>0</v>
      </c>
    </row>
    <row r="632" spans="1:7">
      <c r="A632" s="6">
        <f>Calc_Formulas!A628</f>
        <v>0</v>
      </c>
      <c r="B632" s="7">
        <f>Calc_Formulas!AH628</f>
        <v>0</v>
      </c>
      <c r="C632" s="7">
        <f>Calc_Formulas!AI628</f>
        <v>0</v>
      </c>
      <c r="D632" s="7">
        <f>Calc_Formulas!AJ628</f>
        <v>0</v>
      </c>
      <c r="E632" s="6">
        <f>Calc_Formulas!AE628</f>
        <v>0</v>
      </c>
      <c r="F632" s="6">
        <f>Calc_Formulas!AF628</f>
        <v>0</v>
      </c>
      <c r="G632" s="6">
        <f>Calc_Formulas!AG628</f>
        <v>0</v>
      </c>
    </row>
    <row r="633" spans="1:7">
      <c r="A633" s="6">
        <f>Calc_Formulas!A629</f>
        <v>0</v>
      </c>
      <c r="B633" s="7">
        <f>Calc_Formulas!AH629</f>
        <v>0</v>
      </c>
      <c r="C633" s="7">
        <f>Calc_Formulas!AI629</f>
        <v>0</v>
      </c>
      <c r="D633" s="7">
        <f>Calc_Formulas!AJ629</f>
        <v>0</v>
      </c>
      <c r="E633" s="6">
        <f>Calc_Formulas!AE629</f>
        <v>0</v>
      </c>
      <c r="F633" s="6">
        <f>Calc_Formulas!AF629</f>
        <v>0</v>
      </c>
      <c r="G633" s="6">
        <f>Calc_Formulas!AG629</f>
        <v>0</v>
      </c>
    </row>
    <row r="634" spans="1:7">
      <c r="A634" s="6">
        <f>Calc_Formulas!A630</f>
        <v>0</v>
      </c>
      <c r="B634" s="7">
        <f>Calc_Formulas!AH630</f>
        <v>0</v>
      </c>
      <c r="C634" s="7">
        <f>Calc_Formulas!AI630</f>
        <v>0</v>
      </c>
      <c r="D634" s="7">
        <f>Calc_Formulas!AJ630</f>
        <v>0</v>
      </c>
      <c r="E634" s="6">
        <f>Calc_Formulas!AE630</f>
        <v>0</v>
      </c>
      <c r="F634" s="6">
        <f>Calc_Formulas!AF630</f>
        <v>0</v>
      </c>
      <c r="G634" s="6">
        <f>Calc_Formulas!AG630</f>
        <v>0</v>
      </c>
    </row>
    <row r="635" spans="1:7">
      <c r="A635" s="6">
        <f>Calc_Formulas!A631</f>
        <v>0</v>
      </c>
      <c r="B635" s="7">
        <f>Calc_Formulas!AH631</f>
        <v>0</v>
      </c>
      <c r="C635" s="7">
        <f>Calc_Formulas!AI631</f>
        <v>0</v>
      </c>
      <c r="D635" s="7">
        <f>Calc_Formulas!AJ631</f>
        <v>0</v>
      </c>
      <c r="E635" s="6">
        <f>Calc_Formulas!AE631</f>
        <v>0</v>
      </c>
      <c r="F635" s="6">
        <f>Calc_Formulas!AF631</f>
        <v>0</v>
      </c>
      <c r="G635" s="6">
        <f>Calc_Formulas!AG631</f>
        <v>0</v>
      </c>
    </row>
    <row r="636" spans="1:7">
      <c r="A636" s="6">
        <f>Calc_Formulas!A632</f>
        <v>0</v>
      </c>
      <c r="B636" s="7">
        <f>Calc_Formulas!AH632</f>
        <v>0</v>
      </c>
      <c r="C636" s="7">
        <f>Calc_Formulas!AI632</f>
        <v>0</v>
      </c>
      <c r="D636" s="7">
        <f>Calc_Formulas!AJ632</f>
        <v>0</v>
      </c>
      <c r="E636" s="6">
        <f>Calc_Formulas!AE632</f>
        <v>0</v>
      </c>
      <c r="F636" s="6">
        <f>Calc_Formulas!AF632</f>
        <v>0</v>
      </c>
      <c r="G636" s="6">
        <f>Calc_Formulas!AG632</f>
        <v>0</v>
      </c>
    </row>
    <row r="637" spans="1:7">
      <c r="A637" s="6">
        <f>Calc_Formulas!A633</f>
        <v>0</v>
      </c>
      <c r="B637" s="7">
        <f>Calc_Formulas!AH633</f>
        <v>0</v>
      </c>
      <c r="C637" s="7">
        <f>Calc_Formulas!AI633</f>
        <v>0</v>
      </c>
      <c r="D637" s="7">
        <f>Calc_Formulas!AJ633</f>
        <v>0</v>
      </c>
      <c r="E637" s="6">
        <f>Calc_Formulas!AE633</f>
        <v>0</v>
      </c>
      <c r="F637" s="6">
        <f>Calc_Formulas!AF633</f>
        <v>0</v>
      </c>
      <c r="G637" s="6">
        <f>Calc_Formulas!AG633</f>
        <v>0</v>
      </c>
    </row>
    <row r="638" spans="1:7">
      <c r="A638" s="6">
        <f>Calc_Formulas!A634</f>
        <v>0</v>
      </c>
      <c r="B638" s="7">
        <f>Calc_Formulas!AH634</f>
        <v>0</v>
      </c>
      <c r="C638" s="7">
        <f>Calc_Formulas!AI634</f>
        <v>0</v>
      </c>
      <c r="D638" s="7">
        <f>Calc_Formulas!AJ634</f>
        <v>0</v>
      </c>
      <c r="E638" s="6">
        <f>Calc_Formulas!AE634</f>
        <v>0</v>
      </c>
      <c r="F638" s="6">
        <f>Calc_Formulas!AF634</f>
        <v>0</v>
      </c>
      <c r="G638" s="6">
        <f>Calc_Formulas!AG634</f>
        <v>0</v>
      </c>
    </row>
    <row r="639" spans="1:7">
      <c r="A639" s="6">
        <f>Calc_Formulas!A635</f>
        <v>0</v>
      </c>
      <c r="B639" s="7">
        <f>Calc_Formulas!AH635</f>
        <v>0</v>
      </c>
      <c r="C639" s="7">
        <f>Calc_Formulas!AI635</f>
        <v>0</v>
      </c>
      <c r="D639" s="7">
        <f>Calc_Formulas!AJ635</f>
        <v>0</v>
      </c>
      <c r="E639" s="6">
        <f>Calc_Formulas!AE635</f>
        <v>0</v>
      </c>
      <c r="F639" s="6">
        <f>Calc_Formulas!AF635</f>
        <v>0</v>
      </c>
      <c r="G639" s="6">
        <f>Calc_Formulas!AG635</f>
        <v>0</v>
      </c>
    </row>
    <row r="640" spans="1:7">
      <c r="A640" s="6">
        <f>Calc_Formulas!A636</f>
        <v>0</v>
      </c>
      <c r="B640" s="7">
        <f>Calc_Formulas!AH636</f>
        <v>0</v>
      </c>
      <c r="C640" s="7">
        <f>Calc_Formulas!AI636</f>
        <v>0</v>
      </c>
      <c r="D640" s="7">
        <f>Calc_Formulas!AJ636</f>
        <v>0</v>
      </c>
      <c r="E640" s="6">
        <f>Calc_Formulas!AE636</f>
        <v>0</v>
      </c>
      <c r="F640" s="6">
        <f>Calc_Formulas!AF636</f>
        <v>0</v>
      </c>
      <c r="G640" s="6">
        <f>Calc_Formulas!AG636</f>
        <v>0</v>
      </c>
    </row>
    <row r="641" spans="1:7">
      <c r="A641" s="6">
        <f>Calc_Formulas!A637</f>
        <v>0</v>
      </c>
      <c r="B641" s="7">
        <f>Calc_Formulas!AH637</f>
        <v>0</v>
      </c>
      <c r="C641" s="7">
        <f>Calc_Formulas!AI637</f>
        <v>0</v>
      </c>
      <c r="D641" s="7">
        <f>Calc_Formulas!AJ637</f>
        <v>0</v>
      </c>
      <c r="E641" s="6">
        <f>Calc_Formulas!AE637</f>
        <v>0</v>
      </c>
      <c r="F641" s="6">
        <f>Calc_Formulas!AF637</f>
        <v>0</v>
      </c>
      <c r="G641" s="6">
        <f>Calc_Formulas!AG637</f>
        <v>0</v>
      </c>
    </row>
    <row r="642" spans="1:7">
      <c r="A642" s="6">
        <f>Calc_Formulas!A638</f>
        <v>0</v>
      </c>
      <c r="B642" s="7">
        <f>Calc_Formulas!AH638</f>
        <v>0</v>
      </c>
      <c r="C642" s="7">
        <f>Calc_Formulas!AI638</f>
        <v>0</v>
      </c>
      <c r="D642" s="7">
        <f>Calc_Formulas!AJ638</f>
        <v>0</v>
      </c>
      <c r="E642" s="6">
        <f>Calc_Formulas!AE638</f>
        <v>0</v>
      </c>
      <c r="F642" s="6">
        <f>Calc_Formulas!AF638</f>
        <v>0</v>
      </c>
      <c r="G642" s="6">
        <f>Calc_Formulas!AG638</f>
        <v>0</v>
      </c>
    </row>
    <row r="643" spans="1:7">
      <c r="A643" s="6">
        <f>Calc_Formulas!A639</f>
        <v>0</v>
      </c>
      <c r="B643" s="7">
        <f>Calc_Formulas!AH639</f>
        <v>0</v>
      </c>
      <c r="C643" s="7">
        <f>Calc_Formulas!AI639</f>
        <v>0</v>
      </c>
      <c r="D643" s="7">
        <f>Calc_Formulas!AJ639</f>
        <v>0</v>
      </c>
      <c r="E643" s="6">
        <f>Calc_Formulas!AE639</f>
        <v>0</v>
      </c>
      <c r="F643" s="6">
        <f>Calc_Formulas!AF639</f>
        <v>0</v>
      </c>
      <c r="G643" s="6">
        <f>Calc_Formulas!AG639</f>
        <v>0</v>
      </c>
    </row>
    <row r="644" spans="1:7">
      <c r="A644" s="6">
        <f>Calc_Formulas!A640</f>
        <v>0</v>
      </c>
      <c r="B644" s="7">
        <f>Calc_Formulas!AH640</f>
        <v>0</v>
      </c>
      <c r="C644" s="7">
        <f>Calc_Formulas!AI640</f>
        <v>0</v>
      </c>
      <c r="D644" s="7">
        <f>Calc_Formulas!AJ640</f>
        <v>0</v>
      </c>
      <c r="E644" s="6">
        <f>Calc_Formulas!AE640</f>
        <v>0</v>
      </c>
      <c r="F644" s="6">
        <f>Calc_Formulas!AF640</f>
        <v>0</v>
      </c>
      <c r="G644" s="6">
        <f>Calc_Formulas!AG640</f>
        <v>0</v>
      </c>
    </row>
    <row r="645" spans="1:7">
      <c r="A645" s="6">
        <f>Calc_Formulas!A641</f>
        <v>0</v>
      </c>
      <c r="B645" s="7">
        <f>Calc_Formulas!AH641</f>
        <v>0</v>
      </c>
      <c r="C645" s="7">
        <f>Calc_Formulas!AI641</f>
        <v>0</v>
      </c>
      <c r="D645" s="7">
        <f>Calc_Formulas!AJ641</f>
        <v>0</v>
      </c>
      <c r="E645" s="6">
        <f>Calc_Formulas!AE641</f>
        <v>0</v>
      </c>
      <c r="F645" s="6">
        <f>Calc_Formulas!AF641</f>
        <v>0</v>
      </c>
      <c r="G645" s="6">
        <f>Calc_Formulas!AG641</f>
        <v>0</v>
      </c>
    </row>
    <row r="646" spans="1:7">
      <c r="A646" s="6">
        <f>Calc_Formulas!A642</f>
        <v>0</v>
      </c>
      <c r="B646" s="7">
        <f>Calc_Formulas!AH642</f>
        <v>0</v>
      </c>
      <c r="C646" s="7">
        <f>Calc_Formulas!AI642</f>
        <v>0</v>
      </c>
      <c r="D646" s="7">
        <f>Calc_Formulas!AJ642</f>
        <v>0</v>
      </c>
      <c r="E646" s="6">
        <f>Calc_Formulas!AE642</f>
        <v>0</v>
      </c>
      <c r="F646" s="6">
        <f>Calc_Formulas!AF642</f>
        <v>0</v>
      </c>
      <c r="G646" s="6">
        <f>Calc_Formulas!AG642</f>
        <v>0</v>
      </c>
    </row>
    <row r="647" spans="1:7">
      <c r="A647" s="6">
        <f>Calc_Formulas!A643</f>
        <v>0</v>
      </c>
      <c r="B647" s="7">
        <f>Calc_Formulas!AH643</f>
        <v>0</v>
      </c>
      <c r="C647" s="7">
        <f>Calc_Formulas!AI643</f>
        <v>0</v>
      </c>
      <c r="D647" s="7">
        <f>Calc_Formulas!AJ643</f>
        <v>0</v>
      </c>
      <c r="E647" s="6">
        <f>Calc_Formulas!AE643</f>
        <v>0</v>
      </c>
      <c r="F647" s="6">
        <f>Calc_Formulas!AF643</f>
        <v>0</v>
      </c>
      <c r="G647" s="6">
        <f>Calc_Formulas!AG643</f>
        <v>0</v>
      </c>
    </row>
    <row r="648" spans="1:7">
      <c r="A648" s="6">
        <f>Calc_Formulas!A644</f>
        <v>0</v>
      </c>
      <c r="B648" s="7">
        <f>Calc_Formulas!AH644</f>
        <v>0</v>
      </c>
      <c r="C648" s="7">
        <f>Calc_Formulas!AI644</f>
        <v>0</v>
      </c>
      <c r="D648" s="7">
        <f>Calc_Formulas!AJ644</f>
        <v>0</v>
      </c>
      <c r="E648" s="6">
        <f>Calc_Formulas!AE644</f>
        <v>0</v>
      </c>
      <c r="F648" s="6">
        <f>Calc_Formulas!AF644</f>
        <v>0</v>
      </c>
      <c r="G648" s="6">
        <f>Calc_Formulas!AG644</f>
        <v>0</v>
      </c>
    </row>
    <row r="649" spans="1:7">
      <c r="A649" s="6">
        <f>Calc_Formulas!A645</f>
        <v>0</v>
      </c>
      <c r="B649" s="7">
        <f>Calc_Formulas!AH645</f>
        <v>0</v>
      </c>
      <c r="C649" s="7">
        <f>Calc_Formulas!AI645</f>
        <v>0</v>
      </c>
      <c r="D649" s="7">
        <f>Calc_Formulas!AJ645</f>
        <v>0</v>
      </c>
      <c r="E649" s="6">
        <f>Calc_Formulas!AE645</f>
        <v>0</v>
      </c>
      <c r="F649" s="6">
        <f>Calc_Formulas!AF645</f>
        <v>0</v>
      </c>
      <c r="G649" s="6">
        <f>Calc_Formulas!AG645</f>
        <v>0</v>
      </c>
    </row>
    <row r="650" spans="1:7">
      <c r="A650" s="6">
        <f>Calc_Formulas!A646</f>
        <v>0</v>
      </c>
      <c r="B650" s="7">
        <f>Calc_Formulas!AH646</f>
        <v>0</v>
      </c>
      <c r="C650" s="7">
        <f>Calc_Formulas!AI646</f>
        <v>0</v>
      </c>
      <c r="D650" s="7">
        <f>Calc_Formulas!AJ646</f>
        <v>0</v>
      </c>
      <c r="E650" s="6">
        <f>Calc_Formulas!AE646</f>
        <v>0</v>
      </c>
      <c r="F650" s="6">
        <f>Calc_Formulas!AF646</f>
        <v>0</v>
      </c>
      <c r="G650" s="6">
        <f>Calc_Formulas!AG646</f>
        <v>0</v>
      </c>
    </row>
    <row r="651" spans="1:7">
      <c r="A651" s="6">
        <f>Calc_Formulas!A647</f>
        <v>0</v>
      </c>
      <c r="B651" s="7">
        <f>Calc_Formulas!AH647</f>
        <v>0</v>
      </c>
      <c r="C651" s="7">
        <f>Calc_Formulas!AI647</f>
        <v>0</v>
      </c>
      <c r="D651" s="7">
        <f>Calc_Formulas!AJ647</f>
        <v>0</v>
      </c>
      <c r="E651" s="6">
        <f>Calc_Formulas!AE647</f>
        <v>0</v>
      </c>
      <c r="F651" s="6">
        <f>Calc_Formulas!AF647</f>
        <v>0</v>
      </c>
      <c r="G651" s="6">
        <f>Calc_Formulas!AG647</f>
        <v>0</v>
      </c>
    </row>
    <row r="652" spans="1:7">
      <c r="A652" s="6">
        <f>Calc_Formulas!A648</f>
        <v>0</v>
      </c>
      <c r="B652" s="7">
        <f>Calc_Formulas!AH648</f>
        <v>0</v>
      </c>
      <c r="C652" s="7">
        <f>Calc_Formulas!AI648</f>
        <v>0</v>
      </c>
      <c r="D652" s="7">
        <f>Calc_Formulas!AJ648</f>
        <v>0</v>
      </c>
      <c r="E652" s="6">
        <f>Calc_Formulas!AE648</f>
        <v>0</v>
      </c>
      <c r="F652" s="6">
        <f>Calc_Formulas!AF648</f>
        <v>0</v>
      </c>
      <c r="G652" s="6">
        <f>Calc_Formulas!AG648</f>
        <v>0</v>
      </c>
    </row>
    <row r="653" spans="1:7">
      <c r="A653" s="6">
        <f>Calc_Formulas!A649</f>
        <v>0</v>
      </c>
      <c r="B653" s="7">
        <f>Calc_Formulas!AH649</f>
        <v>0</v>
      </c>
      <c r="C653" s="7">
        <f>Calc_Formulas!AI649</f>
        <v>0</v>
      </c>
      <c r="D653" s="7">
        <f>Calc_Formulas!AJ649</f>
        <v>0</v>
      </c>
      <c r="E653" s="6">
        <f>Calc_Formulas!AE649</f>
        <v>0</v>
      </c>
      <c r="F653" s="6">
        <f>Calc_Formulas!AF649</f>
        <v>0</v>
      </c>
      <c r="G653" s="6">
        <f>Calc_Formulas!AG649</f>
        <v>0</v>
      </c>
    </row>
    <row r="654" spans="1:7">
      <c r="A654" s="6">
        <f>Calc_Formulas!A650</f>
        <v>0</v>
      </c>
      <c r="B654" s="7">
        <f>Calc_Formulas!AH650</f>
        <v>0</v>
      </c>
      <c r="C654" s="7">
        <f>Calc_Formulas!AI650</f>
        <v>0</v>
      </c>
      <c r="D654" s="7">
        <f>Calc_Formulas!AJ650</f>
        <v>0</v>
      </c>
      <c r="E654" s="6">
        <f>Calc_Formulas!AE650</f>
        <v>0</v>
      </c>
      <c r="F654" s="6">
        <f>Calc_Formulas!AF650</f>
        <v>0</v>
      </c>
      <c r="G654" s="6">
        <f>Calc_Formulas!AG650</f>
        <v>0</v>
      </c>
    </row>
    <row r="655" spans="1:7">
      <c r="A655" s="6">
        <f>Calc_Formulas!A651</f>
        <v>0</v>
      </c>
      <c r="B655" s="7">
        <f>Calc_Formulas!AH651</f>
        <v>0</v>
      </c>
      <c r="C655" s="7">
        <f>Calc_Formulas!AI651</f>
        <v>0</v>
      </c>
      <c r="D655" s="7">
        <f>Calc_Formulas!AJ651</f>
        <v>0</v>
      </c>
      <c r="E655" s="6">
        <f>Calc_Formulas!AE651</f>
        <v>0</v>
      </c>
      <c r="F655" s="6">
        <f>Calc_Formulas!AF651</f>
        <v>0</v>
      </c>
      <c r="G655" s="6">
        <f>Calc_Formulas!AG651</f>
        <v>0</v>
      </c>
    </row>
    <row r="656" spans="1:7">
      <c r="A656" s="6">
        <f>Calc_Formulas!A652</f>
        <v>0</v>
      </c>
      <c r="B656" s="7">
        <f>Calc_Formulas!AH652</f>
        <v>0</v>
      </c>
      <c r="C656" s="7">
        <f>Calc_Formulas!AI652</f>
        <v>0</v>
      </c>
      <c r="D656" s="7">
        <f>Calc_Formulas!AJ652</f>
        <v>0</v>
      </c>
      <c r="E656" s="6">
        <f>Calc_Formulas!AE652</f>
        <v>0</v>
      </c>
      <c r="F656" s="6">
        <f>Calc_Formulas!AF652</f>
        <v>0</v>
      </c>
      <c r="G656" s="6">
        <f>Calc_Formulas!AG652</f>
        <v>0</v>
      </c>
    </row>
    <row r="657" spans="1:7">
      <c r="A657" s="6">
        <f>Calc_Formulas!A653</f>
        <v>0</v>
      </c>
      <c r="B657" s="7">
        <f>Calc_Formulas!AH653</f>
        <v>0</v>
      </c>
      <c r="C657" s="7">
        <f>Calc_Formulas!AI653</f>
        <v>0</v>
      </c>
      <c r="D657" s="7">
        <f>Calc_Formulas!AJ653</f>
        <v>0</v>
      </c>
      <c r="E657" s="6">
        <f>Calc_Formulas!AE653</f>
        <v>0</v>
      </c>
      <c r="F657" s="6">
        <f>Calc_Formulas!AF653</f>
        <v>0</v>
      </c>
      <c r="G657" s="6">
        <f>Calc_Formulas!AG653</f>
        <v>0</v>
      </c>
    </row>
    <row r="658" spans="1:7">
      <c r="A658" s="6">
        <f>Calc_Formulas!A654</f>
        <v>0</v>
      </c>
      <c r="B658" s="7">
        <f>Calc_Formulas!AH654</f>
        <v>0</v>
      </c>
      <c r="C658" s="7">
        <f>Calc_Formulas!AI654</f>
        <v>0</v>
      </c>
      <c r="D658" s="7">
        <f>Calc_Formulas!AJ654</f>
        <v>0</v>
      </c>
      <c r="E658" s="6">
        <f>Calc_Formulas!AE654</f>
        <v>0</v>
      </c>
      <c r="F658" s="6">
        <f>Calc_Formulas!AF654</f>
        <v>0</v>
      </c>
      <c r="G658" s="6">
        <f>Calc_Formulas!AG654</f>
        <v>0</v>
      </c>
    </row>
    <row r="659" spans="1:7">
      <c r="A659" s="6">
        <f>Calc_Formulas!A655</f>
        <v>0</v>
      </c>
      <c r="B659" s="7">
        <f>Calc_Formulas!AH655</f>
        <v>0</v>
      </c>
      <c r="C659" s="7">
        <f>Calc_Formulas!AI655</f>
        <v>0</v>
      </c>
      <c r="D659" s="7">
        <f>Calc_Formulas!AJ655</f>
        <v>0</v>
      </c>
      <c r="E659" s="6">
        <f>Calc_Formulas!AE655</f>
        <v>0</v>
      </c>
      <c r="F659" s="6">
        <f>Calc_Formulas!AF655</f>
        <v>0</v>
      </c>
      <c r="G659" s="6">
        <f>Calc_Formulas!AG655</f>
        <v>0</v>
      </c>
    </row>
    <row r="660" spans="1:7">
      <c r="A660" s="6">
        <f>Calc_Formulas!A656</f>
        <v>0</v>
      </c>
      <c r="B660" s="7">
        <f>Calc_Formulas!AH656</f>
        <v>0</v>
      </c>
      <c r="C660" s="7">
        <f>Calc_Formulas!AI656</f>
        <v>0</v>
      </c>
      <c r="D660" s="7">
        <f>Calc_Formulas!AJ656</f>
        <v>0</v>
      </c>
      <c r="E660" s="6">
        <f>Calc_Formulas!AE656</f>
        <v>0</v>
      </c>
      <c r="F660" s="6">
        <f>Calc_Formulas!AF656</f>
        <v>0</v>
      </c>
      <c r="G660" s="6">
        <f>Calc_Formulas!AG656</f>
        <v>0</v>
      </c>
    </row>
    <row r="661" spans="1:7">
      <c r="A661" s="6">
        <f>Calc_Formulas!A657</f>
        <v>0</v>
      </c>
      <c r="B661" s="7">
        <f>Calc_Formulas!AH657</f>
        <v>0</v>
      </c>
      <c r="C661" s="7">
        <f>Calc_Formulas!AI657</f>
        <v>0</v>
      </c>
      <c r="D661" s="7">
        <f>Calc_Formulas!AJ657</f>
        <v>0</v>
      </c>
      <c r="E661" s="6">
        <f>Calc_Formulas!AE657</f>
        <v>0</v>
      </c>
      <c r="F661" s="6">
        <f>Calc_Formulas!AF657</f>
        <v>0</v>
      </c>
      <c r="G661" s="6">
        <f>Calc_Formulas!AG657</f>
        <v>0</v>
      </c>
    </row>
    <row r="662" spans="1:7">
      <c r="A662" s="6">
        <f>Calc_Formulas!A658</f>
        <v>0</v>
      </c>
      <c r="B662" s="7">
        <f>Calc_Formulas!AH658</f>
        <v>0</v>
      </c>
      <c r="C662" s="7">
        <f>Calc_Formulas!AI658</f>
        <v>0</v>
      </c>
      <c r="D662" s="7">
        <f>Calc_Formulas!AJ658</f>
        <v>0</v>
      </c>
      <c r="E662" s="6">
        <f>Calc_Formulas!AE658</f>
        <v>0</v>
      </c>
      <c r="F662" s="6">
        <f>Calc_Formulas!AF658</f>
        <v>0</v>
      </c>
      <c r="G662" s="6">
        <f>Calc_Formulas!AG658</f>
        <v>0</v>
      </c>
    </row>
    <row r="663" spans="1:7">
      <c r="A663" s="6">
        <f>Calc_Formulas!A659</f>
        <v>0</v>
      </c>
      <c r="B663" s="7">
        <f>Calc_Formulas!AH659</f>
        <v>0</v>
      </c>
      <c r="C663" s="7">
        <f>Calc_Formulas!AI659</f>
        <v>0</v>
      </c>
      <c r="D663" s="7">
        <f>Calc_Formulas!AJ659</f>
        <v>0</v>
      </c>
      <c r="E663" s="6">
        <f>Calc_Formulas!AE659</f>
        <v>0</v>
      </c>
      <c r="F663" s="6">
        <f>Calc_Formulas!AF659</f>
        <v>0</v>
      </c>
      <c r="G663" s="6">
        <f>Calc_Formulas!AG659</f>
        <v>0</v>
      </c>
    </row>
    <row r="664" spans="1:7">
      <c r="A664" s="6">
        <f>Calc_Formulas!A660</f>
        <v>0</v>
      </c>
      <c r="B664" s="7">
        <f>Calc_Formulas!AH660</f>
        <v>0</v>
      </c>
      <c r="C664" s="7">
        <f>Calc_Formulas!AI660</f>
        <v>0</v>
      </c>
      <c r="D664" s="7">
        <f>Calc_Formulas!AJ660</f>
        <v>0</v>
      </c>
      <c r="E664" s="6">
        <f>Calc_Formulas!AE660</f>
        <v>0</v>
      </c>
      <c r="F664" s="6">
        <f>Calc_Formulas!AF660</f>
        <v>0</v>
      </c>
      <c r="G664" s="6">
        <f>Calc_Formulas!AG660</f>
        <v>0</v>
      </c>
    </row>
    <row r="665" spans="1:7">
      <c r="A665" s="6">
        <f>Calc_Formulas!A661</f>
        <v>0</v>
      </c>
      <c r="B665" s="7">
        <f>Calc_Formulas!AH661</f>
        <v>0</v>
      </c>
      <c r="C665" s="7">
        <f>Calc_Formulas!AI661</f>
        <v>0</v>
      </c>
      <c r="D665" s="7">
        <f>Calc_Formulas!AJ661</f>
        <v>0</v>
      </c>
      <c r="E665" s="6">
        <f>Calc_Formulas!AE661</f>
        <v>0</v>
      </c>
      <c r="F665" s="6">
        <f>Calc_Formulas!AF661</f>
        <v>0</v>
      </c>
      <c r="G665" s="6">
        <f>Calc_Formulas!AG661</f>
        <v>0</v>
      </c>
    </row>
    <row r="666" spans="1:7">
      <c r="A666" s="6">
        <f>Calc_Formulas!A662</f>
        <v>0</v>
      </c>
      <c r="B666" s="7">
        <f>Calc_Formulas!AH662</f>
        <v>0</v>
      </c>
      <c r="C666" s="7">
        <f>Calc_Formulas!AI662</f>
        <v>0</v>
      </c>
      <c r="D666" s="7">
        <f>Calc_Formulas!AJ662</f>
        <v>0</v>
      </c>
      <c r="E666" s="6">
        <f>Calc_Formulas!AE662</f>
        <v>0</v>
      </c>
      <c r="F666" s="6">
        <f>Calc_Formulas!AF662</f>
        <v>0</v>
      </c>
      <c r="G666" s="6">
        <f>Calc_Formulas!AG662</f>
        <v>0</v>
      </c>
    </row>
    <row r="667" spans="1:7">
      <c r="A667" s="6">
        <f>Calc_Formulas!A663</f>
        <v>0</v>
      </c>
      <c r="B667" s="7">
        <f>Calc_Formulas!AH663</f>
        <v>0</v>
      </c>
      <c r="C667" s="7">
        <f>Calc_Formulas!AI663</f>
        <v>0</v>
      </c>
      <c r="D667" s="7">
        <f>Calc_Formulas!AJ663</f>
        <v>0</v>
      </c>
      <c r="E667" s="6">
        <f>Calc_Formulas!AE663</f>
        <v>0</v>
      </c>
      <c r="F667" s="6">
        <f>Calc_Formulas!AF663</f>
        <v>0</v>
      </c>
      <c r="G667" s="6">
        <f>Calc_Formulas!AG663</f>
        <v>0</v>
      </c>
    </row>
    <row r="668" spans="1:7">
      <c r="A668" s="6">
        <f>Calc_Formulas!A664</f>
        <v>0</v>
      </c>
      <c r="B668" s="7">
        <f>Calc_Formulas!AH664</f>
        <v>0</v>
      </c>
      <c r="C668" s="7">
        <f>Calc_Formulas!AI664</f>
        <v>0</v>
      </c>
      <c r="D668" s="7">
        <f>Calc_Formulas!AJ664</f>
        <v>0</v>
      </c>
      <c r="E668" s="6">
        <f>Calc_Formulas!AE664</f>
        <v>0</v>
      </c>
      <c r="F668" s="6">
        <f>Calc_Formulas!AF664</f>
        <v>0</v>
      </c>
      <c r="G668" s="6">
        <f>Calc_Formulas!AG664</f>
        <v>0</v>
      </c>
    </row>
    <row r="669" spans="1:7">
      <c r="A669" s="6">
        <f>Calc_Formulas!A665</f>
        <v>0</v>
      </c>
      <c r="B669" s="7">
        <f>Calc_Formulas!AH665</f>
        <v>0</v>
      </c>
      <c r="C669" s="7">
        <f>Calc_Formulas!AI665</f>
        <v>0</v>
      </c>
      <c r="D669" s="7">
        <f>Calc_Formulas!AJ665</f>
        <v>0</v>
      </c>
      <c r="E669" s="6">
        <f>Calc_Formulas!AE665</f>
        <v>0</v>
      </c>
      <c r="F669" s="6">
        <f>Calc_Formulas!AF665</f>
        <v>0</v>
      </c>
      <c r="G669" s="6">
        <f>Calc_Formulas!AG665</f>
        <v>0</v>
      </c>
    </row>
    <row r="670" spans="1:7">
      <c r="A670" s="6">
        <f>Calc_Formulas!A666</f>
        <v>0</v>
      </c>
      <c r="B670" s="7">
        <f>Calc_Formulas!AH666</f>
        <v>0</v>
      </c>
      <c r="C670" s="7">
        <f>Calc_Formulas!AI666</f>
        <v>0</v>
      </c>
      <c r="D670" s="7">
        <f>Calc_Formulas!AJ666</f>
        <v>0</v>
      </c>
      <c r="E670" s="6">
        <f>Calc_Formulas!AE666</f>
        <v>0</v>
      </c>
      <c r="F670" s="6">
        <f>Calc_Formulas!AF666</f>
        <v>0</v>
      </c>
      <c r="G670" s="6">
        <f>Calc_Formulas!AG666</f>
        <v>0</v>
      </c>
    </row>
    <row r="671" spans="1:7">
      <c r="A671" s="6">
        <f>Calc_Formulas!A667</f>
        <v>0</v>
      </c>
      <c r="B671" s="7">
        <f>Calc_Formulas!AH667</f>
        <v>0</v>
      </c>
      <c r="C671" s="7">
        <f>Calc_Formulas!AI667</f>
        <v>0</v>
      </c>
      <c r="D671" s="7">
        <f>Calc_Formulas!AJ667</f>
        <v>0</v>
      </c>
      <c r="E671" s="6">
        <f>Calc_Formulas!AE667</f>
        <v>0</v>
      </c>
      <c r="F671" s="6">
        <f>Calc_Formulas!AF667</f>
        <v>0</v>
      </c>
      <c r="G671" s="6">
        <f>Calc_Formulas!AG667</f>
        <v>0</v>
      </c>
    </row>
    <row r="672" spans="1:7">
      <c r="A672" s="6">
        <f>Calc_Formulas!A668</f>
        <v>0</v>
      </c>
      <c r="B672" s="7">
        <f>Calc_Formulas!AH668</f>
        <v>0</v>
      </c>
      <c r="C672" s="7">
        <f>Calc_Formulas!AI668</f>
        <v>0</v>
      </c>
      <c r="D672" s="7">
        <f>Calc_Formulas!AJ668</f>
        <v>0</v>
      </c>
      <c r="E672" s="6">
        <f>Calc_Formulas!AE668</f>
        <v>0</v>
      </c>
      <c r="F672" s="6">
        <f>Calc_Formulas!AF668</f>
        <v>0</v>
      </c>
      <c r="G672" s="6">
        <f>Calc_Formulas!AG668</f>
        <v>0</v>
      </c>
    </row>
    <row r="673" spans="1:7">
      <c r="A673" s="6">
        <f>Calc_Formulas!A669</f>
        <v>0</v>
      </c>
      <c r="B673" s="7">
        <f>Calc_Formulas!AH669</f>
        <v>0</v>
      </c>
      <c r="C673" s="7">
        <f>Calc_Formulas!AI669</f>
        <v>0</v>
      </c>
      <c r="D673" s="7">
        <f>Calc_Formulas!AJ669</f>
        <v>0</v>
      </c>
      <c r="E673" s="6">
        <f>Calc_Formulas!AE669</f>
        <v>0</v>
      </c>
      <c r="F673" s="6">
        <f>Calc_Formulas!AF669</f>
        <v>0</v>
      </c>
      <c r="G673" s="6">
        <f>Calc_Formulas!AG669</f>
        <v>0</v>
      </c>
    </row>
    <row r="674" spans="1:7">
      <c r="A674" s="6">
        <f>Calc_Formulas!A670</f>
        <v>0</v>
      </c>
      <c r="B674" s="7">
        <f>Calc_Formulas!AH670</f>
        <v>0</v>
      </c>
      <c r="C674" s="7">
        <f>Calc_Formulas!AI670</f>
        <v>0</v>
      </c>
      <c r="D674" s="7">
        <f>Calc_Formulas!AJ670</f>
        <v>0</v>
      </c>
      <c r="E674" s="6">
        <f>Calc_Formulas!AE670</f>
        <v>0</v>
      </c>
      <c r="F674" s="6">
        <f>Calc_Formulas!AF670</f>
        <v>0</v>
      </c>
      <c r="G674" s="6">
        <f>Calc_Formulas!AG670</f>
        <v>0</v>
      </c>
    </row>
    <row r="675" spans="1:7">
      <c r="A675" s="6">
        <f>Calc_Formulas!A671</f>
        <v>0</v>
      </c>
      <c r="B675" s="7">
        <f>Calc_Formulas!AH671</f>
        <v>0</v>
      </c>
      <c r="C675" s="7">
        <f>Calc_Formulas!AI671</f>
        <v>0</v>
      </c>
      <c r="D675" s="7">
        <f>Calc_Formulas!AJ671</f>
        <v>0</v>
      </c>
      <c r="E675" s="6">
        <f>Calc_Formulas!AE671</f>
        <v>0</v>
      </c>
      <c r="F675" s="6">
        <f>Calc_Formulas!AF671</f>
        <v>0</v>
      </c>
      <c r="G675" s="6">
        <f>Calc_Formulas!AG671</f>
        <v>0</v>
      </c>
    </row>
    <row r="676" spans="1:7">
      <c r="A676" s="6">
        <f>Calc_Formulas!A672</f>
        <v>0</v>
      </c>
      <c r="B676" s="7">
        <f>Calc_Formulas!AH672</f>
        <v>0</v>
      </c>
      <c r="C676" s="7">
        <f>Calc_Formulas!AI672</f>
        <v>0</v>
      </c>
      <c r="D676" s="7">
        <f>Calc_Formulas!AJ672</f>
        <v>0</v>
      </c>
      <c r="E676" s="6">
        <f>Calc_Formulas!AE672</f>
        <v>0</v>
      </c>
      <c r="F676" s="6">
        <f>Calc_Formulas!AF672</f>
        <v>0</v>
      </c>
      <c r="G676" s="6">
        <f>Calc_Formulas!AG672</f>
        <v>0</v>
      </c>
    </row>
    <row r="677" spans="1:7">
      <c r="A677" s="6">
        <f>Calc_Formulas!A673</f>
        <v>0</v>
      </c>
      <c r="B677" s="7">
        <f>Calc_Formulas!AH673</f>
        <v>0</v>
      </c>
      <c r="C677" s="7">
        <f>Calc_Formulas!AI673</f>
        <v>0</v>
      </c>
      <c r="D677" s="7">
        <f>Calc_Formulas!AJ673</f>
        <v>0</v>
      </c>
      <c r="E677" s="6">
        <f>Calc_Formulas!AE673</f>
        <v>0</v>
      </c>
      <c r="F677" s="6">
        <f>Calc_Formulas!AF673</f>
        <v>0</v>
      </c>
      <c r="G677" s="6">
        <f>Calc_Formulas!AG673</f>
        <v>0</v>
      </c>
    </row>
    <row r="678" spans="1:7">
      <c r="A678" s="6">
        <f>Calc_Formulas!A674</f>
        <v>0</v>
      </c>
      <c r="B678" s="7">
        <f>Calc_Formulas!AH674</f>
        <v>0</v>
      </c>
      <c r="C678" s="7">
        <f>Calc_Formulas!AI674</f>
        <v>0</v>
      </c>
      <c r="D678" s="7">
        <f>Calc_Formulas!AJ674</f>
        <v>0</v>
      </c>
      <c r="E678" s="6">
        <f>Calc_Formulas!AE674</f>
        <v>0</v>
      </c>
      <c r="F678" s="6">
        <f>Calc_Formulas!AF674</f>
        <v>0</v>
      </c>
      <c r="G678" s="6">
        <f>Calc_Formulas!AG674</f>
        <v>0</v>
      </c>
    </row>
    <row r="679" spans="1:7">
      <c r="A679" s="6">
        <f>Calc_Formulas!A675</f>
        <v>0</v>
      </c>
      <c r="B679" s="7">
        <f>Calc_Formulas!AH675</f>
        <v>0</v>
      </c>
      <c r="C679" s="7">
        <f>Calc_Formulas!AI675</f>
        <v>0</v>
      </c>
      <c r="D679" s="7">
        <f>Calc_Formulas!AJ675</f>
        <v>0</v>
      </c>
      <c r="E679" s="6">
        <f>Calc_Formulas!AE675</f>
        <v>0</v>
      </c>
      <c r="F679" s="6">
        <f>Calc_Formulas!AF675</f>
        <v>0</v>
      </c>
      <c r="G679" s="6">
        <f>Calc_Formulas!AG675</f>
        <v>0</v>
      </c>
    </row>
    <row r="680" spans="1:7">
      <c r="A680" s="6">
        <f>Calc_Formulas!A676</f>
        <v>0</v>
      </c>
      <c r="B680" s="7">
        <f>Calc_Formulas!AH676</f>
        <v>0</v>
      </c>
      <c r="C680" s="7">
        <f>Calc_Formulas!AI676</f>
        <v>0</v>
      </c>
      <c r="D680" s="7">
        <f>Calc_Formulas!AJ676</f>
        <v>0</v>
      </c>
      <c r="E680" s="6">
        <f>Calc_Formulas!AE676</f>
        <v>0</v>
      </c>
      <c r="F680" s="6">
        <f>Calc_Formulas!AF676</f>
        <v>0</v>
      </c>
      <c r="G680" s="6">
        <f>Calc_Formulas!AG676</f>
        <v>0</v>
      </c>
    </row>
    <row r="681" spans="1:7">
      <c r="A681" s="6">
        <f>Calc_Formulas!A677</f>
        <v>0</v>
      </c>
      <c r="B681" s="7">
        <f>Calc_Formulas!AH677</f>
        <v>0</v>
      </c>
      <c r="C681" s="7">
        <f>Calc_Formulas!AI677</f>
        <v>0</v>
      </c>
      <c r="D681" s="7">
        <f>Calc_Formulas!AJ677</f>
        <v>0</v>
      </c>
      <c r="E681" s="6">
        <f>Calc_Formulas!AE677</f>
        <v>0</v>
      </c>
      <c r="F681" s="6">
        <f>Calc_Formulas!AF677</f>
        <v>0</v>
      </c>
      <c r="G681" s="6">
        <f>Calc_Formulas!AG677</f>
        <v>0</v>
      </c>
    </row>
    <row r="682" spans="1:7">
      <c r="A682" s="6">
        <f>Calc_Formulas!A678</f>
        <v>0</v>
      </c>
      <c r="B682" s="7">
        <f>Calc_Formulas!AH678</f>
        <v>0</v>
      </c>
      <c r="C682" s="7">
        <f>Calc_Formulas!AI678</f>
        <v>0</v>
      </c>
      <c r="D682" s="7">
        <f>Calc_Formulas!AJ678</f>
        <v>0</v>
      </c>
      <c r="E682" s="6">
        <f>Calc_Formulas!AE678</f>
        <v>0</v>
      </c>
      <c r="F682" s="6">
        <f>Calc_Formulas!AF678</f>
        <v>0</v>
      </c>
      <c r="G682" s="6">
        <f>Calc_Formulas!AG678</f>
        <v>0</v>
      </c>
    </row>
    <row r="683" spans="1:7">
      <c r="A683" s="6">
        <f>Calc_Formulas!A679</f>
        <v>0</v>
      </c>
      <c r="B683" s="7">
        <f>Calc_Formulas!AH679</f>
        <v>0</v>
      </c>
      <c r="C683" s="7">
        <f>Calc_Formulas!AI679</f>
        <v>0</v>
      </c>
      <c r="D683" s="7">
        <f>Calc_Formulas!AJ679</f>
        <v>0</v>
      </c>
      <c r="E683" s="6">
        <f>Calc_Formulas!AE679</f>
        <v>0</v>
      </c>
      <c r="F683" s="6">
        <f>Calc_Formulas!AF679</f>
        <v>0</v>
      </c>
      <c r="G683" s="6">
        <f>Calc_Formulas!AG679</f>
        <v>0</v>
      </c>
    </row>
    <row r="684" spans="1:7">
      <c r="A684" s="6">
        <f>Calc_Formulas!A680</f>
        <v>0</v>
      </c>
      <c r="B684" s="7">
        <f>Calc_Formulas!AH680</f>
        <v>0</v>
      </c>
      <c r="C684" s="7">
        <f>Calc_Formulas!AI680</f>
        <v>0</v>
      </c>
      <c r="D684" s="7">
        <f>Calc_Formulas!AJ680</f>
        <v>0</v>
      </c>
      <c r="E684" s="6">
        <f>Calc_Formulas!AE680</f>
        <v>0</v>
      </c>
      <c r="F684" s="6">
        <f>Calc_Formulas!AF680</f>
        <v>0</v>
      </c>
      <c r="G684" s="6">
        <f>Calc_Formulas!AG680</f>
        <v>0</v>
      </c>
    </row>
    <row r="685" spans="1:7">
      <c r="A685" s="6">
        <f>Calc_Formulas!A681</f>
        <v>0</v>
      </c>
      <c r="B685" s="7">
        <f>Calc_Formulas!AH681</f>
        <v>0</v>
      </c>
      <c r="C685" s="7">
        <f>Calc_Formulas!AI681</f>
        <v>0</v>
      </c>
      <c r="D685" s="7">
        <f>Calc_Formulas!AJ681</f>
        <v>0</v>
      </c>
      <c r="E685" s="6">
        <f>Calc_Formulas!AE681</f>
        <v>0</v>
      </c>
      <c r="F685" s="6">
        <f>Calc_Formulas!AF681</f>
        <v>0</v>
      </c>
      <c r="G685" s="6">
        <f>Calc_Formulas!AG681</f>
        <v>0</v>
      </c>
    </row>
    <row r="686" spans="1:7">
      <c r="A686" s="6">
        <f>Calc_Formulas!A682</f>
        <v>0</v>
      </c>
      <c r="B686" s="7">
        <f>Calc_Formulas!AH682</f>
        <v>0</v>
      </c>
      <c r="C686" s="7">
        <f>Calc_Formulas!AI682</f>
        <v>0</v>
      </c>
      <c r="D686" s="7">
        <f>Calc_Formulas!AJ682</f>
        <v>0</v>
      </c>
      <c r="E686" s="6">
        <f>Calc_Formulas!AE682</f>
        <v>0</v>
      </c>
      <c r="F686" s="6">
        <f>Calc_Formulas!AF682</f>
        <v>0</v>
      </c>
      <c r="G686" s="6">
        <f>Calc_Formulas!AG682</f>
        <v>0</v>
      </c>
    </row>
    <row r="687" spans="1:7">
      <c r="A687" s="6">
        <f>Calc_Formulas!A683</f>
        <v>0</v>
      </c>
      <c r="B687" s="7">
        <f>Calc_Formulas!AH683</f>
        <v>0</v>
      </c>
      <c r="C687" s="7">
        <f>Calc_Formulas!AI683</f>
        <v>0</v>
      </c>
      <c r="D687" s="7">
        <f>Calc_Formulas!AJ683</f>
        <v>0</v>
      </c>
      <c r="E687" s="6">
        <f>Calc_Formulas!AE683</f>
        <v>0</v>
      </c>
      <c r="F687" s="6">
        <f>Calc_Formulas!AF683</f>
        <v>0</v>
      </c>
      <c r="G687" s="6">
        <f>Calc_Formulas!AG683</f>
        <v>0</v>
      </c>
    </row>
    <row r="688" spans="1:7">
      <c r="A688" s="6">
        <f>Calc_Formulas!A684</f>
        <v>0</v>
      </c>
      <c r="B688" s="7">
        <f>Calc_Formulas!AH684</f>
        <v>0</v>
      </c>
      <c r="C688" s="7">
        <f>Calc_Formulas!AI684</f>
        <v>0</v>
      </c>
      <c r="D688" s="7">
        <f>Calc_Formulas!AJ684</f>
        <v>0</v>
      </c>
      <c r="E688" s="6">
        <f>Calc_Formulas!AE684</f>
        <v>0</v>
      </c>
      <c r="F688" s="6">
        <f>Calc_Formulas!AF684</f>
        <v>0</v>
      </c>
      <c r="G688" s="6">
        <f>Calc_Formulas!AG684</f>
        <v>0</v>
      </c>
    </row>
    <row r="689" spans="1:7">
      <c r="A689" s="6">
        <f>Calc_Formulas!A685</f>
        <v>0</v>
      </c>
      <c r="B689" s="7">
        <f>Calc_Formulas!AH685</f>
        <v>0</v>
      </c>
      <c r="C689" s="7">
        <f>Calc_Formulas!AI685</f>
        <v>0</v>
      </c>
      <c r="D689" s="7">
        <f>Calc_Formulas!AJ685</f>
        <v>0</v>
      </c>
      <c r="E689" s="6">
        <f>Calc_Formulas!AE685</f>
        <v>0</v>
      </c>
      <c r="F689" s="6">
        <f>Calc_Formulas!AF685</f>
        <v>0</v>
      </c>
      <c r="G689" s="6">
        <f>Calc_Formulas!AG685</f>
        <v>0</v>
      </c>
    </row>
    <row r="690" spans="1:7">
      <c r="A690" s="6">
        <f>Calc_Formulas!A686</f>
        <v>0</v>
      </c>
      <c r="B690" s="7">
        <f>Calc_Formulas!AH686</f>
        <v>0</v>
      </c>
      <c r="C690" s="7">
        <f>Calc_Formulas!AI686</f>
        <v>0</v>
      </c>
      <c r="D690" s="7">
        <f>Calc_Formulas!AJ686</f>
        <v>0</v>
      </c>
      <c r="E690" s="6">
        <f>Calc_Formulas!AE686</f>
        <v>0</v>
      </c>
      <c r="F690" s="6">
        <f>Calc_Formulas!AF686</f>
        <v>0</v>
      </c>
      <c r="G690" s="6">
        <f>Calc_Formulas!AG686</f>
        <v>0</v>
      </c>
    </row>
    <row r="691" spans="1:7">
      <c r="A691" s="6">
        <f>Calc_Formulas!A687</f>
        <v>0</v>
      </c>
      <c r="B691" s="7">
        <f>Calc_Formulas!AH687</f>
        <v>0</v>
      </c>
      <c r="C691" s="7">
        <f>Calc_Formulas!AI687</f>
        <v>0</v>
      </c>
      <c r="D691" s="7">
        <f>Calc_Formulas!AJ687</f>
        <v>0</v>
      </c>
      <c r="E691" s="6">
        <f>Calc_Formulas!AE687</f>
        <v>0</v>
      </c>
      <c r="F691" s="6">
        <f>Calc_Formulas!AF687</f>
        <v>0</v>
      </c>
      <c r="G691" s="6">
        <f>Calc_Formulas!AG687</f>
        <v>0</v>
      </c>
    </row>
    <row r="692" spans="1:7">
      <c r="A692" s="6">
        <f>Calc_Formulas!A688</f>
        <v>0</v>
      </c>
      <c r="B692" s="7">
        <f>Calc_Formulas!AH688</f>
        <v>0</v>
      </c>
      <c r="C692" s="7">
        <f>Calc_Formulas!AI688</f>
        <v>0</v>
      </c>
      <c r="D692" s="7">
        <f>Calc_Formulas!AJ688</f>
        <v>0</v>
      </c>
      <c r="E692" s="6">
        <f>Calc_Formulas!AE688</f>
        <v>0</v>
      </c>
      <c r="F692" s="6">
        <f>Calc_Formulas!AF688</f>
        <v>0</v>
      </c>
      <c r="G692" s="6">
        <f>Calc_Formulas!AG688</f>
        <v>0</v>
      </c>
    </row>
    <row r="693" spans="1:7">
      <c r="A693" s="6">
        <f>Calc_Formulas!A689</f>
        <v>0</v>
      </c>
      <c r="B693" s="7">
        <f>Calc_Formulas!AH689</f>
        <v>0</v>
      </c>
      <c r="C693" s="7">
        <f>Calc_Formulas!AI689</f>
        <v>0</v>
      </c>
      <c r="D693" s="7">
        <f>Calc_Formulas!AJ689</f>
        <v>0</v>
      </c>
      <c r="E693" s="6">
        <f>Calc_Formulas!AE689</f>
        <v>0</v>
      </c>
      <c r="F693" s="6">
        <f>Calc_Formulas!AF689</f>
        <v>0</v>
      </c>
      <c r="G693" s="6">
        <f>Calc_Formulas!AG689</f>
        <v>0</v>
      </c>
    </row>
    <row r="694" spans="1:7">
      <c r="A694" s="6">
        <f>Calc_Formulas!A690</f>
        <v>0</v>
      </c>
      <c r="B694" s="7">
        <f>Calc_Formulas!AH690</f>
        <v>0</v>
      </c>
      <c r="C694" s="7">
        <f>Calc_Formulas!AI690</f>
        <v>0</v>
      </c>
      <c r="D694" s="7">
        <f>Calc_Formulas!AJ690</f>
        <v>0</v>
      </c>
      <c r="E694" s="6">
        <f>Calc_Formulas!AE690</f>
        <v>0</v>
      </c>
      <c r="F694" s="6">
        <f>Calc_Formulas!AF690</f>
        <v>0</v>
      </c>
      <c r="G694" s="6">
        <f>Calc_Formulas!AG690</f>
        <v>0</v>
      </c>
    </row>
    <row r="695" spans="1:7">
      <c r="A695" s="6">
        <f>Calc_Formulas!A691</f>
        <v>0</v>
      </c>
      <c r="B695" s="7">
        <f>Calc_Formulas!AH691</f>
        <v>0</v>
      </c>
      <c r="C695" s="7">
        <f>Calc_Formulas!AI691</f>
        <v>0</v>
      </c>
      <c r="D695" s="7">
        <f>Calc_Formulas!AJ691</f>
        <v>0</v>
      </c>
      <c r="E695" s="6">
        <f>Calc_Formulas!AE691</f>
        <v>0</v>
      </c>
      <c r="F695" s="6">
        <f>Calc_Formulas!AF691</f>
        <v>0</v>
      </c>
      <c r="G695" s="6">
        <f>Calc_Formulas!AG691</f>
        <v>0</v>
      </c>
    </row>
    <row r="696" spans="1:7">
      <c r="A696" s="6">
        <f>Calc_Formulas!A692</f>
        <v>0</v>
      </c>
      <c r="B696" s="7">
        <f>Calc_Formulas!AH692</f>
        <v>0</v>
      </c>
      <c r="C696" s="7">
        <f>Calc_Formulas!AI692</f>
        <v>0</v>
      </c>
      <c r="D696" s="7">
        <f>Calc_Formulas!AJ692</f>
        <v>0</v>
      </c>
      <c r="E696" s="6">
        <f>Calc_Formulas!AE692</f>
        <v>0</v>
      </c>
      <c r="F696" s="6">
        <f>Calc_Formulas!AF692</f>
        <v>0</v>
      </c>
      <c r="G696" s="6">
        <f>Calc_Formulas!AG692</f>
        <v>0</v>
      </c>
    </row>
    <row r="697" spans="1:7">
      <c r="A697" s="6">
        <f>Calc_Formulas!A693</f>
        <v>0</v>
      </c>
      <c r="B697" s="7">
        <f>Calc_Formulas!AH693</f>
        <v>0</v>
      </c>
      <c r="C697" s="7">
        <f>Calc_Formulas!AI693</f>
        <v>0</v>
      </c>
      <c r="D697" s="7">
        <f>Calc_Formulas!AJ693</f>
        <v>0</v>
      </c>
      <c r="E697" s="6">
        <f>Calc_Formulas!AE693</f>
        <v>0</v>
      </c>
      <c r="F697" s="6">
        <f>Calc_Formulas!AF693</f>
        <v>0</v>
      </c>
      <c r="G697" s="6">
        <f>Calc_Formulas!AG693</f>
        <v>0</v>
      </c>
    </row>
    <row r="698" spans="1:7">
      <c r="A698" s="6">
        <f>Calc_Formulas!A694</f>
        <v>0</v>
      </c>
      <c r="B698" s="7">
        <f>Calc_Formulas!AH694</f>
        <v>0</v>
      </c>
      <c r="C698" s="7">
        <f>Calc_Formulas!AI694</f>
        <v>0</v>
      </c>
      <c r="D698" s="7">
        <f>Calc_Formulas!AJ694</f>
        <v>0</v>
      </c>
      <c r="E698" s="6">
        <f>Calc_Formulas!AE694</f>
        <v>0</v>
      </c>
      <c r="F698" s="6">
        <f>Calc_Formulas!AF694</f>
        <v>0</v>
      </c>
      <c r="G698" s="6">
        <f>Calc_Formulas!AG694</f>
        <v>0</v>
      </c>
    </row>
    <row r="699" spans="1:7">
      <c r="A699" s="6">
        <f>Calc_Formulas!A695</f>
        <v>0</v>
      </c>
      <c r="B699" s="7">
        <f>Calc_Formulas!AH695</f>
        <v>0</v>
      </c>
      <c r="C699" s="7">
        <f>Calc_Formulas!AI695</f>
        <v>0</v>
      </c>
      <c r="D699" s="7">
        <f>Calc_Formulas!AJ695</f>
        <v>0</v>
      </c>
      <c r="E699" s="6">
        <f>Calc_Formulas!AE695</f>
        <v>0</v>
      </c>
      <c r="F699" s="6">
        <f>Calc_Formulas!AF695</f>
        <v>0</v>
      </c>
      <c r="G699" s="6">
        <f>Calc_Formulas!AG695</f>
        <v>0</v>
      </c>
    </row>
    <row r="700" spans="1:7">
      <c r="A700" s="6">
        <f>Calc_Formulas!A696</f>
        <v>0</v>
      </c>
      <c r="B700" s="7">
        <f>Calc_Formulas!AH696</f>
        <v>0</v>
      </c>
      <c r="C700" s="7">
        <f>Calc_Formulas!AI696</f>
        <v>0</v>
      </c>
      <c r="D700" s="7">
        <f>Calc_Formulas!AJ696</f>
        <v>0</v>
      </c>
      <c r="E700" s="6">
        <f>Calc_Formulas!AE696</f>
        <v>0</v>
      </c>
      <c r="F700" s="6">
        <f>Calc_Formulas!AF696</f>
        <v>0</v>
      </c>
      <c r="G700" s="6">
        <f>Calc_Formulas!AG696</f>
        <v>0</v>
      </c>
    </row>
    <row r="701" spans="1:7">
      <c r="A701" s="6">
        <f>Calc_Formulas!A697</f>
        <v>0</v>
      </c>
      <c r="B701" s="7">
        <f>Calc_Formulas!AH697</f>
        <v>0</v>
      </c>
      <c r="C701" s="7">
        <f>Calc_Formulas!AI697</f>
        <v>0</v>
      </c>
      <c r="D701" s="7">
        <f>Calc_Formulas!AJ697</f>
        <v>0</v>
      </c>
      <c r="E701" s="6">
        <f>Calc_Formulas!AE697</f>
        <v>0</v>
      </c>
      <c r="F701" s="6">
        <f>Calc_Formulas!AF697</f>
        <v>0</v>
      </c>
      <c r="G701" s="6">
        <f>Calc_Formulas!AG697</f>
        <v>0</v>
      </c>
    </row>
    <row r="702" spans="1:7">
      <c r="A702" s="6">
        <f>Calc_Formulas!A698</f>
        <v>0</v>
      </c>
      <c r="B702" s="7">
        <f>Calc_Formulas!AH698</f>
        <v>0</v>
      </c>
      <c r="C702" s="7">
        <f>Calc_Formulas!AI698</f>
        <v>0</v>
      </c>
      <c r="D702" s="7">
        <f>Calc_Formulas!AJ698</f>
        <v>0</v>
      </c>
      <c r="E702" s="6">
        <f>Calc_Formulas!AE698</f>
        <v>0</v>
      </c>
      <c r="F702" s="6">
        <f>Calc_Formulas!AF698</f>
        <v>0</v>
      </c>
      <c r="G702" s="6">
        <f>Calc_Formulas!AG698</f>
        <v>0</v>
      </c>
    </row>
    <row r="703" spans="1:7">
      <c r="A703" s="6">
        <f>Calc_Formulas!A699</f>
        <v>0</v>
      </c>
      <c r="B703" s="7">
        <f>Calc_Formulas!AH699</f>
        <v>0</v>
      </c>
      <c r="C703" s="7">
        <f>Calc_Formulas!AI699</f>
        <v>0</v>
      </c>
      <c r="D703" s="7">
        <f>Calc_Formulas!AJ699</f>
        <v>0</v>
      </c>
      <c r="E703" s="6">
        <f>Calc_Formulas!AE699</f>
        <v>0</v>
      </c>
      <c r="F703" s="6">
        <f>Calc_Formulas!AF699</f>
        <v>0</v>
      </c>
      <c r="G703" s="6">
        <f>Calc_Formulas!AG699</f>
        <v>0</v>
      </c>
    </row>
    <row r="704" spans="1:7">
      <c r="A704" s="6">
        <f>Calc_Formulas!A700</f>
        <v>0</v>
      </c>
      <c r="B704" s="7">
        <f>Calc_Formulas!AH700</f>
        <v>0</v>
      </c>
      <c r="C704" s="7">
        <f>Calc_Formulas!AI700</f>
        <v>0</v>
      </c>
      <c r="D704" s="7">
        <f>Calc_Formulas!AJ700</f>
        <v>0</v>
      </c>
      <c r="E704" s="6">
        <f>Calc_Formulas!AE700</f>
        <v>0</v>
      </c>
      <c r="F704" s="6">
        <f>Calc_Formulas!AF700</f>
        <v>0</v>
      </c>
      <c r="G704" s="6">
        <f>Calc_Formulas!AG700</f>
        <v>0</v>
      </c>
    </row>
    <row r="705" spans="1:7">
      <c r="A705" s="6">
        <f>Calc_Formulas!A701</f>
        <v>0</v>
      </c>
      <c r="B705" s="7">
        <f>Calc_Formulas!AH701</f>
        <v>0</v>
      </c>
      <c r="C705" s="7">
        <f>Calc_Formulas!AI701</f>
        <v>0</v>
      </c>
      <c r="D705" s="7">
        <f>Calc_Formulas!AJ701</f>
        <v>0</v>
      </c>
      <c r="E705" s="6">
        <f>Calc_Formulas!AE701</f>
        <v>0</v>
      </c>
      <c r="F705" s="6">
        <f>Calc_Formulas!AF701</f>
        <v>0</v>
      </c>
      <c r="G705" s="6">
        <f>Calc_Formulas!AG701</f>
        <v>0</v>
      </c>
    </row>
    <row r="706" spans="1:7">
      <c r="A706" s="6">
        <f>Calc_Formulas!A702</f>
        <v>0</v>
      </c>
      <c r="B706" s="7">
        <f>Calc_Formulas!AH702</f>
        <v>0</v>
      </c>
      <c r="C706" s="7">
        <f>Calc_Formulas!AI702</f>
        <v>0</v>
      </c>
      <c r="D706" s="7">
        <f>Calc_Formulas!AJ702</f>
        <v>0</v>
      </c>
      <c r="E706" s="6">
        <f>Calc_Formulas!AE702</f>
        <v>0</v>
      </c>
      <c r="F706" s="6">
        <f>Calc_Formulas!AF702</f>
        <v>0</v>
      </c>
      <c r="G706" s="6">
        <f>Calc_Formulas!AG702</f>
        <v>0</v>
      </c>
    </row>
    <row r="707" spans="1:7">
      <c r="A707" s="6">
        <f>Calc_Formulas!A703</f>
        <v>0</v>
      </c>
      <c r="B707" s="7">
        <f>Calc_Formulas!AH703</f>
        <v>0</v>
      </c>
      <c r="C707" s="7">
        <f>Calc_Formulas!AI703</f>
        <v>0</v>
      </c>
      <c r="D707" s="7">
        <f>Calc_Formulas!AJ703</f>
        <v>0</v>
      </c>
      <c r="E707" s="6">
        <f>Calc_Formulas!AE703</f>
        <v>0</v>
      </c>
      <c r="F707" s="6">
        <f>Calc_Formulas!AF703</f>
        <v>0</v>
      </c>
      <c r="G707" s="6">
        <f>Calc_Formulas!AG703</f>
        <v>0</v>
      </c>
    </row>
    <row r="708" spans="1:7">
      <c r="A708" s="6">
        <f>Calc_Formulas!A704</f>
        <v>0</v>
      </c>
      <c r="B708" s="7">
        <f>Calc_Formulas!AH704</f>
        <v>0</v>
      </c>
      <c r="C708" s="7">
        <f>Calc_Formulas!AI704</f>
        <v>0</v>
      </c>
      <c r="D708" s="7">
        <f>Calc_Formulas!AJ704</f>
        <v>0</v>
      </c>
      <c r="E708" s="6">
        <f>Calc_Formulas!AE704</f>
        <v>0</v>
      </c>
      <c r="F708" s="6">
        <f>Calc_Formulas!AF704</f>
        <v>0</v>
      </c>
      <c r="G708" s="6">
        <f>Calc_Formulas!AG704</f>
        <v>0</v>
      </c>
    </row>
    <row r="709" spans="1:7">
      <c r="A709" s="6">
        <f>Calc_Formulas!A705</f>
        <v>0</v>
      </c>
      <c r="B709" s="7">
        <f>Calc_Formulas!AH705</f>
        <v>0</v>
      </c>
      <c r="C709" s="7">
        <f>Calc_Formulas!AI705</f>
        <v>0</v>
      </c>
      <c r="D709" s="7">
        <f>Calc_Formulas!AJ705</f>
        <v>0</v>
      </c>
      <c r="E709" s="6">
        <f>Calc_Formulas!AE705</f>
        <v>0</v>
      </c>
      <c r="F709" s="6">
        <f>Calc_Formulas!AF705</f>
        <v>0</v>
      </c>
      <c r="G709" s="6">
        <f>Calc_Formulas!AG705</f>
        <v>0</v>
      </c>
    </row>
    <row r="710" spans="1:7">
      <c r="A710" s="6">
        <f>Calc_Formulas!A706</f>
        <v>0</v>
      </c>
      <c r="B710" s="7">
        <f>Calc_Formulas!AH706</f>
        <v>0</v>
      </c>
      <c r="C710" s="7">
        <f>Calc_Formulas!AI706</f>
        <v>0</v>
      </c>
      <c r="D710" s="7">
        <f>Calc_Formulas!AJ706</f>
        <v>0</v>
      </c>
      <c r="E710" s="6">
        <f>Calc_Formulas!AE706</f>
        <v>0</v>
      </c>
      <c r="F710" s="6">
        <f>Calc_Formulas!AF706</f>
        <v>0</v>
      </c>
      <c r="G710" s="6">
        <f>Calc_Formulas!AG706</f>
        <v>0</v>
      </c>
    </row>
    <row r="711" spans="1:7">
      <c r="A711" s="6">
        <f>Calc_Formulas!A707</f>
        <v>0</v>
      </c>
      <c r="B711" s="7">
        <f>Calc_Formulas!AH707</f>
        <v>0</v>
      </c>
      <c r="C711" s="7">
        <f>Calc_Formulas!AI707</f>
        <v>0</v>
      </c>
      <c r="D711" s="7">
        <f>Calc_Formulas!AJ707</f>
        <v>0</v>
      </c>
      <c r="E711" s="6">
        <f>Calc_Formulas!AE707</f>
        <v>0</v>
      </c>
      <c r="F711" s="6">
        <f>Calc_Formulas!AF707</f>
        <v>0</v>
      </c>
      <c r="G711" s="6">
        <f>Calc_Formulas!AG707</f>
        <v>0</v>
      </c>
    </row>
    <row r="712" spans="1:7">
      <c r="A712" s="6">
        <f>Calc_Formulas!A708</f>
        <v>0</v>
      </c>
      <c r="B712" s="7">
        <f>Calc_Formulas!AH708</f>
        <v>0</v>
      </c>
      <c r="C712" s="7">
        <f>Calc_Formulas!AI708</f>
        <v>0</v>
      </c>
      <c r="D712" s="7">
        <f>Calc_Formulas!AJ708</f>
        <v>0</v>
      </c>
      <c r="E712" s="6">
        <f>Calc_Formulas!AE708</f>
        <v>0</v>
      </c>
      <c r="F712" s="6">
        <f>Calc_Formulas!AF708</f>
        <v>0</v>
      </c>
      <c r="G712" s="6">
        <f>Calc_Formulas!AG708</f>
        <v>0</v>
      </c>
    </row>
    <row r="713" spans="1:7">
      <c r="A713" s="6">
        <f>Calc_Formulas!A709</f>
        <v>0</v>
      </c>
      <c r="B713" s="7">
        <f>Calc_Formulas!AH709</f>
        <v>0</v>
      </c>
      <c r="C713" s="7">
        <f>Calc_Formulas!AI709</f>
        <v>0</v>
      </c>
      <c r="D713" s="7">
        <f>Calc_Formulas!AJ709</f>
        <v>0</v>
      </c>
      <c r="E713" s="6">
        <f>Calc_Formulas!AE709</f>
        <v>0</v>
      </c>
      <c r="F713" s="6">
        <f>Calc_Formulas!AF709</f>
        <v>0</v>
      </c>
      <c r="G713" s="6">
        <f>Calc_Formulas!AG709</f>
        <v>0</v>
      </c>
    </row>
    <row r="714" spans="1:7">
      <c r="A714" s="6">
        <f>Calc_Formulas!A710</f>
        <v>0</v>
      </c>
      <c r="B714" s="7">
        <f>Calc_Formulas!AH710</f>
        <v>0</v>
      </c>
      <c r="C714" s="7">
        <f>Calc_Formulas!AI710</f>
        <v>0</v>
      </c>
      <c r="D714" s="7">
        <f>Calc_Formulas!AJ710</f>
        <v>0</v>
      </c>
      <c r="E714" s="6">
        <f>Calc_Formulas!AE710</f>
        <v>0</v>
      </c>
      <c r="F714" s="6">
        <f>Calc_Formulas!AF710</f>
        <v>0</v>
      </c>
      <c r="G714" s="6">
        <f>Calc_Formulas!AG710</f>
        <v>0</v>
      </c>
    </row>
    <row r="715" spans="1:7">
      <c r="A715" s="6">
        <f>Calc_Formulas!A711</f>
        <v>0</v>
      </c>
      <c r="B715" s="7">
        <f>Calc_Formulas!AH711</f>
        <v>0</v>
      </c>
      <c r="C715" s="7">
        <f>Calc_Formulas!AI711</f>
        <v>0</v>
      </c>
      <c r="D715" s="7">
        <f>Calc_Formulas!AJ711</f>
        <v>0</v>
      </c>
      <c r="E715" s="6">
        <f>Calc_Formulas!AE711</f>
        <v>0</v>
      </c>
      <c r="F715" s="6">
        <f>Calc_Formulas!AF711</f>
        <v>0</v>
      </c>
      <c r="G715" s="6">
        <f>Calc_Formulas!AG711</f>
        <v>0</v>
      </c>
    </row>
    <row r="716" spans="1:7">
      <c r="A716" s="6">
        <f>Calc_Formulas!A712</f>
        <v>0</v>
      </c>
      <c r="B716" s="7">
        <f>Calc_Formulas!AH712</f>
        <v>0</v>
      </c>
      <c r="C716" s="7">
        <f>Calc_Formulas!AI712</f>
        <v>0</v>
      </c>
      <c r="D716" s="7">
        <f>Calc_Formulas!AJ712</f>
        <v>0</v>
      </c>
      <c r="E716" s="6">
        <f>Calc_Formulas!AE712</f>
        <v>0</v>
      </c>
      <c r="F716" s="6">
        <f>Calc_Formulas!AF712</f>
        <v>0</v>
      </c>
      <c r="G716" s="6">
        <f>Calc_Formulas!AG712</f>
        <v>0</v>
      </c>
    </row>
    <row r="717" spans="1:7">
      <c r="A717" s="6">
        <f>Calc_Formulas!A713</f>
        <v>0</v>
      </c>
      <c r="B717" s="7">
        <f>Calc_Formulas!AH713</f>
        <v>0</v>
      </c>
      <c r="C717" s="7">
        <f>Calc_Formulas!AI713</f>
        <v>0</v>
      </c>
      <c r="D717" s="7">
        <f>Calc_Formulas!AJ713</f>
        <v>0</v>
      </c>
      <c r="E717" s="6">
        <f>Calc_Formulas!AE713</f>
        <v>0</v>
      </c>
      <c r="F717" s="6">
        <f>Calc_Formulas!AF713</f>
        <v>0</v>
      </c>
      <c r="G717" s="6">
        <f>Calc_Formulas!AG713</f>
        <v>0</v>
      </c>
    </row>
    <row r="718" spans="1:7">
      <c r="A718" s="6">
        <f>Calc_Formulas!A714</f>
        <v>0</v>
      </c>
      <c r="B718" s="7">
        <f>Calc_Formulas!AH714</f>
        <v>0</v>
      </c>
      <c r="C718" s="7">
        <f>Calc_Formulas!AI714</f>
        <v>0</v>
      </c>
      <c r="D718" s="7">
        <f>Calc_Formulas!AJ714</f>
        <v>0</v>
      </c>
      <c r="E718" s="6">
        <f>Calc_Formulas!AE714</f>
        <v>0</v>
      </c>
      <c r="F718" s="6">
        <f>Calc_Formulas!AF714</f>
        <v>0</v>
      </c>
      <c r="G718" s="6">
        <f>Calc_Formulas!AG714</f>
        <v>0</v>
      </c>
    </row>
    <row r="719" spans="1:7">
      <c r="A719" s="6">
        <f>Calc_Formulas!A715</f>
        <v>0</v>
      </c>
      <c r="B719" s="7">
        <f>Calc_Formulas!AH715</f>
        <v>0</v>
      </c>
      <c r="C719" s="7">
        <f>Calc_Formulas!AI715</f>
        <v>0</v>
      </c>
      <c r="D719" s="7">
        <f>Calc_Formulas!AJ715</f>
        <v>0</v>
      </c>
      <c r="E719" s="6">
        <f>Calc_Formulas!AE715</f>
        <v>0</v>
      </c>
      <c r="F719" s="6">
        <f>Calc_Formulas!AF715</f>
        <v>0</v>
      </c>
      <c r="G719" s="6">
        <f>Calc_Formulas!AG715</f>
        <v>0</v>
      </c>
    </row>
    <row r="720" spans="1:7">
      <c r="A720" s="6">
        <f>Calc_Formulas!A716</f>
        <v>0</v>
      </c>
      <c r="B720" s="7">
        <f>Calc_Formulas!AH716</f>
        <v>0</v>
      </c>
      <c r="C720" s="7">
        <f>Calc_Formulas!AI716</f>
        <v>0</v>
      </c>
      <c r="D720" s="7">
        <f>Calc_Formulas!AJ716</f>
        <v>0</v>
      </c>
      <c r="E720" s="6">
        <f>Calc_Formulas!AE716</f>
        <v>0</v>
      </c>
      <c r="F720" s="6">
        <f>Calc_Formulas!AF716</f>
        <v>0</v>
      </c>
      <c r="G720" s="6">
        <f>Calc_Formulas!AG716</f>
        <v>0</v>
      </c>
    </row>
    <row r="721" spans="1:7">
      <c r="A721" s="6">
        <f>Calc_Formulas!A717</f>
        <v>0</v>
      </c>
      <c r="B721" s="7">
        <f>Calc_Formulas!AH717</f>
        <v>0</v>
      </c>
      <c r="C721" s="7">
        <f>Calc_Formulas!AI717</f>
        <v>0</v>
      </c>
      <c r="D721" s="7">
        <f>Calc_Formulas!AJ717</f>
        <v>0</v>
      </c>
      <c r="E721" s="6">
        <f>Calc_Formulas!AE717</f>
        <v>0</v>
      </c>
      <c r="F721" s="6">
        <f>Calc_Formulas!AF717</f>
        <v>0</v>
      </c>
      <c r="G721" s="6">
        <f>Calc_Formulas!AG717</f>
        <v>0</v>
      </c>
    </row>
    <row r="722" spans="1:7">
      <c r="A722" s="6">
        <f>Calc_Formulas!A718</f>
        <v>0</v>
      </c>
      <c r="B722" s="7">
        <f>Calc_Formulas!AH718</f>
        <v>0</v>
      </c>
      <c r="C722" s="7">
        <f>Calc_Formulas!AI718</f>
        <v>0</v>
      </c>
      <c r="D722" s="7">
        <f>Calc_Formulas!AJ718</f>
        <v>0</v>
      </c>
      <c r="E722" s="6">
        <f>Calc_Formulas!AE718</f>
        <v>0</v>
      </c>
      <c r="F722" s="6">
        <f>Calc_Formulas!AF718</f>
        <v>0</v>
      </c>
      <c r="G722" s="6">
        <f>Calc_Formulas!AG718</f>
        <v>0</v>
      </c>
    </row>
    <row r="723" spans="1:7">
      <c r="A723" s="6">
        <f>Calc_Formulas!A719</f>
        <v>0</v>
      </c>
      <c r="B723" s="7">
        <f>Calc_Formulas!AH719</f>
        <v>0</v>
      </c>
      <c r="C723" s="7">
        <f>Calc_Formulas!AI719</f>
        <v>0</v>
      </c>
      <c r="D723" s="7">
        <f>Calc_Formulas!AJ719</f>
        <v>0</v>
      </c>
      <c r="E723" s="6">
        <f>Calc_Formulas!AE719</f>
        <v>0</v>
      </c>
      <c r="F723" s="6">
        <f>Calc_Formulas!AF719</f>
        <v>0</v>
      </c>
      <c r="G723" s="6">
        <f>Calc_Formulas!AG719</f>
        <v>0</v>
      </c>
    </row>
    <row r="724" spans="1:7">
      <c r="A724" s="6">
        <f>Calc_Formulas!A720</f>
        <v>0</v>
      </c>
      <c r="B724" s="7">
        <f>Calc_Formulas!AH720</f>
        <v>0</v>
      </c>
      <c r="C724" s="7">
        <f>Calc_Formulas!AI720</f>
        <v>0</v>
      </c>
      <c r="D724" s="7">
        <f>Calc_Formulas!AJ720</f>
        <v>0</v>
      </c>
      <c r="E724" s="6">
        <f>Calc_Formulas!AE720</f>
        <v>0</v>
      </c>
      <c r="F724" s="6">
        <f>Calc_Formulas!AF720</f>
        <v>0</v>
      </c>
      <c r="G724" s="6">
        <f>Calc_Formulas!AG720</f>
        <v>0</v>
      </c>
    </row>
    <row r="725" spans="1:7">
      <c r="A725" s="6">
        <f>Calc_Formulas!A721</f>
        <v>0</v>
      </c>
      <c r="B725" s="7">
        <f>Calc_Formulas!AH721</f>
        <v>0</v>
      </c>
      <c r="C725" s="7">
        <f>Calc_Formulas!AI721</f>
        <v>0</v>
      </c>
      <c r="D725" s="7">
        <f>Calc_Formulas!AJ721</f>
        <v>0</v>
      </c>
      <c r="E725" s="6">
        <f>Calc_Formulas!AE721</f>
        <v>0</v>
      </c>
      <c r="F725" s="6">
        <f>Calc_Formulas!AF721</f>
        <v>0</v>
      </c>
      <c r="G725" s="6">
        <f>Calc_Formulas!AG721</f>
        <v>0</v>
      </c>
    </row>
    <row r="726" spans="1:7">
      <c r="A726" s="6">
        <f>Calc_Formulas!A722</f>
        <v>0</v>
      </c>
      <c r="B726" s="7">
        <f>Calc_Formulas!AH722</f>
        <v>0</v>
      </c>
      <c r="C726" s="7">
        <f>Calc_Formulas!AI722</f>
        <v>0</v>
      </c>
      <c r="D726" s="7">
        <f>Calc_Formulas!AJ722</f>
        <v>0</v>
      </c>
      <c r="E726" s="6">
        <f>Calc_Formulas!AE722</f>
        <v>0</v>
      </c>
      <c r="F726" s="6">
        <f>Calc_Formulas!AF722</f>
        <v>0</v>
      </c>
      <c r="G726" s="6">
        <f>Calc_Formulas!AG722</f>
        <v>0</v>
      </c>
    </row>
    <row r="727" spans="1:7">
      <c r="A727" s="6">
        <f>Calc_Formulas!A723</f>
        <v>0</v>
      </c>
      <c r="B727" s="7">
        <f>Calc_Formulas!AH723</f>
        <v>0</v>
      </c>
      <c r="C727" s="7">
        <f>Calc_Formulas!AI723</f>
        <v>0</v>
      </c>
      <c r="D727" s="7">
        <f>Calc_Formulas!AJ723</f>
        <v>0</v>
      </c>
      <c r="E727" s="6">
        <f>Calc_Formulas!AE723</f>
        <v>0</v>
      </c>
      <c r="F727" s="6">
        <f>Calc_Formulas!AF723</f>
        <v>0</v>
      </c>
      <c r="G727" s="6">
        <f>Calc_Formulas!AG723</f>
        <v>0</v>
      </c>
    </row>
    <row r="728" spans="1:7">
      <c r="A728" s="6">
        <f>Calc_Formulas!A724</f>
        <v>0</v>
      </c>
      <c r="B728" s="7">
        <f>Calc_Formulas!AH724</f>
        <v>0</v>
      </c>
      <c r="C728" s="7">
        <f>Calc_Formulas!AI724</f>
        <v>0</v>
      </c>
      <c r="D728" s="7">
        <f>Calc_Formulas!AJ724</f>
        <v>0</v>
      </c>
      <c r="E728" s="6">
        <f>Calc_Formulas!AE724</f>
        <v>0</v>
      </c>
      <c r="F728" s="6">
        <f>Calc_Formulas!AF724</f>
        <v>0</v>
      </c>
      <c r="G728" s="6">
        <f>Calc_Formulas!AG724</f>
        <v>0</v>
      </c>
    </row>
    <row r="729" spans="1:7">
      <c r="A729" s="6">
        <f>Calc_Formulas!A725</f>
        <v>0</v>
      </c>
      <c r="B729" s="7">
        <f>Calc_Formulas!AH725</f>
        <v>0</v>
      </c>
      <c r="C729" s="7">
        <f>Calc_Formulas!AI725</f>
        <v>0</v>
      </c>
      <c r="D729" s="7">
        <f>Calc_Formulas!AJ725</f>
        <v>0</v>
      </c>
      <c r="E729" s="6">
        <f>Calc_Formulas!AE725</f>
        <v>0</v>
      </c>
      <c r="F729" s="6">
        <f>Calc_Formulas!AF725</f>
        <v>0</v>
      </c>
      <c r="G729" s="6">
        <f>Calc_Formulas!AG725</f>
        <v>0</v>
      </c>
    </row>
    <row r="730" spans="1:7">
      <c r="A730" s="6">
        <f>Calc_Formulas!A726</f>
        <v>0</v>
      </c>
      <c r="B730" s="7">
        <f>Calc_Formulas!AH726</f>
        <v>0</v>
      </c>
      <c r="C730" s="7">
        <f>Calc_Formulas!AI726</f>
        <v>0</v>
      </c>
      <c r="D730" s="7">
        <f>Calc_Formulas!AJ726</f>
        <v>0</v>
      </c>
      <c r="E730" s="6">
        <f>Calc_Formulas!AE726</f>
        <v>0</v>
      </c>
      <c r="F730" s="6">
        <f>Calc_Formulas!AF726</f>
        <v>0</v>
      </c>
      <c r="G730" s="6">
        <f>Calc_Formulas!AG726</f>
        <v>0</v>
      </c>
    </row>
    <row r="731" spans="1:7">
      <c r="A731" s="6">
        <f>Calc_Formulas!A727</f>
        <v>0</v>
      </c>
      <c r="B731" s="7">
        <f>Calc_Formulas!AH727</f>
        <v>0</v>
      </c>
      <c r="C731" s="7">
        <f>Calc_Formulas!AI727</f>
        <v>0</v>
      </c>
      <c r="D731" s="7">
        <f>Calc_Formulas!AJ727</f>
        <v>0</v>
      </c>
      <c r="E731" s="6">
        <f>Calc_Formulas!AE727</f>
        <v>0</v>
      </c>
      <c r="F731" s="6">
        <f>Calc_Formulas!AF727</f>
        <v>0</v>
      </c>
      <c r="G731" s="6">
        <f>Calc_Formulas!AG727</f>
        <v>0</v>
      </c>
    </row>
    <row r="732" spans="1:7">
      <c r="A732" s="6">
        <f>Calc_Formulas!A728</f>
        <v>0</v>
      </c>
      <c r="B732" s="7">
        <f>Calc_Formulas!AH728</f>
        <v>0</v>
      </c>
      <c r="C732" s="7">
        <f>Calc_Formulas!AI728</f>
        <v>0</v>
      </c>
      <c r="D732" s="7">
        <f>Calc_Formulas!AJ728</f>
        <v>0</v>
      </c>
      <c r="E732" s="6">
        <f>Calc_Formulas!AE728</f>
        <v>0</v>
      </c>
      <c r="F732" s="6">
        <f>Calc_Formulas!AF728</f>
        <v>0</v>
      </c>
      <c r="G732" s="6">
        <f>Calc_Formulas!AG728</f>
        <v>0</v>
      </c>
    </row>
    <row r="733" spans="1:7">
      <c r="A733" s="6">
        <f>Calc_Formulas!A729</f>
        <v>0</v>
      </c>
      <c r="B733" s="7">
        <f>Calc_Formulas!AH729</f>
        <v>0</v>
      </c>
      <c r="C733" s="7">
        <f>Calc_Formulas!AI729</f>
        <v>0</v>
      </c>
      <c r="D733" s="7">
        <f>Calc_Formulas!AJ729</f>
        <v>0</v>
      </c>
      <c r="E733" s="6">
        <f>Calc_Formulas!AE729</f>
        <v>0</v>
      </c>
      <c r="F733" s="6">
        <f>Calc_Formulas!AF729</f>
        <v>0</v>
      </c>
      <c r="G733" s="6">
        <f>Calc_Formulas!AG729</f>
        <v>0</v>
      </c>
    </row>
    <row r="734" spans="1:7">
      <c r="A734" s="6">
        <f>Calc_Formulas!A730</f>
        <v>0</v>
      </c>
      <c r="B734" s="7">
        <f>Calc_Formulas!AH730</f>
        <v>0</v>
      </c>
      <c r="C734" s="7">
        <f>Calc_Formulas!AI730</f>
        <v>0</v>
      </c>
      <c r="D734" s="7">
        <f>Calc_Formulas!AJ730</f>
        <v>0</v>
      </c>
      <c r="E734" s="6">
        <f>Calc_Formulas!AE730</f>
        <v>0</v>
      </c>
      <c r="F734" s="6">
        <f>Calc_Formulas!AF730</f>
        <v>0</v>
      </c>
      <c r="G734" s="6">
        <f>Calc_Formulas!AG730</f>
        <v>0</v>
      </c>
    </row>
    <row r="735" spans="1:7">
      <c r="A735" s="6">
        <f>Calc_Formulas!A731</f>
        <v>0</v>
      </c>
      <c r="B735" s="7">
        <f>Calc_Formulas!AH731</f>
        <v>0</v>
      </c>
      <c r="C735" s="7">
        <f>Calc_Formulas!AI731</f>
        <v>0</v>
      </c>
      <c r="D735" s="7">
        <f>Calc_Formulas!AJ731</f>
        <v>0</v>
      </c>
      <c r="E735" s="6">
        <f>Calc_Formulas!AE731</f>
        <v>0</v>
      </c>
      <c r="F735" s="6">
        <f>Calc_Formulas!AF731</f>
        <v>0</v>
      </c>
      <c r="G735" s="6">
        <f>Calc_Formulas!AG731</f>
        <v>0</v>
      </c>
    </row>
    <row r="736" spans="1:7">
      <c r="A736" s="6">
        <f>Calc_Formulas!A732</f>
        <v>0</v>
      </c>
      <c r="B736" s="7">
        <f>Calc_Formulas!AH732</f>
        <v>0</v>
      </c>
      <c r="C736" s="7">
        <f>Calc_Formulas!AI732</f>
        <v>0</v>
      </c>
      <c r="D736" s="7">
        <f>Calc_Formulas!AJ732</f>
        <v>0</v>
      </c>
      <c r="E736" s="6">
        <f>Calc_Formulas!AE732</f>
        <v>0</v>
      </c>
      <c r="F736" s="6">
        <f>Calc_Formulas!AF732</f>
        <v>0</v>
      </c>
      <c r="G736" s="6">
        <f>Calc_Formulas!AG732</f>
        <v>0</v>
      </c>
    </row>
    <row r="737" spans="1:7">
      <c r="A737" s="6">
        <f>Calc_Formulas!A733</f>
        <v>0</v>
      </c>
      <c r="B737" s="7">
        <f>Calc_Formulas!AH733</f>
        <v>0</v>
      </c>
      <c r="C737" s="7">
        <f>Calc_Formulas!AI733</f>
        <v>0</v>
      </c>
      <c r="D737" s="7">
        <f>Calc_Formulas!AJ733</f>
        <v>0</v>
      </c>
      <c r="E737" s="6">
        <f>Calc_Formulas!AE733</f>
        <v>0</v>
      </c>
      <c r="F737" s="6">
        <f>Calc_Formulas!AF733</f>
        <v>0</v>
      </c>
      <c r="G737" s="6">
        <f>Calc_Formulas!AG733</f>
        <v>0</v>
      </c>
    </row>
    <row r="738" spans="1:7">
      <c r="A738" s="6">
        <f>Calc_Formulas!A734</f>
        <v>0</v>
      </c>
      <c r="B738" s="7">
        <f>Calc_Formulas!AH734</f>
        <v>0</v>
      </c>
      <c r="C738" s="7">
        <f>Calc_Formulas!AI734</f>
        <v>0</v>
      </c>
      <c r="D738" s="7">
        <f>Calc_Formulas!AJ734</f>
        <v>0</v>
      </c>
      <c r="E738" s="6">
        <f>Calc_Formulas!AE734</f>
        <v>0</v>
      </c>
      <c r="F738" s="6">
        <f>Calc_Formulas!AF734</f>
        <v>0</v>
      </c>
      <c r="G738" s="6">
        <f>Calc_Formulas!AG734</f>
        <v>0</v>
      </c>
    </row>
    <row r="739" spans="1:7">
      <c r="A739" s="6">
        <f>Calc_Formulas!A735</f>
        <v>0</v>
      </c>
      <c r="B739" s="7">
        <f>Calc_Formulas!AH735</f>
        <v>0</v>
      </c>
      <c r="C739" s="7">
        <f>Calc_Formulas!AI735</f>
        <v>0</v>
      </c>
      <c r="D739" s="7">
        <f>Calc_Formulas!AJ735</f>
        <v>0</v>
      </c>
      <c r="E739" s="6">
        <f>Calc_Formulas!AE735</f>
        <v>0</v>
      </c>
      <c r="F739" s="6">
        <f>Calc_Formulas!AF735</f>
        <v>0</v>
      </c>
      <c r="G739" s="6">
        <f>Calc_Formulas!AG735</f>
        <v>0</v>
      </c>
    </row>
    <row r="740" spans="1:7">
      <c r="A740" s="6">
        <f>Calc_Formulas!A736</f>
        <v>0</v>
      </c>
      <c r="B740" s="7">
        <f>Calc_Formulas!AH736</f>
        <v>0</v>
      </c>
      <c r="C740" s="7">
        <f>Calc_Formulas!AI736</f>
        <v>0</v>
      </c>
      <c r="D740" s="7">
        <f>Calc_Formulas!AJ736</f>
        <v>0</v>
      </c>
      <c r="E740" s="6">
        <f>Calc_Formulas!AE736</f>
        <v>0</v>
      </c>
      <c r="F740" s="6">
        <f>Calc_Formulas!AF736</f>
        <v>0</v>
      </c>
      <c r="G740" s="6">
        <f>Calc_Formulas!AG736</f>
        <v>0</v>
      </c>
    </row>
    <row r="741" spans="1:7">
      <c r="A741" s="6">
        <f>Calc_Formulas!A737</f>
        <v>0</v>
      </c>
      <c r="B741" s="7">
        <f>Calc_Formulas!AH737</f>
        <v>0</v>
      </c>
      <c r="C741" s="7">
        <f>Calc_Formulas!AI737</f>
        <v>0</v>
      </c>
      <c r="D741" s="7">
        <f>Calc_Formulas!AJ737</f>
        <v>0</v>
      </c>
      <c r="E741" s="6">
        <f>Calc_Formulas!AE737</f>
        <v>0</v>
      </c>
      <c r="F741" s="6">
        <f>Calc_Formulas!AF737</f>
        <v>0</v>
      </c>
      <c r="G741" s="6">
        <f>Calc_Formulas!AG737</f>
        <v>0</v>
      </c>
    </row>
    <row r="742" spans="1:7">
      <c r="A742" s="6">
        <f>Calc_Formulas!A738</f>
        <v>0</v>
      </c>
      <c r="B742" s="7">
        <f>Calc_Formulas!AH738</f>
        <v>0</v>
      </c>
      <c r="C742" s="7">
        <f>Calc_Formulas!AI738</f>
        <v>0</v>
      </c>
      <c r="D742" s="7">
        <f>Calc_Formulas!AJ738</f>
        <v>0</v>
      </c>
      <c r="E742" s="6">
        <f>Calc_Formulas!AE738</f>
        <v>0</v>
      </c>
      <c r="F742" s="6">
        <f>Calc_Formulas!AF738</f>
        <v>0</v>
      </c>
      <c r="G742" s="6">
        <f>Calc_Formulas!AG738</f>
        <v>0</v>
      </c>
    </row>
    <row r="743" spans="1:7">
      <c r="A743" s="6">
        <f>Calc_Formulas!A739</f>
        <v>0</v>
      </c>
      <c r="B743" s="7">
        <f>Calc_Formulas!AH739</f>
        <v>0</v>
      </c>
      <c r="C743" s="7">
        <f>Calc_Formulas!AI739</f>
        <v>0</v>
      </c>
      <c r="D743" s="7">
        <f>Calc_Formulas!AJ739</f>
        <v>0</v>
      </c>
      <c r="E743" s="6">
        <f>Calc_Formulas!AE739</f>
        <v>0</v>
      </c>
      <c r="F743" s="6">
        <f>Calc_Formulas!AF739</f>
        <v>0</v>
      </c>
      <c r="G743" s="6">
        <f>Calc_Formulas!AG739</f>
        <v>0</v>
      </c>
    </row>
    <row r="744" spans="1:7">
      <c r="A744" s="6">
        <f>Calc_Formulas!A740</f>
        <v>0</v>
      </c>
      <c r="B744" s="7">
        <f>Calc_Formulas!AH740</f>
        <v>0</v>
      </c>
      <c r="C744" s="7">
        <f>Calc_Formulas!AI740</f>
        <v>0</v>
      </c>
      <c r="D744" s="7">
        <f>Calc_Formulas!AJ740</f>
        <v>0</v>
      </c>
      <c r="E744" s="6">
        <f>Calc_Formulas!AE740</f>
        <v>0</v>
      </c>
      <c r="F744" s="6">
        <f>Calc_Formulas!AF740</f>
        <v>0</v>
      </c>
      <c r="G744" s="6">
        <f>Calc_Formulas!AG740</f>
        <v>0</v>
      </c>
    </row>
    <row r="745" spans="1:7">
      <c r="A745" s="6">
        <f>Calc_Formulas!A741</f>
        <v>0</v>
      </c>
      <c r="B745" s="7">
        <f>Calc_Formulas!AH741</f>
        <v>0</v>
      </c>
      <c r="C745" s="7">
        <f>Calc_Formulas!AI741</f>
        <v>0</v>
      </c>
      <c r="D745" s="7">
        <f>Calc_Formulas!AJ741</f>
        <v>0</v>
      </c>
      <c r="E745" s="6">
        <f>Calc_Formulas!AE741</f>
        <v>0</v>
      </c>
      <c r="F745" s="6">
        <f>Calc_Formulas!AF741</f>
        <v>0</v>
      </c>
      <c r="G745" s="6">
        <f>Calc_Formulas!AG741</f>
        <v>0</v>
      </c>
    </row>
    <row r="746" spans="1:7">
      <c r="A746" s="6">
        <f>Calc_Formulas!A742</f>
        <v>0</v>
      </c>
      <c r="B746" s="7">
        <f>Calc_Formulas!AH742</f>
        <v>0</v>
      </c>
      <c r="C746" s="7">
        <f>Calc_Formulas!AI742</f>
        <v>0</v>
      </c>
      <c r="D746" s="7">
        <f>Calc_Formulas!AJ742</f>
        <v>0</v>
      </c>
      <c r="E746" s="6">
        <f>Calc_Formulas!AE742</f>
        <v>0</v>
      </c>
      <c r="F746" s="6">
        <f>Calc_Formulas!AF742</f>
        <v>0</v>
      </c>
      <c r="G746" s="6">
        <f>Calc_Formulas!AG742</f>
        <v>0</v>
      </c>
    </row>
    <row r="747" spans="1:7">
      <c r="A747" s="6">
        <f>Calc_Formulas!A743</f>
        <v>0</v>
      </c>
      <c r="B747" s="7">
        <f>Calc_Formulas!AH743</f>
        <v>0</v>
      </c>
      <c r="C747" s="7">
        <f>Calc_Formulas!AI743</f>
        <v>0</v>
      </c>
      <c r="D747" s="7">
        <f>Calc_Formulas!AJ743</f>
        <v>0</v>
      </c>
      <c r="E747" s="6">
        <f>Calc_Formulas!AE743</f>
        <v>0</v>
      </c>
      <c r="F747" s="6">
        <f>Calc_Formulas!AF743</f>
        <v>0</v>
      </c>
      <c r="G747" s="6">
        <f>Calc_Formulas!AG743</f>
        <v>0</v>
      </c>
    </row>
    <row r="748" spans="1:7">
      <c r="A748" s="6">
        <f>Calc_Formulas!A744</f>
        <v>0</v>
      </c>
      <c r="B748" s="7">
        <f>Calc_Formulas!AH744</f>
        <v>0</v>
      </c>
      <c r="C748" s="7">
        <f>Calc_Formulas!AI744</f>
        <v>0</v>
      </c>
      <c r="D748" s="7">
        <f>Calc_Formulas!AJ744</f>
        <v>0</v>
      </c>
      <c r="E748" s="6">
        <f>Calc_Formulas!AE744</f>
        <v>0</v>
      </c>
      <c r="F748" s="6">
        <f>Calc_Formulas!AF744</f>
        <v>0</v>
      </c>
      <c r="G748" s="6">
        <f>Calc_Formulas!AG744</f>
        <v>0</v>
      </c>
    </row>
    <row r="749" spans="1:7">
      <c r="A749" s="6">
        <f>Calc_Formulas!A745</f>
        <v>0</v>
      </c>
      <c r="B749" s="7">
        <f>Calc_Formulas!AH745</f>
        <v>0</v>
      </c>
      <c r="C749" s="7">
        <f>Calc_Formulas!AI745</f>
        <v>0</v>
      </c>
      <c r="D749" s="7">
        <f>Calc_Formulas!AJ745</f>
        <v>0</v>
      </c>
      <c r="E749" s="6">
        <f>Calc_Formulas!AE745</f>
        <v>0</v>
      </c>
      <c r="F749" s="6">
        <f>Calc_Formulas!AF745</f>
        <v>0</v>
      </c>
      <c r="G749" s="6">
        <f>Calc_Formulas!AG745</f>
        <v>0</v>
      </c>
    </row>
    <row r="750" spans="1:7">
      <c r="A750" s="6">
        <f>Calc_Formulas!A746</f>
        <v>0</v>
      </c>
      <c r="B750" s="7">
        <f>Calc_Formulas!AH746</f>
        <v>0</v>
      </c>
      <c r="C750" s="7">
        <f>Calc_Formulas!AI746</f>
        <v>0</v>
      </c>
      <c r="D750" s="7">
        <f>Calc_Formulas!AJ746</f>
        <v>0</v>
      </c>
      <c r="E750" s="6">
        <f>Calc_Formulas!AE746</f>
        <v>0</v>
      </c>
      <c r="F750" s="6">
        <f>Calc_Formulas!AF746</f>
        <v>0</v>
      </c>
      <c r="G750" s="6">
        <f>Calc_Formulas!AG746</f>
        <v>0</v>
      </c>
    </row>
    <row r="751" spans="1:7">
      <c r="A751" s="6">
        <f>Calc_Formulas!A747</f>
        <v>0</v>
      </c>
      <c r="B751" s="7">
        <f>Calc_Formulas!AH747</f>
        <v>0</v>
      </c>
      <c r="C751" s="7">
        <f>Calc_Formulas!AI747</f>
        <v>0</v>
      </c>
      <c r="D751" s="7">
        <f>Calc_Formulas!AJ747</f>
        <v>0</v>
      </c>
      <c r="E751" s="6">
        <f>Calc_Formulas!AE747</f>
        <v>0</v>
      </c>
      <c r="F751" s="6">
        <f>Calc_Formulas!AF747</f>
        <v>0</v>
      </c>
      <c r="G751" s="6">
        <f>Calc_Formulas!AG747</f>
        <v>0</v>
      </c>
    </row>
    <row r="752" spans="1:7">
      <c r="A752" s="6">
        <f>Calc_Formulas!A748</f>
        <v>0</v>
      </c>
      <c r="B752" s="7">
        <f>Calc_Formulas!AH748</f>
        <v>0</v>
      </c>
      <c r="C752" s="7">
        <f>Calc_Formulas!AI748</f>
        <v>0</v>
      </c>
      <c r="D752" s="7">
        <f>Calc_Formulas!AJ748</f>
        <v>0</v>
      </c>
      <c r="E752" s="6">
        <f>Calc_Formulas!AE748</f>
        <v>0</v>
      </c>
      <c r="F752" s="6">
        <f>Calc_Formulas!AF748</f>
        <v>0</v>
      </c>
      <c r="G752" s="6">
        <f>Calc_Formulas!AG748</f>
        <v>0</v>
      </c>
    </row>
    <row r="753" spans="1:7">
      <c r="A753" s="6">
        <f>Calc_Formulas!A749</f>
        <v>0</v>
      </c>
      <c r="B753" s="7">
        <f>Calc_Formulas!AH749</f>
        <v>0</v>
      </c>
      <c r="C753" s="7">
        <f>Calc_Formulas!AI749</f>
        <v>0</v>
      </c>
      <c r="D753" s="7">
        <f>Calc_Formulas!AJ749</f>
        <v>0</v>
      </c>
      <c r="E753" s="6">
        <f>Calc_Formulas!AE749</f>
        <v>0</v>
      </c>
      <c r="F753" s="6">
        <f>Calc_Formulas!AF749</f>
        <v>0</v>
      </c>
      <c r="G753" s="6">
        <f>Calc_Formulas!AG749</f>
        <v>0</v>
      </c>
    </row>
    <row r="754" spans="1:7">
      <c r="A754" s="6">
        <f>Calc_Formulas!A750</f>
        <v>0</v>
      </c>
      <c r="B754" s="7">
        <f>Calc_Formulas!AH750</f>
        <v>0</v>
      </c>
      <c r="C754" s="7">
        <f>Calc_Formulas!AI750</f>
        <v>0</v>
      </c>
      <c r="D754" s="7">
        <f>Calc_Formulas!AJ750</f>
        <v>0</v>
      </c>
      <c r="E754" s="6">
        <f>Calc_Formulas!AE750</f>
        <v>0</v>
      </c>
      <c r="F754" s="6">
        <f>Calc_Formulas!AF750</f>
        <v>0</v>
      </c>
      <c r="G754" s="6">
        <f>Calc_Formulas!AG750</f>
        <v>0</v>
      </c>
    </row>
    <row r="755" spans="1:7">
      <c r="A755" s="6">
        <f>Calc_Formulas!A751</f>
        <v>0</v>
      </c>
      <c r="B755" s="7">
        <f>Calc_Formulas!AH751</f>
        <v>0</v>
      </c>
      <c r="C755" s="7">
        <f>Calc_Formulas!AI751</f>
        <v>0</v>
      </c>
      <c r="D755" s="7">
        <f>Calc_Formulas!AJ751</f>
        <v>0</v>
      </c>
      <c r="E755" s="6">
        <f>Calc_Formulas!AE751</f>
        <v>0</v>
      </c>
      <c r="F755" s="6">
        <f>Calc_Formulas!AF751</f>
        <v>0</v>
      </c>
      <c r="G755" s="6">
        <f>Calc_Formulas!AG751</f>
        <v>0</v>
      </c>
    </row>
    <row r="756" spans="1:7">
      <c r="A756" s="6">
        <f>Calc_Formulas!A752</f>
        <v>0</v>
      </c>
      <c r="B756" s="7">
        <f>Calc_Formulas!AH752</f>
        <v>0</v>
      </c>
      <c r="C756" s="7">
        <f>Calc_Formulas!AI752</f>
        <v>0</v>
      </c>
      <c r="D756" s="7">
        <f>Calc_Formulas!AJ752</f>
        <v>0</v>
      </c>
      <c r="E756" s="6">
        <f>Calc_Formulas!AE752</f>
        <v>0</v>
      </c>
      <c r="F756" s="6">
        <f>Calc_Formulas!AF752</f>
        <v>0</v>
      </c>
      <c r="G756" s="6">
        <f>Calc_Formulas!AG752</f>
        <v>0</v>
      </c>
    </row>
    <row r="757" spans="1:7">
      <c r="A757" s="6">
        <f>Calc_Formulas!A753</f>
        <v>0</v>
      </c>
      <c r="B757" s="7">
        <f>Calc_Formulas!AH753</f>
        <v>0</v>
      </c>
      <c r="C757" s="7">
        <f>Calc_Formulas!AI753</f>
        <v>0</v>
      </c>
      <c r="D757" s="7">
        <f>Calc_Formulas!AJ753</f>
        <v>0</v>
      </c>
      <c r="E757" s="6">
        <f>Calc_Formulas!AE753</f>
        <v>0</v>
      </c>
      <c r="F757" s="6">
        <f>Calc_Formulas!AF753</f>
        <v>0</v>
      </c>
      <c r="G757" s="6">
        <f>Calc_Formulas!AG753</f>
        <v>0</v>
      </c>
    </row>
    <row r="758" spans="1:7">
      <c r="A758" s="6">
        <f>Calc_Formulas!A754</f>
        <v>0</v>
      </c>
      <c r="B758" s="7">
        <f>Calc_Formulas!AH754</f>
        <v>0</v>
      </c>
      <c r="C758" s="7">
        <f>Calc_Formulas!AI754</f>
        <v>0</v>
      </c>
      <c r="D758" s="7">
        <f>Calc_Formulas!AJ754</f>
        <v>0</v>
      </c>
      <c r="E758" s="6">
        <f>Calc_Formulas!AE754</f>
        <v>0</v>
      </c>
      <c r="F758" s="6">
        <f>Calc_Formulas!AF754</f>
        <v>0</v>
      </c>
      <c r="G758" s="6">
        <f>Calc_Formulas!AG754</f>
        <v>0</v>
      </c>
    </row>
    <row r="759" spans="1:7">
      <c r="A759" s="6">
        <f>Calc_Formulas!A755</f>
        <v>0</v>
      </c>
      <c r="B759" s="7">
        <f>Calc_Formulas!AH755</f>
        <v>0</v>
      </c>
      <c r="C759" s="7">
        <f>Calc_Formulas!AI755</f>
        <v>0</v>
      </c>
      <c r="D759" s="7">
        <f>Calc_Formulas!AJ755</f>
        <v>0</v>
      </c>
      <c r="E759" s="6">
        <f>Calc_Formulas!AE755</f>
        <v>0</v>
      </c>
      <c r="F759" s="6">
        <f>Calc_Formulas!AF755</f>
        <v>0</v>
      </c>
      <c r="G759" s="6">
        <f>Calc_Formulas!AG755</f>
        <v>0</v>
      </c>
    </row>
    <row r="760" spans="1:7">
      <c r="A760" s="6">
        <f>Calc_Formulas!A756</f>
        <v>0</v>
      </c>
      <c r="B760" s="7">
        <f>Calc_Formulas!AH756</f>
        <v>0</v>
      </c>
      <c r="C760" s="7">
        <f>Calc_Formulas!AI756</f>
        <v>0</v>
      </c>
      <c r="D760" s="7">
        <f>Calc_Formulas!AJ756</f>
        <v>0</v>
      </c>
      <c r="E760" s="6">
        <f>Calc_Formulas!AE756</f>
        <v>0</v>
      </c>
      <c r="F760" s="6">
        <f>Calc_Formulas!AF756</f>
        <v>0</v>
      </c>
      <c r="G760" s="6">
        <f>Calc_Formulas!AG756</f>
        <v>0</v>
      </c>
    </row>
    <row r="761" spans="1:7">
      <c r="A761" s="6">
        <f>Calc_Formulas!A757</f>
        <v>0</v>
      </c>
      <c r="B761" s="7">
        <f>Calc_Formulas!AH757</f>
        <v>0</v>
      </c>
      <c r="C761" s="7">
        <f>Calc_Formulas!AI757</f>
        <v>0</v>
      </c>
      <c r="D761" s="7">
        <f>Calc_Formulas!AJ757</f>
        <v>0</v>
      </c>
      <c r="E761" s="6">
        <f>Calc_Formulas!AE757</f>
        <v>0</v>
      </c>
      <c r="F761" s="6">
        <f>Calc_Formulas!AF757</f>
        <v>0</v>
      </c>
      <c r="G761" s="6">
        <f>Calc_Formulas!AG757</f>
        <v>0</v>
      </c>
    </row>
    <row r="762" spans="1:7">
      <c r="A762" s="6">
        <f>Calc_Formulas!A758</f>
        <v>0</v>
      </c>
      <c r="B762" s="7">
        <f>Calc_Formulas!AH758</f>
        <v>0</v>
      </c>
      <c r="C762" s="7">
        <f>Calc_Formulas!AI758</f>
        <v>0</v>
      </c>
      <c r="D762" s="7">
        <f>Calc_Formulas!AJ758</f>
        <v>0</v>
      </c>
      <c r="E762" s="6">
        <f>Calc_Formulas!AE758</f>
        <v>0</v>
      </c>
      <c r="F762" s="6">
        <f>Calc_Formulas!AF758</f>
        <v>0</v>
      </c>
      <c r="G762" s="6">
        <f>Calc_Formulas!AG758</f>
        <v>0</v>
      </c>
    </row>
    <row r="763" spans="1:7">
      <c r="A763" s="6">
        <f>Calc_Formulas!A759</f>
        <v>0</v>
      </c>
      <c r="B763" s="7">
        <f>Calc_Formulas!AH759</f>
        <v>0</v>
      </c>
      <c r="C763" s="7">
        <f>Calc_Formulas!AI759</f>
        <v>0</v>
      </c>
      <c r="D763" s="7">
        <f>Calc_Formulas!AJ759</f>
        <v>0</v>
      </c>
      <c r="E763" s="6">
        <f>Calc_Formulas!AE759</f>
        <v>0</v>
      </c>
      <c r="F763" s="6">
        <f>Calc_Formulas!AF759</f>
        <v>0</v>
      </c>
      <c r="G763" s="6">
        <f>Calc_Formulas!AG759</f>
        <v>0</v>
      </c>
    </row>
    <row r="764" spans="1:7">
      <c r="A764" s="6">
        <f>Calc_Formulas!A760</f>
        <v>0</v>
      </c>
      <c r="B764" s="7">
        <f>Calc_Formulas!AH760</f>
        <v>0</v>
      </c>
      <c r="C764" s="7">
        <f>Calc_Formulas!AI760</f>
        <v>0</v>
      </c>
      <c r="D764" s="7">
        <f>Calc_Formulas!AJ760</f>
        <v>0</v>
      </c>
      <c r="E764" s="6">
        <f>Calc_Formulas!AE760</f>
        <v>0</v>
      </c>
      <c r="F764" s="6">
        <f>Calc_Formulas!AF760</f>
        <v>0</v>
      </c>
      <c r="G764" s="6">
        <f>Calc_Formulas!AG760</f>
        <v>0</v>
      </c>
    </row>
    <row r="765" spans="1:7">
      <c r="A765" s="6">
        <f>Calc_Formulas!A761</f>
        <v>0</v>
      </c>
      <c r="B765" s="7">
        <f>Calc_Formulas!AH761</f>
        <v>0</v>
      </c>
      <c r="C765" s="7">
        <f>Calc_Formulas!AI761</f>
        <v>0</v>
      </c>
      <c r="D765" s="7">
        <f>Calc_Formulas!AJ761</f>
        <v>0</v>
      </c>
      <c r="E765" s="6">
        <f>Calc_Formulas!AE761</f>
        <v>0</v>
      </c>
      <c r="F765" s="6">
        <f>Calc_Formulas!AF761</f>
        <v>0</v>
      </c>
      <c r="G765" s="6">
        <f>Calc_Formulas!AG761</f>
        <v>0</v>
      </c>
    </row>
    <row r="766" spans="1:7">
      <c r="A766" s="6">
        <f>Calc_Formulas!A762</f>
        <v>0</v>
      </c>
      <c r="B766" s="7">
        <f>Calc_Formulas!AH762</f>
        <v>0</v>
      </c>
      <c r="C766" s="7">
        <f>Calc_Formulas!AI762</f>
        <v>0</v>
      </c>
      <c r="D766" s="7">
        <f>Calc_Formulas!AJ762</f>
        <v>0</v>
      </c>
      <c r="E766" s="6">
        <f>Calc_Formulas!AE762</f>
        <v>0</v>
      </c>
      <c r="F766" s="6">
        <f>Calc_Formulas!AF762</f>
        <v>0</v>
      </c>
      <c r="G766" s="6">
        <f>Calc_Formulas!AG762</f>
        <v>0</v>
      </c>
    </row>
    <row r="767" spans="1:7">
      <c r="A767" s="6">
        <f>Calc_Formulas!A763</f>
        <v>0</v>
      </c>
      <c r="B767" s="7">
        <f>Calc_Formulas!AH763</f>
        <v>0</v>
      </c>
      <c r="C767" s="7">
        <f>Calc_Formulas!AI763</f>
        <v>0</v>
      </c>
      <c r="D767" s="7">
        <f>Calc_Formulas!AJ763</f>
        <v>0</v>
      </c>
      <c r="E767" s="6">
        <f>Calc_Formulas!AE763</f>
        <v>0</v>
      </c>
      <c r="F767" s="6">
        <f>Calc_Formulas!AF763</f>
        <v>0</v>
      </c>
      <c r="G767" s="6">
        <f>Calc_Formulas!AG763</f>
        <v>0</v>
      </c>
    </row>
    <row r="768" spans="1:7">
      <c r="A768" s="6">
        <f>Calc_Formulas!A764</f>
        <v>0</v>
      </c>
      <c r="B768" s="7">
        <f>Calc_Formulas!AH764</f>
        <v>0</v>
      </c>
      <c r="C768" s="7">
        <f>Calc_Formulas!AI764</f>
        <v>0</v>
      </c>
      <c r="D768" s="7">
        <f>Calc_Formulas!AJ764</f>
        <v>0</v>
      </c>
      <c r="E768" s="6">
        <f>Calc_Formulas!AE764</f>
        <v>0</v>
      </c>
      <c r="F768" s="6">
        <f>Calc_Formulas!AF764</f>
        <v>0</v>
      </c>
      <c r="G768" s="6">
        <f>Calc_Formulas!AG764</f>
        <v>0</v>
      </c>
    </row>
    <row r="769" spans="1:7">
      <c r="A769" s="6">
        <f>Calc_Formulas!A765</f>
        <v>0</v>
      </c>
      <c r="B769" s="7">
        <f>Calc_Formulas!AH765</f>
        <v>0</v>
      </c>
      <c r="C769" s="7">
        <f>Calc_Formulas!AI765</f>
        <v>0</v>
      </c>
      <c r="D769" s="7">
        <f>Calc_Formulas!AJ765</f>
        <v>0</v>
      </c>
      <c r="E769" s="6">
        <f>Calc_Formulas!AE765</f>
        <v>0</v>
      </c>
      <c r="F769" s="6">
        <f>Calc_Formulas!AF765</f>
        <v>0</v>
      </c>
      <c r="G769" s="6">
        <f>Calc_Formulas!AG765</f>
        <v>0</v>
      </c>
    </row>
    <row r="770" spans="1:7">
      <c r="A770" s="6">
        <f>Calc_Formulas!A766</f>
        <v>0</v>
      </c>
      <c r="B770" s="7">
        <f>Calc_Formulas!AH766</f>
        <v>0</v>
      </c>
      <c r="C770" s="7">
        <f>Calc_Formulas!AI766</f>
        <v>0</v>
      </c>
      <c r="D770" s="7">
        <f>Calc_Formulas!AJ766</f>
        <v>0</v>
      </c>
      <c r="E770" s="6">
        <f>Calc_Formulas!AE766</f>
        <v>0</v>
      </c>
      <c r="F770" s="6">
        <f>Calc_Formulas!AF766</f>
        <v>0</v>
      </c>
      <c r="G770" s="6">
        <f>Calc_Formulas!AG766</f>
        <v>0</v>
      </c>
    </row>
    <row r="771" spans="1:7">
      <c r="A771" s="6">
        <f>Calc_Formulas!A767</f>
        <v>0</v>
      </c>
      <c r="B771" s="7">
        <f>Calc_Formulas!AH767</f>
        <v>0</v>
      </c>
      <c r="C771" s="7">
        <f>Calc_Formulas!AI767</f>
        <v>0</v>
      </c>
      <c r="D771" s="7">
        <f>Calc_Formulas!AJ767</f>
        <v>0</v>
      </c>
      <c r="E771" s="6">
        <f>Calc_Formulas!AE767</f>
        <v>0</v>
      </c>
      <c r="F771" s="6">
        <f>Calc_Formulas!AF767</f>
        <v>0</v>
      </c>
      <c r="G771" s="6">
        <f>Calc_Formulas!AG767</f>
        <v>0</v>
      </c>
    </row>
    <row r="772" spans="1:7">
      <c r="A772" s="6">
        <f>Calc_Formulas!A768</f>
        <v>0</v>
      </c>
      <c r="B772" s="7">
        <f>Calc_Formulas!AH768</f>
        <v>0</v>
      </c>
      <c r="C772" s="7">
        <f>Calc_Formulas!AI768</f>
        <v>0</v>
      </c>
      <c r="D772" s="7">
        <f>Calc_Formulas!AJ768</f>
        <v>0</v>
      </c>
      <c r="E772" s="6">
        <f>Calc_Formulas!AE768</f>
        <v>0</v>
      </c>
      <c r="F772" s="6">
        <f>Calc_Formulas!AF768</f>
        <v>0</v>
      </c>
      <c r="G772" s="6">
        <f>Calc_Formulas!AG768</f>
        <v>0</v>
      </c>
    </row>
    <row r="773" spans="1:7">
      <c r="A773" s="6">
        <f>Calc_Formulas!A769</f>
        <v>0</v>
      </c>
      <c r="B773" s="7">
        <f>Calc_Formulas!AH769</f>
        <v>0</v>
      </c>
      <c r="C773" s="7">
        <f>Calc_Formulas!AI769</f>
        <v>0</v>
      </c>
      <c r="D773" s="7">
        <f>Calc_Formulas!AJ769</f>
        <v>0</v>
      </c>
      <c r="E773" s="6">
        <f>Calc_Formulas!AE769</f>
        <v>0</v>
      </c>
      <c r="F773" s="6">
        <f>Calc_Formulas!AF769</f>
        <v>0</v>
      </c>
      <c r="G773" s="6">
        <f>Calc_Formulas!AG769</f>
        <v>0</v>
      </c>
    </row>
    <row r="774" spans="1:7">
      <c r="A774" s="6">
        <f>Calc_Formulas!A770</f>
        <v>0</v>
      </c>
      <c r="B774" s="7">
        <f>Calc_Formulas!AH770</f>
        <v>0</v>
      </c>
      <c r="C774" s="7">
        <f>Calc_Formulas!AI770</f>
        <v>0</v>
      </c>
      <c r="D774" s="7">
        <f>Calc_Formulas!AJ770</f>
        <v>0</v>
      </c>
      <c r="E774" s="6">
        <f>Calc_Formulas!AE770</f>
        <v>0</v>
      </c>
      <c r="F774" s="6">
        <f>Calc_Formulas!AF770</f>
        <v>0</v>
      </c>
      <c r="G774" s="6">
        <f>Calc_Formulas!AG770</f>
        <v>0</v>
      </c>
    </row>
    <row r="775" spans="1:7">
      <c r="A775" s="6">
        <f>Calc_Formulas!A771</f>
        <v>0</v>
      </c>
      <c r="B775" s="7">
        <f>Calc_Formulas!AH771</f>
        <v>0</v>
      </c>
      <c r="C775" s="7">
        <f>Calc_Formulas!AI771</f>
        <v>0</v>
      </c>
      <c r="D775" s="7">
        <f>Calc_Formulas!AJ771</f>
        <v>0</v>
      </c>
      <c r="E775" s="6">
        <f>Calc_Formulas!AE771</f>
        <v>0</v>
      </c>
      <c r="F775" s="6">
        <f>Calc_Formulas!AF771</f>
        <v>0</v>
      </c>
      <c r="G775" s="6">
        <f>Calc_Formulas!AG771</f>
        <v>0</v>
      </c>
    </row>
    <row r="776" spans="1:7">
      <c r="A776" s="6">
        <f>Calc_Formulas!A772</f>
        <v>0</v>
      </c>
      <c r="B776" s="7">
        <f>Calc_Formulas!AH772</f>
        <v>0</v>
      </c>
      <c r="C776" s="7">
        <f>Calc_Formulas!AI772</f>
        <v>0</v>
      </c>
      <c r="D776" s="7">
        <f>Calc_Formulas!AJ772</f>
        <v>0</v>
      </c>
      <c r="E776" s="6">
        <f>Calc_Formulas!AE772</f>
        <v>0</v>
      </c>
      <c r="F776" s="6">
        <f>Calc_Formulas!AF772</f>
        <v>0</v>
      </c>
      <c r="G776" s="6">
        <f>Calc_Formulas!AG772</f>
        <v>0</v>
      </c>
    </row>
    <row r="777" spans="1:7">
      <c r="A777" s="6">
        <f>Calc_Formulas!A773</f>
        <v>0</v>
      </c>
      <c r="B777" s="7">
        <f>Calc_Formulas!AH773</f>
        <v>0</v>
      </c>
      <c r="C777" s="7">
        <f>Calc_Formulas!AI773</f>
        <v>0</v>
      </c>
      <c r="D777" s="7">
        <f>Calc_Formulas!AJ773</f>
        <v>0</v>
      </c>
      <c r="E777" s="6">
        <f>Calc_Formulas!AE773</f>
        <v>0</v>
      </c>
      <c r="F777" s="6">
        <f>Calc_Formulas!AF773</f>
        <v>0</v>
      </c>
      <c r="G777" s="6">
        <f>Calc_Formulas!AG773</f>
        <v>0</v>
      </c>
    </row>
    <row r="778" spans="1:7">
      <c r="A778" s="6">
        <f>Calc_Formulas!A774</f>
        <v>0</v>
      </c>
      <c r="B778" s="7">
        <f>Calc_Formulas!AH774</f>
        <v>0</v>
      </c>
      <c r="C778" s="7">
        <f>Calc_Formulas!AI774</f>
        <v>0</v>
      </c>
      <c r="D778" s="7">
        <f>Calc_Formulas!AJ774</f>
        <v>0</v>
      </c>
      <c r="E778" s="6">
        <f>Calc_Formulas!AE774</f>
        <v>0</v>
      </c>
      <c r="F778" s="6">
        <f>Calc_Formulas!AF774</f>
        <v>0</v>
      </c>
      <c r="G778" s="6">
        <f>Calc_Formulas!AG774</f>
        <v>0</v>
      </c>
    </row>
    <row r="779" spans="1:7">
      <c r="A779" s="6">
        <f>Calc_Formulas!A775</f>
        <v>0</v>
      </c>
      <c r="B779" s="7">
        <f>Calc_Formulas!AH775</f>
        <v>0</v>
      </c>
      <c r="C779" s="7">
        <f>Calc_Formulas!AI775</f>
        <v>0</v>
      </c>
      <c r="D779" s="7">
        <f>Calc_Formulas!AJ775</f>
        <v>0</v>
      </c>
      <c r="E779" s="6">
        <f>Calc_Formulas!AE775</f>
        <v>0</v>
      </c>
      <c r="F779" s="6">
        <f>Calc_Formulas!AF775</f>
        <v>0</v>
      </c>
      <c r="G779" s="6">
        <f>Calc_Formulas!AG775</f>
        <v>0</v>
      </c>
    </row>
    <row r="780" spans="1:7">
      <c r="A780" s="6">
        <f>Calc_Formulas!A776</f>
        <v>0</v>
      </c>
      <c r="B780" s="7">
        <f>Calc_Formulas!AH776</f>
        <v>0</v>
      </c>
      <c r="C780" s="7">
        <f>Calc_Formulas!AI776</f>
        <v>0</v>
      </c>
      <c r="D780" s="7">
        <f>Calc_Formulas!AJ776</f>
        <v>0</v>
      </c>
      <c r="E780" s="6">
        <f>Calc_Formulas!AE776</f>
        <v>0</v>
      </c>
      <c r="F780" s="6">
        <f>Calc_Formulas!AF776</f>
        <v>0</v>
      </c>
      <c r="G780" s="6">
        <f>Calc_Formulas!AG776</f>
        <v>0</v>
      </c>
    </row>
    <row r="781" spans="1:7">
      <c r="A781" s="6">
        <f>Calc_Formulas!A777</f>
        <v>0</v>
      </c>
      <c r="B781" s="7">
        <f>Calc_Formulas!AH777</f>
        <v>0</v>
      </c>
      <c r="C781" s="7">
        <f>Calc_Formulas!AI777</f>
        <v>0</v>
      </c>
      <c r="D781" s="7">
        <f>Calc_Formulas!AJ777</f>
        <v>0</v>
      </c>
      <c r="E781" s="6">
        <f>Calc_Formulas!AE777</f>
        <v>0</v>
      </c>
      <c r="F781" s="6">
        <f>Calc_Formulas!AF777</f>
        <v>0</v>
      </c>
      <c r="G781" s="6">
        <f>Calc_Formulas!AG777</f>
        <v>0</v>
      </c>
    </row>
    <row r="782" spans="1:7">
      <c r="A782" s="6">
        <f>Calc_Formulas!A778</f>
        <v>0</v>
      </c>
      <c r="B782" s="7">
        <f>Calc_Formulas!AH778</f>
        <v>0</v>
      </c>
      <c r="C782" s="7">
        <f>Calc_Formulas!AI778</f>
        <v>0</v>
      </c>
      <c r="D782" s="7">
        <f>Calc_Formulas!AJ778</f>
        <v>0</v>
      </c>
      <c r="E782" s="6">
        <f>Calc_Formulas!AE778</f>
        <v>0</v>
      </c>
      <c r="F782" s="6">
        <f>Calc_Formulas!AF778</f>
        <v>0</v>
      </c>
      <c r="G782" s="6">
        <f>Calc_Formulas!AG778</f>
        <v>0</v>
      </c>
    </row>
    <row r="783" spans="1:7">
      <c r="A783" s="6">
        <f>Calc_Formulas!A779</f>
        <v>0</v>
      </c>
      <c r="B783" s="7">
        <f>Calc_Formulas!AH779</f>
        <v>0</v>
      </c>
      <c r="C783" s="7">
        <f>Calc_Formulas!AI779</f>
        <v>0</v>
      </c>
      <c r="D783" s="7">
        <f>Calc_Formulas!AJ779</f>
        <v>0</v>
      </c>
      <c r="E783" s="6">
        <f>Calc_Formulas!AE779</f>
        <v>0</v>
      </c>
      <c r="F783" s="6">
        <f>Calc_Formulas!AF779</f>
        <v>0</v>
      </c>
      <c r="G783" s="6">
        <f>Calc_Formulas!AG779</f>
        <v>0</v>
      </c>
    </row>
    <row r="784" spans="1:7">
      <c r="A784" s="6">
        <f>Calc_Formulas!A780</f>
        <v>0</v>
      </c>
      <c r="B784" s="7">
        <f>Calc_Formulas!AH780</f>
        <v>0</v>
      </c>
      <c r="C784" s="7">
        <f>Calc_Formulas!AI780</f>
        <v>0</v>
      </c>
      <c r="D784" s="7">
        <f>Calc_Formulas!AJ780</f>
        <v>0</v>
      </c>
      <c r="E784" s="6">
        <f>Calc_Formulas!AE780</f>
        <v>0</v>
      </c>
      <c r="F784" s="6">
        <f>Calc_Formulas!AF780</f>
        <v>0</v>
      </c>
      <c r="G784" s="6">
        <f>Calc_Formulas!AG780</f>
        <v>0</v>
      </c>
    </row>
    <row r="785" spans="1:7">
      <c r="A785" s="6">
        <f>Calc_Formulas!A781</f>
        <v>0</v>
      </c>
      <c r="B785" s="7">
        <f>Calc_Formulas!AH781</f>
        <v>0</v>
      </c>
      <c r="C785" s="7">
        <f>Calc_Formulas!AI781</f>
        <v>0</v>
      </c>
      <c r="D785" s="7">
        <f>Calc_Formulas!AJ781</f>
        <v>0</v>
      </c>
      <c r="E785" s="6">
        <f>Calc_Formulas!AE781</f>
        <v>0</v>
      </c>
      <c r="F785" s="6">
        <f>Calc_Formulas!AF781</f>
        <v>0</v>
      </c>
      <c r="G785" s="6">
        <f>Calc_Formulas!AG781</f>
        <v>0</v>
      </c>
    </row>
    <row r="786" spans="1:7">
      <c r="A786" s="6">
        <f>Calc_Formulas!A782</f>
        <v>0</v>
      </c>
      <c r="B786" s="7">
        <f>Calc_Formulas!AH782</f>
        <v>0</v>
      </c>
      <c r="C786" s="7">
        <f>Calc_Formulas!AI782</f>
        <v>0</v>
      </c>
      <c r="D786" s="7">
        <f>Calc_Formulas!AJ782</f>
        <v>0</v>
      </c>
      <c r="E786" s="6">
        <f>Calc_Formulas!AE782</f>
        <v>0</v>
      </c>
      <c r="F786" s="6">
        <f>Calc_Formulas!AF782</f>
        <v>0</v>
      </c>
      <c r="G786" s="6">
        <f>Calc_Formulas!AG782</f>
        <v>0</v>
      </c>
    </row>
    <row r="787" spans="1:7">
      <c r="A787" s="6">
        <f>Calc_Formulas!A783</f>
        <v>0</v>
      </c>
      <c r="B787" s="7">
        <f>Calc_Formulas!AH783</f>
        <v>0</v>
      </c>
      <c r="C787" s="7">
        <f>Calc_Formulas!AI783</f>
        <v>0</v>
      </c>
      <c r="D787" s="7">
        <f>Calc_Formulas!AJ783</f>
        <v>0</v>
      </c>
      <c r="E787" s="6">
        <f>Calc_Formulas!AE783</f>
        <v>0</v>
      </c>
      <c r="F787" s="6">
        <f>Calc_Formulas!AF783</f>
        <v>0</v>
      </c>
      <c r="G787" s="6">
        <f>Calc_Formulas!AG783</f>
        <v>0</v>
      </c>
    </row>
    <row r="788" spans="1:7">
      <c r="A788" s="6">
        <f>Calc_Formulas!A784</f>
        <v>0</v>
      </c>
      <c r="B788" s="7">
        <f>Calc_Formulas!AH784</f>
        <v>0</v>
      </c>
      <c r="C788" s="7">
        <f>Calc_Formulas!AI784</f>
        <v>0</v>
      </c>
      <c r="D788" s="7">
        <f>Calc_Formulas!AJ784</f>
        <v>0</v>
      </c>
      <c r="E788" s="6">
        <f>Calc_Formulas!AE784</f>
        <v>0</v>
      </c>
      <c r="F788" s="6">
        <f>Calc_Formulas!AF784</f>
        <v>0</v>
      </c>
      <c r="G788" s="6">
        <f>Calc_Formulas!AG784</f>
        <v>0</v>
      </c>
    </row>
    <row r="789" spans="1:7">
      <c r="A789" s="6">
        <f>Calc_Formulas!A785</f>
        <v>0</v>
      </c>
      <c r="B789" s="7">
        <f>Calc_Formulas!AH785</f>
        <v>0</v>
      </c>
      <c r="C789" s="7">
        <f>Calc_Formulas!AI785</f>
        <v>0</v>
      </c>
      <c r="D789" s="7">
        <f>Calc_Formulas!AJ785</f>
        <v>0</v>
      </c>
      <c r="E789" s="6">
        <f>Calc_Formulas!AE785</f>
        <v>0</v>
      </c>
      <c r="F789" s="6">
        <f>Calc_Formulas!AF785</f>
        <v>0</v>
      </c>
      <c r="G789" s="6">
        <f>Calc_Formulas!AG785</f>
        <v>0</v>
      </c>
    </row>
    <row r="790" spans="1:7">
      <c r="A790" s="6">
        <f>Calc_Formulas!A786</f>
        <v>0</v>
      </c>
      <c r="B790" s="7">
        <f>Calc_Formulas!AH786</f>
        <v>0</v>
      </c>
      <c r="C790" s="7">
        <f>Calc_Formulas!AI786</f>
        <v>0</v>
      </c>
      <c r="D790" s="7">
        <f>Calc_Formulas!AJ786</f>
        <v>0</v>
      </c>
      <c r="E790" s="6">
        <f>Calc_Formulas!AE786</f>
        <v>0</v>
      </c>
      <c r="F790" s="6">
        <f>Calc_Formulas!AF786</f>
        <v>0</v>
      </c>
      <c r="G790" s="6">
        <f>Calc_Formulas!AG786</f>
        <v>0</v>
      </c>
    </row>
    <row r="791" spans="1:7">
      <c r="A791" s="6">
        <f>Calc_Formulas!A787</f>
        <v>0</v>
      </c>
      <c r="B791" s="7">
        <f>Calc_Formulas!AH787</f>
        <v>0</v>
      </c>
      <c r="C791" s="7">
        <f>Calc_Formulas!AI787</f>
        <v>0</v>
      </c>
      <c r="D791" s="7">
        <f>Calc_Formulas!AJ787</f>
        <v>0</v>
      </c>
      <c r="E791" s="6">
        <f>Calc_Formulas!AE787</f>
        <v>0</v>
      </c>
      <c r="F791" s="6">
        <f>Calc_Formulas!AF787</f>
        <v>0</v>
      </c>
      <c r="G791" s="6">
        <f>Calc_Formulas!AG787</f>
        <v>0</v>
      </c>
    </row>
    <row r="792" spans="1:7">
      <c r="A792" s="6">
        <f>Calc_Formulas!A788</f>
        <v>0</v>
      </c>
      <c r="B792" s="7">
        <f>Calc_Formulas!AH788</f>
        <v>0</v>
      </c>
      <c r="C792" s="7">
        <f>Calc_Formulas!AI788</f>
        <v>0</v>
      </c>
      <c r="D792" s="7">
        <f>Calc_Formulas!AJ788</f>
        <v>0</v>
      </c>
      <c r="E792" s="6">
        <f>Calc_Formulas!AE788</f>
        <v>0</v>
      </c>
      <c r="F792" s="6">
        <f>Calc_Formulas!AF788</f>
        <v>0</v>
      </c>
      <c r="G792" s="6">
        <f>Calc_Formulas!AG788</f>
        <v>0</v>
      </c>
    </row>
    <row r="793" spans="1:7">
      <c r="A793" s="6">
        <f>Calc_Formulas!A789</f>
        <v>0</v>
      </c>
      <c r="B793" s="7">
        <f>Calc_Formulas!AH789</f>
        <v>0</v>
      </c>
      <c r="C793" s="7">
        <f>Calc_Formulas!AI789</f>
        <v>0</v>
      </c>
      <c r="D793" s="7">
        <f>Calc_Formulas!AJ789</f>
        <v>0</v>
      </c>
      <c r="E793" s="6">
        <f>Calc_Formulas!AE789</f>
        <v>0</v>
      </c>
      <c r="F793" s="6">
        <f>Calc_Formulas!AF789</f>
        <v>0</v>
      </c>
      <c r="G793" s="6">
        <f>Calc_Formulas!AG789</f>
        <v>0</v>
      </c>
    </row>
    <row r="794" spans="1:7">
      <c r="A794" s="6">
        <f>Calc_Formulas!A790</f>
        <v>0</v>
      </c>
      <c r="B794" s="7">
        <f>Calc_Formulas!AH790</f>
        <v>0</v>
      </c>
      <c r="C794" s="7">
        <f>Calc_Formulas!AI790</f>
        <v>0</v>
      </c>
      <c r="D794" s="7">
        <f>Calc_Formulas!AJ790</f>
        <v>0</v>
      </c>
      <c r="E794" s="6">
        <f>Calc_Formulas!AE790</f>
        <v>0</v>
      </c>
      <c r="F794" s="6">
        <f>Calc_Formulas!AF790</f>
        <v>0</v>
      </c>
      <c r="G794" s="6">
        <f>Calc_Formulas!AG790</f>
        <v>0</v>
      </c>
    </row>
    <row r="795" spans="1:7">
      <c r="A795" s="6">
        <f>Calc_Formulas!A791</f>
        <v>0</v>
      </c>
      <c r="B795" s="7">
        <f>Calc_Formulas!AH791</f>
        <v>0</v>
      </c>
      <c r="C795" s="7">
        <f>Calc_Formulas!AI791</f>
        <v>0</v>
      </c>
      <c r="D795" s="7">
        <f>Calc_Formulas!AJ791</f>
        <v>0</v>
      </c>
      <c r="E795" s="6">
        <f>Calc_Formulas!AE791</f>
        <v>0</v>
      </c>
      <c r="F795" s="6">
        <f>Calc_Formulas!AF791</f>
        <v>0</v>
      </c>
      <c r="G795" s="6">
        <f>Calc_Formulas!AG791</f>
        <v>0</v>
      </c>
    </row>
    <row r="796" spans="1:7">
      <c r="A796" s="6">
        <f>Calc_Formulas!A792</f>
        <v>0</v>
      </c>
      <c r="B796" s="7">
        <f>Calc_Formulas!AH792</f>
        <v>0</v>
      </c>
      <c r="C796" s="7">
        <f>Calc_Formulas!AI792</f>
        <v>0</v>
      </c>
      <c r="D796" s="7">
        <f>Calc_Formulas!AJ792</f>
        <v>0</v>
      </c>
      <c r="E796" s="6">
        <f>Calc_Formulas!AE792</f>
        <v>0</v>
      </c>
      <c r="F796" s="6">
        <f>Calc_Formulas!AF792</f>
        <v>0</v>
      </c>
      <c r="G796" s="6">
        <f>Calc_Formulas!AG792</f>
        <v>0</v>
      </c>
    </row>
    <row r="797" spans="1:7">
      <c r="A797" s="6">
        <f>Calc_Formulas!A793</f>
        <v>0</v>
      </c>
      <c r="B797" s="7">
        <f>Calc_Formulas!AH793</f>
        <v>0</v>
      </c>
      <c r="C797" s="7">
        <f>Calc_Formulas!AI793</f>
        <v>0</v>
      </c>
      <c r="D797" s="7">
        <f>Calc_Formulas!AJ793</f>
        <v>0</v>
      </c>
      <c r="E797" s="6">
        <f>Calc_Formulas!AE793</f>
        <v>0</v>
      </c>
      <c r="F797" s="6">
        <f>Calc_Formulas!AF793</f>
        <v>0</v>
      </c>
      <c r="G797" s="6">
        <f>Calc_Formulas!AG793</f>
        <v>0</v>
      </c>
    </row>
    <row r="798" spans="1:7">
      <c r="A798" s="6">
        <f>Calc_Formulas!A794</f>
        <v>0</v>
      </c>
      <c r="B798" s="7">
        <f>Calc_Formulas!AH794</f>
        <v>0</v>
      </c>
      <c r="C798" s="7">
        <f>Calc_Formulas!AI794</f>
        <v>0</v>
      </c>
      <c r="D798" s="7">
        <f>Calc_Formulas!AJ794</f>
        <v>0</v>
      </c>
      <c r="E798" s="6">
        <f>Calc_Formulas!AE794</f>
        <v>0</v>
      </c>
      <c r="F798" s="6">
        <f>Calc_Formulas!AF794</f>
        <v>0</v>
      </c>
      <c r="G798" s="6">
        <f>Calc_Formulas!AG794</f>
        <v>0</v>
      </c>
    </row>
    <row r="799" spans="1:7">
      <c r="A799" s="6">
        <f>Calc_Formulas!A795</f>
        <v>0</v>
      </c>
      <c r="B799" s="7">
        <f>Calc_Formulas!AH795</f>
        <v>0</v>
      </c>
      <c r="C799" s="7">
        <f>Calc_Formulas!AI795</f>
        <v>0</v>
      </c>
      <c r="D799" s="7">
        <f>Calc_Formulas!AJ795</f>
        <v>0</v>
      </c>
      <c r="E799" s="6">
        <f>Calc_Formulas!AE795</f>
        <v>0</v>
      </c>
      <c r="F799" s="6">
        <f>Calc_Formulas!AF795</f>
        <v>0</v>
      </c>
      <c r="G799" s="6">
        <f>Calc_Formulas!AG795</f>
        <v>0</v>
      </c>
    </row>
    <row r="800" spans="1:7">
      <c r="A800" s="6">
        <f>Calc_Formulas!A796</f>
        <v>0</v>
      </c>
      <c r="B800" s="7">
        <f>Calc_Formulas!AH796</f>
        <v>0</v>
      </c>
      <c r="C800" s="7">
        <f>Calc_Formulas!AI796</f>
        <v>0</v>
      </c>
      <c r="D800" s="7">
        <f>Calc_Formulas!AJ796</f>
        <v>0</v>
      </c>
      <c r="E800" s="6">
        <f>Calc_Formulas!AE796</f>
        <v>0</v>
      </c>
      <c r="F800" s="6">
        <f>Calc_Formulas!AF796</f>
        <v>0</v>
      </c>
      <c r="G800" s="6">
        <f>Calc_Formulas!AG796</f>
        <v>0</v>
      </c>
    </row>
    <row r="801" spans="1:7">
      <c r="A801" s="6">
        <f>Calc_Formulas!A797</f>
        <v>0</v>
      </c>
      <c r="B801" s="7">
        <f>Calc_Formulas!AH797</f>
        <v>0</v>
      </c>
      <c r="C801" s="7">
        <f>Calc_Formulas!AI797</f>
        <v>0</v>
      </c>
      <c r="D801" s="7">
        <f>Calc_Formulas!AJ797</f>
        <v>0</v>
      </c>
      <c r="E801" s="6">
        <f>Calc_Formulas!AE797</f>
        <v>0</v>
      </c>
      <c r="F801" s="6">
        <f>Calc_Formulas!AF797</f>
        <v>0</v>
      </c>
      <c r="G801" s="6">
        <f>Calc_Formulas!AG797</f>
        <v>0</v>
      </c>
    </row>
    <row r="802" spans="1:7">
      <c r="A802" s="6">
        <f>Calc_Formulas!A798</f>
        <v>0</v>
      </c>
      <c r="B802" s="7">
        <f>Calc_Formulas!AH798</f>
        <v>0</v>
      </c>
      <c r="C802" s="7">
        <f>Calc_Formulas!AI798</f>
        <v>0</v>
      </c>
      <c r="D802" s="7">
        <f>Calc_Formulas!AJ798</f>
        <v>0</v>
      </c>
      <c r="E802" s="6">
        <f>Calc_Formulas!AE798</f>
        <v>0</v>
      </c>
      <c r="F802" s="6">
        <f>Calc_Formulas!AF798</f>
        <v>0</v>
      </c>
      <c r="G802" s="6">
        <f>Calc_Formulas!AG798</f>
        <v>0</v>
      </c>
    </row>
    <row r="803" spans="1:7">
      <c r="A803" s="6">
        <f>Calc_Formulas!A799</f>
        <v>0</v>
      </c>
      <c r="B803" s="7">
        <f>Calc_Formulas!AH799</f>
        <v>0</v>
      </c>
      <c r="C803" s="7">
        <f>Calc_Formulas!AI799</f>
        <v>0</v>
      </c>
      <c r="D803" s="7">
        <f>Calc_Formulas!AJ799</f>
        <v>0</v>
      </c>
      <c r="E803" s="6">
        <f>Calc_Formulas!AE799</f>
        <v>0</v>
      </c>
      <c r="F803" s="6">
        <f>Calc_Formulas!AF799</f>
        <v>0</v>
      </c>
      <c r="G803" s="6">
        <f>Calc_Formulas!AG799</f>
        <v>0</v>
      </c>
    </row>
    <row r="804" spans="1:7">
      <c r="A804" s="6">
        <f>Calc_Formulas!A800</f>
        <v>0</v>
      </c>
      <c r="B804" s="7">
        <f>Calc_Formulas!AH800</f>
        <v>0</v>
      </c>
      <c r="C804" s="7">
        <f>Calc_Formulas!AI800</f>
        <v>0</v>
      </c>
      <c r="D804" s="7">
        <f>Calc_Formulas!AJ800</f>
        <v>0</v>
      </c>
      <c r="E804" s="6">
        <f>Calc_Formulas!AE800</f>
        <v>0</v>
      </c>
      <c r="F804" s="6">
        <f>Calc_Formulas!AF800</f>
        <v>0</v>
      </c>
      <c r="G804" s="6">
        <f>Calc_Formulas!AG800</f>
        <v>0</v>
      </c>
    </row>
    <row r="805" spans="1:7">
      <c r="A805" s="6">
        <f>Calc_Formulas!A801</f>
        <v>0</v>
      </c>
      <c r="B805" s="7">
        <f>Calc_Formulas!AH801</f>
        <v>0</v>
      </c>
      <c r="C805" s="7">
        <f>Calc_Formulas!AI801</f>
        <v>0</v>
      </c>
      <c r="D805" s="7">
        <f>Calc_Formulas!AJ801</f>
        <v>0</v>
      </c>
      <c r="E805" s="6">
        <f>Calc_Formulas!AE801</f>
        <v>0</v>
      </c>
      <c r="F805" s="6">
        <f>Calc_Formulas!AF801</f>
        <v>0</v>
      </c>
      <c r="G805" s="6">
        <f>Calc_Formulas!AG801</f>
        <v>0</v>
      </c>
    </row>
    <row r="806" spans="1:7">
      <c r="A806" s="6">
        <f>Calc_Formulas!A802</f>
        <v>0</v>
      </c>
      <c r="B806" s="7">
        <f>Calc_Formulas!AH802</f>
        <v>0</v>
      </c>
      <c r="C806" s="7">
        <f>Calc_Formulas!AI802</f>
        <v>0</v>
      </c>
      <c r="D806" s="7">
        <f>Calc_Formulas!AJ802</f>
        <v>0</v>
      </c>
      <c r="E806" s="6">
        <f>Calc_Formulas!AE802</f>
        <v>0</v>
      </c>
      <c r="F806" s="6">
        <f>Calc_Formulas!AF802</f>
        <v>0</v>
      </c>
      <c r="G806" s="6">
        <f>Calc_Formulas!AG802</f>
        <v>0</v>
      </c>
    </row>
    <row r="807" spans="1:7">
      <c r="A807" s="6">
        <f>Calc_Formulas!A803</f>
        <v>0</v>
      </c>
      <c r="B807" s="7">
        <f>Calc_Formulas!AH803</f>
        <v>0</v>
      </c>
      <c r="C807" s="7">
        <f>Calc_Formulas!AI803</f>
        <v>0</v>
      </c>
      <c r="D807" s="7">
        <f>Calc_Formulas!AJ803</f>
        <v>0</v>
      </c>
      <c r="E807" s="6">
        <f>Calc_Formulas!AE803</f>
        <v>0</v>
      </c>
      <c r="F807" s="6">
        <f>Calc_Formulas!AF803</f>
        <v>0</v>
      </c>
      <c r="G807" s="6">
        <f>Calc_Formulas!AG803</f>
        <v>0</v>
      </c>
    </row>
    <row r="808" spans="1:7">
      <c r="A808" s="6">
        <f>Calc_Formulas!A804</f>
        <v>0</v>
      </c>
      <c r="B808" s="7">
        <f>Calc_Formulas!AH804</f>
        <v>0</v>
      </c>
      <c r="C808" s="7">
        <f>Calc_Formulas!AI804</f>
        <v>0</v>
      </c>
      <c r="D808" s="7">
        <f>Calc_Formulas!AJ804</f>
        <v>0</v>
      </c>
      <c r="E808" s="6">
        <f>Calc_Formulas!AE804</f>
        <v>0</v>
      </c>
      <c r="F808" s="6">
        <f>Calc_Formulas!AF804</f>
        <v>0</v>
      </c>
      <c r="G808" s="6">
        <f>Calc_Formulas!AG804</f>
        <v>0</v>
      </c>
    </row>
    <row r="809" spans="1:7">
      <c r="A809" s="6">
        <f>Calc_Formulas!A805</f>
        <v>0</v>
      </c>
      <c r="B809" s="7">
        <f>Calc_Formulas!AH805</f>
        <v>0</v>
      </c>
      <c r="C809" s="7">
        <f>Calc_Formulas!AI805</f>
        <v>0</v>
      </c>
      <c r="D809" s="7">
        <f>Calc_Formulas!AJ805</f>
        <v>0</v>
      </c>
      <c r="E809" s="6">
        <f>Calc_Formulas!AE805</f>
        <v>0</v>
      </c>
      <c r="F809" s="6">
        <f>Calc_Formulas!AF805</f>
        <v>0</v>
      </c>
      <c r="G809" s="6">
        <f>Calc_Formulas!AG805</f>
        <v>0</v>
      </c>
    </row>
    <row r="810" spans="1:7">
      <c r="A810" s="6">
        <f>Calc_Formulas!A806</f>
        <v>0</v>
      </c>
      <c r="B810" s="7">
        <f>Calc_Formulas!AH806</f>
        <v>0</v>
      </c>
      <c r="C810" s="7">
        <f>Calc_Formulas!AI806</f>
        <v>0</v>
      </c>
      <c r="D810" s="7">
        <f>Calc_Formulas!AJ806</f>
        <v>0</v>
      </c>
      <c r="E810" s="6">
        <f>Calc_Formulas!AE806</f>
        <v>0</v>
      </c>
      <c r="F810" s="6">
        <f>Calc_Formulas!AF806</f>
        <v>0</v>
      </c>
      <c r="G810" s="6">
        <f>Calc_Formulas!AG806</f>
        <v>0</v>
      </c>
    </row>
    <row r="811" spans="1:7">
      <c r="A811" s="6">
        <f>Calc_Formulas!A807</f>
        <v>0</v>
      </c>
      <c r="B811" s="7">
        <f>Calc_Formulas!AH807</f>
        <v>0</v>
      </c>
      <c r="C811" s="7">
        <f>Calc_Formulas!AI807</f>
        <v>0</v>
      </c>
      <c r="D811" s="7">
        <f>Calc_Formulas!AJ807</f>
        <v>0</v>
      </c>
      <c r="E811" s="6">
        <f>Calc_Formulas!AE807</f>
        <v>0</v>
      </c>
      <c r="F811" s="6">
        <f>Calc_Formulas!AF807</f>
        <v>0</v>
      </c>
      <c r="G811" s="6">
        <f>Calc_Formulas!AG807</f>
        <v>0</v>
      </c>
    </row>
    <row r="812" spans="1:7">
      <c r="A812" s="6">
        <f>Calc_Formulas!A808</f>
        <v>0</v>
      </c>
      <c r="B812" s="7">
        <f>Calc_Formulas!AH808</f>
        <v>0</v>
      </c>
      <c r="C812" s="7">
        <f>Calc_Formulas!AI808</f>
        <v>0</v>
      </c>
      <c r="D812" s="7">
        <f>Calc_Formulas!AJ808</f>
        <v>0</v>
      </c>
      <c r="E812" s="6">
        <f>Calc_Formulas!AE808</f>
        <v>0</v>
      </c>
      <c r="F812" s="6">
        <f>Calc_Formulas!AF808</f>
        <v>0</v>
      </c>
      <c r="G812" s="6">
        <f>Calc_Formulas!AG808</f>
        <v>0</v>
      </c>
    </row>
    <row r="813" spans="1:7">
      <c r="A813" s="6">
        <f>Calc_Formulas!A809</f>
        <v>0</v>
      </c>
      <c r="B813" s="7">
        <f>Calc_Formulas!AH809</f>
        <v>0</v>
      </c>
      <c r="C813" s="7">
        <f>Calc_Formulas!AI809</f>
        <v>0</v>
      </c>
      <c r="D813" s="7">
        <f>Calc_Formulas!AJ809</f>
        <v>0</v>
      </c>
      <c r="E813" s="6">
        <f>Calc_Formulas!AE809</f>
        <v>0</v>
      </c>
      <c r="F813" s="6">
        <f>Calc_Formulas!AF809</f>
        <v>0</v>
      </c>
      <c r="G813" s="6">
        <f>Calc_Formulas!AG809</f>
        <v>0</v>
      </c>
    </row>
    <row r="814" spans="1:7">
      <c r="A814" s="6">
        <f>Calc_Formulas!A810</f>
        <v>0</v>
      </c>
      <c r="B814" s="7">
        <f>Calc_Formulas!AH810</f>
        <v>0</v>
      </c>
      <c r="C814" s="7">
        <f>Calc_Formulas!AI810</f>
        <v>0</v>
      </c>
      <c r="D814" s="7">
        <f>Calc_Formulas!AJ810</f>
        <v>0</v>
      </c>
      <c r="E814" s="6">
        <f>Calc_Formulas!AE810</f>
        <v>0</v>
      </c>
      <c r="F814" s="6">
        <f>Calc_Formulas!AF810</f>
        <v>0</v>
      </c>
      <c r="G814" s="6">
        <f>Calc_Formulas!AG810</f>
        <v>0</v>
      </c>
    </row>
    <row r="815" spans="1:7">
      <c r="A815" s="6">
        <f>Calc_Formulas!A811</f>
        <v>0</v>
      </c>
      <c r="B815" s="7">
        <f>Calc_Formulas!AH811</f>
        <v>0</v>
      </c>
      <c r="C815" s="7">
        <f>Calc_Formulas!AI811</f>
        <v>0</v>
      </c>
      <c r="D815" s="7">
        <f>Calc_Formulas!AJ811</f>
        <v>0</v>
      </c>
      <c r="E815" s="6">
        <f>Calc_Formulas!AE811</f>
        <v>0</v>
      </c>
      <c r="F815" s="6">
        <f>Calc_Formulas!AF811</f>
        <v>0</v>
      </c>
      <c r="G815" s="6">
        <f>Calc_Formulas!AG811</f>
        <v>0</v>
      </c>
    </row>
    <row r="816" spans="1:7">
      <c r="A816" s="6">
        <f>Calc_Formulas!A812</f>
        <v>0</v>
      </c>
      <c r="B816" s="7">
        <f>Calc_Formulas!AH812</f>
        <v>0</v>
      </c>
      <c r="C816" s="7">
        <f>Calc_Formulas!AI812</f>
        <v>0</v>
      </c>
      <c r="D816" s="7">
        <f>Calc_Formulas!AJ812</f>
        <v>0</v>
      </c>
      <c r="E816" s="6">
        <f>Calc_Formulas!AE812</f>
        <v>0</v>
      </c>
      <c r="F816" s="6">
        <f>Calc_Formulas!AF812</f>
        <v>0</v>
      </c>
      <c r="G816" s="6">
        <f>Calc_Formulas!AG812</f>
        <v>0</v>
      </c>
    </row>
    <row r="817" spans="1:7">
      <c r="A817" s="6">
        <f>Calc_Formulas!A813</f>
        <v>0</v>
      </c>
      <c r="B817" s="7">
        <f>Calc_Formulas!AH813</f>
        <v>0</v>
      </c>
      <c r="C817" s="7">
        <f>Calc_Formulas!AI813</f>
        <v>0</v>
      </c>
      <c r="D817" s="7">
        <f>Calc_Formulas!AJ813</f>
        <v>0</v>
      </c>
      <c r="E817" s="6">
        <f>Calc_Formulas!AE813</f>
        <v>0</v>
      </c>
      <c r="F817" s="6">
        <f>Calc_Formulas!AF813</f>
        <v>0</v>
      </c>
      <c r="G817" s="6">
        <f>Calc_Formulas!AG813</f>
        <v>0</v>
      </c>
    </row>
    <row r="818" spans="1:7">
      <c r="A818" s="6">
        <f>Calc_Formulas!A814</f>
        <v>0</v>
      </c>
      <c r="B818" s="7">
        <f>Calc_Formulas!AH814</f>
        <v>0</v>
      </c>
      <c r="C818" s="7">
        <f>Calc_Formulas!AI814</f>
        <v>0</v>
      </c>
      <c r="D818" s="7">
        <f>Calc_Formulas!AJ814</f>
        <v>0</v>
      </c>
      <c r="E818" s="6">
        <f>Calc_Formulas!AE814</f>
        <v>0</v>
      </c>
      <c r="F818" s="6">
        <f>Calc_Formulas!AF814</f>
        <v>0</v>
      </c>
      <c r="G818" s="6">
        <f>Calc_Formulas!AG814</f>
        <v>0</v>
      </c>
    </row>
    <row r="819" spans="1:7">
      <c r="A819" s="6">
        <f>Calc_Formulas!A815</f>
        <v>0</v>
      </c>
      <c r="B819" s="7">
        <f>Calc_Formulas!AH815</f>
        <v>0</v>
      </c>
      <c r="C819" s="7">
        <f>Calc_Formulas!AI815</f>
        <v>0</v>
      </c>
      <c r="D819" s="7">
        <f>Calc_Formulas!AJ815</f>
        <v>0</v>
      </c>
      <c r="E819" s="6">
        <f>Calc_Formulas!AE815</f>
        <v>0</v>
      </c>
      <c r="F819" s="6">
        <f>Calc_Formulas!AF815</f>
        <v>0</v>
      </c>
      <c r="G819" s="6">
        <f>Calc_Formulas!AG815</f>
        <v>0</v>
      </c>
    </row>
    <row r="820" spans="1:7">
      <c r="A820" s="6">
        <f>Calc_Formulas!A816</f>
        <v>0</v>
      </c>
      <c r="B820" s="7">
        <f>Calc_Formulas!AH816</f>
        <v>0</v>
      </c>
      <c r="C820" s="7">
        <f>Calc_Formulas!AI816</f>
        <v>0</v>
      </c>
      <c r="D820" s="7">
        <f>Calc_Formulas!AJ816</f>
        <v>0</v>
      </c>
      <c r="E820" s="6">
        <f>Calc_Formulas!AE816</f>
        <v>0</v>
      </c>
      <c r="F820" s="6">
        <f>Calc_Formulas!AF816</f>
        <v>0</v>
      </c>
      <c r="G820" s="6">
        <f>Calc_Formulas!AG816</f>
        <v>0</v>
      </c>
    </row>
    <row r="821" spans="1:7">
      <c r="A821" s="6">
        <f>Calc_Formulas!A817</f>
        <v>0</v>
      </c>
      <c r="B821" s="7">
        <f>Calc_Formulas!AH817</f>
        <v>0</v>
      </c>
      <c r="C821" s="7">
        <f>Calc_Formulas!AI817</f>
        <v>0</v>
      </c>
      <c r="D821" s="7">
        <f>Calc_Formulas!AJ817</f>
        <v>0</v>
      </c>
      <c r="E821" s="6">
        <f>Calc_Formulas!AE817</f>
        <v>0</v>
      </c>
      <c r="F821" s="6">
        <f>Calc_Formulas!AF817</f>
        <v>0</v>
      </c>
      <c r="G821" s="6">
        <f>Calc_Formulas!AG817</f>
        <v>0</v>
      </c>
    </row>
    <row r="822" spans="1:7">
      <c r="A822" s="6">
        <f>Calc_Formulas!A818</f>
        <v>0</v>
      </c>
      <c r="B822" s="7">
        <f>Calc_Formulas!AH818</f>
        <v>0</v>
      </c>
      <c r="C822" s="7">
        <f>Calc_Formulas!AI818</f>
        <v>0</v>
      </c>
      <c r="D822" s="7">
        <f>Calc_Formulas!AJ818</f>
        <v>0</v>
      </c>
      <c r="E822" s="6">
        <f>Calc_Formulas!AE818</f>
        <v>0</v>
      </c>
      <c r="F822" s="6">
        <f>Calc_Formulas!AF818</f>
        <v>0</v>
      </c>
      <c r="G822" s="6">
        <f>Calc_Formulas!AG818</f>
        <v>0</v>
      </c>
    </row>
    <row r="823" spans="1:7">
      <c r="A823" s="6">
        <f>Calc_Formulas!A819</f>
        <v>0</v>
      </c>
      <c r="B823" s="7">
        <f>Calc_Formulas!AH819</f>
        <v>0</v>
      </c>
      <c r="C823" s="7">
        <f>Calc_Formulas!AI819</f>
        <v>0</v>
      </c>
      <c r="D823" s="7">
        <f>Calc_Formulas!AJ819</f>
        <v>0</v>
      </c>
      <c r="E823" s="6">
        <f>Calc_Formulas!AE819</f>
        <v>0</v>
      </c>
      <c r="F823" s="6">
        <f>Calc_Formulas!AF819</f>
        <v>0</v>
      </c>
      <c r="G823" s="6">
        <f>Calc_Formulas!AG819</f>
        <v>0</v>
      </c>
    </row>
    <row r="824" spans="1:7">
      <c r="A824" s="6">
        <f>Calc_Formulas!A820</f>
        <v>0</v>
      </c>
      <c r="B824" s="7">
        <f>Calc_Formulas!AH820</f>
        <v>0</v>
      </c>
      <c r="C824" s="7">
        <f>Calc_Formulas!AI820</f>
        <v>0</v>
      </c>
      <c r="D824" s="7">
        <f>Calc_Formulas!AJ820</f>
        <v>0</v>
      </c>
      <c r="E824" s="6">
        <f>Calc_Formulas!AE820</f>
        <v>0</v>
      </c>
      <c r="F824" s="6">
        <f>Calc_Formulas!AF820</f>
        <v>0</v>
      </c>
      <c r="G824" s="6">
        <f>Calc_Formulas!AG820</f>
        <v>0</v>
      </c>
    </row>
    <row r="825" spans="1:7">
      <c r="A825" s="6">
        <f>Calc_Formulas!A821</f>
        <v>0</v>
      </c>
      <c r="B825" s="7">
        <f>Calc_Formulas!AH821</f>
        <v>0</v>
      </c>
      <c r="C825" s="7">
        <f>Calc_Formulas!AI821</f>
        <v>0</v>
      </c>
      <c r="D825" s="7">
        <f>Calc_Formulas!AJ821</f>
        <v>0</v>
      </c>
      <c r="E825" s="6">
        <f>Calc_Formulas!AE821</f>
        <v>0</v>
      </c>
      <c r="F825" s="6">
        <f>Calc_Formulas!AF821</f>
        <v>0</v>
      </c>
      <c r="G825" s="6">
        <f>Calc_Formulas!AG821</f>
        <v>0</v>
      </c>
    </row>
    <row r="826" spans="1:7">
      <c r="A826" s="6">
        <f>Calc_Formulas!A822</f>
        <v>0</v>
      </c>
      <c r="B826" s="7">
        <f>Calc_Formulas!AH822</f>
        <v>0</v>
      </c>
      <c r="C826" s="7">
        <f>Calc_Formulas!AI822</f>
        <v>0</v>
      </c>
      <c r="D826" s="7">
        <f>Calc_Formulas!AJ822</f>
        <v>0</v>
      </c>
      <c r="E826" s="6">
        <f>Calc_Formulas!AE822</f>
        <v>0</v>
      </c>
      <c r="F826" s="6">
        <f>Calc_Formulas!AF822</f>
        <v>0</v>
      </c>
      <c r="G826" s="6">
        <f>Calc_Formulas!AG822</f>
        <v>0</v>
      </c>
    </row>
    <row r="827" spans="1:7">
      <c r="A827" s="6">
        <f>Calc_Formulas!A823</f>
        <v>0</v>
      </c>
      <c r="B827" s="7">
        <f>Calc_Formulas!AH823</f>
        <v>0</v>
      </c>
      <c r="C827" s="7">
        <f>Calc_Formulas!AI823</f>
        <v>0</v>
      </c>
      <c r="D827" s="7">
        <f>Calc_Formulas!AJ823</f>
        <v>0</v>
      </c>
      <c r="E827" s="6">
        <f>Calc_Formulas!AE823</f>
        <v>0</v>
      </c>
      <c r="F827" s="6">
        <f>Calc_Formulas!AF823</f>
        <v>0</v>
      </c>
      <c r="G827" s="6">
        <f>Calc_Formulas!AG823</f>
        <v>0</v>
      </c>
    </row>
    <row r="828" spans="1:7">
      <c r="A828" s="6">
        <f>Calc_Formulas!A824</f>
        <v>0</v>
      </c>
      <c r="B828" s="7">
        <f>Calc_Formulas!AH824</f>
        <v>0</v>
      </c>
      <c r="C828" s="7">
        <f>Calc_Formulas!AI824</f>
        <v>0</v>
      </c>
      <c r="D828" s="7">
        <f>Calc_Formulas!AJ824</f>
        <v>0</v>
      </c>
      <c r="E828" s="6">
        <f>Calc_Formulas!AE824</f>
        <v>0</v>
      </c>
      <c r="F828" s="6">
        <f>Calc_Formulas!AF824</f>
        <v>0</v>
      </c>
      <c r="G828" s="6">
        <f>Calc_Formulas!AG824</f>
        <v>0</v>
      </c>
    </row>
    <row r="829" spans="1:7">
      <c r="A829" s="6">
        <f>Calc_Formulas!A825</f>
        <v>0</v>
      </c>
      <c r="B829" s="7">
        <f>Calc_Formulas!AH825</f>
        <v>0</v>
      </c>
      <c r="C829" s="7">
        <f>Calc_Formulas!AI825</f>
        <v>0</v>
      </c>
      <c r="D829" s="7">
        <f>Calc_Formulas!AJ825</f>
        <v>0</v>
      </c>
      <c r="E829" s="6">
        <f>Calc_Formulas!AE825</f>
        <v>0</v>
      </c>
      <c r="F829" s="6">
        <f>Calc_Formulas!AF825</f>
        <v>0</v>
      </c>
      <c r="G829" s="6">
        <f>Calc_Formulas!AG825</f>
        <v>0</v>
      </c>
    </row>
    <row r="830" spans="1:7">
      <c r="A830" s="6">
        <f>Calc_Formulas!A826</f>
        <v>0</v>
      </c>
      <c r="B830" s="7">
        <f>Calc_Formulas!AH826</f>
        <v>0</v>
      </c>
      <c r="C830" s="7">
        <f>Calc_Formulas!AI826</f>
        <v>0</v>
      </c>
      <c r="D830" s="7">
        <f>Calc_Formulas!AJ826</f>
        <v>0</v>
      </c>
      <c r="E830" s="6">
        <f>Calc_Formulas!AE826</f>
        <v>0</v>
      </c>
      <c r="F830" s="6">
        <f>Calc_Formulas!AF826</f>
        <v>0</v>
      </c>
      <c r="G830" s="6">
        <f>Calc_Formulas!AG826</f>
        <v>0</v>
      </c>
    </row>
    <row r="831" spans="1:7">
      <c r="A831" s="6">
        <f>Calc_Formulas!A827</f>
        <v>0</v>
      </c>
      <c r="B831" s="7">
        <f>Calc_Formulas!AH827</f>
        <v>0</v>
      </c>
      <c r="C831" s="7">
        <f>Calc_Formulas!AI827</f>
        <v>0</v>
      </c>
      <c r="D831" s="7">
        <f>Calc_Formulas!AJ827</f>
        <v>0</v>
      </c>
      <c r="E831" s="6">
        <f>Calc_Formulas!AE827</f>
        <v>0</v>
      </c>
      <c r="F831" s="6">
        <f>Calc_Formulas!AF827</f>
        <v>0</v>
      </c>
      <c r="G831" s="6">
        <f>Calc_Formulas!AG827</f>
        <v>0</v>
      </c>
    </row>
    <row r="832" spans="1:7">
      <c r="A832" s="6">
        <f>Calc_Formulas!A828</f>
        <v>0</v>
      </c>
      <c r="B832" s="7">
        <f>Calc_Formulas!AH828</f>
        <v>0</v>
      </c>
      <c r="C832" s="7">
        <f>Calc_Formulas!AI828</f>
        <v>0</v>
      </c>
      <c r="D832" s="7">
        <f>Calc_Formulas!AJ828</f>
        <v>0</v>
      </c>
      <c r="E832" s="6">
        <f>Calc_Formulas!AE828</f>
        <v>0</v>
      </c>
      <c r="F832" s="6">
        <f>Calc_Formulas!AF828</f>
        <v>0</v>
      </c>
      <c r="G832" s="6">
        <f>Calc_Formulas!AG828</f>
        <v>0</v>
      </c>
    </row>
    <row r="833" spans="1:7">
      <c r="A833" s="6">
        <f>Calc_Formulas!A829</f>
        <v>0</v>
      </c>
      <c r="B833" s="7">
        <f>Calc_Formulas!AH829</f>
        <v>0</v>
      </c>
      <c r="C833" s="7">
        <f>Calc_Formulas!AI829</f>
        <v>0</v>
      </c>
      <c r="D833" s="7">
        <f>Calc_Formulas!AJ829</f>
        <v>0</v>
      </c>
      <c r="E833" s="6">
        <f>Calc_Formulas!AE829</f>
        <v>0</v>
      </c>
      <c r="F833" s="6">
        <f>Calc_Formulas!AF829</f>
        <v>0</v>
      </c>
      <c r="G833" s="6">
        <f>Calc_Formulas!AG829</f>
        <v>0</v>
      </c>
    </row>
    <row r="834" spans="1:7">
      <c r="A834" s="6">
        <f>Calc_Formulas!A830</f>
        <v>0</v>
      </c>
      <c r="B834" s="7">
        <f>Calc_Formulas!AH830</f>
        <v>0</v>
      </c>
      <c r="C834" s="7">
        <f>Calc_Formulas!AI830</f>
        <v>0</v>
      </c>
      <c r="D834" s="7">
        <f>Calc_Formulas!AJ830</f>
        <v>0</v>
      </c>
      <c r="E834" s="6">
        <f>Calc_Formulas!AE830</f>
        <v>0</v>
      </c>
      <c r="F834" s="6">
        <f>Calc_Formulas!AF830</f>
        <v>0</v>
      </c>
      <c r="G834" s="6">
        <f>Calc_Formulas!AG830</f>
        <v>0</v>
      </c>
    </row>
    <row r="835" spans="1:7">
      <c r="A835" s="6">
        <f>Calc_Formulas!A831</f>
        <v>0</v>
      </c>
      <c r="B835" s="7">
        <f>Calc_Formulas!AH831</f>
        <v>0</v>
      </c>
      <c r="C835" s="7">
        <f>Calc_Formulas!AI831</f>
        <v>0</v>
      </c>
      <c r="D835" s="7">
        <f>Calc_Formulas!AJ831</f>
        <v>0</v>
      </c>
      <c r="E835" s="6">
        <f>Calc_Formulas!AE831</f>
        <v>0</v>
      </c>
      <c r="F835" s="6">
        <f>Calc_Formulas!AF831</f>
        <v>0</v>
      </c>
      <c r="G835" s="6">
        <f>Calc_Formulas!AG831</f>
        <v>0</v>
      </c>
    </row>
    <row r="836" spans="1:7">
      <c r="A836" s="6">
        <f>Calc_Formulas!A832</f>
        <v>0</v>
      </c>
      <c r="B836" s="7">
        <f>Calc_Formulas!AH832</f>
        <v>0</v>
      </c>
      <c r="C836" s="7">
        <f>Calc_Formulas!AI832</f>
        <v>0</v>
      </c>
      <c r="D836" s="7">
        <f>Calc_Formulas!AJ832</f>
        <v>0</v>
      </c>
      <c r="E836" s="6">
        <f>Calc_Formulas!AE832</f>
        <v>0</v>
      </c>
      <c r="F836" s="6">
        <f>Calc_Formulas!AF832</f>
        <v>0</v>
      </c>
      <c r="G836" s="6">
        <f>Calc_Formulas!AG832</f>
        <v>0</v>
      </c>
    </row>
    <row r="837" spans="1:7">
      <c r="A837" s="6">
        <f>Calc_Formulas!A833</f>
        <v>0</v>
      </c>
      <c r="B837" s="7">
        <f>Calc_Formulas!AH833</f>
        <v>0</v>
      </c>
      <c r="C837" s="7">
        <f>Calc_Formulas!AI833</f>
        <v>0</v>
      </c>
      <c r="D837" s="7">
        <f>Calc_Formulas!AJ833</f>
        <v>0</v>
      </c>
      <c r="E837" s="6">
        <f>Calc_Formulas!AE833</f>
        <v>0</v>
      </c>
      <c r="F837" s="6">
        <f>Calc_Formulas!AF833</f>
        <v>0</v>
      </c>
      <c r="G837" s="6">
        <f>Calc_Formulas!AG833</f>
        <v>0</v>
      </c>
    </row>
    <row r="838" spans="1:7">
      <c r="A838" s="6">
        <f>Calc_Formulas!A834</f>
        <v>0</v>
      </c>
      <c r="B838" s="7">
        <f>Calc_Formulas!AH834</f>
        <v>0</v>
      </c>
      <c r="C838" s="7">
        <f>Calc_Formulas!AI834</f>
        <v>0</v>
      </c>
      <c r="D838" s="7">
        <f>Calc_Formulas!AJ834</f>
        <v>0</v>
      </c>
      <c r="E838" s="6">
        <f>Calc_Formulas!AE834</f>
        <v>0</v>
      </c>
      <c r="F838" s="6">
        <f>Calc_Formulas!AF834</f>
        <v>0</v>
      </c>
      <c r="G838" s="6">
        <f>Calc_Formulas!AG834</f>
        <v>0</v>
      </c>
    </row>
    <row r="839" spans="1:7">
      <c r="A839" s="6">
        <f>Calc_Formulas!A835</f>
        <v>0</v>
      </c>
      <c r="B839" s="7">
        <f>Calc_Formulas!AH835</f>
        <v>0</v>
      </c>
      <c r="C839" s="7">
        <f>Calc_Formulas!AI835</f>
        <v>0</v>
      </c>
      <c r="D839" s="7">
        <f>Calc_Formulas!AJ835</f>
        <v>0</v>
      </c>
      <c r="E839" s="6">
        <f>Calc_Formulas!AE835</f>
        <v>0</v>
      </c>
      <c r="F839" s="6">
        <f>Calc_Formulas!AF835</f>
        <v>0</v>
      </c>
      <c r="G839" s="6">
        <f>Calc_Formulas!AG835</f>
        <v>0</v>
      </c>
    </row>
    <row r="840" spans="1:7">
      <c r="A840" s="6">
        <f>Calc_Formulas!A836</f>
        <v>0</v>
      </c>
      <c r="B840" s="7">
        <f>Calc_Formulas!AH836</f>
        <v>0</v>
      </c>
      <c r="C840" s="7">
        <f>Calc_Formulas!AI836</f>
        <v>0</v>
      </c>
      <c r="D840" s="7">
        <f>Calc_Formulas!AJ836</f>
        <v>0</v>
      </c>
      <c r="E840" s="6">
        <f>Calc_Formulas!AE836</f>
        <v>0</v>
      </c>
      <c r="F840" s="6">
        <f>Calc_Formulas!AF836</f>
        <v>0</v>
      </c>
      <c r="G840" s="6">
        <f>Calc_Formulas!AG836</f>
        <v>0</v>
      </c>
    </row>
    <row r="841" spans="1:7">
      <c r="A841" s="6">
        <f>Calc_Formulas!A837</f>
        <v>0</v>
      </c>
      <c r="B841" s="7">
        <f>Calc_Formulas!AH837</f>
        <v>0</v>
      </c>
      <c r="C841" s="7">
        <f>Calc_Formulas!AI837</f>
        <v>0</v>
      </c>
      <c r="D841" s="7">
        <f>Calc_Formulas!AJ837</f>
        <v>0</v>
      </c>
      <c r="E841" s="6">
        <f>Calc_Formulas!AE837</f>
        <v>0</v>
      </c>
      <c r="F841" s="6">
        <f>Calc_Formulas!AF837</f>
        <v>0</v>
      </c>
      <c r="G841" s="6">
        <f>Calc_Formulas!AG837</f>
        <v>0</v>
      </c>
    </row>
    <row r="842" spans="1:7">
      <c r="A842" s="6">
        <f>Calc_Formulas!A838</f>
        <v>0</v>
      </c>
      <c r="B842" s="7">
        <f>Calc_Formulas!AH838</f>
        <v>0</v>
      </c>
      <c r="C842" s="7">
        <f>Calc_Formulas!AI838</f>
        <v>0</v>
      </c>
      <c r="D842" s="7">
        <f>Calc_Formulas!AJ838</f>
        <v>0</v>
      </c>
      <c r="E842" s="6">
        <f>Calc_Formulas!AE838</f>
        <v>0</v>
      </c>
      <c r="F842" s="6">
        <f>Calc_Formulas!AF838</f>
        <v>0</v>
      </c>
      <c r="G842" s="6">
        <f>Calc_Formulas!AG838</f>
        <v>0</v>
      </c>
    </row>
    <row r="843" spans="1:7">
      <c r="A843" s="6">
        <f>Calc_Formulas!A839</f>
        <v>0</v>
      </c>
      <c r="B843" s="7">
        <f>Calc_Formulas!AH839</f>
        <v>0</v>
      </c>
      <c r="C843" s="7">
        <f>Calc_Formulas!AI839</f>
        <v>0</v>
      </c>
      <c r="D843" s="7">
        <f>Calc_Formulas!AJ839</f>
        <v>0</v>
      </c>
      <c r="E843" s="6">
        <f>Calc_Formulas!AE839</f>
        <v>0</v>
      </c>
      <c r="F843" s="6">
        <f>Calc_Formulas!AF839</f>
        <v>0</v>
      </c>
      <c r="G843" s="6">
        <f>Calc_Formulas!AG839</f>
        <v>0</v>
      </c>
    </row>
    <row r="844" spans="1:7">
      <c r="A844" s="6">
        <f>Calc_Formulas!A840</f>
        <v>0</v>
      </c>
      <c r="B844" s="7">
        <f>Calc_Formulas!AH840</f>
        <v>0</v>
      </c>
      <c r="C844" s="7">
        <f>Calc_Formulas!AI840</f>
        <v>0</v>
      </c>
      <c r="D844" s="7">
        <f>Calc_Formulas!AJ840</f>
        <v>0</v>
      </c>
      <c r="E844" s="6">
        <f>Calc_Formulas!AE840</f>
        <v>0</v>
      </c>
      <c r="F844" s="6">
        <f>Calc_Formulas!AF840</f>
        <v>0</v>
      </c>
      <c r="G844" s="6">
        <f>Calc_Formulas!AG840</f>
        <v>0</v>
      </c>
    </row>
    <row r="845" spans="1:7">
      <c r="A845" s="6">
        <f>Calc_Formulas!A841</f>
        <v>0</v>
      </c>
      <c r="B845" s="7">
        <f>Calc_Formulas!AH841</f>
        <v>0</v>
      </c>
      <c r="C845" s="7">
        <f>Calc_Formulas!AI841</f>
        <v>0</v>
      </c>
      <c r="D845" s="7">
        <f>Calc_Formulas!AJ841</f>
        <v>0</v>
      </c>
      <c r="E845" s="6">
        <f>Calc_Formulas!AE841</f>
        <v>0</v>
      </c>
      <c r="F845" s="6">
        <f>Calc_Formulas!AF841</f>
        <v>0</v>
      </c>
      <c r="G845" s="6">
        <f>Calc_Formulas!AG841</f>
        <v>0</v>
      </c>
    </row>
    <row r="846" spans="1:7">
      <c r="A846" s="6">
        <f>Calc_Formulas!A842</f>
        <v>0</v>
      </c>
      <c r="B846" s="7">
        <f>Calc_Formulas!AH842</f>
        <v>0</v>
      </c>
      <c r="C846" s="7">
        <f>Calc_Formulas!AI842</f>
        <v>0</v>
      </c>
      <c r="D846" s="7">
        <f>Calc_Formulas!AJ842</f>
        <v>0</v>
      </c>
      <c r="E846" s="6">
        <f>Calc_Formulas!AE842</f>
        <v>0</v>
      </c>
      <c r="F846" s="6">
        <f>Calc_Formulas!AF842</f>
        <v>0</v>
      </c>
      <c r="G846" s="6">
        <f>Calc_Formulas!AG842</f>
        <v>0</v>
      </c>
    </row>
    <row r="847" spans="1:7">
      <c r="A847" s="6">
        <f>Calc_Formulas!A843</f>
        <v>0</v>
      </c>
      <c r="B847" s="7">
        <f>Calc_Formulas!AH843</f>
        <v>0</v>
      </c>
      <c r="C847" s="7">
        <f>Calc_Formulas!AI843</f>
        <v>0</v>
      </c>
      <c r="D847" s="7">
        <f>Calc_Formulas!AJ843</f>
        <v>0</v>
      </c>
      <c r="E847" s="6">
        <f>Calc_Formulas!AE843</f>
        <v>0</v>
      </c>
      <c r="F847" s="6">
        <f>Calc_Formulas!AF843</f>
        <v>0</v>
      </c>
      <c r="G847" s="6">
        <f>Calc_Formulas!AG843</f>
        <v>0</v>
      </c>
    </row>
    <row r="848" spans="1:7">
      <c r="A848" s="6">
        <f>Calc_Formulas!A844</f>
        <v>0</v>
      </c>
      <c r="B848" s="7">
        <f>Calc_Formulas!AH844</f>
        <v>0</v>
      </c>
      <c r="C848" s="7">
        <f>Calc_Formulas!AI844</f>
        <v>0</v>
      </c>
      <c r="D848" s="7">
        <f>Calc_Formulas!AJ844</f>
        <v>0</v>
      </c>
      <c r="E848" s="6">
        <f>Calc_Formulas!AE844</f>
        <v>0</v>
      </c>
      <c r="F848" s="6">
        <f>Calc_Formulas!AF844</f>
        <v>0</v>
      </c>
      <c r="G848" s="6">
        <f>Calc_Formulas!AG844</f>
        <v>0</v>
      </c>
    </row>
    <row r="849" spans="1:7">
      <c r="A849" s="6">
        <f>Calc_Formulas!A845</f>
        <v>0</v>
      </c>
      <c r="B849" s="7">
        <f>Calc_Formulas!AH845</f>
        <v>0</v>
      </c>
      <c r="C849" s="7">
        <f>Calc_Formulas!AI845</f>
        <v>0</v>
      </c>
      <c r="D849" s="7">
        <f>Calc_Formulas!AJ845</f>
        <v>0</v>
      </c>
      <c r="E849" s="6">
        <f>Calc_Formulas!AE845</f>
        <v>0</v>
      </c>
      <c r="F849" s="6">
        <f>Calc_Formulas!AF845</f>
        <v>0</v>
      </c>
      <c r="G849" s="6">
        <f>Calc_Formulas!AG845</f>
        <v>0</v>
      </c>
    </row>
    <row r="850" spans="1:7">
      <c r="A850" s="6">
        <f>Calc_Formulas!A846</f>
        <v>0</v>
      </c>
      <c r="B850" s="7">
        <f>Calc_Formulas!AH846</f>
        <v>0</v>
      </c>
      <c r="C850" s="7">
        <f>Calc_Formulas!AI846</f>
        <v>0</v>
      </c>
      <c r="D850" s="7">
        <f>Calc_Formulas!AJ846</f>
        <v>0</v>
      </c>
      <c r="E850" s="6">
        <f>Calc_Formulas!AE846</f>
        <v>0</v>
      </c>
      <c r="F850" s="6">
        <f>Calc_Formulas!AF846</f>
        <v>0</v>
      </c>
      <c r="G850" s="6">
        <f>Calc_Formulas!AG846</f>
        <v>0</v>
      </c>
    </row>
    <row r="851" spans="1:7">
      <c r="A851" s="6">
        <f>Calc_Formulas!A847</f>
        <v>0</v>
      </c>
      <c r="B851" s="7">
        <f>Calc_Formulas!AH847</f>
        <v>0</v>
      </c>
      <c r="C851" s="7">
        <f>Calc_Formulas!AI847</f>
        <v>0</v>
      </c>
      <c r="D851" s="7">
        <f>Calc_Formulas!AJ847</f>
        <v>0</v>
      </c>
      <c r="E851" s="6">
        <f>Calc_Formulas!AE847</f>
        <v>0</v>
      </c>
      <c r="F851" s="6">
        <f>Calc_Formulas!AF847</f>
        <v>0</v>
      </c>
      <c r="G851" s="6">
        <f>Calc_Formulas!AG847</f>
        <v>0</v>
      </c>
    </row>
    <row r="852" spans="1:7">
      <c r="A852" s="6">
        <f>Calc_Formulas!A848</f>
        <v>0</v>
      </c>
      <c r="B852" s="7">
        <f>Calc_Formulas!AH848</f>
        <v>0</v>
      </c>
      <c r="C852" s="7">
        <f>Calc_Formulas!AI848</f>
        <v>0</v>
      </c>
      <c r="D852" s="7">
        <f>Calc_Formulas!AJ848</f>
        <v>0</v>
      </c>
      <c r="E852" s="6">
        <f>Calc_Formulas!AE848</f>
        <v>0</v>
      </c>
      <c r="F852" s="6">
        <f>Calc_Formulas!AF848</f>
        <v>0</v>
      </c>
      <c r="G852" s="6">
        <f>Calc_Formulas!AG848</f>
        <v>0</v>
      </c>
    </row>
    <row r="853" spans="1:7">
      <c r="A853" s="6">
        <f>Calc_Formulas!A849</f>
        <v>0</v>
      </c>
      <c r="B853" s="7">
        <f>Calc_Formulas!AH849</f>
        <v>0</v>
      </c>
      <c r="C853" s="7">
        <f>Calc_Formulas!AI849</f>
        <v>0</v>
      </c>
      <c r="D853" s="7">
        <f>Calc_Formulas!AJ849</f>
        <v>0</v>
      </c>
      <c r="E853" s="6">
        <f>Calc_Formulas!AE849</f>
        <v>0</v>
      </c>
      <c r="F853" s="6">
        <f>Calc_Formulas!AF849</f>
        <v>0</v>
      </c>
      <c r="G853" s="6">
        <f>Calc_Formulas!AG849</f>
        <v>0</v>
      </c>
    </row>
    <row r="854" spans="1:7">
      <c r="A854" s="6">
        <f>Calc_Formulas!A850</f>
        <v>0</v>
      </c>
      <c r="B854" s="7">
        <f>Calc_Formulas!AH850</f>
        <v>0</v>
      </c>
      <c r="C854" s="7">
        <f>Calc_Formulas!AI850</f>
        <v>0</v>
      </c>
      <c r="D854" s="7">
        <f>Calc_Formulas!AJ850</f>
        <v>0</v>
      </c>
      <c r="E854" s="6">
        <f>Calc_Formulas!AE850</f>
        <v>0</v>
      </c>
      <c r="F854" s="6">
        <f>Calc_Formulas!AF850</f>
        <v>0</v>
      </c>
      <c r="G854" s="6">
        <f>Calc_Formulas!AG850</f>
        <v>0</v>
      </c>
    </row>
    <row r="855" spans="1:7">
      <c r="A855" s="6">
        <f>Calc_Formulas!A851</f>
        <v>0</v>
      </c>
      <c r="B855" s="7">
        <f>Calc_Formulas!AH851</f>
        <v>0</v>
      </c>
      <c r="C855" s="7">
        <f>Calc_Formulas!AI851</f>
        <v>0</v>
      </c>
      <c r="D855" s="7">
        <f>Calc_Formulas!AJ851</f>
        <v>0</v>
      </c>
      <c r="E855" s="6">
        <f>Calc_Formulas!AE851</f>
        <v>0</v>
      </c>
      <c r="F855" s="6">
        <f>Calc_Formulas!AF851</f>
        <v>0</v>
      </c>
      <c r="G855" s="6">
        <f>Calc_Formulas!AG851</f>
        <v>0</v>
      </c>
    </row>
    <row r="856" spans="1:7">
      <c r="A856" s="6">
        <f>Calc_Formulas!A852</f>
        <v>0</v>
      </c>
      <c r="B856" s="7">
        <f>Calc_Formulas!AH852</f>
        <v>0</v>
      </c>
      <c r="C856" s="7">
        <f>Calc_Formulas!AI852</f>
        <v>0</v>
      </c>
      <c r="D856" s="7">
        <f>Calc_Formulas!AJ852</f>
        <v>0</v>
      </c>
      <c r="E856" s="6">
        <f>Calc_Formulas!AE852</f>
        <v>0</v>
      </c>
      <c r="F856" s="6">
        <f>Calc_Formulas!AF852</f>
        <v>0</v>
      </c>
      <c r="G856" s="6">
        <f>Calc_Formulas!AG852</f>
        <v>0</v>
      </c>
    </row>
    <row r="857" spans="1:7">
      <c r="A857" s="6">
        <f>Calc_Formulas!A853</f>
        <v>0</v>
      </c>
      <c r="B857" s="7">
        <f>Calc_Formulas!AH853</f>
        <v>0</v>
      </c>
      <c r="C857" s="7">
        <f>Calc_Formulas!AI853</f>
        <v>0</v>
      </c>
      <c r="D857" s="7">
        <f>Calc_Formulas!AJ853</f>
        <v>0</v>
      </c>
      <c r="E857" s="6">
        <f>Calc_Formulas!AE853</f>
        <v>0</v>
      </c>
      <c r="F857" s="6">
        <f>Calc_Formulas!AF853</f>
        <v>0</v>
      </c>
      <c r="G857" s="6">
        <f>Calc_Formulas!AG853</f>
        <v>0</v>
      </c>
    </row>
    <row r="858" spans="1:7">
      <c r="A858" s="6">
        <f>Calc_Formulas!A854</f>
        <v>0</v>
      </c>
      <c r="B858" s="7">
        <f>Calc_Formulas!AH854</f>
        <v>0</v>
      </c>
      <c r="C858" s="7">
        <f>Calc_Formulas!AI854</f>
        <v>0</v>
      </c>
      <c r="D858" s="7">
        <f>Calc_Formulas!AJ854</f>
        <v>0</v>
      </c>
      <c r="E858" s="6">
        <f>Calc_Formulas!AE854</f>
        <v>0</v>
      </c>
      <c r="F858" s="6">
        <f>Calc_Formulas!AF854</f>
        <v>0</v>
      </c>
      <c r="G858" s="6">
        <f>Calc_Formulas!AG854</f>
        <v>0</v>
      </c>
    </row>
    <row r="859" spans="1:7">
      <c r="A859" s="6">
        <f>Calc_Formulas!A855</f>
        <v>0</v>
      </c>
      <c r="B859" s="7">
        <f>Calc_Formulas!AH855</f>
        <v>0</v>
      </c>
      <c r="C859" s="7">
        <f>Calc_Formulas!AI855</f>
        <v>0</v>
      </c>
      <c r="D859" s="7">
        <f>Calc_Formulas!AJ855</f>
        <v>0</v>
      </c>
      <c r="E859" s="6">
        <f>Calc_Formulas!AE855</f>
        <v>0</v>
      </c>
      <c r="F859" s="6">
        <f>Calc_Formulas!AF855</f>
        <v>0</v>
      </c>
      <c r="G859" s="6">
        <f>Calc_Formulas!AG855</f>
        <v>0</v>
      </c>
    </row>
    <row r="860" spans="1:7">
      <c r="A860" s="6">
        <f>Calc_Formulas!A856</f>
        <v>0</v>
      </c>
      <c r="B860" s="7">
        <f>Calc_Formulas!AH856</f>
        <v>0</v>
      </c>
      <c r="C860" s="7">
        <f>Calc_Formulas!AI856</f>
        <v>0</v>
      </c>
      <c r="D860" s="7">
        <f>Calc_Formulas!AJ856</f>
        <v>0</v>
      </c>
      <c r="E860" s="6">
        <f>Calc_Formulas!AE856</f>
        <v>0</v>
      </c>
      <c r="F860" s="6">
        <f>Calc_Formulas!AF856</f>
        <v>0</v>
      </c>
      <c r="G860" s="6">
        <f>Calc_Formulas!AG856</f>
        <v>0</v>
      </c>
    </row>
    <row r="861" spans="1:7">
      <c r="A861" s="6">
        <f>Calc_Formulas!A857</f>
        <v>0</v>
      </c>
      <c r="B861" s="7">
        <f>Calc_Formulas!AH857</f>
        <v>0</v>
      </c>
      <c r="C861" s="7">
        <f>Calc_Formulas!AI857</f>
        <v>0</v>
      </c>
      <c r="D861" s="7">
        <f>Calc_Formulas!AJ857</f>
        <v>0</v>
      </c>
      <c r="E861" s="6">
        <f>Calc_Formulas!AE857</f>
        <v>0</v>
      </c>
      <c r="F861" s="6">
        <f>Calc_Formulas!AF857</f>
        <v>0</v>
      </c>
      <c r="G861" s="6">
        <f>Calc_Formulas!AG857</f>
        <v>0</v>
      </c>
    </row>
    <row r="862" spans="1:7">
      <c r="A862" s="6">
        <f>Calc_Formulas!A858</f>
        <v>0</v>
      </c>
      <c r="B862" s="7">
        <f>Calc_Formulas!AH858</f>
        <v>0</v>
      </c>
      <c r="C862" s="7">
        <f>Calc_Formulas!AI858</f>
        <v>0</v>
      </c>
      <c r="D862" s="7">
        <f>Calc_Formulas!AJ858</f>
        <v>0</v>
      </c>
      <c r="E862" s="6">
        <f>Calc_Formulas!AE858</f>
        <v>0</v>
      </c>
      <c r="F862" s="6">
        <f>Calc_Formulas!AF858</f>
        <v>0</v>
      </c>
      <c r="G862" s="6">
        <f>Calc_Formulas!AG858</f>
        <v>0</v>
      </c>
    </row>
    <row r="863" spans="1:7">
      <c r="A863" s="6">
        <f>Calc_Formulas!A859</f>
        <v>0</v>
      </c>
      <c r="B863" s="7">
        <f>Calc_Formulas!AH859</f>
        <v>0</v>
      </c>
      <c r="C863" s="7">
        <f>Calc_Formulas!AI859</f>
        <v>0</v>
      </c>
      <c r="D863" s="7">
        <f>Calc_Formulas!AJ859</f>
        <v>0</v>
      </c>
      <c r="E863" s="6">
        <f>Calc_Formulas!AE859</f>
        <v>0</v>
      </c>
      <c r="F863" s="6">
        <f>Calc_Formulas!AF859</f>
        <v>0</v>
      </c>
      <c r="G863" s="6">
        <f>Calc_Formulas!AG859</f>
        <v>0</v>
      </c>
    </row>
    <row r="864" spans="1:7">
      <c r="A864" s="6">
        <f>Calc_Formulas!A860</f>
        <v>0</v>
      </c>
      <c r="B864" s="7">
        <f>Calc_Formulas!AH860</f>
        <v>0</v>
      </c>
      <c r="C864" s="7">
        <f>Calc_Formulas!AI860</f>
        <v>0</v>
      </c>
      <c r="D864" s="7">
        <f>Calc_Formulas!AJ860</f>
        <v>0</v>
      </c>
      <c r="E864" s="6">
        <f>Calc_Formulas!AE860</f>
        <v>0</v>
      </c>
      <c r="F864" s="6">
        <f>Calc_Formulas!AF860</f>
        <v>0</v>
      </c>
      <c r="G864" s="6">
        <f>Calc_Formulas!AG860</f>
        <v>0</v>
      </c>
    </row>
    <row r="865" spans="1:7">
      <c r="A865" s="6">
        <f>Calc_Formulas!A861</f>
        <v>0</v>
      </c>
      <c r="B865" s="7">
        <f>Calc_Formulas!AH861</f>
        <v>0</v>
      </c>
      <c r="C865" s="7">
        <f>Calc_Formulas!AI861</f>
        <v>0</v>
      </c>
      <c r="D865" s="7">
        <f>Calc_Formulas!AJ861</f>
        <v>0</v>
      </c>
      <c r="E865" s="6">
        <f>Calc_Formulas!AE861</f>
        <v>0</v>
      </c>
      <c r="F865" s="6">
        <f>Calc_Formulas!AF861</f>
        <v>0</v>
      </c>
      <c r="G865" s="6">
        <f>Calc_Formulas!AG861</f>
        <v>0</v>
      </c>
    </row>
    <row r="866" spans="1:7">
      <c r="A866" s="6">
        <f>Calc_Formulas!A862</f>
        <v>0</v>
      </c>
      <c r="B866" s="7">
        <f>Calc_Formulas!AH862</f>
        <v>0</v>
      </c>
      <c r="C866" s="7">
        <f>Calc_Formulas!AI862</f>
        <v>0</v>
      </c>
      <c r="D866" s="7">
        <f>Calc_Formulas!AJ862</f>
        <v>0</v>
      </c>
      <c r="E866" s="6">
        <f>Calc_Formulas!AE862</f>
        <v>0</v>
      </c>
      <c r="F866" s="6">
        <f>Calc_Formulas!AF862</f>
        <v>0</v>
      </c>
      <c r="G866" s="6">
        <f>Calc_Formulas!AG862</f>
        <v>0</v>
      </c>
    </row>
    <row r="867" spans="1:7">
      <c r="A867" s="6">
        <f>Calc_Formulas!A863</f>
        <v>0</v>
      </c>
      <c r="B867" s="7">
        <f>Calc_Formulas!AH863</f>
        <v>0</v>
      </c>
      <c r="C867" s="7">
        <f>Calc_Formulas!AI863</f>
        <v>0</v>
      </c>
      <c r="D867" s="7">
        <f>Calc_Formulas!AJ863</f>
        <v>0</v>
      </c>
      <c r="E867" s="6">
        <f>Calc_Formulas!AE863</f>
        <v>0</v>
      </c>
      <c r="F867" s="6">
        <f>Calc_Formulas!AF863</f>
        <v>0</v>
      </c>
      <c r="G867" s="6">
        <f>Calc_Formulas!AG863</f>
        <v>0</v>
      </c>
    </row>
    <row r="868" spans="1:7">
      <c r="A868" s="6">
        <f>Calc_Formulas!A864</f>
        <v>0</v>
      </c>
      <c r="B868" s="7">
        <f>Calc_Formulas!AH864</f>
        <v>0</v>
      </c>
      <c r="C868" s="7">
        <f>Calc_Formulas!AI864</f>
        <v>0</v>
      </c>
      <c r="D868" s="7">
        <f>Calc_Formulas!AJ864</f>
        <v>0</v>
      </c>
      <c r="E868" s="6">
        <f>Calc_Formulas!AE864</f>
        <v>0</v>
      </c>
      <c r="F868" s="6">
        <f>Calc_Formulas!AF864</f>
        <v>0</v>
      </c>
      <c r="G868" s="6">
        <f>Calc_Formulas!AG864</f>
        <v>0</v>
      </c>
    </row>
    <row r="869" spans="1:7">
      <c r="A869" s="6">
        <f>Calc_Formulas!A865</f>
        <v>0</v>
      </c>
      <c r="B869" s="7">
        <f>Calc_Formulas!AH865</f>
        <v>0</v>
      </c>
      <c r="C869" s="7">
        <f>Calc_Formulas!AI865</f>
        <v>0</v>
      </c>
      <c r="D869" s="7">
        <f>Calc_Formulas!AJ865</f>
        <v>0</v>
      </c>
      <c r="E869" s="6">
        <f>Calc_Formulas!AE865</f>
        <v>0</v>
      </c>
      <c r="F869" s="6">
        <f>Calc_Formulas!AF865</f>
        <v>0</v>
      </c>
      <c r="G869" s="6">
        <f>Calc_Formulas!AG865</f>
        <v>0</v>
      </c>
    </row>
    <row r="870" spans="1:7">
      <c r="A870" s="6">
        <f>Calc_Formulas!A866</f>
        <v>0</v>
      </c>
      <c r="B870" s="7">
        <f>Calc_Formulas!AH866</f>
        <v>0</v>
      </c>
      <c r="C870" s="7">
        <f>Calc_Formulas!AI866</f>
        <v>0</v>
      </c>
      <c r="D870" s="7">
        <f>Calc_Formulas!AJ866</f>
        <v>0</v>
      </c>
      <c r="E870" s="6">
        <f>Calc_Formulas!AE866</f>
        <v>0</v>
      </c>
      <c r="F870" s="6">
        <f>Calc_Formulas!AF866</f>
        <v>0</v>
      </c>
      <c r="G870" s="6">
        <f>Calc_Formulas!AG866</f>
        <v>0</v>
      </c>
    </row>
    <row r="871" spans="1:7">
      <c r="A871" s="6">
        <f>Calc_Formulas!A867</f>
        <v>0</v>
      </c>
      <c r="B871" s="7">
        <f>Calc_Formulas!AH867</f>
        <v>0</v>
      </c>
      <c r="C871" s="7">
        <f>Calc_Formulas!AI867</f>
        <v>0</v>
      </c>
      <c r="D871" s="7">
        <f>Calc_Formulas!AJ867</f>
        <v>0</v>
      </c>
      <c r="E871" s="6">
        <f>Calc_Formulas!AE867</f>
        <v>0</v>
      </c>
      <c r="F871" s="6">
        <f>Calc_Formulas!AF867</f>
        <v>0</v>
      </c>
      <c r="G871" s="6">
        <f>Calc_Formulas!AG867</f>
        <v>0</v>
      </c>
    </row>
    <row r="872" spans="1:7">
      <c r="A872" s="6">
        <f>Calc_Formulas!A868</f>
        <v>0</v>
      </c>
      <c r="B872" s="7">
        <f>Calc_Formulas!AH868</f>
        <v>0</v>
      </c>
      <c r="C872" s="7">
        <f>Calc_Formulas!AI868</f>
        <v>0</v>
      </c>
      <c r="D872" s="7">
        <f>Calc_Formulas!AJ868</f>
        <v>0</v>
      </c>
      <c r="E872" s="6">
        <f>Calc_Formulas!AE868</f>
        <v>0</v>
      </c>
      <c r="F872" s="6">
        <f>Calc_Formulas!AF868</f>
        <v>0</v>
      </c>
      <c r="G872" s="6">
        <f>Calc_Formulas!AG868</f>
        <v>0</v>
      </c>
    </row>
    <row r="873" spans="1:7">
      <c r="A873" s="6">
        <f>Calc_Formulas!A869</f>
        <v>0</v>
      </c>
      <c r="B873" s="7">
        <f>Calc_Formulas!AH869</f>
        <v>0</v>
      </c>
      <c r="C873" s="7">
        <f>Calc_Formulas!AI869</f>
        <v>0</v>
      </c>
      <c r="D873" s="7">
        <f>Calc_Formulas!AJ869</f>
        <v>0</v>
      </c>
      <c r="E873" s="6">
        <f>Calc_Formulas!AE869</f>
        <v>0</v>
      </c>
      <c r="F873" s="6">
        <f>Calc_Formulas!AF869</f>
        <v>0</v>
      </c>
      <c r="G873" s="6">
        <f>Calc_Formulas!AG869</f>
        <v>0</v>
      </c>
    </row>
    <row r="874" spans="1:7">
      <c r="A874" s="6">
        <f>Calc_Formulas!A870</f>
        <v>0</v>
      </c>
      <c r="B874" s="7">
        <f>Calc_Formulas!AH870</f>
        <v>0</v>
      </c>
      <c r="C874" s="7">
        <f>Calc_Formulas!AI870</f>
        <v>0</v>
      </c>
      <c r="D874" s="7">
        <f>Calc_Formulas!AJ870</f>
        <v>0</v>
      </c>
      <c r="E874" s="6">
        <f>Calc_Formulas!AE870</f>
        <v>0</v>
      </c>
      <c r="F874" s="6">
        <f>Calc_Formulas!AF870</f>
        <v>0</v>
      </c>
      <c r="G874" s="6">
        <f>Calc_Formulas!AG870</f>
        <v>0</v>
      </c>
    </row>
    <row r="875" spans="1:7">
      <c r="A875" s="6">
        <f>Calc_Formulas!A871</f>
        <v>0</v>
      </c>
      <c r="B875" s="7">
        <f>Calc_Formulas!AH871</f>
        <v>0</v>
      </c>
      <c r="C875" s="7">
        <f>Calc_Formulas!AI871</f>
        <v>0</v>
      </c>
      <c r="D875" s="7">
        <f>Calc_Formulas!AJ871</f>
        <v>0</v>
      </c>
      <c r="E875" s="6">
        <f>Calc_Formulas!AE871</f>
        <v>0</v>
      </c>
      <c r="F875" s="6">
        <f>Calc_Formulas!AF871</f>
        <v>0</v>
      </c>
      <c r="G875" s="6">
        <f>Calc_Formulas!AG871</f>
        <v>0</v>
      </c>
    </row>
    <row r="876" spans="1:7">
      <c r="A876" s="6">
        <f>Calc_Formulas!A872</f>
        <v>0</v>
      </c>
      <c r="B876" s="7">
        <f>Calc_Formulas!AH872</f>
        <v>0</v>
      </c>
      <c r="C876" s="7">
        <f>Calc_Formulas!AI872</f>
        <v>0</v>
      </c>
      <c r="D876" s="7">
        <f>Calc_Formulas!AJ872</f>
        <v>0</v>
      </c>
      <c r="E876" s="6">
        <f>Calc_Formulas!AE872</f>
        <v>0</v>
      </c>
      <c r="F876" s="6">
        <f>Calc_Formulas!AF872</f>
        <v>0</v>
      </c>
      <c r="G876" s="6">
        <f>Calc_Formulas!AG872</f>
        <v>0</v>
      </c>
    </row>
    <row r="877" spans="1:7">
      <c r="A877" s="6">
        <f>Calc_Formulas!A873</f>
        <v>0</v>
      </c>
      <c r="B877" s="7">
        <f>Calc_Formulas!AH873</f>
        <v>0</v>
      </c>
      <c r="C877" s="7">
        <f>Calc_Formulas!AI873</f>
        <v>0</v>
      </c>
      <c r="D877" s="7">
        <f>Calc_Formulas!AJ873</f>
        <v>0</v>
      </c>
      <c r="E877" s="6">
        <f>Calc_Formulas!AE873</f>
        <v>0</v>
      </c>
      <c r="F877" s="6">
        <f>Calc_Formulas!AF873</f>
        <v>0</v>
      </c>
      <c r="G877" s="6">
        <f>Calc_Formulas!AG873</f>
        <v>0</v>
      </c>
    </row>
    <row r="878" spans="1:7">
      <c r="A878" s="6">
        <f>Calc_Formulas!A874</f>
        <v>0</v>
      </c>
      <c r="B878" s="7">
        <f>Calc_Formulas!AH874</f>
        <v>0</v>
      </c>
      <c r="C878" s="7">
        <f>Calc_Formulas!AI874</f>
        <v>0</v>
      </c>
      <c r="D878" s="7">
        <f>Calc_Formulas!AJ874</f>
        <v>0</v>
      </c>
      <c r="E878" s="6">
        <f>Calc_Formulas!AE874</f>
        <v>0</v>
      </c>
      <c r="F878" s="6">
        <f>Calc_Formulas!AF874</f>
        <v>0</v>
      </c>
      <c r="G878" s="6">
        <f>Calc_Formulas!AG874</f>
        <v>0</v>
      </c>
    </row>
    <row r="879" spans="1:7">
      <c r="A879" s="6">
        <f>Calc_Formulas!A875</f>
        <v>0</v>
      </c>
      <c r="B879" s="7">
        <f>Calc_Formulas!AH875</f>
        <v>0</v>
      </c>
      <c r="C879" s="7">
        <f>Calc_Formulas!AI875</f>
        <v>0</v>
      </c>
      <c r="D879" s="7">
        <f>Calc_Formulas!AJ875</f>
        <v>0</v>
      </c>
      <c r="E879" s="6">
        <f>Calc_Formulas!AE875</f>
        <v>0</v>
      </c>
      <c r="F879" s="6">
        <f>Calc_Formulas!AF875</f>
        <v>0</v>
      </c>
      <c r="G879" s="6">
        <f>Calc_Formulas!AG875</f>
        <v>0</v>
      </c>
    </row>
    <row r="880" spans="1:7">
      <c r="A880" s="6">
        <f>Calc_Formulas!A876</f>
        <v>0</v>
      </c>
      <c r="B880" s="7">
        <f>Calc_Formulas!AH876</f>
        <v>0</v>
      </c>
      <c r="C880" s="7">
        <f>Calc_Formulas!AI876</f>
        <v>0</v>
      </c>
      <c r="D880" s="7">
        <f>Calc_Formulas!AJ876</f>
        <v>0</v>
      </c>
      <c r="E880" s="6">
        <f>Calc_Formulas!AE876</f>
        <v>0</v>
      </c>
      <c r="F880" s="6">
        <f>Calc_Formulas!AF876</f>
        <v>0</v>
      </c>
      <c r="G880" s="6">
        <f>Calc_Formulas!AG876</f>
        <v>0</v>
      </c>
    </row>
    <row r="881" spans="1:7">
      <c r="A881" s="6">
        <f>Calc_Formulas!A877</f>
        <v>0</v>
      </c>
      <c r="B881" s="7">
        <f>Calc_Formulas!AH877</f>
        <v>0</v>
      </c>
      <c r="C881" s="7">
        <f>Calc_Formulas!AI877</f>
        <v>0</v>
      </c>
      <c r="D881" s="7">
        <f>Calc_Formulas!AJ877</f>
        <v>0</v>
      </c>
      <c r="E881" s="6">
        <f>Calc_Formulas!AE877</f>
        <v>0</v>
      </c>
      <c r="F881" s="6">
        <f>Calc_Formulas!AF877</f>
        <v>0</v>
      </c>
      <c r="G881" s="6">
        <f>Calc_Formulas!AG877</f>
        <v>0</v>
      </c>
    </row>
    <row r="882" spans="1:7">
      <c r="A882" s="6">
        <f>Calc_Formulas!A878</f>
        <v>0</v>
      </c>
      <c r="B882" s="7">
        <f>Calc_Formulas!AH878</f>
        <v>0</v>
      </c>
      <c r="C882" s="7">
        <f>Calc_Formulas!AI878</f>
        <v>0</v>
      </c>
      <c r="D882" s="7">
        <f>Calc_Formulas!AJ878</f>
        <v>0</v>
      </c>
      <c r="E882" s="6">
        <f>Calc_Formulas!AE878</f>
        <v>0</v>
      </c>
      <c r="F882" s="6">
        <f>Calc_Formulas!AF878</f>
        <v>0</v>
      </c>
      <c r="G882" s="6">
        <f>Calc_Formulas!AG878</f>
        <v>0</v>
      </c>
    </row>
    <row r="883" spans="1:7">
      <c r="A883" s="6">
        <f>Calc_Formulas!A879</f>
        <v>0</v>
      </c>
      <c r="B883" s="7">
        <f>Calc_Formulas!AH879</f>
        <v>0</v>
      </c>
      <c r="C883" s="7">
        <f>Calc_Formulas!AI879</f>
        <v>0</v>
      </c>
      <c r="D883" s="7">
        <f>Calc_Formulas!AJ879</f>
        <v>0</v>
      </c>
      <c r="E883" s="6">
        <f>Calc_Formulas!AE879</f>
        <v>0</v>
      </c>
      <c r="F883" s="6">
        <f>Calc_Formulas!AF879</f>
        <v>0</v>
      </c>
      <c r="G883" s="6">
        <f>Calc_Formulas!AG879</f>
        <v>0</v>
      </c>
    </row>
    <row r="884" spans="1:7">
      <c r="A884" s="6">
        <f>Calc_Formulas!A880</f>
        <v>0</v>
      </c>
      <c r="B884" s="7">
        <f>Calc_Formulas!AH880</f>
        <v>0</v>
      </c>
      <c r="C884" s="7">
        <f>Calc_Formulas!AI880</f>
        <v>0</v>
      </c>
      <c r="D884" s="7">
        <f>Calc_Formulas!AJ880</f>
        <v>0</v>
      </c>
      <c r="E884" s="6">
        <f>Calc_Formulas!AE880</f>
        <v>0</v>
      </c>
      <c r="F884" s="6">
        <f>Calc_Formulas!AF880</f>
        <v>0</v>
      </c>
      <c r="G884" s="6">
        <f>Calc_Formulas!AG880</f>
        <v>0</v>
      </c>
    </row>
    <row r="885" spans="1:7">
      <c r="A885" s="6">
        <f>Calc_Formulas!A881</f>
        <v>0</v>
      </c>
      <c r="B885" s="7">
        <f>Calc_Formulas!AH881</f>
        <v>0</v>
      </c>
      <c r="C885" s="7">
        <f>Calc_Formulas!AI881</f>
        <v>0</v>
      </c>
      <c r="D885" s="7">
        <f>Calc_Formulas!AJ881</f>
        <v>0</v>
      </c>
      <c r="E885" s="6">
        <f>Calc_Formulas!AE881</f>
        <v>0</v>
      </c>
      <c r="F885" s="6">
        <f>Calc_Formulas!AF881</f>
        <v>0</v>
      </c>
      <c r="G885" s="6">
        <f>Calc_Formulas!AG881</f>
        <v>0</v>
      </c>
    </row>
    <row r="886" spans="1:7">
      <c r="A886" s="6">
        <f>Calc_Formulas!A882</f>
        <v>0</v>
      </c>
      <c r="B886" s="7">
        <f>Calc_Formulas!AH882</f>
        <v>0</v>
      </c>
      <c r="C886" s="7">
        <f>Calc_Formulas!AI882</f>
        <v>0</v>
      </c>
      <c r="D886" s="7">
        <f>Calc_Formulas!AJ882</f>
        <v>0</v>
      </c>
      <c r="E886" s="6">
        <f>Calc_Formulas!AE882</f>
        <v>0</v>
      </c>
      <c r="F886" s="6">
        <f>Calc_Formulas!AF882</f>
        <v>0</v>
      </c>
      <c r="G886" s="6">
        <f>Calc_Formulas!AG882</f>
        <v>0</v>
      </c>
    </row>
    <row r="887" spans="1:7">
      <c r="A887" s="6">
        <f>Calc_Formulas!A883</f>
        <v>0</v>
      </c>
      <c r="B887" s="7">
        <f>Calc_Formulas!AH883</f>
        <v>0</v>
      </c>
      <c r="C887" s="7">
        <f>Calc_Formulas!AI883</f>
        <v>0</v>
      </c>
      <c r="D887" s="7">
        <f>Calc_Formulas!AJ883</f>
        <v>0</v>
      </c>
      <c r="E887" s="6">
        <f>Calc_Formulas!AE883</f>
        <v>0</v>
      </c>
      <c r="F887" s="6">
        <f>Calc_Formulas!AF883</f>
        <v>0</v>
      </c>
      <c r="G887" s="6">
        <f>Calc_Formulas!AG883</f>
        <v>0</v>
      </c>
    </row>
    <row r="888" spans="1:7">
      <c r="A888" s="6">
        <f>Calc_Formulas!A884</f>
        <v>0</v>
      </c>
      <c r="B888" s="7">
        <f>Calc_Formulas!AH884</f>
        <v>0</v>
      </c>
      <c r="C888" s="7">
        <f>Calc_Formulas!AI884</f>
        <v>0</v>
      </c>
      <c r="D888" s="7">
        <f>Calc_Formulas!AJ884</f>
        <v>0</v>
      </c>
      <c r="E888" s="6">
        <f>Calc_Formulas!AE884</f>
        <v>0</v>
      </c>
      <c r="F888" s="6">
        <f>Calc_Formulas!AF884</f>
        <v>0</v>
      </c>
      <c r="G888" s="6">
        <f>Calc_Formulas!AG884</f>
        <v>0</v>
      </c>
    </row>
    <row r="889" spans="1:7">
      <c r="A889" s="6">
        <f>Calc_Formulas!A885</f>
        <v>0</v>
      </c>
      <c r="B889" s="7">
        <f>Calc_Formulas!AH885</f>
        <v>0</v>
      </c>
      <c r="C889" s="7">
        <f>Calc_Formulas!AI885</f>
        <v>0</v>
      </c>
      <c r="D889" s="7">
        <f>Calc_Formulas!AJ885</f>
        <v>0</v>
      </c>
      <c r="E889" s="6">
        <f>Calc_Formulas!AE885</f>
        <v>0</v>
      </c>
      <c r="F889" s="6">
        <f>Calc_Formulas!AF885</f>
        <v>0</v>
      </c>
      <c r="G889" s="6">
        <f>Calc_Formulas!AG885</f>
        <v>0</v>
      </c>
    </row>
    <row r="890" spans="1:7">
      <c r="A890" s="6">
        <f>Calc_Formulas!A886</f>
        <v>0</v>
      </c>
      <c r="B890" s="7">
        <f>Calc_Formulas!AH886</f>
        <v>0</v>
      </c>
      <c r="C890" s="7">
        <f>Calc_Formulas!AI886</f>
        <v>0</v>
      </c>
      <c r="D890" s="7">
        <f>Calc_Formulas!AJ886</f>
        <v>0</v>
      </c>
      <c r="E890" s="6">
        <f>Calc_Formulas!AE886</f>
        <v>0</v>
      </c>
      <c r="F890" s="6">
        <f>Calc_Formulas!AF886</f>
        <v>0</v>
      </c>
      <c r="G890" s="6">
        <f>Calc_Formulas!AG886</f>
        <v>0</v>
      </c>
    </row>
    <row r="891" spans="1:7">
      <c r="A891" s="6">
        <f>Calc_Formulas!A887</f>
        <v>0</v>
      </c>
      <c r="B891" s="7">
        <f>Calc_Formulas!AH887</f>
        <v>0</v>
      </c>
      <c r="C891" s="7">
        <f>Calc_Formulas!AI887</f>
        <v>0</v>
      </c>
      <c r="D891" s="7">
        <f>Calc_Formulas!AJ887</f>
        <v>0</v>
      </c>
      <c r="E891" s="6">
        <f>Calc_Formulas!AE887</f>
        <v>0</v>
      </c>
      <c r="F891" s="6">
        <f>Calc_Formulas!AF887</f>
        <v>0</v>
      </c>
      <c r="G891" s="6">
        <f>Calc_Formulas!AG887</f>
        <v>0</v>
      </c>
    </row>
    <row r="892" spans="1:7">
      <c r="A892" s="6">
        <f>Calc_Formulas!A888</f>
        <v>0</v>
      </c>
      <c r="B892" s="7">
        <f>Calc_Formulas!AH888</f>
        <v>0</v>
      </c>
      <c r="C892" s="7">
        <f>Calc_Formulas!AI888</f>
        <v>0</v>
      </c>
      <c r="D892" s="7">
        <f>Calc_Formulas!AJ888</f>
        <v>0</v>
      </c>
      <c r="E892" s="6">
        <f>Calc_Formulas!AE888</f>
        <v>0</v>
      </c>
      <c r="F892" s="6">
        <f>Calc_Formulas!AF888</f>
        <v>0</v>
      </c>
      <c r="G892" s="6">
        <f>Calc_Formulas!AG888</f>
        <v>0</v>
      </c>
    </row>
    <row r="893" spans="1:7">
      <c r="A893" s="6">
        <f>Calc_Formulas!A889</f>
        <v>0</v>
      </c>
      <c r="B893" s="7">
        <f>Calc_Formulas!AH889</f>
        <v>0</v>
      </c>
      <c r="C893" s="7">
        <f>Calc_Formulas!AI889</f>
        <v>0</v>
      </c>
      <c r="D893" s="7">
        <f>Calc_Formulas!AJ889</f>
        <v>0</v>
      </c>
      <c r="E893" s="6">
        <f>Calc_Formulas!AE889</f>
        <v>0</v>
      </c>
      <c r="F893" s="6">
        <f>Calc_Formulas!AF889</f>
        <v>0</v>
      </c>
      <c r="G893" s="6">
        <f>Calc_Formulas!AG889</f>
        <v>0</v>
      </c>
    </row>
    <row r="894" spans="1:7">
      <c r="A894" s="6">
        <f>Calc_Formulas!A890</f>
        <v>0</v>
      </c>
      <c r="B894" s="7">
        <f>Calc_Formulas!AH890</f>
        <v>0</v>
      </c>
      <c r="C894" s="7">
        <f>Calc_Formulas!AI890</f>
        <v>0</v>
      </c>
      <c r="D894" s="7">
        <f>Calc_Formulas!AJ890</f>
        <v>0</v>
      </c>
      <c r="E894" s="6">
        <f>Calc_Formulas!AE890</f>
        <v>0</v>
      </c>
      <c r="F894" s="6">
        <f>Calc_Formulas!AF890</f>
        <v>0</v>
      </c>
      <c r="G894" s="6">
        <f>Calc_Formulas!AG890</f>
        <v>0</v>
      </c>
    </row>
    <row r="895" spans="1:7">
      <c r="A895" s="6">
        <f>Calc_Formulas!A891</f>
        <v>0</v>
      </c>
      <c r="B895" s="7">
        <f>Calc_Formulas!AH891</f>
        <v>0</v>
      </c>
      <c r="C895" s="7">
        <f>Calc_Formulas!AI891</f>
        <v>0</v>
      </c>
      <c r="D895" s="7">
        <f>Calc_Formulas!AJ891</f>
        <v>0</v>
      </c>
      <c r="E895" s="6">
        <f>Calc_Formulas!AE891</f>
        <v>0</v>
      </c>
      <c r="F895" s="6">
        <f>Calc_Formulas!AF891</f>
        <v>0</v>
      </c>
      <c r="G895" s="6">
        <f>Calc_Formulas!AG891</f>
        <v>0</v>
      </c>
    </row>
    <row r="896" spans="1:7">
      <c r="A896" s="6">
        <f>Calc_Formulas!A892</f>
        <v>0</v>
      </c>
      <c r="B896" s="7">
        <f>Calc_Formulas!AH892</f>
        <v>0</v>
      </c>
      <c r="C896" s="7">
        <f>Calc_Formulas!AI892</f>
        <v>0</v>
      </c>
      <c r="D896" s="7">
        <f>Calc_Formulas!AJ892</f>
        <v>0</v>
      </c>
      <c r="E896" s="6">
        <f>Calc_Formulas!AE892</f>
        <v>0</v>
      </c>
      <c r="F896" s="6">
        <f>Calc_Formulas!AF892</f>
        <v>0</v>
      </c>
      <c r="G896" s="6">
        <f>Calc_Formulas!AG892</f>
        <v>0</v>
      </c>
    </row>
    <row r="897" spans="1:7">
      <c r="A897" s="6">
        <f>Calc_Formulas!A893</f>
        <v>0</v>
      </c>
      <c r="B897" s="7">
        <f>Calc_Formulas!AH893</f>
        <v>0</v>
      </c>
      <c r="C897" s="7">
        <f>Calc_Formulas!AI893</f>
        <v>0</v>
      </c>
      <c r="D897" s="7">
        <f>Calc_Formulas!AJ893</f>
        <v>0</v>
      </c>
      <c r="E897" s="6">
        <f>Calc_Formulas!AE893</f>
        <v>0</v>
      </c>
      <c r="F897" s="6">
        <f>Calc_Formulas!AF893</f>
        <v>0</v>
      </c>
      <c r="G897" s="6">
        <f>Calc_Formulas!AG893</f>
        <v>0</v>
      </c>
    </row>
    <row r="898" spans="1:7">
      <c r="A898" s="6">
        <f>Calc_Formulas!A894</f>
        <v>0</v>
      </c>
      <c r="B898" s="7">
        <f>Calc_Formulas!AH894</f>
        <v>0</v>
      </c>
      <c r="C898" s="7">
        <f>Calc_Formulas!AI894</f>
        <v>0</v>
      </c>
      <c r="D898" s="7">
        <f>Calc_Formulas!AJ894</f>
        <v>0</v>
      </c>
      <c r="E898" s="6">
        <f>Calc_Formulas!AE894</f>
        <v>0</v>
      </c>
      <c r="F898" s="6">
        <f>Calc_Formulas!AF894</f>
        <v>0</v>
      </c>
      <c r="G898" s="6">
        <f>Calc_Formulas!AG894</f>
        <v>0</v>
      </c>
    </row>
    <row r="899" spans="1:7">
      <c r="A899" s="6">
        <f>Calc_Formulas!A895</f>
        <v>0</v>
      </c>
      <c r="B899" s="7">
        <f>Calc_Formulas!AH895</f>
        <v>0</v>
      </c>
      <c r="C899" s="7">
        <f>Calc_Formulas!AI895</f>
        <v>0</v>
      </c>
      <c r="D899" s="7">
        <f>Calc_Formulas!AJ895</f>
        <v>0</v>
      </c>
      <c r="E899" s="6">
        <f>Calc_Formulas!AE895</f>
        <v>0</v>
      </c>
      <c r="F899" s="6">
        <f>Calc_Formulas!AF895</f>
        <v>0</v>
      </c>
      <c r="G899" s="6">
        <f>Calc_Formulas!AG895</f>
        <v>0</v>
      </c>
    </row>
    <row r="900" spans="1:7">
      <c r="A900" s="6">
        <f>Calc_Formulas!A896</f>
        <v>0</v>
      </c>
      <c r="B900" s="7">
        <f>Calc_Formulas!AH896</f>
        <v>0</v>
      </c>
      <c r="C900" s="7">
        <f>Calc_Formulas!AI896</f>
        <v>0</v>
      </c>
      <c r="D900" s="7">
        <f>Calc_Formulas!AJ896</f>
        <v>0</v>
      </c>
      <c r="E900" s="6">
        <f>Calc_Formulas!AE896</f>
        <v>0</v>
      </c>
      <c r="F900" s="6">
        <f>Calc_Formulas!AF896</f>
        <v>0</v>
      </c>
      <c r="G900" s="6">
        <f>Calc_Formulas!AG896</f>
        <v>0</v>
      </c>
    </row>
    <row r="901" spans="1:7">
      <c r="A901" s="6">
        <f>Calc_Formulas!A897</f>
        <v>0</v>
      </c>
      <c r="B901" s="7">
        <f>Calc_Formulas!AH897</f>
        <v>0</v>
      </c>
      <c r="C901" s="7">
        <f>Calc_Formulas!AI897</f>
        <v>0</v>
      </c>
      <c r="D901" s="7">
        <f>Calc_Formulas!AJ897</f>
        <v>0</v>
      </c>
      <c r="E901" s="6">
        <f>Calc_Formulas!AE897</f>
        <v>0</v>
      </c>
      <c r="F901" s="6">
        <f>Calc_Formulas!AF897</f>
        <v>0</v>
      </c>
      <c r="G901" s="6">
        <f>Calc_Formulas!AG897</f>
        <v>0</v>
      </c>
    </row>
    <row r="902" spans="1:7">
      <c r="A902" s="6">
        <f>Calc_Formulas!A898</f>
        <v>0</v>
      </c>
      <c r="B902" s="7">
        <f>Calc_Formulas!AH898</f>
        <v>0</v>
      </c>
      <c r="C902" s="7">
        <f>Calc_Formulas!AI898</f>
        <v>0</v>
      </c>
      <c r="D902" s="7">
        <f>Calc_Formulas!AJ898</f>
        <v>0</v>
      </c>
      <c r="E902" s="6">
        <f>Calc_Formulas!AE898</f>
        <v>0</v>
      </c>
      <c r="F902" s="6">
        <f>Calc_Formulas!AF898</f>
        <v>0</v>
      </c>
      <c r="G902" s="6">
        <f>Calc_Formulas!AG898</f>
        <v>0</v>
      </c>
    </row>
    <row r="903" spans="1:7">
      <c r="A903" s="6">
        <f>Calc_Formulas!A899</f>
        <v>0</v>
      </c>
      <c r="B903" s="7">
        <f>Calc_Formulas!AH899</f>
        <v>0</v>
      </c>
      <c r="C903" s="7">
        <f>Calc_Formulas!AI899</f>
        <v>0</v>
      </c>
      <c r="D903" s="7">
        <f>Calc_Formulas!AJ899</f>
        <v>0</v>
      </c>
      <c r="E903" s="6">
        <f>Calc_Formulas!AE899</f>
        <v>0</v>
      </c>
      <c r="F903" s="6">
        <f>Calc_Formulas!AF899</f>
        <v>0</v>
      </c>
      <c r="G903" s="6">
        <f>Calc_Formulas!AG899</f>
        <v>0</v>
      </c>
    </row>
    <row r="904" spans="1:7">
      <c r="A904" s="6">
        <f>Calc_Formulas!A900</f>
        <v>0</v>
      </c>
      <c r="B904" s="7">
        <f>Calc_Formulas!AH900</f>
        <v>0</v>
      </c>
      <c r="C904" s="7">
        <f>Calc_Formulas!AI900</f>
        <v>0</v>
      </c>
      <c r="D904" s="7">
        <f>Calc_Formulas!AJ900</f>
        <v>0</v>
      </c>
      <c r="E904" s="6">
        <f>Calc_Formulas!AE900</f>
        <v>0</v>
      </c>
      <c r="F904" s="6">
        <f>Calc_Formulas!AF900</f>
        <v>0</v>
      </c>
      <c r="G904" s="6">
        <f>Calc_Formulas!AG900</f>
        <v>0</v>
      </c>
    </row>
    <row r="905" spans="1:7">
      <c r="A905" s="6">
        <f>Calc_Formulas!A901</f>
        <v>0</v>
      </c>
      <c r="B905" s="7">
        <f>Calc_Formulas!AH901</f>
        <v>0</v>
      </c>
      <c r="C905" s="7">
        <f>Calc_Formulas!AI901</f>
        <v>0</v>
      </c>
      <c r="D905" s="7">
        <f>Calc_Formulas!AJ901</f>
        <v>0</v>
      </c>
      <c r="E905" s="6">
        <f>Calc_Formulas!AE901</f>
        <v>0</v>
      </c>
      <c r="F905" s="6">
        <f>Calc_Formulas!AF901</f>
        <v>0</v>
      </c>
      <c r="G905" s="6">
        <f>Calc_Formulas!AG901</f>
        <v>0</v>
      </c>
    </row>
    <row r="906" spans="1:7">
      <c r="A906" s="6">
        <f>Calc_Formulas!A902</f>
        <v>0</v>
      </c>
      <c r="B906" s="7">
        <f>Calc_Formulas!AH902</f>
        <v>0</v>
      </c>
      <c r="C906" s="7">
        <f>Calc_Formulas!AI902</f>
        <v>0</v>
      </c>
      <c r="D906" s="7">
        <f>Calc_Formulas!AJ902</f>
        <v>0</v>
      </c>
      <c r="E906" s="6">
        <f>Calc_Formulas!AE902</f>
        <v>0</v>
      </c>
      <c r="F906" s="6">
        <f>Calc_Formulas!AF902</f>
        <v>0</v>
      </c>
      <c r="G906" s="6">
        <f>Calc_Formulas!AG902</f>
        <v>0</v>
      </c>
    </row>
    <row r="907" spans="1:7">
      <c r="A907" s="6">
        <f>Calc_Formulas!A903</f>
        <v>0</v>
      </c>
      <c r="B907" s="7">
        <f>Calc_Formulas!AH903</f>
        <v>0</v>
      </c>
      <c r="C907" s="7">
        <f>Calc_Formulas!AI903</f>
        <v>0</v>
      </c>
      <c r="D907" s="7">
        <f>Calc_Formulas!AJ903</f>
        <v>0</v>
      </c>
      <c r="E907" s="6">
        <f>Calc_Formulas!AE903</f>
        <v>0</v>
      </c>
      <c r="F907" s="6">
        <f>Calc_Formulas!AF903</f>
        <v>0</v>
      </c>
      <c r="G907" s="6">
        <f>Calc_Formulas!AG903</f>
        <v>0</v>
      </c>
    </row>
    <row r="908" spans="1:7">
      <c r="A908" s="6">
        <f>Calc_Formulas!A904</f>
        <v>0</v>
      </c>
      <c r="B908" s="7">
        <f>Calc_Formulas!AH904</f>
        <v>0</v>
      </c>
      <c r="C908" s="7">
        <f>Calc_Formulas!AI904</f>
        <v>0</v>
      </c>
      <c r="D908" s="7">
        <f>Calc_Formulas!AJ904</f>
        <v>0</v>
      </c>
      <c r="E908" s="6">
        <f>Calc_Formulas!AE904</f>
        <v>0</v>
      </c>
      <c r="F908" s="6">
        <f>Calc_Formulas!AF904</f>
        <v>0</v>
      </c>
      <c r="G908" s="6">
        <f>Calc_Formulas!AG904</f>
        <v>0</v>
      </c>
    </row>
    <row r="909" spans="1:7">
      <c r="A909" s="6">
        <f>Calc_Formulas!A905</f>
        <v>0</v>
      </c>
      <c r="B909" s="7">
        <f>Calc_Formulas!AH905</f>
        <v>0</v>
      </c>
      <c r="C909" s="7">
        <f>Calc_Formulas!AI905</f>
        <v>0</v>
      </c>
      <c r="D909" s="7">
        <f>Calc_Formulas!AJ905</f>
        <v>0</v>
      </c>
      <c r="E909" s="6">
        <f>Calc_Formulas!AE905</f>
        <v>0</v>
      </c>
      <c r="F909" s="6">
        <f>Calc_Formulas!AF905</f>
        <v>0</v>
      </c>
      <c r="G909" s="6">
        <f>Calc_Formulas!AG905</f>
        <v>0</v>
      </c>
    </row>
    <row r="910" spans="1:7">
      <c r="A910" s="6">
        <f>Calc_Formulas!A906</f>
        <v>0</v>
      </c>
      <c r="B910" s="7">
        <f>Calc_Formulas!AH906</f>
        <v>0</v>
      </c>
      <c r="C910" s="7">
        <f>Calc_Formulas!AI906</f>
        <v>0</v>
      </c>
      <c r="D910" s="7">
        <f>Calc_Formulas!AJ906</f>
        <v>0</v>
      </c>
      <c r="E910" s="6">
        <f>Calc_Formulas!AE906</f>
        <v>0</v>
      </c>
      <c r="F910" s="6">
        <f>Calc_Formulas!AF906</f>
        <v>0</v>
      </c>
      <c r="G910" s="6">
        <f>Calc_Formulas!AG906</f>
        <v>0</v>
      </c>
    </row>
    <row r="911" spans="1:7">
      <c r="A911" s="6">
        <f>Calc_Formulas!A907</f>
        <v>0</v>
      </c>
      <c r="B911" s="7">
        <f>Calc_Formulas!AH907</f>
        <v>0</v>
      </c>
      <c r="C911" s="7">
        <f>Calc_Formulas!AI907</f>
        <v>0</v>
      </c>
      <c r="D911" s="7">
        <f>Calc_Formulas!AJ907</f>
        <v>0</v>
      </c>
      <c r="E911" s="6">
        <f>Calc_Formulas!AE907</f>
        <v>0</v>
      </c>
      <c r="F911" s="6">
        <f>Calc_Formulas!AF907</f>
        <v>0</v>
      </c>
      <c r="G911" s="6">
        <f>Calc_Formulas!AG907</f>
        <v>0</v>
      </c>
    </row>
    <row r="912" spans="1:7">
      <c r="A912" s="6">
        <f>Calc_Formulas!A908</f>
        <v>0</v>
      </c>
      <c r="B912" s="7">
        <f>Calc_Formulas!AH908</f>
        <v>0</v>
      </c>
      <c r="C912" s="7">
        <f>Calc_Formulas!AI908</f>
        <v>0</v>
      </c>
      <c r="D912" s="7">
        <f>Calc_Formulas!AJ908</f>
        <v>0</v>
      </c>
      <c r="E912" s="6">
        <f>Calc_Formulas!AE908</f>
        <v>0</v>
      </c>
      <c r="F912" s="6">
        <f>Calc_Formulas!AF908</f>
        <v>0</v>
      </c>
      <c r="G912" s="6">
        <f>Calc_Formulas!AG908</f>
        <v>0</v>
      </c>
    </row>
    <row r="913" spans="1:7">
      <c r="A913" s="6">
        <f>Calc_Formulas!A909</f>
        <v>0</v>
      </c>
      <c r="B913" s="7">
        <f>Calc_Formulas!AH909</f>
        <v>0</v>
      </c>
      <c r="C913" s="7">
        <f>Calc_Formulas!AI909</f>
        <v>0</v>
      </c>
      <c r="D913" s="7">
        <f>Calc_Formulas!AJ909</f>
        <v>0</v>
      </c>
      <c r="E913" s="6">
        <f>Calc_Formulas!AE909</f>
        <v>0</v>
      </c>
      <c r="F913" s="6">
        <f>Calc_Formulas!AF909</f>
        <v>0</v>
      </c>
      <c r="G913" s="6">
        <f>Calc_Formulas!AG909</f>
        <v>0</v>
      </c>
    </row>
    <row r="914" spans="1:7">
      <c r="A914" s="6">
        <f>Calc_Formulas!A910</f>
        <v>0</v>
      </c>
      <c r="B914" s="7">
        <f>Calc_Formulas!AH910</f>
        <v>0</v>
      </c>
      <c r="C914" s="7">
        <f>Calc_Formulas!AI910</f>
        <v>0</v>
      </c>
      <c r="D914" s="7">
        <f>Calc_Formulas!AJ910</f>
        <v>0</v>
      </c>
      <c r="E914" s="6">
        <f>Calc_Formulas!AE910</f>
        <v>0</v>
      </c>
      <c r="F914" s="6">
        <f>Calc_Formulas!AF910</f>
        <v>0</v>
      </c>
      <c r="G914" s="6">
        <f>Calc_Formulas!AG910</f>
        <v>0</v>
      </c>
    </row>
    <row r="915" spans="1:7">
      <c r="A915" s="6">
        <f>Calc_Formulas!A911</f>
        <v>0</v>
      </c>
      <c r="B915" s="7">
        <f>Calc_Formulas!AH911</f>
        <v>0</v>
      </c>
      <c r="C915" s="7">
        <f>Calc_Formulas!AI911</f>
        <v>0</v>
      </c>
      <c r="D915" s="7">
        <f>Calc_Formulas!AJ911</f>
        <v>0</v>
      </c>
      <c r="E915" s="6">
        <f>Calc_Formulas!AE911</f>
        <v>0</v>
      </c>
      <c r="F915" s="6">
        <f>Calc_Formulas!AF911</f>
        <v>0</v>
      </c>
      <c r="G915" s="6">
        <f>Calc_Formulas!AG911</f>
        <v>0</v>
      </c>
    </row>
    <row r="916" spans="1:7">
      <c r="A916" s="6">
        <f>Calc_Formulas!A912</f>
        <v>0</v>
      </c>
      <c r="B916" s="7">
        <f>Calc_Formulas!AH912</f>
        <v>0</v>
      </c>
      <c r="C916" s="7">
        <f>Calc_Formulas!AI912</f>
        <v>0</v>
      </c>
      <c r="D916" s="7">
        <f>Calc_Formulas!AJ912</f>
        <v>0</v>
      </c>
      <c r="E916" s="6">
        <f>Calc_Formulas!AE912</f>
        <v>0</v>
      </c>
      <c r="F916" s="6">
        <f>Calc_Formulas!AF912</f>
        <v>0</v>
      </c>
      <c r="G916" s="6">
        <f>Calc_Formulas!AG912</f>
        <v>0</v>
      </c>
    </row>
    <row r="917" spans="1:7">
      <c r="A917" s="6">
        <f>Calc_Formulas!A913</f>
        <v>0</v>
      </c>
      <c r="B917" s="7">
        <f>Calc_Formulas!AH913</f>
        <v>0</v>
      </c>
      <c r="C917" s="7">
        <f>Calc_Formulas!AI913</f>
        <v>0</v>
      </c>
      <c r="D917" s="7">
        <f>Calc_Formulas!AJ913</f>
        <v>0</v>
      </c>
      <c r="E917" s="6">
        <f>Calc_Formulas!AE913</f>
        <v>0</v>
      </c>
      <c r="F917" s="6">
        <f>Calc_Formulas!AF913</f>
        <v>0</v>
      </c>
      <c r="G917" s="6">
        <f>Calc_Formulas!AG913</f>
        <v>0</v>
      </c>
    </row>
    <row r="918" spans="1:7">
      <c r="A918" s="6">
        <f>Calc_Formulas!A914</f>
        <v>0</v>
      </c>
      <c r="B918" s="7">
        <f>Calc_Formulas!AH914</f>
        <v>0</v>
      </c>
      <c r="C918" s="7">
        <f>Calc_Formulas!AI914</f>
        <v>0</v>
      </c>
      <c r="D918" s="7">
        <f>Calc_Formulas!AJ914</f>
        <v>0</v>
      </c>
      <c r="E918" s="6">
        <f>Calc_Formulas!AE914</f>
        <v>0</v>
      </c>
      <c r="F918" s="6">
        <f>Calc_Formulas!AF914</f>
        <v>0</v>
      </c>
      <c r="G918" s="6">
        <f>Calc_Formulas!AG914</f>
        <v>0</v>
      </c>
    </row>
    <row r="919" spans="1:7">
      <c r="A919" s="6">
        <f>Calc_Formulas!A915</f>
        <v>0</v>
      </c>
      <c r="B919" s="7">
        <f>Calc_Formulas!AH915</f>
        <v>0</v>
      </c>
      <c r="C919" s="7">
        <f>Calc_Formulas!AI915</f>
        <v>0</v>
      </c>
      <c r="D919" s="7">
        <f>Calc_Formulas!AJ915</f>
        <v>0</v>
      </c>
      <c r="E919" s="6">
        <f>Calc_Formulas!AE915</f>
        <v>0</v>
      </c>
      <c r="F919" s="6">
        <f>Calc_Formulas!AF915</f>
        <v>0</v>
      </c>
      <c r="G919" s="6">
        <f>Calc_Formulas!AG915</f>
        <v>0</v>
      </c>
    </row>
    <row r="920" spans="1:7">
      <c r="A920" s="6">
        <f>Calc_Formulas!A916</f>
        <v>0</v>
      </c>
      <c r="B920" s="7">
        <f>Calc_Formulas!AH916</f>
        <v>0</v>
      </c>
      <c r="C920" s="7">
        <f>Calc_Formulas!AI916</f>
        <v>0</v>
      </c>
      <c r="D920" s="7">
        <f>Calc_Formulas!AJ916</f>
        <v>0</v>
      </c>
      <c r="E920" s="6">
        <f>Calc_Formulas!AE916</f>
        <v>0</v>
      </c>
      <c r="F920" s="6">
        <f>Calc_Formulas!AF916</f>
        <v>0</v>
      </c>
      <c r="G920" s="6">
        <f>Calc_Formulas!AG916</f>
        <v>0</v>
      </c>
    </row>
    <row r="921" spans="1:7">
      <c r="A921" s="6">
        <f>Calc_Formulas!A917</f>
        <v>0</v>
      </c>
      <c r="B921" s="7">
        <f>Calc_Formulas!AH917</f>
        <v>0</v>
      </c>
      <c r="C921" s="7">
        <f>Calc_Formulas!AI917</f>
        <v>0</v>
      </c>
      <c r="D921" s="7">
        <f>Calc_Formulas!AJ917</f>
        <v>0</v>
      </c>
      <c r="E921" s="6">
        <f>Calc_Formulas!AE917</f>
        <v>0</v>
      </c>
      <c r="F921" s="6">
        <f>Calc_Formulas!AF917</f>
        <v>0</v>
      </c>
      <c r="G921" s="6">
        <f>Calc_Formulas!AG917</f>
        <v>0</v>
      </c>
    </row>
    <row r="922" spans="1:7">
      <c r="A922" s="6">
        <f>Calc_Formulas!A918</f>
        <v>0</v>
      </c>
      <c r="B922" s="7">
        <f>Calc_Formulas!AH918</f>
        <v>0</v>
      </c>
      <c r="C922" s="7">
        <f>Calc_Formulas!AI918</f>
        <v>0</v>
      </c>
      <c r="D922" s="7">
        <f>Calc_Formulas!AJ918</f>
        <v>0</v>
      </c>
      <c r="E922" s="6">
        <f>Calc_Formulas!AE918</f>
        <v>0</v>
      </c>
      <c r="F922" s="6">
        <f>Calc_Formulas!AF918</f>
        <v>0</v>
      </c>
      <c r="G922" s="6">
        <f>Calc_Formulas!AG918</f>
        <v>0</v>
      </c>
    </row>
    <row r="923" spans="1:7">
      <c r="A923" s="6">
        <f>Calc_Formulas!A919</f>
        <v>0</v>
      </c>
      <c r="B923" s="7">
        <f>Calc_Formulas!AH919</f>
        <v>0</v>
      </c>
      <c r="C923" s="7">
        <f>Calc_Formulas!AI919</f>
        <v>0</v>
      </c>
      <c r="D923" s="7">
        <f>Calc_Formulas!AJ919</f>
        <v>0</v>
      </c>
      <c r="E923" s="6">
        <f>Calc_Formulas!AE919</f>
        <v>0</v>
      </c>
      <c r="F923" s="6">
        <f>Calc_Formulas!AF919</f>
        <v>0</v>
      </c>
      <c r="G923" s="6">
        <f>Calc_Formulas!AG919</f>
        <v>0</v>
      </c>
    </row>
    <row r="924" spans="1:7">
      <c r="A924" s="6">
        <f>Calc_Formulas!A920</f>
        <v>0</v>
      </c>
      <c r="B924" s="7">
        <f>Calc_Formulas!AH920</f>
        <v>0</v>
      </c>
      <c r="C924" s="7">
        <f>Calc_Formulas!AI920</f>
        <v>0</v>
      </c>
      <c r="D924" s="7">
        <f>Calc_Formulas!AJ920</f>
        <v>0</v>
      </c>
      <c r="E924" s="6">
        <f>Calc_Formulas!AE920</f>
        <v>0</v>
      </c>
      <c r="F924" s="6">
        <f>Calc_Formulas!AF920</f>
        <v>0</v>
      </c>
      <c r="G924" s="6">
        <f>Calc_Formulas!AG920</f>
        <v>0</v>
      </c>
    </row>
    <row r="925" spans="1:7">
      <c r="A925" s="6">
        <f>Calc_Formulas!A921</f>
        <v>0</v>
      </c>
      <c r="B925" s="7">
        <f>Calc_Formulas!AH921</f>
        <v>0</v>
      </c>
      <c r="C925" s="7">
        <f>Calc_Formulas!AI921</f>
        <v>0</v>
      </c>
      <c r="D925" s="7">
        <f>Calc_Formulas!AJ921</f>
        <v>0</v>
      </c>
      <c r="E925" s="6">
        <f>Calc_Formulas!AE921</f>
        <v>0</v>
      </c>
      <c r="F925" s="6">
        <f>Calc_Formulas!AF921</f>
        <v>0</v>
      </c>
      <c r="G925" s="6">
        <f>Calc_Formulas!AG921</f>
        <v>0</v>
      </c>
    </row>
    <row r="926" spans="1:7">
      <c r="A926" s="6">
        <f>Calc_Formulas!A922</f>
        <v>0</v>
      </c>
      <c r="B926" s="7">
        <f>Calc_Formulas!AH922</f>
        <v>0</v>
      </c>
      <c r="C926" s="7">
        <f>Calc_Formulas!AI922</f>
        <v>0</v>
      </c>
      <c r="D926" s="7">
        <f>Calc_Formulas!AJ922</f>
        <v>0</v>
      </c>
      <c r="E926" s="6">
        <f>Calc_Formulas!AE922</f>
        <v>0</v>
      </c>
      <c r="F926" s="6">
        <f>Calc_Formulas!AF922</f>
        <v>0</v>
      </c>
      <c r="G926" s="6">
        <f>Calc_Formulas!AG922</f>
        <v>0</v>
      </c>
    </row>
    <row r="927" spans="1:7">
      <c r="A927" s="6">
        <f>Calc_Formulas!A923</f>
        <v>0</v>
      </c>
      <c r="B927" s="7">
        <f>Calc_Formulas!AH923</f>
        <v>0</v>
      </c>
      <c r="C927" s="7">
        <f>Calc_Formulas!AI923</f>
        <v>0</v>
      </c>
      <c r="D927" s="7">
        <f>Calc_Formulas!AJ923</f>
        <v>0</v>
      </c>
      <c r="E927" s="6">
        <f>Calc_Formulas!AE923</f>
        <v>0</v>
      </c>
      <c r="F927" s="6">
        <f>Calc_Formulas!AF923</f>
        <v>0</v>
      </c>
      <c r="G927" s="6">
        <f>Calc_Formulas!AG923</f>
        <v>0</v>
      </c>
    </row>
    <row r="928" spans="1:7">
      <c r="A928" s="6">
        <f>Calc_Formulas!A924</f>
        <v>0</v>
      </c>
      <c r="B928" s="7">
        <f>Calc_Formulas!AH924</f>
        <v>0</v>
      </c>
      <c r="C928" s="7">
        <f>Calc_Formulas!AI924</f>
        <v>0</v>
      </c>
      <c r="D928" s="7">
        <f>Calc_Formulas!AJ924</f>
        <v>0</v>
      </c>
      <c r="E928" s="6">
        <f>Calc_Formulas!AE924</f>
        <v>0</v>
      </c>
      <c r="F928" s="6">
        <f>Calc_Formulas!AF924</f>
        <v>0</v>
      </c>
      <c r="G928" s="6">
        <f>Calc_Formulas!AG924</f>
        <v>0</v>
      </c>
    </row>
    <row r="929" spans="1:7">
      <c r="A929" s="6">
        <f>Calc_Formulas!A925</f>
        <v>0</v>
      </c>
      <c r="B929" s="7">
        <f>Calc_Formulas!AH925</f>
        <v>0</v>
      </c>
      <c r="C929" s="7">
        <f>Calc_Formulas!AI925</f>
        <v>0</v>
      </c>
      <c r="D929" s="7">
        <f>Calc_Formulas!AJ925</f>
        <v>0</v>
      </c>
      <c r="E929" s="6">
        <f>Calc_Formulas!AE925</f>
        <v>0</v>
      </c>
      <c r="F929" s="6">
        <f>Calc_Formulas!AF925</f>
        <v>0</v>
      </c>
      <c r="G929" s="6">
        <f>Calc_Formulas!AG925</f>
        <v>0</v>
      </c>
    </row>
    <row r="930" spans="1:7">
      <c r="A930" s="6">
        <f>Calc_Formulas!A926</f>
        <v>0</v>
      </c>
      <c r="B930" s="7">
        <f>Calc_Formulas!AH926</f>
        <v>0</v>
      </c>
      <c r="C930" s="7">
        <f>Calc_Formulas!AI926</f>
        <v>0</v>
      </c>
      <c r="D930" s="7">
        <f>Calc_Formulas!AJ926</f>
        <v>0</v>
      </c>
      <c r="E930" s="6">
        <f>Calc_Formulas!AE926</f>
        <v>0</v>
      </c>
      <c r="F930" s="6">
        <f>Calc_Formulas!AF926</f>
        <v>0</v>
      </c>
      <c r="G930" s="6">
        <f>Calc_Formulas!AG926</f>
        <v>0</v>
      </c>
    </row>
    <row r="931" spans="1:7">
      <c r="A931" s="6">
        <f>Calc_Formulas!A927</f>
        <v>0</v>
      </c>
      <c r="B931" s="7">
        <f>Calc_Formulas!AH927</f>
        <v>0</v>
      </c>
      <c r="C931" s="7">
        <f>Calc_Formulas!AI927</f>
        <v>0</v>
      </c>
      <c r="D931" s="7">
        <f>Calc_Formulas!AJ927</f>
        <v>0</v>
      </c>
      <c r="E931" s="6">
        <f>Calc_Formulas!AE927</f>
        <v>0</v>
      </c>
      <c r="F931" s="6">
        <f>Calc_Formulas!AF927</f>
        <v>0</v>
      </c>
      <c r="G931" s="6">
        <f>Calc_Formulas!AG927</f>
        <v>0</v>
      </c>
    </row>
    <row r="932" spans="1:7">
      <c r="A932" s="6">
        <f>Calc_Formulas!A928</f>
        <v>0</v>
      </c>
      <c r="B932" s="7">
        <f>Calc_Formulas!AH928</f>
        <v>0</v>
      </c>
      <c r="C932" s="7">
        <f>Calc_Formulas!AI928</f>
        <v>0</v>
      </c>
      <c r="D932" s="7">
        <f>Calc_Formulas!AJ928</f>
        <v>0</v>
      </c>
      <c r="E932" s="6">
        <f>Calc_Formulas!AE928</f>
        <v>0</v>
      </c>
      <c r="F932" s="6">
        <f>Calc_Formulas!AF928</f>
        <v>0</v>
      </c>
      <c r="G932" s="6">
        <f>Calc_Formulas!AG928</f>
        <v>0</v>
      </c>
    </row>
    <row r="933" spans="1:7">
      <c r="A933" s="6">
        <f>Calc_Formulas!A929</f>
        <v>0</v>
      </c>
      <c r="B933" s="7">
        <f>Calc_Formulas!AH929</f>
        <v>0</v>
      </c>
      <c r="C933" s="7">
        <f>Calc_Formulas!AI929</f>
        <v>0</v>
      </c>
      <c r="D933" s="7">
        <f>Calc_Formulas!AJ929</f>
        <v>0</v>
      </c>
      <c r="E933" s="6">
        <f>Calc_Formulas!AE929</f>
        <v>0</v>
      </c>
      <c r="F933" s="6">
        <f>Calc_Formulas!AF929</f>
        <v>0</v>
      </c>
      <c r="G933" s="6">
        <f>Calc_Formulas!AG929</f>
        <v>0</v>
      </c>
    </row>
    <row r="934" spans="1:7">
      <c r="A934" s="6">
        <f>Calc_Formulas!A930</f>
        <v>0</v>
      </c>
      <c r="B934" s="7">
        <f>Calc_Formulas!AH930</f>
        <v>0</v>
      </c>
      <c r="C934" s="7">
        <f>Calc_Formulas!AI930</f>
        <v>0</v>
      </c>
      <c r="D934" s="7">
        <f>Calc_Formulas!AJ930</f>
        <v>0</v>
      </c>
      <c r="E934" s="6">
        <f>Calc_Formulas!AE930</f>
        <v>0</v>
      </c>
      <c r="F934" s="6">
        <f>Calc_Formulas!AF930</f>
        <v>0</v>
      </c>
      <c r="G934" s="6">
        <f>Calc_Formulas!AG930</f>
        <v>0</v>
      </c>
    </row>
    <row r="935" spans="1:7">
      <c r="A935" s="6">
        <f>Calc_Formulas!A931</f>
        <v>0</v>
      </c>
      <c r="B935" s="7">
        <f>Calc_Formulas!AH931</f>
        <v>0</v>
      </c>
      <c r="C935" s="7">
        <f>Calc_Formulas!AI931</f>
        <v>0</v>
      </c>
      <c r="D935" s="7">
        <f>Calc_Formulas!AJ931</f>
        <v>0</v>
      </c>
      <c r="E935" s="6">
        <f>Calc_Formulas!AE931</f>
        <v>0</v>
      </c>
      <c r="F935" s="6">
        <f>Calc_Formulas!AF931</f>
        <v>0</v>
      </c>
      <c r="G935" s="6">
        <f>Calc_Formulas!AG931</f>
        <v>0</v>
      </c>
    </row>
    <row r="936" spans="1:7">
      <c r="A936" s="6">
        <f>Calc_Formulas!A932</f>
        <v>0</v>
      </c>
      <c r="B936" s="7">
        <f>Calc_Formulas!AH932</f>
        <v>0</v>
      </c>
      <c r="C936" s="7">
        <f>Calc_Formulas!AI932</f>
        <v>0</v>
      </c>
      <c r="D936" s="7">
        <f>Calc_Formulas!AJ932</f>
        <v>0</v>
      </c>
      <c r="E936" s="6">
        <f>Calc_Formulas!AE932</f>
        <v>0</v>
      </c>
      <c r="F936" s="6">
        <f>Calc_Formulas!AF932</f>
        <v>0</v>
      </c>
      <c r="G936" s="6">
        <f>Calc_Formulas!AG932</f>
        <v>0</v>
      </c>
    </row>
    <row r="937" spans="1:7">
      <c r="A937" s="6">
        <f>Calc_Formulas!A933</f>
        <v>0</v>
      </c>
      <c r="B937" s="7">
        <f>Calc_Formulas!AH933</f>
        <v>0</v>
      </c>
      <c r="C937" s="7">
        <f>Calc_Formulas!AI933</f>
        <v>0</v>
      </c>
      <c r="D937" s="7">
        <f>Calc_Formulas!AJ933</f>
        <v>0</v>
      </c>
      <c r="E937" s="6">
        <f>Calc_Formulas!AE933</f>
        <v>0</v>
      </c>
      <c r="F937" s="6">
        <f>Calc_Formulas!AF933</f>
        <v>0</v>
      </c>
      <c r="G937" s="6">
        <f>Calc_Formulas!AG933</f>
        <v>0</v>
      </c>
    </row>
    <row r="938" spans="1:7">
      <c r="A938" s="6">
        <f>Calc_Formulas!A934</f>
        <v>0</v>
      </c>
      <c r="B938" s="7">
        <f>Calc_Formulas!AH934</f>
        <v>0</v>
      </c>
      <c r="C938" s="7">
        <f>Calc_Formulas!AI934</f>
        <v>0</v>
      </c>
      <c r="D938" s="7">
        <f>Calc_Formulas!AJ934</f>
        <v>0</v>
      </c>
      <c r="E938" s="6">
        <f>Calc_Formulas!AE934</f>
        <v>0</v>
      </c>
      <c r="F938" s="6">
        <f>Calc_Formulas!AF934</f>
        <v>0</v>
      </c>
      <c r="G938" s="6">
        <f>Calc_Formulas!AG934</f>
        <v>0</v>
      </c>
    </row>
    <row r="939" spans="1:7">
      <c r="A939" s="6">
        <f>Calc_Formulas!A935</f>
        <v>0</v>
      </c>
      <c r="B939" s="7">
        <f>Calc_Formulas!AH935</f>
        <v>0</v>
      </c>
      <c r="C939" s="7">
        <f>Calc_Formulas!AI935</f>
        <v>0</v>
      </c>
      <c r="D939" s="7">
        <f>Calc_Formulas!AJ935</f>
        <v>0</v>
      </c>
      <c r="E939" s="6">
        <f>Calc_Formulas!AE935</f>
        <v>0</v>
      </c>
      <c r="F939" s="6">
        <f>Calc_Formulas!AF935</f>
        <v>0</v>
      </c>
      <c r="G939" s="6">
        <f>Calc_Formulas!AG935</f>
        <v>0</v>
      </c>
    </row>
    <row r="940" spans="1:7">
      <c r="A940" s="6">
        <f>Calc_Formulas!A936</f>
        <v>0</v>
      </c>
      <c r="B940" s="7">
        <f>Calc_Formulas!AH936</f>
        <v>0</v>
      </c>
      <c r="C940" s="7">
        <f>Calc_Formulas!AI936</f>
        <v>0</v>
      </c>
      <c r="D940" s="7">
        <f>Calc_Formulas!AJ936</f>
        <v>0</v>
      </c>
      <c r="E940" s="6">
        <f>Calc_Formulas!AE936</f>
        <v>0</v>
      </c>
      <c r="F940" s="6">
        <f>Calc_Formulas!AF936</f>
        <v>0</v>
      </c>
      <c r="G940" s="6">
        <f>Calc_Formulas!AG936</f>
        <v>0</v>
      </c>
    </row>
    <row r="941" spans="1:7">
      <c r="A941" s="6">
        <f>Calc_Formulas!A937</f>
        <v>0</v>
      </c>
      <c r="B941" s="7">
        <f>Calc_Formulas!AH937</f>
        <v>0</v>
      </c>
      <c r="C941" s="7">
        <f>Calc_Formulas!AI937</f>
        <v>0</v>
      </c>
      <c r="D941" s="7">
        <f>Calc_Formulas!AJ937</f>
        <v>0</v>
      </c>
      <c r="E941" s="6">
        <f>Calc_Formulas!AE937</f>
        <v>0</v>
      </c>
      <c r="F941" s="6">
        <f>Calc_Formulas!AF937</f>
        <v>0</v>
      </c>
      <c r="G941" s="6">
        <f>Calc_Formulas!AG937</f>
        <v>0</v>
      </c>
    </row>
    <row r="942" spans="1:7">
      <c r="A942" s="6">
        <f>Calc_Formulas!A938</f>
        <v>0</v>
      </c>
      <c r="B942" s="7">
        <f>Calc_Formulas!AH938</f>
        <v>0</v>
      </c>
      <c r="C942" s="7">
        <f>Calc_Formulas!AI938</f>
        <v>0</v>
      </c>
      <c r="D942" s="7">
        <f>Calc_Formulas!AJ938</f>
        <v>0</v>
      </c>
      <c r="E942" s="6">
        <f>Calc_Formulas!AE938</f>
        <v>0</v>
      </c>
      <c r="F942" s="6">
        <f>Calc_Formulas!AF938</f>
        <v>0</v>
      </c>
      <c r="G942" s="6">
        <f>Calc_Formulas!AG938</f>
        <v>0</v>
      </c>
    </row>
    <row r="943" spans="1:7">
      <c r="A943" s="6">
        <f>Calc_Formulas!A939</f>
        <v>0</v>
      </c>
      <c r="B943" s="7">
        <f>Calc_Formulas!AH939</f>
        <v>0</v>
      </c>
      <c r="C943" s="7">
        <f>Calc_Formulas!AI939</f>
        <v>0</v>
      </c>
      <c r="D943" s="7">
        <f>Calc_Formulas!AJ939</f>
        <v>0</v>
      </c>
      <c r="E943" s="6">
        <f>Calc_Formulas!AE939</f>
        <v>0</v>
      </c>
      <c r="F943" s="6">
        <f>Calc_Formulas!AF939</f>
        <v>0</v>
      </c>
      <c r="G943" s="6">
        <f>Calc_Formulas!AG939</f>
        <v>0</v>
      </c>
    </row>
    <row r="944" spans="1:7">
      <c r="A944" s="6">
        <f>Calc_Formulas!A940</f>
        <v>0</v>
      </c>
      <c r="B944" s="7">
        <f>Calc_Formulas!AH940</f>
        <v>0</v>
      </c>
      <c r="C944" s="7">
        <f>Calc_Formulas!AI940</f>
        <v>0</v>
      </c>
      <c r="D944" s="7">
        <f>Calc_Formulas!AJ940</f>
        <v>0</v>
      </c>
      <c r="E944" s="6">
        <f>Calc_Formulas!AE940</f>
        <v>0</v>
      </c>
      <c r="F944" s="6">
        <f>Calc_Formulas!AF940</f>
        <v>0</v>
      </c>
      <c r="G944" s="6">
        <f>Calc_Formulas!AG940</f>
        <v>0</v>
      </c>
    </row>
    <row r="945" spans="1:7">
      <c r="A945" s="6">
        <f>Calc_Formulas!A941</f>
        <v>0</v>
      </c>
      <c r="B945" s="7">
        <f>Calc_Formulas!AH941</f>
        <v>0</v>
      </c>
      <c r="C945" s="7">
        <f>Calc_Formulas!AI941</f>
        <v>0</v>
      </c>
      <c r="D945" s="7">
        <f>Calc_Formulas!AJ941</f>
        <v>0</v>
      </c>
      <c r="E945" s="6">
        <f>Calc_Formulas!AE941</f>
        <v>0</v>
      </c>
      <c r="F945" s="6">
        <f>Calc_Formulas!AF941</f>
        <v>0</v>
      </c>
      <c r="G945" s="6">
        <f>Calc_Formulas!AG941</f>
        <v>0</v>
      </c>
    </row>
    <row r="946" spans="1:7">
      <c r="A946" s="6">
        <f>Calc_Formulas!A942</f>
        <v>0</v>
      </c>
      <c r="B946" s="7">
        <f>Calc_Formulas!AH942</f>
        <v>0</v>
      </c>
      <c r="C946" s="7">
        <f>Calc_Formulas!AI942</f>
        <v>0</v>
      </c>
      <c r="D946" s="7">
        <f>Calc_Formulas!AJ942</f>
        <v>0</v>
      </c>
      <c r="E946" s="6">
        <f>Calc_Formulas!AE942</f>
        <v>0</v>
      </c>
      <c r="F946" s="6">
        <f>Calc_Formulas!AF942</f>
        <v>0</v>
      </c>
      <c r="G946" s="6">
        <f>Calc_Formulas!AG942</f>
        <v>0</v>
      </c>
    </row>
    <row r="947" spans="1:7">
      <c r="A947" s="6">
        <f>Calc_Formulas!A943</f>
        <v>0</v>
      </c>
      <c r="B947" s="7">
        <f>Calc_Formulas!AH943</f>
        <v>0</v>
      </c>
      <c r="C947" s="7">
        <f>Calc_Formulas!AI943</f>
        <v>0</v>
      </c>
      <c r="D947" s="7">
        <f>Calc_Formulas!AJ943</f>
        <v>0</v>
      </c>
      <c r="E947" s="6">
        <f>Calc_Formulas!AE943</f>
        <v>0</v>
      </c>
      <c r="F947" s="6">
        <f>Calc_Formulas!AF943</f>
        <v>0</v>
      </c>
      <c r="G947" s="6">
        <f>Calc_Formulas!AG943</f>
        <v>0</v>
      </c>
    </row>
    <row r="948" spans="1:7">
      <c r="A948" s="6">
        <f>Calc_Formulas!A944</f>
        <v>0</v>
      </c>
      <c r="B948" s="7">
        <f>Calc_Formulas!AH944</f>
        <v>0</v>
      </c>
      <c r="C948" s="7">
        <f>Calc_Formulas!AI944</f>
        <v>0</v>
      </c>
      <c r="D948" s="7">
        <f>Calc_Formulas!AJ944</f>
        <v>0</v>
      </c>
      <c r="E948" s="6">
        <f>Calc_Formulas!AE944</f>
        <v>0</v>
      </c>
      <c r="F948" s="6">
        <f>Calc_Formulas!AF944</f>
        <v>0</v>
      </c>
      <c r="G948" s="6">
        <f>Calc_Formulas!AG944</f>
        <v>0</v>
      </c>
    </row>
    <row r="949" spans="1:7">
      <c r="A949" s="6">
        <f>Calc_Formulas!A945</f>
        <v>0</v>
      </c>
      <c r="B949" s="7">
        <f>Calc_Formulas!AH945</f>
        <v>0</v>
      </c>
      <c r="C949" s="7">
        <f>Calc_Formulas!AI945</f>
        <v>0</v>
      </c>
      <c r="D949" s="7">
        <f>Calc_Formulas!AJ945</f>
        <v>0</v>
      </c>
      <c r="E949" s="6">
        <f>Calc_Formulas!AE945</f>
        <v>0</v>
      </c>
      <c r="F949" s="6">
        <f>Calc_Formulas!AF945</f>
        <v>0</v>
      </c>
      <c r="G949" s="6">
        <f>Calc_Formulas!AG945</f>
        <v>0</v>
      </c>
    </row>
    <row r="950" spans="1:7">
      <c r="A950" s="6">
        <f>Calc_Formulas!A946</f>
        <v>0</v>
      </c>
      <c r="B950" s="7">
        <f>Calc_Formulas!AH946</f>
        <v>0</v>
      </c>
      <c r="C950" s="7">
        <f>Calc_Formulas!AI946</f>
        <v>0</v>
      </c>
      <c r="D950" s="7">
        <f>Calc_Formulas!AJ946</f>
        <v>0</v>
      </c>
      <c r="E950" s="6">
        <f>Calc_Formulas!AE946</f>
        <v>0</v>
      </c>
      <c r="F950" s="6">
        <f>Calc_Formulas!AF946</f>
        <v>0</v>
      </c>
      <c r="G950" s="6">
        <f>Calc_Formulas!AG946</f>
        <v>0</v>
      </c>
    </row>
    <row r="951" spans="1:7">
      <c r="A951" s="6">
        <f>Calc_Formulas!A947</f>
        <v>0</v>
      </c>
      <c r="B951" s="7">
        <f>Calc_Formulas!AH947</f>
        <v>0</v>
      </c>
      <c r="C951" s="7">
        <f>Calc_Formulas!AI947</f>
        <v>0</v>
      </c>
      <c r="D951" s="7">
        <f>Calc_Formulas!AJ947</f>
        <v>0</v>
      </c>
      <c r="E951" s="6">
        <f>Calc_Formulas!AE947</f>
        <v>0</v>
      </c>
      <c r="F951" s="6">
        <f>Calc_Formulas!AF947</f>
        <v>0</v>
      </c>
      <c r="G951" s="6">
        <f>Calc_Formulas!AG947</f>
        <v>0</v>
      </c>
    </row>
    <row r="952" spans="1:7">
      <c r="A952" s="6">
        <f>Calc_Formulas!A948</f>
        <v>0</v>
      </c>
      <c r="B952" s="7">
        <f>Calc_Formulas!AH948</f>
        <v>0</v>
      </c>
      <c r="C952" s="7">
        <f>Calc_Formulas!AI948</f>
        <v>0</v>
      </c>
      <c r="D952" s="7">
        <f>Calc_Formulas!AJ948</f>
        <v>0</v>
      </c>
      <c r="E952" s="6">
        <f>Calc_Formulas!AE948</f>
        <v>0</v>
      </c>
      <c r="F952" s="6">
        <f>Calc_Formulas!AF948</f>
        <v>0</v>
      </c>
      <c r="G952" s="6">
        <f>Calc_Formulas!AG948</f>
        <v>0</v>
      </c>
    </row>
    <row r="953" spans="1:7">
      <c r="A953" s="6">
        <f>Calc_Formulas!A949</f>
        <v>0</v>
      </c>
      <c r="B953" s="7">
        <f>Calc_Formulas!AH949</f>
        <v>0</v>
      </c>
      <c r="C953" s="7">
        <f>Calc_Formulas!AI949</f>
        <v>0</v>
      </c>
      <c r="D953" s="7">
        <f>Calc_Formulas!AJ949</f>
        <v>0</v>
      </c>
      <c r="E953" s="6">
        <f>Calc_Formulas!AE949</f>
        <v>0</v>
      </c>
      <c r="F953" s="6">
        <f>Calc_Formulas!AF949</f>
        <v>0</v>
      </c>
      <c r="G953" s="6">
        <f>Calc_Formulas!AG949</f>
        <v>0</v>
      </c>
    </row>
    <row r="954" spans="1:7">
      <c r="A954" s="6">
        <f>Calc_Formulas!A950</f>
        <v>0</v>
      </c>
      <c r="B954" s="7">
        <f>Calc_Formulas!AH950</f>
        <v>0</v>
      </c>
      <c r="C954" s="7">
        <f>Calc_Formulas!AI950</f>
        <v>0</v>
      </c>
      <c r="D954" s="7">
        <f>Calc_Formulas!AJ950</f>
        <v>0</v>
      </c>
      <c r="E954" s="6">
        <f>Calc_Formulas!AE950</f>
        <v>0</v>
      </c>
      <c r="F954" s="6">
        <f>Calc_Formulas!AF950</f>
        <v>0</v>
      </c>
      <c r="G954" s="6">
        <f>Calc_Formulas!AG950</f>
        <v>0</v>
      </c>
    </row>
    <row r="955" spans="1:7">
      <c r="A955" s="6">
        <f>Calc_Formulas!A951</f>
        <v>0</v>
      </c>
      <c r="B955" s="7">
        <f>Calc_Formulas!AH951</f>
        <v>0</v>
      </c>
      <c r="C955" s="7">
        <f>Calc_Formulas!AI951</f>
        <v>0</v>
      </c>
      <c r="D955" s="7">
        <f>Calc_Formulas!AJ951</f>
        <v>0</v>
      </c>
      <c r="E955" s="6">
        <f>Calc_Formulas!AE951</f>
        <v>0</v>
      </c>
      <c r="F955" s="6">
        <f>Calc_Formulas!AF951</f>
        <v>0</v>
      </c>
      <c r="G955" s="6">
        <f>Calc_Formulas!AG951</f>
        <v>0</v>
      </c>
    </row>
    <row r="956" spans="1:7">
      <c r="A956" s="6">
        <f>Calc_Formulas!A952</f>
        <v>0</v>
      </c>
      <c r="B956" s="7">
        <f>Calc_Formulas!AH952</f>
        <v>0</v>
      </c>
      <c r="C956" s="7">
        <f>Calc_Formulas!AI952</f>
        <v>0</v>
      </c>
      <c r="D956" s="7">
        <f>Calc_Formulas!AJ952</f>
        <v>0</v>
      </c>
      <c r="E956" s="6">
        <f>Calc_Formulas!AE952</f>
        <v>0</v>
      </c>
      <c r="F956" s="6">
        <f>Calc_Formulas!AF952</f>
        <v>0</v>
      </c>
      <c r="G956" s="6">
        <f>Calc_Formulas!AG952</f>
        <v>0</v>
      </c>
    </row>
    <row r="957" spans="1:7">
      <c r="A957" s="6">
        <f>Calc_Formulas!A953</f>
        <v>0</v>
      </c>
      <c r="B957" s="7">
        <f>Calc_Formulas!AH953</f>
        <v>0</v>
      </c>
      <c r="C957" s="7">
        <f>Calc_Formulas!AI953</f>
        <v>0</v>
      </c>
      <c r="D957" s="7">
        <f>Calc_Formulas!AJ953</f>
        <v>0</v>
      </c>
      <c r="E957" s="6">
        <f>Calc_Formulas!AE953</f>
        <v>0</v>
      </c>
      <c r="F957" s="6">
        <f>Calc_Formulas!AF953</f>
        <v>0</v>
      </c>
      <c r="G957" s="6">
        <f>Calc_Formulas!AG953</f>
        <v>0</v>
      </c>
    </row>
    <row r="958" spans="1:7">
      <c r="A958" s="6">
        <f>Calc_Formulas!A954</f>
        <v>0</v>
      </c>
      <c r="B958" s="7">
        <f>Calc_Formulas!AH954</f>
        <v>0</v>
      </c>
      <c r="C958" s="7">
        <f>Calc_Formulas!AI954</f>
        <v>0</v>
      </c>
      <c r="D958" s="7">
        <f>Calc_Formulas!AJ954</f>
        <v>0</v>
      </c>
      <c r="E958" s="6">
        <f>Calc_Formulas!AE954</f>
        <v>0</v>
      </c>
      <c r="F958" s="6">
        <f>Calc_Formulas!AF954</f>
        <v>0</v>
      </c>
      <c r="G958" s="6">
        <f>Calc_Formulas!AG954</f>
        <v>0</v>
      </c>
    </row>
    <row r="959" spans="1:7">
      <c r="A959" s="6">
        <f>Calc_Formulas!A955</f>
        <v>0</v>
      </c>
      <c r="B959" s="7">
        <f>Calc_Formulas!AH955</f>
        <v>0</v>
      </c>
      <c r="C959" s="7">
        <f>Calc_Formulas!AI955</f>
        <v>0</v>
      </c>
      <c r="D959" s="7">
        <f>Calc_Formulas!AJ955</f>
        <v>0</v>
      </c>
      <c r="E959" s="6">
        <f>Calc_Formulas!AE955</f>
        <v>0</v>
      </c>
      <c r="F959" s="6">
        <f>Calc_Formulas!AF955</f>
        <v>0</v>
      </c>
      <c r="G959" s="6">
        <f>Calc_Formulas!AG955</f>
        <v>0</v>
      </c>
    </row>
    <row r="960" spans="1:7">
      <c r="A960" s="6">
        <f>Calc_Formulas!A956</f>
        <v>0</v>
      </c>
      <c r="B960" s="7">
        <f>Calc_Formulas!AH956</f>
        <v>0</v>
      </c>
      <c r="C960" s="7">
        <f>Calc_Formulas!AI956</f>
        <v>0</v>
      </c>
      <c r="D960" s="7">
        <f>Calc_Formulas!AJ956</f>
        <v>0</v>
      </c>
      <c r="E960" s="6">
        <f>Calc_Formulas!AE956</f>
        <v>0</v>
      </c>
      <c r="F960" s="6">
        <f>Calc_Formulas!AF956</f>
        <v>0</v>
      </c>
      <c r="G960" s="6">
        <f>Calc_Formulas!AG956</f>
        <v>0</v>
      </c>
    </row>
    <row r="961" spans="1:7">
      <c r="A961" s="6">
        <f>Calc_Formulas!A957</f>
        <v>0</v>
      </c>
      <c r="B961" s="7">
        <f>Calc_Formulas!AH957</f>
        <v>0</v>
      </c>
      <c r="C961" s="7">
        <f>Calc_Formulas!AI957</f>
        <v>0</v>
      </c>
      <c r="D961" s="7">
        <f>Calc_Formulas!AJ957</f>
        <v>0</v>
      </c>
      <c r="E961" s="6">
        <f>Calc_Formulas!AE957</f>
        <v>0</v>
      </c>
      <c r="F961" s="6">
        <f>Calc_Formulas!AF957</f>
        <v>0</v>
      </c>
      <c r="G961" s="6">
        <f>Calc_Formulas!AG957</f>
        <v>0</v>
      </c>
    </row>
    <row r="962" spans="1:7">
      <c r="A962" s="6">
        <f>Calc_Formulas!A958</f>
        <v>0</v>
      </c>
      <c r="B962" s="7">
        <f>Calc_Formulas!AH958</f>
        <v>0</v>
      </c>
      <c r="C962" s="7">
        <f>Calc_Formulas!AI958</f>
        <v>0</v>
      </c>
      <c r="D962" s="7">
        <f>Calc_Formulas!AJ958</f>
        <v>0</v>
      </c>
      <c r="E962" s="6">
        <f>Calc_Formulas!AE958</f>
        <v>0</v>
      </c>
      <c r="F962" s="6">
        <f>Calc_Formulas!AF958</f>
        <v>0</v>
      </c>
      <c r="G962" s="6">
        <f>Calc_Formulas!AG958</f>
        <v>0</v>
      </c>
    </row>
    <row r="963" spans="1:7">
      <c r="A963" s="6">
        <f>Calc_Formulas!A959</f>
        <v>0</v>
      </c>
      <c r="B963" s="7">
        <f>Calc_Formulas!AH959</f>
        <v>0</v>
      </c>
      <c r="C963" s="7">
        <f>Calc_Formulas!AI959</f>
        <v>0</v>
      </c>
      <c r="D963" s="7">
        <f>Calc_Formulas!AJ959</f>
        <v>0</v>
      </c>
      <c r="E963" s="6">
        <f>Calc_Formulas!AE959</f>
        <v>0</v>
      </c>
      <c r="F963" s="6">
        <f>Calc_Formulas!AF959</f>
        <v>0</v>
      </c>
      <c r="G963" s="6">
        <f>Calc_Formulas!AG959</f>
        <v>0</v>
      </c>
    </row>
    <row r="964" spans="1:7">
      <c r="A964" s="6">
        <f>Calc_Formulas!A960</f>
        <v>0</v>
      </c>
      <c r="B964" s="7">
        <f>Calc_Formulas!AH960</f>
        <v>0</v>
      </c>
      <c r="C964" s="7">
        <f>Calc_Formulas!AI960</f>
        <v>0</v>
      </c>
      <c r="D964" s="7">
        <f>Calc_Formulas!AJ960</f>
        <v>0</v>
      </c>
      <c r="E964" s="6">
        <f>Calc_Formulas!AE960</f>
        <v>0</v>
      </c>
      <c r="F964" s="6">
        <f>Calc_Formulas!AF960</f>
        <v>0</v>
      </c>
      <c r="G964" s="6">
        <f>Calc_Formulas!AG960</f>
        <v>0</v>
      </c>
    </row>
    <row r="965" spans="1:7">
      <c r="A965" s="6">
        <f>Calc_Formulas!A961</f>
        <v>0</v>
      </c>
      <c r="B965" s="7">
        <f>Calc_Formulas!AH961</f>
        <v>0</v>
      </c>
      <c r="C965" s="7">
        <f>Calc_Formulas!AI961</f>
        <v>0</v>
      </c>
      <c r="D965" s="7">
        <f>Calc_Formulas!AJ961</f>
        <v>0</v>
      </c>
      <c r="E965" s="6">
        <f>Calc_Formulas!AE961</f>
        <v>0</v>
      </c>
      <c r="F965" s="6">
        <f>Calc_Formulas!AF961</f>
        <v>0</v>
      </c>
      <c r="G965" s="6">
        <f>Calc_Formulas!AG961</f>
        <v>0</v>
      </c>
    </row>
    <row r="966" spans="1:7">
      <c r="A966" s="6">
        <f>Calc_Formulas!A962</f>
        <v>0</v>
      </c>
      <c r="B966" s="7">
        <f>Calc_Formulas!AH962</f>
        <v>0</v>
      </c>
      <c r="C966" s="7">
        <f>Calc_Formulas!AI962</f>
        <v>0</v>
      </c>
      <c r="D966" s="7">
        <f>Calc_Formulas!AJ962</f>
        <v>0</v>
      </c>
      <c r="E966" s="6">
        <f>Calc_Formulas!AE962</f>
        <v>0</v>
      </c>
      <c r="F966" s="6">
        <f>Calc_Formulas!AF962</f>
        <v>0</v>
      </c>
      <c r="G966" s="6">
        <f>Calc_Formulas!AG962</f>
        <v>0</v>
      </c>
    </row>
    <row r="967" spans="1:7">
      <c r="A967" s="6">
        <f>Calc_Formulas!A963</f>
        <v>0</v>
      </c>
      <c r="B967" s="7">
        <f>Calc_Formulas!AH963</f>
        <v>0</v>
      </c>
      <c r="C967" s="7">
        <f>Calc_Formulas!AI963</f>
        <v>0</v>
      </c>
      <c r="D967" s="7">
        <f>Calc_Formulas!AJ963</f>
        <v>0</v>
      </c>
      <c r="E967" s="6">
        <f>Calc_Formulas!AE963</f>
        <v>0</v>
      </c>
      <c r="F967" s="6">
        <f>Calc_Formulas!AF963</f>
        <v>0</v>
      </c>
      <c r="G967" s="6">
        <f>Calc_Formulas!AG963</f>
        <v>0</v>
      </c>
    </row>
    <row r="968" spans="1:7">
      <c r="A968" s="6">
        <f>Calc_Formulas!A964</f>
        <v>0</v>
      </c>
      <c r="B968" s="7">
        <f>Calc_Formulas!AH964</f>
        <v>0</v>
      </c>
      <c r="C968" s="7">
        <f>Calc_Formulas!AI964</f>
        <v>0</v>
      </c>
      <c r="D968" s="7">
        <f>Calc_Formulas!AJ964</f>
        <v>0</v>
      </c>
      <c r="E968" s="6">
        <f>Calc_Formulas!AE964</f>
        <v>0</v>
      </c>
      <c r="F968" s="6">
        <f>Calc_Formulas!AF964</f>
        <v>0</v>
      </c>
      <c r="G968" s="6">
        <f>Calc_Formulas!AG964</f>
        <v>0</v>
      </c>
    </row>
    <row r="969" spans="1:7">
      <c r="A969" s="6">
        <f>Calc_Formulas!A965</f>
        <v>0</v>
      </c>
      <c r="B969" s="7">
        <f>Calc_Formulas!AH965</f>
        <v>0</v>
      </c>
      <c r="C969" s="7">
        <f>Calc_Formulas!AI965</f>
        <v>0</v>
      </c>
      <c r="D969" s="7">
        <f>Calc_Formulas!AJ965</f>
        <v>0</v>
      </c>
      <c r="E969" s="6">
        <f>Calc_Formulas!AE965</f>
        <v>0</v>
      </c>
      <c r="F969" s="6">
        <f>Calc_Formulas!AF965</f>
        <v>0</v>
      </c>
      <c r="G969" s="6">
        <f>Calc_Formulas!AG965</f>
        <v>0</v>
      </c>
    </row>
    <row r="970" spans="1:7">
      <c r="A970" s="6">
        <f>Calc_Formulas!A966</f>
        <v>0</v>
      </c>
      <c r="B970" s="7">
        <f>Calc_Formulas!AH966</f>
        <v>0</v>
      </c>
      <c r="C970" s="7">
        <f>Calc_Formulas!AI966</f>
        <v>0</v>
      </c>
      <c r="D970" s="7">
        <f>Calc_Formulas!AJ966</f>
        <v>0</v>
      </c>
      <c r="E970" s="6">
        <f>Calc_Formulas!AE966</f>
        <v>0</v>
      </c>
      <c r="F970" s="6">
        <f>Calc_Formulas!AF966</f>
        <v>0</v>
      </c>
      <c r="G970" s="6">
        <f>Calc_Formulas!AG966</f>
        <v>0</v>
      </c>
    </row>
    <row r="971" spans="1:7">
      <c r="A971" s="6">
        <f>Calc_Formulas!A967</f>
        <v>0</v>
      </c>
      <c r="B971" s="7">
        <f>Calc_Formulas!AH967</f>
        <v>0</v>
      </c>
      <c r="C971" s="7">
        <f>Calc_Formulas!AI967</f>
        <v>0</v>
      </c>
      <c r="D971" s="7">
        <f>Calc_Formulas!AJ967</f>
        <v>0</v>
      </c>
      <c r="E971" s="6">
        <f>Calc_Formulas!AE967</f>
        <v>0</v>
      </c>
      <c r="F971" s="6">
        <f>Calc_Formulas!AF967</f>
        <v>0</v>
      </c>
      <c r="G971" s="6">
        <f>Calc_Formulas!AG967</f>
        <v>0</v>
      </c>
    </row>
    <row r="972" spans="1:7">
      <c r="A972" s="6">
        <f>Calc_Formulas!A968</f>
        <v>0</v>
      </c>
      <c r="B972" s="7">
        <f>Calc_Formulas!AH968</f>
        <v>0</v>
      </c>
      <c r="C972" s="7">
        <f>Calc_Formulas!AI968</f>
        <v>0</v>
      </c>
      <c r="D972" s="7">
        <f>Calc_Formulas!AJ968</f>
        <v>0</v>
      </c>
      <c r="E972" s="6">
        <f>Calc_Formulas!AE968</f>
        <v>0</v>
      </c>
      <c r="F972" s="6">
        <f>Calc_Formulas!AF968</f>
        <v>0</v>
      </c>
      <c r="G972" s="6">
        <f>Calc_Formulas!AG968</f>
        <v>0</v>
      </c>
    </row>
    <row r="973" spans="1:7">
      <c r="A973" s="6">
        <f>Calc_Formulas!A969</f>
        <v>0</v>
      </c>
      <c r="B973" s="7">
        <f>Calc_Formulas!AH969</f>
        <v>0</v>
      </c>
      <c r="C973" s="7">
        <f>Calc_Formulas!AI969</f>
        <v>0</v>
      </c>
      <c r="D973" s="7">
        <f>Calc_Formulas!AJ969</f>
        <v>0</v>
      </c>
      <c r="E973" s="6">
        <f>Calc_Formulas!AE969</f>
        <v>0</v>
      </c>
      <c r="F973" s="6">
        <f>Calc_Formulas!AF969</f>
        <v>0</v>
      </c>
      <c r="G973" s="6">
        <f>Calc_Formulas!AG969</f>
        <v>0</v>
      </c>
    </row>
    <row r="974" spans="1:7">
      <c r="A974" s="6">
        <f>Calc_Formulas!A970</f>
        <v>0</v>
      </c>
      <c r="B974" s="7">
        <f>Calc_Formulas!AH970</f>
        <v>0</v>
      </c>
      <c r="C974" s="7">
        <f>Calc_Formulas!AI970</f>
        <v>0</v>
      </c>
      <c r="D974" s="7">
        <f>Calc_Formulas!AJ970</f>
        <v>0</v>
      </c>
      <c r="E974" s="6">
        <f>Calc_Formulas!AE970</f>
        <v>0</v>
      </c>
      <c r="F974" s="6">
        <f>Calc_Formulas!AF970</f>
        <v>0</v>
      </c>
      <c r="G974" s="6">
        <f>Calc_Formulas!AG970</f>
        <v>0</v>
      </c>
    </row>
    <row r="975" spans="1:7">
      <c r="A975" s="6">
        <f>Calc_Formulas!A971</f>
        <v>0</v>
      </c>
      <c r="B975" s="7">
        <f>Calc_Formulas!AH971</f>
        <v>0</v>
      </c>
      <c r="C975" s="7">
        <f>Calc_Formulas!AI971</f>
        <v>0</v>
      </c>
      <c r="D975" s="7">
        <f>Calc_Formulas!AJ971</f>
        <v>0</v>
      </c>
      <c r="E975" s="6">
        <f>Calc_Formulas!AE971</f>
        <v>0</v>
      </c>
      <c r="F975" s="6">
        <f>Calc_Formulas!AF971</f>
        <v>0</v>
      </c>
      <c r="G975" s="6">
        <f>Calc_Formulas!AG971</f>
        <v>0</v>
      </c>
    </row>
    <row r="976" spans="1:7">
      <c r="A976" s="6">
        <f>Calc_Formulas!A972</f>
        <v>0</v>
      </c>
      <c r="B976" s="7">
        <f>Calc_Formulas!AH972</f>
        <v>0</v>
      </c>
      <c r="C976" s="7">
        <f>Calc_Formulas!AI972</f>
        <v>0</v>
      </c>
      <c r="D976" s="7">
        <f>Calc_Formulas!AJ972</f>
        <v>0</v>
      </c>
      <c r="E976" s="6">
        <f>Calc_Formulas!AE972</f>
        <v>0</v>
      </c>
      <c r="F976" s="6">
        <f>Calc_Formulas!AF972</f>
        <v>0</v>
      </c>
      <c r="G976" s="6">
        <f>Calc_Formulas!AG972</f>
        <v>0</v>
      </c>
    </row>
    <row r="977" spans="1:7">
      <c r="A977" s="6">
        <f>Calc_Formulas!A973</f>
        <v>0</v>
      </c>
      <c r="B977" s="7">
        <f>Calc_Formulas!AH973</f>
        <v>0</v>
      </c>
      <c r="C977" s="7">
        <f>Calc_Formulas!AI973</f>
        <v>0</v>
      </c>
      <c r="D977" s="7">
        <f>Calc_Formulas!AJ973</f>
        <v>0</v>
      </c>
      <c r="E977" s="6">
        <f>Calc_Formulas!AE973</f>
        <v>0</v>
      </c>
      <c r="F977" s="6">
        <f>Calc_Formulas!AF973</f>
        <v>0</v>
      </c>
      <c r="G977" s="6">
        <f>Calc_Formulas!AG973</f>
        <v>0</v>
      </c>
    </row>
    <row r="978" spans="1:7">
      <c r="A978" s="6">
        <f>Calc_Formulas!A974</f>
        <v>0</v>
      </c>
      <c r="B978" s="7">
        <f>Calc_Formulas!AH974</f>
        <v>0</v>
      </c>
      <c r="C978" s="7">
        <f>Calc_Formulas!AI974</f>
        <v>0</v>
      </c>
      <c r="D978" s="7">
        <f>Calc_Formulas!AJ974</f>
        <v>0</v>
      </c>
      <c r="E978" s="6">
        <f>Calc_Formulas!AE974</f>
        <v>0</v>
      </c>
      <c r="F978" s="6">
        <f>Calc_Formulas!AF974</f>
        <v>0</v>
      </c>
      <c r="G978" s="6">
        <f>Calc_Formulas!AG974</f>
        <v>0</v>
      </c>
    </row>
    <row r="979" spans="1:7">
      <c r="A979" s="6">
        <f>Calc_Formulas!A975</f>
        <v>0</v>
      </c>
      <c r="B979" s="7">
        <f>Calc_Formulas!AH975</f>
        <v>0</v>
      </c>
      <c r="C979" s="7">
        <f>Calc_Formulas!AI975</f>
        <v>0</v>
      </c>
      <c r="D979" s="7">
        <f>Calc_Formulas!AJ975</f>
        <v>0</v>
      </c>
      <c r="E979" s="6">
        <f>Calc_Formulas!AE975</f>
        <v>0</v>
      </c>
      <c r="F979" s="6">
        <f>Calc_Formulas!AF975</f>
        <v>0</v>
      </c>
      <c r="G979" s="6">
        <f>Calc_Formulas!AG975</f>
        <v>0</v>
      </c>
    </row>
    <row r="980" spans="1:7">
      <c r="A980" s="6">
        <f>Calc_Formulas!A976</f>
        <v>0</v>
      </c>
      <c r="B980" s="7">
        <f>Calc_Formulas!AH976</f>
        <v>0</v>
      </c>
      <c r="C980" s="7">
        <f>Calc_Formulas!AI976</f>
        <v>0</v>
      </c>
      <c r="D980" s="7">
        <f>Calc_Formulas!AJ976</f>
        <v>0</v>
      </c>
      <c r="E980" s="6">
        <f>Calc_Formulas!AE976</f>
        <v>0</v>
      </c>
      <c r="F980" s="6">
        <f>Calc_Formulas!AF976</f>
        <v>0</v>
      </c>
      <c r="G980" s="6">
        <f>Calc_Formulas!AG976</f>
        <v>0</v>
      </c>
    </row>
    <row r="981" spans="1:7">
      <c r="A981" s="6">
        <f>Calc_Formulas!A977</f>
        <v>0</v>
      </c>
      <c r="B981" s="7">
        <f>Calc_Formulas!AH977</f>
        <v>0</v>
      </c>
      <c r="C981" s="7">
        <f>Calc_Formulas!AI977</f>
        <v>0</v>
      </c>
      <c r="D981" s="7">
        <f>Calc_Formulas!AJ977</f>
        <v>0</v>
      </c>
      <c r="E981" s="6">
        <f>Calc_Formulas!AE977</f>
        <v>0</v>
      </c>
      <c r="F981" s="6">
        <f>Calc_Formulas!AF977</f>
        <v>0</v>
      </c>
      <c r="G981" s="6">
        <f>Calc_Formulas!AG977</f>
        <v>0</v>
      </c>
    </row>
    <row r="982" spans="1:7">
      <c r="A982" s="6">
        <f>Calc_Formulas!A978</f>
        <v>0</v>
      </c>
      <c r="B982" s="7">
        <f>Calc_Formulas!AH978</f>
        <v>0</v>
      </c>
      <c r="C982" s="7">
        <f>Calc_Formulas!AI978</f>
        <v>0</v>
      </c>
      <c r="D982" s="7">
        <f>Calc_Formulas!AJ978</f>
        <v>0</v>
      </c>
      <c r="E982" s="6">
        <f>Calc_Formulas!AE978</f>
        <v>0</v>
      </c>
      <c r="F982" s="6">
        <f>Calc_Formulas!AF978</f>
        <v>0</v>
      </c>
      <c r="G982" s="6">
        <f>Calc_Formulas!AG978</f>
        <v>0</v>
      </c>
    </row>
    <row r="983" spans="1:7">
      <c r="A983" s="6">
        <f>Calc_Formulas!A979</f>
        <v>0</v>
      </c>
      <c r="B983" s="7">
        <f>Calc_Formulas!AH979</f>
        <v>0</v>
      </c>
      <c r="C983" s="7">
        <f>Calc_Formulas!AI979</f>
        <v>0</v>
      </c>
      <c r="D983" s="7">
        <f>Calc_Formulas!AJ979</f>
        <v>0</v>
      </c>
      <c r="E983" s="6">
        <f>Calc_Formulas!AE979</f>
        <v>0</v>
      </c>
      <c r="F983" s="6">
        <f>Calc_Formulas!AF979</f>
        <v>0</v>
      </c>
      <c r="G983" s="6">
        <f>Calc_Formulas!AG979</f>
        <v>0</v>
      </c>
    </row>
    <row r="984" spans="1:7">
      <c r="A984" s="6">
        <f>Calc_Formulas!A980</f>
        <v>0</v>
      </c>
      <c r="B984" s="7">
        <f>Calc_Formulas!AH980</f>
        <v>0</v>
      </c>
      <c r="C984" s="7">
        <f>Calc_Formulas!AI980</f>
        <v>0</v>
      </c>
      <c r="D984" s="7">
        <f>Calc_Formulas!AJ980</f>
        <v>0</v>
      </c>
      <c r="E984" s="6">
        <f>Calc_Formulas!AE980</f>
        <v>0</v>
      </c>
      <c r="F984" s="6">
        <f>Calc_Formulas!AF980</f>
        <v>0</v>
      </c>
      <c r="G984" s="6">
        <f>Calc_Formulas!AG980</f>
        <v>0</v>
      </c>
    </row>
    <row r="985" spans="1:7">
      <c r="A985" s="6">
        <f>Calc_Formulas!A981</f>
        <v>0</v>
      </c>
      <c r="B985" s="7">
        <f>Calc_Formulas!AH981</f>
        <v>0</v>
      </c>
      <c r="C985" s="7">
        <f>Calc_Formulas!AI981</f>
        <v>0</v>
      </c>
      <c r="D985" s="7">
        <f>Calc_Formulas!AJ981</f>
        <v>0</v>
      </c>
      <c r="E985" s="6">
        <f>Calc_Formulas!AE981</f>
        <v>0</v>
      </c>
      <c r="F985" s="6">
        <f>Calc_Formulas!AF981</f>
        <v>0</v>
      </c>
      <c r="G985" s="6">
        <f>Calc_Formulas!AG981</f>
        <v>0</v>
      </c>
    </row>
    <row r="986" spans="1:7">
      <c r="A986" s="6">
        <f>Calc_Formulas!A982</f>
        <v>0</v>
      </c>
      <c r="B986" s="7">
        <f>Calc_Formulas!AH982</f>
        <v>0</v>
      </c>
      <c r="C986" s="7">
        <f>Calc_Formulas!AI982</f>
        <v>0</v>
      </c>
      <c r="D986" s="7">
        <f>Calc_Formulas!AJ982</f>
        <v>0</v>
      </c>
      <c r="E986" s="6">
        <f>Calc_Formulas!AE982</f>
        <v>0</v>
      </c>
      <c r="F986" s="6">
        <f>Calc_Formulas!AF982</f>
        <v>0</v>
      </c>
      <c r="G986" s="6">
        <f>Calc_Formulas!AG982</f>
        <v>0</v>
      </c>
    </row>
    <row r="987" spans="1:7">
      <c r="A987" s="6">
        <f>Calc_Formulas!A983</f>
        <v>0</v>
      </c>
      <c r="B987" s="7">
        <f>Calc_Formulas!AH983</f>
        <v>0</v>
      </c>
      <c r="C987" s="7">
        <f>Calc_Formulas!AI983</f>
        <v>0</v>
      </c>
      <c r="D987" s="7">
        <f>Calc_Formulas!AJ983</f>
        <v>0</v>
      </c>
      <c r="E987" s="6">
        <f>Calc_Formulas!AE983</f>
        <v>0</v>
      </c>
      <c r="F987" s="6">
        <f>Calc_Formulas!AF983</f>
        <v>0</v>
      </c>
      <c r="G987" s="6">
        <f>Calc_Formulas!AG983</f>
        <v>0</v>
      </c>
    </row>
    <row r="988" spans="1:7">
      <c r="A988" s="6">
        <f>Calc_Formulas!A984</f>
        <v>0</v>
      </c>
      <c r="B988" s="7">
        <f>Calc_Formulas!AH984</f>
        <v>0</v>
      </c>
      <c r="C988" s="7">
        <f>Calc_Formulas!AI984</f>
        <v>0</v>
      </c>
      <c r="D988" s="7">
        <f>Calc_Formulas!AJ984</f>
        <v>0</v>
      </c>
      <c r="E988" s="6">
        <f>Calc_Formulas!AE984</f>
        <v>0</v>
      </c>
      <c r="F988" s="6">
        <f>Calc_Formulas!AF984</f>
        <v>0</v>
      </c>
      <c r="G988" s="6">
        <f>Calc_Formulas!AG984</f>
        <v>0</v>
      </c>
    </row>
    <row r="989" spans="1:7">
      <c r="A989" s="6">
        <f>Calc_Formulas!A985</f>
        <v>0</v>
      </c>
      <c r="B989" s="7">
        <f>Calc_Formulas!AH985</f>
        <v>0</v>
      </c>
      <c r="C989" s="7">
        <f>Calc_Formulas!AI985</f>
        <v>0</v>
      </c>
      <c r="D989" s="7">
        <f>Calc_Formulas!AJ985</f>
        <v>0</v>
      </c>
      <c r="E989" s="6">
        <f>Calc_Formulas!AE985</f>
        <v>0</v>
      </c>
      <c r="F989" s="6">
        <f>Calc_Formulas!AF985</f>
        <v>0</v>
      </c>
      <c r="G989" s="6">
        <f>Calc_Formulas!AG985</f>
        <v>0</v>
      </c>
    </row>
    <row r="990" spans="1:7">
      <c r="A990" s="6">
        <f>Calc_Formulas!A986</f>
        <v>0</v>
      </c>
      <c r="B990" s="7">
        <f>Calc_Formulas!AH986</f>
        <v>0</v>
      </c>
      <c r="C990" s="7">
        <f>Calc_Formulas!AI986</f>
        <v>0</v>
      </c>
      <c r="D990" s="7">
        <f>Calc_Formulas!AJ986</f>
        <v>0</v>
      </c>
      <c r="E990" s="6">
        <f>Calc_Formulas!AE986</f>
        <v>0</v>
      </c>
      <c r="F990" s="6">
        <f>Calc_Formulas!AF986</f>
        <v>0</v>
      </c>
      <c r="G990" s="6">
        <f>Calc_Formulas!AG986</f>
        <v>0</v>
      </c>
    </row>
    <row r="991" spans="1:7">
      <c r="A991" s="6">
        <f>Calc_Formulas!A987</f>
        <v>0</v>
      </c>
      <c r="B991" s="7">
        <f>Calc_Formulas!AH987</f>
        <v>0</v>
      </c>
      <c r="C991" s="7">
        <f>Calc_Formulas!AI987</f>
        <v>0</v>
      </c>
      <c r="D991" s="7">
        <f>Calc_Formulas!AJ987</f>
        <v>0</v>
      </c>
      <c r="E991" s="6">
        <f>Calc_Formulas!AE987</f>
        <v>0</v>
      </c>
      <c r="F991" s="6">
        <f>Calc_Formulas!AF987</f>
        <v>0</v>
      </c>
      <c r="G991" s="6">
        <f>Calc_Formulas!AG987</f>
        <v>0</v>
      </c>
    </row>
    <row r="992" spans="1:7">
      <c r="A992" s="6">
        <f>Calc_Formulas!A988</f>
        <v>0</v>
      </c>
      <c r="B992" s="7">
        <f>Calc_Formulas!AH988</f>
        <v>0</v>
      </c>
      <c r="C992" s="7">
        <f>Calc_Formulas!AI988</f>
        <v>0</v>
      </c>
      <c r="D992" s="7">
        <f>Calc_Formulas!AJ988</f>
        <v>0</v>
      </c>
      <c r="E992" s="6">
        <f>Calc_Formulas!AE988</f>
        <v>0</v>
      </c>
      <c r="F992" s="6">
        <f>Calc_Formulas!AF988</f>
        <v>0</v>
      </c>
      <c r="G992" s="6">
        <f>Calc_Formulas!AG988</f>
        <v>0</v>
      </c>
    </row>
    <row r="993" spans="1:7">
      <c r="A993" s="6">
        <f>Calc_Formulas!A989</f>
        <v>0</v>
      </c>
      <c r="B993" s="7">
        <f>Calc_Formulas!AH989</f>
        <v>0</v>
      </c>
      <c r="C993" s="7">
        <f>Calc_Formulas!AI989</f>
        <v>0</v>
      </c>
      <c r="D993" s="7">
        <f>Calc_Formulas!AJ989</f>
        <v>0</v>
      </c>
      <c r="E993" s="6">
        <f>Calc_Formulas!AE989</f>
        <v>0</v>
      </c>
      <c r="F993" s="6">
        <f>Calc_Formulas!AF989</f>
        <v>0</v>
      </c>
      <c r="G993" s="6">
        <f>Calc_Formulas!AG989</f>
        <v>0</v>
      </c>
    </row>
    <row r="994" spans="1:7">
      <c r="A994" s="6">
        <f>Calc_Formulas!A990</f>
        <v>0</v>
      </c>
      <c r="B994" s="7">
        <f>Calc_Formulas!AH990</f>
        <v>0</v>
      </c>
      <c r="C994" s="7">
        <f>Calc_Formulas!AI990</f>
        <v>0</v>
      </c>
      <c r="D994" s="7">
        <f>Calc_Formulas!AJ990</f>
        <v>0</v>
      </c>
      <c r="E994" s="6">
        <f>Calc_Formulas!AE990</f>
        <v>0</v>
      </c>
      <c r="F994" s="6">
        <f>Calc_Formulas!AF990</f>
        <v>0</v>
      </c>
      <c r="G994" s="6">
        <f>Calc_Formulas!AG990</f>
        <v>0</v>
      </c>
    </row>
    <row r="995" spans="1:7">
      <c r="A995" s="6">
        <f>Calc_Formulas!A991</f>
        <v>0</v>
      </c>
      <c r="B995" s="7">
        <f>Calc_Formulas!AH991</f>
        <v>0</v>
      </c>
      <c r="C995" s="7">
        <f>Calc_Formulas!AI991</f>
        <v>0</v>
      </c>
      <c r="D995" s="7">
        <f>Calc_Formulas!AJ991</f>
        <v>0</v>
      </c>
      <c r="E995" s="6">
        <f>Calc_Formulas!AE991</f>
        <v>0</v>
      </c>
      <c r="F995" s="6">
        <f>Calc_Formulas!AF991</f>
        <v>0</v>
      </c>
      <c r="G995" s="6">
        <f>Calc_Formulas!AG991</f>
        <v>0</v>
      </c>
    </row>
    <row r="996" spans="1:7">
      <c r="A996" s="6">
        <f>Calc_Formulas!A992</f>
        <v>0</v>
      </c>
      <c r="B996" s="7">
        <f>Calc_Formulas!AH992</f>
        <v>0</v>
      </c>
      <c r="C996" s="7">
        <f>Calc_Formulas!AI992</f>
        <v>0</v>
      </c>
      <c r="D996" s="7">
        <f>Calc_Formulas!AJ992</f>
        <v>0</v>
      </c>
      <c r="E996" s="6">
        <f>Calc_Formulas!AE992</f>
        <v>0</v>
      </c>
      <c r="F996" s="6">
        <f>Calc_Formulas!AF992</f>
        <v>0</v>
      </c>
      <c r="G996" s="6">
        <f>Calc_Formulas!AG992</f>
        <v>0</v>
      </c>
    </row>
    <row r="997" spans="1:7">
      <c r="A997" s="6">
        <f>Calc_Formulas!A993</f>
        <v>0</v>
      </c>
      <c r="B997" s="7">
        <f>Calc_Formulas!AH993</f>
        <v>0</v>
      </c>
      <c r="C997" s="7">
        <f>Calc_Formulas!AI993</f>
        <v>0</v>
      </c>
      <c r="D997" s="7">
        <f>Calc_Formulas!AJ993</f>
        <v>0</v>
      </c>
      <c r="E997" s="6">
        <f>Calc_Formulas!AE993</f>
        <v>0</v>
      </c>
      <c r="F997" s="6">
        <f>Calc_Formulas!AF993</f>
        <v>0</v>
      </c>
      <c r="G997" s="6">
        <f>Calc_Formulas!AG993</f>
        <v>0</v>
      </c>
    </row>
    <row r="998" spans="1:7">
      <c r="A998" s="6">
        <f>Calc_Formulas!A994</f>
        <v>0</v>
      </c>
      <c r="B998" s="7">
        <f>Calc_Formulas!AH994</f>
        <v>0</v>
      </c>
      <c r="C998" s="7">
        <f>Calc_Formulas!AI994</f>
        <v>0</v>
      </c>
      <c r="D998" s="7">
        <f>Calc_Formulas!AJ994</f>
        <v>0</v>
      </c>
      <c r="E998" s="6">
        <f>Calc_Formulas!AE994</f>
        <v>0</v>
      </c>
      <c r="F998" s="6">
        <f>Calc_Formulas!AF994</f>
        <v>0</v>
      </c>
      <c r="G998" s="6">
        <f>Calc_Formulas!AG994</f>
        <v>0</v>
      </c>
    </row>
    <row r="999" spans="1:7">
      <c r="A999" s="6">
        <f>Calc_Formulas!A995</f>
        <v>0</v>
      </c>
      <c r="B999" s="7">
        <f>Calc_Formulas!AH995</f>
        <v>0</v>
      </c>
      <c r="C999" s="7">
        <f>Calc_Formulas!AI995</f>
        <v>0</v>
      </c>
      <c r="D999" s="7">
        <f>Calc_Formulas!AJ995</f>
        <v>0</v>
      </c>
      <c r="E999" s="6">
        <f>Calc_Formulas!AE995</f>
        <v>0</v>
      </c>
      <c r="F999" s="6">
        <f>Calc_Formulas!AF995</f>
        <v>0</v>
      </c>
      <c r="G999" s="6">
        <f>Calc_Formulas!AG995</f>
        <v>0</v>
      </c>
    </row>
    <row r="1000" spans="1:7">
      <c r="A1000" s="6">
        <f>Calc_Formulas!A996</f>
        <v>0</v>
      </c>
      <c r="B1000" s="7">
        <f>Calc_Formulas!AH996</f>
        <v>0</v>
      </c>
      <c r="C1000" s="7">
        <f>Calc_Formulas!AI996</f>
        <v>0</v>
      </c>
      <c r="D1000" s="7">
        <f>Calc_Formulas!AJ996</f>
        <v>0</v>
      </c>
      <c r="E1000" s="6">
        <f>Calc_Formulas!AE996</f>
        <v>0</v>
      </c>
      <c r="F1000" s="6">
        <f>Calc_Formulas!AF996</f>
        <v>0</v>
      </c>
      <c r="G1000" s="6">
        <f>Calc_Formulas!AG996</f>
        <v>0</v>
      </c>
    </row>
    <row r="1001" spans="1:7">
      <c r="A1001" s="6">
        <f>Calc_Formulas!A997</f>
        <v>0</v>
      </c>
      <c r="B1001" s="7">
        <f>Calc_Formulas!AH997</f>
        <v>0</v>
      </c>
      <c r="C1001" s="7">
        <f>Calc_Formulas!AI997</f>
        <v>0</v>
      </c>
      <c r="D1001" s="7">
        <f>Calc_Formulas!AJ997</f>
        <v>0</v>
      </c>
      <c r="E1001" s="6">
        <f>Calc_Formulas!AE997</f>
        <v>0</v>
      </c>
      <c r="F1001" s="6">
        <f>Calc_Formulas!AF997</f>
        <v>0</v>
      </c>
      <c r="G1001" s="6">
        <f>Calc_Formulas!AG997</f>
        <v>0</v>
      </c>
    </row>
    <row r="1002" spans="1:7">
      <c r="A1002" s="6">
        <f>Calc_Formulas!A998</f>
        <v>0</v>
      </c>
      <c r="B1002" s="7">
        <f>Calc_Formulas!AH998</f>
        <v>0</v>
      </c>
      <c r="C1002" s="7">
        <f>Calc_Formulas!AI998</f>
        <v>0</v>
      </c>
      <c r="D1002" s="7">
        <f>Calc_Formulas!AJ998</f>
        <v>0</v>
      </c>
      <c r="E1002" s="6">
        <f>Calc_Formulas!AE998</f>
        <v>0</v>
      </c>
      <c r="F1002" s="6">
        <f>Calc_Formulas!AF998</f>
        <v>0</v>
      </c>
      <c r="G1002" s="6">
        <f>Calc_Formulas!AG998</f>
        <v>0</v>
      </c>
    </row>
    <row r="1003" spans="1:7">
      <c r="A1003" s="6">
        <f>Calc_Formulas!A999</f>
        <v>0</v>
      </c>
      <c r="B1003" s="7">
        <f>Calc_Formulas!AH999</f>
        <v>0</v>
      </c>
      <c r="C1003" s="7">
        <f>Calc_Formulas!AI999</f>
        <v>0</v>
      </c>
      <c r="D1003" s="7">
        <f>Calc_Formulas!AJ999</f>
        <v>0</v>
      </c>
      <c r="E1003" s="6">
        <f>Calc_Formulas!AE999</f>
        <v>0</v>
      </c>
      <c r="F1003" s="6">
        <f>Calc_Formulas!AF999</f>
        <v>0</v>
      </c>
      <c r="G1003" s="6">
        <f>Calc_Formulas!AG999</f>
        <v>0</v>
      </c>
    </row>
    <row r="1004" spans="1:7">
      <c r="A1004" s="6">
        <f>Calc_Formulas!A1000</f>
        <v>0</v>
      </c>
      <c r="B1004" s="7">
        <f>Calc_Formulas!AH1000</f>
        <v>0</v>
      </c>
      <c r="C1004" s="7">
        <f>Calc_Formulas!AI1000</f>
        <v>0</v>
      </c>
      <c r="D1004" s="7">
        <f>Calc_Formulas!AJ1000</f>
        <v>0</v>
      </c>
      <c r="E1004" s="6">
        <f>Calc_Formulas!AE1000</f>
        <v>0</v>
      </c>
      <c r="F1004" s="6">
        <f>Calc_Formulas!AF1000</f>
        <v>0</v>
      </c>
      <c r="G1004" s="6">
        <f>Calc_Formulas!AG1000</f>
        <v>0</v>
      </c>
    </row>
    <row r="1005" spans="1:7">
      <c r="A1005" s="6">
        <f>Calc_Formulas!A1001</f>
        <v>0</v>
      </c>
      <c r="B1005" s="7">
        <f>Calc_Formulas!AH1001</f>
        <v>0</v>
      </c>
      <c r="C1005" s="7">
        <f>Calc_Formulas!AI1001</f>
        <v>0</v>
      </c>
      <c r="D1005" s="7">
        <f>Calc_Formulas!AJ1001</f>
        <v>0</v>
      </c>
      <c r="E1005" s="6">
        <f>Calc_Formulas!AE1001</f>
        <v>0</v>
      </c>
      <c r="F1005" s="6">
        <f>Calc_Formulas!AF1001</f>
        <v>0</v>
      </c>
      <c r="G1005" s="6">
        <f>Calc_Formulas!AG1001</f>
        <v>0</v>
      </c>
    </row>
    <row r="1006" spans="1:7">
      <c r="A1006" s="6">
        <f>Calc_Formulas!A1002</f>
        <v>0</v>
      </c>
      <c r="B1006" s="7">
        <f>Calc_Formulas!AH1002</f>
        <v>0</v>
      </c>
      <c r="C1006" s="7">
        <f>Calc_Formulas!AI1002</f>
        <v>0</v>
      </c>
      <c r="D1006" s="7">
        <f>Calc_Formulas!AJ1002</f>
        <v>0</v>
      </c>
      <c r="E1006" s="6">
        <f>Calc_Formulas!AE1002</f>
        <v>0</v>
      </c>
      <c r="F1006" s="6">
        <f>Calc_Formulas!AF1002</f>
        <v>0</v>
      </c>
      <c r="G1006" s="6">
        <f>Calc_Formulas!AG1002</f>
        <v>0</v>
      </c>
    </row>
    <row r="1007" spans="1:7">
      <c r="A1007" s="6">
        <f>Calc_Formulas!A1003</f>
        <v>0</v>
      </c>
      <c r="B1007" s="7">
        <f>Calc_Formulas!AH1003</f>
        <v>0</v>
      </c>
      <c r="C1007" s="7">
        <f>Calc_Formulas!AI1003</f>
        <v>0</v>
      </c>
      <c r="D1007" s="7">
        <f>Calc_Formulas!AJ1003</f>
        <v>0</v>
      </c>
      <c r="E1007" s="6">
        <f>Calc_Formulas!AE1003</f>
        <v>0</v>
      </c>
      <c r="F1007" s="6">
        <f>Calc_Formulas!AF1003</f>
        <v>0</v>
      </c>
      <c r="G1007" s="6">
        <f>Calc_Formulas!AG1003</f>
        <v>0</v>
      </c>
    </row>
    <row r="1008" spans="1:7">
      <c r="A1008" s="6">
        <f>Calc_Formulas!A1004</f>
        <v>0</v>
      </c>
      <c r="B1008" s="7">
        <f>Calc_Formulas!AH1004</f>
        <v>0</v>
      </c>
      <c r="C1008" s="7">
        <f>Calc_Formulas!AI1004</f>
        <v>0</v>
      </c>
      <c r="D1008" s="7">
        <f>Calc_Formulas!AJ1004</f>
        <v>0</v>
      </c>
      <c r="E1008" s="6">
        <f>Calc_Formulas!AE1004</f>
        <v>0</v>
      </c>
      <c r="F1008" s="6">
        <f>Calc_Formulas!AF1004</f>
        <v>0</v>
      </c>
      <c r="G1008" s="6">
        <f>Calc_Formulas!AG1004</f>
        <v>0</v>
      </c>
    </row>
    <row r="1009" spans="1:7">
      <c r="A1009" s="6">
        <f>Calc_Formulas!A1005</f>
        <v>0</v>
      </c>
      <c r="B1009" s="7">
        <f>Calc_Formulas!AH1005</f>
        <v>0</v>
      </c>
      <c r="C1009" s="7">
        <f>Calc_Formulas!AI1005</f>
        <v>0</v>
      </c>
      <c r="D1009" s="7">
        <f>Calc_Formulas!AJ1005</f>
        <v>0</v>
      </c>
      <c r="E1009" s="6">
        <f>Calc_Formulas!AE1005</f>
        <v>0</v>
      </c>
      <c r="F1009" s="6">
        <f>Calc_Formulas!AF1005</f>
        <v>0</v>
      </c>
      <c r="G1009" s="6">
        <f>Calc_Formulas!AG1005</f>
        <v>0</v>
      </c>
    </row>
    <row r="1010" spans="1:7">
      <c r="A1010" s="6">
        <f>Calc_Formulas!A1006</f>
        <v>0</v>
      </c>
      <c r="B1010" s="7">
        <f>Calc_Formulas!AH1006</f>
        <v>0</v>
      </c>
      <c r="C1010" s="7">
        <f>Calc_Formulas!AI1006</f>
        <v>0</v>
      </c>
      <c r="D1010" s="7">
        <f>Calc_Formulas!AJ1006</f>
        <v>0</v>
      </c>
      <c r="E1010" s="6">
        <f>Calc_Formulas!AE1006</f>
        <v>0</v>
      </c>
      <c r="F1010" s="6">
        <f>Calc_Formulas!AF1006</f>
        <v>0</v>
      </c>
      <c r="G1010" s="6">
        <f>Calc_Formulas!AG1006</f>
        <v>0</v>
      </c>
    </row>
    <row r="1011" spans="1:7">
      <c r="A1011" s="6">
        <f>Calc_Formulas!A1007</f>
        <v>0</v>
      </c>
      <c r="B1011" s="7">
        <f>Calc_Formulas!AH1007</f>
        <v>0</v>
      </c>
      <c r="C1011" s="7">
        <f>Calc_Formulas!AI1007</f>
        <v>0</v>
      </c>
      <c r="D1011" s="7">
        <f>Calc_Formulas!AJ1007</f>
        <v>0</v>
      </c>
      <c r="E1011" s="6">
        <f>Calc_Formulas!AE1007</f>
        <v>0</v>
      </c>
      <c r="F1011" s="6">
        <f>Calc_Formulas!AF1007</f>
        <v>0</v>
      </c>
      <c r="G1011" s="6">
        <f>Calc_Formulas!AG1007</f>
        <v>0</v>
      </c>
    </row>
    <row r="1012" spans="1:7">
      <c r="A1012" s="6">
        <f>Calc_Formulas!A1008</f>
        <v>0</v>
      </c>
      <c r="B1012" s="7">
        <f>Calc_Formulas!AH1008</f>
        <v>0</v>
      </c>
      <c r="C1012" s="7">
        <f>Calc_Formulas!AI1008</f>
        <v>0</v>
      </c>
      <c r="D1012" s="7">
        <f>Calc_Formulas!AJ1008</f>
        <v>0</v>
      </c>
      <c r="E1012" s="6">
        <f>Calc_Formulas!AE1008</f>
        <v>0</v>
      </c>
      <c r="F1012" s="6">
        <f>Calc_Formulas!AF1008</f>
        <v>0</v>
      </c>
      <c r="G1012" s="6">
        <f>Calc_Formulas!AG1008</f>
        <v>0</v>
      </c>
    </row>
    <row r="1013" spans="1:7">
      <c r="A1013" s="6">
        <f>Calc_Formulas!A1009</f>
        <v>0</v>
      </c>
      <c r="B1013" s="7">
        <f>Calc_Formulas!AH1009</f>
        <v>0</v>
      </c>
      <c r="C1013" s="7">
        <f>Calc_Formulas!AI1009</f>
        <v>0</v>
      </c>
      <c r="D1013" s="7">
        <f>Calc_Formulas!AJ1009</f>
        <v>0</v>
      </c>
      <c r="E1013" s="6">
        <f>Calc_Formulas!AE1009</f>
        <v>0</v>
      </c>
      <c r="F1013" s="6">
        <f>Calc_Formulas!AF1009</f>
        <v>0</v>
      </c>
      <c r="G1013" s="6">
        <f>Calc_Formulas!AG1009</f>
        <v>0</v>
      </c>
    </row>
    <row r="1014" spans="1:7">
      <c r="A1014" s="6">
        <f>Calc_Formulas!A1010</f>
        <v>0</v>
      </c>
      <c r="B1014" s="7">
        <f>Calc_Formulas!AH1010</f>
        <v>0</v>
      </c>
      <c r="C1014" s="7">
        <f>Calc_Formulas!AI1010</f>
        <v>0</v>
      </c>
      <c r="D1014" s="7">
        <f>Calc_Formulas!AJ1010</f>
        <v>0</v>
      </c>
      <c r="E1014" s="6">
        <f>Calc_Formulas!AE1010</f>
        <v>0</v>
      </c>
      <c r="F1014" s="6">
        <f>Calc_Formulas!AF1010</f>
        <v>0</v>
      </c>
      <c r="G1014" s="6">
        <f>Calc_Formulas!AG1010</f>
        <v>0</v>
      </c>
    </row>
    <row r="1015" spans="1:7">
      <c r="A1015" s="6">
        <f>Calc_Formulas!A1011</f>
        <v>0</v>
      </c>
      <c r="B1015" s="7">
        <f>Calc_Formulas!AH1011</f>
        <v>0</v>
      </c>
      <c r="C1015" s="7">
        <f>Calc_Formulas!AI1011</f>
        <v>0</v>
      </c>
      <c r="D1015" s="7">
        <f>Calc_Formulas!AJ1011</f>
        <v>0</v>
      </c>
      <c r="E1015" s="6">
        <f>Calc_Formulas!AE1011</f>
        <v>0</v>
      </c>
      <c r="F1015" s="6">
        <f>Calc_Formulas!AF1011</f>
        <v>0</v>
      </c>
      <c r="G1015" s="6">
        <f>Calc_Formulas!AG1011</f>
        <v>0</v>
      </c>
    </row>
    <row r="1016" spans="1:7">
      <c r="A1016" s="6">
        <f>Calc_Formulas!A1012</f>
        <v>0</v>
      </c>
      <c r="B1016" s="7">
        <f>Calc_Formulas!AH1012</f>
        <v>0</v>
      </c>
      <c r="C1016" s="7">
        <f>Calc_Formulas!AI1012</f>
        <v>0</v>
      </c>
      <c r="D1016" s="7">
        <f>Calc_Formulas!AJ1012</f>
        <v>0</v>
      </c>
      <c r="E1016" s="6">
        <f>Calc_Formulas!AE1012</f>
        <v>0</v>
      </c>
      <c r="F1016" s="6">
        <f>Calc_Formulas!AF1012</f>
        <v>0</v>
      </c>
      <c r="G1016" s="6">
        <f>Calc_Formulas!AG1012</f>
        <v>0</v>
      </c>
    </row>
    <row r="1017" spans="1:7">
      <c r="A1017" s="6">
        <f>Calc_Formulas!A1013</f>
        <v>0</v>
      </c>
      <c r="B1017" s="7">
        <f>Calc_Formulas!AH1013</f>
        <v>0</v>
      </c>
      <c r="C1017" s="7">
        <f>Calc_Formulas!AI1013</f>
        <v>0</v>
      </c>
      <c r="D1017" s="7">
        <f>Calc_Formulas!AJ1013</f>
        <v>0</v>
      </c>
      <c r="E1017" s="6">
        <f>Calc_Formulas!AE1013</f>
        <v>0</v>
      </c>
      <c r="F1017" s="6">
        <f>Calc_Formulas!AF1013</f>
        <v>0</v>
      </c>
      <c r="G1017" s="6">
        <f>Calc_Formulas!AG1013</f>
        <v>0</v>
      </c>
    </row>
    <row r="1018" spans="1:7">
      <c r="A1018" s="6">
        <f>Calc_Formulas!A1014</f>
        <v>0</v>
      </c>
      <c r="B1018" s="7">
        <f>Calc_Formulas!AH1014</f>
        <v>0</v>
      </c>
      <c r="C1018" s="7">
        <f>Calc_Formulas!AI1014</f>
        <v>0</v>
      </c>
      <c r="D1018" s="7">
        <f>Calc_Formulas!AJ1014</f>
        <v>0</v>
      </c>
      <c r="E1018" s="6">
        <f>Calc_Formulas!AE1014</f>
        <v>0</v>
      </c>
      <c r="F1018" s="6">
        <f>Calc_Formulas!AF1014</f>
        <v>0</v>
      </c>
      <c r="G1018" s="6">
        <f>Calc_Formulas!AG1014</f>
        <v>0</v>
      </c>
    </row>
    <row r="1019" spans="1:7">
      <c r="A1019" s="6">
        <f>Calc_Formulas!A1015</f>
        <v>0</v>
      </c>
      <c r="B1019" s="7">
        <f>Calc_Formulas!AH1015</f>
        <v>0</v>
      </c>
      <c r="C1019" s="7">
        <f>Calc_Formulas!AI1015</f>
        <v>0</v>
      </c>
      <c r="D1019" s="7">
        <f>Calc_Formulas!AJ1015</f>
        <v>0</v>
      </c>
      <c r="E1019" s="6">
        <f>Calc_Formulas!AE1015</f>
        <v>0</v>
      </c>
      <c r="F1019" s="6">
        <f>Calc_Formulas!AF1015</f>
        <v>0</v>
      </c>
      <c r="G1019" s="6">
        <f>Calc_Formulas!AG1015</f>
        <v>0</v>
      </c>
    </row>
    <row r="1020" spans="1:7">
      <c r="A1020" s="6">
        <f>Calc_Formulas!A1016</f>
        <v>0</v>
      </c>
      <c r="B1020" s="7">
        <f>Calc_Formulas!AH1016</f>
        <v>0</v>
      </c>
      <c r="C1020" s="7">
        <f>Calc_Formulas!AI1016</f>
        <v>0</v>
      </c>
      <c r="D1020" s="7">
        <f>Calc_Formulas!AJ1016</f>
        <v>0</v>
      </c>
      <c r="E1020" s="6">
        <f>Calc_Formulas!AE1016</f>
        <v>0</v>
      </c>
      <c r="F1020" s="6">
        <f>Calc_Formulas!AF1016</f>
        <v>0</v>
      </c>
      <c r="G1020" s="6">
        <f>Calc_Formulas!AG1016</f>
        <v>0</v>
      </c>
    </row>
    <row r="1021" spans="1:7">
      <c r="A1021" s="6">
        <f>Calc_Formulas!A1017</f>
        <v>0</v>
      </c>
      <c r="B1021" s="7">
        <f>Calc_Formulas!AH1017</f>
        <v>0</v>
      </c>
      <c r="C1021" s="7">
        <f>Calc_Formulas!AI1017</f>
        <v>0</v>
      </c>
      <c r="D1021" s="7">
        <f>Calc_Formulas!AJ1017</f>
        <v>0</v>
      </c>
      <c r="E1021" s="6">
        <f>Calc_Formulas!AE1017</f>
        <v>0</v>
      </c>
      <c r="F1021" s="6">
        <f>Calc_Formulas!AF1017</f>
        <v>0</v>
      </c>
      <c r="G1021" s="6">
        <f>Calc_Formulas!AG1017</f>
        <v>0</v>
      </c>
    </row>
    <row r="1022" spans="1:7">
      <c r="A1022" s="6">
        <f>Calc_Formulas!A1018</f>
        <v>0</v>
      </c>
      <c r="B1022" s="7">
        <f>Calc_Formulas!AH1018</f>
        <v>0</v>
      </c>
      <c r="C1022" s="7">
        <f>Calc_Formulas!AI1018</f>
        <v>0</v>
      </c>
      <c r="D1022" s="7">
        <f>Calc_Formulas!AJ1018</f>
        <v>0</v>
      </c>
      <c r="E1022" s="6">
        <f>Calc_Formulas!AE1018</f>
        <v>0</v>
      </c>
      <c r="F1022" s="6">
        <f>Calc_Formulas!AF1018</f>
        <v>0</v>
      </c>
      <c r="G1022" s="6">
        <f>Calc_Formulas!AG1018</f>
        <v>0</v>
      </c>
    </row>
    <row r="1023" spans="1:7">
      <c r="A1023" s="6">
        <f>Calc_Formulas!A1019</f>
        <v>0</v>
      </c>
      <c r="B1023" s="7">
        <f>Calc_Formulas!AH1019</f>
        <v>0</v>
      </c>
      <c r="C1023" s="7">
        <f>Calc_Formulas!AI1019</f>
        <v>0</v>
      </c>
      <c r="D1023" s="7">
        <f>Calc_Formulas!AJ1019</f>
        <v>0</v>
      </c>
      <c r="E1023" s="6">
        <f>Calc_Formulas!AE1019</f>
        <v>0</v>
      </c>
      <c r="F1023" s="6">
        <f>Calc_Formulas!AF1019</f>
        <v>0</v>
      </c>
      <c r="G1023" s="6">
        <f>Calc_Formulas!AG1019</f>
        <v>0</v>
      </c>
    </row>
    <row r="1024" spans="1:7">
      <c r="A1024" s="6">
        <f>Calc_Formulas!A1020</f>
        <v>0</v>
      </c>
      <c r="B1024" s="7">
        <f>Calc_Formulas!AH1020</f>
        <v>0</v>
      </c>
      <c r="C1024" s="7">
        <f>Calc_Formulas!AI1020</f>
        <v>0</v>
      </c>
      <c r="D1024" s="7">
        <f>Calc_Formulas!AJ1020</f>
        <v>0</v>
      </c>
      <c r="E1024" s="6">
        <f>Calc_Formulas!AE1020</f>
        <v>0</v>
      </c>
      <c r="F1024" s="6">
        <f>Calc_Formulas!AF1020</f>
        <v>0</v>
      </c>
      <c r="G1024" s="6">
        <f>Calc_Formulas!AG1020</f>
        <v>0</v>
      </c>
    </row>
    <row r="1025" spans="1:7">
      <c r="A1025" s="6">
        <f>Calc_Formulas!A1021</f>
        <v>0</v>
      </c>
      <c r="B1025" s="7">
        <f>Calc_Formulas!AH1021</f>
        <v>0</v>
      </c>
      <c r="C1025" s="7">
        <f>Calc_Formulas!AI1021</f>
        <v>0</v>
      </c>
      <c r="D1025" s="7">
        <f>Calc_Formulas!AJ1021</f>
        <v>0</v>
      </c>
      <c r="E1025" s="6">
        <f>Calc_Formulas!AE1021</f>
        <v>0</v>
      </c>
      <c r="F1025" s="6">
        <f>Calc_Formulas!AF1021</f>
        <v>0</v>
      </c>
      <c r="G1025" s="6">
        <f>Calc_Formulas!AG1021</f>
        <v>0</v>
      </c>
    </row>
    <row r="1026" spans="1:7">
      <c r="A1026" s="6">
        <f>Calc_Formulas!A1022</f>
        <v>0</v>
      </c>
      <c r="B1026" s="7">
        <f>Calc_Formulas!AH1022</f>
        <v>0</v>
      </c>
      <c r="C1026" s="7">
        <f>Calc_Formulas!AI1022</f>
        <v>0</v>
      </c>
      <c r="D1026" s="7">
        <f>Calc_Formulas!AJ1022</f>
        <v>0</v>
      </c>
      <c r="E1026" s="6">
        <f>Calc_Formulas!AE1022</f>
        <v>0</v>
      </c>
      <c r="F1026" s="6">
        <f>Calc_Formulas!AF1022</f>
        <v>0</v>
      </c>
      <c r="G1026" s="6">
        <f>Calc_Formulas!AG1022</f>
        <v>0</v>
      </c>
    </row>
    <row r="1027" spans="1:7">
      <c r="A1027" s="6">
        <f>Calc_Formulas!A1023</f>
        <v>0</v>
      </c>
      <c r="B1027" s="7">
        <f>Calc_Formulas!AH1023</f>
        <v>0</v>
      </c>
      <c r="C1027" s="7">
        <f>Calc_Formulas!AI1023</f>
        <v>0</v>
      </c>
      <c r="D1027" s="7">
        <f>Calc_Formulas!AJ1023</f>
        <v>0</v>
      </c>
      <c r="E1027" s="6">
        <f>Calc_Formulas!AE1023</f>
        <v>0</v>
      </c>
      <c r="F1027" s="6">
        <f>Calc_Formulas!AF1023</f>
        <v>0</v>
      </c>
      <c r="G1027" s="6">
        <f>Calc_Formulas!AG1023</f>
        <v>0</v>
      </c>
    </row>
    <row r="1028" spans="1:7">
      <c r="A1028" s="6">
        <f>Calc_Formulas!A1024</f>
        <v>0</v>
      </c>
      <c r="B1028" s="7">
        <f>Calc_Formulas!AH1024</f>
        <v>0</v>
      </c>
      <c r="C1028" s="7">
        <f>Calc_Formulas!AI1024</f>
        <v>0</v>
      </c>
      <c r="D1028" s="7">
        <f>Calc_Formulas!AJ1024</f>
        <v>0</v>
      </c>
      <c r="E1028" s="6">
        <f>Calc_Formulas!AE1024</f>
        <v>0</v>
      </c>
      <c r="F1028" s="6">
        <f>Calc_Formulas!AF1024</f>
        <v>0</v>
      </c>
      <c r="G1028" s="6">
        <f>Calc_Formulas!AG1024</f>
        <v>0</v>
      </c>
    </row>
    <row r="1029" spans="1:7">
      <c r="A1029" s="6">
        <f>Calc_Formulas!A1025</f>
        <v>0</v>
      </c>
      <c r="B1029" s="7">
        <f>Calc_Formulas!AH1025</f>
        <v>0</v>
      </c>
      <c r="C1029" s="7">
        <f>Calc_Formulas!AI1025</f>
        <v>0</v>
      </c>
      <c r="D1029" s="7">
        <f>Calc_Formulas!AJ1025</f>
        <v>0</v>
      </c>
      <c r="E1029" s="6">
        <f>Calc_Formulas!AE1025</f>
        <v>0</v>
      </c>
      <c r="F1029" s="6">
        <f>Calc_Formulas!AF1025</f>
        <v>0</v>
      </c>
      <c r="G1029" s="6">
        <f>Calc_Formulas!AG1025</f>
        <v>0</v>
      </c>
    </row>
    <row r="1030" spans="1:7">
      <c r="A1030" s="6">
        <f>Calc_Formulas!A1026</f>
        <v>0</v>
      </c>
      <c r="B1030" s="7">
        <f>Calc_Formulas!AH1026</f>
        <v>0</v>
      </c>
      <c r="C1030" s="7">
        <f>Calc_Formulas!AI1026</f>
        <v>0</v>
      </c>
      <c r="D1030" s="7">
        <f>Calc_Formulas!AJ1026</f>
        <v>0</v>
      </c>
      <c r="E1030" s="6">
        <f>Calc_Formulas!AE1026</f>
        <v>0</v>
      </c>
      <c r="F1030" s="6">
        <f>Calc_Formulas!AF1026</f>
        <v>0</v>
      </c>
      <c r="G1030" s="6">
        <f>Calc_Formulas!AG1026</f>
        <v>0</v>
      </c>
    </row>
    <row r="1031" spans="1:7">
      <c r="A1031" s="6">
        <f>Calc_Formulas!A1027</f>
        <v>0</v>
      </c>
      <c r="B1031" s="7">
        <f>Calc_Formulas!AH1027</f>
        <v>0</v>
      </c>
      <c r="C1031" s="7">
        <f>Calc_Formulas!AI1027</f>
        <v>0</v>
      </c>
      <c r="D1031" s="7">
        <f>Calc_Formulas!AJ1027</f>
        <v>0</v>
      </c>
      <c r="E1031" s="6">
        <f>Calc_Formulas!AE1027</f>
        <v>0</v>
      </c>
      <c r="F1031" s="6">
        <f>Calc_Formulas!AF1027</f>
        <v>0</v>
      </c>
      <c r="G1031" s="6">
        <f>Calc_Formulas!AG1027</f>
        <v>0</v>
      </c>
    </row>
    <row r="1032" spans="1:7">
      <c r="A1032" s="6">
        <f>Calc_Formulas!A1028</f>
        <v>0</v>
      </c>
      <c r="B1032" s="7">
        <f>Calc_Formulas!AH1028</f>
        <v>0</v>
      </c>
      <c r="C1032" s="7">
        <f>Calc_Formulas!AI1028</f>
        <v>0</v>
      </c>
      <c r="D1032" s="7">
        <f>Calc_Formulas!AJ1028</f>
        <v>0</v>
      </c>
      <c r="E1032" s="6">
        <f>Calc_Formulas!AE1028</f>
        <v>0</v>
      </c>
      <c r="F1032" s="6">
        <f>Calc_Formulas!AF1028</f>
        <v>0</v>
      </c>
      <c r="G1032" s="6">
        <f>Calc_Formulas!AG1028</f>
        <v>0</v>
      </c>
    </row>
    <row r="1033" spans="1:7">
      <c r="A1033" s="6">
        <f>Calc_Formulas!A1029</f>
        <v>0</v>
      </c>
      <c r="B1033" s="7">
        <f>Calc_Formulas!AH1029</f>
        <v>0</v>
      </c>
      <c r="C1033" s="7">
        <f>Calc_Formulas!AI1029</f>
        <v>0</v>
      </c>
      <c r="D1033" s="7">
        <f>Calc_Formulas!AJ1029</f>
        <v>0</v>
      </c>
      <c r="E1033" s="6">
        <f>Calc_Formulas!AE1029</f>
        <v>0</v>
      </c>
      <c r="F1033" s="6">
        <f>Calc_Formulas!AF1029</f>
        <v>0</v>
      </c>
      <c r="G1033" s="6">
        <f>Calc_Formulas!AG1029</f>
        <v>0</v>
      </c>
    </row>
    <row r="1034" spans="1:7">
      <c r="A1034" s="6">
        <f>Calc_Formulas!A1030</f>
        <v>0</v>
      </c>
      <c r="B1034" s="7">
        <f>Calc_Formulas!AH1030</f>
        <v>0</v>
      </c>
      <c r="C1034" s="7">
        <f>Calc_Formulas!AI1030</f>
        <v>0</v>
      </c>
      <c r="D1034" s="7">
        <f>Calc_Formulas!AJ1030</f>
        <v>0</v>
      </c>
      <c r="E1034" s="6">
        <f>Calc_Formulas!AE1030</f>
        <v>0</v>
      </c>
      <c r="F1034" s="6">
        <f>Calc_Formulas!AF1030</f>
        <v>0</v>
      </c>
      <c r="G1034" s="6">
        <f>Calc_Formulas!AG1030</f>
        <v>0</v>
      </c>
    </row>
    <row r="1035" spans="1:7">
      <c r="A1035" s="6">
        <f>Calc_Formulas!A1031</f>
        <v>0</v>
      </c>
      <c r="B1035" s="7">
        <f>Calc_Formulas!AH1031</f>
        <v>0</v>
      </c>
      <c r="C1035" s="7">
        <f>Calc_Formulas!AI1031</f>
        <v>0</v>
      </c>
      <c r="D1035" s="7">
        <f>Calc_Formulas!AJ1031</f>
        <v>0</v>
      </c>
      <c r="E1035" s="6">
        <f>Calc_Formulas!AE1031</f>
        <v>0</v>
      </c>
      <c r="F1035" s="6">
        <f>Calc_Formulas!AF1031</f>
        <v>0</v>
      </c>
      <c r="G1035" s="6">
        <f>Calc_Formulas!AG1031</f>
        <v>0</v>
      </c>
    </row>
    <row r="1036" spans="1:7">
      <c r="A1036" s="6">
        <f>Calc_Formulas!A1032</f>
        <v>0</v>
      </c>
      <c r="B1036" s="7">
        <f>Calc_Formulas!AH1032</f>
        <v>0</v>
      </c>
      <c r="C1036" s="7">
        <f>Calc_Formulas!AI1032</f>
        <v>0</v>
      </c>
      <c r="D1036" s="7">
        <f>Calc_Formulas!AJ1032</f>
        <v>0</v>
      </c>
      <c r="E1036" s="6">
        <f>Calc_Formulas!AE1032</f>
        <v>0</v>
      </c>
      <c r="F1036" s="6">
        <f>Calc_Formulas!AF1032</f>
        <v>0</v>
      </c>
      <c r="G1036" s="6">
        <f>Calc_Formulas!AG1032</f>
        <v>0</v>
      </c>
    </row>
    <row r="1037" spans="1:7">
      <c r="A1037" s="6">
        <f>Calc_Formulas!A1033</f>
        <v>0</v>
      </c>
      <c r="B1037" s="7">
        <f>Calc_Formulas!AH1033</f>
        <v>0</v>
      </c>
      <c r="C1037" s="7">
        <f>Calc_Formulas!AI1033</f>
        <v>0</v>
      </c>
      <c r="D1037" s="7">
        <f>Calc_Formulas!AJ1033</f>
        <v>0</v>
      </c>
      <c r="E1037" s="6">
        <f>Calc_Formulas!AE1033</f>
        <v>0</v>
      </c>
      <c r="F1037" s="6">
        <f>Calc_Formulas!AF1033</f>
        <v>0</v>
      </c>
      <c r="G1037" s="6">
        <f>Calc_Formulas!AG1033</f>
        <v>0</v>
      </c>
    </row>
    <row r="1038" spans="1:7">
      <c r="A1038" s="6">
        <f>Calc_Formulas!A1034</f>
        <v>0</v>
      </c>
      <c r="B1038" s="7">
        <f>Calc_Formulas!AH1034</f>
        <v>0</v>
      </c>
      <c r="C1038" s="7">
        <f>Calc_Formulas!AI1034</f>
        <v>0</v>
      </c>
      <c r="D1038" s="7">
        <f>Calc_Formulas!AJ1034</f>
        <v>0</v>
      </c>
      <c r="E1038" s="6">
        <f>Calc_Formulas!AE1034</f>
        <v>0</v>
      </c>
      <c r="F1038" s="6">
        <f>Calc_Formulas!AF1034</f>
        <v>0</v>
      </c>
      <c r="G1038" s="6">
        <f>Calc_Formulas!AG1034</f>
        <v>0</v>
      </c>
    </row>
    <row r="1039" spans="1:7">
      <c r="A1039" s="6">
        <f>Calc_Formulas!A1035</f>
        <v>0</v>
      </c>
      <c r="B1039" s="7">
        <f>Calc_Formulas!AH1035</f>
        <v>0</v>
      </c>
      <c r="C1039" s="7">
        <f>Calc_Formulas!AI1035</f>
        <v>0</v>
      </c>
      <c r="D1039" s="7">
        <f>Calc_Formulas!AJ1035</f>
        <v>0</v>
      </c>
      <c r="E1039" s="6">
        <f>Calc_Formulas!AE1035</f>
        <v>0</v>
      </c>
      <c r="F1039" s="6">
        <f>Calc_Formulas!AF1035</f>
        <v>0</v>
      </c>
      <c r="G1039" s="6">
        <f>Calc_Formulas!AG1035</f>
        <v>0</v>
      </c>
    </row>
    <row r="1040" spans="1:7">
      <c r="A1040" s="6">
        <f>Calc_Formulas!A1036</f>
        <v>0</v>
      </c>
      <c r="B1040" s="7">
        <f>Calc_Formulas!AH1036</f>
        <v>0</v>
      </c>
      <c r="C1040" s="7">
        <f>Calc_Formulas!AI1036</f>
        <v>0</v>
      </c>
      <c r="D1040" s="7">
        <f>Calc_Formulas!AJ1036</f>
        <v>0</v>
      </c>
      <c r="E1040" s="6">
        <f>Calc_Formulas!AE1036</f>
        <v>0</v>
      </c>
      <c r="F1040" s="6">
        <f>Calc_Formulas!AF1036</f>
        <v>0</v>
      </c>
      <c r="G1040" s="6">
        <f>Calc_Formulas!AG1036</f>
        <v>0</v>
      </c>
    </row>
    <row r="1041" spans="1:7">
      <c r="A1041" s="6">
        <f>Calc_Formulas!A1037</f>
        <v>0</v>
      </c>
      <c r="B1041" s="7">
        <f>Calc_Formulas!AH1037</f>
        <v>0</v>
      </c>
      <c r="C1041" s="7">
        <f>Calc_Formulas!AI1037</f>
        <v>0</v>
      </c>
      <c r="D1041" s="7">
        <f>Calc_Formulas!AJ1037</f>
        <v>0</v>
      </c>
      <c r="E1041" s="6">
        <f>Calc_Formulas!AE1037</f>
        <v>0</v>
      </c>
      <c r="F1041" s="6">
        <f>Calc_Formulas!AF1037</f>
        <v>0</v>
      </c>
      <c r="G1041" s="6">
        <f>Calc_Formulas!AG1037</f>
        <v>0</v>
      </c>
    </row>
    <row r="1042" spans="1:7">
      <c r="A1042" s="6">
        <f>Calc_Formulas!A1038</f>
        <v>0</v>
      </c>
      <c r="B1042" s="7">
        <f>Calc_Formulas!AH1038</f>
        <v>0</v>
      </c>
      <c r="C1042" s="7">
        <f>Calc_Formulas!AI1038</f>
        <v>0</v>
      </c>
      <c r="D1042" s="7">
        <f>Calc_Formulas!AJ1038</f>
        <v>0</v>
      </c>
      <c r="E1042" s="6">
        <f>Calc_Formulas!AE1038</f>
        <v>0</v>
      </c>
      <c r="F1042" s="6">
        <f>Calc_Formulas!AF1038</f>
        <v>0</v>
      </c>
      <c r="G1042" s="6">
        <f>Calc_Formulas!AG1038</f>
        <v>0</v>
      </c>
    </row>
    <row r="1043" spans="1:7">
      <c r="A1043" s="6">
        <f>Calc_Formulas!A1039</f>
        <v>0</v>
      </c>
      <c r="B1043" s="7">
        <f>Calc_Formulas!AH1039</f>
        <v>0</v>
      </c>
      <c r="C1043" s="7">
        <f>Calc_Formulas!AI1039</f>
        <v>0</v>
      </c>
      <c r="D1043" s="7">
        <f>Calc_Formulas!AJ1039</f>
        <v>0</v>
      </c>
      <c r="E1043" s="6">
        <f>Calc_Formulas!AE1039</f>
        <v>0</v>
      </c>
      <c r="F1043" s="6">
        <f>Calc_Formulas!AF1039</f>
        <v>0</v>
      </c>
      <c r="G1043" s="6">
        <f>Calc_Formulas!AG1039</f>
        <v>0</v>
      </c>
    </row>
    <row r="1044" spans="1:7">
      <c r="A1044" s="6">
        <f>Calc_Formulas!A1040</f>
        <v>0</v>
      </c>
      <c r="B1044" s="7">
        <f>Calc_Formulas!AH1040</f>
        <v>0</v>
      </c>
      <c r="C1044" s="7">
        <f>Calc_Formulas!AI1040</f>
        <v>0</v>
      </c>
      <c r="D1044" s="7">
        <f>Calc_Formulas!AJ1040</f>
        <v>0</v>
      </c>
      <c r="E1044" s="6">
        <f>Calc_Formulas!AE1040</f>
        <v>0</v>
      </c>
      <c r="F1044" s="6">
        <f>Calc_Formulas!AF1040</f>
        <v>0</v>
      </c>
      <c r="G1044" s="6">
        <f>Calc_Formulas!AG1040</f>
        <v>0</v>
      </c>
    </row>
    <row r="1045" spans="1:7">
      <c r="A1045" s="6">
        <f>Calc_Formulas!A1041</f>
        <v>0</v>
      </c>
      <c r="B1045" s="7">
        <f>Calc_Formulas!AH1041</f>
        <v>0</v>
      </c>
      <c r="C1045" s="7">
        <f>Calc_Formulas!AI1041</f>
        <v>0</v>
      </c>
      <c r="D1045" s="7">
        <f>Calc_Formulas!AJ1041</f>
        <v>0</v>
      </c>
      <c r="E1045" s="6">
        <f>Calc_Formulas!AE1041</f>
        <v>0</v>
      </c>
      <c r="F1045" s="6">
        <f>Calc_Formulas!AF1041</f>
        <v>0</v>
      </c>
      <c r="G1045" s="6">
        <f>Calc_Formulas!AG1041</f>
        <v>0</v>
      </c>
    </row>
    <row r="1046" spans="1:7">
      <c r="A1046" s="6">
        <f>Calc_Formulas!A1042</f>
        <v>0</v>
      </c>
      <c r="B1046" s="7">
        <f>Calc_Formulas!AH1042</f>
        <v>0</v>
      </c>
      <c r="C1046" s="7">
        <f>Calc_Formulas!AI1042</f>
        <v>0</v>
      </c>
      <c r="D1046" s="7">
        <f>Calc_Formulas!AJ1042</f>
        <v>0</v>
      </c>
      <c r="E1046" s="6">
        <f>Calc_Formulas!AE1042</f>
        <v>0</v>
      </c>
      <c r="F1046" s="6">
        <f>Calc_Formulas!AF1042</f>
        <v>0</v>
      </c>
      <c r="G1046" s="6">
        <f>Calc_Formulas!AG1042</f>
        <v>0</v>
      </c>
    </row>
    <row r="1047" spans="1:7">
      <c r="A1047" s="6">
        <f>Calc_Formulas!A1043</f>
        <v>0</v>
      </c>
      <c r="B1047" s="7">
        <f>Calc_Formulas!AH1043</f>
        <v>0</v>
      </c>
      <c r="C1047" s="7">
        <f>Calc_Formulas!AI1043</f>
        <v>0</v>
      </c>
      <c r="D1047" s="7">
        <f>Calc_Formulas!AJ1043</f>
        <v>0</v>
      </c>
      <c r="E1047" s="6">
        <f>Calc_Formulas!AE1043</f>
        <v>0</v>
      </c>
      <c r="F1047" s="6">
        <f>Calc_Formulas!AF1043</f>
        <v>0</v>
      </c>
      <c r="G1047" s="6">
        <f>Calc_Formulas!AG1043</f>
        <v>0</v>
      </c>
    </row>
    <row r="1048" spans="1:7">
      <c r="A1048" s="6">
        <f>Calc_Formulas!A1044</f>
        <v>0</v>
      </c>
      <c r="B1048" s="7">
        <f>Calc_Formulas!AH1044</f>
        <v>0</v>
      </c>
      <c r="C1048" s="7">
        <f>Calc_Formulas!AI1044</f>
        <v>0</v>
      </c>
      <c r="D1048" s="7">
        <f>Calc_Formulas!AJ1044</f>
        <v>0</v>
      </c>
      <c r="E1048" s="6">
        <f>Calc_Formulas!AE1044</f>
        <v>0</v>
      </c>
      <c r="F1048" s="6">
        <f>Calc_Formulas!AF1044</f>
        <v>0</v>
      </c>
      <c r="G1048" s="6">
        <f>Calc_Formulas!AG1044</f>
        <v>0</v>
      </c>
    </row>
    <row r="1049" spans="1:7">
      <c r="A1049" s="6">
        <f>Calc_Formulas!A1045</f>
        <v>0</v>
      </c>
      <c r="B1049" s="7">
        <f>Calc_Formulas!AH1045</f>
        <v>0</v>
      </c>
      <c r="C1049" s="7">
        <f>Calc_Formulas!AI1045</f>
        <v>0</v>
      </c>
      <c r="D1049" s="7">
        <f>Calc_Formulas!AJ1045</f>
        <v>0</v>
      </c>
      <c r="E1049" s="6">
        <f>Calc_Formulas!AE1045</f>
        <v>0</v>
      </c>
      <c r="F1049" s="6">
        <f>Calc_Formulas!AF1045</f>
        <v>0</v>
      </c>
      <c r="G1049" s="6">
        <f>Calc_Formulas!AG1045</f>
        <v>0</v>
      </c>
    </row>
    <row r="1050" spans="1:7">
      <c r="A1050" s="6">
        <f>Calc_Formulas!A1046</f>
        <v>0</v>
      </c>
      <c r="B1050" s="7">
        <f>Calc_Formulas!AH1046</f>
        <v>0</v>
      </c>
      <c r="C1050" s="7">
        <f>Calc_Formulas!AI1046</f>
        <v>0</v>
      </c>
      <c r="D1050" s="7">
        <f>Calc_Formulas!AJ1046</f>
        <v>0</v>
      </c>
      <c r="E1050" s="6">
        <f>Calc_Formulas!AE1046</f>
        <v>0</v>
      </c>
      <c r="F1050" s="6">
        <f>Calc_Formulas!AF1046</f>
        <v>0</v>
      </c>
      <c r="G1050" s="6">
        <f>Calc_Formulas!AG1046</f>
        <v>0</v>
      </c>
    </row>
    <row r="1051" spans="1:7">
      <c r="A1051" s="6">
        <f>Calc_Formulas!A1047</f>
        <v>0</v>
      </c>
      <c r="B1051" s="7">
        <f>Calc_Formulas!AH1047</f>
        <v>0</v>
      </c>
      <c r="C1051" s="7">
        <f>Calc_Formulas!AI1047</f>
        <v>0</v>
      </c>
      <c r="D1051" s="7">
        <f>Calc_Formulas!AJ1047</f>
        <v>0</v>
      </c>
      <c r="E1051" s="6">
        <f>Calc_Formulas!AE1047</f>
        <v>0</v>
      </c>
      <c r="F1051" s="6">
        <f>Calc_Formulas!AF1047</f>
        <v>0</v>
      </c>
      <c r="G1051" s="6">
        <f>Calc_Formulas!AG1047</f>
        <v>0</v>
      </c>
    </row>
    <row r="1052" spans="1:7">
      <c r="A1052" s="6">
        <f>Calc_Formulas!A1048</f>
        <v>0</v>
      </c>
      <c r="B1052" s="7">
        <f>Calc_Formulas!AH1048</f>
        <v>0</v>
      </c>
      <c r="C1052" s="7">
        <f>Calc_Formulas!AI1048</f>
        <v>0</v>
      </c>
      <c r="D1052" s="7">
        <f>Calc_Formulas!AJ1048</f>
        <v>0</v>
      </c>
      <c r="E1052" s="6">
        <f>Calc_Formulas!AE1048</f>
        <v>0</v>
      </c>
      <c r="F1052" s="6">
        <f>Calc_Formulas!AF1048</f>
        <v>0</v>
      </c>
      <c r="G1052" s="6">
        <f>Calc_Formulas!AG1048</f>
        <v>0</v>
      </c>
    </row>
    <row r="1053" spans="1:7">
      <c r="A1053" s="6">
        <f>Calc_Formulas!A1049</f>
        <v>0</v>
      </c>
      <c r="B1053" s="7">
        <f>Calc_Formulas!AH1049</f>
        <v>0</v>
      </c>
      <c r="C1053" s="7">
        <f>Calc_Formulas!AI1049</f>
        <v>0</v>
      </c>
      <c r="D1053" s="7">
        <f>Calc_Formulas!AJ1049</f>
        <v>0</v>
      </c>
      <c r="E1053" s="6">
        <f>Calc_Formulas!AE1049</f>
        <v>0</v>
      </c>
      <c r="F1053" s="6">
        <f>Calc_Formulas!AF1049</f>
        <v>0</v>
      </c>
      <c r="G1053" s="6">
        <f>Calc_Formulas!AG1049</f>
        <v>0</v>
      </c>
    </row>
    <row r="1054" spans="1:7">
      <c r="A1054" s="6">
        <f>Calc_Formulas!A1050</f>
        <v>0</v>
      </c>
      <c r="B1054" s="7">
        <f>Calc_Formulas!AH1050</f>
        <v>0</v>
      </c>
      <c r="C1054" s="7">
        <f>Calc_Formulas!AI1050</f>
        <v>0</v>
      </c>
      <c r="D1054" s="7">
        <f>Calc_Formulas!AJ1050</f>
        <v>0</v>
      </c>
      <c r="E1054" s="6">
        <f>Calc_Formulas!AE1050</f>
        <v>0</v>
      </c>
      <c r="F1054" s="6">
        <f>Calc_Formulas!AF1050</f>
        <v>0</v>
      </c>
      <c r="G1054" s="6">
        <f>Calc_Formulas!AG1050</f>
        <v>0</v>
      </c>
    </row>
    <row r="1055" spans="1:7">
      <c r="A1055" s="6">
        <f>Calc_Formulas!A1051</f>
        <v>0</v>
      </c>
      <c r="B1055" s="7">
        <f>Calc_Formulas!AH1051</f>
        <v>0</v>
      </c>
      <c r="C1055" s="7">
        <f>Calc_Formulas!AI1051</f>
        <v>0</v>
      </c>
      <c r="D1055" s="7">
        <f>Calc_Formulas!AJ1051</f>
        <v>0</v>
      </c>
      <c r="E1055" s="6">
        <f>Calc_Formulas!AE1051</f>
        <v>0</v>
      </c>
      <c r="F1055" s="6">
        <f>Calc_Formulas!AF1051</f>
        <v>0</v>
      </c>
      <c r="G1055" s="6">
        <f>Calc_Formulas!AG1051</f>
        <v>0</v>
      </c>
    </row>
    <row r="1056" spans="1:7">
      <c r="A1056" s="6">
        <f>Calc_Formulas!A1052</f>
        <v>0</v>
      </c>
      <c r="B1056" s="7">
        <f>Calc_Formulas!AH1052</f>
        <v>0</v>
      </c>
      <c r="C1056" s="7">
        <f>Calc_Formulas!AI1052</f>
        <v>0</v>
      </c>
      <c r="D1056" s="7">
        <f>Calc_Formulas!AJ1052</f>
        <v>0</v>
      </c>
      <c r="E1056" s="6">
        <f>Calc_Formulas!AE1052</f>
        <v>0</v>
      </c>
      <c r="F1056" s="6">
        <f>Calc_Formulas!AF1052</f>
        <v>0</v>
      </c>
      <c r="G1056" s="6">
        <f>Calc_Formulas!AG1052</f>
        <v>0</v>
      </c>
    </row>
    <row r="1057" spans="1:7">
      <c r="A1057" s="6">
        <f>Calc_Formulas!A1053</f>
        <v>0</v>
      </c>
      <c r="B1057" s="7">
        <f>Calc_Formulas!AH1053</f>
        <v>0</v>
      </c>
      <c r="C1057" s="7">
        <f>Calc_Formulas!AI1053</f>
        <v>0</v>
      </c>
      <c r="D1057" s="7">
        <f>Calc_Formulas!AJ1053</f>
        <v>0</v>
      </c>
      <c r="E1057" s="6">
        <f>Calc_Formulas!AE1053</f>
        <v>0</v>
      </c>
      <c r="F1057" s="6">
        <f>Calc_Formulas!AF1053</f>
        <v>0</v>
      </c>
      <c r="G1057" s="6">
        <f>Calc_Formulas!AG1053</f>
        <v>0</v>
      </c>
    </row>
    <row r="1058" spans="1:7">
      <c r="A1058" s="6">
        <f>Calc_Formulas!A1054</f>
        <v>0</v>
      </c>
      <c r="B1058" s="7">
        <f>Calc_Formulas!AH1054</f>
        <v>0</v>
      </c>
      <c r="C1058" s="7">
        <f>Calc_Formulas!AI1054</f>
        <v>0</v>
      </c>
      <c r="D1058" s="7">
        <f>Calc_Formulas!AJ1054</f>
        <v>0</v>
      </c>
      <c r="E1058" s="6">
        <f>Calc_Formulas!AE1054</f>
        <v>0</v>
      </c>
      <c r="F1058" s="6">
        <f>Calc_Formulas!AF1054</f>
        <v>0</v>
      </c>
      <c r="G1058" s="6">
        <f>Calc_Formulas!AG1054</f>
        <v>0</v>
      </c>
    </row>
    <row r="1059" spans="1:7">
      <c r="A1059" s="6">
        <f>Calc_Formulas!A1055</f>
        <v>0</v>
      </c>
      <c r="B1059" s="7">
        <f>Calc_Formulas!AH1055</f>
        <v>0</v>
      </c>
      <c r="C1059" s="7">
        <f>Calc_Formulas!AI1055</f>
        <v>0</v>
      </c>
      <c r="D1059" s="7">
        <f>Calc_Formulas!AJ1055</f>
        <v>0</v>
      </c>
      <c r="E1059" s="6">
        <f>Calc_Formulas!AE1055</f>
        <v>0</v>
      </c>
      <c r="F1059" s="6">
        <f>Calc_Formulas!AF1055</f>
        <v>0</v>
      </c>
      <c r="G1059" s="6">
        <f>Calc_Formulas!AG1055</f>
        <v>0</v>
      </c>
    </row>
    <row r="1060" spans="1:7">
      <c r="A1060" s="6">
        <f>Calc_Formulas!A1056</f>
        <v>0</v>
      </c>
      <c r="B1060" s="7">
        <f>Calc_Formulas!AH1056</f>
        <v>0</v>
      </c>
      <c r="C1060" s="7">
        <f>Calc_Formulas!AI1056</f>
        <v>0</v>
      </c>
      <c r="D1060" s="7">
        <f>Calc_Formulas!AJ1056</f>
        <v>0</v>
      </c>
      <c r="E1060" s="6">
        <f>Calc_Formulas!AE1056</f>
        <v>0</v>
      </c>
      <c r="F1060" s="6">
        <f>Calc_Formulas!AF1056</f>
        <v>0</v>
      </c>
      <c r="G1060" s="6">
        <f>Calc_Formulas!AG1056</f>
        <v>0</v>
      </c>
    </row>
    <row r="1061" spans="1:7">
      <c r="A1061" s="6">
        <f>Calc_Formulas!A1057</f>
        <v>0</v>
      </c>
      <c r="B1061" s="7">
        <f>Calc_Formulas!AH1057</f>
        <v>0</v>
      </c>
      <c r="C1061" s="7">
        <f>Calc_Formulas!AI1057</f>
        <v>0</v>
      </c>
      <c r="D1061" s="7">
        <f>Calc_Formulas!AJ1057</f>
        <v>0</v>
      </c>
      <c r="E1061" s="6">
        <f>Calc_Formulas!AE1057</f>
        <v>0</v>
      </c>
      <c r="F1061" s="6">
        <f>Calc_Formulas!AF1057</f>
        <v>0</v>
      </c>
      <c r="G1061" s="6">
        <f>Calc_Formulas!AG1057</f>
        <v>0</v>
      </c>
    </row>
    <row r="1062" spans="1:7">
      <c r="A1062" s="6">
        <f>Calc_Formulas!A1058</f>
        <v>0</v>
      </c>
      <c r="B1062" s="7">
        <f>Calc_Formulas!AH1058</f>
        <v>0</v>
      </c>
      <c r="C1062" s="7">
        <f>Calc_Formulas!AI1058</f>
        <v>0</v>
      </c>
      <c r="D1062" s="7">
        <f>Calc_Formulas!AJ1058</f>
        <v>0</v>
      </c>
      <c r="E1062" s="6">
        <f>Calc_Formulas!AE1058</f>
        <v>0</v>
      </c>
      <c r="F1062" s="6">
        <f>Calc_Formulas!AF1058</f>
        <v>0</v>
      </c>
      <c r="G1062" s="6">
        <f>Calc_Formulas!AG1058</f>
        <v>0</v>
      </c>
    </row>
    <row r="1063" spans="1:7">
      <c r="A1063" s="6">
        <f>Calc_Formulas!A1059</f>
        <v>0</v>
      </c>
      <c r="B1063" s="7">
        <f>Calc_Formulas!AH1059</f>
        <v>0</v>
      </c>
      <c r="C1063" s="7">
        <f>Calc_Formulas!AI1059</f>
        <v>0</v>
      </c>
      <c r="D1063" s="7">
        <f>Calc_Formulas!AJ1059</f>
        <v>0</v>
      </c>
      <c r="E1063" s="6">
        <f>Calc_Formulas!AE1059</f>
        <v>0</v>
      </c>
      <c r="F1063" s="6">
        <f>Calc_Formulas!AF1059</f>
        <v>0</v>
      </c>
      <c r="G1063" s="6">
        <f>Calc_Formulas!AG1059</f>
        <v>0</v>
      </c>
    </row>
    <row r="1064" spans="1:7">
      <c r="A1064" s="6">
        <f>Calc_Formulas!A1060</f>
        <v>0</v>
      </c>
      <c r="B1064" s="7">
        <f>Calc_Formulas!AH1060</f>
        <v>0</v>
      </c>
      <c r="C1064" s="7">
        <f>Calc_Formulas!AI1060</f>
        <v>0</v>
      </c>
      <c r="D1064" s="7">
        <f>Calc_Formulas!AJ1060</f>
        <v>0</v>
      </c>
      <c r="E1064" s="6">
        <f>Calc_Formulas!AE1060</f>
        <v>0</v>
      </c>
      <c r="F1064" s="6">
        <f>Calc_Formulas!AF1060</f>
        <v>0</v>
      </c>
      <c r="G1064" s="6">
        <f>Calc_Formulas!AG1060</f>
        <v>0</v>
      </c>
    </row>
    <row r="1065" spans="1:7">
      <c r="A1065" s="6">
        <f>Calc_Formulas!A1061</f>
        <v>0</v>
      </c>
      <c r="B1065" s="7">
        <f>Calc_Formulas!AH1061</f>
        <v>0</v>
      </c>
      <c r="C1065" s="7">
        <f>Calc_Formulas!AI1061</f>
        <v>0</v>
      </c>
      <c r="D1065" s="7">
        <f>Calc_Formulas!AJ1061</f>
        <v>0</v>
      </c>
      <c r="E1065" s="6">
        <f>Calc_Formulas!AE1061</f>
        <v>0</v>
      </c>
      <c r="F1065" s="6">
        <f>Calc_Formulas!AF1061</f>
        <v>0</v>
      </c>
      <c r="G1065" s="6">
        <f>Calc_Formulas!AG1061</f>
        <v>0</v>
      </c>
    </row>
    <row r="1066" spans="1:7">
      <c r="A1066" s="6">
        <f>Calc_Formulas!A1062</f>
        <v>0</v>
      </c>
      <c r="B1066" s="7">
        <f>Calc_Formulas!AH1062</f>
        <v>0</v>
      </c>
      <c r="C1066" s="7">
        <f>Calc_Formulas!AI1062</f>
        <v>0</v>
      </c>
      <c r="D1066" s="7">
        <f>Calc_Formulas!AJ1062</f>
        <v>0</v>
      </c>
      <c r="E1066" s="6">
        <f>Calc_Formulas!AE1062</f>
        <v>0</v>
      </c>
      <c r="F1066" s="6">
        <f>Calc_Formulas!AF1062</f>
        <v>0</v>
      </c>
      <c r="G1066" s="6">
        <f>Calc_Formulas!AG1062</f>
        <v>0</v>
      </c>
    </row>
    <row r="1067" spans="1:7">
      <c r="A1067" s="6">
        <f>Calc_Formulas!A1063</f>
        <v>0</v>
      </c>
      <c r="B1067" s="7">
        <f>Calc_Formulas!AH1063</f>
        <v>0</v>
      </c>
      <c r="C1067" s="7">
        <f>Calc_Formulas!AI1063</f>
        <v>0</v>
      </c>
      <c r="D1067" s="7">
        <f>Calc_Formulas!AJ1063</f>
        <v>0</v>
      </c>
      <c r="E1067" s="6">
        <f>Calc_Formulas!AE1063</f>
        <v>0</v>
      </c>
      <c r="F1067" s="6">
        <f>Calc_Formulas!AF1063</f>
        <v>0</v>
      </c>
      <c r="G1067" s="6">
        <f>Calc_Formulas!AG1063</f>
        <v>0</v>
      </c>
    </row>
    <row r="1068" spans="1:7">
      <c r="A1068" s="6">
        <f>Calc_Formulas!A1064</f>
        <v>0</v>
      </c>
      <c r="B1068" s="7">
        <f>Calc_Formulas!AH1064</f>
        <v>0</v>
      </c>
      <c r="C1068" s="7">
        <f>Calc_Formulas!AI1064</f>
        <v>0</v>
      </c>
      <c r="D1068" s="7">
        <f>Calc_Formulas!AJ1064</f>
        <v>0</v>
      </c>
      <c r="E1068" s="6">
        <f>Calc_Formulas!AE1064</f>
        <v>0</v>
      </c>
      <c r="F1068" s="6">
        <f>Calc_Formulas!AF1064</f>
        <v>0</v>
      </c>
      <c r="G1068" s="6">
        <f>Calc_Formulas!AG1064</f>
        <v>0</v>
      </c>
    </row>
    <row r="1069" spans="1:7">
      <c r="A1069" s="6">
        <f>Calc_Formulas!A1065</f>
        <v>0</v>
      </c>
      <c r="B1069" s="7">
        <f>Calc_Formulas!AH1065</f>
        <v>0</v>
      </c>
      <c r="C1069" s="7">
        <f>Calc_Formulas!AI1065</f>
        <v>0</v>
      </c>
      <c r="D1069" s="7">
        <f>Calc_Formulas!AJ1065</f>
        <v>0</v>
      </c>
      <c r="E1069" s="6">
        <f>Calc_Formulas!AE1065</f>
        <v>0</v>
      </c>
      <c r="F1069" s="6">
        <f>Calc_Formulas!AF1065</f>
        <v>0</v>
      </c>
      <c r="G1069" s="6">
        <f>Calc_Formulas!AG1065</f>
        <v>0</v>
      </c>
    </row>
    <row r="1070" spans="1:7">
      <c r="A1070" s="6">
        <f>Calc_Formulas!A1066</f>
        <v>0</v>
      </c>
      <c r="B1070" s="7">
        <f>Calc_Formulas!AH1066</f>
        <v>0</v>
      </c>
      <c r="C1070" s="7">
        <f>Calc_Formulas!AI1066</f>
        <v>0</v>
      </c>
      <c r="D1070" s="7">
        <f>Calc_Formulas!AJ1066</f>
        <v>0</v>
      </c>
      <c r="E1070" s="6">
        <f>Calc_Formulas!AE1066</f>
        <v>0</v>
      </c>
      <c r="F1070" s="6">
        <f>Calc_Formulas!AF1066</f>
        <v>0</v>
      </c>
      <c r="G1070" s="6">
        <f>Calc_Formulas!AG1066</f>
        <v>0</v>
      </c>
    </row>
    <row r="1071" spans="1:7">
      <c r="A1071" s="6">
        <f>Calc_Formulas!A1067</f>
        <v>0</v>
      </c>
      <c r="B1071" s="7">
        <f>Calc_Formulas!AH1067</f>
        <v>0</v>
      </c>
      <c r="C1071" s="7">
        <f>Calc_Formulas!AI1067</f>
        <v>0</v>
      </c>
      <c r="D1071" s="7">
        <f>Calc_Formulas!AJ1067</f>
        <v>0</v>
      </c>
      <c r="E1071" s="6">
        <f>Calc_Formulas!AE1067</f>
        <v>0</v>
      </c>
      <c r="F1071" s="6">
        <f>Calc_Formulas!AF1067</f>
        <v>0</v>
      </c>
      <c r="G1071" s="6">
        <f>Calc_Formulas!AG1067</f>
        <v>0</v>
      </c>
    </row>
    <row r="1072" spans="1:7">
      <c r="A1072" s="6">
        <f>Calc_Formulas!A1068</f>
        <v>0</v>
      </c>
      <c r="B1072" s="7">
        <f>Calc_Formulas!AH1068</f>
        <v>0</v>
      </c>
      <c r="C1072" s="7">
        <f>Calc_Formulas!AI1068</f>
        <v>0</v>
      </c>
      <c r="D1072" s="7">
        <f>Calc_Formulas!AJ1068</f>
        <v>0</v>
      </c>
      <c r="E1072" s="6">
        <f>Calc_Formulas!AE1068</f>
        <v>0</v>
      </c>
      <c r="F1072" s="6">
        <f>Calc_Formulas!AF1068</f>
        <v>0</v>
      </c>
      <c r="G1072" s="6">
        <f>Calc_Formulas!AG1068</f>
        <v>0</v>
      </c>
    </row>
    <row r="1073" spans="1:7">
      <c r="A1073" s="6">
        <f>Calc_Formulas!A1069</f>
        <v>0</v>
      </c>
      <c r="B1073" s="7">
        <f>Calc_Formulas!AH1069</f>
        <v>0</v>
      </c>
      <c r="C1073" s="7">
        <f>Calc_Formulas!AI1069</f>
        <v>0</v>
      </c>
      <c r="D1073" s="7">
        <f>Calc_Formulas!AJ1069</f>
        <v>0</v>
      </c>
      <c r="E1073" s="6">
        <f>Calc_Formulas!AE1069</f>
        <v>0</v>
      </c>
      <c r="F1073" s="6">
        <f>Calc_Formulas!AF1069</f>
        <v>0</v>
      </c>
      <c r="G1073" s="6">
        <f>Calc_Formulas!AG1069</f>
        <v>0</v>
      </c>
    </row>
    <row r="1074" spans="1:7">
      <c r="A1074" s="6">
        <f>Calc_Formulas!A1070</f>
        <v>0</v>
      </c>
      <c r="B1074" s="7">
        <f>Calc_Formulas!AH1070</f>
        <v>0</v>
      </c>
      <c r="C1074" s="7">
        <f>Calc_Formulas!AI1070</f>
        <v>0</v>
      </c>
      <c r="D1074" s="7">
        <f>Calc_Formulas!AJ1070</f>
        <v>0</v>
      </c>
      <c r="E1074" s="6">
        <f>Calc_Formulas!AE1070</f>
        <v>0</v>
      </c>
      <c r="F1074" s="6">
        <f>Calc_Formulas!AF1070</f>
        <v>0</v>
      </c>
      <c r="G1074" s="6">
        <f>Calc_Formulas!AG1070</f>
        <v>0</v>
      </c>
    </row>
    <row r="1075" spans="1:7">
      <c r="A1075" s="6">
        <f>Calc_Formulas!A1071</f>
        <v>0</v>
      </c>
      <c r="B1075" s="7">
        <f>Calc_Formulas!AH1071</f>
        <v>0</v>
      </c>
      <c r="C1075" s="7">
        <f>Calc_Formulas!AI1071</f>
        <v>0</v>
      </c>
      <c r="D1075" s="7">
        <f>Calc_Formulas!AJ1071</f>
        <v>0</v>
      </c>
      <c r="E1075" s="6">
        <f>Calc_Formulas!AE1071</f>
        <v>0</v>
      </c>
      <c r="F1075" s="6">
        <f>Calc_Formulas!AF1071</f>
        <v>0</v>
      </c>
      <c r="G1075" s="6">
        <f>Calc_Formulas!AG1071</f>
        <v>0</v>
      </c>
    </row>
    <row r="1076" spans="1:7">
      <c r="A1076" s="6">
        <f>Calc_Formulas!A1072</f>
        <v>0</v>
      </c>
      <c r="B1076" s="7">
        <f>Calc_Formulas!AH1072</f>
        <v>0</v>
      </c>
      <c r="C1076" s="7">
        <f>Calc_Formulas!AI1072</f>
        <v>0</v>
      </c>
      <c r="D1076" s="7">
        <f>Calc_Formulas!AJ1072</f>
        <v>0</v>
      </c>
      <c r="E1076" s="6">
        <f>Calc_Formulas!AE1072</f>
        <v>0</v>
      </c>
      <c r="F1076" s="6">
        <f>Calc_Formulas!AF1072</f>
        <v>0</v>
      </c>
      <c r="G1076" s="6">
        <f>Calc_Formulas!AG1072</f>
        <v>0</v>
      </c>
    </row>
    <row r="1077" spans="1:7">
      <c r="A1077" s="6">
        <f>Calc_Formulas!A1073</f>
        <v>0</v>
      </c>
      <c r="B1077" s="7">
        <f>Calc_Formulas!AH1073</f>
        <v>0</v>
      </c>
      <c r="C1077" s="7">
        <f>Calc_Formulas!AI1073</f>
        <v>0</v>
      </c>
      <c r="D1077" s="7">
        <f>Calc_Formulas!AJ1073</f>
        <v>0</v>
      </c>
      <c r="E1077" s="6">
        <f>Calc_Formulas!AE1073</f>
        <v>0</v>
      </c>
      <c r="F1077" s="6">
        <f>Calc_Formulas!AF1073</f>
        <v>0</v>
      </c>
      <c r="G1077" s="6">
        <f>Calc_Formulas!AG1073</f>
        <v>0</v>
      </c>
    </row>
    <row r="1078" spans="1:7">
      <c r="A1078" s="6">
        <f>Calc_Formulas!A1074</f>
        <v>0</v>
      </c>
      <c r="B1078" s="7">
        <f>Calc_Formulas!AH1074</f>
        <v>0</v>
      </c>
      <c r="C1078" s="7">
        <f>Calc_Formulas!AI1074</f>
        <v>0</v>
      </c>
      <c r="D1078" s="7">
        <f>Calc_Formulas!AJ1074</f>
        <v>0</v>
      </c>
      <c r="E1078" s="6">
        <f>Calc_Formulas!AE1074</f>
        <v>0</v>
      </c>
      <c r="F1078" s="6">
        <f>Calc_Formulas!AF1074</f>
        <v>0</v>
      </c>
      <c r="G1078" s="6">
        <f>Calc_Formulas!AG1074</f>
        <v>0</v>
      </c>
    </row>
    <row r="1079" spans="1:7">
      <c r="A1079" s="6">
        <f>Calc_Formulas!A1075</f>
        <v>0</v>
      </c>
      <c r="B1079" s="7">
        <f>Calc_Formulas!AH1075</f>
        <v>0</v>
      </c>
      <c r="C1079" s="7">
        <f>Calc_Formulas!AI1075</f>
        <v>0</v>
      </c>
      <c r="D1079" s="7">
        <f>Calc_Formulas!AJ1075</f>
        <v>0</v>
      </c>
      <c r="E1079" s="6">
        <f>Calc_Formulas!AE1075</f>
        <v>0</v>
      </c>
      <c r="F1079" s="6">
        <f>Calc_Formulas!AF1075</f>
        <v>0</v>
      </c>
      <c r="G1079" s="6">
        <f>Calc_Formulas!AG1075</f>
        <v>0</v>
      </c>
    </row>
    <row r="1080" spans="1:7">
      <c r="A1080" s="6">
        <f>Calc_Formulas!A1076</f>
        <v>0</v>
      </c>
      <c r="B1080" s="7">
        <f>Calc_Formulas!AH1076</f>
        <v>0</v>
      </c>
      <c r="C1080" s="7">
        <f>Calc_Formulas!AI1076</f>
        <v>0</v>
      </c>
      <c r="D1080" s="7">
        <f>Calc_Formulas!AJ1076</f>
        <v>0</v>
      </c>
      <c r="E1080" s="6">
        <f>Calc_Formulas!AE1076</f>
        <v>0</v>
      </c>
      <c r="F1080" s="6">
        <f>Calc_Formulas!AF1076</f>
        <v>0</v>
      </c>
      <c r="G1080" s="6">
        <f>Calc_Formulas!AG1076</f>
        <v>0</v>
      </c>
    </row>
    <row r="1081" spans="1:7">
      <c r="A1081" s="6">
        <f>Calc_Formulas!A1077</f>
        <v>0</v>
      </c>
      <c r="B1081" s="7">
        <f>Calc_Formulas!AH1077</f>
        <v>0</v>
      </c>
      <c r="C1081" s="7">
        <f>Calc_Formulas!AI1077</f>
        <v>0</v>
      </c>
      <c r="D1081" s="7">
        <f>Calc_Formulas!AJ1077</f>
        <v>0</v>
      </c>
      <c r="E1081" s="6">
        <f>Calc_Formulas!AE1077</f>
        <v>0</v>
      </c>
      <c r="F1081" s="6">
        <f>Calc_Formulas!AF1077</f>
        <v>0</v>
      </c>
      <c r="G1081" s="6">
        <f>Calc_Formulas!AG1077</f>
        <v>0</v>
      </c>
    </row>
    <row r="1082" spans="1:7">
      <c r="A1082" s="6">
        <f>Calc_Formulas!A1078</f>
        <v>0</v>
      </c>
      <c r="B1082" s="7">
        <f>Calc_Formulas!AH1078</f>
        <v>0</v>
      </c>
      <c r="C1082" s="7">
        <f>Calc_Formulas!AI1078</f>
        <v>0</v>
      </c>
      <c r="D1082" s="7">
        <f>Calc_Formulas!AJ1078</f>
        <v>0</v>
      </c>
      <c r="E1082" s="6">
        <f>Calc_Formulas!AE1078</f>
        <v>0</v>
      </c>
      <c r="F1082" s="6">
        <f>Calc_Formulas!AF1078</f>
        <v>0</v>
      </c>
      <c r="G1082" s="6">
        <f>Calc_Formulas!AG1078</f>
        <v>0</v>
      </c>
    </row>
    <row r="1083" spans="1:7">
      <c r="A1083" s="6">
        <f>Calc_Formulas!A1079</f>
        <v>0</v>
      </c>
      <c r="B1083" s="7">
        <f>Calc_Formulas!AH1079</f>
        <v>0</v>
      </c>
      <c r="C1083" s="7">
        <f>Calc_Formulas!AI1079</f>
        <v>0</v>
      </c>
      <c r="D1083" s="7">
        <f>Calc_Formulas!AJ1079</f>
        <v>0</v>
      </c>
      <c r="E1083" s="6">
        <f>Calc_Formulas!AE1079</f>
        <v>0</v>
      </c>
      <c r="F1083" s="6">
        <f>Calc_Formulas!AF1079</f>
        <v>0</v>
      </c>
      <c r="G1083" s="6">
        <f>Calc_Formulas!AG1079</f>
        <v>0</v>
      </c>
    </row>
    <row r="1084" spans="1:7">
      <c r="A1084" s="6">
        <f>Calc_Formulas!A1080</f>
        <v>0</v>
      </c>
      <c r="B1084" s="7">
        <f>Calc_Formulas!AH1080</f>
        <v>0</v>
      </c>
      <c r="C1084" s="7">
        <f>Calc_Formulas!AI1080</f>
        <v>0</v>
      </c>
      <c r="D1084" s="7">
        <f>Calc_Formulas!AJ1080</f>
        <v>0</v>
      </c>
      <c r="E1084" s="6">
        <f>Calc_Formulas!AE1080</f>
        <v>0</v>
      </c>
      <c r="F1084" s="6">
        <f>Calc_Formulas!AF1080</f>
        <v>0</v>
      </c>
      <c r="G1084" s="6">
        <f>Calc_Formulas!AG1080</f>
        <v>0</v>
      </c>
    </row>
    <row r="1085" spans="1:7">
      <c r="A1085" s="6">
        <f>Calc_Formulas!A1081</f>
        <v>0</v>
      </c>
      <c r="B1085" s="7">
        <f>Calc_Formulas!AH1081</f>
        <v>0</v>
      </c>
      <c r="C1085" s="7">
        <f>Calc_Formulas!AI1081</f>
        <v>0</v>
      </c>
      <c r="D1085" s="7">
        <f>Calc_Formulas!AJ1081</f>
        <v>0</v>
      </c>
      <c r="E1085" s="6">
        <f>Calc_Formulas!AE1081</f>
        <v>0</v>
      </c>
      <c r="F1085" s="6">
        <f>Calc_Formulas!AF1081</f>
        <v>0</v>
      </c>
      <c r="G1085" s="6">
        <f>Calc_Formulas!AG1081</f>
        <v>0</v>
      </c>
    </row>
    <row r="1086" spans="1:7">
      <c r="A1086" s="6">
        <f>Calc_Formulas!A1082</f>
        <v>0</v>
      </c>
      <c r="B1086" s="7">
        <f>Calc_Formulas!AH1082</f>
        <v>0</v>
      </c>
      <c r="C1086" s="7">
        <f>Calc_Formulas!AI1082</f>
        <v>0</v>
      </c>
      <c r="D1086" s="7">
        <f>Calc_Formulas!AJ1082</f>
        <v>0</v>
      </c>
      <c r="E1086" s="6">
        <f>Calc_Formulas!AE1082</f>
        <v>0</v>
      </c>
      <c r="F1086" s="6">
        <f>Calc_Formulas!AF1082</f>
        <v>0</v>
      </c>
      <c r="G1086" s="6">
        <f>Calc_Formulas!AG1082</f>
        <v>0</v>
      </c>
    </row>
    <row r="1087" spans="1:7">
      <c r="A1087" s="6">
        <f>Calc_Formulas!A1083</f>
        <v>0</v>
      </c>
      <c r="B1087" s="7">
        <f>Calc_Formulas!AH1083</f>
        <v>0</v>
      </c>
      <c r="C1087" s="7">
        <f>Calc_Formulas!AI1083</f>
        <v>0</v>
      </c>
      <c r="D1087" s="7">
        <f>Calc_Formulas!AJ1083</f>
        <v>0</v>
      </c>
      <c r="E1087" s="6">
        <f>Calc_Formulas!AE1083</f>
        <v>0</v>
      </c>
      <c r="F1087" s="6">
        <f>Calc_Formulas!AF1083</f>
        <v>0</v>
      </c>
      <c r="G1087" s="6">
        <f>Calc_Formulas!AG1083</f>
        <v>0</v>
      </c>
    </row>
    <row r="1088" spans="1:7">
      <c r="A1088" s="6">
        <f>Calc_Formulas!A1084</f>
        <v>0</v>
      </c>
      <c r="B1088" s="7">
        <f>Calc_Formulas!AH1084</f>
        <v>0</v>
      </c>
      <c r="C1088" s="7">
        <f>Calc_Formulas!AI1084</f>
        <v>0</v>
      </c>
      <c r="D1088" s="7">
        <f>Calc_Formulas!AJ1084</f>
        <v>0</v>
      </c>
      <c r="E1088" s="6">
        <f>Calc_Formulas!AE1084</f>
        <v>0</v>
      </c>
      <c r="F1088" s="6">
        <f>Calc_Formulas!AF1084</f>
        <v>0</v>
      </c>
      <c r="G1088" s="6">
        <f>Calc_Formulas!AG1084</f>
        <v>0</v>
      </c>
    </row>
    <row r="1089" spans="1:7">
      <c r="A1089" s="6">
        <f>Calc_Formulas!A1085</f>
        <v>0</v>
      </c>
      <c r="B1089" s="7">
        <f>Calc_Formulas!AH1085</f>
        <v>0</v>
      </c>
      <c r="C1089" s="7">
        <f>Calc_Formulas!AI1085</f>
        <v>0</v>
      </c>
      <c r="D1089" s="7">
        <f>Calc_Formulas!AJ1085</f>
        <v>0</v>
      </c>
      <c r="E1089" s="6">
        <f>Calc_Formulas!AE1085</f>
        <v>0</v>
      </c>
      <c r="F1089" s="6">
        <f>Calc_Formulas!AF1085</f>
        <v>0</v>
      </c>
      <c r="G1089" s="6">
        <f>Calc_Formulas!AG1085</f>
        <v>0</v>
      </c>
    </row>
    <row r="1090" spans="1:7">
      <c r="A1090" s="6">
        <f>Calc_Formulas!A1086</f>
        <v>0</v>
      </c>
      <c r="B1090" s="7">
        <f>Calc_Formulas!AH1086</f>
        <v>0</v>
      </c>
      <c r="C1090" s="7">
        <f>Calc_Formulas!AI1086</f>
        <v>0</v>
      </c>
      <c r="D1090" s="7">
        <f>Calc_Formulas!AJ1086</f>
        <v>0</v>
      </c>
      <c r="E1090" s="6">
        <f>Calc_Formulas!AE1086</f>
        <v>0</v>
      </c>
      <c r="F1090" s="6">
        <f>Calc_Formulas!AF1086</f>
        <v>0</v>
      </c>
      <c r="G1090" s="6">
        <f>Calc_Formulas!AG1086</f>
        <v>0</v>
      </c>
    </row>
    <row r="1091" spans="1:7">
      <c r="A1091" s="6">
        <f>Calc_Formulas!A1087</f>
        <v>0</v>
      </c>
      <c r="B1091" s="7">
        <f>Calc_Formulas!AH1087</f>
        <v>0</v>
      </c>
      <c r="C1091" s="7">
        <f>Calc_Formulas!AI1087</f>
        <v>0</v>
      </c>
      <c r="D1091" s="7">
        <f>Calc_Formulas!AJ1087</f>
        <v>0</v>
      </c>
      <c r="E1091" s="6">
        <f>Calc_Formulas!AE1087</f>
        <v>0</v>
      </c>
      <c r="F1091" s="6">
        <f>Calc_Formulas!AF1087</f>
        <v>0</v>
      </c>
      <c r="G1091" s="6">
        <f>Calc_Formulas!AG1087</f>
        <v>0</v>
      </c>
    </row>
    <row r="1092" spans="1:7">
      <c r="A1092" s="6">
        <f>Calc_Formulas!A1088</f>
        <v>0</v>
      </c>
      <c r="B1092" s="7">
        <f>Calc_Formulas!AH1088</f>
        <v>0</v>
      </c>
      <c r="C1092" s="7">
        <f>Calc_Formulas!AI1088</f>
        <v>0</v>
      </c>
      <c r="D1092" s="7">
        <f>Calc_Formulas!AJ1088</f>
        <v>0</v>
      </c>
      <c r="E1092" s="6">
        <f>Calc_Formulas!AE1088</f>
        <v>0</v>
      </c>
      <c r="F1092" s="6">
        <f>Calc_Formulas!AF1088</f>
        <v>0</v>
      </c>
      <c r="G1092" s="6">
        <f>Calc_Formulas!AG1088</f>
        <v>0</v>
      </c>
    </row>
    <row r="1093" spans="1:7">
      <c r="A1093" s="6">
        <f>Calc_Formulas!A1089</f>
        <v>0</v>
      </c>
      <c r="B1093" s="7">
        <f>Calc_Formulas!AH1089</f>
        <v>0</v>
      </c>
      <c r="C1093" s="7">
        <f>Calc_Formulas!AI1089</f>
        <v>0</v>
      </c>
      <c r="D1093" s="7">
        <f>Calc_Formulas!AJ1089</f>
        <v>0</v>
      </c>
      <c r="E1093" s="6">
        <f>Calc_Formulas!AE1089</f>
        <v>0</v>
      </c>
      <c r="F1093" s="6">
        <f>Calc_Formulas!AF1089</f>
        <v>0</v>
      </c>
      <c r="G1093" s="6">
        <f>Calc_Formulas!AG1089</f>
        <v>0</v>
      </c>
    </row>
    <row r="1094" spans="1:7">
      <c r="A1094" s="6">
        <f>Calc_Formulas!A1090</f>
        <v>0</v>
      </c>
      <c r="B1094" s="7">
        <f>Calc_Formulas!AH1090</f>
        <v>0</v>
      </c>
      <c r="C1094" s="7">
        <f>Calc_Formulas!AI1090</f>
        <v>0</v>
      </c>
      <c r="D1094" s="7">
        <f>Calc_Formulas!AJ1090</f>
        <v>0</v>
      </c>
      <c r="E1094" s="6">
        <f>Calc_Formulas!AE1090</f>
        <v>0</v>
      </c>
      <c r="F1094" s="6">
        <f>Calc_Formulas!AF1090</f>
        <v>0</v>
      </c>
      <c r="G1094" s="6">
        <f>Calc_Formulas!AG1090</f>
        <v>0</v>
      </c>
    </row>
    <row r="1095" spans="1:7">
      <c r="A1095" s="6">
        <f>Calc_Formulas!A1091</f>
        <v>0</v>
      </c>
      <c r="B1095" s="7">
        <f>Calc_Formulas!AH1091</f>
        <v>0</v>
      </c>
      <c r="C1095" s="7">
        <f>Calc_Formulas!AI1091</f>
        <v>0</v>
      </c>
      <c r="D1095" s="7">
        <f>Calc_Formulas!AJ1091</f>
        <v>0</v>
      </c>
      <c r="E1095" s="6">
        <f>Calc_Formulas!AE1091</f>
        <v>0</v>
      </c>
      <c r="F1095" s="6">
        <f>Calc_Formulas!AF1091</f>
        <v>0</v>
      </c>
      <c r="G1095" s="6">
        <f>Calc_Formulas!AG1091</f>
        <v>0</v>
      </c>
    </row>
    <row r="1096" spans="1:7">
      <c r="A1096" s="6">
        <f>Calc_Formulas!A1092</f>
        <v>0</v>
      </c>
      <c r="B1096" s="7">
        <f>Calc_Formulas!AH1092</f>
        <v>0</v>
      </c>
      <c r="C1096" s="7">
        <f>Calc_Formulas!AI1092</f>
        <v>0</v>
      </c>
      <c r="D1096" s="7">
        <f>Calc_Formulas!AJ1092</f>
        <v>0</v>
      </c>
      <c r="E1096" s="6">
        <f>Calc_Formulas!AE1092</f>
        <v>0</v>
      </c>
      <c r="F1096" s="6">
        <f>Calc_Formulas!AF1092</f>
        <v>0</v>
      </c>
      <c r="G1096" s="6">
        <f>Calc_Formulas!AG1092</f>
        <v>0</v>
      </c>
    </row>
    <row r="1097" spans="1:7">
      <c r="A1097" s="6">
        <f>Calc_Formulas!A1093</f>
        <v>0</v>
      </c>
      <c r="B1097" s="7">
        <f>Calc_Formulas!AH1093</f>
        <v>0</v>
      </c>
      <c r="C1097" s="7">
        <f>Calc_Formulas!AI1093</f>
        <v>0</v>
      </c>
      <c r="D1097" s="7">
        <f>Calc_Formulas!AJ1093</f>
        <v>0</v>
      </c>
      <c r="E1097" s="6">
        <f>Calc_Formulas!AE1093</f>
        <v>0</v>
      </c>
      <c r="F1097" s="6">
        <f>Calc_Formulas!AF1093</f>
        <v>0</v>
      </c>
      <c r="G1097" s="6">
        <f>Calc_Formulas!AG1093</f>
        <v>0</v>
      </c>
    </row>
    <row r="1098" spans="1:7">
      <c r="A1098" s="6">
        <f>Calc_Formulas!A1094</f>
        <v>0</v>
      </c>
      <c r="B1098" s="7">
        <f>Calc_Formulas!AH1094</f>
        <v>0</v>
      </c>
      <c r="C1098" s="7">
        <f>Calc_Formulas!AI1094</f>
        <v>0</v>
      </c>
      <c r="D1098" s="7">
        <f>Calc_Formulas!AJ1094</f>
        <v>0</v>
      </c>
      <c r="E1098" s="6">
        <f>Calc_Formulas!AE1094</f>
        <v>0</v>
      </c>
      <c r="F1098" s="6">
        <f>Calc_Formulas!AF1094</f>
        <v>0</v>
      </c>
      <c r="G1098" s="6">
        <f>Calc_Formulas!AG1094</f>
        <v>0</v>
      </c>
    </row>
    <row r="1099" spans="1:7">
      <c r="A1099" s="6">
        <f>Calc_Formulas!A1095</f>
        <v>0</v>
      </c>
      <c r="B1099" s="7">
        <f>Calc_Formulas!AH1095</f>
        <v>0</v>
      </c>
      <c r="C1099" s="7">
        <f>Calc_Formulas!AI1095</f>
        <v>0</v>
      </c>
      <c r="D1099" s="7">
        <f>Calc_Formulas!AJ1095</f>
        <v>0</v>
      </c>
      <c r="E1099" s="6">
        <f>Calc_Formulas!AE1095</f>
        <v>0</v>
      </c>
      <c r="F1099" s="6">
        <f>Calc_Formulas!AF1095</f>
        <v>0</v>
      </c>
      <c r="G1099" s="6">
        <f>Calc_Formulas!AG1095</f>
        <v>0</v>
      </c>
    </row>
    <row r="1100" spans="1:7">
      <c r="A1100" s="6">
        <f>Calc_Formulas!A1096</f>
        <v>0</v>
      </c>
      <c r="B1100" s="7">
        <f>Calc_Formulas!AH1096</f>
        <v>0</v>
      </c>
      <c r="C1100" s="7">
        <f>Calc_Formulas!AI1096</f>
        <v>0</v>
      </c>
      <c r="D1100" s="7">
        <f>Calc_Formulas!AJ1096</f>
        <v>0</v>
      </c>
      <c r="E1100" s="6">
        <f>Calc_Formulas!AE1096</f>
        <v>0</v>
      </c>
      <c r="F1100" s="6">
        <f>Calc_Formulas!AF1096</f>
        <v>0</v>
      </c>
      <c r="G1100" s="6">
        <f>Calc_Formulas!AG1096</f>
        <v>0</v>
      </c>
    </row>
    <row r="1101" spans="1:7">
      <c r="A1101" s="6">
        <f>Calc_Formulas!A1097</f>
        <v>0</v>
      </c>
      <c r="B1101" s="7">
        <f>Calc_Formulas!AH1097</f>
        <v>0</v>
      </c>
      <c r="C1101" s="7">
        <f>Calc_Formulas!AI1097</f>
        <v>0</v>
      </c>
      <c r="D1101" s="7">
        <f>Calc_Formulas!AJ1097</f>
        <v>0</v>
      </c>
      <c r="E1101" s="6">
        <f>Calc_Formulas!AE1097</f>
        <v>0</v>
      </c>
      <c r="F1101" s="6">
        <f>Calc_Formulas!AF1097</f>
        <v>0</v>
      </c>
      <c r="G1101" s="6">
        <f>Calc_Formulas!AG1097</f>
        <v>0</v>
      </c>
    </row>
    <row r="1102" spans="1:7">
      <c r="A1102" s="6">
        <f>Calc_Formulas!A1098</f>
        <v>0</v>
      </c>
      <c r="B1102" s="7">
        <f>Calc_Formulas!AH1098</f>
        <v>0</v>
      </c>
      <c r="C1102" s="7">
        <f>Calc_Formulas!AI1098</f>
        <v>0</v>
      </c>
      <c r="D1102" s="7">
        <f>Calc_Formulas!AJ1098</f>
        <v>0</v>
      </c>
      <c r="E1102" s="6">
        <f>Calc_Formulas!AE1098</f>
        <v>0</v>
      </c>
      <c r="F1102" s="6">
        <f>Calc_Formulas!AF1098</f>
        <v>0</v>
      </c>
      <c r="G1102" s="6">
        <f>Calc_Formulas!AG1098</f>
        <v>0</v>
      </c>
    </row>
    <row r="1103" spans="1:7">
      <c r="A1103" s="6">
        <f>Calc_Formulas!A1099</f>
        <v>0</v>
      </c>
      <c r="B1103" s="7">
        <f>Calc_Formulas!AH1099</f>
        <v>0</v>
      </c>
      <c r="C1103" s="7">
        <f>Calc_Formulas!AI1099</f>
        <v>0</v>
      </c>
      <c r="D1103" s="7">
        <f>Calc_Formulas!AJ1099</f>
        <v>0</v>
      </c>
      <c r="E1103" s="6">
        <f>Calc_Formulas!AE1099</f>
        <v>0</v>
      </c>
      <c r="F1103" s="6">
        <f>Calc_Formulas!AF1099</f>
        <v>0</v>
      </c>
      <c r="G1103" s="6">
        <f>Calc_Formulas!AG1099</f>
        <v>0</v>
      </c>
    </row>
    <row r="1104" spans="1:7">
      <c r="A1104" s="6">
        <f>Calc_Formulas!A1100</f>
        <v>0</v>
      </c>
      <c r="B1104" s="7">
        <f>Calc_Formulas!AH1100</f>
        <v>0</v>
      </c>
      <c r="C1104" s="7">
        <f>Calc_Formulas!AI1100</f>
        <v>0</v>
      </c>
      <c r="D1104" s="7">
        <f>Calc_Formulas!AJ1100</f>
        <v>0</v>
      </c>
      <c r="E1104" s="6">
        <f>Calc_Formulas!AE1100</f>
        <v>0</v>
      </c>
      <c r="F1104" s="6">
        <f>Calc_Formulas!AF1100</f>
        <v>0</v>
      </c>
      <c r="G1104" s="6">
        <f>Calc_Formulas!AG1100</f>
        <v>0</v>
      </c>
    </row>
    <row r="1105" spans="1:7">
      <c r="A1105" s="6">
        <f>Calc_Formulas!A1101</f>
        <v>0</v>
      </c>
      <c r="B1105" s="7">
        <f>Calc_Formulas!AH1101</f>
        <v>0</v>
      </c>
      <c r="C1105" s="7">
        <f>Calc_Formulas!AI1101</f>
        <v>0</v>
      </c>
      <c r="D1105" s="7">
        <f>Calc_Formulas!AJ1101</f>
        <v>0</v>
      </c>
      <c r="E1105" s="6">
        <f>Calc_Formulas!AE1101</f>
        <v>0</v>
      </c>
      <c r="F1105" s="6">
        <f>Calc_Formulas!AF1101</f>
        <v>0</v>
      </c>
      <c r="G1105" s="6">
        <f>Calc_Formulas!AG1101</f>
        <v>0</v>
      </c>
    </row>
    <row r="1106" spans="1:7">
      <c r="A1106" s="6">
        <f>Calc_Formulas!A1102</f>
        <v>0</v>
      </c>
      <c r="B1106" s="7">
        <f>Calc_Formulas!AH1102</f>
        <v>0</v>
      </c>
      <c r="C1106" s="7">
        <f>Calc_Formulas!AI1102</f>
        <v>0</v>
      </c>
      <c r="D1106" s="7">
        <f>Calc_Formulas!AJ1102</f>
        <v>0</v>
      </c>
      <c r="E1106" s="6">
        <f>Calc_Formulas!AE1102</f>
        <v>0</v>
      </c>
      <c r="F1106" s="6">
        <f>Calc_Formulas!AF1102</f>
        <v>0</v>
      </c>
      <c r="G1106" s="6">
        <f>Calc_Formulas!AG1102</f>
        <v>0</v>
      </c>
    </row>
    <row r="1107" spans="1:7">
      <c r="A1107" s="6">
        <f>Calc_Formulas!A1103</f>
        <v>0</v>
      </c>
      <c r="B1107" s="7">
        <f>Calc_Formulas!AH1103</f>
        <v>0</v>
      </c>
      <c r="C1107" s="7">
        <f>Calc_Formulas!AI1103</f>
        <v>0</v>
      </c>
      <c r="D1107" s="7">
        <f>Calc_Formulas!AJ1103</f>
        <v>0</v>
      </c>
      <c r="E1107" s="6">
        <f>Calc_Formulas!AE1103</f>
        <v>0</v>
      </c>
      <c r="F1107" s="6">
        <f>Calc_Formulas!AF1103</f>
        <v>0</v>
      </c>
      <c r="G1107" s="6">
        <f>Calc_Formulas!AG1103</f>
        <v>0</v>
      </c>
    </row>
    <row r="1108" spans="1:7">
      <c r="A1108" s="6">
        <f>Calc_Formulas!A1104</f>
        <v>0</v>
      </c>
      <c r="B1108" s="7">
        <f>Calc_Formulas!AH1104</f>
        <v>0</v>
      </c>
      <c r="C1108" s="7">
        <f>Calc_Formulas!AI1104</f>
        <v>0</v>
      </c>
      <c r="D1108" s="7">
        <f>Calc_Formulas!AJ1104</f>
        <v>0</v>
      </c>
      <c r="E1108" s="6">
        <f>Calc_Formulas!AE1104</f>
        <v>0</v>
      </c>
      <c r="F1108" s="6">
        <f>Calc_Formulas!AF1104</f>
        <v>0</v>
      </c>
      <c r="G1108" s="6">
        <f>Calc_Formulas!AG1104</f>
        <v>0</v>
      </c>
    </row>
    <row r="1109" spans="1:7">
      <c r="A1109" s="6">
        <f>Calc_Formulas!A1105</f>
        <v>0</v>
      </c>
      <c r="B1109" s="7">
        <f>Calc_Formulas!AH1105</f>
        <v>0</v>
      </c>
      <c r="C1109" s="7">
        <f>Calc_Formulas!AI1105</f>
        <v>0</v>
      </c>
      <c r="D1109" s="7">
        <f>Calc_Formulas!AJ1105</f>
        <v>0</v>
      </c>
      <c r="E1109" s="6">
        <f>Calc_Formulas!AE1105</f>
        <v>0</v>
      </c>
      <c r="F1109" s="6">
        <f>Calc_Formulas!AF1105</f>
        <v>0</v>
      </c>
      <c r="G1109" s="6">
        <f>Calc_Formulas!AG1105</f>
        <v>0</v>
      </c>
    </row>
    <row r="1110" spans="1:7">
      <c r="A1110" s="6">
        <f>Calc_Formulas!A1106</f>
        <v>0</v>
      </c>
      <c r="B1110" s="7">
        <f>Calc_Formulas!AH1106</f>
        <v>0</v>
      </c>
      <c r="C1110" s="7">
        <f>Calc_Formulas!AI1106</f>
        <v>0</v>
      </c>
      <c r="D1110" s="7">
        <f>Calc_Formulas!AJ1106</f>
        <v>0</v>
      </c>
      <c r="E1110" s="6">
        <f>Calc_Formulas!AE1106</f>
        <v>0</v>
      </c>
      <c r="F1110" s="6">
        <f>Calc_Formulas!AF1106</f>
        <v>0</v>
      </c>
      <c r="G1110" s="6">
        <f>Calc_Formulas!AG1106</f>
        <v>0</v>
      </c>
    </row>
    <row r="1111" spans="1:7">
      <c r="A1111" s="6">
        <f>Calc_Formulas!A1107</f>
        <v>0</v>
      </c>
      <c r="B1111" s="7">
        <f>Calc_Formulas!AH1107</f>
        <v>0</v>
      </c>
      <c r="C1111" s="7">
        <f>Calc_Formulas!AI1107</f>
        <v>0</v>
      </c>
      <c r="D1111" s="7">
        <f>Calc_Formulas!AJ1107</f>
        <v>0</v>
      </c>
      <c r="E1111" s="6">
        <f>Calc_Formulas!AE1107</f>
        <v>0</v>
      </c>
      <c r="F1111" s="6">
        <f>Calc_Formulas!AF1107</f>
        <v>0</v>
      </c>
      <c r="G1111" s="6">
        <f>Calc_Formulas!AG1107</f>
        <v>0</v>
      </c>
    </row>
    <row r="1112" spans="1:7">
      <c r="A1112" s="6">
        <f>Calc_Formulas!A1108</f>
        <v>0</v>
      </c>
      <c r="B1112" s="7">
        <f>Calc_Formulas!AH1108</f>
        <v>0</v>
      </c>
      <c r="C1112" s="7">
        <f>Calc_Formulas!AI1108</f>
        <v>0</v>
      </c>
      <c r="D1112" s="7">
        <f>Calc_Formulas!AJ1108</f>
        <v>0</v>
      </c>
      <c r="E1112" s="6">
        <f>Calc_Formulas!AE1108</f>
        <v>0</v>
      </c>
      <c r="F1112" s="6">
        <f>Calc_Formulas!AF1108</f>
        <v>0</v>
      </c>
      <c r="G1112" s="6">
        <f>Calc_Formulas!AG1108</f>
        <v>0</v>
      </c>
    </row>
    <row r="1113" spans="1:7">
      <c r="A1113" s="6">
        <f>Calc_Formulas!A1109</f>
        <v>0</v>
      </c>
      <c r="B1113" s="7">
        <f>Calc_Formulas!AH1109</f>
        <v>0</v>
      </c>
      <c r="C1113" s="7">
        <f>Calc_Formulas!AI1109</f>
        <v>0</v>
      </c>
      <c r="D1113" s="7">
        <f>Calc_Formulas!AJ1109</f>
        <v>0</v>
      </c>
      <c r="E1113" s="6">
        <f>Calc_Formulas!AE1109</f>
        <v>0</v>
      </c>
      <c r="F1113" s="6">
        <f>Calc_Formulas!AF1109</f>
        <v>0</v>
      </c>
      <c r="G1113" s="6">
        <f>Calc_Formulas!AG1109</f>
        <v>0</v>
      </c>
    </row>
    <row r="1114" spans="1:7">
      <c r="A1114" s="6">
        <f>Calc_Formulas!A1110</f>
        <v>0</v>
      </c>
      <c r="B1114" s="7">
        <f>Calc_Formulas!AH1110</f>
        <v>0</v>
      </c>
      <c r="C1114" s="7">
        <f>Calc_Formulas!AI1110</f>
        <v>0</v>
      </c>
      <c r="D1114" s="7">
        <f>Calc_Formulas!AJ1110</f>
        <v>0</v>
      </c>
      <c r="E1114" s="6">
        <f>Calc_Formulas!AE1110</f>
        <v>0</v>
      </c>
      <c r="F1114" s="6">
        <f>Calc_Formulas!AF1110</f>
        <v>0</v>
      </c>
      <c r="G1114" s="6">
        <f>Calc_Formulas!AG1110</f>
        <v>0</v>
      </c>
    </row>
    <row r="1115" spans="1:7">
      <c r="A1115" s="6">
        <f>Calc_Formulas!A1111</f>
        <v>0</v>
      </c>
      <c r="B1115" s="7">
        <f>Calc_Formulas!AH1111</f>
        <v>0</v>
      </c>
      <c r="C1115" s="7">
        <f>Calc_Formulas!AI1111</f>
        <v>0</v>
      </c>
      <c r="D1115" s="7">
        <f>Calc_Formulas!AJ1111</f>
        <v>0</v>
      </c>
      <c r="E1115" s="6">
        <f>Calc_Formulas!AE1111</f>
        <v>0</v>
      </c>
      <c r="F1115" s="6">
        <f>Calc_Formulas!AF1111</f>
        <v>0</v>
      </c>
      <c r="G1115" s="6">
        <f>Calc_Formulas!AG1111</f>
        <v>0</v>
      </c>
    </row>
    <row r="1116" spans="1:7">
      <c r="A1116" s="6">
        <f>Calc_Formulas!A1112</f>
        <v>0</v>
      </c>
      <c r="B1116" s="7">
        <f>Calc_Formulas!AH1112</f>
        <v>0</v>
      </c>
      <c r="C1116" s="7">
        <f>Calc_Formulas!AI1112</f>
        <v>0</v>
      </c>
      <c r="D1116" s="7">
        <f>Calc_Formulas!AJ1112</f>
        <v>0</v>
      </c>
      <c r="E1116" s="6">
        <f>Calc_Formulas!AE1112</f>
        <v>0</v>
      </c>
      <c r="F1116" s="6">
        <f>Calc_Formulas!AF1112</f>
        <v>0</v>
      </c>
      <c r="G1116" s="6">
        <f>Calc_Formulas!AG1112</f>
        <v>0</v>
      </c>
    </row>
    <row r="1117" spans="1:7">
      <c r="A1117" s="6">
        <f>Calc_Formulas!A1113</f>
        <v>0</v>
      </c>
      <c r="B1117" s="7">
        <f>Calc_Formulas!AH1113</f>
        <v>0</v>
      </c>
      <c r="C1117" s="7">
        <f>Calc_Formulas!AI1113</f>
        <v>0</v>
      </c>
      <c r="D1117" s="7">
        <f>Calc_Formulas!AJ1113</f>
        <v>0</v>
      </c>
      <c r="E1117" s="6">
        <f>Calc_Formulas!AE1113</f>
        <v>0</v>
      </c>
      <c r="F1117" s="6">
        <f>Calc_Formulas!AF1113</f>
        <v>0</v>
      </c>
      <c r="G1117" s="6">
        <f>Calc_Formulas!AG1113</f>
        <v>0</v>
      </c>
    </row>
    <row r="1118" spans="1:7">
      <c r="A1118" s="6">
        <f>Calc_Formulas!A1114</f>
        <v>0</v>
      </c>
      <c r="B1118" s="7">
        <f>Calc_Formulas!AH1114</f>
        <v>0</v>
      </c>
      <c r="C1118" s="7">
        <f>Calc_Formulas!AI1114</f>
        <v>0</v>
      </c>
      <c r="D1118" s="7">
        <f>Calc_Formulas!AJ1114</f>
        <v>0</v>
      </c>
      <c r="E1118" s="6">
        <f>Calc_Formulas!AE1114</f>
        <v>0</v>
      </c>
      <c r="F1118" s="6">
        <f>Calc_Formulas!AF1114</f>
        <v>0</v>
      </c>
      <c r="G1118" s="6">
        <f>Calc_Formulas!AG1114</f>
        <v>0</v>
      </c>
    </row>
    <row r="1119" spans="1:7">
      <c r="A1119" s="6">
        <f>Calc_Formulas!A1115</f>
        <v>0</v>
      </c>
      <c r="B1119" s="7">
        <f>Calc_Formulas!AH1115</f>
        <v>0</v>
      </c>
      <c r="C1119" s="7">
        <f>Calc_Formulas!AI1115</f>
        <v>0</v>
      </c>
      <c r="D1119" s="7">
        <f>Calc_Formulas!AJ1115</f>
        <v>0</v>
      </c>
      <c r="E1119" s="6">
        <f>Calc_Formulas!AE1115</f>
        <v>0</v>
      </c>
      <c r="F1119" s="6">
        <f>Calc_Formulas!AF1115</f>
        <v>0</v>
      </c>
      <c r="G1119" s="6">
        <f>Calc_Formulas!AG1115</f>
        <v>0</v>
      </c>
    </row>
    <row r="1120" spans="1:7">
      <c r="A1120" s="6">
        <f>Calc_Formulas!A1116</f>
        <v>0</v>
      </c>
      <c r="B1120" s="7">
        <f>Calc_Formulas!AH1116</f>
        <v>0</v>
      </c>
      <c r="C1120" s="7">
        <f>Calc_Formulas!AI1116</f>
        <v>0</v>
      </c>
      <c r="D1120" s="7">
        <f>Calc_Formulas!AJ1116</f>
        <v>0</v>
      </c>
      <c r="E1120" s="6">
        <f>Calc_Formulas!AE1116</f>
        <v>0</v>
      </c>
      <c r="F1120" s="6">
        <f>Calc_Formulas!AF1116</f>
        <v>0</v>
      </c>
      <c r="G1120" s="6">
        <f>Calc_Formulas!AG1116</f>
        <v>0</v>
      </c>
    </row>
    <row r="1121" spans="1:7">
      <c r="A1121" s="6">
        <f>Calc_Formulas!A1117</f>
        <v>0</v>
      </c>
      <c r="B1121" s="7">
        <f>Calc_Formulas!AH1117</f>
        <v>0</v>
      </c>
      <c r="C1121" s="7">
        <f>Calc_Formulas!AI1117</f>
        <v>0</v>
      </c>
      <c r="D1121" s="7">
        <f>Calc_Formulas!AJ1117</f>
        <v>0</v>
      </c>
      <c r="E1121" s="6">
        <f>Calc_Formulas!AE1117</f>
        <v>0</v>
      </c>
      <c r="F1121" s="6">
        <f>Calc_Formulas!AF1117</f>
        <v>0</v>
      </c>
      <c r="G1121" s="6">
        <f>Calc_Formulas!AG1117</f>
        <v>0</v>
      </c>
    </row>
    <row r="1122" spans="1:7">
      <c r="A1122" s="6">
        <f>Calc_Formulas!A1118</f>
        <v>0</v>
      </c>
      <c r="B1122" s="7">
        <f>Calc_Formulas!AH1118</f>
        <v>0</v>
      </c>
      <c r="C1122" s="7">
        <f>Calc_Formulas!AI1118</f>
        <v>0</v>
      </c>
      <c r="D1122" s="7">
        <f>Calc_Formulas!AJ1118</f>
        <v>0</v>
      </c>
      <c r="E1122" s="6">
        <f>Calc_Formulas!AE1118</f>
        <v>0</v>
      </c>
      <c r="F1122" s="6">
        <f>Calc_Formulas!AF1118</f>
        <v>0</v>
      </c>
      <c r="G1122" s="6">
        <f>Calc_Formulas!AG1118</f>
        <v>0</v>
      </c>
    </row>
    <row r="1123" spans="1:7">
      <c r="A1123" s="6">
        <f>Calc_Formulas!A1119</f>
        <v>0</v>
      </c>
      <c r="B1123" s="7">
        <f>Calc_Formulas!AH1119</f>
        <v>0</v>
      </c>
      <c r="C1123" s="7">
        <f>Calc_Formulas!AI1119</f>
        <v>0</v>
      </c>
      <c r="D1123" s="7">
        <f>Calc_Formulas!AJ1119</f>
        <v>0</v>
      </c>
      <c r="E1123" s="6">
        <f>Calc_Formulas!AE1119</f>
        <v>0</v>
      </c>
      <c r="F1123" s="6">
        <f>Calc_Formulas!AF1119</f>
        <v>0</v>
      </c>
      <c r="G1123" s="6">
        <f>Calc_Formulas!AG1119</f>
        <v>0</v>
      </c>
    </row>
    <row r="1124" spans="1:7">
      <c r="A1124" s="6">
        <f>Calc_Formulas!A1120</f>
        <v>0</v>
      </c>
      <c r="B1124" s="7">
        <f>Calc_Formulas!AH1120</f>
        <v>0</v>
      </c>
      <c r="C1124" s="7">
        <f>Calc_Formulas!AI1120</f>
        <v>0</v>
      </c>
      <c r="D1124" s="7">
        <f>Calc_Formulas!AJ1120</f>
        <v>0</v>
      </c>
      <c r="E1124" s="6">
        <f>Calc_Formulas!AE1120</f>
        <v>0</v>
      </c>
      <c r="F1124" s="6">
        <f>Calc_Formulas!AF1120</f>
        <v>0</v>
      </c>
      <c r="G1124" s="6">
        <f>Calc_Formulas!AG1120</f>
        <v>0</v>
      </c>
    </row>
    <row r="1125" spans="1:7">
      <c r="A1125" s="6">
        <f>Calc_Formulas!A1121</f>
        <v>0</v>
      </c>
      <c r="B1125" s="7">
        <f>Calc_Formulas!AH1121</f>
        <v>0</v>
      </c>
      <c r="C1125" s="7">
        <f>Calc_Formulas!AI1121</f>
        <v>0</v>
      </c>
      <c r="D1125" s="7">
        <f>Calc_Formulas!AJ1121</f>
        <v>0</v>
      </c>
      <c r="E1125" s="6">
        <f>Calc_Formulas!AE1121</f>
        <v>0</v>
      </c>
      <c r="F1125" s="6">
        <f>Calc_Formulas!AF1121</f>
        <v>0</v>
      </c>
      <c r="G1125" s="6">
        <f>Calc_Formulas!AG1121</f>
        <v>0</v>
      </c>
    </row>
    <row r="1126" spans="1:7">
      <c r="A1126" s="6">
        <f>Calc_Formulas!A1122</f>
        <v>0</v>
      </c>
      <c r="B1126" s="7">
        <f>Calc_Formulas!AH1122</f>
        <v>0</v>
      </c>
      <c r="C1126" s="7">
        <f>Calc_Formulas!AI1122</f>
        <v>0</v>
      </c>
      <c r="D1126" s="7">
        <f>Calc_Formulas!AJ1122</f>
        <v>0</v>
      </c>
      <c r="E1126" s="6">
        <f>Calc_Formulas!AE1122</f>
        <v>0</v>
      </c>
      <c r="F1126" s="6">
        <f>Calc_Formulas!AF1122</f>
        <v>0</v>
      </c>
      <c r="G1126" s="6">
        <f>Calc_Formulas!AG1122</f>
        <v>0</v>
      </c>
    </row>
    <row r="1127" spans="1:7">
      <c r="A1127" s="6">
        <f>Calc_Formulas!A1123</f>
        <v>0</v>
      </c>
      <c r="B1127" s="7">
        <f>Calc_Formulas!AH1123</f>
        <v>0</v>
      </c>
      <c r="C1127" s="7">
        <f>Calc_Formulas!AI1123</f>
        <v>0</v>
      </c>
      <c r="D1127" s="7">
        <f>Calc_Formulas!AJ1123</f>
        <v>0</v>
      </c>
      <c r="E1127" s="6">
        <f>Calc_Formulas!AE1123</f>
        <v>0</v>
      </c>
      <c r="F1127" s="6">
        <f>Calc_Formulas!AF1123</f>
        <v>0</v>
      </c>
      <c r="G1127" s="6">
        <f>Calc_Formulas!AG1123</f>
        <v>0</v>
      </c>
    </row>
    <row r="1128" spans="1:7">
      <c r="A1128" s="6">
        <f>Calc_Formulas!A1124</f>
        <v>0</v>
      </c>
      <c r="B1128" s="7">
        <f>Calc_Formulas!AH1124</f>
        <v>0</v>
      </c>
      <c r="C1128" s="7">
        <f>Calc_Formulas!AI1124</f>
        <v>0</v>
      </c>
      <c r="D1128" s="7">
        <f>Calc_Formulas!AJ1124</f>
        <v>0</v>
      </c>
      <c r="E1128" s="6">
        <f>Calc_Formulas!AE1124</f>
        <v>0</v>
      </c>
      <c r="F1128" s="6">
        <f>Calc_Formulas!AF1124</f>
        <v>0</v>
      </c>
      <c r="G1128" s="6">
        <f>Calc_Formulas!AG1124</f>
        <v>0</v>
      </c>
    </row>
    <row r="1129" spans="1:7">
      <c r="A1129" s="6">
        <f>Calc_Formulas!A1125</f>
        <v>0</v>
      </c>
      <c r="B1129" s="7">
        <f>Calc_Formulas!AH1125</f>
        <v>0</v>
      </c>
      <c r="C1129" s="7">
        <f>Calc_Formulas!AI1125</f>
        <v>0</v>
      </c>
      <c r="D1129" s="7">
        <f>Calc_Formulas!AJ1125</f>
        <v>0</v>
      </c>
      <c r="E1129" s="6">
        <f>Calc_Formulas!AE1125</f>
        <v>0</v>
      </c>
      <c r="F1129" s="6">
        <f>Calc_Formulas!AF1125</f>
        <v>0</v>
      </c>
      <c r="G1129" s="6">
        <f>Calc_Formulas!AG1125</f>
        <v>0</v>
      </c>
    </row>
    <row r="1130" spans="1:7">
      <c r="A1130" s="6">
        <f>Calc_Formulas!A1126</f>
        <v>0</v>
      </c>
      <c r="B1130" s="7">
        <f>Calc_Formulas!AH1126</f>
        <v>0</v>
      </c>
      <c r="C1130" s="7">
        <f>Calc_Formulas!AI1126</f>
        <v>0</v>
      </c>
      <c r="D1130" s="7">
        <f>Calc_Formulas!AJ1126</f>
        <v>0</v>
      </c>
      <c r="E1130" s="6">
        <f>Calc_Formulas!AE1126</f>
        <v>0</v>
      </c>
      <c r="F1130" s="6">
        <f>Calc_Formulas!AF1126</f>
        <v>0</v>
      </c>
      <c r="G1130" s="6">
        <f>Calc_Formulas!AG1126</f>
        <v>0</v>
      </c>
    </row>
    <row r="1131" spans="1:7">
      <c r="A1131" s="6">
        <f>Calc_Formulas!A1127</f>
        <v>0</v>
      </c>
      <c r="B1131" s="7">
        <f>Calc_Formulas!AH1127</f>
        <v>0</v>
      </c>
      <c r="C1131" s="7">
        <f>Calc_Formulas!AI1127</f>
        <v>0</v>
      </c>
      <c r="D1131" s="7">
        <f>Calc_Formulas!AJ1127</f>
        <v>0</v>
      </c>
      <c r="E1131" s="6">
        <f>Calc_Formulas!AE1127</f>
        <v>0</v>
      </c>
      <c r="F1131" s="6">
        <f>Calc_Formulas!AF1127</f>
        <v>0</v>
      </c>
      <c r="G1131" s="6">
        <f>Calc_Formulas!AG1127</f>
        <v>0</v>
      </c>
    </row>
    <row r="1132" spans="1:7">
      <c r="A1132" s="6">
        <f>Calc_Formulas!A1128</f>
        <v>0</v>
      </c>
      <c r="B1132" s="7">
        <f>Calc_Formulas!AH1128</f>
        <v>0</v>
      </c>
      <c r="C1132" s="7">
        <f>Calc_Formulas!AI1128</f>
        <v>0</v>
      </c>
      <c r="D1132" s="7">
        <f>Calc_Formulas!AJ1128</f>
        <v>0</v>
      </c>
      <c r="E1132" s="6">
        <f>Calc_Formulas!AE1128</f>
        <v>0</v>
      </c>
      <c r="F1132" s="6">
        <f>Calc_Formulas!AF1128</f>
        <v>0</v>
      </c>
      <c r="G1132" s="6">
        <f>Calc_Formulas!AG1128</f>
        <v>0</v>
      </c>
    </row>
    <row r="1133" spans="1:7">
      <c r="A1133" s="6">
        <f>Calc_Formulas!A1129</f>
        <v>0</v>
      </c>
      <c r="B1133" s="7">
        <f>Calc_Formulas!AH1129</f>
        <v>0</v>
      </c>
      <c r="C1133" s="7">
        <f>Calc_Formulas!AI1129</f>
        <v>0</v>
      </c>
      <c r="D1133" s="7">
        <f>Calc_Formulas!AJ1129</f>
        <v>0</v>
      </c>
      <c r="E1133" s="6">
        <f>Calc_Formulas!AE1129</f>
        <v>0</v>
      </c>
      <c r="F1133" s="6">
        <f>Calc_Formulas!AF1129</f>
        <v>0</v>
      </c>
      <c r="G1133" s="6">
        <f>Calc_Formulas!AG1129</f>
        <v>0</v>
      </c>
    </row>
    <row r="1134" spans="1:7">
      <c r="A1134" s="6">
        <f>Calc_Formulas!A1130</f>
        <v>0</v>
      </c>
      <c r="B1134" s="7">
        <f>Calc_Formulas!AH1130</f>
        <v>0</v>
      </c>
      <c r="C1134" s="7">
        <f>Calc_Formulas!AI1130</f>
        <v>0</v>
      </c>
      <c r="D1134" s="7">
        <f>Calc_Formulas!AJ1130</f>
        <v>0</v>
      </c>
      <c r="E1134" s="6">
        <f>Calc_Formulas!AE1130</f>
        <v>0</v>
      </c>
      <c r="F1134" s="6">
        <f>Calc_Formulas!AF1130</f>
        <v>0</v>
      </c>
      <c r="G1134" s="6">
        <f>Calc_Formulas!AG1130</f>
        <v>0</v>
      </c>
    </row>
    <row r="1135" spans="1:7">
      <c r="A1135" s="6">
        <f>Calc_Formulas!A1131</f>
        <v>0</v>
      </c>
      <c r="B1135" s="7">
        <f>Calc_Formulas!AH1131</f>
        <v>0</v>
      </c>
      <c r="C1135" s="7">
        <f>Calc_Formulas!AI1131</f>
        <v>0</v>
      </c>
      <c r="D1135" s="7">
        <f>Calc_Formulas!AJ1131</f>
        <v>0</v>
      </c>
      <c r="E1135" s="6">
        <f>Calc_Formulas!AE1131</f>
        <v>0</v>
      </c>
      <c r="F1135" s="6">
        <f>Calc_Formulas!AF1131</f>
        <v>0</v>
      </c>
      <c r="G1135" s="6">
        <f>Calc_Formulas!AG1131</f>
        <v>0</v>
      </c>
    </row>
    <row r="1136" spans="1:7">
      <c r="A1136" s="6">
        <f>Calc_Formulas!A1132</f>
        <v>0</v>
      </c>
      <c r="B1136" s="7">
        <f>Calc_Formulas!AH1132</f>
        <v>0</v>
      </c>
      <c r="C1136" s="7">
        <f>Calc_Formulas!AI1132</f>
        <v>0</v>
      </c>
      <c r="D1136" s="7">
        <f>Calc_Formulas!AJ1132</f>
        <v>0</v>
      </c>
      <c r="E1136" s="6">
        <f>Calc_Formulas!AE1132</f>
        <v>0</v>
      </c>
      <c r="F1136" s="6">
        <f>Calc_Formulas!AF1132</f>
        <v>0</v>
      </c>
      <c r="G1136" s="6">
        <f>Calc_Formulas!AG1132</f>
        <v>0</v>
      </c>
    </row>
    <row r="1137" spans="1:7">
      <c r="A1137" s="6">
        <f>Calc_Formulas!A1133</f>
        <v>0</v>
      </c>
      <c r="B1137" s="7">
        <f>Calc_Formulas!AH1133</f>
        <v>0</v>
      </c>
      <c r="C1137" s="7">
        <f>Calc_Formulas!AI1133</f>
        <v>0</v>
      </c>
      <c r="D1137" s="7">
        <f>Calc_Formulas!AJ1133</f>
        <v>0</v>
      </c>
      <c r="E1137" s="6">
        <f>Calc_Formulas!AE1133</f>
        <v>0</v>
      </c>
      <c r="F1137" s="6">
        <f>Calc_Formulas!AF1133</f>
        <v>0</v>
      </c>
      <c r="G1137" s="6">
        <f>Calc_Formulas!AG1133</f>
        <v>0</v>
      </c>
    </row>
    <row r="1138" spans="1:7">
      <c r="A1138" s="6">
        <f>Calc_Formulas!A1134</f>
        <v>0</v>
      </c>
      <c r="B1138" s="7">
        <f>Calc_Formulas!AH1134</f>
        <v>0</v>
      </c>
      <c r="C1138" s="7">
        <f>Calc_Formulas!AI1134</f>
        <v>0</v>
      </c>
      <c r="D1138" s="7">
        <f>Calc_Formulas!AJ1134</f>
        <v>0</v>
      </c>
      <c r="E1138" s="6">
        <f>Calc_Formulas!AE1134</f>
        <v>0</v>
      </c>
      <c r="F1138" s="6">
        <f>Calc_Formulas!AF1134</f>
        <v>0</v>
      </c>
      <c r="G1138" s="6">
        <f>Calc_Formulas!AG1134</f>
        <v>0</v>
      </c>
    </row>
    <row r="1139" spans="1:7">
      <c r="A1139" s="6">
        <f>Calc_Formulas!A1135</f>
        <v>0</v>
      </c>
      <c r="B1139" s="7">
        <f>Calc_Formulas!AH1135</f>
        <v>0</v>
      </c>
      <c r="C1139" s="7">
        <f>Calc_Formulas!AI1135</f>
        <v>0</v>
      </c>
      <c r="D1139" s="7">
        <f>Calc_Formulas!AJ1135</f>
        <v>0</v>
      </c>
      <c r="E1139" s="6">
        <f>Calc_Formulas!AE1135</f>
        <v>0</v>
      </c>
      <c r="F1139" s="6">
        <f>Calc_Formulas!AF1135</f>
        <v>0</v>
      </c>
      <c r="G1139" s="6">
        <f>Calc_Formulas!AG1135</f>
        <v>0</v>
      </c>
    </row>
    <row r="1140" spans="1:7">
      <c r="A1140" s="6">
        <f>Calc_Formulas!A1136</f>
        <v>0</v>
      </c>
      <c r="B1140" s="7">
        <f>Calc_Formulas!AH1136</f>
        <v>0</v>
      </c>
      <c r="C1140" s="7">
        <f>Calc_Formulas!AI1136</f>
        <v>0</v>
      </c>
      <c r="D1140" s="7">
        <f>Calc_Formulas!AJ1136</f>
        <v>0</v>
      </c>
      <c r="E1140" s="6">
        <f>Calc_Formulas!AE1136</f>
        <v>0</v>
      </c>
      <c r="F1140" s="6">
        <f>Calc_Formulas!AF1136</f>
        <v>0</v>
      </c>
      <c r="G1140" s="6">
        <f>Calc_Formulas!AG1136</f>
        <v>0</v>
      </c>
    </row>
    <row r="1141" spans="1:7">
      <c r="A1141" s="6">
        <f>Calc_Formulas!A1137</f>
        <v>0</v>
      </c>
      <c r="B1141" s="7">
        <f>Calc_Formulas!AH1137</f>
        <v>0</v>
      </c>
      <c r="C1141" s="7">
        <f>Calc_Formulas!AI1137</f>
        <v>0</v>
      </c>
      <c r="D1141" s="7">
        <f>Calc_Formulas!AJ1137</f>
        <v>0</v>
      </c>
      <c r="E1141" s="6">
        <f>Calc_Formulas!AE1137</f>
        <v>0</v>
      </c>
      <c r="F1141" s="6">
        <f>Calc_Formulas!AF1137</f>
        <v>0</v>
      </c>
      <c r="G1141" s="6">
        <f>Calc_Formulas!AG1137</f>
        <v>0</v>
      </c>
    </row>
    <row r="1142" spans="1:7">
      <c r="A1142" s="6">
        <f>Calc_Formulas!A1138</f>
        <v>0</v>
      </c>
      <c r="B1142" s="7">
        <f>Calc_Formulas!AH1138</f>
        <v>0</v>
      </c>
      <c r="C1142" s="7">
        <f>Calc_Formulas!AI1138</f>
        <v>0</v>
      </c>
      <c r="D1142" s="7">
        <f>Calc_Formulas!AJ1138</f>
        <v>0</v>
      </c>
      <c r="E1142" s="6">
        <f>Calc_Formulas!AE1138</f>
        <v>0</v>
      </c>
      <c r="F1142" s="6">
        <f>Calc_Formulas!AF1138</f>
        <v>0</v>
      </c>
      <c r="G1142" s="6">
        <f>Calc_Formulas!AG1138</f>
        <v>0</v>
      </c>
    </row>
    <row r="1143" spans="1:7">
      <c r="A1143" s="6">
        <f>Calc_Formulas!A1139</f>
        <v>0</v>
      </c>
      <c r="B1143" s="7">
        <f>Calc_Formulas!AH1139</f>
        <v>0</v>
      </c>
      <c r="C1143" s="7">
        <f>Calc_Formulas!AI1139</f>
        <v>0</v>
      </c>
      <c r="D1143" s="7">
        <f>Calc_Formulas!AJ1139</f>
        <v>0</v>
      </c>
      <c r="E1143" s="6">
        <f>Calc_Formulas!AE1139</f>
        <v>0</v>
      </c>
      <c r="F1143" s="6">
        <f>Calc_Formulas!AF1139</f>
        <v>0</v>
      </c>
      <c r="G1143" s="6">
        <f>Calc_Formulas!AG1139</f>
        <v>0</v>
      </c>
    </row>
    <row r="1144" spans="1:7">
      <c r="A1144" s="6">
        <f>Calc_Formulas!A1140</f>
        <v>0</v>
      </c>
      <c r="B1144" s="7">
        <f>Calc_Formulas!AH1140</f>
        <v>0</v>
      </c>
      <c r="C1144" s="7">
        <f>Calc_Formulas!AI1140</f>
        <v>0</v>
      </c>
      <c r="D1144" s="7">
        <f>Calc_Formulas!AJ1140</f>
        <v>0</v>
      </c>
      <c r="E1144" s="6">
        <f>Calc_Formulas!AE1140</f>
        <v>0</v>
      </c>
      <c r="F1144" s="6">
        <f>Calc_Formulas!AF1140</f>
        <v>0</v>
      </c>
      <c r="G1144" s="6">
        <f>Calc_Formulas!AG1140</f>
        <v>0</v>
      </c>
    </row>
    <row r="1145" spans="1:7">
      <c r="A1145" s="6">
        <f>Calc_Formulas!A1141</f>
        <v>0</v>
      </c>
      <c r="B1145" s="7">
        <f>Calc_Formulas!AH1141</f>
        <v>0</v>
      </c>
      <c r="C1145" s="7">
        <f>Calc_Formulas!AI1141</f>
        <v>0</v>
      </c>
      <c r="D1145" s="7">
        <f>Calc_Formulas!AJ1141</f>
        <v>0</v>
      </c>
      <c r="E1145" s="6">
        <f>Calc_Formulas!AE1141</f>
        <v>0</v>
      </c>
      <c r="F1145" s="6">
        <f>Calc_Formulas!AF1141</f>
        <v>0</v>
      </c>
      <c r="G1145" s="6">
        <f>Calc_Formulas!AG1141</f>
        <v>0</v>
      </c>
    </row>
    <row r="1146" spans="1:7">
      <c r="A1146" s="6">
        <f>Calc_Formulas!A1142</f>
        <v>0</v>
      </c>
      <c r="B1146" s="7">
        <f>Calc_Formulas!AH1142</f>
        <v>0</v>
      </c>
      <c r="C1146" s="7">
        <f>Calc_Formulas!AI1142</f>
        <v>0</v>
      </c>
      <c r="D1146" s="7">
        <f>Calc_Formulas!AJ1142</f>
        <v>0</v>
      </c>
      <c r="E1146" s="6">
        <f>Calc_Formulas!AE1142</f>
        <v>0</v>
      </c>
      <c r="F1146" s="6">
        <f>Calc_Formulas!AF1142</f>
        <v>0</v>
      </c>
      <c r="G1146" s="6">
        <f>Calc_Formulas!AG1142</f>
        <v>0</v>
      </c>
    </row>
    <row r="1147" spans="1:7">
      <c r="A1147" s="6">
        <f>Calc_Formulas!A1143</f>
        <v>0</v>
      </c>
      <c r="B1147" s="7">
        <f>Calc_Formulas!AH1143</f>
        <v>0</v>
      </c>
      <c r="C1147" s="7">
        <f>Calc_Formulas!AI1143</f>
        <v>0</v>
      </c>
      <c r="D1147" s="7">
        <f>Calc_Formulas!AJ1143</f>
        <v>0</v>
      </c>
      <c r="E1147" s="6">
        <f>Calc_Formulas!AE1143</f>
        <v>0</v>
      </c>
      <c r="F1147" s="6">
        <f>Calc_Formulas!AF1143</f>
        <v>0</v>
      </c>
      <c r="G1147" s="6">
        <f>Calc_Formulas!AG1143</f>
        <v>0</v>
      </c>
    </row>
    <row r="1148" spans="1:7">
      <c r="A1148" s="6">
        <f>Calc_Formulas!A1144</f>
        <v>0</v>
      </c>
      <c r="B1148" s="7">
        <f>Calc_Formulas!AH1144</f>
        <v>0</v>
      </c>
      <c r="C1148" s="7">
        <f>Calc_Formulas!AI1144</f>
        <v>0</v>
      </c>
      <c r="D1148" s="7">
        <f>Calc_Formulas!AJ1144</f>
        <v>0</v>
      </c>
      <c r="E1148" s="6">
        <f>Calc_Formulas!AE1144</f>
        <v>0</v>
      </c>
      <c r="F1148" s="6">
        <f>Calc_Formulas!AF1144</f>
        <v>0</v>
      </c>
      <c r="G1148" s="6">
        <f>Calc_Formulas!AG1144</f>
        <v>0</v>
      </c>
    </row>
    <row r="1149" spans="1:7">
      <c r="A1149" s="6">
        <f>Calc_Formulas!A1145</f>
        <v>0</v>
      </c>
      <c r="B1149" s="7">
        <f>Calc_Formulas!AH1145</f>
        <v>0</v>
      </c>
      <c r="C1149" s="7">
        <f>Calc_Formulas!AI1145</f>
        <v>0</v>
      </c>
      <c r="D1149" s="7">
        <f>Calc_Formulas!AJ1145</f>
        <v>0</v>
      </c>
      <c r="E1149" s="6">
        <f>Calc_Formulas!AE1145</f>
        <v>0</v>
      </c>
      <c r="F1149" s="6">
        <f>Calc_Formulas!AF1145</f>
        <v>0</v>
      </c>
      <c r="G1149" s="6">
        <f>Calc_Formulas!AG1145</f>
        <v>0</v>
      </c>
    </row>
    <row r="1150" spans="1:7">
      <c r="A1150" s="6">
        <f>Calc_Formulas!A1146</f>
        <v>0</v>
      </c>
      <c r="B1150" s="7">
        <f>Calc_Formulas!AH1146</f>
        <v>0</v>
      </c>
      <c r="C1150" s="7">
        <f>Calc_Formulas!AI1146</f>
        <v>0</v>
      </c>
      <c r="D1150" s="7">
        <f>Calc_Formulas!AJ1146</f>
        <v>0</v>
      </c>
      <c r="E1150" s="6">
        <f>Calc_Formulas!AE1146</f>
        <v>0</v>
      </c>
      <c r="F1150" s="6">
        <f>Calc_Formulas!AF1146</f>
        <v>0</v>
      </c>
      <c r="G1150" s="6">
        <f>Calc_Formulas!AG1146</f>
        <v>0</v>
      </c>
    </row>
    <row r="1151" spans="1:7">
      <c r="A1151" s="6">
        <f>Calc_Formulas!A1147</f>
        <v>0</v>
      </c>
      <c r="B1151" s="7">
        <f>Calc_Formulas!AH1147</f>
        <v>0</v>
      </c>
      <c r="C1151" s="7">
        <f>Calc_Formulas!AI1147</f>
        <v>0</v>
      </c>
      <c r="D1151" s="7">
        <f>Calc_Formulas!AJ1147</f>
        <v>0</v>
      </c>
      <c r="E1151" s="6">
        <f>Calc_Formulas!AE1147</f>
        <v>0</v>
      </c>
      <c r="F1151" s="6">
        <f>Calc_Formulas!AF1147</f>
        <v>0</v>
      </c>
      <c r="G1151" s="6">
        <f>Calc_Formulas!AG1147</f>
        <v>0</v>
      </c>
    </row>
    <row r="1152" spans="1:7">
      <c r="A1152" s="6">
        <f>Calc_Formulas!A1148</f>
        <v>0</v>
      </c>
      <c r="B1152" s="7">
        <f>Calc_Formulas!AH1148</f>
        <v>0</v>
      </c>
      <c r="C1152" s="7">
        <f>Calc_Formulas!AI1148</f>
        <v>0</v>
      </c>
      <c r="D1152" s="7">
        <f>Calc_Formulas!AJ1148</f>
        <v>0</v>
      </c>
      <c r="E1152" s="6">
        <f>Calc_Formulas!AE1148</f>
        <v>0</v>
      </c>
      <c r="F1152" s="6">
        <f>Calc_Formulas!AF1148</f>
        <v>0</v>
      </c>
      <c r="G1152" s="6">
        <f>Calc_Formulas!AG1148</f>
        <v>0</v>
      </c>
    </row>
    <row r="1153" spans="1:7">
      <c r="A1153" s="6">
        <f>Calc_Formulas!A1149</f>
        <v>0</v>
      </c>
      <c r="B1153" s="7">
        <f>Calc_Formulas!AH1149</f>
        <v>0</v>
      </c>
      <c r="C1153" s="7">
        <f>Calc_Formulas!AI1149</f>
        <v>0</v>
      </c>
      <c r="D1153" s="7">
        <f>Calc_Formulas!AJ1149</f>
        <v>0</v>
      </c>
      <c r="E1153" s="6">
        <f>Calc_Formulas!AE1149</f>
        <v>0</v>
      </c>
      <c r="F1153" s="6">
        <f>Calc_Formulas!AF1149</f>
        <v>0</v>
      </c>
      <c r="G1153" s="6">
        <f>Calc_Formulas!AG1149</f>
        <v>0</v>
      </c>
    </row>
    <row r="1154" spans="1:7">
      <c r="A1154" s="6">
        <f>Calc_Formulas!A1150</f>
        <v>0</v>
      </c>
      <c r="B1154" s="7">
        <f>Calc_Formulas!AH1150</f>
        <v>0</v>
      </c>
      <c r="C1154" s="7">
        <f>Calc_Formulas!AI1150</f>
        <v>0</v>
      </c>
      <c r="D1154" s="7">
        <f>Calc_Formulas!AJ1150</f>
        <v>0</v>
      </c>
      <c r="E1154" s="6">
        <f>Calc_Formulas!AE1150</f>
        <v>0</v>
      </c>
      <c r="F1154" s="6">
        <f>Calc_Formulas!AF1150</f>
        <v>0</v>
      </c>
      <c r="G1154" s="6">
        <f>Calc_Formulas!AG1150</f>
        <v>0</v>
      </c>
    </row>
    <row r="1155" spans="1:7">
      <c r="A1155" s="6">
        <f>Calc_Formulas!A1151</f>
        <v>0</v>
      </c>
      <c r="B1155" s="7">
        <f>Calc_Formulas!AH1151</f>
        <v>0</v>
      </c>
      <c r="C1155" s="7">
        <f>Calc_Formulas!AI1151</f>
        <v>0</v>
      </c>
      <c r="D1155" s="7">
        <f>Calc_Formulas!AJ1151</f>
        <v>0</v>
      </c>
      <c r="E1155" s="6">
        <f>Calc_Formulas!AE1151</f>
        <v>0</v>
      </c>
      <c r="F1155" s="6">
        <f>Calc_Formulas!AF1151</f>
        <v>0</v>
      </c>
      <c r="G1155" s="6">
        <f>Calc_Formulas!AG1151</f>
        <v>0</v>
      </c>
    </row>
    <row r="1156" spans="1:7">
      <c r="A1156" s="6">
        <f>Calc_Formulas!A1152</f>
        <v>0</v>
      </c>
      <c r="B1156" s="7">
        <f>Calc_Formulas!AH1152</f>
        <v>0</v>
      </c>
      <c r="C1156" s="7">
        <f>Calc_Formulas!AI1152</f>
        <v>0</v>
      </c>
      <c r="D1156" s="7">
        <f>Calc_Formulas!AJ1152</f>
        <v>0</v>
      </c>
      <c r="E1156" s="6">
        <f>Calc_Formulas!AE1152</f>
        <v>0</v>
      </c>
      <c r="F1156" s="6">
        <f>Calc_Formulas!AF1152</f>
        <v>0</v>
      </c>
      <c r="G1156" s="6">
        <f>Calc_Formulas!AG1152</f>
        <v>0</v>
      </c>
    </row>
    <row r="1157" spans="1:7">
      <c r="A1157" s="6">
        <f>Calc_Formulas!A1153</f>
        <v>0</v>
      </c>
      <c r="B1157" s="7">
        <f>Calc_Formulas!AH1153</f>
        <v>0</v>
      </c>
      <c r="C1157" s="7">
        <f>Calc_Formulas!AI1153</f>
        <v>0</v>
      </c>
      <c r="D1157" s="7">
        <f>Calc_Formulas!AJ1153</f>
        <v>0</v>
      </c>
      <c r="E1157" s="6">
        <f>Calc_Formulas!AE1153</f>
        <v>0</v>
      </c>
      <c r="F1157" s="6">
        <f>Calc_Formulas!AF1153</f>
        <v>0</v>
      </c>
      <c r="G1157" s="6">
        <f>Calc_Formulas!AG1153</f>
        <v>0</v>
      </c>
    </row>
    <row r="1158" spans="1:7">
      <c r="A1158" s="6">
        <f>Calc_Formulas!A1154</f>
        <v>0</v>
      </c>
      <c r="B1158" s="7">
        <f>Calc_Formulas!AH1154</f>
        <v>0</v>
      </c>
      <c r="C1158" s="7">
        <f>Calc_Formulas!AI1154</f>
        <v>0</v>
      </c>
      <c r="D1158" s="7">
        <f>Calc_Formulas!AJ1154</f>
        <v>0</v>
      </c>
      <c r="E1158" s="6">
        <f>Calc_Formulas!AE1154</f>
        <v>0</v>
      </c>
      <c r="F1158" s="6">
        <f>Calc_Formulas!AF1154</f>
        <v>0</v>
      </c>
      <c r="G1158" s="6">
        <f>Calc_Formulas!AG1154</f>
        <v>0</v>
      </c>
    </row>
    <row r="1159" spans="1:7">
      <c r="A1159" s="6">
        <f>Calc_Formulas!A1155</f>
        <v>0</v>
      </c>
      <c r="B1159" s="7">
        <f>Calc_Formulas!AH1155</f>
        <v>0</v>
      </c>
      <c r="C1159" s="7">
        <f>Calc_Formulas!AI1155</f>
        <v>0</v>
      </c>
      <c r="D1159" s="7">
        <f>Calc_Formulas!AJ1155</f>
        <v>0</v>
      </c>
      <c r="E1159" s="6">
        <f>Calc_Formulas!AE1155</f>
        <v>0</v>
      </c>
      <c r="F1159" s="6">
        <f>Calc_Formulas!AF1155</f>
        <v>0</v>
      </c>
      <c r="G1159" s="6">
        <f>Calc_Formulas!AG1155</f>
        <v>0</v>
      </c>
    </row>
    <row r="1160" spans="1:7">
      <c r="A1160" s="6">
        <f>Calc_Formulas!A1156</f>
        <v>0</v>
      </c>
      <c r="B1160" s="7">
        <f>Calc_Formulas!AH1156</f>
        <v>0</v>
      </c>
      <c r="C1160" s="7">
        <f>Calc_Formulas!AI1156</f>
        <v>0</v>
      </c>
      <c r="D1160" s="7">
        <f>Calc_Formulas!AJ1156</f>
        <v>0</v>
      </c>
      <c r="E1160" s="6">
        <f>Calc_Formulas!AE1156</f>
        <v>0</v>
      </c>
      <c r="F1160" s="6">
        <f>Calc_Formulas!AF1156</f>
        <v>0</v>
      </c>
      <c r="G1160" s="6">
        <f>Calc_Formulas!AG1156</f>
        <v>0</v>
      </c>
    </row>
    <row r="1161" spans="1:7">
      <c r="A1161" s="6">
        <f>Calc_Formulas!A1157</f>
        <v>0</v>
      </c>
      <c r="B1161" s="7">
        <f>Calc_Formulas!AH1157</f>
        <v>0</v>
      </c>
      <c r="C1161" s="7">
        <f>Calc_Formulas!AI1157</f>
        <v>0</v>
      </c>
      <c r="D1161" s="7">
        <f>Calc_Formulas!AJ1157</f>
        <v>0</v>
      </c>
      <c r="E1161" s="6">
        <f>Calc_Formulas!AE1157</f>
        <v>0</v>
      </c>
      <c r="F1161" s="6">
        <f>Calc_Formulas!AF1157</f>
        <v>0</v>
      </c>
      <c r="G1161" s="6">
        <f>Calc_Formulas!AG1157</f>
        <v>0</v>
      </c>
    </row>
    <row r="1162" spans="1:7">
      <c r="A1162" s="6">
        <f>Calc_Formulas!A1158</f>
        <v>0</v>
      </c>
      <c r="B1162" s="7">
        <f>Calc_Formulas!AH1158</f>
        <v>0</v>
      </c>
      <c r="C1162" s="7">
        <f>Calc_Formulas!AI1158</f>
        <v>0</v>
      </c>
      <c r="D1162" s="7">
        <f>Calc_Formulas!AJ1158</f>
        <v>0</v>
      </c>
      <c r="E1162" s="6">
        <f>Calc_Formulas!AE1158</f>
        <v>0</v>
      </c>
      <c r="F1162" s="6">
        <f>Calc_Formulas!AF1158</f>
        <v>0</v>
      </c>
      <c r="G1162" s="6">
        <f>Calc_Formulas!AG1158</f>
        <v>0</v>
      </c>
    </row>
    <row r="1163" spans="1:7">
      <c r="A1163" s="6">
        <f>Calc_Formulas!A1159</f>
        <v>0</v>
      </c>
      <c r="B1163" s="7">
        <f>Calc_Formulas!AH1159</f>
        <v>0</v>
      </c>
      <c r="C1163" s="7">
        <f>Calc_Formulas!AI1159</f>
        <v>0</v>
      </c>
      <c r="D1163" s="7">
        <f>Calc_Formulas!AJ1159</f>
        <v>0</v>
      </c>
      <c r="E1163" s="6">
        <f>Calc_Formulas!AE1159</f>
        <v>0</v>
      </c>
      <c r="F1163" s="6">
        <f>Calc_Formulas!AF1159</f>
        <v>0</v>
      </c>
      <c r="G1163" s="6">
        <f>Calc_Formulas!AG1159</f>
        <v>0</v>
      </c>
    </row>
    <row r="1164" spans="1:7">
      <c r="A1164" s="6">
        <f>Calc_Formulas!A1160</f>
        <v>0</v>
      </c>
      <c r="B1164" s="7">
        <f>Calc_Formulas!AH1160</f>
        <v>0</v>
      </c>
      <c r="C1164" s="7">
        <f>Calc_Formulas!AI1160</f>
        <v>0</v>
      </c>
      <c r="D1164" s="7">
        <f>Calc_Formulas!AJ1160</f>
        <v>0</v>
      </c>
      <c r="E1164" s="6">
        <f>Calc_Formulas!AE1160</f>
        <v>0</v>
      </c>
      <c r="F1164" s="6">
        <f>Calc_Formulas!AF1160</f>
        <v>0</v>
      </c>
      <c r="G1164" s="6">
        <f>Calc_Formulas!AG1160</f>
        <v>0</v>
      </c>
    </row>
    <row r="1165" spans="1:7">
      <c r="A1165" s="6">
        <f>Calc_Formulas!A1161</f>
        <v>0</v>
      </c>
      <c r="B1165" s="7">
        <f>Calc_Formulas!AH1161</f>
        <v>0</v>
      </c>
      <c r="C1165" s="7">
        <f>Calc_Formulas!AI1161</f>
        <v>0</v>
      </c>
      <c r="D1165" s="7">
        <f>Calc_Formulas!AJ1161</f>
        <v>0</v>
      </c>
      <c r="E1165" s="6">
        <f>Calc_Formulas!AE1161</f>
        <v>0</v>
      </c>
      <c r="F1165" s="6">
        <f>Calc_Formulas!AF1161</f>
        <v>0</v>
      </c>
      <c r="G1165" s="6">
        <f>Calc_Formulas!AG1161</f>
        <v>0</v>
      </c>
    </row>
    <row r="1166" spans="1:7">
      <c r="A1166" s="6">
        <f>Calc_Formulas!A1162</f>
        <v>0</v>
      </c>
      <c r="B1166" s="7">
        <f>Calc_Formulas!AH1162</f>
        <v>0</v>
      </c>
      <c r="C1166" s="7">
        <f>Calc_Formulas!AI1162</f>
        <v>0</v>
      </c>
      <c r="D1166" s="7">
        <f>Calc_Formulas!AJ1162</f>
        <v>0</v>
      </c>
      <c r="E1166" s="6">
        <f>Calc_Formulas!AE1162</f>
        <v>0</v>
      </c>
      <c r="F1166" s="6">
        <f>Calc_Formulas!AF1162</f>
        <v>0</v>
      </c>
      <c r="G1166" s="6">
        <f>Calc_Formulas!AG1162</f>
        <v>0</v>
      </c>
    </row>
    <row r="1167" spans="1:7">
      <c r="A1167" s="6">
        <f>Calc_Formulas!A1163</f>
        <v>0</v>
      </c>
      <c r="B1167" s="7">
        <f>Calc_Formulas!AH1163</f>
        <v>0</v>
      </c>
      <c r="C1167" s="7">
        <f>Calc_Formulas!AI1163</f>
        <v>0</v>
      </c>
      <c r="D1167" s="7">
        <f>Calc_Formulas!AJ1163</f>
        <v>0</v>
      </c>
      <c r="E1167" s="6">
        <f>Calc_Formulas!AE1163</f>
        <v>0</v>
      </c>
      <c r="F1167" s="6">
        <f>Calc_Formulas!AF1163</f>
        <v>0</v>
      </c>
      <c r="G1167" s="6">
        <f>Calc_Formulas!AG1163</f>
        <v>0</v>
      </c>
    </row>
    <row r="1168" spans="1:7">
      <c r="A1168" s="6">
        <f>Calc_Formulas!A1164</f>
        <v>0</v>
      </c>
      <c r="B1168" s="7">
        <f>Calc_Formulas!AH1164</f>
        <v>0</v>
      </c>
      <c r="C1168" s="7">
        <f>Calc_Formulas!AI1164</f>
        <v>0</v>
      </c>
      <c r="D1168" s="7">
        <f>Calc_Formulas!AJ1164</f>
        <v>0</v>
      </c>
      <c r="E1168" s="6">
        <f>Calc_Formulas!AE1164</f>
        <v>0</v>
      </c>
      <c r="F1168" s="6">
        <f>Calc_Formulas!AF1164</f>
        <v>0</v>
      </c>
      <c r="G1168" s="6">
        <f>Calc_Formulas!AG1164</f>
        <v>0</v>
      </c>
    </row>
    <row r="1169" spans="1:7">
      <c r="A1169" s="6">
        <f>Calc_Formulas!A1165</f>
        <v>0</v>
      </c>
      <c r="B1169" s="7">
        <f>Calc_Formulas!AH1165</f>
        <v>0</v>
      </c>
      <c r="C1169" s="7">
        <f>Calc_Formulas!AI1165</f>
        <v>0</v>
      </c>
      <c r="D1169" s="7">
        <f>Calc_Formulas!AJ1165</f>
        <v>0</v>
      </c>
      <c r="E1169" s="6">
        <f>Calc_Formulas!AE1165</f>
        <v>0</v>
      </c>
      <c r="F1169" s="6">
        <f>Calc_Formulas!AF1165</f>
        <v>0</v>
      </c>
      <c r="G1169" s="6">
        <f>Calc_Formulas!AG1165</f>
        <v>0</v>
      </c>
    </row>
    <row r="1170" spans="1:7">
      <c r="A1170" s="6">
        <f>Calc_Formulas!A1166</f>
        <v>0</v>
      </c>
      <c r="B1170" s="7">
        <f>Calc_Formulas!AH1166</f>
        <v>0</v>
      </c>
      <c r="C1170" s="7">
        <f>Calc_Formulas!AI1166</f>
        <v>0</v>
      </c>
      <c r="D1170" s="7">
        <f>Calc_Formulas!AJ1166</f>
        <v>0</v>
      </c>
      <c r="E1170" s="6">
        <f>Calc_Formulas!AE1166</f>
        <v>0</v>
      </c>
      <c r="F1170" s="6">
        <f>Calc_Formulas!AF1166</f>
        <v>0</v>
      </c>
      <c r="G1170" s="6">
        <f>Calc_Formulas!AG1166</f>
        <v>0</v>
      </c>
    </row>
    <row r="1171" spans="1:7">
      <c r="A1171" s="6">
        <f>Calc_Formulas!A1167</f>
        <v>0</v>
      </c>
      <c r="B1171" s="7">
        <f>Calc_Formulas!AH1167</f>
        <v>0</v>
      </c>
      <c r="C1171" s="7">
        <f>Calc_Formulas!AI1167</f>
        <v>0</v>
      </c>
      <c r="D1171" s="7">
        <f>Calc_Formulas!AJ1167</f>
        <v>0</v>
      </c>
      <c r="E1171" s="6">
        <f>Calc_Formulas!AE1167</f>
        <v>0</v>
      </c>
      <c r="F1171" s="6">
        <f>Calc_Formulas!AF1167</f>
        <v>0</v>
      </c>
      <c r="G1171" s="6">
        <f>Calc_Formulas!AG1167</f>
        <v>0</v>
      </c>
    </row>
    <row r="1172" spans="1:7">
      <c r="A1172" s="6">
        <f>Calc_Formulas!A1168</f>
        <v>0</v>
      </c>
      <c r="B1172" s="7">
        <f>Calc_Formulas!AH1168</f>
        <v>0</v>
      </c>
      <c r="C1172" s="7">
        <f>Calc_Formulas!AI1168</f>
        <v>0</v>
      </c>
      <c r="D1172" s="7">
        <f>Calc_Formulas!AJ1168</f>
        <v>0</v>
      </c>
      <c r="E1172" s="6">
        <f>Calc_Formulas!AE1168</f>
        <v>0</v>
      </c>
      <c r="F1172" s="6">
        <f>Calc_Formulas!AF1168</f>
        <v>0</v>
      </c>
      <c r="G1172" s="6">
        <f>Calc_Formulas!AG1168</f>
        <v>0</v>
      </c>
    </row>
    <row r="1173" spans="1:7">
      <c r="A1173" s="6">
        <f>Calc_Formulas!A1169</f>
        <v>0</v>
      </c>
      <c r="B1173" s="7">
        <f>Calc_Formulas!AH1169</f>
        <v>0</v>
      </c>
      <c r="C1173" s="7">
        <f>Calc_Formulas!AI1169</f>
        <v>0</v>
      </c>
      <c r="D1173" s="7">
        <f>Calc_Formulas!AJ1169</f>
        <v>0</v>
      </c>
      <c r="E1173" s="6">
        <f>Calc_Formulas!AE1169</f>
        <v>0</v>
      </c>
      <c r="F1173" s="6">
        <f>Calc_Formulas!AF1169</f>
        <v>0</v>
      </c>
      <c r="G1173" s="6">
        <f>Calc_Formulas!AG1169</f>
        <v>0</v>
      </c>
    </row>
    <row r="1174" spans="1:7">
      <c r="A1174" s="6">
        <f>Calc_Formulas!A1170</f>
        <v>0</v>
      </c>
      <c r="B1174" s="7">
        <f>Calc_Formulas!AH1170</f>
        <v>0</v>
      </c>
      <c r="C1174" s="7">
        <f>Calc_Formulas!AI1170</f>
        <v>0</v>
      </c>
      <c r="D1174" s="7">
        <f>Calc_Formulas!AJ1170</f>
        <v>0</v>
      </c>
      <c r="E1174" s="6">
        <f>Calc_Formulas!AE1170</f>
        <v>0</v>
      </c>
      <c r="F1174" s="6">
        <f>Calc_Formulas!AF1170</f>
        <v>0</v>
      </c>
      <c r="G1174" s="6">
        <f>Calc_Formulas!AG1170</f>
        <v>0</v>
      </c>
    </row>
    <row r="1175" spans="1:7">
      <c r="A1175" s="6">
        <f>Calc_Formulas!A1171</f>
        <v>0</v>
      </c>
      <c r="B1175" s="7">
        <f>Calc_Formulas!AH1171</f>
        <v>0</v>
      </c>
      <c r="C1175" s="7">
        <f>Calc_Formulas!AI1171</f>
        <v>0</v>
      </c>
      <c r="D1175" s="7">
        <f>Calc_Formulas!AJ1171</f>
        <v>0</v>
      </c>
      <c r="E1175" s="6">
        <f>Calc_Formulas!AE1171</f>
        <v>0</v>
      </c>
      <c r="F1175" s="6">
        <f>Calc_Formulas!AF1171</f>
        <v>0</v>
      </c>
      <c r="G1175" s="6">
        <f>Calc_Formulas!AG1171</f>
        <v>0</v>
      </c>
    </row>
    <row r="1176" spans="1:7">
      <c r="A1176" s="6">
        <f>Calc_Formulas!A1172</f>
        <v>0</v>
      </c>
      <c r="B1176" s="7">
        <f>Calc_Formulas!AH1172</f>
        <v>0</v>
      </c>
      <c r="C1176" s="7">
        <f>Calc_Formulas!AI1172</f>
        <v>0</v>
      </c>
      <c r="D1176" s="7">
        <f>Calc_Formulas!AJ1172</f>
        <v>0</v>
      </c>
      <c r="E1176" s="6">
        <f>Calc_Formulas!AE1172</f>
        <v>0</v>
      </c>
      <c r="F1176" s="6">
        <f>Calc_Formulas!AF1172</f>
        <v>0</v>
      </c>
      <c r="G1176" s="6">
        <f>Calc_Formulas!AG1172</f>
        <v>0</v>
      </c>
    </row>
    <row r="1177" spans="1:7">
      <c r="A1177" s="6">
        <f>Calc_Formulas!A1173</f>
        <v>0</v>
      </c>
      <c r="B1177" s="7">
        <f>Calc_Formulas!AH1173</f>
        <v>0</v>
      </c>
      <c r="C1177" s="7">
        <f>Calc_Formulas!AI1173</f>
        <v>0</v>
      </c>
      <c r="D1177" s="7">
        <f>Calc_Formulas!AJ1173</f>
        <v>0</v>
      </c>
      <c r="E1177" s="6">
        <f>Calc_Formulas!AE1173</f>
        <v>0</v>
      </c>
      <c r="F1177" s="6">
        <f>Calc_Formulas!AF1173</f>
        <v>0</v>
      </c>
      <c r="G1177" s="6">
        <f>Calc_Formulas!AG1173</f>
        <v>0</v>
      </c>
    </row>
    <row r="1178" spans="1:7">
      <c r="A1178" s="6">
        <f>Calc_Formulas!A1174</f>
        <v>0</v>
      </c>
      <c r="B1178" s="7">
        <f>Calc_Formulas!AH1174</f>
        <v>0</v>
      </c>
      <c r="C1178" s="7">
        <f>Calc_Formulas!AI1174</f>
        <v>0</v>
      </c>
      <c r="D1178" s="7">
        <f>Calc_Formulas!AJ1174</f>
        <v>0</v>
      </c>
      <c r="E1178" s="6">
        <f>Calc_Formulas!AE1174</f>
        <v>0</v>
      </c>
      <c r="F1178" s="6">
        <f>Calc_Formulas!AF1174</f>
        <v>0</v>
      </c>
      <c r="G1178" s="6">
        <f>Calc_Formulas!AG1174</f>
        <v>0</v>
      </c>
    </row>
    <row r="1179" spans="1:7">
      <c r="A1179" s="6">
        <f>Calc_Formulas!A1175</f>
        <v>0</v>
      </c>
      <c r="B1179" s="7">
        <f>Calc_Formulas!AH1175</f>
        <v>0</v>
      </c>
      <c r="C1179" s="7">
        <f>Calc_Formulas!AI1175</f>
        <v>0</v>
      </c>
      <c r="D1179" s="7">
        <f>Calc_Formulas!AJ1175</f>
        <v>0</v>
      </c>
      <c r="E1179" s="6">
        <f>Calc_Formulas!AE1175</f>
        <v>0</v>
      </c>
      <c r="F1179" s="6">
        <f>Calc_Formulas!AF1175</f>
        <v>0</v>
      </c>
      <c r="G1179" s="6">
        <f>Calc_Formulas!AG1175</f>
        <v>0</v>
      </c>
    </row>
    <row r="1180" spans="1:7">
      <c r="A1180" s="6">
        <f>Calc_Formulas!A1176</f>
        <v>0</v>
      </c>
      <c r="B1180" s="7">
        <f>Calc_Formulas!AH1176</f>
        <v>0</v>
      </c>
      <c r="C1180" s="7">
        <f>Calc_Formulas!AI1176</f>
        <v>0</v>
      </c>
      <c r="D1180" s="7">
        <f>Calc_Formulas!AJ1176</f>
        <v>0</v>
      </c>
      <c r="E1180" s="6">
        <f>Calc_Formulas!AE1176</f>
        <v>0</v>
      </c>
      <c r="F1180" s="6">
        <f>Calc_Formulas!AF1176</f>
        <v>0</v>
      </c>
      <c r="G1180" s="6">
        <f>Calc_Formulas!AG1176</f>
        <v>0</v>
      </c>
    </row>
    <row r="1181" spans="1:7">
      <c r="A1181" s="6">
        <f>Calc_Formulas!A1177</f>
        <v>0</v>
      </c>
      <c r="B1181" s="7">
        <f>Calc_Formulas!AH1177</f>
        <v>0</v>
      </c>
      <c r="C1181" s="7">
        <f>Calc_Formulas!AI1177</f>
        <v>0</v>
      </c>
      <c r="D1181" s="7">
        <f>Calc_Formulas!AJ1177</f>
        <v>0</v>
      </c>
      <c r="E1181" s="6">
        <f>Calc_Formulas!AE1177</f>
        <v>0</v>
      </c>
      <c r="F1181" s="6">
        <f>Calc_Formulas!AF1177</f>
        <v>0</v>
      </c>
      <c r="G1181" s="6">
        <f>Calc_Formulas!AG1177</f>
        <v>0</v>
      </c>
    </row>
    <row r="1182" spans="1:7">
      <c r="A1182" s="6">
        <f>Calc_Formulas!A1178</f>
        <v>0</v>
      </c>
      <c r="B1182" s="7">
        <f>Calc_Formulas!AH1178</f>
        <v>0</v>
      </c>
      <c r="C1182" s="7">
        <f>Calc_Formulas!AI1178</f>
        <v>0</v>
      </c>
      <c r="D1182" s="7">
        <f>Calc_Formulas!AJ1178</f>
        <v>0</v>
      </c>
      <c r="E1182" s="6">
        <f>Calc_Formulas!AE1178</f>
        <v>0</v>
      </c>
      <c r="F1182" s="6">
        <f>Calc_Formulas!AF1178</f>
        <v>0</v>
      </c>
      <c r="G1182" s="6">
        <f>Calc_Formulas!AG1178</f>
        <v>0</v>
      </c>
    </row>
    <row r="1183" spans="1:7">
      <c r="A1183" s="6">
        <f>Calc_Formulas!A1179</f>
        <v>0</v>
      </c>
      <c r="B1183" s="7">
        <f>Calc_Formulas!AH1179</f>
        <v>0</v>
      </c>
      <c r="C1183" s="7">
        <f>Calc_Formulas!AI1179</f>
        <v>0</v>
      </c>
      <c r="D1183" s="7">
        <f>Calc_Formulas!AJ1179</f>
        <v>0</v>
      </c>
      <c r="E1183" s="6">
        <f>Calc_Formulas!AE1179</f>
        <v>0</v>
      </c>
      <c r="F1183" s="6">
        <f>Calc_Formulas!AF1179</f>
        <v>0</v>
      </c>
      <c r="G1183" s="6">
        <f>Calc_Formulas!AG1179</f>
        <v>0</v>
      </c>
    </row>
    <row r="1184" spans="1:7">
      <c r="A1184" s="6">
        <f>Calc_Formulas!A1180</f>
        <v>0</v>
      </c>
      <c r="B1184" s="7">
        <f>Calc_Formulas!AH1180</f>
        <v>0</v>
      </c>
      <c r="C1184" s="7">
        <f>Calc_Formulas!AI1180</f>
        <v>0</v>
      </c>
      <c r="D1184" s="7">
        <f>Calc_Formulas!AJ1180</f>
        <v>0</v>
      </c>
      <c r="E1184" s="6">
        <f>Calc_Formulas!AE1180</f>
        <v>0</v>
      </c>
      <c r="F1184" s="6">
        <f>Calc_Formulas!AF1180</f>
        <v>0</v>
      </c>
      <c r="G1184" s="6">
        <f>Calc_Formulas!AG1180</f>
        <v>0</v>
      </c>
    </row>
    <row r="1185" spans="1:7">
      <c r="A1185" s="6">
        <f>Calc_Formulas!A1181</f>
        <v>0</v>
      </c>
      <c r="B1185" s="7">
        <f>Calc_Formulas!AH1181</f>
        <v>0</v>
      </c>
      <c r="C1185" s="7">
        <f>Calc_Formulas!AI1181</f>
        <v>0</v>
      </c>
      <c r="D1185" s="7">
        <f>Calc_Formulas!AJ1181</f>
        <v>0</v>
      </c>
      <c r="E1185" s="6">
        <f>Calc_Formulas!AE1181</f>
        <v>0</v>
      </c>
      <c r="F1185" s="6">
        <f>Calc_Formulas!AF1181</f>
        <v>0</v>
      </c>
      <c r="G1185" s="6">
        <f>Calc_Formulas!AG1181</f>
        <v>0</v>
      </c>
    </row>
    <row r="1186" spans="1:7">
      <c r="A1186" s="6">
        <f>Calc_Formulas!A1182</f>
        <v>0</v>
      </c>
      <c r="B1186" s="7">
        <f>Calc_Formulas!AH1182</f>
        <v>0</v>
      </c>
      <c r="C1186" s="7">
        <f>Calc_Formulas!AI1182</f>
        <v>0</v>
      </c>
      <c r="D1186" s="7">
        <f>Calc_Formulas!AJ1182</f>
        <v>0</v>
      </c>
      <c r="E1186" s="6">
        <f>Calc_Formulas!AE1182</f>
        <v>0</v>
      </c>
      <c r="F1186" s="6">
        <f>Calc_Formulas!AF1182</f>
        <v>0</v>
      </c>
      <c r="G1186" s="6">
        <f>Calc_Formulas!AG1182</f>
        <v>0</v>
      </c>
    </row>
    <row r="1187" spans="1:7">
      <c r="A1187" s="6">
        <f>Calc_Formulas!A1183</f>
        <v>0</v>
      </c>
      <c r="B1187" s="7">
        <f>Calc_Formulas!AH1183</f>
        <v>0</v>
      </c>
      <c r="C1187" s="7">
        <f>Calc_Formulas!AI1183</f>
        <v>0</v>
      </c>
      <c r="D1187" s="7">
        <f>Calc_Formulas!AJ1183</f>
        <v>0</v>
      </c>
      <c r="E1187" s="6">
        <f>Calc_Formulas!AE1183</f>
        <v>0</v>
      </c>
      <c r="F1187" s="6">
        <f>Calc_Formulas!AF1183</f>
        <v>0</v>
      </c>
      <c r="G1187" s="6">
        <f>Calc_Formulas!AG1183</f>
        <v>0</v>
      </c>
    </row>
    <row r="1188" spans="1:7">
      <c r="A1188" s="6">
        <f>Calc_Formulas!A1184</f>
        <v>0</v>
      </c>
      <c r="B1188" s="7">
        <f>Calc_Formulas!AH1184</f>
        <v>0</v>
      </c>
      <c r="C1188" s="7">
        <f>Calc_Formulas!AI1184</f>
        <v>0</v>
      </c>
      <c r="D1188" s="7">
        <f>Calc_Formulas!AJ1184</f>
        <v>0</v>
      </c>
      <c r="E1188" s="6">
        <f>Calc_Formulas!AE1184</f>
        <v>0</v>
      </c>
      <c r="F1188" s="6">
        <f>Calc_Formulas!AF1184</f>
        <v>0</v>
      </c>
      <c r="G1188" s="6">
        <f>Calc_Formulas!AG1184</f>
        <v>0</v>
      </c>
    </row>
    <row r="1189" spans="1:7">
      <c r="A1189" s="6">
        <f>Calc_Formulas!A1185</f>
        <v>0</v>
      </c>
      <c r="B1189" s="7">
        <f>Calc_Formulas!AH1185</f>
        <v>0</v>
      </c>
      <c r="C1189" s="7">
        <f>Calc_Formulas!AI1185</f>
        <v>0</v>
      </c>
      <c r="D1189" s="7">
        <f>Calc_Formulas!AJ1185</f>
        <v>0</v>
      </c>
      <c r="E1189" s="6">
        <f>Calc_Formulas!AE1185</f>
        <v>0</v>
      </c>
      <c r="F1189" s="6">
        <f>Calc_Formulas!AF1185</f>
        <v>0</v>
      </c>
      <c r="G1189" s="6">
        <f>Calc_Formulas!AG1185</f>
        <v>0</v>
      </c>
    </row>
    <row r="1190" spans="1:7">
      <c r="A1190" s="6">
        <f>Calc_Formulas!A1186</f>
        <v>0</v>
      </c>
      <c r="B1190" s="7">
        <f>Calc_Formulas!AH1186</f>
        <v>0</v>
      </c>
      <c r="C1190" s="7">
        <f>Calc_Formulas!AI1186</f>
        <v>0</v>
      </c>
      <c r="D1190" s="7">
        <f>Calc_Formulas!AJ1186</f>
        <v>0</v>
      </c>
      <c r="E1190" s="6">
        <f>Calc_Formulas!AE1186</f>
        <v>0</v>
      </c>
      <c r="F1190" s="6">
        <f>Calc_Formulas!AF1186</f>
        <v>0</v>
      </c>
      <c r="G1190" s="6">
        <f>Calc_Formulas!AG1186</f>
        <v>0</v>
      </c>
    </row>
    <row r="1191" spans="1:7">
      <c r="A1191" s="6">
        <f>Calc_Formulas!A1187</f>
        <v>0</v>
      </c>
      <c r="B1191" s="7">
        <f>Calc_Formulas!AH1187</f>
        <v>0</v>
      </c>
      <c r="C1191" s="7">
        <f>Calc_Formulas!AI1187</f>
        <v>0</v>
      </c>
      <c r="D1191" s="7">
        <f>Calc_Formulas!AJ1187</f>
        <v>0</v>
      </c>
      <c r="E1191" s="6">
        <f>Calc_Formulas!AE1187</f>
        <v>0</v>
      </c>
      <c r="F1191" s="6">
        <f>Calc_Formulas!AF1187</f>
        <v>0</v>
      </c>
      <c r="G1191" s="6">
        <f>Calc_Formulas!AG1187</f>
        <v>0</v>
      </c>
    </row>
    <row r="1192" spans="1:7">
      <c r="A1192" s="6">
        <f>Calc_Formulas!A1188</f>
        <v>0</v>
      </c>
      <c r="B1192" s="7">
        <f>Calc_Formulas!AH1188</f>
        <v>0</v>
      </c>
      <c r="C1192" s="7">
        <f>Calc_Formulas!AI1188</f>
        <v>0</v>
      </c>
      <c r="D1192" s="7">
        <f>Calc_Formulas!AJ1188</f>
        <v>0</v>
      </c>
      <c r="E1192" s="6">
        <f>Calc_Formulas!AE1188</f>
        <v>0</v>
      </c>
      <c r="F1192" s="6">
        <f>Calc_Formulas!AF1188</f>
        <v>0</v>
      </c>
      <c r="G1192" s="6">
        <f>Calc_Formulas!AG1188</f>
        <v>0</v>
      </c>
    </row>
    <row r="1193" spans="1:7">
      <c r="A1193" s="6">
        <f>Calc_Formulas!A1189</f>
        <v>0</v>
      </c>
      <c r="B1193" s="7">
        <f>Calc_Formulas!AH1189</f>
        <v>0</v>
      </c>
      <c r="C1193" s="7">
        <f>Calc_Formulas!AI1189</f>
        <v>0</v>
      </c>
      <c r="D1193" s="7">
        <f>Calc_Formulas!AJ1189</f>
        <v>0</v>
      </c>
      <c r="E1193" s="6">
        <f>Calc_Formulas!AE1189</f>
        <v>0</v>
      </c>
      <c r="F1193" s="6">
        <f>Calc_Formulas!AF1189</f>
        <v>0</v>
      </c>
      <c r="G1193" s="6">
        <f>Calc_Formulas!AG1189</f>
        <v>0</v>
      </c>
    </row>
    <row r="1194" spans="1:7">
      <c r="A1194" s="6">
        <f>Calc_Formulas!A1190</f>
        <v>0</v>
      </c>
      <c r="B1194" s="7">
        <f>Calc_Formulas!AH1190</f>
        <v>0</v>
      </c>
      <c r="C1194" s="7">
        <f>Calc_Formulas!AI1190</f>
        <v>0</v>
      </c>
      <c r="D1194" s="7">
        <f>Calc_Formulas!AJ1190</f>
        <v>0</v>
      </c>
      <c r="E1194" s="6">
        <f>Calc_Formulas!AE1190</f>
        <v>0</v>
      </c>
      <c r="F1194" s="6">
        <f>Calc_Formulas!AF1190</f>
        <v>0</v>
      </c>
      <c r="G1194" s="6">
        <f>Calc_Formulas!AG1190</f>
        <v>0</v>
      </c>
    </row>
    <row r="1195" spans="1:7">
      <c r="A1195" s="6">
        <f>Calc_Formulas!A1191</f>
        <v>0</v>
      </c>
      <c r="B1195" s="7">
        <f>Calc_Formulas!AH1191</f>
        <v>0</v>
      </c>
      <c r="C1195" s="7">
        <f>Calc_Formulas!AI1191</f>
        <v>0</v>
      </c>
      <c r="D1195" s="7">
        <f>Calc_Formulas!AJ1191</f>
        <v>0</v>
      </c>
      <c r="E1195" s="6">
        <f>Calc_Formulas!AE1191</f>
        <v>0</v>
      </c>
      <c r="F1195" s="6">
        <f>Calc_Formulas!AF1191</f>
        <v>0</v>
      </c>
      <c r="G1195" s="6">
        <f>Calc_Formulas!AG1191</f>
        <v>0</v>
      </c>
    </row>
    <row r="1196" spans="1:7">
      <c r="A1196" s="6">
        <f>Calc_Formulas!A1192</f>
        <v>0</v>
      </c>
      <c r="B1196" s="7">
        <f>Calc_Formulas!AH1192</f>
        <v>0</v>
      </c>
      <c r="C1196" s="7">
        <f>Calc_Formulas!AI1192</f>
        <v>0</v>
      </c>
      <c r="D1196" s="7">
        <f>Calc_Formulas!AJ1192</f>
        <v>0</v>
      </c>
      <c r="E1196" s="6">
        <f>Calc_Formulas!AE1192</f>
        <v>0</v>
      </c>
      <c r="F1196" s="6">
        <f>Calc_Formulas!AF1192</f>
        <v>0</v>
      </c>
      <c r="G1196" s="6">
        <f>Calc_Formulas!AG1192</f>
        <v>0</v>
      </c>
    </row>
    <row r="1197" spans="1:7">
      <c r="A1197" s="6">
        <f>Calc_Formulas!A1193</f>
        <v>0</v>
      </c>
      <c r="B1197" s="7">
        <f>Calc_Formulas!AH1193</f>
        <v>0</v>
      </c>
      <c r="C1197" s="7">
        <f>Calc_Formulas!AI1193</f>
        <v>0</v>
      </c>
      <c r="D1197" s="7">
        <f>Calc_Formulas!AJ1193</f>
        <v>0</v>
      </c>
      <c r="E1197" s="6">
        <f>Calc_Formulas!AE1193</f>
        <v>0</v>
      </c>
      <c r="F1197" s="6">
        <f>Calc_Formulas!AF1193</f>
        <v>0</v>
      </c>
      <c r="G1197" s="6">
        <f>Calc_Formulas!AG1193</f>
        <v>0</v>
      </c>
    </row>
    <row r="1198" spans="1:7">
      <c r="A1198" s="6">
        <f>Calc_Formulas!A1194</f>
        <v>0</v>
      </c>
      <c r="B1198" s="7">
        <f>Calc_Formulas!AH1194</f>
        <v>0</v>
      </c>
      <c r="C1198" s="7">
        <f>Calc_Formulas!AI1194</f>
        <v>0</v>
      </c>
      <c r="D1198" s="7">
        <f>Calc_Formulas!AJ1194</f>
        <v>0</v>
      </c>
      <c r="E1198" s="6">
        <f>Calc_Formulas!AE1194</f>
        <v>0</v>
      </c>
      <c r="F1198" s="6">
        <f>Calc_Formulas!AF1194</f>
        <v>0</v>
      </c>
      <c r="G1198" s="6">
        <f>Calc_Formulas!AG1194</f>
        <v>0</v>
      </c>
    </row>
    <row r="1199" spans="1:7">
      <c r="A1199" s="6">
        <f>Calc_Formulas!A1195</f>
        <v>0</v>
      </c>
      <c r="B1199" s="7">
        <f>Calc_Formulas!AH1195</f>
        <v>0</v>
      </c>
      <c r="C1199" s="7">
        <f>Calc_Formulas!AI1195</f>
        <v>0</v>
      </c>
      <c r="D1199" s="7">
        <f>Calc_Formulas!AJ1195</f>
        <v>0</v>
      </c>
      <c r="E1199" s="6">
        <f>Calc_Formulas!AE1195</f>
        <v>0</v>
      </c>
      <c r="F1199" s="6">
        <f>Calc_Formulas!AF1195</f>
        <v>0</v>
      </c>
      <c r="G1199" s="6">
        <f>Calc_Formulas!AG1195</f>
        <v>0</v>
      </c>
    </row>
    <row r="1200" spans="1:7">
      <c r="A1200" s="6">
        <f>Calc_Formulas!A1196</f>
        <v>0</v>
      </c>
      <c r="B1200" s="7">
        <f>Calc_Formulas!AH1196</f>
        <v>0</v>
      </c>
      <c r="C1200" s="7">
        <f>Calc_Formulas!AI1196</f>
        <v>0</v>
      </c>
      <c r="D1200" s="7">
        <f>Calc_Formulas!AJ1196</f>
        <v>0</v>
      </c>
      <c r="E1200" s="6">
        <f>Calc_Formulas!AE1196</f>
        <v>0</v>
      </c>
      <c r="F1200" s="6">
        <f>Calc_Formulas!AF1196</f>
        <v>0</v>
      </c>
      <c r="G1200" s="6">
        <f>Calc_Formulas!AG1196</f>
        <v>0</v>
      </c>
    </row>
    <row r="1201" spans="1:7">
      <c r="A1201" s="6">
        <f>Calc_Formulas!A1197</f>
        <v>0</v>
      </c>
      <c r="B1201" s="7">
        <f>Calc_Formulas!AH1197</f>
        <v>0</v>
      </c>
      <c r="C1201" s="7">
        <f>Calc_Formulas!AI1197</f>
        <v>0</v>
      </c>
      <c r="D1201" s="7">
        <f>Calc_Formulas!AJ1197</f>
        <v>0</v>
      </c>
      <c r="E1201" s="6">
        <f>Calc_Formulas!AE1197</f>
        <v>0</v>
      </c>
      <c r="F1201" s="6">
        <f>Calc_Formulas!AF1197</f>
        <v>0</v>
      </c>
      <c r="G1201" s="6">
        <f>Calc_Formulas!AG1197</f>
        <v>0</v>
      </c>
    </row>
    <row r="1202" spans="1:7">
      <c r="A1202" s="6">
        <f>Calc_Formulas!A1198</f>
        <v>0</v>
      </c>
      <c r="B1202" s="7">
        <f>Calc_Formulas!AH1198</f>
        <v>0</v>
      </c>
      <c r="C1202" s="7">
        <f>Calc_Formulas!AI1198</f>
        <v>0</v>
      </c>
      <c r="D1202" s="7">
        <f>Calc_Formulas!AJ1198</f>
        <v>0</v>
      </c>
      <c r="E1202" s="6">
        <f>Calc_Formulas!AE1198</f>
        <v>0</v>
      </c>
      <c r="F1202" s="6">
        <f>Calc_Formulas!AF1198</f>
        <v>0</v>
      </c>
      <c r="G1202" s="6">
        <f>Calc_Formulas!AG1198</f>
        <v>0</v>
      </c>
    </row>
    <row r="1203" spans="1:7">
      <c r="A1203" s="6">
        <f>Calc_Formulas!A1199</f>
        <v>0</v>
      </c>
      <c r="B1203" s="7">
        <f>Calc_Formulas!AH1199</f>
        <v>0</v>
      </c>
      <c r="C1203" s="7">
        <f>Calc_Formulas!AI1199</f>
        <v>0</v>
      </c>
      <c r="D1203" s="7">
        <f>Calc_Formulas!AJ1199</f>
        <v>0</v>
      </c>
      <c r="E1203" s="6">
        <f>Calc_Formulas!AE1199</f>
        <v>0</v>
      </c>
      <c r="F1203" s="6">
        <f>Calc_Formulas!AF1199</f>
        <v>0</v>
      </c>
      <c r="G1203" s="6">
        <f>Calc_Formulas!AG1199</f>
        <v>0</v>
      </c>
    </row>
    <row r="1204" spans="1:7">
      <c r="A1204" s="6">
        <f>Calc_Formulas!A1200</f>
        <v>0</v>
      </c>
      <c r="B1204" s="7">
        <f>Calc_Formulas!AH1200</f>
        <v>0</v>
      </c>
      <c r="C1204" s="7">
        <f>Calc_Formulas!AI1200</f>
        <v>0</v>
      </c>
      <c r="D1204" s="7">
        <f>Calc_Formulas!AJ1200</f>
        <v>0</v>
      </c>
      <c r="E1204" s="6">
        <f>Calc_Formulas!AE1200</f>
        <v>0</v>
      </c>
      <c r="F1204" s="6">
        <f>Calc_Formulas!AF1200</f>
        <v>0</v>
      </c>
      <c r="G1204" s="6">
        <f>Calc_Formulas!AG1200</f>
        <v>0</v>
      </c>
    </row>
    <row r="1205" spans="1:7">
      <c r="A1205" s="6">
        <f>Calc_Formulas!A1201</f>
        <v>0</v>
      </c>
      <c r="B1205" s="7">
        <f>Calc_Formulas!AH1201</f>
        <v>0</v>
      </c>
      <c r="C1205" s="7">
        <f>Calc_Formulas!AI1201</f>
        <v>0</v>
      </c>
      <c r="D1205" s="7">
        <f>Calc_Formulas!AJ1201</f>
        <v>0</v>
      </c>
      <c r="E1205" s="6">
        <f>Calc_Formulas!AE1201</f>
        <v>0</v>
      </c>
      <c r="F1205" s="6">
        <f>Calc_Formulas!AF1201</f>
        <v>0</v>
      </c>
      <c r="G1205" s="6">
        <f>Calc_Formulas!AG1201</f>
        <v>0</v>
      </c>
    </row>
    <row r="1206" spans="1:7">
      <c r="A1206" s="6">
        <f>Calc_Formulas!A1202</f>
        <v>0</v>
      </c>
      <c r="B1206" s="7">
        <f>Calc_Formulas!AH1202</f>
        <v>0</v>
      </c>
      <c r="C1206" s="7">
        <f>Calc_Formulas!AI1202</f>
        <v>0</v>
      </c>
      <c r="D1206" s="7">
        <f>Calc_Formulas!AJ1202</f>
        <v>0</v>
      </c>
      <c r="E1206" s="6">
        <f>Calc_Formulas!AE1202</f>
        <v>0</v>
      </c>
      <c r="F1206" s="6">
        <f>Calc_Formulas!AF1202</f>
        <v>0</v>
      </c>
      <c r="G1206" s="6">
        <f>Calc_Formulas!AG1202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7" width="15.7109375" customWidth="1"/>
  </cols>
  <sheetData>
    <row r="1" spans="1:7">
      <c r="A1" s="4" t="s">
        <v>107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</row>
    <row r="2" spans="1:7">
      <c r="A2" s="6">
        <v>100</v>
      </c>
      <c r="B2" s="6">
        <v>0.9877480483058596</v>
      </c>
      <c r="C2" s="6">
        <v>0.9877480483058596</v>
      </c>
      <c r="D2" s="6">
        <v>0.9877480483058596</v>
      </c>
      <c r="E2" s="7">
        <v>119.8929236046129</v>
      </c>
      <c r="F2" s="7">
        <v>119.8929236046129</v>
      </c>
      <c r="G2" s="7">
        <v>119.8929236046129</v>
      </c>
    </row>
    <row r="3" spans="1:7">
      <c r="A3" s="6">
        <v>101.1579454259898</v>
      </c>
      <c r="B3" s="6">
        <v>0.9877507256398436</v>
      </c>
      <c r="C3" s="6">
        <v>0.9877507256398436</v>
      </c>
      <c r="D3" s="6">
        <v>0.9877507256398436</v>
      </c>
      <c r="E3" s="7">
        <v>119.8929471480621</v>
      </c>
      <c r="F3" s="7">
        <v>119.8929471480621</v>
      </c>
      <c r="G3" s="7">
        <v>119.8929471480621</v>
      </c>
    </row>
    <row r="4" spans="1:7">
      <c r="A4" s="6">
        <v>102.3292992280754</v>
      </c>
      <c r="B4" s="6">
        <v>0.9877534653469048</v>
      </c>
      <c r="C4" s="6">
        <v>0.9877534653469048</v>
      </c>
      <c r="D4" s="6">
        <v>0.9877534653469048</v>
      </c>
      <c r="E4" s="7">
        <v>119.8929712399302</v>
      </c>
      <c r="F4" s="7">
        <v>119.8929712399302</v>
      </c>
      <c r="G4" s="7">
        <v>119.8929712399302</v>
      </c>
    </row>
    <row r="5" spans="1:7">
      <c r="A5" s="6">
        <v>103.5142166679344</v>
      </c>
      <c r="B5" s="6">
        <v>0.9877562688803676</v>
      </c>
      <c r="C5" s="6">
        <v>0.9877562688803676</v>
      </c>
      <c r="D5" s="6">
        <v>0.9877562688803676</v>
      </c>
      <c r="E5" s="7">
        <v>119.8929958929925</v>
      </c>
      <c r="F5" s="7">
        <v>119.8929958929925</v>
      </c>
      <c r="G5" s="7">
        <v>119.8929958929925</v>
      </c>
    </row>
    <row r="6" spans="1:7">
      <c r="A6" s="6">
        <v>104.71285480509</v>
      </c>
      <c r="B6" s="6">
        <v>0.9877591377274313</v>
      </c>
      <c r="C6" s="6">
        <v>0.9877591377274313</v>
      </c>
      <c r="D6" s="6">
        <v>0.9877591377274313</v>
      </c>
      <c r="E6" s="7">
        <v>119.8930211203219</v>
      </c>
      <c r="F6" s="7">
        <v>119.8930211203219</v>
      </c>
      <c r="G6" s="7">
        <v>119.8930211203219</v>
      </c>
    </row>
    <row r="7" spans="1:7">
      <c r="A7" s="6">
        <v>105.9253725177289</v>
      </c>
      <c r="B7" s="6">
        <v>0.9877620734099596</v>
      </c>
      <c r="C7" s="6">
        <v>0.9877620734099596</v>
      </c>
      <c r="D7" s="6">
        <v>0.9877620734099596</v>
      </c>
      <c r="E7" s="7">
        <v>119.893046935296</v>
      </c>
      <c r="F7" s="7">
        <v>119.893046935296</v>
      </c>
      <c r="G7" s="7">
        <v>119.893046935296</v>
      </c>
    </row>
    <row r="8" spans="1:7">
      <c r="A8" s="6">
        <v>107.1519305237606</v>
      </c>
      <c r="B8" s="6">
        <v>0.9877650774852892</v>
      </c>
      <c r="C8" s="6">
        <v>0.9877650774852892</v>
      </c>
      <c r="D8" s="6">
        <v>0.9877650774852892</v>
      </c>
      <c r="E8" s="7">
        <v>119.8930733516039</v>
      </c>
      <c r="F8" s="7">
        <v>119.8930733516039</v>
      </c>
      <c r="G8" s="7">
        <v>119.8930733516039</v>
      </c>
    </row>
    <row r="9" spans="1:7">
      <c r="A9" s="6">
        <v>108.3926914021204</v>
      </c>
      <c r="B9" s="6">
        <v>0.9877681515470575</v>
      </c>
      <c r="C9" s="6">
        <v>0.9877681515470575</v>
      </c>
      <c r="D9" s="6">
        <v>0.9877681515470575</v>
      </c>
      <c r="E9" s="7">
        <v>119.8931003832538</v>
      </c>
      <c r="F9" s="7">
        <v>119.8931003832538</v>
      </c>
      <c r="G9" s="7">
        <v>119.8931003832538</v>
      </c>
    </row>
    <row r="10" spans="1:7">
      <c r="A10" s="6">
        <v>109.6478196143185</v>
      </c>
      <c r="B10" s="6">
        <v>0.9877712972260491</v>
      </c>
      <c r="C10" s="6">
        <v>0.9877712972260491</v>
      </c>
      <c r="D10" s="6">
        <v>0.9877712972260491</v>
      </c>
      <c r="E10" s="7">
        <v>119.89312804458</v>
      </c>
      <c r="F10" s="7">
        <v>119.89312804458</v>
      </c>
      <c r="G10" s="7">
        <v>119.89312804458</v>
      </c>
    </row>
    <row r="11" spans="1:7">
      <c r="A11" s="6">
        <v>110.9174815262401</v>
      </c>
      <c r="B11" s="6">
        <v>0.9877745161910614</v>
      </c>
      <c r="C11" s="6">
        <v>0.9877745161910614</v>
      </c>
      <c r="D11" s="6">
        <v>0.9877745161910614</v>
      </c>
      <c r="E11" s="7">
        <v>119.8931563502509</v>
      </c>
      <c r="F11" s="7">
        <v>119.8931563502509</v>
      </c>
      <c r="G11" s="7">
        <v>119.8931563502509</v>
      </c>
    </row>
    <row r="12" spans="1:7">
      <c r="A12" s="6">
        <v>112.2018454301963</v>
      </c>
      <c r="B12" s="6">
        <v>0.9877778101497934</v>
      </c>
      <c r="C12" s="6">
        <v>0.9877778101497934</v>
      </c>
      <c r="D12" s="6">
        <v>0.9877778101497934</v>
      </c>
      <c r="E12" s="7">
        <v>119.8931853152767</v>
      </c>
      <c r="F12" s="7">
        <v>119.8931853152767</v>
      </c>
      <c r="G12" s="7">
        <v>119.8931853152767</v>
      </c>
    </row>
    <row r="13" spans="1:7">
      <c r="A13" s="6">
        <v>113.5010815672316</v>
      </c>
      <c r="B13" s="6">
        <v>0.9877811808497522</v>
      </c>
      <c r="C13" s="6">
        <v>0.9877811808497522</v>
      </c>
      <c r="D13" s="6">
        <v>0.9877811808497522</v>
      </c>
      <c r="E13" s="7">
        <v>119.8932149550171</v>
      </c>
      <c r="F13" s="7">
        <v>119.8932149550171</v>
      </c>
      <c r="G13" s="7">
        <v>119.8932149550171</v>
      </c>
    </row>
    <row r="14" spans="1:7">
      <c r="A14" s="6">
        <v>114.8153621496883</v>
      </c>
      <c r="B14" s="6">
        <v>0.987784630079179</v>
      </c>
      <c r="C14" s="6">
        <v>0.987784630079179</v>
      </c>
      <c r="D14" s="6">
        <v>0.987784630079179</v>
      </c>
      <c r="E14" s="7">
        <v>119.8932452851898</v>
      </c>
      <c r="F14" s="7">
        <v>119.8932452851898</v>
      </c>
      <c r="G14" s="7">
        <v>119.8932452851898</v>
      </c>
    </row>
    <row r="15" spans="1:7">
      <c r="A15" s="6">
        <v>116.1448613840343</v>
      </c>
      <c r="B15" s="6">
        <v>0.987788159668006</v>
      </c>
      <c r="C15" s="6">
        <v>0.987788159668006</v>
      </c>
      <c r="D15" s="6">
        <v>0.987788159668006</v>
      </c>
      <c r="E15" s="7">
        <v>119.8932763218787</v>
      </c>
      <c r="F15" s="7">
        <v>119.8932763218787</v>
      </c>
      <c r="G15" s="7">
        <v>119.8932763218787</v>
      </c>
    </row>
    <row r="16" spans="1:7">
      <c r="A16" s="6">
        <v>117.4897554939529</v>
      </c>
      <c r="B16" s="6">
        <v>0.9877917714888219</v>
      </c>
      <c r="C16" s="6">
        <v>0.9877917714888219</v>
      </c>
      <c r="D16" s="6">
        <v>0.9877917714888219</v>
      </c>
      <c r="E16" s="7">
        <v>119.8933080815423</v>
      </c>
      <c r="F16" s="7">
        <v>119.8933080815423</v>
      </c>
      <c r="G16" s="7">
        <v>119.8933080815423</v>
      </c>
    </row>
    <row r="17" spans="1:7">
      <c r="A17" s="6">
        <v>118.8502227437019</v>
      </c>
      <c r="B17" s="6">
        <v>0.9877954674578714</v>
      </c>
      <c r="C17" s="6">
        <v>0.9877954674578714</v>
      </c>
      <c r="D17" s="6">
        <v>0.9877954674578714</v>
      </c>
      <c r="E17" s="7">
        <v>119.8933405810226</v>
      </c>
      <c r="F17" s="7">
        <v>119.8933405810226</v>
      </c>
      <c r="G17" s="7">
        <v>119.8933405810226</v>
      </c>
    </row>
    <row r="18" spans="1:7">
      <c r="A18" s="6">
        <v>120.2264434617413</v>
      </c>
      <c r="B18" s="6">
        <v>0.9877992495360728</v>
      </c>
      <c r="C18" s="6">
        <v>0.9877992495360728</v>
      </c>
      <c r="D18" s="6">
        <v>0.9877992495360728</v>
      </c>
      <c r="E18" s="7">
        <v>119.893373837554</v>
      </c>
      <c r="F18" s="7">
        <v>119.893373837554</v>
      </c>
      <c r="G18" s="7">
        <v>119.893373837554</v>
      </c>
    </row>
    <row r="19" spans="1:7">
      <c r="A19" s="6">
        <v>121.6186000646368</v>
      </c>
      <c r="B19" s="6">
        <v>0.9878031197300603</v>
      </c>
      <c r="C19" s="6">
        <v>0.9878031197300603</v>
      </c>
      <c r="D19" s="6">
        <v>0.9878031197300603</v>
      </c>
      <c r="E19" s="7">
        <v>119.8934078687724</v>
      </c>
      <c r="F19" s="7">
        <v>119.8934078687724</v>
      </c>
      <c r="G19" s="7">
        <v>119.8934078687724</v>
      </c>
    </row>
    <row r="20" spans="1:7">
      <c r="A20" s="6">
        <v>123.0268770812381</v>
      </c>
      <c r="B20" s="6">
        <v>0.98780708009325</v>
      </c>
      <c r="C20" s="6">
        <v>0.98780708009325</v>
      </c>
      <c r="D20" s="6">
        <v>0.98780708009325</v>
      </c>
      <c r="E20" s="7">
        <v>119.8934426927246</v>
      </c>
      <c r="F20" s="7">
        <v>119.8934426927246</v>
      </c>
      <c r="G20" s="7">
        <v>119.8934426927246</v>
      </c>
    </row>
    <row r="21" spans="1:7">
      <c r="A21" s="6">
        <v>124.4514611771386</v>
      </c>
      <c r="B21" s="6">
        <v>0.9878111327269341</v>
      </c>
      <c r="C21" s="6">
        <v>0.9878111327269341</v>
      </c>
      <c r="D21" s="6">
        <v>0.9878111327269341</v>
      </c>
      <c r="E21" s="7">
        <v>119.8934783278779</v>
      </c>
      <c r="F21" s="7">
        <v>119.8934783278779</v>
      </c>
      <c r="G21" s="7">
        <v>119.8934783278779</v>
      </c>
    </row>
    <row r="22" spans="1:7">
      <c r="A22" s="6">
        <v>125.8925411794168</v>
      </c>
      <c r="B22" s="6">
        <v>0.9878152797813944</v>
      </c>
      <c r="C22" s="6">
        <v>0.9878152797813944</v>
      </c>
      <c r="D22" s="6">
        <v>0.9878152797813944</v>
      </c>
      <c r="E22" s="7">
        <v>119.8935147931298</v>
      </c>
      <c r="F22" s="7">
        <v>119.8935147931298</v>
      </c>
      <c r="G22" s="7">
        <v>119.8935147931298</v>
      </c>
    </row>
    <row r="23" spans="1:7">
      <c r="A23" s="6">
        <v>127.3503081016662</v>
      </c>
      <c r="B23" s="6">
        <v>0.9878195234570488</v>
      </c>
      <c r="C23" s="6">
        <v>0.9878195234570488</v>
      </c>
      <c r="D23" s="6">
        <v>0.9878195234570488</v>
      </c>
      <c r="E23" s="7">
        <v>119.893552107818</v>
      </c>
      <c r="F23" s="7">
        <v>119.893552107818</v>
      </c>
      <c r="G23" s="7">
        <v>119.893552107818</v>
      </c>
    </row>
    <row r="24" spans="1:7">
      <c r="A24" s="6">
        <v>128.8249551693134</v>
      </c>
      <c r="B24" s="6">
        <v>0.9878238660056199</v>
      </c>
      <c r="C24" s="6">
        <v>0.9878238660056199</v>
      </c>
      <c r="D24" s="6">
        <v>0.9878238660056199</v>
      </c>
      <c r="E24" s="7">
        <v>119.893590291731</v>
      </c>
      <c r="F24" s="7">
        <v>119.893590291731</v>
      </c>
      <c r="G24" s="7">
        <v>119.893590291731</v>
      </c>
    </row>
    <row r="25" spans="1:7">
      <c r="A25" s="6">
        <v>130.31667784523</v>
      </c>
      <c r="B25" s="6">
        <v>0.9878283097313325</v>
      </c>
      <c r="C25" s="6">
        <v>0.9878283097313325</v>
      </c>
      <c r="D25" s="6">
        <v>0.9878283097313325</v>
      </c>
      <c r="E25" s="7">
        <v>119.8936293651181</v>
      </c>
      <c r="F25" s="7">
        <v>119.8936293651181</v>
      </c>
      <c r="G25" s="7">
        <v>119.8936293651181</v>
      </c>
    </row>
    <row r="26" spans="1:7">
      <c r="A26" s="6">
        <v>131.8256738556407</v>
      </c>
      <c r="B26" s="6">
        <v>0.9878328569921396</v>
      </c>
      <c r="C26" s="6">
        <v>0.9878328569921396</v>
      </c>
      <c r="D26" s="6">
        <v>0.9878328569921396</v>
      </c>
      <c r="E26" s="7">
        <v>119.8936693487005</v>
      </c>
      <c r="F26" s="7">
        <v>119.8936693487005</v>
      </c>
      <c r="G26" s="7">
        <v>119.8936693487005</v>
      </c>
    </row>
    <row r="27" spans="1:7">
      <c r="A27" s="6">
        <v>133.3521432163324</v>
      </c>
      <c r="B27" s="6">
        <v>0.9878375102009757</v>
      </c>
      <c r="C27" s="6">
        <v>0.9878375102009757</v>
      </c>
      <c r="D27" s="6">
        <v>0.9878375102009757</v>
      </c>
      <c r="E27" s="7">
        <v>119.8937102636822</v>
      </c>
      <c r="F27" s="7">
        <v>119.8937102636822</v>
      </c>
      <c r="G27" s="7">
        <v>119.8937102636822</v>
      </c>
    </row>
    <row r="28" spans="1:7">
      <c r="A28" s="6">
        <v>134.8962882591653</v>
      </c>
      <c r="B28" s="6">
        <v>0.9878422718270414</v>
      </c>
      <c r="C28" s="6">
        <v>0.9878422718270414</v>
      </c>
      <c r="D28" s="6">
        <v>0.9878422718270414</v>
      </c>
      <c r="E28" s="7">
        <v>119.8937521317611</v>
      </c>
      <c r="F28" s="7">
        <v>119.8937521317611</v>
      </c>
      <c r="G28" s="7">
        <v>119.8937521317611</v>
      </c>
    </row>
    <row r="29" spans="1:7">
      <c r="A29" s="6">
        <v>136.4583136588924</v>
      </c>
      <c r="B29" s="6">
        <v>0.9878471443971157</v>
      </c>
      <c r="C29" s="6">
        <v>0.9878471443971157</v>
      </c>
      <c r="D29" s="6">
        <v>0.9878471443971157</v>
      </c>
      <c r="E29" s="7">
        <v>119.8937949751408</v>
      </c>
      <c r="F29" s="7">
        <v>119.8937949751408</v>
      </c>
      <c r="G29" s="7">
        <v>119.8937949751408</v>
      </c>
    </row>
    <row r="30" spans="1:7">
      <c r="A30" s="6">
        <v>138.0384264602885</v>
      </c>
      <c r="B30" s="6">
        <v>0.987852130496901</v>
      </c>
      <c r="C30" s="6">
        <v>0.987852130496901</v>
      </c>
      <c r="D30" s="6">
        <v>0.987852130496901</v>
      </c>
      <c r="E30" s="7">
        <v>119.8938388165421</v>
      </c>
      <c r="F30" s="7">
        <v>119.8938388165421</v>
      </c>
      <c r="G30" s="7">
        <v>119.8938388165421</v>
      </c>
    </row>
    <row r="31" spans="1:7">
      <c r="A31" s="6">
        <v>139.6368361055938</v>
      </c>
      <c r="B31" s="6">
        <v>0.9878572327723979</v>
      </c>
      <c r="C31" s="6">
        <v>0.9878572327723979</v>
      </c>
      <c r="D31" s="6">
        <v>0.9878572327723979</v>
      </c>
      <c r="E31" s="7">
        <v>119.8938836792155</v>
      </c>
      <c r="F31" s="7">
        <v>119.8938836792155</v>
      </c>
      <c r="G31" s="7">
        <v>119.8938836792155</v>
      </c>
    </row>
    <row r="32" spans="1:7">
      <c r="A32" s="6">
        <v>141.2537544622754</v>
      </c>
      <c r="B32" s="6">
        <v>0.9878624539313138</v>
      </c>
      <c r="C32" s="6">
        <v>0.9878624539313138</v>
      </c>
      <c r="D32" s="6">
        <v>0.9878624539313138</v>
      </c>
      <c r="E32" s="7">
        <v>119.8939295869527</v>
      </c>
      <c r="F32" s="7">
        <v>119.8939295869527</v>
      </c>
      <c r="G32" s="7">
        <v>119.8939295869527</v>
      </c>
    </row>
    <row r="33" spans="1:7">
      <c r="A33" s="6">
        <v>142.8893958511102</v>
      </c>
      <c r="B33" s="6">
        <v>0.9878677967445035</v>
      </c>
      <c r="C33" s="6">
        <v>0.9878677967445035</v>
      </c>
      <c r="D33" s="6">
        <v>0.9878677967445035</v>
      </c>
      <c r="E33" s="7">
        <v>119.8939765641002</v>
      </c>
      <c r="F33" s="7">
        <v>119.8939765641002</v>
      </c>
      <c r="G33" s="7">
        <v>119.8939765641002</v>
      </c>
    </row>
    <row r="34" spans="1:7">
      <c r="A34" s="6">
        <v>144.5439770745928</v>
      </c>
      <c r="B34" s="6">
        <v>0.9878732640474432</v>
      </c>
      <c r="C34" s="6">
        <v>0.9878732640474432</v>
      </c>
      <c r="D34" s="6">
        <v>0.9878732640474432</v>
      </c>
      <c r="E34" s="7">
        <v>119.8940246355716</v>
      </c>
      <c r="F34" s="7">
        <v>119.8940246355716</v>
      </c>
      <c r="G34" s="7">
        <v>119.8940246355716</v>
      </c>
    </row>
    <row r="35" spans="1:7">
      <c r="A35" s="6">
        <v>146.2177174456718</v>
      </c>
      <c r="B35" s="6">
        <v>0.987878858741741</v>
      </c>
      <c r="C35" s="6">
        <v>0.987878858741741</v>
      </c>
      <c r="D35" s="6">
        <v>0.987878858741741</v>
      </c>
      <c r="E35" s="7">
        <v>119.894073826861</v>
      </c>
      <c r="F35" s="7">
        <v>119.894073826861</v>
      </c>
      <c r="G35" s="7">
        <v>119.894073826861</v>
      </c>
    </row>
    <row r="36" spans="1:7">
      <c r="A36" s="6">
        <v>147.9108388168207</v>
      </c>
      <c r="B36" s="6">
        <v>0.9878845837966789</v>
      </c>
      <c r="C36" s="6">
        <v>0.9878845837966789</v>
      </c>
      <c r="D36" s="6">
        <v>0.9878845837966789</v>
      </c>
      <c r="E36" s="7">
        <v>119.8941241640566</v>
      </c>
      <c r="F36" s="7">
        <v>119.8941241640566</v>
      </c>
      <c r="G36" s="7">
        <v>119.8941241640566</v>
      </c>
    </row>
    <row r="37" spans="1:7">
      <c r="A37" s="6">
        <v>149.6235656094433</v>
      </c>
      <c r="B37" s="6">
        <v>0.9878904422507947</v>
      </c>
      <c r="C37" s="6">
        <v>0.9878904422507947</v>
      </c>
      <c r="D37" s="6">
        <v>0.9878904422507947</v>
      </c>
      <c r="E37" s="7">
        <v>119.8941756738542</v>
      </c>
      <c r="F37" s="7">
        <v>119.8941756738542</v>
      </c>
      <c r="G37" s="7">
        <v>119.8941756738542</v>
      </c>
    </row>
    <row r="38" spans="1:7">
      <c r="A38" s="6">
        <v>151.3561248436209</v>
      </c>
      <c r="B38" s="6">
        <v>0.9878964372135011</v>
      </c>
      <c r="C38" s="6">
        <v>0.9878964372135011</v>
      </c>
      <c r="D38" s="6">
        <v>0.9878964372135011</v>
      </c>
      <c r="E38" s="7">
        <v>119.8942283835721</v>
      </c>
      <c r="F38" s="7">
        <v>119.8942283835721</v>
      </c>
      <c r="G38" s="7">
        <v>119.8942283835721</v>
      </c>
    </row>
    <row r="39" spans="1:7">
      <c r="A39" s="6">
        <v>153.108746168203</v>
      </c>
      <c r="B39" s="6">
        <v>0.987902571866738</v>
      </c>
      <c r="C39" s="6">
        <v>0.987902571866738</v>
      </c>
      <c r="D39" s="6">
        <v>0.987902571866738</v>
      </c>
      <c r="E39" s="7">
        <v>119.8942823211646</v>
      </c>
      <c r="F39" s="7">
        <v>119.8942823211646</v>
      </c>
      <c r="G39" s="7">
        <v>119.8942823211646</v>
      </c>
    </row>
    <row r="40" spans="1:7">
      <c r="A40" s="6">
        <v>154.8816618912481</v>
      </c>
      <c r="B40" s="6">
        <v>0.9879088494666675</v>
      </c>
      <c r="C40" s="6">
        <v>0.9879088494666675</v>
      </c>
      <c r="D40" s="6">
        <v>0.9879088494666675</v>
      </c>
      <c r="E40" s="7">
        <v>119.8943375152379</v>
      </c>
      <c r="F40" s="7">
        <v>119.8943375152379</v>
      </c>
      <c r="G40" s="7">
        <v>119.8943375152379</v>
      </c>
    </row>
    <row r="41" spans="1:7">
      <c r="A41" s="6">
        <v>156.6751070108149</v>
      </c>
      <c r="B41" s="6">
        <v>0.9879152733454096</v>
      </c>
      <c r="C41" s="6">
        <v>0.9879152733454096</v>
      </c>
      <c r="D41" s="6">
        <v>0.9879152733454096</v>
      </c>
      <c r="E41" s="7">
        <v>119.8943939950644</v>
      </c>
      <c r="F41" s="7">
        <v>119.8943939950644</v>
      </c>
      <c r="G41" s="7">
        <v>119.8943939950644</v>
      </c>
    </row>
    <row r="42" spans="1:7">
      <c r="A42" s="6">
        <v>158.4893192461114</v>
      </c>
      <c r="B42" s="6">
        <v>0.9879218469128161</v>
      </c>
      <c r="C42" s="6">
        <v>0.9879218469128161</v>
      </c>
      <c r="D42" s="6">
        <v>0.9879218469128161</v>
      </c>
      <c r="E42" s="7">
        <v>119.8944517905987</v>
      </c>
      <c r="F42" s="7">
        <v>119.8944517905987</v>
      </c>
      <c r="G42" s="7">
        <v>119.8944517905987</v>
      </c>
    </row>
    <row r="43" spans="1:7">
      <c r="A43" s="6">
        <v>160.3245390690042</v>
      </c>
      <c r="B43" s="6">
        <v>0.987928573658284</v>
      </c>
      <c r="C43" s="6">
        <v>0.987928573658284</v>
      </c>
      <c r="D43" s="6">
        <v>0.987928573658284</v>
      </c>
      <c r="E43" s="7">
        <v>119.8945109324934</v>
      </c>
      <c r="F43" s="7">
        <v>119.8945109324934</v>
      </c>
      <c r="G43" s="7">
        <v>119.8945109324934</v>
      </c>
    </row>
    <row r="44" spans="1:7">
      <c r="A44" s="6">
        <v>162.181009735893</v>
      </c>
      <c r="B44" s="6">
        <v>0.9879354571526169</v>
      </c>
      <c r="C44" s="6">
        <v>0.9879354571526169</v>
      </c>
      <c r="D44" s="6">
        <v>0.9879354571526169</v>
      </c>
      <c r="E44" s="7">
        <v>119.8945714521153</v>
      </c>
      <c r="F44" s="7">
        <v>119.8945714521153</v>
      </c>
      <c r="G44" s="7">
        <v>119.8945714521153</v>
      </c>
    </row>
    <row r="45" spans="1:7">
      <c r="A45" s="6">
        <v>164.0589773199539</v>
      </c>
      <c r="B45" s="6">
        <v>0.9879425010499278</v>
      </c>
      <c r="C45" s="6">
        <v>0.9879425010499278</v>
      </c>
      <c r="D45" s="6">
        <v>0.9879425010499278</v>
      </c>
      <c r="E45" s="7">
        <v>119.8946333815624</v>
      </c>
      <c r="F45" s="7">
        <v>119.8946333815624</v>
      </c>
      <c r="G45" s="7">
        <v>119.8946333815624</v>
      </c>
    </row>
    <row r="46" spans="1:7">
      <c r="A46" s="6">
        <v>165.9586907437561</v>
      </c>
      <c r="B46" s="6">
        <v>0.9879497090895827</v>
      </c>
      <c r="C46" s="6">
        <v>0.9879497090895827</v>
      </c>
      <c r="D46" s="6">
        <v>0.9879497090895827</v>
      </c>
      <c r="E46" s="7">
        <v>119.8946967536802</v>
      </c>
      <c r="F46" s="7">
        <v>119.8946967536802</v>
      </c>
      <c r="G46" s="7">
        <v>119.8946967536802</v>
      </c>
    </row>
    <row r="47" spans="1:7">
      <c r="A47" s="6">
        <v>167.8804018122561</v>
      </c>
      <c r="B47" s="6">
        <v>0.9879570850981959</v>
      </c>
      <c r="C47" s="6">
        <v>0.9879570850981959</v>
      </c>
      <c r="D47" s="6">
        <v>0.9879570850981959</v>
      </c>
      <c r="E47" s="7">
        <v>119.8947616020799</v>
      </c>
      <c r="F47" s="7">
        <v>119.8947616020799</v>
      </c>
      <c r="G47" s="7">
        <v>119.8947616020799</v>
      </c>
    </row>
    <row r="48" spans="1:7">
      <c r="A48" s="6">
        <v>169.8243652461744</v>
      </c>
      <c r="B48" s="6">
        <v>0.9879646329916667</v>
      </c>
      <c r="C48" s="6">
        <v>0.9879646329916667</v>
      </c>
      <c r="D48" s="6">
        <v>0.9879646329916667</v>
      </c>
      <c r="E48" s="7">
        <v>119.8948279611558</v>
      </c>
      <c r="F48" s="7">
        <v>119.8948279611558</v>
      </c>
      <c r="G48" s="7">
        <v>119.8948279611558</v>
      </c>
    </row>
    <row r="49" spans="1:7">
      <c r="A49" s="6">
        <v>171.7908387157588</v>
      </c>
      <c r="B49" s="6">
        <v>0.9879723567772708</v>
      </c>
      <c r="C49" s="6">
        <v>0.9879723567772708</v>
      </c>
      <c r="D49" s="6">
        <v>0.9879723567772708</v>
      </c>
      <c r="E49" s="7">
        <v>119.8948958661039</v>
      </c>
      <c r="F49" s="7">
        <v>119.8948958661039</v>
      </c>
      <c r="G49" s="7">
        <v>119.8948958661039</v>
      </c>
    </row>
    <row r="50" spans="1:7">
      <c r="A50" s="6">
        <v>173.7800828749376</v>
      </c>
      <c r="B50" s="6">
        <v>0.9879802605557895</v>
      </c>
      <c r="C50" s="6">
        <v>0.9879802605557895</v>
      </c>
      <c r="D50" s="6">
        <v>0.9879802605557895</v>
      </c>
      <c r="E50" s="7">
        <v>119.8949653529401</v>
      </c>
      <c r="F50" s="7">
        <v>119.8949653529401</v>
      </c>
      <c r="G50" s="7">
        <v>119.8949653529401</v>
      </c>
    </row>
    <row r="51" spans="1:7">
      <c r="A51" s="6">
        <v>175.7923613958693</v>
      </c>
      <c r="B51" s="6">
        <v>0.9879883485237021</v>
      </c>
      <c r="C51" s="6">
        <v>0.9879883485237021</v>
      </c>
      <c r="D51" s="6">
        <v>0.9879883485237021</v>
      </c>
      <c r="E51" s="7">
        <v>119.8950364585198</v>
      </c>
      <c r="F51" s="7">
        <v>119.8950364585198</v>
      </c>
      <c r="G51" s="7">
        <v>119.8950364585198</v>
      </c>
    </row>
    <row r="52" spans="1:7">
      <c r="A52" s="6">
        <v>177.8279410038923</v>
      </c>
      <c r="B52" s="6">
        <v>0.9879966249754188</v>
      </c>
      <c r="C52" s="6">
        <v>0.9879966249754188</v>
      </c>
      <c r="D52" s="6">
        <v>0.9879966249754188</v>
      </c>
      <c r="E52" s="7">
        <v>119.8951092205571</v>
      </c>
      <c r="F52" s="7">
        <v>119.8951092205571</v>
      </c>
      <c r="G52" s="7">
        <v>119.8951092205571</v>
      </c>
    </row>
    <row r="53" spans="1:7">
      <c r="A53" s="6">
        <v>179.8870915128787</v>
      </c>
      <c r="B53" s="6">
        <v>0.9880050943055732</v>
      </c>
      <c r="C53" s="6">
        <v>0.9880050943055732</v>
      </c>
      <c r="D53" s="6">
        <v>0.9880050943055732</v>
      </c>
      <c r="E53" s="7">
        <v>119.8951836776452</v>
      </c>
      <c r="F53" s="7">
        <v>119.8951836776452</v>
      </c>
      <c r="G53" s="7">
        <v>119.8951836776452</v>
      </c>
    </row>
    <row r="54" spans="1:7">
      <c r="A54" s="6">
        <v>181.9700858609983</v>
      </c>
      <c r="B54" s="6">
        <v>0.9880137610113641</v>
      </c>
      <c r="C54" s="6">
        <v>0.9880137610113641</v>
      </c>
      <c r="D54" s="6">
        <v>0.9880137610113641</v>
      </c>
      <c r="E54" s="7">
        <v>119.8952598692765</v>
      </c>
      <c r="F54" s="7">
        <v>119.8952598692765</v>
      </c>
      <c r="G54" s="7">
        <v>119.8952598692765</v>
      </c>
    </row>
    <row r="55" spans="1:7">
      <c r="A55" s="6">
        <v>184.0772001468956</v>
      </c>
      <c r="B55" s="6">
        <v>0.9880226296949562</v>
      </c>
      <c r="C55" s="6">
        <v>0.9880226296949562</v>
      </c>
      <c r="D55" s="6">
        <v>0.9880226296949562</v>
      </c>
      <c r="E55" s="7">
        <v>119.8953378358638</v>
      </c>
      <c r="F55" s="7">
        <v>119.8953378358638</v>
      </c>
      <c r="G55" s="7">
        <v>119.8953378358638</v>
      </c>
    </row>
    <row r="56" spans="1:7">
      <c r="A56" s="6">
        <v>186.2087136662867</v>
      </c>
      <c r="B56" s="6">
        <v>0.9880317050659322</v>
      </c>
      <c r="C56" s="6">
        <v>0.9880317050659322</v>
      </c>
      <c r="D56" s="6">
        <v>0.9880317050659322</v>
      </c>
      <c r="E56" s="7">
        <v>119.8954176187618</v>
      </c>
      <c r="F56" s="7">
        <v>119.8954176187618</v>
      </c>
      <c r="G56" s="7">
        <v>119.8954176187618</v>
      </c>
    </row>
    <row r="57" spans="1:7">
      <c r="A57" s="6">
        <v>188.36490894898</v>
      </c>
      <c r="B57" s="6">
        <v>0.9880409919438085</v>
      </c>
      <c r="C57" s="6">
        <v>0.9880409919438085</v>
      </c>
      <c r="D57" s="6">
        <v>0.9880409919438085</v>
      </c>
      <c r="E57" s="7">
        <v>119.8954992602889</v>
      </c>
      <c r="F57" s="7">
        <v>119.8954992602889</v>
      </c>
      <c r="G57" s="7">
        <v>119.8954992602889</v>
      </c>
    </row>
    <row r="58" spans="1:7">
      <c r="A58" s="6">
        <v>190.5460717963248</v>
      </c>
      <c r="B58" s="6">
        <v>0.9880504952606025</v>
      </c>
      <c r="C58" s="6">
        <v>0.9880504952606025</v>
      </c>
      <c r="D58" s="6">
        <v>0.9880504952606025</v>
      </c>
      <c r="E58" s="7">
        <v>119.8955828037497</v>
      </c>
      <c r="F58" s="7">
        <v>119.8955828037497</v>
      </c>
      <c r="G58" s="7">
        <v>119.8955828037497</v>
      </c>
    </row>
    <row r="59" spans="1:7">
      <c r="A59" s="6">
        <v>192.7524913190937</v>
      </c>
      <c r="B59" s="6">
        <v>0.9880602200634706</v>
      </c>
      <c r="C59" s="6">
        <v>0.9880602200634706</v>
      </c>
      <c r="D59" s="6">
        <v>0.9880602200634706</v>
      </c>
      <c r="E59" s="7">
        <v>119.8956682934582</v>
      </c>
      <c r="F59" s="7">
        <v>119.8956682934582</v>
      </c>
      <c r="G59" s="7">
        <v>119.8956682934582</v>
      </c>
    </row>
    <row r="60" spans="1:7">
      <c r="A60" s="6">
        <v>194.9844599758046</v>
      </c>
      <c r="B60" s="6">
        <v>0.9880701715173958</v>
      </c>
      <c r="C60" s="6">
        <v>0.9880701715173958</v>
      </c>
      <c r="D60" s="6">
        <v>0.9880701715173958</v>
      </c>
      <c r="E60" s="7">
        <v>119.895755774761</v>
      </c>
      <c r="F60" s="7">
        <v>119.895755774761</v>
      </c>
      <c r="G60" s="7">
        <v>119.895755774761</v>
      </c>
    </row>
    <row r="61" spans="1:7">
      <c r="A61" s="6">
        <v>197.2422736114853</v>
      </c>
      <c r="B61" s="6">
        <v>0.988080354907949</v>
      </c>
      <c r="C61" s="6">
        <v>0.988080354907949</v>
      </c>
      <c r="D61" s="6">
        <v>0.988080354907949</v>
      </c>
      <c r="E61" s="7">
        <v>119.8958452940615</v>
      </c>
      <c r="F61" s="7">
        <v>119.8958452940615</v>
      </c>
      <c r="G61" s="7">
        <v>119.8958452940615</v>
      </c>
    </row>
    <row r="62" spans="1:7">
      <c r="A62" s="6">
        <v>199.5262314968879</v>
      </c>
      <c r="B62" s="6">
        <v>0.98809077564411</v>
      </c>
      <c r="C62" s="6">
        <v>0.98809077564411</v>
      </c>
      <c r="D62" s="6">
        <v>0.98809077564411</v>
      </c>
      <c r="E62" s="7">
        <v>119.895936898845</v>
      </c>
      <c r="F62" s="7">
        <v>119.895936898845</v>
      </c>
      <c r="G62" s="7">
        <v>119.895936898845</v>
      </c>
    </row>
    <row r="63" spans="1:7">
      <c r="A63" s="6">
        <v>201.8366363681562</v>
      </c>
      <c r="B63" s="6">
        <v>0.988101439261154</v>
      </c>
      <c r="C63" s="6">
        <v>0.988101439261154</v>
      </c>
      <c r="D63" s="6">
        <v>0.988101439261154</v>
      </c>
      <c r="E63" s="7">
        <v>119.8960306377031</v>
      </c>
      <c r="F63" s="7">
        <v>119.8960306377031</v>
      </c>
      <c r="G63" s="7">
        <v>119.8960306377031</v>
      </c>
    </row>
    <row r="64" spans="1:7">
      <c r="A64" s="6">
        <v>204.173794466953</v>
      </c>
      <c r="B64" s="6">
        <v>0.9881123514236105</v>
      </c>
      <c r="C64" s="6">
        <v>0.9881123514236105</v>
      </c>
      <c r="D64" s="6">
        <v>0.9881123514236105</v>
      </c>
      <c r="E64" s="7">
        <v>119.8961265603601</v>
      </c>
      <c r="F64" s="7">
        <v>119.8961265603601</v>
      </c>
      <c r="G64" s="7">
        <v>119.8961265603601</v>
      </c>
    </row>
    <row r="65" spans="1:7">
      <c r="A65" s="6">
        <v>206.5380155810529</v>
      </c>
      <c r="B65" s="6">
        <v>0.9881235179282882</v>
      </c>
      <c r="C65" s="6">
        <v>0.9881235179282882</v>
      </c>
      <c r="D65" s="6">
        <v>0.9881235179282882</v>
      </c>
      <c r="E65" s="7">
        <v>119.8962247176993</v>
      </c>
      <c r="F65" s="7">
        <v>119.8962247176993</v>
      </c>
      <c r="G65" s="7">
        <v>119.8962247176993</v>
      </c>
    </row>
    <row r="66" spans="1:7">
      <c r="A66" s="6">
        <v>208.9296130854039</v>
      </c>
      <c r="B66" s="6">
        <v>0.9881349447073702</v>
      </c>
      <c r="C66" s="6">
        <v>0.9881349447073702</v>
      </c>
      <c r="D66" s="6">
        <v>0.9881349447073702</v>
      </c>
      <c r="E66" s="7">
        <v>119.8963251617899</v>
      </c>
      <c r="F66" s="7">
        <v>119.8963251617899</v>
      </c>
      <c r="G66" s="7">
        <v>119.8963251617899</v>
      </c>
    </row>
    <row r="67" spans="1:7">
      <c r="A67" s="6">
        <v>211.3489039836648</v>
      </c>
      <c r="B67" s="6">
        <v>0.9881466378315868</v>
      </c>
      <c r="C67" s="6">
        <v>0.9881466378315868</v>
      </c>
      <c r="D67" s="6">
        <v>0.9881466378315868</v>
      </c>
      <c r="E67" s="7">
        <v>119.8964279459147</v>
      </c>
      <c r="F67" s="7">
        <v>119.8964279459147</v>
      </c>
      <c r="G67" s="7">
        <v>119.8964279459147</v>
      </c>
    </row>
    <row r="68" spans="1:7">
      <c r="A68" s="6">
        <v>213.7962089502232</v>
      </c>
      <c r="B68" s="6">
        <v>0.9881586035134576</v>
      </c>
      <c r="C68" s="6">
        <v>0.9881586035134576</v>
      </c>
      <c r="D68" s="6">
        <v>0.9881586035134576</v>
      </c>
      <c r="E68" s="7">
        <v>119.8965331245987</v>
      </c>
      <c r="F68" s="7">
        <v>119.8965331245987</v>
      </c>
      <c r="G68" s="7">
        <v>119.8965331245987</v>
      </c>
    </row>
    <row r="69" spans="1:7">
      <c r="A69" s="6">
        <v>216.271852372702</v>
      </c>
      <c r="B69" s="6">
        <v>0.9881708481106134</v>
      </c>
      <c r="C69" s="6">
        <v>0.9881708481106134</v>
      </c>
      <c r="D69" s="6">
        <v>0.9881708481106134</v>
      </c>
      <c r="E69" s="7">
        <v>119.8966407536374</v>
      </c>
      <c r="F69" s="7">
        <v>119.8966407536374</v>
      </c>
      <c r="G69" s="7">
        <v>119.8966407536374</v>
      </c>
    </row>
    <row r="70" spans="1:7">
      <c r="A70" s="6">
        <v>218.7761623949552</v>
      </c>
      <c r="B70" s="6">
        <v>0.988183378129195</v>
      </c>
      <c r="C70" s="6">
        <v>0.988183378129195</v>
      </c>
      <c r="D70" s="6">
        <v>0.988183378129195</v>
      </c>
      <c r="E70" s="7">
        <v>119.8967508901272</v>
      </c>
      <c r="F70" s="7">
        <v>119.8967508901272</v>
      </c>
      <c r="G70" s="7">
        <v>119.8967508901272</v>
      </c>
    </row>
    <row r="71" spans="1:7">
      <c r="A71" s="6">
        <v>221.3094709605639</v>
      </c>
      <c r="B71" s="6">
        <v>0.9881962002273333</v>
      </c>
      <c r="C71" s="6">
        <v>0.9881962002273333</v>
      </c>
      <c r="D71" s="6">
        <v>0.9881962002273333</v>
      </c>
      <c r="E71" s="7">
        <v>119.8968635924953</v>
      </c>
      <c r="F71" s="7">
        <v>119.8968635924953</v>
      </c>
      <c r="G71" s="7">
        <v>119.8968635924953</v>
      </c>
    </row>
    <row r="72" spans="1:7">
      <c r="A72" s="6">
        <v>223.872113856834</v>
      </c>
      <c r="B72" s="6">
        <v>0.9882093212187085</v>
      </c>
      <c r="C72" s="6">
        <v>0.9882093212187085</v>
      </c>
      <c r="D72" s="6">
        <v>0.9882093212187085</v>
      </c>
      <c r="E72" s="7">
        <v>119.8969789205308</v>
      </c>
      <c r="F72" s="7">
        <v>119.8969789205308</v>
      </c>
      <c r="G72" s="7">
        <v>119.8969789205308</v>
      </c>
    </row>
    <row r="73" spans="1:7">
      <c r="A73" s="6">
        <v>226.464430759306</v>
      </c>
      <c r="B73" s="6">
        <v>0.9882227480761965</v>
      </c>
      <c r="C73" s="6">
        <v>0.9882227480761965</v>
      </c>
      <c r="D73" s="6">
        <v>0.9882227480761965</v>
      </c>
      <c r="E73" s="7">
        <v>119.8970969354164</v>
      </c>
      <c r="F73" s="7">
        <v>119.8970969354164</v>
      </c>
      <c r="G73" s="7">
        <v>119.8970969354164</v>
      </c>
    </row>
    <row r="74" spans="1:7">
      <c r="A74" s="6">
        <v>229.0867652767772</v>
      </c>
      <c r="B74" s="6">
        <v>0.9882364879355997</v>
      </c>
      <c r="C74" s="6">
        <v>0.9882364879355997</v>
      </c>
      <c r="D74" s="6">
        <v>0.9882364879355997</v>
      </c>
      <c r="E74" s="7">
        <v>119.8972176997613</v>
      </c>
      <c r="F74" s="7">
        <v>119.8972176997613</v>
      </c>
      <c r="G74" s="7">
        <v>119.8972176997613</v>
      </c>
    </row>
    <row r="75" spans="1:7">
      <c r="A75" s="6">
        <v>231.739464996848</v>
      </c>
      <c r="B75" s="6">
        <v>0.9882505480994658</v>
      </c>
      <c r="C75" s="6">
        <v>0.9882505480994658</v>
      </c>
      <c r="D75" s="6">
        <v>0.9882505480994658</v>
      </c>
      <c r="E75" s="7">
        <v>119.897341277634</v>
      </c>
      <c r="F75" s="7">
        <v>119.897341277634</v>
      </c>
      <c r="G75" s="7">
        <v>119.897341277634</v>
      </c>
    </row>
    <row r="76" spans="1:7">
      <c r="A76" s="6">
        <v>234.4228815319923</v>
      </c>
      <c r="B76" s="6">
        <v>0.9882649360409973</v>
      </c>
      <c r="C76" s="6">
        <v>0.9882649360409973</v>
      </c>
      <c r="D76" s="6">
        <v>0.9882649360409973</v>
      </c>
      <c r="E76" s="7">
        <v>119.8974677345965</v>
      </c>
      <c r="F76" s="7">
        <v>119.8974677345965</v>
      </c>
      <c r="G76" s="7">
        <v>119.8974677345965</v>
      </c>
    </row>
    <row r="77" spans="1:7">
      <c r="A77" s="6">
        <v>237.1373705661655</v>
      </c>
      <c r="B77" s="6">
        <v>0.988279659408052</v>
      </c>
      <c r="C77" s="6">
        <v>0.988279659408052</v>
      </c>
      <c r="D77" s="6">
        <v>0.988279659408052</v>
      </c>
      <c r="E77" s="7">
        <v>119.8975971377394</v>
      </c>
      <c r="F77" s="7">
        <v>119.8975971377394</v>
      </c>
      <c r="G77" s="7">
        <v>119.8975971377394</v>
      </c>
    </row>
    <row r="78" spans="1:7">
      <c r="A78" s="6">
        <v>239.883291901949</v>
      </c>
      <c r="B78" s="6">
        <v>0.9882947260272394</v>
      </c>
      <c r="C78" s="6">
        <v>0.9882947260272394</v>
      </c>
      <c r="D78" s="6">
        <v>0.9882947260272394</v>
      </c>
      <c r="E78" s="7">
        <v>119.8977295557171</v>
      </c>
      <c r="F78" s="7">
        <v>119.8977295557171</v>
      </c>
      <c r="G78" s="7">
        <v>119.8977295557171</v>
      </c>
    </row>
    <row r="79" spans="1:7">
      <c r="A79" s="6">
        <v>242.6610095082414</v>
      </c>
      <c r="B79" s="6">
        <v>0.9883101439081118</v>
      </c>
      <c r="C79" s="6">
        <v>0.9883101439081118</v>
      </c>
      <c r="D79" s="6">
        <v>0.9883101439081118</v>
      </c>
      <c r="E79" s="7">
        <v>119.8978650587848</v>
      </c>
      <c r="F79" s="7">
        <v>119.8978650587848</v>
      </c>
      <c r="G79" s="7">
        <v>119.8978650587848</v>
      </c>
    </row>
    <row r="80" spans="1:7">
      <c r="A80" s="6">
        <v>245.4708915685031</v>
      </c>
      <c r="B80" s="6">
        <v>0.9883259212474579</v>
      </c>
      <c r="C80" s="6">
        <v>0.9883259212474579</v>
      </c>
      <c r="D80" s="6">
        <v>0.9883259212474579</v>
      </c>
      <c r="E80" s="7">
        <v>119.8980037188353</v>
      </c>
      <c r="F80" s="7">
        <v>119.8980037188353</v>
      </c>
      <c r="G80" s="7">
        <v>119.8980037188353</v>
      </c>
    </row>
    <row r="81" spans="1:7">
      <c r="A81" s="6">
        <v>248.313310529557</v>
      </c>
      <c r="B81" s="6">
        <v>0.9883420664336947</v>
      </c>
      <c r="C81" s="6">
        <v>0.9883420664336947</v>
      </c>
      <c r="D81" s="6">
        <v>0.9883420664336947</v>
      </c>
      <c r="E81" s="7">
        <v>119.8981456094378</v>
      </c>
      <c r="F81" s="7">
        <v>119.8981456094378</v>
      </c>
      <c r="G81" s="7">
        <v>119.8981456094378</v>
      </c>
    </row>
    <row r="82" spans="1:7">
      <c r="A82" s="6">
        <v>251.188643150958</v>
      </c>
      <c r="B82" s="6">
        <v>0.9883585880513631</v>
      </c>
      <c r="C82" s="6">
        <v>0.9883585880513631</v>
      </c>
      <c r="D82" s="6">
        <v>0.9883585880513631</v>
      </c>
      <c r="E82" s="7">
        <v>119.8982908058765</v>
      </c>
      <c r="F82" s="7">
        <v>119.8982908058765</v>
      </c>
      <c r="G82" s="7">
        <v>119.8982908058765</v>
      </c>
    </row>
    <row r="83" spans="1:7">
      <c r="A83" s="6">
        <v>254.0972705549306</v>
      </c>
      <c r="B83" s="6">
        <v>0.9883754948857317</v>
      </c>
      <c r="C83" s="6">
        <v>0.9883754948857317</v>
      </c>
      <c r="D83" s="6">
        <v>0.9883754948857317</v>
      </c>
      <c r="E83" s="7">
        <v>119.898439385191</v>
      </c>
      <c r="F83" s="7">
        <v>119.898439385191</v>
      </c>
      <c r="G83" s="7">
        <v>119.898439385191</v>
      </c>
    </row>
    <row r="84" spans="1:7">
      <c r="A84" s="6">
        <v>257.0395782768865</v>
      </c>
      <c r="B84" s="6">
        <v>0.9883927959275093</v>
      </c>
      <c r="C84" s="6">
        <v>0.9883927959275093</v>
      </c>
      <c r="D84" s="6">
        <v>0.9883927959275093</v>
      </c>
      <c r="E84" s="7">
        <v>119.898591426217</v>
      </c>
      <c r="F84" s="7">
        <v>119.898591426217</v>
      </c>
      <c r="G84" s="7">
        <v>119.898591426217</v>
      </c>
    </row>
    <row r="85" spans="1:7">
      <c r="A85" s="6">
        <v>260.0159563165272</v>
      </c>
      <c r="B85" s="6">
        <v>0.9884105003776661</v>
      </c>
      <c r="C85" s="6">
        <v>0.9884105003776661</v>
      </c>
      <c r="D85" s="6">
        <v>0.9884105003776661</v>
      </c>
      <c r="E85" s="7">
        <v>119.8987470096283</v>
      </c>
      <c r="F85" s="7">
        <v>119.8987470096283</v>
      </c>
      <c r="G85" s="7">
        <v>119.8987470096283</v>
      </c>
    </row>
    <row r="86" spans="1:7">
      <c r="A86" s="6">
        <v>263.0267991895382</v>
      </c>
      <c r="B86" s="6">
        <v>0.9884286176523733</v>
      </c>
      <c r="C86" s="6">
        <v>0.9884286176523733</v>
      </c>
      <c r="D86" s="6">
        <v>0.9884286176523733</v>
      </c>
      <c r="E86" s="7">
        <v>119.8989062179798</v>
      </c>
      <c r="F86" s="7">
        <v>119.8989062179798</v>
      </c>
      <c r="G86" s="7">
        <v>119.8989062179798</v>
      </c>
    </row>
    <row r="87" spans="1:7">
      <c r="A87" s="6">
        <v>266.0725059798809</v>
      </c>
      <c r="B87" s="6">
        <v>0.9884471573880558</v>
      </c>
      <c r="C87" s="6">
        <v>0.9884471573880558</v>
      </c>
      <c r="D87" s="6">
        <v>0.9884471573880558</v>
      </c>
      <c r="E87" s="7">
        <v>119.8990691357515</v>
      </c>
      <c r="F87" s="7">
        <v>119.8990691357515</v>
      </c>
      <c r="G87" s="7">
        <v>119.8990691357515</v>
      </c>
    </row>
    <row r="88" spans="1:7">
      <c r="A88" s="6">
        <v>269.1534803926917</v>
      </c>
      <c r="B88" s="6">
        <v>0.9884661294465672</v>
      </c>
      <c r="C88" s="6">
        <v>0.9884661294465672</v>
      </c>
      <c r="D88" s="6">
        <v>0.9884661294465672</v>
      </c>
      <c r="E88" s="7">
        <v>119.8992358493929</v>
      </c>
      <c r="F88" s="7">
        <v>119.8992358493929</v>
      </c>
      <c r="G88" s="7">
        <v>119.8992358493929</v>
      </c>
    </row>
    <row r="89" spans="1:7">
      <c r="A89" s="6">
        <v>272.2701308077912</v>
      </c>
      <c r="B89" s="6">
        <v>0.9884855439204858</v>
      </c>
      <c r="C89" s="6">
        <v>0.9884855439204858</v>
      </c>
      <c r="D89" s="6">
        <v>0.9884855439204858</v>
      </c>
      <c r="E89" s="7">
        <v>119.8994064473697</v>
      </c>
      <c r="F89" s="7">
        <v>119.8994064473697</v>
      </c>
      <c r="G89" s="7">
        <v>119.8994064473697</v>
      </c>
    </row>
    <row r="90" spans="1:7">
      <c r="A90" s="6">
        <v>275.4228703338166</v>
      </c>
      <c r="B90" s="6">
        <v>0.9885054111385358</v>
      </c>
      <c r="C90" s="6">
        <v>0.9885054111385358</v>
      </c>
      <c r="D90" s="6">
        <v>0.9885054111385358</v>
      </c>
      <c r="E90" s="7">
        <v>119.8995810202103</v>
      </c>
      <c r="F90" s="7">
        <v>119.8995810202103</v>
      </c>
      <c r="G90" s="7">
        <v>119.8995810202103</v>
      </c>
    </row>
    <row r="91" spans="1:7">
      <c r="A91" s="6">
        <v>278.612116862977</v>
      </c>
      <c r="B91" s="6">
        <v>0.9885257416711403</v>
      </c>
      <c r="C91" s="6">
        <v>0.9885257416711403</v>
      </c>
      <c r="D91" s="6">
        <v>0.9885257416711403</v>
      </c>
      <c r="E91" s="7">
        <v>119.8997596605542</v>
      </c>
      <c r="F91" s="7">
        <v>119.8997596605542</v>
      </c>
      <c r="G91" s="7">
        <v>119.8997596605542</v>
      </c>
    </row>
    <row r="92" spans="1:7">
      <c r="A92" s="6">
        <v>281.8382931264455</v>
      </c>
      <c r="B92" s="6">
        <v>0.9885465463361004</v>
      </c>
      <c r="C92" s="6">
        <v>0.9885465463361004</v>
      </c>
      <c r="D92" s="6">
        <v>0.9885465463361004</v>
      </c>
      <c r="E92" s="7">
        <v>119.8999424632012</v>
      </c>
      <c r="F92" s="7">
        <v>119.8999424632012</v>
      </c>
      <c r="G92" s="7">
        <v>119.8999424632012</v>
      </c>
    </row>
    <row r="93" spans="1:7">
      <c r="A93" s="6">
        <v>285.101826750391</v>
      </c>
      <c r="B93" s="6">
        <v>0.988567836204414</v>
      </c>
      <c r="C93" s="6">
        <v>0.988567836204414</v>
      </c>
      <c r="D93" s="6">
        <v>0.988567836204414</v>
      </c>
      <c r="E93" s="7">
        <v>119.900129525162</v>
      </c>
      <c r="F93" s="7">
        <v>119.900129525162</v>
      </c>
      <c r="G93" s="7">
        <v>119.900129525162</v>
      </c>
    </row>
    <row r="94" spans="1:7">
      <c r="A94" s="6">
        <v>288.4031503126606</v>
      </c>
      <c r="B94" s="6">
        <v>0.9885896226062324</v>
      </c>
      <c r="C94" s="6">
        <v>0.9885896226062324</v>
      </c>
      <c r="D94" s="6">
        <v>0.9885896226062324</v>
      </c>
      <c r="E94" s="7">
        <v>119.9003209457097</v>
      </c>
      <c r="F94" s="7">
        <v>119.9003209457097</v>
      </c>
      <c r="G94" s="7">
        <v>119.9003209457097</v>
      </c>
    </row>
    <row r="95" spans="1:7">
      <c r="A95" s="6">
        <v>291.7427014001166</v>
      </c>
      <c r="B95" s="6">
        <v>0.9886119171369544</v>
      </c>
      <c r="C95" s="6">
        <v>0.9886119171369544</v>
      </c>
      <c r="D95" s="6">
        <v>0.9886119171369544</v>
      </c>
      <c r="E95" s="7">
        <v>119.9005168264326</v>
      </c>
      <c r="F95" s="7">
        <v>119.9005168264326</v>
      </c>
      <c r="G95" s="7">
        <v>119.9005168264326</v>
      </c>
    </row>
    <row r="96" spans="1:7">
      <c r="A96" s="6">
        <v>295.1209226666387</v>
      </c>
      <c r="B96" s="6">
        <v>0.9886347316634672</v>
      </c>
      <c r="C96" s="6">
        <v>0.9886347316634672</v>
      </c>
      <c r="D96" s="6">
        <v>0.9886347316634672</v>
      </c>
      <c r="E96" s="7">
        <v>119.9007172712881</v>
      </c>
      <c r="F96" s="7">
        <v>119.9007172712881</v>
      </c>
      <c r="G96" s="7">
        <v>119.9007172712881</v>
      </c>
    </row>
    <row r="97" spans="1:7">
      <c r="A97" s="6">
        <v>298.538261891796</v>
      </c>
      <c r="B97" s="6">
        <v>0.9886580783305392</v>
      </c>
      <c r="C97" s="6">
        <v>0.9886580783305392</v>
      </c>
      <c r="D97" s="6">
        <v>0.9886580783305392</v>
      </c>
      <c r="E97" s="7">
        <v>119.9009223866585</v>
      </c>
      <c r="F97" s="7">
        <v>119.9009223866585</v>
      </c>
      <c r="G97" s="7">
        <v>119.9009223866585</v>
      </c>
    </row>
    <row r="98" spans="1:7">
      <c r="A98" s="6">
        <v>301.9951720402016</v>
      </c>
      <c r="B98" s="6">
        <v>0.9886819695673614</v>
      </c>
      <c r="C98" s="6">
        <v>0.9886819695673614</v>
      </c>
      <c r="D98" s="6">
        <v>0.9886819695673614</v>
      </c>
      <c r="E98" s="7">
        <v>119.9011322814074</v>
      </c>
      <c r="F98" s="7">
        <v>119.9011322814074</v>
      </c>
      <c r="G98" s="7">
        <v>119.9011322814074</v>
      </c>
    </row>
    <row r="99" spans="1:7">
      <c r="A99" s="6">
        <v>305.4921113215512</v>
      </c>
      <c r="B99" s="6">
        <v>0.9887064180942403</v>
      </c>
      <c r="C99" s="6">
        <v>0.9887064180942403</v>
      </c>
      <c r="D99" s="6">
        <v>0.9887064180942403</v>
      </c>
      <c r="E99" s="7">
        <v>119.9013470669372</v>
      </c>
      <c r="F99" s="7">
        <v>119.9013470669372</v>
      </c>
      <c r="G99" s="7">
        <v>119.9013470669372</v>
      </c>
    </row>
    <row r="100" spans="1:7">
      <c r="A100" s="6">
        <v>309.0295432513592</v>
      </c>
      <c r="B100" s="6">
        <v>0.98873143692946</v>
      </c>
      <c r="C100" s="6">
        <v>0.98873143692946</v>
      </c>
      <c r="D100" s="6">
        <v>0.98873143692946</v>
      </c>
      <c r="E100" s="7">
        <v>119.9015668572493</v>
      </c>
      <c r="F100" s="7">
        <v>119.9015668572493</v>
      </c>
      <c r="G100" s="7">
        <v>119.9015668572493</v>
      </c>
    </row>
    <row r="101" spans="1:7">
      <c r="A101" s="6">
        <v>312.6079367123956</v>
      </c>
      <c r="B101" s="6">
        <v>0.9887570393963007</v>
      </c>
      <c r="C101" s="6">
        <v>0.9887570393963007</v>
      </c>
      <c r="D101" s="6">
        <v>0.9887570393963007</v>
      </c>
      <c r="E101" s="7">
        <v>119.9017917690039</v>
      </c>
      <c r="F101" s="7">
        <v>119.9017917690039</v>
      </c>
      <c r="G101" s="7">
        <v>119.9017917690039</v>
      </c>
    </row>
    <row r="102" spans="1:7">
      <c r="A102" s="6">
        <v>316.227766016838</v>
      </c>
      <c r="B102" s="6">
        <v>0.9887832391302237</v>
      </c>
      <c r="C102" s="6">
        <v>0.9887832391302237</v>
      </c>
      <c r="D102" s="6">
        <v>0.9887832391302237</v>
      </c>
      <c r="E102" s="7">
        <v>119.9020219215827</v>
      </c>
      <c r="F102" s="7">
        <v>119.9020219215827</v>
      </c>
      <c r="G102" s="7">
        <v>119.9020219215827</v>
      </c>
    </row>
    <row r="103" spans="1:7">
      <c r="A103" s="6">
        <v>319.8895109691397</v>
      </c>
      <c r="B103" s="6">
        <v>0.9888100500862329</v>
      </c>
      <c r="C103" s="6">
        <v>0.9888100500862329</v>
      </c>
      <c r="D103" s="6">
        <v>0.9888100500862329</v>
      </c>
      <c r="E103" s="7">
        <v>119.9022574371523</v>
      </c>
      <c r="F103" s="7">
        <v>119.9022574371523</v>
      </c>
      <c r="G103" s="7">
        <v>119.9022574371523</v>
      </c>
    </row>
    <row r="104" spans="1:7">
      <c r="A104" s="6">
        <v>323.5936569296281</v>
      </c>
      <c r="B104" s="6">
        <v>0.9888374865464084</v>
      </c>
      <c r="C104" s="6">
        <v>0.9888374865464084</v>
      </c>
      <c r="D104" s="6">
        <v>0.9888374865464084</v>
      </c>
      <c r="E104" s="7">
        <v>119.9024984407293</v>
      </c>
      <c r="F104" s="7">
        <v>119.9024984407293</v>
      </c>
      <c r="G104" s="7">
        <v>119.9024984407293</v>
      </c>
    </row>
    <row r="105" spans="1:7">
      <c r="A105" s="6">
        <v>327.3406948788383</v>
      </c>
      <c r="B105" s="6">
        <v>0.9888655631276199</v>
      </c>
      <c r="C105" s="6">
        <v>0.9888655631276199</v>
      </c>
      <c r="D105" s="6">
        <v>0.9888655631276199</v>
      </c>
      <c r="E105" s="7">
        <v>119.9027450602467</v>
      </c>
      <c r="F105" s="7">
        <v>119.9027450602467</v>
      </c>
      <c r="G105" s="7">
        <v>119.9027450602467</v>
      </c>
    </row>
    <row r="106" spans="1:7">
      <c r="A106" s="6">
        <v>331.1311214825911</v>
      </c>
      <c r="B106" s="6">
        <v>0.9888942947894251</v>
      </c>
      <c r="C106" s="6">
        <v>0.9888942947894251</v>
      </c>
      <c r="D106" s="6">
        <v>0.9888942947894251</v>
      </c>
      <c r="E106" s="7">
        <v>119.9029974266223</v>
      </c>
      <c r="F106" s="7">
        <v>119.9029974266223</v>
      </c>
      <c r="G106" s="7">
        <v>119.9029974266223</v>
      </c>
    </row>
    <row r="107" spans="1:7">
      <c r="A107" s="6">
        <v>334.9654391578276</v>
      </c>
      <c r="B107" s="6">
        <v>0.9889236968421566</v>
      </c>
      <c r="C107" s="6">
        <v>0.9889236968421566</v>
      </c>
      <c r="D107" s="6">
        <v>0.9889236968421566</v>
      </c>
      <c r="E107" s="7">
        <v>119.9032556738283</v>
      </c>
      <c r="F107" s="7">
        <v>119.9032556738283</v>
      </c>
      <c r="G107" s="7">
        <v>119.9032556738283</v>
      </c>
    </row>
    <row r="108" spans="1:7">
      <c r="A108" s="6">
        <v>338.8441561392028</v>
      </c>
      <c r="B108" s="6">
        <v>0.9889537849552018</v>
      </c>
      <c r="C108" s="6">
        <v>0.9889537849552018</v>
      </c>
      <c r="D108" s="6">
        <v>0.9889537849552018</v>
      </c>
      <c r="E108" s="7">
        <v>119.9035199389628</v>
      </c>
      <c r="F108" s="7">
        <v>119.9035199389628</v>
      </c>
      <c r="G108" s="7">
        <v>119.9035199389628</v>
      </c>
    </row>
    <row r="109" spans="1:7">
      <c r="A109" s="6">
        <v>342.7677865464505</v>
      </c>
      <c r="B109" s="6">
        <v>0.9889845751654822</v>
      </c>
      <c r="C109" s="6">
        <v>0.9889845751654822</v>
      </c>
      <c r="D109" s="6">
        <v>0.9889845751654822</v>
      </c>
      <c r="E109" s="7">
        <v>119.9037903623227</v>
      </c>
      <c r="F109" s="7">
        <v>119.9037903623227</v>
      </c>
      <c r="G109" s="7">
        <v>119.9037903623227</v>
      </c>
    </row>
    <row r="110" spans="1:7">
      <c r="A110" s="6">
        <v>346.7368504525317</v>
      </c>
      <c r="B110" s="6">
        <v>0.9890160838861339</v>
      </c>
      <c r="C110" s="6">
        <v>0.9890160838861339</v>
      </c>
      <c r="D110" s="6">
        <v>0.9890160838861339</v>
      </c>
      <c r="E110" s="7">
        <v>119.9040670874784</v>
      </c>
      <c r="F110" s="7">
        <v>119.9040670874784</v>
      </c>
      <c r="G110" s="7">
        <v>119.9040670874784</v>
      </c>
    </row>
    <row r="111" spans="1:7">
      <c r="A111" s="6">
        <v>350.751873952568</v>
      </c>
      <c r="B111" s="6">
        <v>0.9890483279153951</v>
      </c>
      <c r="C111" s="6">
        <v>0.9890483279153951</v>
      </c>
      <c r="D111" s="6">
        <v>0.9890483279153951</v>
      </c>
      <c r="E111" s="7">
        <v>119.9043502613508</v>
      </c>
      <c r="F111" s="7">
        <v>119.9043502613508</v>
      </c>
      <c r="G111" s="7">
        <v>119.9043502613508</v>
      </c>
    </row>
    <row r="112" spans="1:7">
      <c r="A112" s="6">
        <v>354.8133892335753</v>
      </c>
      <c r="B112" s="6">
        <v>0.9890813244457111</v>
      </c>
      <c r="C112" s="6">
        <v>0.9890813244457111</v>
      </c>
      <c r="D112" s="6">
        <v>0.9890813244457111</v>
      </c>
      <c r="E112" s="7">
        <v>119.9046400342891</v>
      </c>
      <c r="F112" s="7">
        <v>119.9046400342891</v>
      </c>
      <c r="G112" s="7">
        <v>119.9046400342891</v>
      </c>
    </row>
    <row r="113" spans="1:7">
      <c r="A113" s="6">
        <v>358.9219346450054</v>
      </c>
      <c r="B113" s="6">
        <v>0.9891150910730526</v>
      </c>
      <c r="C113" s="6">
        <v>0.9891150910730526</v>
      </c>
      <c r="D113" s="6">
        <v>0.9891150910730526</v>
      </c>
      <c r="E113" s="7">
        <v>119.904936560151</v>
      </c>
      <c r="F113" s="7">
        <v>119.904936560151</v>
      </c>
      <c r="G113" s="7">
        <v>119.904936560151</v>
      </c>
    </row>
    <row r="114" spans="1:7">
      <c r="A114" s="6">
        <v>363.0780547701014</v>
      </c>
      <c r="B114" s="6">
        <v>0.9891496458064597</v>
      </c>
      <c r="C114" s="6">
        <v>0.9891496458064597</v>
      </c>
      <c r="D114" s="6">
        <v>0.9891496458064597</v>
      </c>
      <c r="E114" s="7">
        <v>119.905239996385</v>
      </c>
      <c r="F114" s="7">
        <v>119.905239996385</v>
      </c>
      <c r="G114" s="7">
        <v>119.905239996385</v>
      </c>
    </row>
    <row r="115" spans="1:7">
      <c r="A115" s="6">
        <v>367.2823004980846</v>
      </c>
      <c r="B115" s="6">
        <v>0.9891850070778156</v>
      </c>
      <c r="C115" s="6">
        <v>0.9891850070778156</v>
      </c>
      <c r="D115" s="6">
        <v>0.9891850070778156</v>
      </c>
      <c r="E115" s="7">
        <v>119.9055505041144</v>
      </c>
      <c r="F115" s="7">
        <v>119.9055505041144</v>
      </c>
      <c r="G115" s="7">
        <v>119.9055505041144</v>
      </c>
    </row>
    <row r="116" spans="1:7">
      <c r="A116" s="6">
        <v>371.5352290971728</v>
      </c>
      <c r="B116" s="6">
        <v>0.9892211937518544</v>
      </c>
      <c r="C116" s="6">
        <v>0.9892211937518544</v>
      </c>
      <c r="D116" s="6">
        <v>0.9892211937518544</v>
      </c>
      <c r="E116" s="7">
        <v>119.9058682482227</v>
      </c>
      <c r="F116" s="7">
        <v>119.9058682482227</v>
      </c>
      <c r="G116" s="7">
        <v>119.9058682482227</v>
      </c>
    </row>
    <row r="117" spans="1:7">
      <c r="A117" s="6">
        <v>375.8374042884443</v>
      </c>
      <c r="B117" s="6">
        <v>0.9892582251364082</v>
      </c>
      <c r="C117" s="6">
        <v>0.9892582251364082</v>
      </c>
      <c r="D117" s="6">
        <v>0.9892582251364082</v>
      </c>
      <c r="E117" s="7">
        <v>119.9061933974422</v>
      </c>
      <c r="F117" s="7">
        <v>119.9061933974422</v>
      </c>
      <c r="G117" s="7">
        <v>119.9061933974422</v>
      </c>
    </row>
    <row r="118" spans="1:7">
      <c r="A118" s="6">
        <v>380.1893963205613</v>
      </c>
      <c r="B118" s="6">
        <v>0.9892961209929045</v>
      </c>
      <c r="C118" s="6">
        <v>0.9892961209929045</v>
      </c>
      <c r="D118" s="6">
        <v>0.9892961209929045</v>
      </c>
      <c r="E118" s="7">
        <v>119.9065261244436</v>
      </c>
      <c r="F118" s="7">
        <v>119.9065261244436</v>
      </c>
      <c r="G118" s="7">
        <v>119.9065261244436</v>
      </c>
    </row>
    <row r="119" spans="1:7">
      <c r="A119" s="6">
        <v>384.5917820453535</v>
      </c>
      <c r="B119" s="6">
        <v>0.9893349015471116</v>
      </c>
      <c r="C119" s="6">
        <v>0.9893349015471116</v>
      </c>
      <c r="D119" s="6">
        <v>0.9893349015471116</v>
      </c>
      <c r="E119" s="7">
        <v>119.9068666059282</v>
      </c>
      <c r="F119" s="7">
        <v>119.9068666059282</v>
      </c>
      <c r="G119" s="7">
        <v>119.9068666059282</v>
      </c>
    </row>
    <row r="120" spans="1:7">
      <c r="A120" s="6">
        <v>389.0451449942805</v>
      </c>
      <c r="B120" s="6">
        <v>0.9893745875001462</v>
      </c>
      <c r="C120" s="6">
        <v>0.9893745875001462</v>
      </c>
      <c r="D120" s="6">
        <v>0.9893745875001462</v>
      </c>
      <c r="E120" s="7">
        <v>119.9072150227222</v>
      </c>
      <c r="F120" s="7">
        <v>119.9072150227222</v>
      </c>
      <c r="G120" s="7">
        <v>119.9072150227222</v>
      </c>
    </row>
    <row r="121" spans="1:7">
      <c r="A121" s="6">
        <v>393.5500754557772</v>
      </c>
      <c r="B121" s="6">
        <v>0.9894152000397456</v>
      </c>
      <c r="C121" s="6">
        <v>0.9894152000397456</v>
      </c>
      <c r="D121" s="6">
        <v>0.9894152000397456</v>
      </c>
      <c r="E121" s="7">
        <v>119.9075715598735</v>
      </c>
      <c r="F121" s="7">
        <v>119.9075715598735</v>
      </c>
      <c r="G121" s="7">
        <v>119.9075715598735</v>
      </c>
    </row>
    <row r="122" spans="1:7">
      <c r="A122" s="6">
        <v>398.1071705534973</v>
      </c>
      <c r="B122" s="6">
        <v>0.9894567608518111</v>
      </c>
      <c r="C122" s="6">
        <v>0.9894567608518111</v>
      </c>
      <c r="D122" s="6">
        <v>0.9894567608518111</v>
      </c>
      <c r="E122" s="7">
        <v>119.90793640675</v>
      </c>
      <c r="F122" s="7">
        <v>119.90793640675</v>
      </c>
      <c r="G122" s="7">
        <v>119.90793640675</v>
      </c>
    </row>
    <row r="123" spans="1:7">
      <c r="A123" s="6">
        <v>402.7170343254591</v>
      </c>
      <c r="B123" s="6">
        <v>0.989499292132231</v>
      </c>
      <c r="C123" s="6">
        <v>0.989499292132231</v>
      </c>
      <c r="D123" s="6">
        <v>0.989499292132231</v>
      </c>
      <c r="E123" s="7">
        <v>119.9083097571409</v>
      </c>
      <c r="F123" s="7">
        <v>119.9083097571409</v>
      </c>
      <c r="G123" s="7">
        <v>119.9083097571409</v>
      </c>
    </row>
    <row r="124" spans="1:7">
      <c r="A124" s="6">
        <v>407.3802778041126</v>
      </c>
      <c r="B124" s="6">
        <v>0.9895428165989903</v>
      </c>
      <c r="C124" s="6">
        <v>0.9895428165989903</v>
      </c>
      <c r="D124" s="6">
        <v>0.9895428165989903</v>
      </c>
      <c r="E124" s="7">
        <v>119.9086918093602</v>
      </c>
      <c r="F124" s="7">
        <v>119.9086918093602</v>
      </c>
      <c r="G124" s="7">
        <v>119.9086918093602</v>
      </c>
    </row>
    <row r="125" spans="1:7">
      <c r="A125" s="6">
        <v>412.0975190973304</v>
      </c>
      <c r="B125" s="6">
        <v>0.9895873575045704</v>
      </c>
      <c r="C125" s="6">
        <v>0.9895873575045704</v>
      </c>
      <c r="D125" s="6">
        <v>0.9895873575045704</v>
      </c>
      <c r="E125" s="7">
        <v>119.9090827663527</v>
      </c>
      <c r="F125" s="7">
        <v>119.9090827663527</v>
      </c>
      <c r="G125" s="7">
        <v>119.9090827663527</v>
      </c>
    </row>
    <row r="126" spans="1:7">
      <c r="A126" s="6">
        <v>416.8693834703355</v>
      </c>
      <c r="B126" s="6">
        <v>0.9896329386486511</v>
      </c>
      <c r="C126" s="6">
        <v>0.9896329386486511</v>
      </c>
      <c r="D126" s="6">
        <v>0.9896329386486511</v>
      </c>
      <c r="E126" s="7">
        <v>119.9094828358022</v>
      </c>
      <c r="F126" s="7">
        <v>119.9094828358022</v>
      </c>
      <c r="G126" s="7">
        <v>119.9094828358022</v>
      </c>
    </row>
    <row r="127" spans="1:7">
      <c r="A127" s="6">
        <v>421.6965034285823</v>
      </c>
      <c r="B127" s="6">
        <v>0.989679584391121</v>
      </c>
      <c r="C127" s="6">
        <v>0.989679584391121</v>
      </c>
      <c r="D127" s="6">
        <v>0.989679584391121</v>
      </c>
      <c r="E127" s="7">
        <v>119.9098922302424</v>
      </c>
      <c r="F127" s="7">
        <v>119.9098922302424</v>
      </c>
      <c r="G127" s="7">
        <v>119.9098922302424</v>
      </c>
    </row>
    <row r="128" spans="1:7">
      <c r="A128" s="6">
        <v>426.5795188015925</v>
      </c>
      <c r="B128" s="6">
        <v>0.9897273196654012</v>
      </c>
      <c r="C128" s="6">
        <v>0.9897273196654012</v>
      </c>
      <c r="D128" s="6">
        <v>0.9897273196654012</v>
      </c>
      <c r="E128" s="7">
        <v>119.9103111671709</v>
      </c>
      <c r="F128" s="7">
        <v>119.9103111671709</v>
      </c>
      <c r="G128" s="7">
        <v>119.9103111671709</v>
      </c>
    </row>
    <row r="129" spans="1:7">
      <c r="A129" s="6">
        <v>431.519076827765</v>
      </c>
      <c r="B129" s="6">
        <v>0.9897761699920954</v>
      </c>
      <c r="C129" s="6">
        <v>0.9897761699920954</v>
      </c>
      <c r="D129" s="6">
        <v>0.9897761699920954</v>
      </c>
      <c r="E129" s="7">
        <v>119.9107398691649</v>
      </c>
      <c r="F129" s="7">
        <v>119.9107398691649</v>
      </c>
      <c r="G129" s="7">
        <v>119.9107398691649</v>
      </c>
    </row>
    <row r="130" spans="1:7">
      <c r="A130" s="6">
        <v>436.5158322401661</v>
      </c>
      <c r="B130" s="6">
        <v>0.989826161492967</v>
      </c>
      <c r="C130" s="6">
        <v>0.989826161492967</v>
      </c>
      <c r="D130" s="6">
        <v>0.989826161492967</v>
      </c>
      <c r="E130" s="7">
        <v>119.9111785640003</v>
      </c>
      <c r="F130" s="7">
        <v>119.9111785640003</v>
      </c>
      <c r="G130" s="7">
        <v>119.9111785640003</v>
      </c>
    </row>
    <row r="131" spans="1:7">
      <c r="A131" s="6">
        <v>441.5704473533125</v>
      </c>
      <c r="B131" s="6">
        <v>0.9898773209052623</v>
      </c>
      <c r="C131" s="6">
        <v>0.9898773209052623</v>
      </c>
      <c r="D131" s="6">
        <v>0.9898773209052623</v>
      </c>
      <c r="E131" s="7">
        <v>119.9116274847737</v>
      </c>
      <c r="F131" s="7">
        <v>119.9116274847737</v>
      </c>
      <c r="G131" s="7">
        <v>119.9116274847737</v>
      </c>
    </row>
    <row r="132" spans="1:7">
      <c r="A132" s="6">
        <v>446.683592150963</v>
      </c>
      <c r="B132" s="6">
        <v>0.9899296755963758</v>
      </c>
      <c r="C132" s="6">
        <v>0.9899296755963758</v>
      </c>
      <c r="D132" s="6">
        <v>0.9899296755963758</v>
      </c>
      <c r="E132" s="7">
        <v>119.9120868700269</v>
      </c>
      <c r="F132" s="7">
        <v>119.9120868700269</v>
      </c>
      <c r="G132" s="7">
        <v>119.9120868700269</v>
      </c>
    </row>
    <row r="133" spans="1:7">
      <c r="A133" s="6">
        <v>451.8559443749226</v>
      </c>
      <c r="B133" s="6">
        <v>0.9899832535788778</v>
      </c>
      <c r="C133" s="6">
        <v>0.9899832535788778</v>
      </c>
      <c r="D133" s="6">
        <v>0.9899832535788778</v>
      </c>
      <c r="E133" s="7">
        <v>119.9125569638743</v>
      </c>
      <c r="F133" s="7">
        <v>119.9125569638743</v>
      </c>
      <c r="G133" s="7">
        <v>119.9125569638743</v>
      </c>
    </row>
    <row r="134" spans="1:7">
      <c r="A134" s="6">
        <v>457.0881896148752</v>
      </c>
      <c r="B134" s="6">
        <v>0.9900380835259075</v>
      </c>
      <c r="C134" s="6">
        <v>0.9900380835259075</v>
      </c>
      <c r="D134" s="6">
        <v>0.9900380835259075</v>
      </c>
      <c r="E134" s="7">
        <v>119.9130380161336</v>
      </c>
      <c r="F134" s="7">
        <v>119.9130380161336</v>
      </c>
      <c r="G134" s="7">
        <v>119.9130380161336</v>
      </c>
    </row>
    <row r="135" spans="1:7">
      <c r="A135" s="6">
        <v>462.3810213992604</v>
      </c>
      <c r="B135" s="6">
        <v>0.9900941947869379</v>
      </c>
      <c r="C135" s="6">
        <v>0.9900941947869379</v>
      </c>
      <c r="D135" s="6">
        <v>0.9900941947869379</v>
      </c>
      <c r="E135" s="7">
        <v>119.9135302824597</v>
      </c>
      <c r="F135" s="7">
        <v>119.9135302824597</v>
      </c>
      <c r="G135" s="7">
        <v>119.9135302824597</v>
      </c>
    </row>
    <row r="136" spans="1:7">
      <c r="A136" s="6">
        <v>467.7351412871981</v>
      </c>
      <c r="B136" s="6">
        <v>0.9901516174039324</v>
      </c>
      <c r="C136" s="6">
        <v>0.9901516174039324</v>
      </c>
      <c r="D136" s="6">
        <v>0.9901516174039324</v>
      </c>
      <c r="E136" s="7">
        <v>119.914034024481</v>
      </c>
      <c r="F136" s="7">
        <v>119.914034024481</v>
      </c>
      <c r="G136" s="7">
        <v>119.914034024481</v>
      </c>
    </row>
    <row r="137" spans="1:7">
      <c r="A137" s="6">
        <v>473.1512589614803</v>
      </c>
      <c r="B137" s="6">
        <v>0.9902103821278904</v>
      </c>
      <c r="C137" s="6">
        <v>0.9902103821278904</v>
      </c>
      <c r="D137" s="6">
        <v>0.9902103821278904</v>
      </c>
      <c r="E137" s="7">
        <v>119.9145495099399</v>
      </c>
      <c r="F137" s="7">
        <v>119.9145495099399</v>
      </c>
      <c r="G137" s="7">
        <v>119.9145495099399</v>
      </c>
    </row>
    <row r="138" spans="1:7">
      <c r="A138" s="6">
        <v>478.6300923226385</v>
      </c>
      <c r="B138" s="6">
        <v>0.990270520435805</v>
      </c>
      <c r="C138" s="6">
        <v>0.990270520435805</v>
      </c>
      <c r="D138" s="6">
        <v>0.990270520435805</v>
      </c>
      <c r="E138" s="7">
        <v>119.9150770128359</v>
      </c>
      <c r="F138" s="7">
        <v>119.9150770128359</v>
      </c>
      <c r="G138" s="7">
        <v>119.9150770128359</v>
      </c>
    </row>
    <row r="139" spans="1:7">
      <c r="A139" s="6">
        <v>484.1723675840994</v>
      </c>
      <c r="B139" s="6">
        <v>0.990332064548027</v>
      </c>
      <c r="C139" s="6">
        <v>0.990332064548027</v>
      </c>
      <c r="D139" s="6">
        <v>0.990332064548027</v>
      </c>
      <c r="E139" s="7">
        <v>119.9156168135721</v>
      </c>
      <c r="F139" s="7">
        <v>119.9156168135721</v>
      </c>
      <c r="G139" s="7">
        <v>119.9156168135721</v>
      </c>
    </row>
    <row r="140" spans="1:7">
      <c r="A140" s="6">
        <v>489.7788193684461</v>
      </c>
      <c r="B140" s="6">
        <v>0.9903950474460659</v>
      </c>
      <c r="C140" s="6">
        <v>0.9903950474460659</v>
      </c>
      <c r="D140" s="6">
        <v>0.9903950474460659</v>
      </c>
      <c r="E140" s="7">
        <v>119.916169199106</v>
      </c>
      <c r="F140" s="7">
        <v>119.916169199106</v>
      </c>
      <c r="G140" s="7">
        <v>119.916169199106</v>
      </c>
    </row>
    <row r="141" spans="1:7">
      <c r="A141" s="6">
        <v>495.4501908047906</v>
      </c>
      <c r="B141" s="6">
        <v>0.9904595028908197</v>
      </c>
      <c r="C141" s="6">
        <v>0.9904595028908197</v>
      </c>
      <c r="D141" s="6">
        <v>0.9904595028908197</v>
      </c>
      <c r="E141" s="7">
        <v>119.9167344631026</v>
      </c>
      <c r="F141" s="7">
        <v>119.9167344631026</v>
      </c>
      <c r="G141" s="7">
        <v>119.9167344631026</v>
      </c>
    </row>
    <row r="142" spans="1:7">
      <c r="A142" s="6">
        <v>501.1872336272725</v>
      </c>
      <c r="B142" s="6">
        <v>0.9905254654412567</v>
      </c>
      <c r="C142" s="6">
        <v>0.9905254654412567</v>
      </c>
      <c r="D142" s="6">
        <v>0.9905254654412567</v>
      </c>
      <c r="E142" s="7">
        <v>119.9173129060921</v>
      </c>
      <c r="F142" s="7">
        <v>119.9173129060921</v>
      </c>
      <c r="G142" s="7">
        <v>119.9173129060921</v>
      </c>
    </row>
    <row r="143" spans="1:7">
      <c r="A143" s="6">
        <v>506.9907082747044</v>
      </c>
      <c r="B143" s="6">
        <v>0.9905929704735587</v>
      </c>
      <c r="C143" s="6">
        <v>0.9905929704735587</v>
      </c>
      <c r="D143" s="6">
        <v>0.9905929704735587</v>
      </c>
      <c r="E143" s="7">
        <v>119.9179048356306</v>
      </c>
      <c r="F143" s="7">
        <v>119.9179048356306</v>
      </c>
      <c r="G143" s="7">
        <v>119.9179048356306</v>
      </c>
    </row>
    <row r="144" spans="1:7">
      <c r="A144" s="6">
        <v>512.8613839913648</v>
      </c>
      <c r="B144" s="6">
        <v>0.9906620542007341</v>
      </c>
      <c r="C144" s="6">
        <v>0.9906620542007341</v>
      </c>
      <c r="D144" s="6">
        <v>0.9906620542007341</v>
      </c>
      <c r="E144" s="7">
        <v>119.9185105664657</v>
      </c>
      <c r="F144" s="7">
        <v>119.9185105664657</v>
      </c>
      <c r="G144" s="7">
        <v>119.9185105664657</v>
      </c>
    </row>
    <row r="145" spans="1:7">
      <c r="A145" s="6">
        <v>518.8000389289609</v>
      </c>
      <c r="B145" s="6">
        <v>0.990732753692714</v>
      </c>
      <c r="C145" s="6">
        <v>0.990732753692714</v>
      </c>
      <c r="D145" s="6">
        <v>0.990732753692714</v>
      </c>
      <c r="E145" s="7">
        <v>119.9191304207043</v>
      </c>
      <c r="F145" s="7">
        <v>119.9191304207043</v>
      </c>
      <c r="G145" s="7">
        <v>119.9191304207043</v>
      </c>
    </row>
    <row r="146" spans="1:7">
      <c r="A146" s="6">
        <v>524.8074602497722</v>
      </c>
      <c r="B146" s="6">
        <v>0.9908051068969491</v>
      </c>
      <c r="C146" s="6">
        <v>0.9908051068969491</v>
      </c>
      <c r="D146" s="6">
        <v>0.9908051068969491</v>
      </c>
      <c r="E146" s="7">
        <v>119.9197647279863</v>
      </c>
      <c r="F146" s="7">
        <v>119.9197647279863</v>
      </c>
      <c r="G146" s="7">
        <v>119.9197647279863</v>
      </c>
    </row>
    <row r="147" spans="1:7">
      <c r="A147" s="6">
        <v>530.8844442309885</v>
      </c>
      <c r="B147" s="6">
        <v>0.9908791526595128</v>
      </c>
      <c r="C147" s="6">
        <v>0.9908791526595128</v>
      </c>
      <c r="D147" s="6">
        <v>0.9908791526595128</v>
      </c>
      <c r="E147" s="7">
        <v>119.9204138256606</v>
      </c>
      <c r="F147" s="7">
        <v>119.9204138256606</v>
      </c>
      <c r="G147" s="7">
        <v>119.9204138256606</v>
      </c>
    </row>
    <row r="148" spans="1:7">
      <c r="A148" s="6">
        <v>537.0317963702527</v>
      </c>
      <c r="B148" s="6">
        <v>0.9909549307467305</v>
      </c>
      <c r="C148" s="6">
        <v>0.9909549307467305</v>
      </c>
      <c r="D148" s="6">
        <v>0.9909549307467305</v>
      </c>
      <c r="E148" s="7">
        <v>119.921078058967</v>
      </c>
      <c r="F148" s="7">
        <v>119.921078058967</v>
      </c>
      <c r="G148" s="7">
        <v>119.921078058967</v>
      </c>
    </row>
    <row r="149" spans="1:7">
      <c r="A149" s="6">
        <v>543.250331492433</v>
      </c>
      <c r="B149" s="6">
        <v>0.9910324818673421</v>
      </c>
      <c r="C149" s="6">
        <v>0.9910324818673421</v>
      </c>
      <c r="D149" s="6">
        <v>0.9910324818673421</v>
      </c>
      <c r="E149" s="7">
        <v>119.9217577812205</v>
      </c>
      <c r="F149" s="7">
        <v>119.9217577812205</v>
      </c>
      <c r="G149" s="7">
        <v>119.9217577812205</v>
      </c>
    </row>
    <row r="150" spans="1:7">
      <c r="A150" s="6">
        <v>549.5408738576248</v>
      </c>
      <c r="B150" s="6">
        <v>0.9911118476952173</v>
      </c>
      <c r="C150" s="6">
        <v>0.9911118476952173</v>
      </c>
      <c r="D150" s="6">
        <v>0.9911118476952173</v>
      </c>
      <c r="E150" s="7">
        <v>119.922453354002</v>
      </c>
      <c r="F150" s="7">
        <v>119.922453354002</v>
      </c>
      <c r="G150" s="7">
        <v>119.922453354002</v>
      </c>
    </row>
    <row r="151" spans="1:7">
      <c r="A151" s="6">
        <v>555.9042572704037</v>
      </c>
      <c r="B151" s="6">
        <v>0.991193070892638</v>
      </c>
      <c r="C151" s="6">
        <v>0.991193070892638</v>
      </c>
      <c r="D151" s="6">
        <v>0.991193070892638</v>
      </c>
      <c r="E151" s="7">
        <v>119.9231651473519</v>
      </c>
      <c r="F151" s="7">
        <v>119.9231651473519</v>
      </c>
      <c r="G151" s="7">
        <v>119.9231651473519</v>
      </c>
    </row>
    <row r="152" spans="1:7">
      <c r="A152" s="6">
        <v>562.341325190349</v>
      </c>
      <c r="B152" s="6">
        <v>0.9912761951341563</v>
      </c>
      <c r="C152" s="6">
        <v>0.9912761951341563</v>
      </c>
      <c r="D152" s="6">
        <v>0.9912761951341563</v>
      </c>
      <c r="E152" s="7">
        <v>119.923893539969</v>
      </c>
      <c r="F152" s="7">
        <v>119.923893539969</v>
      </c>
      <c r="G152" s="7">
        <v>119.923893539969</v>
      </c>
    </row>
    <row r="153" spans="1:7">
      <c r="A153" s="6">
        <v>568.8529308438414</v>
      </c>
      <c r="B153" s="6">
        <v>0.9913612651310517</v>
      </c>
      <c r="C153" s="6">
        <v>0.9913612651310517</v>
      </c>
      <c r="D153" s="6">
        <v>0.9913612651310517</v>
      </c>
      <c r="E153" s="7">
        <v>119.9246389194141</v>
      </c>
      <c r="F153" s="7">
        <v>119.9246389194141</v>
      </c>
      <c r="G153" s="7">
        <v>119.9246389194141</v>
      </c>
    </row>
    <row r="154" spans="1:7">
      <c r="A154" s="6">
        <v>575.4399373371566</v>
      </c>
      <c r="B154" s="6">
        <v>0.9914483266563995</v>
      </c>
      <c r="C154" s="6">
        <v>0.9914483266563995</v>
      </c>
      <c r="D154" s="6">
        <v>0.9914483266563995</v>
      </c>
      <c r="E154" s="7">
        <v>119.9254016823183</v>
      </c>
      <c r="F154" s="7">
        <v>119.9254016823183</v>
      </c>
      <c r="G154" s="7">
        <v>119.9254016823183</v>
      </c>
    </row>
    <row r="155" spans="1:7">
      <c r="A155" s="6">
        <v>582.1032177708715</v>
      </c>
      <c r="B155" s="6">
        <v>0.9915374265707637</v>
      </c>
      <c r="C155" s="6">
        <v>0.9915374265707637</v>
      </c>
      <c r="D155" s="6">
        <v>0.9915374265707637</v>
      </c>
      <c r="E155" s="7">
        <v>119.9261822345963</v>
      </c>
      <c r="F155" s="7">
        <v>119.9261822345963</v>
      </c>
      <c r="G155" s="7">
        <v>119.9261822345963</v>
      </c>
    </row>
    <row r="156" spans="1:7">
      <c r="A156" s="6">
        <v>588.843655355589</v>
      </c>
      <c r="B156" s="6">
        <v>0.9916286128485371</v>
      </c>
      <c r="C156" s="6">
        <v>0.9916286128485371</v>
      </c>
      <c r="D156" s="6">
        <v>0.9916286128485371</v>
      </c>
      <c r="E156" s="7">
        <v>119.9269809916646</v>
      </c>
      <c r="F156" s="7">
        <v>119.9269809916646</v>
      </c>
      <c r="G156" s="7">
        <v>119.9269809916646</v>
      </c>
    </row>
    <row r="157" spans="1:7">
      <c r="A157" s="6">
        <v>595.6621435290103</v>
      </c>
      <c r="B157" s="6">
        <v>0.9917219346049413</v>
      </c>
      <c r="C157" s="6">
        <v>0.9917219346049413</v>
      </c>
      <c r="D157" s="6">
        <v>0.9917219346049413</v>
      </c>
      <c r="E157" s="7">
        <v>119.9277983786652</v>
      </c>
      <c r="F157" s="7">
        <v>119.9277983786652</v>
      </c>
      <c r="G157" s="7">
        <v>119.9277983786652</v>
      </c>
    </row>
    <row r="158" spans="1:7">
      <c r="A158" s="6">
        <v>602.5595860743581</v>
      </c>
      <c r="B158" s="6">
        <v>0.9918174421237068</v>
      </c>
      <c r="C158" s="6">
        <v>0.9918174421237068</v>
      </c>
      <c r="D158" s="6">
        <v>0.9918174421237068</v>
      </c>
      <c r="E158" s="7">
        <v>119.9286348306943</v>
      </c>
      <c r="F158" s="7">
        <v>119.9286348306943</v>
      </c>
      <c r="G158" s="7">
        <v>119.9286348306943</v>
      </c>
    </row>
    <row r="159" spans="1:7">
      <c r="A159" s="6">
        <v>609.5368972401693</v>
      </c>
      <c r="B159" s="6">
        <v>0.9919151868854474</v>
      </c>
      <c r="C159" s="6">
        <v>0.9919151868854474</v>
      </c>
      <c r="D159" s="6">
        <v>0.9919151868854474</v>
      </c>
      <c r="E159" s="7">
        <v>119.9294907930366</v>
      </c>
      <c r="F159" s="7">
        <v>119.9294907930366</v>
      </c>
      <c r="G159" s="7">
        <v>119.9294907930366</v>
      </c>
    </row>
    <row r="160" spans="1:7">
      <c r="A160" s="6">
        <v>616.5950018614822</v>
      </c>
      <c r="B160" s="6">
        <v>0.9920152215967556</v>
      </c>
      <c r="C160" s="6">
        <v>0.9920152215967556</v>
      </c>
      <c r="D160" s="6">
        <v>0.9920152215967556</v>
      </c>
      <c r="E160" s="7">
        <v>119.9303667214053</v>
      </c>
      <c r="F160" s="7">
        <v>119.9303667214053</v>
      </c>
      <c r="G160" s="7">
        <v>119.9303667214053</v>
      </c>
    </row>
    <row r="161" spans="1:7">
      <c r="A161" s="6">
        <v>623.7348354824192</v>
      </c>
      <c r="B161" s="6">
        <v>0.9921176002200275</v>
      </c>
      <c r="C161" s="6">
        <v>0.9921176002200275</v>
      </c>
      <c r="D161" s="6">
        <v>0.9921176002200275</v>
      </c>
      <c r="E161" s="7">
        <v>119.9312630821873</v>
      </c>
      <c r="F161" s="7">
        <v>119.9312630821873</v>
      </c>
      <c r="G161" s="7">
        <v>119.9312630821873</v>
      </c>
    </row>
    <row r="162" spans="1:7">
      <c r="A162" s="6">
        <v>630.957344480193</v>
      </c>
      <c r="B162" s="6">
        <v>0.9922223780040469</v>
      </c>
      <c r="C162" s="6">
        <v>0.9922223780040469</v>
      </c>
      <c r="D162" s="6">
        <v>0.9922223780040469</v>
      </c>
      <c r="E162" s="7">
        <v>119.9321803526947</v>
      </c>
      <c r="F162" s="7">
        <v>119.9321803526947</v>
      </c>
      <c r="G162" s="7">
        <v>119.9321803526947</v>
      </c>
    </row>
    <row r="163" spans="1:7">
      <c r="A163" s="6">
        <v>638.263486190549</v>
      </c>
      <c r="B163" s="6">
        <v>0.9923296115153447</v>
      </c>
      <c r="C163" s="6">
        <v>0.9923296115153447</v>
      </c>
      <c r="D163" s="6">
        <v>0.9923296115153447</v>
      </c>
      <c r="E163" s="7">
        <v>119.9331190214224</v>
      </c>
      <c r="F163" s="7">
        <v>119.9331190214224</v>
      </c>
      <c r="G163" s="7">
        <v>119.9331190214224</v>
      </c>
    </row>
    <row r="164" spans="1:7">
      <c r="A164" s="6">
        <v>645.6542290346556</v>
      </c>
      <c r="B164" s="6">
        <v>0.9924393586703519</v>
      </c>
      <c r="C164" s="6">
        <v>0.9924393586703519</v>
      </c>
      <c r="D164" s="6">
        <v>0.9924393586703519</v>
      </c>
      <c r="E164" s="7">
        <v>119.9340795883113</v>
      </c>
      <c r="F164" s="7">
        <v>119.9340795883113</v>
      </c>
      <c r="G164" s="7">
        <v>119.9340795883113</v>
      </c>
    </row>
    <row r="165" spans="1:7">
      <c r="A165" s="6">
        <v>653.1305526474723</v>
      </c>
      <c r="B165" s="6">
        <v>0.9925516787683744</v>
      </c>
      <c r="C165" s="6">
        <v>0.9925516787683744</v>
      </c>
      <c r="D165" s="6">
        <v>0.9925516787683744</v>
      </c>
      <c r="E165" s="7">
        <v>119.9350625650182</v>
      </c>
      <c r="F165" s="7">
        <v>119.9350625650182</v>
      </c>
      <c r="G165" s="7">
        <v>119.9350625650182</v>
      </c>
    </row>
    <row r="166" spans="1:7">
      <c r="A166" s="6">
        <v>660.6934480075964</v>
      </c>
      <c r="B166" s="6">
        <v>0.9926666325254068</v>
      </c>
      <c r="C166" s="6">
        <v>0.9926666325254068</v>
      </c>
      <c r="D166" s="6">
        <v>0.9926666325254068</v>
      </c>
      <c r="E166" s="7">
        <v>119.9360684751919</v>
      </c>
      <c r="F166" s="7">
        <v>119.9360684751919</v>
      </c>
      <c r="G166" s="7">
        <v>119.9360684751919</v>
      </c>
    </row>
    <row r="167" spans="1:7">
      <c r="A167" s="6">
        <v>668.3439175686149</v>
      </c>
      <c r="B167" s="6">
        <v>0.99278428210881</v>
      </c>
      <c r="C167" s="6">
        <v>0.99278428210881</v>
      </c>
      <c r="D167" s="6">
        <v>0.99278428210881</v>
      </c>
      <c r="E167" s="7">
        <v>119.9370978547561</v>
      </c>
      <c r="F167" s="7">
        <v>119.9370978547561</v>
      </c>
      <c r="G167" s="7">
        <v>119.9370978547561</v>
      </c>
    </row>
    <row r="168" spans="1:7">
      <c r="A168" s="6">
        <v>676.0829753919819</v>
      </c>
      <c r="B168" s="6">
        <v>0.9929046911728768</v>
      </c>
      <c r="C168" s="6">
        <v>0.9929046911728768</v>
      </c>
      <c r="D168" s="6">
        <v>0.9929046911728768</v>
      </c>
      <c r="E168" s="7">
        <v>119.9381512521988</v>
      </c>
      <c r="F168" s="7">
        <v>119.9381512521988</v>
      </c>
      <c r="G168" s="7">
        <v>119.9381512521988</v>
      </c>
    </row>
    <row r="169" spans="1:7">
      <c r="A169" s="6">
        <v>683.9116472814293</v>
      </c>
      <c r="B169" s="6">
        <v>0.9930279248953106</v>
      </c>
      <c r="C169" s="6">
        <v>0.9930279248953106</v>
      </c>
      <c r="D169" s="6">
        <v>0.9930279248953106</v>
      </c>
      <c r="E169" s="7">
        <v>119.9392292288687</v>
      </c>
      <c r="F169" s="7">
        <v>119.9392292288687</v>
      </c>
      <c r="G169" s="7">
        <v>119.9392292288687</v>
      </c>
    </row>
    <row r="170" spans="1:7">
      <c r="A170" s="6">
        <v>691.8309709189363</v>
      </c>
      <c r="B170" s="6">
        <v>0.9931540500146366</v>
      </c>
      <c r="C170" s="6">
        <v>0.9931540500146366</v>
      </c>
      <c r="D170" s="6">
        <v>0.9931540500146366</v>
      </c>
      <c r="E170" s="7">
        <v>119.9403323592791</v>
      </c>
      <c r="F170" s="7">
        <v>119.9403323592791</v>
      </c>
      <c r="G170" s="7">
        <v>119.9403323592791</v>
      </c>
    </row>
    <row r="171" spans="1:7">
      <c r="A171" s="6">
        <v>699.841996002273</v>
      </c>
      <c r="B171" s="6">
        <v>0.9932831348685847</v>
      </c>
      <c r="C171" s="6">
        <v>0.9932831348685847</v>
      </c>
      <c r="D171" s="6">
        <v>0.9932831348685847</v>
      </c>
      <c r="E171" s="7">
        <v>119.9414612314181</v>
      </c>
      <c r="F171" s="7">
        <v>119.9414612314181</v>
      </c>
      <c r="G171" s="7">
        <v>119.9414612314181</v>
      </c>
    </row>
    <row r="172" spans="1:7">
      <c r="A172" s="6">
        <v>707.9457843841381</v>
      </c>
      <c r="B172" s="6">
        <v>0.9934152494334537</v>
      </c>
      <c r="C172" s="6">
        <v>0.9934152494334537</v>
      </c>
      <c r="D172" s="6">
        <v>0.9934152494334537</v>
      </c>
      <c r="E172" s="7">
        <v>119.9426164470671</v>
      </c>
      <c r="F172" s="7">
        <v>119.9426164470671</v>
      </c>
      <c r="G172" s="7">
        <v>119.9426164470671</v>
      </c>
    </row>
    <row r="173" spans="1:7">
      <c r="A173" s="6">
        <v>716.143410212902</v>
      </c>
      <c r="B173" s="6">
        <v>0.9935504653644979</v>
      </c>
      <c r="C173" s="6">
        <v>0.9935504653644979</v>
      </c>
      <c r="D173" s="6">
        <v>0.9935504653644979</v>
      </c>
      <c r="E173" s="7">
        <v>119.9437986221267</v>
      </c>
      <c r="F173" s="7">
        <v>119.9437986221267</v>
      </c>
      <c r="G173" s="7">
        <v>119.9437986221267</v>
      </c>
    </row>
    <row r="174" spans="1:7">
      <c r="A174" s="6">
        <v>724.4359600749899</v>
      </c>
      <c r="B174" s="6">
        <v>0.9936888560373606</v>
      </c>
      <c r="C174" s="6">
        <v>0.9936888560373606</v>
      </c>
      <c r="D174" s="6">
        <v>0.9936888560373606</v>
      </c>
      <c r="E174" s="7">
        <v>119.9450083869501</v>
      </c>
      <c r="F174" s="7">
        <v>119.9450083869501</v>
      </c>
      <c r="G174" s="7">
        <v>119.9450083869501</v>
      </c>
    </row>
    <row r="175" spans="1:7">
      <c r="A175" s="6">
        <v>732.8245331389045</v>
      </c>
      <c r="B175" s="6">
        <v>0.9938304965905793</v>
      </c>
      <c r="C175" s="6">
        <v>0.9938304965905793</v>
      </c>
      <c r="D175" s="6">
        <v>0.9938304965905793</v>
      </c>
      <c r="E175" s="7">
        <v>119.9462463866848</v>
      </c>
      <c r="F175" s="7">
        <v>119.9462463866848</v>
      </c>
      <c r="G175" s="7">
        <v>119.9462463866848</v>
      </c>
    </row>
    <row r="176" spans="1:7">
      <c r="A176" s="6">
        <v>741.3102413009177</v>
      </c>
      <c r="B176" s="6">
        <v>0.9939754639692026</v>
      </c>
      <c r="C176" s="6">
        <v>0.9939754639692026</v>
      </c>
      <c r="D176" s="6">
        <v>0.9939754639692026</v>
      </c>
      <c r="E176" s="7">
        <v>119.9475132816223</v>
      </c>
      <c r="F176" s="7">
        <v>119.9475132816223</v>
      </c>
      <c r="G176" s="7">
        <v>119.9475132816223</v>
      </c>
    </row>
    <row r="177" spans="1:7">
      <c r="A177" s="6">
        <v>749.8942093324558</v>
      </c>
      <c r="B177" s="6">
        <v>0.994123836969538</v>
      </c>
      <c r="C177" s="6">
        <v>0.994123836969538</v>
      </c>
      <c r="D177" s="6">
        <v>0.994123836969538</v>
      </c>
      <c r="E177" s="7">
        <v>119.9488097475563</v>
      </c>
      <c r="F177" s="7">
        <v>119.9488097475563</v>
      </c>
      <c r="G177" s="7">
        <v>119.9488097475563</v>
      </c>
    </row>
    <row r="178" spans="1:7">
      <c r="A178" s="6">
        <v>758.5775750291835</v>
      </c>
      <c r="B178" s="6">
        <v>0.9942756962850738</v>
      </c>
      <c r="C178" s="6">
        <v>0.9942756962850738</v>
      </c>
      <c r="D178" s="6">
        <v>0.9942756962850738</v>
      </c>
      <c r="E178" s="7">
        <v>119.9501364761496</v>
      </c>
      <c r="F178" s="7">
        <v>119.9501364761496</v>
      </c>
      <c r="G178" s="7">
        <v>119.9501364761496</v>
      </c>
    </row>
    <row r="179" spans="1:7">
      <c r="A179" s="6">
        <v>767.3614893618186</v>
      </c>
      <c r="B179" s="6">
        <v>0.9944311245536024</v>
      </c>
      <c r="C179" s="6">
        <v>0.9944311245536024</v>
      </c>
      <c r="D179" s="6">
        <v>0.9944311245536024</v>
      </c>
      <c r="E179" s="7">
        <v>119.9514941753094</v>
      </c>
      <c r="F179" s="7">
        <v>119.9514941753094</v>
      </c>
      <c r="G179" s="7">
        <v>119.9514941753094</v>
      </c>
    </row>
    <row r="180" spans="1:7">
      <c r="A180" s="6">
        <v>776.247116628692</v>
      </c>
      <c r="B180" s="6">
        <v>0.9945902064055812</v>
      </c>
      <c r="C180" s="6">
        <v>0.9945902064055812</v>
      </c>
      <c r="D180" s="6">
        <v>0.9945902064055812</v>
      </c>
      <c r="E180" s="7">
        <v>119.9528835695719</v>
      </c>
      <c r="F180" s="7">
        <v>119.9528835695719</v>
      </c>
      <c r="G180" s="7">
        <v>119.9528835695719</v>
      </c>
    </row>
    <row r="181" spans="1:7">
      <c r="A181" s="6">
        <v>785.2356346100718</v>
      </c>
      <c r="B181" s="6">
        <v>0.9947530285137666</v>
      </c>
      <c r="C181" s="6">
        <v>0.9947530285137666</v>
      </c>
      <c r="D181" s="6">
        <v>0.9947530285137666</v>
      </c>
      <c r="E181" s="7">
        <v>119.9543054004965</v>
      </c>
      <c r="F181" s="7">
        <v>119.9543054004965</v>
      </c>
      <c r="G181" s="7">
        <v>119.9543054004965</v>
      </c>
    </row>
    <row r="182" spans="1:7">
      <c r="A182" s="6">
        <v>794.3282347242813</v>
      </c>
      <c r="B182" s="6">
        <v>0.9949196796441563</v>
      </c>
      <c r="C182" s="6">
        <v>0.9949196796441563</v>
      </c>
      <c r="D182" s="6">
        <v>0.9949196796441563</v>
      </c>
      <c r="E182" s="7">
        <v>119.9557604270685</v>
      </c>
      <c r="F182" s="7">
        <v>119.9557604270685</v>
      </c>
      <c r="G182" s="7">
        <v>119.9557604270685</v>
      </c>
    </row>
    <row r="183" spans="1:7">
      <c r="A183" s="6">
        <v>803.5261221856177</v>
      </c>
      <c r="B183" s="6">
        <v>0.9950902507082785</v>
      </c>
      <c r="C183" s="6">
        <v>0.9950902507082785</v>
      </c>
      <c r="D183" s="6">
        <v>0.9950902507082785</v>
      </c>
      <c r="E183" s="7">
        <v>119.9572494261126</v>
      </c>
      <c r="F183" s="7">
        <v>119.9572494261126</v>
      </c>
      <c r="G183" s="7">
        <v>119.9572494261126</v>
      </c>
    </row>
    <row r="184" spans="1:7">
      <c r="A184" s="6">
        <v>812.8305161640995</v>
      </c>
      <c r="B184" s="6">
        <v>0.9952648348168737</v>
      </c>
      <c r="C184" s="6">
        <v>0.9952648348168737</v>
      </c>
      <c r="D184" s="6">
        <v>0.9952648348168737</v>
      </c>
      <c r="E184" s="7">
        <v>119.9587731927156</v>
      </c>
      <c r="F184" s="7">
        <v>119.9587731927156</v>
      </c>
      <c r="G184" s="7">
        <v>119.9587731927156</v>
      </c>
    </row>
    <row r="185" spans="1:7">
      <c r="A185" s="6">
        <v>822.2426499470712</v>
      </c>
      <c r="B185" s="6">
        <v>0.9954435273349908</v>
      </c>
      <c r="C185" s="6">
        <v>0.9954435273349908</v>
      </c>
      <c r="D185" s="6">
        <v>0.9954435273349908</v>
      </c>
      <c r="E185" s="7">
        <v>119.9603325406595</v>
      </c>
      <c r="F185" s="7">
        <v>119.9603325406595</v>
      </c>
      <c r="G185" s="7">
        <v>119.9603325406595</v>
      </c>
    </row>
    <row r="186" spans="1:7">
      <c r="A186" s="6">
        <v>831.7637711026708</v>
      </c>
      <c r="B186" s="6">
        <v>0.995626425938566</v>
      </c>
      <c r="C186" s="6">
        <v>0.995626425938566</v>
      </c>
      <c r="D186" s="6">
        <v>0.995626425938566</v>
      </c>
      <c r="E186" s="7">
        <v>119.9619283028651</v>
      </c>
      <c r="F186" s="7">
        <v>119.9619283028651</v>
      </c>
      <c r="G186" s="7">
        <v>119.9619283028651</v>
      </c>
    </row>
    <row r="187" spans="1:7">
      <c r="A187" s="6">
        <v>841.3951416451947</v>
      </c>
      <c r="B187" s="6">
        <v>0.9958136306725017</v>
      </c>
      <c r="C187" s="6">
        <v>0.9958136306725017</v>
      </c>
      <c r="D187" s="6">
        <v>0.9958136306725017</v>
      </c>
      <c r="E187" s="7">
        <v>119.9635613318464</v>
      </c>
      <c r="F187" s="7">
        <v>119.9635613318464</v>
      </c>
      <c r="G187" s="7">
        <v>119.9635613318464</v>
      </c>
    </row>
    <row r="188" spans="1:7">
      <c r="A188" s="6">
        <v>851.1380382023768</v>
      </c>
      <c r="B188" s="6">
        <v>0.9960052440103091</v>
      </c>
      <c r="C188" s="6">
        <v>0.9960052440103091</v>
      </c>
      <c r="D188" s="6">
        <v>0.9960052440103091</v>
      </c>
      <c r="E188" s="7">
        <v>119.9652325001757</v>
      </c>
      <c r="F188" s="7">
        <v>119.9652325001757</v>
      </c>
      <c r="G188" s="7">
        <v>119.9652325001757</v>
      </c>
    </row>
    <row r="189" spans="1:7">
      <c r="A189" s="6">
        <v>860.9937521846008</v>
      </c>
      <c r="B189" s="6">
        <v>0.9962013709153479</v>
      </c>
      <c r="C189" s="6">
        <v>0.9962013709153479</v>
      </c>
      <c r="D189" s="6">
        <v>0.9962013709153479</v>
      </c>
      <c r="E189" s="7">
        <v>119.96694270096</v>
      </c>
      <c r="F189" s="7">
        <v>119.96694270096</v>
      </c>
      <c r="G189" s="7">
        <v>119.96694270096</v>
      </c>
    </row>
    <row r="190" spans="1:7">
      <c r="A190" s="6">
        <v>870.9635899560806</v>
      </c>
      <c r="B190" s="6">
        <v>0.9964021189037185</v>
      </c>
      <c r="C190" s="6">
        <v>0.9964021189037185</v>
      </c>
      <c r="D190" s="6">
        <v>0.9964021189037185</v>
      </c>
      <c r="E190" s="7">
        <v>119.9686928483294</v>
      </c>
      <c r="F190" s="7">
        <v>119.9686928483294</v>
      </c>
      <c r="G190" s="7">
        <v>119.9686928483294</v>
      </c>
    </row>
    <row r="191" spans="1:7">
      <c r="A191" s="6">
        <v>881.0488730080147</v>
      </c>
      <c r="B191" s="6">
        <v>0.9966075981088525</v>
      </c>
      <c r="C191" s="6">
        <v>0.9966075981088525</v>
      </c>
      <c r="D191" s="6">
        <v>0.9966075981088525</v>
      </c>
      <c r="E191" s="7">
        <v>119.9704838779363</v>
      </c>
      <c r="F191" s="7">
        <v>119.9704838779363</v>
      </c>
      <c r="G191" s="7">
        <v>119.9704838779363</v>
      </c>
    </row>
    <row r="192" spans="1:7">
      <c r="A192" s="6">
        <v>891.2509381337459</v>
      </c>
      <c r="B192" s="6">
        <v>0.9968179213478507</v>
      </c>
      <c r="C192" s="6">
        <v>0.9968179213478507</v>
      </c>
      <c r="D192" s="6">
        <v>0.9968179213478507</v>
      </c>
      <c r="E192" s="7">
        <v>119.9723167474679</v>
      </c>
      <c r="F192" s="7">
        <v>119.9723167474679</v>
      </c>
      <c r="G192" s="7">
        <v>119.9723167474679</v>
      </c>
    </row>
    <row r="193" spans="1:7">
      <c r="A193" s="6">
        <v>901.571137605957</v>
      </c>
      <c r="B193" s="6">
        <v>0.9970332041896249</v>
      </c>
      <c r="C193" s="6">
        <v>0.9970332041896249</v>
      </c>
      <c r="D193" s="6">
        <v>0.9970332041896249</v>
      </c>
      <c r="E193" s="7">
        <v>119.97419243717</v>
      </c>
      <c r="F193" s="7">
        <v>119.97419243717</v>
      </c>
      <c r="G193" s="7">
        <v>119.97419243717</v>
      </c>
    </row>
    <row r="194" spans="1:7">
      <c r="A194" s="6">
        <v>912.0108393559096</v>
      </c>
      <c r="B194" s="6">
        <v>0.9972535650248981</v>
      </c>
      <c r="C194" s="6">
        <v>0.9972535650248981</v>
      </c>
      <c r="D194" s="6">
        <v>0.9972535650248981</v>
      </c>
      <c r="E194" s="7">
        <v>119.9761119503846</v>
      </c>
      <c r="F194" s="7">
        <v>119.9761119503846</v>
      </c>
      <c r="G194" s="7">
        <v>119.9761119503846</v>
      </c>
    </row>
    <row r="195" spans="1:7">
      <c r="A195" s="6">
        <v>922.5714271547629</v>
      </c>
      <c r="B195" s="6">
        <v>0.9974791251381105</v>
      </c>
      <c r="C195" s="6">
        <v>0.9974791251381105</v>
      </c>
      <c r="D195" s="6">
        <v>0.9974791251381105</v>
      </c>
      <c r="E195" s="7">
        <v>119.9780763140992</v>
      </c>
      <c r="F195" s="7">
        <v>119.9780763140992</v>
      </c>
      <c r="G195" s="7">
        <v>119.9780763140992</v>
      </c>
    </row>
    <row r="196" spans="1:7">
      <c r="A196" s="6">
        <v>933.2543007969905</v>
      </c>
      <c r="B196" s="6">
        <v>0.9977100087813047</v>
      </c>
      <c r="C196" s="6">
        <v>0.9977100087813047</v>
      </c>
      <c r="D196" s="6">
        <v>0.9977100087813047</v>
      </c>
      <c r="E196" s="7">
        <v>119.980086579511</v>
      </c>
      <c r="F196" s="7">
        <v>119.980086579511</v>
      </c>
      <c r="G196" s="7">
        <v>119.980086579511</v>
      </c>
    </row>
    <row r="197" spans="1:7">
      <c r="A197" s="6">
        <v>944.0608762859235</v>
      </c>
      <c r="B197" s="6">
        <v>0.9979463432500353</v>
      </c>
      <c r="C197" s="6">
        <v>0.9979463432500353</v>
      </c>
      <c r="D197" s="6">
        <v>0.9979463432500353</v>
      </c>
      <c r="E197" s="7">
        <v>119.9821438226036</v>
      </c>
      <c r="F197" s="7">
        <v>119.9821438226036</v>
      </c>
      <c r="G197" s="7">
        <v>119.9821438226036</v>
      </c>
    </row>
    <row r="198" spans="1:7">
      <c r="A198" s="6">
        <v>954.992586021436</v>
      </c>
      <c r="B198" s="6">
        <v>0.9981882589613746</v>
      </c>
      <c r="C198" s="6">
        <v>0.9981882589613746</v>
      </c>
      <c r="D198" s="6">
        <v>0.9981882589613746</v>
      </c>
      <c r="E198" s="7">
        <v>119.984249144738</v>
      </c>
      <c r="F198" s="7">
        <v>119.984249144738</v>
      </c>
      <c r="G198" s="7">
        <v>119.984249144738</v>
      </c>
    </row>
    <row r="199" spans="1:7">
      <c r="A199" s="6">
        <v>966.0508789898131</v>
      </c>
      <c r="B199" s="6">
        <v>0.9984358895340749</v>
      </c>
      <c r="C199" s="6">
        <v>0.9984358895340749</v>
      </c>
      <c r="D199" s="6">
        <v>0.9984358895340749</v>
      </c>
      <c r="E199" s="7">
        <v>119.9864036732587</v>
      </c>
      <c r="F199" s="7">
        <v>119.9864036732587</v>
      </c>
      <c r="G199" s="7">
        <v>119.9864036732587</v>
      </c>
    </row>
    <row r="200" spans="1:7">
      <c r="A200" s="6">
        <v>977.2372209558112</v>
      </c>
      <c r="B200" s="6">
        <v>0.9986893718709527</v>
      </c>
      <c r="C200" s="6">
        <v>0.9986893718709527</v>
      </c>
      <c r="D200" s="6">
        <v>0.9986893718709527</v>
      </c>
      <c r="E200" s="7">
        <v>119.9886085621134</v>
      </c>
      <c r="F200" s="7">
        <v>119.9886085621134</v>
      </c>
      <c r="G200" s="7">
        <v>119.9886085621134</v>
      </c>
    </row>
    <row r="201" spans="1:7">
      <c r="A201" s="6">
        <v>988.553094656939</v>
      </c>
      <c r="B201" s="6">
        <v>0.9989488462435734</v>
      </c>
      <c r="C201" s="6">
        <v>0.9989488462435734</v>
      </c>
      <c r="D201" s="6">
        <v>0.9989488462435734</v>
      </c>
      <c r="E201" s="7">
        <v>119.9908649924887</v>
      </c>
      <c r="F201" s="7">
        <v>119.9908649924887</v>
      </c>
      <c r="G201" s="7">
        <v>119.9908649924887</v>
      </c>
    </row>
    <row r="202" spans="1:7">
      <c r="A202" s="6">
        <v>1000</v>
      </c>
      <c r="B202" s="6">
        <v>0.9992144563792883</v>
      </c>
      <c r="C202" s="6">
        <v>0.9992144563792883</v>
      </c>
      <c r="D202" s="6">
        <v>0.9992144563792883</v>
      </c>
      <c r="E202" s="7">
        <v>119.9931741734612</v>
      </c>
      <c r="F202" s="7">
        <v>119.9931741734612</v>
      </c>
      <c r="G202" s="7">
        <v>119.9931741734612</v>
      </c>
    </row>
    <row r="203" spans="1:7">
      <c r="A203" s="6">
        <v>1011.579454259898</v>
      </c>
      <c r="B203" s="6">
        <v>0.9994863495507226</v>
      </c>
      <c r="C203" s="6">
        <v>0.9994863495507226</v>
      </c>
      <c r="D203" s="6">
        <v>0.9994863495507226</v>
      </c>
      <c r="E203" s="7">
        <v>119.9955373426639</v>
      </c>
      <c r="F203" s="7">
        <v>119.9955373426639</v>
      </c>
      <c r="G203" s="7">
        <v>119.9955373426639</v>
      </c>
    </row>
    <row r="204" spans="1:7">
      <c r="A204" s="6">
        <v>1023.292992280754</v>
      </c>
      <c r="B204" s="6">
        <v>0.9997646766677706</v>
      </c>
      <c r="C204" s="6">
        <v>0.9997646766677706</v>
      </c>
      <c r="D204" s="6">
        <v>0.9997646766677706</v>
      </c>
      <c r="E204" s="7">
        <v>119.9979557669697</v>
      </c>
      <c r="F204" s="7">
        <v>119.9979557669697</v>
      </c>
      <c r="G204" s="7">
        <v>119.9979557669697</v>
      </c>
    </row>
    <row r="205" spans="1:7">
      <c r="A205" s="6">
        <v>1035.142166679344</v>
      </c>
      <c r="B205" s="6">
        <v>1.000049592372189</v>
      </c>
      <c r="C205" s="6">
        <v>1.000049592372189</v>
      </c>
      <c r="D205" s="6">
        <v>1.000049592372189</v>
      </c>
      <c r="E205" s="7">
        <v>120.000430743191</v>
      </c>
      <c r="F205" s="7">
        <v>120.000430743191</v>
      </c>
      <c r="G205" s="7">
        <v>120.000430743191</v>
      </c>
    </row>
    <row r="206" spans="1:7">
      <c r="A206" s="6">
        <v>1047.1285480509</v>
      </c>
      <c r="B206" s="6">
        <v>1.000341255134864</v>
      </c>
      <c r="C206" s="6">
        <v>1.000341255134864</v>
      </c>
      <c r="D206" s="6">
        <v>1.000341255134864</v>
      </c>
      <c r="E206" s="7">
        <v>120.002963598797</v>
      </c>
      <c r="F206" s="7">
        <v>120.002963598797</v>
      </c>
      <c r="G206" s="7">
        <v>120.002963598797</v>
      </c>
    </row>
    <row r="207" spans="1:7">
      <c r="A207" s="6">
        <v>1059.253725177289</v>
      </c>
      <c r="B207" s="6">
        <v>1.000639827355844</v>
      </c>
      <c r="C207" s="6">
        <v>1.000639827355844</v>
      </c>
      <c r="D207" s="6">
        <v>1.000639827355844</v>
      </c>
      <c r="E207" s="7">
        <v>120.0055556926477</v>
      </c>
      <c r="F207" s="7">
        <v>120.0055556926477</v>
      </c>
      <c r="G207" s="7">
        <v>120.0055556926477</v>
      </c>
    </row>
    <row r="208" spans="1:7">
      <c r="A208" s="6">
        <v>1071.519305237607</v>
      </c>
      <c r="B208" s="6">
        <v>1.000945475467222</v>
      </c>
      <c r="C208" s="6">
        <v>1.000945475467222</v>
      </c>
      <c r="D208" s="6">
        <v>1.000945475467222</v>
      </c>
      <c r="E208" s="7">
        <v>120.0082084157471</v>
      </c>
      <c r="F208" s="7">
        <v>120.0082084157471</v>
      </c>
      <c r="G208" s="7">
        <v>120.0082084157471</v>
      </c>
    </row>
    <row r="209" spans="1:7">
      <c r="A209" s="6">
        <v>1083.926914021204</v>
      </c>
      <c r="B209" s="6">
        <v>1.001258370038957</v>
      </c>
      <c r="C209" s="6">
        <v>1.001258370038957</v>
      </c>
      <c r="D209" s="6">
        <v>1.001258370038957</v>
      </c>
      <c r="E209" s="7">
        <v>120.0109231920139</v>
      </c>
      <c r="F209" s="7">
        <v>120.0109231920139</v>
      </c>
      <c r="G209" s="7">
        <v>120.0109231920139</v>
      </c>
    </row>
    <row r="210" spans="1:7">
      <c r="A210" s="6">
        <v>1096.478196143185</v>
      </c>
      <c r="B210" s="6">
        <v>1.001578685887733</v>
      </c>
      <c r="C210" s="6">
        <v>1.001578685887733</v>
      </c>
      <c r="D210" s="6">
        <v>1.001578685887733</v>
      </c>
      <c r="E210" s="7">
        <v>120.0137014790716</v>
      </c>
      <c r="F210" s="7">
        <v>120.0137014790716</v>
      </c>
      <c r="G210" s="7">
        <v>120.0137014790716</v>
      </c>
    </row>
    <row r="211" spans="1:7">
      <c r="A211" s="6">
        <v>1109.174815262401</v>
      </c>
      <c r="B211" s="6">
        <v>1.001906602188957</v>
      </c>
      <c r="C211" s="6">
        <v>1.001906602188957</v>
      </c>
      <c r="D211" s="6">
        <v>1.001906602188957</v>
      </c>
      <c r="E211" s="7">
        <v>120.0165447690576</v>
      </c>
      <c r="F211" s="7">
        <v>120.0165447690576</v>
      </c>
      <c r="G211" s="7">
        <v>120.0165447690576</v>
      </c>
    </row>
    <row r="212" spans="1:7">
      <c r="A212" s="6">
        <v>1122.018454301963</v>
      </c>
      <c r="B212" s="6">
        <v>1.002242302591993</v>
      </c>
      <c r="C212" s="6">
        <v>1.002242302591993</v>
      </c>
      <c r="D212" s="6">
        <v>1.002242302591993</v>
      </c>
      <c r="E212" s="7">
        <v>120.0194545894532</v>
      </c>
      <c r="F212" s="7">
        <v>120.0194545894532</v>
      </c>
      <c r="G212" s="7">
        <v>120.0194545894532</v>
      </c>
    </row>
    <row r="213" spans="1:7">
      <c r="A213" s="6">
        <v>1135.010815672314</v>
      </c>
      <c r="B213" s="6">
        <v>1.002585975338735</v>
      </c>
      <c r="C213" s="6">
        <v>1.002585975338735</v>
      </c>
      <c r="D213" s="6">
        <v>1.002585975338735</v>
      </c>
      <c r="E213" s="7">
        <v>120.0224325039329</v>
      </c>
      <c r="F213" s="7">
        <v>120.0224325039329</v>
      </c>
      <c r="G213" s="7">
        <v>120.0224325039329</v>
      </c>
    </row>
    <row r="214" spans="1:7">
      <c r="A214" s="6">
        <v>1148.153621496883</v>
      </c>
      <c r="B214" s="6">
        <v>1.002937813385635</v>
      </c>
      <c r="C214" s="6">
        <v>1.002937813385635</v>
      </c>
      <c r="D214" s="6">
        <v>1.002937813385635</v>
      </c>
      <c r="E214" s="7">
        <v>120.0254801132351</v>
      </c>
      <c r="F214" s="7">
        <v>120.0254801132351</v>
      </c>
      <c r="G214" s="7">
        <v>120.0254801132351</v>
      </c>
    </row>
    <row r="215" spans="1:7">
      <c r="A215" s="6">
        <v>1161.448613840343</v>
      </c>
      <c r="B215" s="6">
        <v>1.003298014529306</v>
      </c>
      <c r="C215" s="6">
        <v>1.003298014529306</v>
      </c>
      <c r="D215" s="6">
        <v>1.003298014529306</v>
      </c>
      <c r="E215" s="7">
        <v>120.0285990560548</v>
      </c>
      <c r="F215" s="7">
        <v>120.0285990560548</v>
      </c>
      <c r="G215" s="7">
        <v>120.0285990560548</v>
      </c>
    </row>
    <row r="216" spans="1:7">
      <c r="A216" s="6">
        <v>1174.89755493953</v>
      </c>
      <c r="B216" s="6">
        <v>1.003666781535793</v>
      </c>
      <c r="C216" s="6">
        <v>1.003666781535793</v>
      </c>
      <c r="D216" s="6">
        <v>1.003666781535793</v>
      </c>
      <c r="E216" s="7">
        <v>120.0317910099574</v>
      </c>
      <c r="F216" s="7">
        <v>120.0317910099574</v>
      </c>
      <c r="G216" s="7">
        <v>120.0317910099574</v>
      </c>
    </row>
    <row r="217" spans="1:7">
      <c r="A217" s="6">
        <v>1188.502227437019</v>
      </c>
      <c r="B217" s="6">
        <v>1.00404432227367</v>
      </c>
      <c r="C217" s="6">
        <v>1.00404432227367</v>
      </c>
      <c r="D217" s="6">
        <v>1.00404432227367</v>
      </c>
      <c r="E217" s="7">
        <v>120.0350576923157</v>
      </c>
      <c r="F217" s="7">
        <v>120.0350576923157</v>
      </c>
      <c r="G217" s="7">
        <v>120.0350576923157</v>
      </c>
    </row>
    <row r="218" spans="1:7">
      <c r="A218" s="6">
        <v>1202.264434617413</v>
      </c>
      <c r="B218" s="6">
        <v>1.004430849851062</v>
      </c>
      <c r="C218" s="6">
        <v>1.004430849851062</v>
      </c>
      <c r="D218" s="6">
        <v>1.004430849851062</v>
      </c>
      <c r="E218" s="7">
        <v>120.0384008612703</v>
      </c>
      <c r="F218" s="7">
        <v>120.0384008612703</v>
      </c>
      <c r="G218" s="7">
        <v>120.0384008612703</v>
      </c>
    </row>
    <row r="219" spans="1:7">
      <c r="A219" s="6">
        <v>1216.186000646368</v>
      </c>
      <c r="B219" s="6">
        <v>1.004826582756736</v>
      </c>
      <c r="C219" s="6">
        <v>1.004826582756736</v>
      </c>
      <c r="D219" s="6">
        <v>1.004826582756736</v>
      </c>
      <c r="E219" s="7">
        <v>120.041822316713</v>
      </c>
      <c r="F219" s="7">
        <v>120.041822316713</v>
      </c>
      <c r="G219" s="7">
        <v>120.041822316713</v>
      </c>
    </row>
    <row r="220" spans="1:7">
      <c r="A220" s="6">
        <v>1230.268770812381</v>
      </c>
      <c r="B220" s="6">
        <v>1.005231745005399</v>
      </c>
      <c r="C220" s="6">
        <v>1.005231745005399</v>
      </c>
      <c r="D220" s="6">
        <v>1.005231745005399</v>
      </c>
      <c r="E220" s="7">
        <v>120.0453239012954</v>
      </c>
      <c r="F220" s="7">
        <v>120.0453239012954</v>
      </c>
      <c r="G220" s="7">
        <v>120.0453239012954</v>
      </c>
    </row>
    <row r="221" spans="1:7">
      <c r="A221" s="6">
        <v>1244.514611771384</v>
      </c>
      <c r="B221" s="6">
        <v>1.00564656628734</v>
      </c>
      <c r="C221" s="6">
        <v>1.00564656628734</v>
      </c>
      <c r="D221" s="6">
        <v>1.00564656628734</v>
      </c>
      <c r="E221" s="7">
        <v>120.0489075014619</v>
      </c>
      <c r="F221" s="7">
        <v>120.0489075014619</v>
      </c>
      <c r="G221" s="7">
        <v>120.0489075014619</v>
      </c>
    </row>
    <row r="222" spans="1:7">
      <c r="A222" s="6">
        <v>1258.925411794168</v>
      </c>
      <c r="B222" s="6">
        <v>1.006071282122573</v>
      </c>
      <c r="C222" s="6">
        <v>1.006071282122573</v>
      </c>
      <c r="D222" s="6">
        <v>1.006071282122573</v>
      </c>
      <c r="E222" s="7">
        <v>120.0525750485089</v>
      </c>
      <c r="F222" s="7">
        <v>120.0525750485089</v>
      </c>
      <c r="G222" s="7">
        <v>120.0525750485089</v>
      </c>
    </row>
    <row r="223" spans="1:7">
      <c r="A223" s="6">
        <v>1273.503081016662</v>
      </c>
      <c r="B223" s="6">
        <v>1.006506134019621</v>
      </c>
      <c r="C223" s="6">
        <v>1.006506134019621</v>
      </c>
      <c r="D223" s="6">
        <v>1.006506134019621</v>
      </c>
      <c r="E223" s="7">
        <v>120.0563285196699</v>
      </c>
      <c r="F223" s="7">
        <v>120.0563285196699</v>
      </c>
      <c r="G223" s="7">
        <v>120.0563285196699</v>
      </c>
    </row>
    <row r="224" spans="1:7">
      <c r="A224" s="6">
        <v>1288.249551693135</v>
      </c>
      <c r="B224" s="6">
        <v>1.006951369639119</v>
      </c>
      <c r="C224" s="6">
        <v>1.006951369639119</v>
      </c>
      <c r="D224" s="6">
        <v>1.006951369639119</v>
      </c>
      <c r="E224" s="7">
        <v>120.060169939228</v>
      </c>
      <c r="F224" s="7">
        <v>120.060169939228</v>
      </c>
      <c r="G224" s="7">
        <v>120.060169939228</v>
      </c>
    </row>
    <row r="225" spans="1:7">
      <c r="A225" s="6">
        <v>1303.1667784523</v>
      </c>
      <c r="B225" s="6">
        <v>1.007407242962385</v>
      </c>
      <c r="C225" s="6">
        <v>1.007407242962385</v>
      </c>
      <c r="D225" s="6">
        <v>1.007407242962385</v>
      </c>
      <c r="E225" s="7">
        <v>120.0641013796554</v>
      </c>
      <c r="F225" s="7">
        <v>120.0641013796554</v>
      </c>
      <c r="G225" s="7">
        <v>120.0641013796554</v>
      </c>
    </row>
    <row r="226" spans="1:7">
      <c r="A226" s="6">
        <v>1318.256738556408</v>
      </c>
      <c r="B226" s="6">
        <v>1.007874014465139</v>
      </c>
      <c r="C226" s="6">
        <v>1.007874014465139</v>
      </c>
      <c r="D226" s="6">
        <v>1.007874014465139</v>
      </c>
      <c r="E226" s="7">
        <v>120.0681249627822</v>
      </c>
      <c r="F226" s="7">
        <v>120.0681249627822</v>
      </c>
      <c r="G226" s="7">
        <v>120.0681249627822</v>
      </c>
    </row>
    <row r="227" spans="1:7">
      <c r="A227" s="6">
        <v>1333.521432163324</v>
      </c>
      <c r="B227" s="6">
        <v>1.008351951296554</v>
      </c>
      <c r="C227" s="6">
        <v>1.008351951296554</v>
      </c>
      <c r="D227" s="6">
        <v>1.008351951296554</v>
      </c>
      <c r="E227" s="7">
        <v>120.0722428609939</v>
      </c>
      <c r="F227" s="7">
        <v>120.0722428609939</v>
      </c>
      <c r="G227" s="7">
        <v>120.0722428609939</v>
      </c>
    </row>
    <row r="228" spans="1:7">
      <c r="A228" s="6">
        <v>1348.962882591653</v>
      </c>
      <c r="B228" s="6">
        <v>1.008841327463818</v>
      </c>
      <c r="C228" s="6">
        <v>1.008841327463818</v>
      </c>
      <c r="D228" s="6">
        <v>1.008841327463818</v>
      </c>
      <c r="E228" s="7">
        <v>120.0764572984586</v>
      </c>
      <c r="F228" s="7">
        <v>120.0764572984586</v>
      </c>
      <c r="G228" s="7">
        <v>120.0764572984586</v>
      </c>
    </row>
    <row r="229" spans="1:7">
      <c r="A229" s="6">
        <v>1364.583136588924</v>
      </c>
      <c r="B229" s="6">
        <v>1.009342424022402</v>
      </c>
      <c r="C229" s="6">
        <v>1.009342424022402</v>
      </c>
      <c r="D229" s="6">
        <v>1.009342424022402</v>
      </c>
      <c r="E229" s="7">
        <v>120.0807705523852</v>
      </c>
      <c r="F229" s="7">
        <v>120.0807705523852</v>
      </c>
      <c r="G229" s="7">
        <v>120.0807705523852</v>
      </c>
    </row>
    <row r="230" spans="1:7">
      <c r="A230" s="6">
        <v>1380.384264602885</v>
      </c>
      <c r="B230" s="6">
        <v>1.00985552927224</v>
      </c>
      <c r="C230" s="6">
        <v>1.00985552927224</v>
      </c>
      <c r="D230" s="6">
        <v>1.00985552927224</v>
      </c>
      <c r="E230" s="7">
        <v>120.0851849543129</v>
      </c>
      <c r="F230" s="7">
        <v>120.0851849543129</v>
      </c>
      <c r="G230" s="7">
        <v>120.0851849543129</v>
      </c>
    </row>
    <row r="231" spans="1:7">
      <c r="A231" s="6">
        <v>1396.368361055938</v>
      </c>
      <c r="B231" s="6">
        <v>1.010380938960027</v>
      </c>
      <c r="C231" s="6">
        <v>1.010380938960027</v>
      </c>
      <c r="D231" s="6">
        <v>1.010380938960027</v>
      </c>
      <c r="E231" s="7">
        <v>120.0897028914331</v>
      </c>
      <c r="F231" s="7">
        <v>120.0897028914331</v>
      </c>
      <c r="G231" s="7">
        <v>120.0897028914331</v>
      </c>
    </row>
    <row r="232" spans="1:7">
      <c r="A232" s="6">
        <v>1412.537544622755</v>
      </c>
      <c r="B232" s="6">
        <v>1.010918956487852</v>
      </c>
      <c r="C232" s="6">
        <v>1.010918956487852</v>
      </c>
      <c r="D232" s="6">
        <v>1.010918956487852</v>
      </c>
      <c r="E232" s="7">
        <v>120.0943268079444</v>
      </c>
      <c r="F232" s="7">
        <v>120.0943268079444</v>
      </c>
      <c r="G232" s="7">
        <v>120.0943268079444</v>
      </c>
    </row>
    <row r="233" spans="1:7">
      <c r="A233" s="6">
        <v>1428.893958511104</v>
      </c>
      <c r="B233" s="6">
        <v>1.011469893128402</v>
      </c>
      <c r="C233" s="6">
        <v>1.011469893128402</v>
      </c>
      <c r="D233" s="6">
        <v>1.011469893128402</v>
      </c>
      <c r="E233" s="7">
        <v>120.099059206441</v>
      </c>
      <c r="F233" s="7">
        <v>120.099059206441</v>
      </c>
      <c r="G233" s="7">
        <v>120.099059206441</v>
      </c>
    </row>
    <row r="234" spans="1:7">
      <c r="A234" s="6">
        <v>1445.439770745928</v>
      </c>
      <c r="B234" s="6">
        <v>1.012034068246953</v>
      </c>
      <c r="C234" s="6">
        <v>1.012034068246953</v>
      </c>
      <c r="D234" s="6">
        <v>1.012034068246953</v>
      </c>
      <c r="E234" s="7">
        <v>120.1039026493369</v>
      </c>
      <c r="F234" s="7">
        <v>120.1039026493369</v>
      </c>
      <c r="G234" s="7">
        <v>120.1039026493369</v>
      </c>
    </row>
    <row r="235" spans="1:7">
      <c r="A235" s="6">
        <v>1462.177174456718</v>
      </c>
      <c r="B235" s="6">
        <v>1.012611809530425</v>
      </c>
      <c r="C235" s="6">
        <v>1.012611809530425</v>
      </c>
      <c r="D235" s="6">
        <v>1.012611809530425</v>
      </c>
      <c r="E235" s="7">
        <v>120.108859760325</v>
      </c>
      <c r="F235" s="7">
        <v>120.108859760325</v>
      </c>
      <c r="G235" s="7">
        <v>120.108859760325</v>
      </c>
    </row>
    <row r="236" spans="1:7">
      <c r="A236" s="6">
        <v>1479.108388168207</v>
      </c>
      <c r="B236" s="6">
        <v>1.013203453223721</v>
      </c>
      <c r="C236" s="6">
        <v>1.013203453223721</v>
      </c>
      <c r="D236" s="6">
        <v>1.013203453223721</v>
      </c>
      <c r="E236" s="7">
        <v>120.113933225873</v>
      </c>
      <c r="F236" s="7">
        <v>120.113933225873</v>
      </c>
      <c r="G236" s="7">
        <v>120.113933225873</v>
      </c>
    </row>
    <row r="237" spans="1:7">
      <c r="A237" s="6">
        <v>1496.235656094433</v>
      </c>
      <c r="B237" s="6">
        <v>1.013809344373644</v>
      </c>
      <c r="C237" s="6">
        <v>1.013809344373644</v>
      </c>
      <c r="D237" s="6">
        <v>1.013809344373644</v>
      </c>
      <c r="E237" s="7">
        <v>120.1191257967575</v>
      </c>
      <c r="F237" s="7">
        <v>120.1191257967575</v>
      </c>
      <c r="G237" s="7">
        <v>120.1191257967575</v>
      </c>
    </row>
    <row r="238" spans="1:7">
      <c r="A238" s="6">
        <v>1513.561248436207</v>
      </c>
      <c r="B238" s="6">
        <v>1.014429837080654</v>
      </c>
      <c r="C238" s="6">
        <v>1.014429837080654</v>
      </c>
      <c r="D238" s="6">
        <v>1.014429837080654</v>
      </c>
      <c r="E238" s="7">
        <v>120.1244402896356</v>
      </c>
      <c r="F238" s="7">
        <v>120.1244402896356</v>
      </c>
      <c r="G238" s="7">
        <v>120.1244402896356</v>
      </c>
    </row>
    <row r="239" spans="1:7">
      <c r="A239" s="6">
        <v>1531.08746168203</v>
      </c>
      <c r="B239" s="6">
        <v>1.015065294758763</v>
      </c>
      <c r="C239" s="6">
        <v>1.015065294758763</v>
      </c>
      <c r="D239" s="6">
        <v>1.015065294758763</v>
      </c>
      <c r="E239" s="7">
        <v>120.1298795886568</v>
      </c>
      <c r="F239" s="7">
        <v>120.1298795886568</v>
      </c>
      <c r="G239" s="7">
        <v>120.1298795886568</v>
      </c>
    </row>
    <row r="240" spans="1:7">
      <c r="A240" s="6">
        <v>1548.816618912481</v>
      </c>
      <c r="B240" s="6">
        <v>1.015716090403855</v>
      </c>
      <c r="C240" s="6">
        <v>1.015716090403855</v>
      </c>
      <c r="D240" s="6">
        <v>1.015716090403855</v>
      </c>
      <c r="E240" s="7">
        <v>120.1354466471152</v>
      </c>
      <c r="F240" s="7">
        <v>120.1354466471152</v>
      </c>
      <c r="G240" s="7">
        <v>120.1354466471152</v>
      </c>
    </row>
    <row r="241" spans="1:7">
      <c r="A241" s="6">
        <v>1566.75107010815</v>
      </c>
      <c r="B241" s="6">
        <v>1.016382606870762</v>
      </c>
      <c r="C241" s="6">
        <v>1.016382606870762</v>
      </c>
      <c r="D241" s="6">
        <v>1.016382606870762</v>
      </c>
      <c r="E241" s="7">
        <v>120.1411444891431</v>
      </c>
      <c r="F241" s="7">
        <v>120.1411444891431</v>
      </c>
      <c r="G241" s="7">
        <v>120.1411444891431</v>
      </c>
    </row>
    <row r="242" spans="1:7">
      <c r="A242" s="6">
        <v>1584.893192461114</v>
      </c>
      <c r="B242" s="6">
        <v>1.017065237159402</v>
      </c>
      <c r="C242" s="6">
        <v>1.017065237159402</v>
      </c>
      <c r="D242" s="6">
        <v>1.017065237159402</v>
      </c>
      <c r="E242" s="7">
        <v>120.1469762114476</v>
      </c>
      <c r="F242" s="7">
        <v>120.1469762114476</v>
      </c>
      <c r="G242" s="7">
        <v>120.1469762114476</v>
      </c>
    </row>
    <row r="243" spans="1:7">
      <c r="A243" s="6">
        <v>1603.245390690042</v>
      </c>
      <c r="B243" s="6">
        <v>1.017764384710335</v>
      </c>
      <c r="C243" s="6">
        <v>1.017764384710335</v>
      </c>
      <c r="D243" s="6">
        <v>1.017764384710335</v>
      </c>
      <c r="E243" s="7">
        <v>120.1529449850901</v>
      </c>
      <c r="F243" s="7">
        <v>120.1529449850901</v>
      </c>
      <c r="G243" s="7">
        <v>120.1529449850901</v>
      </c>
    </row>
    <row r="244" spans="1:7">
      <c r="A244" s="6">
        <v>1621.81009735893</v>
      </c>
      <c r="B244" s="6">
        <v>1.018480463710077</v>
      </c>
      <c r="C244" s="6">
        <v>1.018480463710077</v>
      </c>
      <c r="D244" s="6">
        <v>1.018480463710077</v>
      </c>
      <c r="E244" s="7">
        <v>120.1590540573121</v>
      </c>
      <c r="F244" s="7">
        <v>120.1590540573121</v>
      </c>
      <c r="G244" s="7">
        <v>120.1590540573121</v>
      </c>
    </row>
    <row r="245" spans="1:7">
      <c r="A245" s="6">
        <v>1640.589773199539</v>
      </c>
      <c r="B245" s="6">
        <v>1.019213899406553</v>
      </c>
      <c r="C245" s="6">
        <v>1.019213899406553</v>
      </c>
      <c r="D245" s="6">
        <v>1.019213899406553</v>
      </c>
      <c r="E245" s="7">
        <v>120.1653067534049</v>
      </c>
      <c r="F245" s="7">
        <v>120.1653067534049</v>
      </c>
      <c r="G245" s="7">
        <v>120.1653067534049</v>
      </c>
    </row>
    <row r="246" spans="1:7">
      <c r="A246" s="6">
        <v>1659.58690743756</v>
      </c>
      <c r="B246" s="6">
        <v>1.019965128435058</v>
      </c>
      <c r="C246" s="6">
        <v>1.019965128435058</v>
      </c>
      <c r="D246" s="6">
        <v>1.019965128435058</v>
      </c>
      <c r="E246" s="7">
        <v>120.1717064786283</v>
      </c>
      <c r="F246" s="7">
        <v>120.1717064786283</v>
      </c>
      <c r="G246" s="7">
        <v>120.1717064786283</v>
      </c>
    </row>
    <row r="247" spans="1:7">
      <c r="A247" s="6">
        <v>1678.804018122561</v>
      </c>
      <c r="B247" s="6">
        <v>1.020734599155138</v>
      </c>
      <c r="C247" s="6">
        <v>1.020734599155138</v>
      </c>
      <c r="D247" s="6">
        <v>1.020734599155138</v>
      </c>
      <c r="E247" s="7">
        <v>120.178256720176</v>
      </c>
      <c r="F247" s="7">
        <v>120.178256720176</v>
      </c>
      <c r="G247" s="7">
        <v>120.178256720176</v>
      </c>
    </row>
    <row r="248" spans="1:7">
      <c r="A248" s="6">
        <v>1698.243652461744</v>
      </c>
      <c r="B248" s="6">
        <v>1.021522771998799</v>
      </c>
      <c r="C248" s="6">
        <v>1.021522771998799</v>
      </c>
      <c r="D248" s="6">
        <v>1.021522771998799</v>
      </c>
      <c r="E248" s="7">
        <v>120.1849610491919</v>
      </c>
      <c r="F248" s="7">
        <v>120.1849610491919</v>
      </c>
      <c r="G248" s="7">
        <v>120.1849610491919</v>
      </c>
    </row>
    <row r="249" spans="1:7">
      <c r="A249" s="6">
        <v>1717.908387157589</v>
      </c>
      <c r="B249" s="6">
        <v>1.022330119830486</v>
      </c>
      <c r="C249" s="6">
        <v>1.022330119830486</v>
      </c>
      <c r="D249" s="6">
        <v>1.022330119830486</v>
      </c>
      <c r="E249" s="7">
        <v>120.1918231228356</v>
      </c>
      <c r="F249" s="7">
        <v>120.1918231228356</v>
      </c>
      <c r="G249" s="7">
        <v>120.1918231228356</v>
      </c>
    </row>
    <row r="250" spans="1:7">
      <c r="A250" s="6">
        <v>1737.800828749376</v>
      </c>
      <c r="B250" s="6">
        <v>1.02315712831927</v>
      </c>
      <c r="C250" s="6">
        <v>1.02315712831927</v>
      </c>
      <c r="D250" s="6">
        <v>1.02315712831927</v>
      </c>
      <c r="E250" s="7">
        <v>120.1988466864009</v>
      </c>
      <c r="F250" s="7">
        <v>120.1988466864009</v>
      </c>
      <c r="G250" s="7">
        <v>120.1988466864009</v>
      </c>
    </row>
    <row r="251" spans="1:7">
      <c r="A251" s="6">
        <v>1757.923613958693</v>
      </c>
      <c r="B251" s="6">
        <v>1.024004296323735</v>
      </c>
      <c r="C251" s="6">
        <v>1.024004296323735</v>
      </c>
      <c r="D251" s="6">
        <v>1.024004296323735</v>
      </c>
      <c r="E251" s="7">
        <v>120.2060355754872</v>
      </c>
      <c r="F251" s="7">
        <v>120.2060355754872</v>
      </c>
      <c r="G251" s="7">
        <v>120.2060355754872</v>
      </c>
    </row>
    <row r="252" spans="1:7">
      <c r="A252" s="6">
        <v>1778.279410038923</v>
      </c>
      <c r="B252" s="6">
        <v>1.024872136290031</v>
      </c>
      <c r="C252" s="6">
        <v>1.024872136290031</v>
      </c>
      <c r="D252" s="6">
        <v>1.024872136290031</v>
      </c>
      <c r="E252" s="7">
        <v>120.2133937182249</v>
      </c>
      <c r="F252" s="7">
        <v>120.2133937182249</v>
      </c>
      <c r="G252" s="7">
        <v>120.2133937182249</v>
      </c>
    </row>
    <row r="253" spans="1:7">
      <c r="A253" s="6">
        <v>1798.870915128787</v>
      </c>
      <c r="B253" s="6">
        <v>1.02576117466363</v>
      </c>
      <c r="C253" s="6">
        <v>1.02576117466363</v>
      </c>
      <c r="D253" s="6">
        <v>1.02576117466363</v>
      </c>
      <c r="E253" s="7">
        <v>120.2209251375573</v>
      </c>
      <c r="F253" s="7">
        <v>120.2209251375573</v>
      </c>
      <c r="G253" s="7">
        <v>120.2209251375573</v>
      </c>
    </row>
    <row r="254" spans="1:7">
      <c r="A254" s="6">
        <v>1819.700858609983</v>
      </c>
      <c r="B254" s="6">
        <v>1.026671952315297</v>
      </c>
      <c r="C254" s="6">
        <v>1.026671952315297</v>
      </c>
      <c r="D254" s="6">
        <v>1.026671952315297</v>
      </c>
      <c r="E254" s="7">
        <v>120.2286339535791</v>
      </c>
      <c r="F254" s="7">
        <v>120.2286339535791</v>
      </c>
      <c r="G254" s="7">
        <v>120.2286339535791</v>
      </c>
    </row>
    <row r="255" spans="1:7">
      <c r="A255" s="6">
        <v>1840.772001468956</v>
      </c>
      <c r="B255" s="6">
        <v>1.027605024981849</v>
      </c>
      <c r="C255" s="6">
        <v>1.027605024981849</v>
      </c>
      <c r="D255" s="6">
        <v>1.027605024981849</v>
      </c>
      <c r="E255" s="7">
        <v>120.2365243859335</v>
      </c>
      <c r="F255" s="7">
        <v>120.2365243859335</v>
      </c>
      <c r="G255" s="7">
        <v>120.2365243859335</v>
      </c>
    </row>
    <row r="256" spans="1:7">
      <c r="A256" s="6">
        <v>1862.087136662868</v>
      </c>
      <c r="B256" s="6">
        <v>1.028560963722265</v>
      </c>
      <c r="C256" s="6">
        <v>1.028560963722265</v>
      </c>
      <c r="D256" s="6">
        <v>1.028560963722265</v>
      </c>
      <c r="E256" s="7">
        <v>120.2446007562692</v>
      </c>
      <c r="F256" s="7">
        <v>120.2446007562692</v>
      </c>
      <c r="G256" s="7">
        <v>120.2446007562692</v>
      </c>
    </row>
    <row r="257" spans="1:7">
      <c r="A257" s="6">
        <v>1883.649089489802</v>
      </c>
      <c r="B257" s="6">
        <v>1.029540355389772</v>
      </c>
      <c r="C257" s="6">
        <v>1.029540355389772</v>
      </c>
      <c r="D257" s="6">
        <v>1.029540355389772</v>
      </c>
      <c r="E257" s="7">
        <v>120.2528674907585</v>
      </c>
      <c r="F257" s="7">
        <v>120.2528674907585</v>
      </c>
      <c r="G257" s="7">
        <v>120.2528674907585</v>
      </c>
    </row>
    <row r="258" spans="1:7">
      <c r="A258" s="6">
        <v>1905.460717963248</v>
      </c>
      <c r="B258" s="6">
        <v>1.030543803120511</v>
      </c>
      <c r="C258" s="6">
        <v>1.030543803120511</v>
      </c>
      <c r="D258" s="6">
        <v>1.030543803120511</v>
      </c>
      <c r="E258" s="7">
        <v>120.2613291226778</v>
      </c>
      <c r="F258" s="7">
        <v>120.2613291226778</v>
      </c>
      <c r="G258" s="7">
        <v>120.2613291226778</v>
      </c>
    </row>
    <row r="259" spans="1:7">
      <c r="A259" s="6">
        <v>1927.524913190937</v>
      </c>
      <c r="B259" s="6">
        <v>1.031571926839462</v>
      </c>
      <c r="C259" s="6">
        <v>1.031571926839462</v>
      </c>
      <c r="D259" s="6">
        <v>1.031571926839462</v>
      </c>
      <c r="E259" s="7">
        <v>120.2699902950527</v>
      </c>
      <c r="F259" s="7">
        <v>120.2699902950527</v>
      </c>
      <c r="G259" s="7">
        <v>120.2699902950527</v>
      </c>
    </row>
    <row r="260" spans="1:7">
      <c r="A260" s="6">
        <v>1949.844599758045</v>
      </c>
      <c r="B260" s="6">
        <v>1.032625363784303</v>
      </c>
      <c r="C260" s="6">
        <v>1.032625363784303</v>
      </c>
      <c r="D260" s="6">
        <v>1.032625363784303</v>
      </c>
      <c r="E260" s="7">
        <v>120.2788557633676</v>
      </c>
      <c r="F260" s="7">
        <v>120.2788557633676</v>
      </c>
      <c r="G260" s="7">
        <v>120.2788557633676</v>
      </c>
    </row>
    <row r="261" spans="1:7">
      <c r="A261" s="6">
        <v>1972.422736114853</v>
      </c>
      <c r="B261" s="6">
        <v>1.03370476904791</v>
      </c>
      <c r="C261" s="6">
        <v>1.03370476904791</v>
      </c>
      <c r="D261" s="6">
        <v>1.03370476904791</v>
      </c>
      <c r="E261" s="7">
        <v>120.2879303983432</v>
      </c>
      <c r="F261" s="7">
        <v>120.2879303983432</v>
      </c>
      <c r="G261" s="7">
        <v>120.2879303983432</v>
      </c>
    </row>
    <row r="262" spans="1:7">
      <c r="A262" s="6">
        <v>1995.262314968879</v>
      </c>
      <c r="B262" s="6">
        <v>1.03481081614025</v>
      </c>
      <c r="C262" s="6">
        <v>1.03481081614025</v>
      </c>
      <c r="D262" s="6">
        <v>1.03481081614025</v>
      </c>
      <c r="E262" s="7">
        <v>120.297219188781</v>
      </c>
      <c r="F262" s="7">
        <v>120.297219188781</v>
      </c>
      <c r="G262" s="7">
        <v>120.297219188781</v>
      </c>
    </row>
    <row r="263" spans="1:7">
      <c r="A263" s="6">
        <v>2018.36636368156</v>
      </c>
      <c r="B263" s="6">
        <v>1.035944197570441</v>
      </c>
      <c r="C263" s="6">
        <v>1.035944197570441</v>
      </c>
      <c r="D263" s="6">
        <v>1.035944197570441</v>
      </c>
      <c r="E263" s="7">
        <v>120.3067272444789</v>
      </c>
      <c r="F263" s="7">
        <v>120.3067272444789</v>
      </c>
      <c r="G263" s="7">
        <v>120.3067272444789</v>
      </c>
    </row>
    <row r="264" spans="1:7">
      <c r="A264" s="6">
        <v>2041.737944669529</v>
      </c>
      <c r="B264" s="6">
        <v>1.037105625449775</v>
      </c>
      <c r="C264" s="6">
        <v>1.037105625449775</v>
      </c>
      <c r="D264" s="6">
        <v>1.037105625449775</v>
      </c>
      <c r="E264" s="7">
        <v>120.3164597992163</v>
      </c>
      <c r="F264" s="7">
        <v>120.3164597992163</v>
      </c>
      <c r="G264" s="7">
        <v>120.3164597992163</v>
      </c>
    </row>
    <row r="265" spans="1:7">
      <c r="A265" s="6">
        <v>2065.380155810529</v>
      </c>
      <c r="B265" s="6">
        <v>1.038295832116555</v>
      </c>
      <c r="C265" s="6">
        <v>1.038295832116555</v>
      </c>
      <c r="D265" s="6">
        <v>1.038295832116555</v>
      </c>
      <c r="E265" s="7">
        <v>120.326422213813</v>
      </c>
      <c r="F265" s="7">
        <v>120.326422213813</v>
      </c>
      <c r="G265" s="7">
        <v>120.326422213813</v>
      </c>
    </row>
    <row r="266" spans="1:7">
      <c r="A266" s="6">
        <v>2089.296130854041</v>
      </c>
      <c r="B266" s="6">
        <v>1.039515570783624</v>
      </c>
      <c r="C266" s="6">
        <v>1.039515570783624</v>
      </c>
      <c r="D266" s="6">
        <v>1.039515570783624</v>
      </c>
      <c r="E266" s="7">
        <v>120.3366199792615</v>
      </c>
      <c r="F266" s="7">
        <v>120.3366199792615</v>
      </c>
      <c r="G266" s="7">
        <v>120.3366199792615</v>
      </c>
    </row>
    <row r="267" spans="1:7">
      <c r="A267" s="6">
        <v>2113.489039836648</v>
      </c>
      <c r="B267" s="6">
        <v>1.040765616209477</v>
      </c>
      <c r="C267" s="6">
        <v>1.040765616209477</v>
      </c>
      <c r="D267" s="6">
        <v>1.040765616209477</v>
      </c>
      <c r="E267" s="7">
        <v>120.3470587199339</v>
      </c>
      <c r="F267" s="7">
        <v>120.3470587199339</v>
      </c>
      <c r="G267" s="7">
        <v>120.3470587199339</v>
      </c>
    </row>
    <row r="268" spans="1:7">
      <c r="A268" s="6">
        <v>2137.962089502233</v>
      </c>
      <c r="B268" s="6">
        <v>1.042046765393933</v>
      </c>
      <c r="C268" s="6">
        <v>1.042046765393933</v>
      </c>
      <c r="D268" s="6">
        <v>1.042046765393933</v>
      </c>
      <c r="E268" s="7">
        <v>120.3577441968667</v>
      </c>
      <c r="F268" s="7">
        <v>120.3577441968667</v>
      </c>
      <c r="G268" s="7">
        <v>120.3577441968667</v>
      </c>
    </row>
    <row r="269" spans="1:7">
      <c r="A269" s="6">
        <v>2162.71852372702</v>
      </c>
      <c r="B269" s="6">
        <v>1.043359838299331</v>
      </c>
      <c r="C269" s="6">
        <v>1.043359838299331</v>
      </c>
      <c r="D269" s="6">
        <v>1.043359838299331</v>
      </c>
      <c r="E269" s="7">
        <v>120.3686823111223</v>
      </c>
      <c r="F269" s="7">
        <v>120.3686823111223</v>
      </c>
      <c r="G269" s="7">
        <v>120.3686823111223</v>
      </c>
    </row>
    <row r="270" spans="1:7">
      <c r="A270" s="6">
        <v>2187.761623949552</v>
      </c>
      <c r="B270" s="6">
        <v>1.044705678598294</v>
      </c>
      <c r="C270" s="6">
        <v>1.044705678598294</v>
      </c>
      <c r="D270" s="6">
        <v>1.044705678598294</v>
      </c>
      <c r="E270" s="7">
        <v>120.3798791072299</v>
      </c>
      <c r="F270" s="7">
        <v>120.3798791072299</v>
      </c>
      <c r="G270" s="7">
        <v>120.3798791072299</v>
      </c>
    </row>
    <row r="271" spans="1:7">
      <c r="A271" s="6">
        <v>2213.094709605637</v>
      </c>
      <c r="B271" s="6">
        <v>1.046085154449122</v>
      </c>
      <c r="C271" s="6">
        <v>1.046085154449122</v>
      </c>
      <c r="D271" s="6">
        <v>1.046085154449122</v>
      </c>
      <c r="E271" s="7">
        <v>120.3913407767072</v>
      </c>
      <c r="F271" s="7">
        <v>120.3913407767072</v>
      </c>
      <c r="G271" s="7">
        <v>120.3913407767072</v>
      </c>
    </row>
    <row r="272" spans="1:7">
      <c r="A272" s="6">
        <v>2238.72113856834</v>
      </c>
      <c r="B272" s="6">
        <v>1.047499159299926</v>
      </c>
      <c r="C272" s="6">
        <v>1.047499159299926</v>
      </c>
      <c r="D272" s="6">
        <v>1.047499159299926</v>
      </c>
      <c r="E272" s="7">
        <v>120.4030736616631</v>
      </c>
      <c r="F272" s="7">
        <v>120.4030736616631</v>
      </c>
      <c r="G272" s="7">
        <v>120.4030736616631</v>
      </c>
    </row>
    <row r="273" spans="1:7">
      <c r="A273" s="6">
        <v>2264.64430759306</v>
      </c>
      <c r="B273" s="6">
        <v>1.048948612722668</v>
      </c>
      <c r="C273" s="6">
        <v>1.048948612722668</v>
      </c>
      <c r="D273" s="6">
        <v>1.048948612722668</v>
      </c>
      <c r="E273" s="7">
        <v>120.4150842584826</v>
      </c>
      <c r="F273" s="7">
        <v>120.4150842584826</v>
      </c>
      <c r="G273" s="7">
        <v>120.4150842584826</v>
      </c>
    </row>
    <row r="274" spans="1:7">
      <c r="A274" s="6">
        <v>2290.867652767775</v>
      </c>
      <c r="B274" s="6">
        <v>1.050434461278298</v>
      </c>
      <c r="C274" s="6">
        <v>1.050434461278298</v>
      </c>
      <c r="D274" s="6">
        <v>1.050434461278298</v>
      </c>
      <c r="E274" s="7">
        <v>120.4273792215962</v>
      </c>
      <c r="F274" s="7">
        <v>120.4273792215962</v>
      </c>
      <c r="G274" s="7">
        <v>120.4273792215962</v>
      </c>
    </row>
    <row r="275" spans="1:7">
      <c r="A275" s="6">
        <v>2317.39464996848</v>
      </c>
      <c r="B275" s="6">
        <v>1.051957679414239</v>
      </c>
      <c r="C275" s="6">
        <v>1.051957679414239</v>
      </c>
      <c r="D275" s="6">
        <v>1.051957679414239</v>
      </c>
      <c r="E275" s="7">
        <v>120.4399653673322</v>
      </c>
      <c r="F275" s="7">
        <v>120.4399653673322</v>
      </c>
      <c r="G275" s="7">
        <v>120.4399653673322</v>
      </c>
    </row>
    <row r="276" spans="1:7">
      <c r="A276" s="6">
        <v>2344.228815319923</v>
      </c>
      <c r="B276" s="6">
        <v>1.053519270395527</v>
      </c>
      <c r="C276" s="6">
        <v>1.053519270395527</v>
      </c>
      <c r="D276" s="6">
        <v>1.053519270395527</v>
      </c>
      <c r="E276" s="7">
        <v>120.4528496778553</v>
      </c>
      <c r="F276" s="7">
        <v>120.4528496778553</v>
      </c>
      <c r="G276" s="7">
        <v>120.4528496778553</v>
      </c>
    </row>
    <row r="277" spans="1:7">
      <c r="A277" s="6">
        <v>2371.373705661655</v>
      </c>
      <c r="B277" s="6">
        <v>1.055120267270928</v>
      </c>
      <c r="C277" s="6">
        <v>1.055120267270928</v>
      </c>
      <c r="D277" s="6">
        <v>1.055120267270928</v>
      </c>
      <c r="E277" s="7">
        <v>120.4660393051903</v>
      </c>
      <c r="F277" s="7">
        <v>120.4660393051903</v>
      </c>
      <c r="G277" s="7">
        <v>120.4660393051903</v>
      </c>
    </row>
    <row r="278" spans="1:7">
      <c r="A278" s="6">
        <v>2398.83291901949</v>
      </c>
      <c r="B278" s="6">
        <v>1.056761733875451</v>
      </c>
      <c r="C278" s="6">
        <v>1.056761733875451</v>
      </c>
      <c r="D278" s="6">
        <v>1.056761733875451</v>
      </c>
      <c r="E278" s="7">
        <v>120.4795415753311</v>
      </c>
      <c r="F278" s="7">
        <v>120.4795415753311</v>
      </c>
      <c r="G278" s="7">
        <v>120.4795415753311</v>
      </c>
    </row>
    <row r="279" spans="1:7">
      <c r="A279" s="6">
        <v>2426.610095082414</v>
      </c>
      <c r="B279" s="6">
        <v>1.058444765870675</v>
      </c>
      <c r="C279" s="6">
        <v>1.058444765870675</v>
      </c>
      <c r="D279" s="6">
        <v>1.058444765870675</v>
      </c>
      <c r="E279" s="7">
        <v>120.4933639924376</v>
      </c>
      <c r="F279" s="7">
        <v>120.4933639924376</v>
      </c>
      <c r="G279" s="7">
        <v>120.4933639924376</v>
      </c>
    </row>
    <row r="280" spans="1:7">
      <c r="A280" s="6">
        <v>2454.708915685031</v>
      </c>
      <c r="B280" s="6">
        <v>1.060170491824415</v>
      </c>
      <c r="C280" s="6">
        <v>1.060170491824415</v>
      </c>
      <c r="D280" s="6">
        <v>1.060170491824415</v>
      </c>
      <c r="E280" s="7">
        <v>120.5075142431171</v>
      </c>
      <c r="F280" s="7">
        <v>120.5075142431171</v>
      </c>
      <c r="G280" s="7">
        <v>120.5075142431171</v>
      </c>
    </row>
    <row r="281" spans="1:7">
      <c r="A281" s="6">
        <v>2483.13310529557</v>
      </c>
      <c r="B281" s="6">
        <v>1.06194007433124</v>
      </c>
      <c r="C281" s="6">
        <v>1.06194007433124</v>
      </c>
      <c r="D281" s="6">
        <v>1.06194007433124</v>
      </c>
      <c r="E281" s="7">
        <v>120.5220002007929</v>
      </c>
      <c r="F281" s="7">
        <v>120.5220002007929</v>
      </c>
      <c r="G281" s="7">
        <v>120.5220002007929</v>
      </c>
    </row>
    <row r="282" spans="1:7">
      <c r="A282" s="6">
        <v>2511.886431509582</v>
      </c>
      <c r="B282" s="6">
        <v>1.063754711175475</v>
      </c>
      <c r="C282" s="6">
        <v>1.063754711175475</v>
      </c>
      <c r="D282" s="6">
        <v>1.063754711175475</v>
      </c>
      <c r="E282" s="7">
        <v>120.536829930158</v>
      </c>
      <c r="F282" s="7">
        <v>120.536829930158</v>
      </c>
      <c r="G282" s="7">
        <v>120.536829930158</v>
      </c>
    </row>
    <row r="283" spans="1:7">
      <c r="A283" s="6">
        <v>2540.972705549306</v>
      </c>
      <c r="B283" s="6">
        <v>1.065615636538295</v>
      </c>
      <c r="C283" s="6">
        <v>1.065615636538295</v>
      </c>
      <c r="D283" s="6">
        <v>1.065615636538295</v>
      </c>
      <c r="E283" s="7">
        <v>120.5520116917136</v>
      </c>
      <c r="F283" s="7">
        <v>120.5520116917136</v>
      </c>
      <c r="G283" s="7">
        <v>120.5520116917136</v>
      </c>
    </row>
    <row r="284" spans="1:7">
      <c r="A284" s="6">
        <v>2570.395782768865</v>
      </c>
      <c r="B284" s="6">
        <v>1.067524122250657</v>
      </c>
      <c r="C284" s="6">
        <v>1.067524122250657</v>
      </c>
      <c r="D284" s="6">
        <v>1.067524122250657</v>
      </c>
      <c r="E284" s="7">
        <v>120.5675539463907</v>
      </c>
      <c r="F284" s="7">
        <v>120.5675539463907</v>
      </c>
      <c r="G284" s="7">
        <v>120.5675539463907</v>
      </c>
    </row>
    <row r="285" spans="1:7">
      <c r="A285" s="6">
        <v>2600.159563165272</v>
      </c>
      <c r="B285" s="6">
        <v>1.069481479093777</v>
      </c>
      <c r="C285" s="6">
        <v>1.069481479093777</v>
      </c>
      <c r="D285" s="6">
        <v>1.069481479093777</v>
      </c>
      <c r="E285" s="7">
        <v>120.5834653602544</v>
      </c>
      <c r="F285" s="7">
        <v>120.5834653602544</v>
      </c>
      <c r="G285" s="7">
        <v>120.5834653602544</v>
      </c>
    </row>
    <row r="286" spans="1:7">
      <c r="A286" s="6">
        <v>2630.267991895381</v>
      </c>
      <c r="B286" s="6">
        <v>1.071489058148971</v>
      </c>
      <c r="C286" s="6">
        <v>1.071489058148971</v>
      </c>
      <c r="D286" s="6">
        <v>1.071489058148971</v>
      </c>
      <c r="E286" s="7">
        <v>120.5997548092875</v>
      </c>
      <c r="F286" s="7">
        <v>120.5997548092875</v>
      </c>
      <c r="G286" s="7">
        <v>120.5997548092875</v>
      </c>
    </row>
    <row r="287" spans="1:7">
      <c r="A287" s="6">
        <v>2660.725059798809</v>
      </c>
      <c r="B287" s="6">
        <v>1.073548252198703</v>
      </c>
      <c r="C287" s="6">
        <v>1.073548252198703</v>
      </c>
      <c r="D287" s="6">
        <v>1.073548252198703</v>
      </c>
      <c r="E287" s="7">
        <v>120.6164313842518</v>
      </c>
      <c r="F287" s="7">
        <v>120.6164313842518</v>
      </c>
      <c r="G287" s="7">
        <v>120.6164313842518</v>
      </c>
    </row>
    <row r="288" spans="1:7">
      <c r="A288" s="6">
        <v>2691.534803926914</v>
      </c>
      <c r="B288" s="6">
        <v>1.075660497180714</v>
      </c>
      <c r="C288" s="6">
        <v>1.075660497180714</v>
      </c>
      <c r="D288" s="6">
        <v>1.075660497180714</v>
      </c>
      <c r="E288" s="7">
        <v>120.6335043956237</v>
      </c>
      <c r="F288" s="7">
        <v>120.6335043956237</v>
      </c>
      <c r="G288" s="7">
        <v>120.6335043956237</v>
      </c>
    </row>
    <row r="289" spans="1:7">
      <c r="A289" s="6">
        <v>2722.701308077913</v>
      </c>
      <c r="B289" s="6">
        <v>1.077827273697165</v>
      </c>
      <c r="C289" s="6">
        <v>1.077827273697165</v>
      </c>
      <c r="D289" s="6">
        <v>1.077827273697165</v>
      </c>
      <c r="E289" s="7">
        <v>120.6509833785999</v>
      </c>
      <c r="F289" s="7">
        <v>120.6509833785999</v>
      </c>
      <c r="G289" s="7">
        <v>120.6509833785999</v>
      </c>
    </row>
    <row r="290" spans="1:7">
      <c r="A290" s="6">
        <v>2754.228703338166</v>
      </c>
      <c r="B290" s="6">
        <v>1.080050108580765</v>
      </c>
      <c r="C290" s="6">
        <v>1.080050108580765</v>
      </c>
      <c r="D290" s="6">
        <v>1.080050108580765</v>
      </c>
      <c r="E290" s="7">
        <v>120.6688780981704</v>
      </c>
      <c r="F290" s="7">
        <v>120.6688780981704</v>
      </c>
      <c r="G290" s="7">
        <v>120.6688780981704</v>
      </c>
    </row>
    <row r="291" spans="1:7">
      <c r="A291" s="6">
        <v>2786.121168629772</v>
      </c>
      <c r="B291" s="6">
        <v>1.082330576519852</v>
      </c>
      <c r="C291" s="6">
        <v>1.082330576519852</v>
      </c>
      <c r="D291" s="6">
        <v>1.082330576519852</v>
      </c>
      <c r="E291" s="7">
        <v>120.6871985542511</v>
      </c>
      <c r="F291" s="7">
        <v>120.6871985542511</v>
      </c>
      <c r="G291" s="7">
        <v>120.6871985542511</v>
      </c>
    </row>
    <row r="292" spans="1:7">
      <c r="A292" s="6">
        <v>2818.382931264455</v>
      </c>
      <c r="B292" s="6">
        <v>1.084670301744462</v>
      </c>
      <c r="C292" s="6">
        <v>1.084670301744462</v>
      </c>
      <c r="D292" s="6">
        <v>1.084670301744462</v>
      </c>
      <c r="E292" s="7">
        <v>120.7059549868721</v>
      </c>
      <c r="F292" s="7">
        <v>120.7059549868721</v>
      </c>
      <c r="G292" s="7">
        <v>120.7059549868721</v>
      </c>
    </row>
    <row r="293" spans="1:7">
      <c r="A293" s="6">
        <v>2851.01826750391</v>
      </c>
      <c r="B293" s="6">
        <v>1.087070959775411</v>
      </c>
      <c r="C293" s="6">
        <v>1.087070959775411</v>
      </c>
      <c r="D293" s="6">
        <v>1.087070959775411</v>
      </c>
      <c r="E293" s="7">
        <v>120.7251578814141</v>
      </c>
      <c r="F293" s="7">
        <v>120.7251578814141</v>
      </c>
      <c r="G293" s="7">
        <v>120.7251578814141</v>
      </c>
    </row>
    <row r="294" spans="1:7">
      <c r="A294" s="6">
        <v>2884.031503126606</v>
      </c>
      <c r="B294" s="6">
        <v>1.089534279238414</v>
      </c>
      <c r="C294" s="6">
        <v>1.089534279238414</v>
      </c>
      <c r="D294" s="6">
        <v>1.089534279238414</v>
      </c>
      <c r="E294" s="7">
        <v>120.744817973883</v>
      </c>
      <c r="F294" s="7">
        <v>120.744817973883</v>
      </c>
      <c r="G294" s="7">
        <v>120.744817973883</v>
      </c>
    </row>
    <row r="295" spans="1:7">
      <c r="A295" s="6">
        <v>2917.427014001166</v>
      </c>
      <c r="B295" s="6">
        <v>1.092062043745274</v>
      </c>
      <c r="C295" s="6">
        <v>1.092062043745274</v>
      </c>
      <c r="D295" s="6">
        <v>1.092062043745274</v>
      </c>
      <c r="E295" s="7">
        <v>120.7649462562163</v>
      </c>
      <c r="F295" s="7">
        <v>120.7649462562163</v>
      </c>
      <c r="G295" s="7">
        <v>120.7649462562163</v>
      </c>
    </row>
    <row r="296" spans="1:7">
      <c r="A296" s="6">
        <v>2951.209226666384</v>
      </c>
      <c r="B296" s="6">
        <v>1.094656093844165</v>
      </c>
      <c r="C296" s="6">
        <v>1.094656093844165</v>
      </c>
      <c r="D296" s="6">
        <v>1.094656093844165</v>
      </c>
      <c r="E296" s="7">
        <v>120.7855539816076</v>
      </c>
      <c r="F296" s="7">
        <v>120.7855539816076</v>
      </c>
      <c r="G296" s="7">
        <v>120.7855539816076</v>
      </c>
    </row>
    <row r="297" spans="1:7">
      <c r="A297" s="6">
        <v>2985.38261891796</v>
      </c>
      <c r="B297" s="6">
        <v>1.097318329040954</v>
      </c>
      <c r="C297" s="6">
        <v>1.097318329040954</v>
      </c>
      <c r="D297" s="6">
        <v>1.097318329040954</v>
      </c>
      <c r="E297" s="7">
        <v>120.8066526698391</v>
      </c>
      <c r="F297" s="7">
        <v>120.8066526698391</v>
      </c>
      <c r="G297" s="7">
        <v>120.8066526698391</v>
      </c>
    </row>
    <row r="298" spans="1:7">
      <c r="A298" s="6">
        <v>3019.951720402016</v>
      </c>
      <c r="B298" s="6">
        <v>1.100050709893484</v>
      </c>
      <c r="C298" s="6">
        <v>1.100050709893484</v>
      </c>
      <c r="D298" s="6">
        <v>1.100050709893484</v>
      </c>
      <c r="E298" s="7">
        <v>120.8282541126064</v>
      </c>
      <c r="F298" s="7">
        <v>120.8282541126064</v>
      </c>
      <c r="G298" s="7">
        <v>120.8282541126064</v>
      </c>
    </row>
    <row r="299" spans="1:7">
      <c r="A299" s="6">
        <v>3054.921113215516</v>
      </c>
      <c r="B299" s="6">
        <v>1.102855260180677</v>
      </c>
      <c r="C299" s="6">
        <v>1.102855260180677</v>
      </c>
      <c r="D299" s="6">
        <v>1.102855260180677</v>
      </c>
      <c r="E299" s="7">
        <v>120.8503703788211</v>
      </c>
      <c r="F299" s="7">
        <v>120.8503703788211</v>
      </c>
      <c r="G299" s="7">
        <v>120.8503703788211</v>
      </c>
    </row>
    <row r="300" spans="1:7">
      <c r="A300" s="6">
        <v>3090.295432513592</v>
      </c>
      <c r="B300" s="6">
        <v>1.105734069148161</v>
      </c>
      <c r="C300" s="6">
        <v>1.105734069148161</v>
      </c>
      <c r="D300" s="6">
        <v>1.105734069148161</v>
      </c>
      <c r="E300" s="7">
        <v>120.8730138198717</v>
      </c>
      <c r="F300" s="7">
        <v>120.8730138198717</v>
      </c>
      <c r="G300" s="7">
        <v>120.8730138198717</v>
      </c>
    </row>
    <row r="301" spans="1:7">
      <c r="A301" s="6">
        <v>3126.079367123956</v>
      </c>
      <c r="B301" s="6">
        <v>1.108689293832027</v>
      </c>
      <c r="C301" s="6">
        <v>1.108689293832027</v>
      </c>
      <c r="D301" s="6">
        <v>1.108689293832027</v>
      </c>
      <c r="E301" s="7">
        <v>120.8961970748242</v>
      </c>
      <c r="F301" s="7">
        <v>120.8961970748242</v>
      </c>
      <c r="G301" s="7">
        <v>120.8961970748242</v>
      </c>
    </row>
    <row r="302" spans="1:7">
      <c r="A302" s="6">
        <v>3162.277660168379</v>
      </c>
      <c r="B302" s="6">
        <v>1.111723161462158</v>
      </c>
      <c r="C302" s="6">
        <v>1.111723161462158</v>
      </c>
      <c r="D302" s="6">
        <v>1.111723161462158</v>
      </c>
      <c r="E302" s="7">
        <v>120.919933075537</v>
      </c>
      <c r="F302" s="7">
        <v>120.919933075537</v>
      </c>
      <c r="G302" s="7">
        <v>120.919933075537</v>
      </c>
    </row>
    <row r="303" spans="1:7">
      <c r="A303" s="6">
        <v>3198.895109691397</v>
      </c>
      <c r="B303" s="6">
        <v>1.114837971946326</v>
      </c>
      <c r="C303" s="6">
        <v>1.114837971946326</v>
      </c>
      <c r="D303" s="6">
        <v>1.114837971946326</v>
      </c>
      <c r="E303" s="7">
        <v>120.9442350516669</v>
      </c>
      <c r="F303" s="7">
        <v>120.9442350516669</v>
      </c>
      <c r="G303" s="7">
        <v>120.9442350516669</v>
      </c>
    </row>
    <row r="304" spans="1:7">
      <c r="A304" s="6">
        <v>3235.936569296281</v>
      </c>
      <c r="B304" s="6">
        <v>1.118036100436029</v>
      </c>
      <c r="C304" s="6">
        <v>1.118036100436029</v>
      </c>
      <c r="D304" s="6">
        <v>1.118036100436029</v>
      </c>
      <c r="E304" s="7">
        <v>120.9691165355348</v>
      </c>
      <c r="F304" s="7">
        <v>120.9691165355348</v>
      </c>
      <c r="G304" s="7">
        <v>120.9691165355348</v>
      </c>
    </row>
    <row r="305" spans="1:7">
      <c r="A305" s="6">
        <v>3273.406948788383</v>
      </c>
      <c r="B305" s="6">
        <v>1.121319999974699</v>
      </c>
      <c r="C305" s="6">
        <v>1.121319999974699</v>
      </c>
      <c r="D305" s="6">
        <v>1.121319999974699</v>
      </c>
      <c r="E305" s="7">
        <v>120.9945913668191</v>
      </c>
      <c r="F305" s="7">
        <v>120.9945913668191</v>
      </c>
      <c r="G305" s="7">
        <v>120.9945913668191</v>
      </c>
    </row>
    <row r="306" spans="1:7">
      <c r="A306" s="6">
        <v>3311.311214825911</v>
      </c>
      <c r="B306" s="6">
        <v>1.124692204228561</v>
      </c>
      <c r="C306" s="6">
        <v>1.124692204228561</v>
      </c>
      <c r="D306" s="6">
        <v>1.124692204228561</v>
      </c>
      <c r="E306" s="7">
        <v>121.0206736970405</v>
      </c>
      <c r="F306" s="7">
        <v>121.0206736970405</v>
      </c>
      <c r="G306" s="7">
        <v>121.0206736970405</v>
      </c>
    </row>
    <row r="307" spans="1:7">
      <c r="A307" s="6">
        <v>3349.65439157828</v>
      </c>
      <c r="B307" s="6">
        <v>1.128155330299941</v>
      </c>
      <c r="C307" s="6">
        <v>1.128155330299941</v>
      </c>
      <c r="D307" s="6">
        <v>1.128155330299941</v>
      </c>
      <c r="E307" s="7">
        <v>121.0473779937951</v>
      </c>
      <c r="F307" s="7">
        <v>121.0473779937951</v>
      </c>
      <c r="G307" s="7">
        <v>121.0473779937951</v>
      </c>
    </row>
    <row r="308" spans="1:7">
      <c r="A308" s="6">
        <v>3388.441561392027</v>
      </c>
      <c r="B308" s="6">
        <v>1.131712081622333</v>
      </c>
      <c r="C308" s="6">
        <v>1.131712081622333</v>
      </c>
      <c r="D308" s="6">
        <v>1.131712081622333</v>
      </c>
      <c r="E308" s="7">
        <v>121.0747190446922</v>
      </c>
      <c r="F308" s="7">
        <v>121.0747190446922</v>
      </c>
      <c r="G308" s="7">
        <v>121.0747190446922</v>
      </c>
    </row>
    <row r="309" spans="1:7">
      <c r="A309" s="6">
        <v>3427.677865464505</v>
      </c>
      <c r="B309" s="6">
        <v>1.135365250935847</v>
      </c>
      <c r="C309" s="6">
        <v>1.135365250935847</v>
      </c>
      <c r="D309" s="6">
        <v>1.135365250935847</v>
      </c>
      <c r="E309" s="7">
        <v>121.1027119609418</v>
      </c>
      <c r="F309" s="7">
        <v>121.1027119609418</v>
      </c>
      <c r="G309" s="7">
        <v>121.1027119609418</v>
      </c>
    </row>
    <row r="310" spans="1:7">
      <c r="A310" s="6">
        <v>3467.368504525317</v>
      </c>
      <c r="B310" s="6">
        <v>1.13911772334096</v>
      </c>
      <c r="C310" s="6">
        <v>1.13911772334096</v>
      </c>
      <c r="D310" s="6">
        <v>1.13911772334096</v>
      </c>
      <c r="E310" s="7">
        <v>121.1313721805357</v>
      </c>
      <c r="F310" s="7">
        <v>121.1313721805357</v>
      </c>
      <c r="G310" s="7">
        <v>121.1313721805357</v>
      </c>
    </row>
    <row r="311" spans="1:7">
      <c r="A311" s="6">
        <v>3507.518739525679</v>
      </c>
      <c r="B311" s="6">
        <v>1.142972479427624</v>
      </c>
      <c r="C311" s="6">
        <v>1.142972479427624</v>
      </c>
      <c r="D311" s="6">
        <v>1.142972479427624</v>
      </c>
      <c r="E311" s="7">
        <v>121.1607154709571</v>
      </c>
      <c r="F311" s="7">
        <v>121.1607154709571</v>
      </c>
      <c r="G311" s="7">
        <v>121.1607154709571</v>
      </c>
    </row>
    <row r="312" spans="1:7">
      <c r="A312" s="6">
        <v>3548.133892335753</v>
      </c>
      <c r="B312" s="6">
        <v>1.146932598475726</v>
      </c>
      <c r="C312" s="6">
        <v>1.146932598475726</v>
      </c>
      <c r="D312" s="6">
        <v>1.146932598475726</v>
      </c>
      <c r="E312" s="7">
        <v>121.1907579313443</v>
      </c>
      <c r="F312" s="7">
        <v>121.1907579313443</v>
      </c>
      <c r="G312" s="7">
        <v>121.1907579313443</v>
      </c>
    </row>
    <row r="313" spans="1:7">
      <c r="A313" s="6">
        <v>3589.21934645005</v>
      </c>
      <c r="B313" s="6">
        <v>1.15100126172178</v>
      </c>
      <c r="C313" s="6">
        <v>1.15100126172178</v>
      </c>
      <c r="D313" s="6">
        <v>1.15100126172178</v>
      </c>
      <c r="E313" s="7">
        <v>121.2215159940295</v>
      </c>
      <c r="F313" s="7">
        <v>121.2215159940295</v>
      </c>
      <c r="G313" s="7">
        <v>121.2215159940295</v>
      </c>
    </row>
    <row r="314" spans="1:7">
      <c r="A314" s="6">
        <v>3630.780547701014</v>
      </c>
      <c r="B314" s="6">
        <v>1.155181755685279</v>
      </c>
      <c r="C314" s="6">
        <v>1.155181755685279</v>
      </c>
      <c r="D314" s="6">
        <v>1.155181755685279</v>
      </c>
      <c r="E314" s="7">
        <v>121.25300642536</v>
      </c>
      <c r="F314" s="7">
        <v>121.25300642536</v>
      </c>
      <c r="G314" s="7">
        <v>121.25300642536</v>
      </c>
    </row>
    <row r="315" spans="1:7">
      <c r="A315" s="6">
        <v>3672.823004980846</v>
      </c>
      <c r="B315" s="6">
        <v>1.159477475546608</v>
      </c>
      <c r="C315" s="6">
        <v>1.159477475546608</v>
      </c>
      <c r="D315" s="6">
        <v>1.159477475546608</v>
      </c>
      <c r="E315" s="7">
        <v>121.2852463257012</v>
      </c>
      <c r="F315" s="7">
        <v>121.2852463257012</v>
      </c>
      <c r="G315" s="7">
        <v>121.2852463257012</v>
      </c>
    </row>
    <row r="316" spans="1:7">
      <c r="A316" s="6">
        <v>3715.352290971728</v>
      </c>
      <c r="B316" s="6">
        <v>1.163891928566539</v>
      </c>
      <c r="C316" s="6">
        <v>1.163891928566539</v>
      </c>
      <c r="D316" s="6">
        <v>1.163891928566539</v>
      </c>
      <c r="E316" s="7">
        <v>121.3182531285082</v>
      </c>
      <c r="F316" s="7">
        <v>121.3182531285082</v>
      </c>
      <c r="G316" s="7">
        <v>121.3182531285082</v>
      </c>
    </row>
    <row r="317" spans="1:7">
      <c r="A317" s="6">
        <v>3758.374042884443</v>
      </c>
      <c r="B317" s="6">
        <v>1.168428737535165</v>
      </c>
      <c r="C317" s="6">
        <v>1.168428737535165</v>
      </c>
      <c r="D317" s="6">
        <v>1.168428737535165</v>
      </c>
      <c r="E317" s="7">
        <v>121.3520445983388</v>
      </c>
      <c r="F317" s="7">
        <v>121.3520445983388</v>
      </c>
      <c r="G317" s="7">
        <v>121.3520445983388</v>
      </c>
    </row>
    <row r="318" spans="1:7">
      <c r="A318" s="6">
        <v>3801.893963205613</v>
      </c>
      <c r="B318" s="6">
        <v>1.173091644235751</v>
      </c>
      <c r="C318" s="6">
        <v>1.173091644235751</v>
      </c>
      <c r="D318" s="6">
        <v>1.173091644235751</v>
      </c>
      <c r="E318" s="7">
        <v>121.3866388276677</v>
      </c>
      <c r="F318" s="7">
        <v>121.3866388276677</v>
      </c>
      <c r="G318" s="7">
        <v>121.3866388276677</v>
      </c>
    </row>
    <row r="319" spans="1:7">
      <c r="A319" s="6">
        <v>3845.917820453536</v>
      </c>
      <c r="B319" s="6">
        <v>1.177884512906023</v>
      </c>
      <c r="C319" s="6">
        <v>1.177884512906023</v>
      </c>
      <c r="D319" s="6">
        <v>1.177884512906023</v>
      </c>
      <c r="E319" s="7">
        <v>121.4220542323436</v>
      </c>
      <c r="F319" s="7">
        <v>121.4220542323436</v>
      </c>
      <c r="G319" s="7">
        <v>121.4220542323436</v>
      </c>
    </row>
    <row r="320" spans="1:7">
      <c r="A320" s="6">
        <v>3890.451449942805</v>
      </c>
      <c r="B320" s="6">
        <v>1.18281133367624</v>
      </c>
      <c r="C320" s="6">
        <v>1.18281133367624</v>
      </c>
      <c r="D320" s="6">
        <v>1.18281133367624</v>
      </c>
      <c r="E320" s="7">
        <v>121.4583095455136</v>
      </c>
      <c r="F320" s="7">
        <v>121.4583095455136</v>
      </c>
      <c r="G320" s="7">
        <v>121.4583095455136</v>
      </c>
    </row>
    <row r="321" spans="1:7">
      <c r="A321" s="6">
        <v>3935.500754557772</v>
      </c>
      <c r="B321" s="6">
        <v>1.187876225959578</v>
      </c>
      <c r="C321" s="6">
        <v>1.187876225959578</v>
      </c>
      <c r="D321" s="6">
        <v>1.187876225959578</v>
      </c>
      <c r="E321" s="7">
        <v>121.4954238098193</v>
      </c>
      <c r="F321" s="7">
        <v>121.4954238098193</v>
      </c>
      <c r="G321" s="7">
        <v>121.4954238098193</v>
      </c>
    </row>
    <row r="322" spans="1:7">
      <c r="A322" s="6">
        <v>3981.071705534973</v>
      </c>
      <c r="B322" s="6">
        <v>1.193083441766022</v>
      </c>
      <c r="C322" s="6">
        <v>1.193083441766022</v>
      </c>
      <c r="D322" s="6">
        <v>1.193083441766022</v>
      </c>
      <c r="E322" s="7">
        <v>121.5334163676449</v>
      </c>
      <c r="F322" s="7">
        <v>121.5334163676449</v>
      </c>
      <c r="G322" s="7">
        <v>121.5334163676449</v>
      </c>
    </row>
    <row r="323" spans="1:7">
      <c r="A323" s="6">
        <v>4027.170343254591</v>
      </c>
      <c r="B323" s="6">
        <v>1.198437368906006</v>
      </c>
      <c r="C323" s="6">
        <v>1.198437368906006</v>
      </c>
      <c r="D323" s="6">
        <v>1.198437368906006</v>
      </c>
      <c r="E323" s="7">
        <v>121.5723068491747</v>
      </c>
      <c r="F323" s="7">
        <v>121.5723068491747</v>
      </c>
      <c r="G323" s="7">
        <v>121.5723068491747</v>
      </c>
    </row>
    <row r="324" spans="1:7">
      <c r="A324" s="6">
        <v>4073.80277804113</v>
      </c>
      <c r="B324" s="6">
        <v>1.20394253404435</v>
      </c>
      <c r="C324" s="6">
        <v>1.20394253404435</v>
      </c>
      <c r="D324" s="6">
        <v>1.20394253404435</v>
      </c>
      <c r="E324" s="7">
        <v>121.6121151579868</v>
      </c>
      <c r="F324" s="7">
        <v>121.6121151579868</v>
      </c>
      <c r="G324" s="7">
        <v>121.6121151579868</v>
      </c>
    </row>
    <row r="325" spans="1:7">
      <c r="A325" s="6">
        <v>4120.975190973304</v>
      </c>
      <c r="B325" s="6">
        <v>1.209603605558456</v>
      </c>
      <c r="C325" s="6">
        <v>1.209603605558456</v>
      </c>
      <c r="D325" s="6">
        <v>1.209603605558456</v>
      </c>
      <c r="E325" s="7">
        <v>121.6528614538802</v>
      </c>
      <c r="F325" s="7">
        <v>121.6528614538802</v>
      </c>
      <c r="G325" s="7">
        <v>121.6528614538802</v>
      </c>
    </row>
    <row r="326" spans="1:7">
      <c r="A326" s="6">
        <v>4168.693834703355</v>
      </c>
      <c r="B326" s="6">
        <v>1.215425396147263</v>
      </c>
      <c r="C326" s="6">
        <v>1.215425396147263</v>
      </c>
      <c r="D326" s="6">
        <v>1.215425396147263</v>
      </c>
      <c r="E326" s="7">
        <v>121.694566132597</v>
      </c>
      <c r="F326" s="7">
        <v>121.694566132597</v>
      </c>
      <c r="G326" s="7">
        <v>121.694566132597</v>
      </c>
    </row>
    <row r="327" spans="1:7">
      <c r="A327" s="6">
        <v>4216.965034285822</v>
      </c>
      <c r="B327" s="6">
        <v>1.221412865128879</v>
      </c>
      <c r="C327" s="6">
        <v>1.221412865128879</v>
      </c>
      <c r="D327" s="6">
        <v>1.221412865128879</v>
      </c>
      <c r="E327" s="7">
        <v>121.7372498020631</v>
      </c>
      <c r="F327" s="7">
        <v>121.7372498020631</v>
      </c>
      <c r="G327" s="7">
        <v>121.7372498020631</v>
      </c>
    </row>
    <row r="328" spans="1:7">
      <c r="A328" s="6">
        <v>4265.795188015925</v>
      </c>
      <c r="B328" s="6">
        <v>1.227571120354976</v>
      </c>
      <c r="C328" s="6">
        <v>1.227571120354976</v>
      </c>
      <c r="D328" s="6">
        <v>1.227571120354976</v>
      </c>
      <c r="E328" s="7">
        <v>121.7809332547264</v>
      </c>
      <c r="F328" s="7">
        <v>121.7809332547264</v>
      </c>
      <c r="G328" s="7">
        <v>121.7809332547264</v>
      </c>
    </row>
    <row r="329" spans="1:7">
      <c r="A329" s="6">
        <v>4315.19076827765</v>
      </c>
      <c r="B329" s="6">
        <v>1.233905419658792</v>
      </c>
      <c r="C329" s="6">
        <v>1.233905419658792</v>
      </c>
      <c r="D329" s="6">
        <v>1.233905419658792</v>
      </c>
      <c r="E329" s="7">
        <v>121.8256374355248</v>
      </c>
      <c r="F329" s="7">
        <v>121.8256374355248</v>
      </c>
      <c r="G329" s="7">
        <v>121.8256374355248</v>
      </c>
    </row>
    <row r="330" spans="1:7">
      <c r="A330" s="6">
        <v>4365.158322401661</v>
      </c>
      <c r="B330" s="6">
        <v>1.2404211717408</v>
      </c>
      <c r="C330" s="6">
        <v>1.2404211717408</v>
      </c>
      <c r="D330" s="6">
        <v>1.2404211717408</v>
      </c>
      <c r="E330" s="7">
        <v>121.8713834049616</v>
      </c>
      <c r="F330" s="7">
        <v>121.8713834049616</v>
      </c>
      <c r="G330" s="7">
        <v>121.8713834049616</v>
      </c>
    </row>
    <row r="331" spans="1:7">
      <c r="A331" s="6">
        <v>4415.704473533126</v>
      </c>
      <c r="B331" s="6">
        <v>1.247123936381395</v>
      </c>
      <c r="C331" s="6">
        <v>1.247123936381395</v>
      </c>
      <c r="D331" s="6">
        <v>1.247123936381395</v>
      </c>
      <c r="E331" s="7">
        <v>121.9181922967073</v>
      </c>
      <c r="F331" s="7">
        <v>121.9181922967073</v>
      </c>
      <c r="G331" s="7">
        <v>121.9181922967073</v>
      </c>
    </row>
    <row r="332" spans="1:7">
      <c r="A332" s="6">
        <v>4466.835921509635</v>
      </c>
      <c r="B332" s="6">
        <v>1.254019423853298</v>
      </c>
      <c r="C332" s="6">
        <v>1.254019423853298</v>
      </c>
      <c r="D332" s="6">
        <v>1.254019423853298</v>
      </c>
      <c r="E332" s="7">
        <v>121.9660852690801</v>
      </c>
      <c r="F332" s="7">
        <v>121.9660852690801</v>
      </c>
      <c r="G332" s="7">
        <v>121.9660852690801</v>
      </c>
    </row>
    <row r="333" spans="1:7">
      <c r="A333" s="6">
        <v>4518.559443749226</v>
      </c>
      <c r="B333" s="6">
        <v>1.26111349338725</v>
      </c>
      <c r="C333" s="6">
        <v>1.26111349338725</v>
      </c>
      <c r="D333" s="6">
        <v>1.26111349338725</v>
      </c>
      <c r="E333" s="7">
        <v>122.0150834496829</v>
      </c>
      <c r="F333" s="7">
        <v>122.0150834496829</v>
      </c>
      <c r="G333" s="7">
        <v>122.0150834496829</v>
      </c>
    </row>
    <row r="334" spans="1:7">
      <c r="A334" s="6">
        <v>4570.881896148751</v>
      </c>
      <c r="B334" s="6">
        <v>1.268412150522927</v>
      </c>
      <c r="C334" s="6">
        <v>1.268412150522927</v>
      </c>
      <c r="D334" s="6">
        <v>1.268412150522927</v>
      </c>
      <c r="E334" s="7">
        <v>122.0652078723956</v>
      </c>
      <c r="F334" s="7">
        <v>122.0652078723956</v>
      </c>
      <c r="G334" s="7">
        <v>122.0652078723956</v>
      </c>
    </row>
    <row r="335" spans="1:7">
      <c r="A335" s="6">
        <v>4623.810213992603</v>
      </c>
      <c r="B335" s="6">
        <v>1.275921543152274</v>
      </c>
      <c r="C335" s="6">
        <v>1.275921543152274</v>
      </c>
      <c r="D335" s="6">
        <v>1.275921543152274</v>
      </c>
      <c r="E335" s="7">
        <v>122.1164794058282</v>
      </c>
      <c r="F335" s="7">
        <v>122.1164794058282</v>
      </c>
      <c r="G335" s="7">
        <v>122.1164794058282</v>
      </c>
    </row>
    <row r="336" spans="1:7">
      <c r="A336" s="6">
        <v>4677.351412871981</v>
      </c>
      <c r="B336" s="6">
        <v>1.283647956034355</v>
      </c>
      <c r="C336" s="6">
        <v>1.283647956034355</v>
      </c>
      <c r="D336" s="6">
        <v>1.283647956034355</v>
      </c>
      <c r="E336" s="7">
        <v>122.1689186722407</v>
      </c>
      <c r="F336" s="7">
        <v>122.1689186722407</v>
      </c>
      <c r="G336" s="7">
        <v>122.1689186722407</v>
      </c>
    </row>
    <row r="337" spans="1:7">
      <c r="A337" s="6">
        <v>4731.512589614803</v>
      </c>
      <c r="B337" s="6">
        <v>1.291597803528961</v>
      </c>
      <c r="C337" s="6">
        <v>1.291597803528961</v>
      </c>
      <c r="D337" s="6">
        <v>1.291597803528961</v>
      </c>
      <c r="E337" s="7">
        <v>122.2225459558269</v>
      </c>
      <c r="F337" s="7">
        <v>122.2225459558269</v>
      </c>
      <c r="G337" s="7">
        <v>122.2225459558269</v>
      </c>
    </row>
    <row r="338" spans="1:7">
      <c r="A338" s="6">
        <v>4786.30092322638</v>
      </c>
      <c r="B338" s="6">
        <v>1.299777620260027</v>
      </c>
      <c r="C338" s="6">
        <v>1.299777620260027</v>
      </c>
      <c r="D338" s="6">
        <v>1.299777620260027</v>
      </c>
      <c r="E338" s="7">
        <v>122.277381099132</v>
      </c>
      <c r="F338" s="7">
        <v>122.277381099132</v>
      </c>
      <c r="G338" s="7">
        <v>122.277381099132</v>
      </c>
    </row>
    <row r="339" spans="1:7">
      <c r="A339" s="6">
        <v>4841.723675840994</v>
      </c>
      <c r="B339" s="6">
        <v>1.30819404937893</v>
      </c>
      <c r="C339" s="6">
        <v>1.30819404937893</v>
      </c>
      <c r="D339" s="6">
        <v>1.30819404937893</v>
      </c>
      <c r="E339" s="7">
        <v>122.333443386245</v>
      </c>
      <c r="F339" s="7">
        <v>122.333443386245</v>
      </c>
      <c r="G339" s="7">
        <v>122.333443386245</v>
      </c>
    </row>
    <row r="340" spans="1:7">
      <c r="A340" s="6">
        <v>4897.788193684461</v>
      </c>
      <c r="B340" s="6">
        <v>1.316853828051479</v>
      </c>
      <c r="C340" s="6">
        <v>1.316853828051479</v>
      </c>
      <c r="D340" s="6">
        <v>1.316853828051479</v>
      </c>
      <c r="E340" s="7">
        <v>122.3907514112511</v>
      </c>
      <c r="F340" s="7">
        <v>122.3907514112511</v>
      </c>
      <c r="G340" s="7">
        <v>122.3907514112511</v>
      </c>
    </row>
    <row r="341" spans="1:7">
      <c r="A341" s="6">
        <v>4954.501908047905</v>
      </c>
      <c r="B341" s="6">
        <v>1.325763769740073</v>
      </c>
      <c r="C341" s="6">
        <v>1.325763769740073</v>
      </c>
      <c r="D341" s="6">
        <v>1.325763769740073</v>
      </c>
      <c r="E341" s="7">
        <v>122.4493229302729</v>
      </c>
      <c r="F341" s="7">
        <v>122.4493229302729</v>
      </c>
      <c r="G341" s="7">
        <v>122.4493229302729</v>
      </c>
    </row>
    <row r="342" spans="1:7">
      <c r="A342" s="6">
        <v>5011.872336272725</v>
      </c>
      <c r="B342" s="6">
        <v>1.334930742793712</v>
      </c>
      <c r="C342" s="6">
        <v>1.334930742793712</v>
      </c>
      <c r="D342" s="6">
        <v>1.334930742793712</v>
      </c>
      <c r="E342" s="7">
        <v>122.5091746952442</v>
      </c>
      <c r="F342" s="7">
        <v>122.5091746952442</v>
      </c>
      <c r="G342" s="7">
        <v>122.5091746952442</v>
      </c>
    </row>
    <row r="343" spans="1:7">
      <c r="A343" s="6">
        <v>5069.907082747044</v>
      </c>
      <c r="B343" s="6">
        <v>1.344361644792388</v>
      </c>
      <c r="C343" s="6">
        <v>1.344361644792388</v>
      </c>
      <c r="D343" s="6">
        <v>1.344361644792388</v>
      </c>
      <c r="E343" s="7">
        <v>122.5703222673704</v>
      </c>
      <c r="F343" s="7">
        <v>122.5703222673704</v>
      </c>
      <c r="G343" s="7">
        <v>122.5703222673704</v>
      </c>
    </row>
    <row r="344" spans="1:7">
      <c r="A344" s="6">
        <v>5128.613839913648</v>
      </c>
      <c r="B344" s="6">
        <v>1.354063372018349</v>
      </c>
      <c r="C344" s="6">
        <v>1.354063372018349</v>
      </c>
      <c r="D344" s="6">
        <v>1.354063372018349</v>
      </c>
      <c r="E344" s="7">
        <v>122.632779808014</v>
      </c>
      <c r="F344" s="7">
        <v>122.632779808014</v>
      </c>
      <c r="G344" s="7">
        <v>122.632779808014</v>
      </c>
    </row>
    <row r="345" spans="1:7">
      <c r="A345" s="6">
        <v>5188.000389289609</v>
      </c>
      <c r="B345" s="6">
        <v>1.364042783344067</v>
      </c>
      <c r="C345" s="6">
        <v>1.364042783344067</v>
      </c>
      <c r="D345" s="6">
        <v>1.364042783344067</v>
      </c>
      <c r="E345" s="7">
        <v>122.6965598445155</v>
      </c>
      <c r="F345" s="7">
        <v>122.6965598445155</v>
      </c>
      <c r="G345" s="7">
        <v>122.6965598445155</v>
      </c>
    </row>
    <row r="346" spans="1:7">
      <c r="A346" s="6">
        <v>5248.074602497723</v>
      </c>
      <c r="B346" s="6">
        <v>1.374306657734762</v>
      </c>
      <c r="C346" s="6">
        <v>1.374306657734762</v>
      </c>
      <c r="D346" s="6">
        <v>1.374306657734762</v>
      </c>
      <c r="E346" s="7">
        <v>122.7616730082161</v>
      </c>
      <c r="F346" s="7">
        <v>122.7616730082161</v>
      </c>
      <c r="G346" s="7">
        <v>122.7616730082161</v>
      </c>
    </row>
    <row r="347" spans="1:7">
      <c r="A347" s="6">
        <v>5308.844442309884</v>
      </c>
      <c r="B347" s="6">
        <v>1.384861644461665</v>
      </c>
      <c r="C347" s="6">
        <v>1.384861644461665</v>
      </c>
      <c r="D347" s="6">
        <v>1.384861644461665</v>
      </c>
      <c r="E347" s="7">
        <v>122.8281277416807</v>
      </c>
      <c r="F347" s="7">
        <v>122.8281277416807</v>
      </c>
      <c r="G347" s="7">
        <v>122.8281277416807</v>
      </c>
    </row>
    <row r="348" spans="1:7">
      <c r="A348" s="6">
        <v>5370.317963702527</v>
      </c>
      <c r="B348" s="6">
        <v>1.395714205010068</v>
      </c>
      <c r="C348" s="6">
        <v>1.395714205010068</v>
      </c>
      <c r="D348" s="6">
        <v>1.395714205010068</v>
      </c>
      <c r="E348" s="7">
        <v>122.8959299718472</v>
      </c>
      <c r="F348" s="7">
        <v>122.8959299718472</v>
      </c>
      <c r="G348" s="7">
        <v>122.8959299718472</v>
      </c>
    </row>
    <row r="349" spans="1:7">
      <c r="A349" s="6">
        <v>5432.503314924336</v>
      </c>
      <c r="B349" s="6">
        <v>1.406870545543755</v>
      </c>
      <c r="C349" s="6">
        <v>1.406870545543755</v>
      </c>
      <c r="D349" s="6">
        <v>1.406870545543755</v>
      </c>
      <c r="E349" s="7">
        <v>122.9650827455314</v>
      </c>
      <c r="F349" s="7">
        <v>122.9650827455314</v>
      </c>
      <c r="G349" s="7">
        <v>122.9650827455314</v>
      </c>
    </row>
    <row r="350" spans="1:7">
      <c r="A350" s="6">
        <v>5495.408738576249</v>
      </c>
      <c r="B350" s="6">
        <v>1.418336538654413</v>
      </c>
      <c r="C350" s="6">
        <v>1.418336538654413</v>
      </c>
      <c r="D350" s="6">
        <v>1.418336538654413</v>
      </c>
      <c r="E350" s="7">
        <v>123.0355858234199</v>
      </c>
      <c r="F350" s="7">
        <v>123.0355858234199</v>
      </c>
      <c r="G350" s="7">
        <v>123.0355858234199</v>
      </c>
    </row>
    <row r="351" spans="1:7">
      <c r="A351" s="6">
        <v>5559.042572704037</v>
      </c>
      <c r="B351" s="6">
        <v>1.430117632981741</v>
      </c>
      <c r="C351" s="6">
        <v>1.430117632981741</v>
      </c>
      <c r="D351" s="6">
        <v>1.430117632981741</v>
      </c>
      <c r="E351" s="7">
        <v>123.1074352283744</v>
      </c>
      <c r="F351" s="7">
        <v>123.1074352283744</v>
      </c>
      <c r="G351" s="7">
        <v>123.1074352283744</v>
      </c>
    </row>
    <row r="352" spans="1:7">
      <c r="A352" s="6">
        <v>5623.413251903491</v>
      </c>
      <c r="B352" s="6">
        <v>1.442218749138227</v>
      </c>
      <c r="C352" s="6">
        <v>1.442218749138227</v>
      </c>
      <c r="D352" s="6">
        <v>1.442218749138227</v>
      </c>
      <c r="E352" s="7">
        <v>123.180622743571</v>
      </c>
      <c r="F352" s="7">
        <v>123.180622743571</v>
      </c>
      <c r="G352" s="7">
        <v>123.180622743571</v>
      </c>
    </row>
    <row r="353" spans="1:7">
      <c r="A353" s="6">
        <v>5688.529308438413</v>
      </c>
      <c r="B353" s="6">
        <v>1.454644160213943</v>
      </c>
      <c r="C353" s="6">
        <v>1.454644160213943</v>
      </c>
      <c r="D353" s="6">
        <v>1.454644160213943</v>
      </c>
      <c r="E353" s="7">
        <v>123.2551353557041</v>
      </c>
      <c r="F353" s="7">
        <v>123.2551353557041</v>
      </c>
      <c r="G353" s="7">
        <v>123.2551353557041</v>
      </c>
    </row>
    <row r="354" spans="1:7">
      <c r="A354" s="6">
        <v>5754.399373371566</v>
      </c>
      <c r="B354" s="6">
        <v>1.467397354974096</v>
      </c>
      <c r="C354" s="6">
        <v>1.467397354974096</v>
      </c>
      <c r="D354" s="6">
        <v>1.467397354974096</v>
      </c>
      <c r="E354" s="7">
        <v>123.3309546382235</v>
      </c>
      <c r="F354" s="7">
        <v>123.3309546382235</v>
      </c>
      <c r="G354" s="7">
        <v>123.3309546382235</v>
      </c>
    </row>
    <row r="355" spans="1:7">
      <c r="A355" s="6">
        <v>5821.032177708716</v>
      </c>
      <c r="B355" s="6">
        <v>1.48048088169996</v>
      </c>
      <c r="C355" s="6">
        <v>1.48048088169996</v>
      </c>
      <c r="D355" s="6">
        <v>1.48048088169996</v>
      </c>
      <c r="E355" s="7">
        <v>123.4080560693484</v>
      </c>
      <c r="F355" s="7">
        <v>123.4080560693484</v>
      </c>
      <c r="G355" s="7">
        <v>123.4080560693484</v>
      </c>
    </row>
    <row r="356" spans="1:7">
      <c r="A356" s="6">
        <v>5888.43655355589</v>
      </c>
      <c r="B356" s="6">
        <v>1.493896170468393</v>
      </c>
      <c r="C356" s="6">
        <v>1.493896170468393</v>
      </c>
      <c r="D356" s="6">
        <v>1.493896170468393</v>
      </c>
      <c r="E356" s="7">
        <v>123.4864082794454</v>
      </c>
      <c r="F356" s="7">
        <v>123.4864082794454</v>
      </c>
      <c r="G356" s="7">
        <v>123.4864082794454</v>
      </c>
    </row>
    <row r="357" spans="1:7">
      <c r="A357" s="6">
        <v>5956.62143529011</v>
      </c>
      <c r="B357" s="6">
        <v>1.507643331524899</v>
      </c>
      <c r="C357" s="6">
        <v>1.507643331524899</v>
      </c>
      <c r="D357" s="6">
        <v>1.507643331524899</v>
      </c>
      <c r="E357" s="7">
        <v>123.5659722222974</v>
      </c>
      <c r="F357" s="7">
        <v>123.5659722222974</v>
      </c>
      <c r="G357" s="7">
        <v>123.5659722222974</v>
      </c>
    </row>
    <row r="358" spans="1:7">
      <c r="A358" s="6">
        <v>6025.59586074358</v>
      </c>
      <c r="B358" s="6">
        <v>1.521720927291665</v>
      </c>
      <c r="C358" s="6">
        <v>1.521720927291665</v>
      </c>
      <c r="D358" s="6">
        <v>1.521720927291665</v>
      </c>
      <c r="E358" s="7">
        <v>123.6467002648516</v>
      </c>
      <c r="F358" s="7">
        <v>123.6467002648516</v>
      </c>
      <c r="G358" s="7">
        <v>123.6467002648516</v>
      </c>
    </row>
    <row r="359" spans="1:7">
      <c r="A359" s="6">
        <v>6095.368972401694</v>
      </c>
      <c r="B359" s="6">
        <v>1.536125715480209</v>
      </c>
      <c r="C359" s="6">
        <v>1.536125715480209</v>
      </c>
      <c r="D359" s="6">
        <v>1.536125715480209</v>
      </c>
      <c r="E359" s="7">
        <v>123.7285351902793</v>
      </c>
      <c r="F359" s="7">
        <v>123.7285351902793</v>
      </c>
      <c r="G359" s="7">
        <v>123.7285351902793</v>
      </c>
    </row>
    <row r="360" spans="1:7">
      <c r="A360" s="6">
        <v>6165.950018614823</v>
      </c>
      <c r="B360" s="6">
        <v>1.550852360767556</v>
      </c>
      <c r="C360" s="6">
        <v>1.550852360767556</v>
      </c>
      <c r="D360" s="6">
        <v>1.550852360767556</v>
      </c>
      <c r="E360" s="7">
        <v>123.8114091096456</v>
      </c>
      <c r="F360" s="7">
        <v>123.8114091096456</v>
      </c>
      <c r="G360" s="7">
        <v>123.8114091096456</v>
      </c>
    </row>
    <row r="361" spans="1:7">
      <c r="A361" s="6">
        <v>6237.348354824191</v>
      </c>
      <c r="B361" s="6">
        <v>1.565893112570116</v>
      </c>
      <c r="C361" s="6">
        <v>1.565893112570116</v>
      </c>
      <c r="D361" s="6">
        <v>1.565893112570116</v>
      </c>
      <c r="E361" s="7">
        <v>123.8952422782536</v>
      </c>
      <c r="F361" s="7">
        <v>123.8952422782536</v>
      </c>
      <c r="G361" s="7">
        <v>123.8952422782536</v>
      </c>
    </row>
    <row r="362" spans="1:7">
      <c r="A362" s="6">
        <v>6309.57344480193</v>
      </c>
      <c r="B362" s="6">
        <v>1.581237446641256</v>
      </c>
      <c r="C362" s="6">
        <v>1.581237446641256</v>
      </c>
      <c r="D362" s="6">
        <v>1.581237446641256</v>
      </c>
      <c r="E362" s="7">
        <v>123.9799418138626</v>
      </c>
      <c r="F362" s="7">
        <v>123.9799418138626</v>
      </c>
      <c r="G362" s="7">
        <v>123.9799418138626</v>
      </c>
    </row>
    <row r="363" spans="1:7">
      <c r="A363" s="6">
        <v>6382.634861905482</v>
      </c>
      <c r="B363" s="6">
        <v>1.596871668565046</v>
      </c>
      <c r="C363" s="6">
        <v>1.596871668565046</v>
      </c>
      <c r="D363" s="6">
        <v>1.596871668565046</v>
      </c>
      <c r="E363" s="7">
        <v>124.0654003155876</v>
      </c>
      <c r="F363" s="7">
        <v>124.0654003155876</v>
      </c>
      <c r="G363" s="7">
        <v>124.0654003155876</v>
      </c>
    </row>
    <row r="364" spans="1:7">
      <c r="A364" s="6">
        <v>6456.542290346556</v>
      </c>
      <c r="B364" s="6">
        <v>1.612778477765336</v>
      </c>
      <c r="C364" s="6">
        <v>1.612778477765336</v>
      </c>
      <c r="D364" s="6">
        <v>1.612778477765336</v>
      </c>
      <c r="E364" s="7">
        <v>124.1514943844689</v>
      </c>
      <c r="F364" s="7">
        <v>124.1514943844689</v>
      </c>
      <c r="G364" s="7">
        <v>124.1514943844689</v>
      </c>
    </row>
    <row r="365" spans="1:7">
      <c r="A365" s="6">
        <v>6531.305526474723</v>
      </c>
      <c r="B365" s="6">
        <v>1.628936491450155</v>
      </c>
      <c r="C365" s="6">
        <v>1.628936491450155</v>
      </c>
      <c r="D365" s="6">
        <v>1.628936491450155</v>
      </c>
      <c r="E365" s="7">
        <v>124.2380830495783</v>
      </c>
      <c r="F365" s="7">
        <v>124.2380830495783</v>
      </c>
      <c r="G365" s="7">
        <v>124.2380830495783</v>
      </c>
    </row>
    <row r="366" spans="1:7">
      <c r="A366" s="6">
        <v>6606.934480075965</v>
      </c>
      <c r="B366" s="6">
        <v>1.645319729028612</v>
      </c>
      <c r="C366" s="6">
        <v>1.645319729028612</v>
      </c>
      <c r="D366" s="6">
        <v>1.645319729028612</v>
      </c>
      <c r="E366" s="7">
        <v>124.3250061072422</v>
      </c>
      <c r="F366" s="7">
        <v>124.3250061072422</v>
      </c>
      <c r="G366" s="7">
        <v>124.3250061072422</v>
      </c>
    </row>
    <row r="367" spans="1:7">
      <c r="A367" s="6">
        <v>6683.439175686149</v>
      </c>
      <c r="B367" s="6">
        <v>1.66189705904027</v>
      </c>
      <c r="C367" s="6">
        <v>1.66189705904027</v>
      </c>
      <c r="D367" s="6">
        <v>1.66189705904027</v>
      </c>
      <c r="E367" s="7">
        <v>124.4120823856483</v>
      </c>
      <c r="F367" s="7">
        <v>124.4120823856483</v>
      </c>
      <c r="G367" s="7">
        <v>124.4120823856483</v>
      </c>
    </row>
    <row r="368" spans="1:7">
      <c r="A368" s="6">
        <v>6760.829753919819</v>
      </c>
      <c r="B368" s="6">
        <v>1.678631612600089</v>
      </c>
      <c r="C368" s="6">
        <v>1.678631612600089</v>
      </c>
      <c r="D368" s="6">
        <v>1.678631612600089</v>
      </c>
      <c r="E368" s="7">
        <v>124.4991079529098</v>
      </c>
      <c r="F368" s="7">
        <v>124.4991079529098</v>
      </c>
      <c r="G368" s="7">
        <v>124.4991079529098</v>
      </c>
    </row>
    <row r="369" spans="1:7">
      <c r="A369" s="6">
        <v>6839.116472814293</v>
      </c>
      <c r="B369" s="6">
        <v>1.695480169861078</v>
      </c>
      <c r="C369" s="6">
        <v>1.695480169861078</v>
      </c>
      <c r="D369" s="6">
        <v>1.695480169861078</v>
      </c>
      <c r="E369" s="7">
        <v>124.5858542937209</v>
      </c>
      <c r="F369" s="7">
        <v>124.5858542937209</v>
      </c>
      <c r="G369" s="7">
        <v>124.5858542937209</v>
      </c>
    </row>
    <row r="370" spans="1:7">
      <c r="A370" s="6">
        <v>6918.309709189362</v>
      </c>
      <c r="B370" s="6">
        <v>1.712392529102426</v>
      </c>
      <c r="C370" s="6">
        <v>1.712392529102426</v>
      </c>
      <c r="D370" s="6">
        <v>1.712392529102426</v>
      </c>
      <c r="E370" s="7">
        <v>124.6720664881664</v>
      </c>
      <c r="F370" s="7">
        <v>124.6720664881664</v>
      </c>
      <c r="G370" s="7">
        <v>124.6720664881664</v>
      </c>
    </row>
    <row r="371" spans="1:7">
      <c r="A371" s="6">
        <v>6998.419960022731</v>
      </c>
      <c r="B371" s="6">
        <v>1.729310871818668</v>
      </c>
      <c r="C371" s="6">
        <v>1.729310871818668</v>
      </c>
      <c r="D371" s="6">
        <v>1.729310871818668</v>
      </c>
      <c r="E371" s="7">
        <v>124.7574614360925</v>
      </c>
      <c r="F371" s="7">
        <v>124.7574614360925</v>
      </c>
      <c r="G371" s="7">
        <v>124.7574614360925</v>
      </c>
    </row>
    <row r="372" spans="1:7">
      <c r="A372" s="6">
        <v>7079.457843841381</v>
      </c>
      <c r="B372" s="6">
        <v>1.746169141643359</v>
      </c>
      <c r="C372" s="6">
        <v>1.746169141643359</v>
      </c>
      <c r="D372" s="6">
        <v>1.746169141643359</v>
      </c>
      <c r="E372" s="7">
        <v>124.8417261817158</v>
      </c>
      <c r="F372" s="7">
        <v>124.8417261817158</v>
      </c>
      <c r="G372" s="7">
        <v>124.8417261817158</v>
      </c>
    </row>
    <row r="373" spans="1:7">
      <c r="A373" s="6">
        <v>7161.43410212902</v>
      </c>
      <c r="B373" s="6">
        <v>1.762892460070399</v>
      </c>
      <c r="C373" s="6">
        <v>1.762892460070399</v>
      </c>
      <c r="D373" s="6">
        <v>1.762892460070399</v>
      </c>
      <c r="E373" s="7">
        <v>124.9245164056858</v>
      </c>
      <c r="F373" s="7">
        <v>124.9245164056858</v>
      </c>
      <c r="G373" s="7">
        <v>124.9245164056858</v>
      </c>
    </row>
    <row r="374" spans="1:7">
      <c r="A374" s="6">
        <v>7244.359600749906</v>
      </c>
      <c r="B374" s="6">
        <v>1.77939660765187</v>
      </c>
      <c r="C374" s="6">
        <v>1.77939660765187</v>
      </c>
      <c r="D374" s="6">
        <v>1.77939660765187</v>
      </c>
      <c r="E374" s="7">
        <v>125.0054551653611</v>
      </c>
      <c r="F374" s="7">
        <v>125.0054551653611</v>
      </c>
      <c r="G374" s="7">
        <v>125.0054551653611</v>
      </c>
    </row>
    <row r="375" spans="1:7">
      <c r="A375" s="6">
        <v>7328.245331389045</v>
      </c>
      <c r="B375" s="6">
        <v>1.795587605472258</v>
      </c>
      <c r="C375" s="6">
        <v>1.795587605472258</v>
      </c>
      <c r="D375" s="6">
        <v>1.795587605472258</v>
      </c>
      <c r="E375" s="7">
        <v>125.0841319781033</v>
      </c>
      <c r="F375" s="7">
        <v>125.0841319781033</v>
      </c>
      <c r="G375" s="7">
        <v>125.0841319781033</v>
      </c>
    </row>
    <row r="376" spans="1:7">
      <c r="A376" s="6">
        <v>7413.102413009177</v>
      </c>
      <c r="B376" s="6">
        <v>1.811361437922988</v>
      </c>
      <c r="C376" s="6">
        <v>1.811361437922988</v>
      </c>
      <c r="D376" s="6">
        <v>1.811361437922988</v>
      </c>
      <c r="E376" s="7">
        <v>125.1601023561825</v>
      </c>
      <c r="F376" s="7">
        <v>125.1601023561825</v>
      </c>
      <c r="G376" s="7">
        <v>125.1601023561825</v>
      </c>
    </row>
    <row r="377" spans="1:7">
      <c r="A377" s="6">
        <v>7498.942093324558</v>
      </c>
      <c r="B377" s="6">
        <v>1.826603963674418</v>
      </c>
      <c r="C377" s="6">
        <v>1.826603963674418</v>
      </c>
      <c r="D377" s="6">
        <v>1.826603963674418</v>
      </c>
      <c r="E377" s="7">
        <v>125.2328879143716</v>
      </c>
      <c r="F377" s="7">
        <v>125.2328879143716</v>
      </c>
      <c r="G377" s="7">
        <v>125.2328879143716</v>
      </c>
    </row>
    <row r="378" spans="1:7">
      <c r="A378" s="6">
        <v>7585.775750291836</v>
      </c>
      <c r="B378" s="6">
        <v>1.841191066640971</v>
      </c>
      <c r="C378" s="6">
        <v>1.841191066640971</v>
      </c>
      <c r="D378" s="6">
        <v>1.841191066640971</v>
      </c>
      <c r="E378" s="7">
        <v>125.3019771810763</v>
      </c>
      <c r="F378" s="7">
        <v>125.3019771810763</v>
      </c>
      <c r="G378" s="7">
        <v>125.3019771810763</v>
      </c>
    </row>
    <row r="379" spans="1:7">
      <c r="A379" s="6">
        <v>7673.614893618185</v>
      </c>
      <c r="B379" s="6">
        <v>1.854989101854799</v>
      </c>
      <c r="C379" s="6">
        <v>1.854989101854799</v>
      </c>
      <c r="D379" s="6">
        <v>1.854989101854799</v>
      </c>
      <c r="E379" s="7">
        <v>125.3668272491752</v>
      </c>
      <c r="F379" s="7">
        <v>125.3668272491752</v>
      </c>
      <c r="G379" s="7">
        <v>125.3668272491752</v>
      </c>
    </row>
    <row r="380" spans="1:7">
      <c r="A380" s="6">
        <v>7762.471166286919</v>
      </c>
      <c r="B380" s="6">
        <v>1.867855691538995</v>
      </c>
      <c r="C380" s="6">
        <v>1.867855691538995</v>
      </c>
      <c r="D380" s="6">
        <v>1.867855691538995</v>
      </c>
      <c r="E380" s="7">
        <v>125.4268664015941</v>
      </c>
      <c r="F380" s="7">
        <v>125.4268664015941</v>
      </c>
      <c r="G380" s="7">
        <v>125.4268664015941</v>
      </c>
    </row>
    <row r="381" spans="1:7">
      <c r="A381" s="6">
        <v>7852.356346100718</v>
      </c>
      <c r="B381" s="6">
        <v>1.879640923225376</v>
      </c>
      <c r="C381" s="6">
        <v>1.879640923225376</v>
      </c>
      <c r="D381" s="6">
        <v>1.879640923225376</v>
      </c>
      <c r="E381" s="7">
        <v>125.4814978368022</v>
      </c>
      <c r="F381" s="7">
        <v>125.4814978368022</v>
      </c>
      <c r="G381" s="7">
        <v>125.4814978368022</v>
      </c>
    </row>
    <row r="382" spans="1:7">
      <c r="A382" s="6">
        <v>7943.282347242822</v>
      </c>
      <c r="B382" s="6">
        <v>1.890188993403074</v>
      </c>
      <c r="C382" s="6">
        <v>1.890188993403074</v>
      </c>
      <c r="D382" s="6">
        <v>1.890188993403074</v>
      </c>
      <c r="E382" s="7">
        <v>125.5301045986876</v>
      </c>
      <c r="F382" s="7">
        <v>125.5301045986876</v>
      </c>
      <c r="G382" s="7">
        <v>125.5301045986876</v>
      </c>
    </row>
    <row r="383" spans="1:7">
      <c r="A383" s="6">
        <v>8035.261221856177</v>
      </c>
      <c r="B383" s="6">
        <v>1.899340325955265</v>
      </c>
      <c r="C383" s="6">
        <v>1.899340325955265</v>
      </c>
      <c r="D383" s="6">
        <v>1.899340325955265</v>
      </c>
      <c r="E383" s="7">
        <v>125.5720557817545</v>
      </c>
      <c r="F383" s="7">
        <v>125.5720557817545</v>
      </c>
      <c r="G383" s="7">
        <v>125.5720557817545</v>
      </c>
    </row>
    <row r="384" spans="1:7">
      <c r="A384" s="6">
        <v>8128.305161640995</v>
      </c>
      <c r="B384" s="6">
        <v>1.906934173918726</v>
      </c>
      <c r="C384" s="6">
        <v>1.906934173918726</v>
      </c>
      <c r="D384" s="6">
        <v>1.906934173918726</v>
      </c>
      <c r="E384" s="7">
        <v>125.6067140350441</v>
      </c>
      <c r="F384" s="7">
        <v>125.6067140350441</v>
      </c>
      <c r="G384" s="7">
        <v>125.6067140350441</v>
      </c>
    </row>
    <row r="385" spans="1:7">
      <c r="A385" s="6">
        <v>8222.426499470712</v>
      </c>
      <c r="B385" s="6">
        <v>1.912811685829285</v>
      </c>
      <c r="C385" s="6">
        <v>1.912811685829285</v>
      </c>
      <c r="D385" s="6">
        <v>1.912811685829285</v>
      </c>
      <c r="E385" s="7">
        <v>125.6334443265173</v>
      </c>
      <c r="F385" s="7">
        <v>125.6334443265173</v>
      </c>
      <c r="G385" s="7">
        <v>125.6334443265173</v>
      </c>
    </row>
    <row r="386" spans="1:7">
      <c r="A386" s="6">
        <v>8317.637711026709</v>
      </c>
      <c r="B386" s="6">
        <v>1.916819384847903</v>
      </c>
      <c r="C386" s="6">
        <v>1.916819384847903</v>
      </c>
      <c r="D386" s="6">
        <v>1.916819384847903</v>
      </c>
      <c r="E386" s="7">
        <v>125.6516238552727</v>
      </c>
      <c r="F386" s="7">
        <v>125.6516238552727</v>
      </c>
      <c r="G386" s="7">
        <v>125.6516238552727</v>
      </c>
    </row>
    <row r="387" spans="1:7">
      <c r="A387" s="6">
        <v>8413.951416451948</v>
      </c>
      <c r="B387" s="6">
        <v>1.91881297174889</v>
      </c>
      <c r="C387" s="6">
        <v>1.91881297174889</v>
      </c>
      <c r="D387" s="6">
        <v>1.91881297174889</v>
      </c>
      <c r="E387" s="7">
        <v>125.6606529152843</v>
      </c>
      <c r="F387" s="7">
        <v>125.6606529152843</v>
      </c>
      <c r="G387" s="7">
        <v>125.6606529152843</v>
      </c>
    </row>
    <row r="388" spans="1:7">
      <c r="A388" s="6">
        <v>8511.380382023759</v>
      </c>
      <c r="B388" s="6">
        <v>1.918661324528107</v>
      </c>
      <c r="C388" s="6">
        <v>1.918661324528107</v>
      </c>
      <c r="D388" s="6">
        <v>1.918661324528107</v>
      </c>
      <c r="E388" s="7">
        <v>125.6599664267647</v>
      </c>
      <c r="F388" s="7">
        <v>125.6599664267647</v>
      </c>
      <c r="G388" s="7">
        <v>125.6599664267647</v>
      </c>
    </row>
    <row r="389" spans="1:7">
      <c r="A389" s="6">
        <v>8609.937521846008</v>
      </c>
      <c r="B389" s="6">
        <v>1.916250531678614</v>
      </c>
      <c r="C389" s="6">
        <v>1.916250531678614</v>
      </c>
      <c r="D389" s="6">
        <v>1.916250531678614</v>
      </c>
      <c r="E389" s="7">
        <v>125.6490457672166</v>
      </c>
      <c r="F389" s="7">
        <v>125.6490457672166</v>
      </c>
      <c r="G389" s="7">
        <v>125.6490457672166</v>
      </c>
    </row>
    <row r="390" spans="1:7">
      <c r="A390" s="6">
        <v>8709.635899560806</v>
      </c>
      <c r="B390" s="6">
        <v>1.911487767579603</v>
      </c>
      <c r="C390" s="6">
        <v>1.911487767579603</v>
      </c>
      <c r="D390" s="6">
        <v>1.911487767579603</v>
      </c>
      <c r="E390" s="7">
        <v>125.6274304625895</v>
      </c>
      <c r="F390" s="7">
        <v>125.6274304625895</v>
      </c>
      <c r="G390" s="7">
        <v>125.6274304625895</v>
      </c>
    </row>
    <row r="391" spans="1:7">
      <c r="A391" s="6">
        <v>8810.488730080147</v>
      </c>
      <c r="B391" s="6">
        <v>1.90430480156792</v>
      </c>
      <c r="C391" s="6">
        <v>1.90430480156792</v>
      </c>
      <c r="D391" s="6">
        <v>1.90430480156792</v>
      </c>
      <c r="E391" s="7">
        <v>125.5947292490851</v>
      </c>
      <c r="F391" s="7">
        <v>125.5947292490851</v>
      </c>
      <c r="G391" s="7">
        <v>125.5947292490851</v>
      </c>
    </row>
    <row r="392" spans="1:7">
      <c r="A392" s="6">
        <v>8912.509381337459</v>
      </c>
      <c r="B392" s="6">
        <v>1.894660931112712</v>
      </c>
      <c r="C392" s="6">
        <v>1.894660931112712</v>
      </c>
      <c r="D392" s="6">
        <v>1.894660931112712</v>
      </c>
      <c r="E392" s="7">
        <v>125.5506299966633</v>
      </c>
      <c r="F392" s="7">
        <v>125.5506299966633</v>
      </c>
      <c r="G392" s="7">
        <v>125.5506299966633</v>
      </c>
    </row>
    <row r="393" spans="1:7">
      <c r="A393" s="6">
        <v>9015.711376059571</v>
      </c>
      <c r="B393" s="6">
        <v>1.882545146680884</v>
      </c>
      <c r="C393" s="6">
        <v>1.882545146680884</v>
      </c>
      <c r="D393" s="6">
        <v>1.882545146680884</v>
      </c>
      <c r="E393" s="7">
        <v>125.4949080025733</v>
      </c>
      <c r="F393" s="7">
        <v>125.4949080025733</v>
      </c>
      <c r="G393" s="7">
        <v>125.4949080025733</v>
      </c>
    </row>
    <row r="394" spans="1:7">
      <c r="A394" s="6">
        <v>9120.108393559096</v>
      </c>
      <c r="B394" s="6">
        <v>1.867977371838207</v>
      </c>
      <c r="C394" s="6">
        <v>1.867977371838207</v>
      </c>
      <c r="D394" s="6">
        <v>1.867977371838207</v>
      </c>
      <c r="E394" s="7">
        <v>125.4274322200515</v>
      </c>
      <c r="F394" s="7">
        <v>125.4274322200515</v>
      </c>
      <c r="G394" s="7">
        <v>125.4274322200515</v>
      </c>
    </row>
    <row r="395" spans="1:7">
      <c r="A395" s="6">
        <v>9225.714271547629</v>
      </c>
      <c r="B395" s="6">
        <v>1.85100867482724</v>
      </c>
      <c r="C395" s="6">
        <v>1.85100867482724</v>
      </c>
      <c r="D395" s="6">
        <v>1.85100867482724</v>
      </c>
      <c r="E395" s="7">
        <v>125.3481690819276</v>
      </c>
      <c r="F395" s="7">
        <v>125.3481690819276</v>
      </c>
      <c r="G395" s="7">
        <v>125.3481690819276</v>
      </c>
    </row>
    <row r="396" spans="1:7">
      <c r="A396" s="6">
        <v>9332.543007969905</v>
      </c>
      <c r="B396" s="6">
        <v>1.831720412746113</v>
      </c>
      <c r="C396" s="6">
        <v>1.831720412746113</v>
      </c>
      <c r="D396" s="6">
        <v>1.831720412746113</v>
      </c>
      <c r="E396" s="7">
        <v>125.2571837046726</v>
      </c>
      <c r="F396" s="7">
        <v>125.2571837046726</v>
      </c>
      <c r="G396" s="7">
        <v>125.2571837046726</v>
      </c>
    </row>
    <row r="397" spans="1:7">
      <c r="A397" s="6">
        <v>9440.608762859236</v>
      </c>
      <c r="B397" s="6">
        <v>1.810222339985605</v>
      </c>
      <c r="C397" s="6">
        <v>1.810222339985605</v>
      </c>
      <c r="D397" s="6">
        <v>1.810222339985605</v>
      </c>
      <c r="E397" s="7">
        <v>125.1546384045503</v>
      </c>
      <c r="F397" s="7">
        <v>125.1546384045503</v>
      </c>
      <c r="G397" s="7">
        <v>125.1546384045503</v>
      </c>
    </row>
    <row r="398" spans="1:7">
      <c r="A398" s="6">
        <v>9549.92586021436</v>
      </c>
      <c r="B398" s="6">
        <v>1.78664978119189</v>
      </c>
      <c r="C398" s="6">
        <v>1.78664978119189</v>
      </c>
      <c r="D398" s="6">
        <v>1.78664978119189</v>
      </c>
      <c r="E398" s="7">
        <v>125.0407886102475</v>
      </c>
      <c r="F398" s="7">
        <v>125.0407886102475</v>
      </c>
      <c r="G398" s="7">
        <v>125.0407886102475</v>
      </c>
    </row>
    <row r="399" spans="1:7">
      <c r="A399" s="6">
        <v>9660.50878989814</v>
      </c>
      <c r="B399" s="6">
        <v>1.761160028289185</v>
      </c>
      <c r="C399" s="6">
        <v>1.761160028289185</v>
      </c>
      <c r="D399" s="6">
        <v>1.761160028289185</v>
      </c>
      <c r="E399" s="7">
        <v>124.9159764009504</v>
      </c>
      <c r="F399" s="7">
        <v>124.9159764009504</v>
      </c>
      <c r="G399" s="7">
        <v>124.9159764009504</v>
      </c>
    </row>
    <row r="400" spans="1:7">
      <c r="A400" s="6">
        <v>9772.372209558112</v>
      </c>
      <c r="B400" s="6">
        <v>1.733928164936973</v>
      </c>
      <c r="C400" s="6">
        <v>1.733928164936973</v>
      </c>
      <c r="D400" s="6">
        <v>1.733928164936973</v>
      </c>
      <c r="E400" s="7">
        <v>124.7806220217691</v>
      </c>
      <c r="F400" s="7">
        <v>124.7806220217691</v>
      </c>
      <c r="G400" s="7">
        <v>124.7806220217691</v>
      </c>
    </row>
    <row r="401" spans="1:7">
      <c r="A401" s="6">
        <v>9885.53094656939</v>
      </c>
      <c r="B401" s="6">
        <v>1.70514254637399</v>
      </c>
      <c r="C401" s="6">
        <v>1.70514254637399</v>
      </c>
      <c r="D401" s="6">
        <v>1.70514254637399</v>
      </c>
      <c r="E401" s="7">
        <v>124.6352138192497</v>
      </c>
      <c r="F401" s="7">
        <v>124.6352138192497</v>
      </c>
      <c r="G401" s="7">
        <v>124.6352138192497</v>
      </c>
    </row>
    <row r="402" spans="1:7">
      <c r="A402" s="6">
        <v>10000</v>
      </c>
      <c r="B402" s="6">
        <v>1.675000166785094</v>
      </c>
      <c r="C402" s="6">
        <v>1.675000166785094</v>
      </c>
      <c r="D402" s="6">
        <v>1.675000166785094</v>
      </c>
      <c r="E402" s="7">
        <v>124.480297092339</v>
      </c>
      <c r="F402" s="7">
        <v>124.480297092339</v>
      </c>
      <c r="G402" s="7">
        <v>124.480297092339</v>
      </c>
    </row>
    <row r="403" spans="1:7">
      <c r="A403" s="6">
        <v>10115.79454259898</v>
      </c>
      <c r="B403" s="6">
        <v>1.643702131626895</v>
      </c>
      <c r="C403" s="6">
        <v>1.643702131626895</v>
      </c>
      <c r="D403" s="6">
        <v>1.643702131626895</v>
      </c>
      <c r="E403" s="7">
        <v>124.3164623673473</v>
      </c>
      <c r="F403" s="7">
        <v>124.3164623673473</v>
      </c>
      <c r="G403" s="7">
        <v>124.3164623673473</v>
      </c>
    </row>
    <row r="404" spans="1:7">
      <c r="A404" s="6">
        <v>10232.92992280754</v>
      </c>
      <c r="B404" s="6">
        <v>1.611449422395654</v>
      </c>
      <c r="C404" s="6">
        <v>1.611449422395654</v>
      </c>
      <c r="D404" s="6">
        <v>1.611449422395654</v>
      </c>
      <c r="E404" s="7">
        <v>124.1443335823945</v>
      </c>
      <c r="F404" s="7">
        <v>124.1443335823945</v>
      </c>
      <c r="G404" s="7">
        <v>124.1443335823945</v>
      </c>
    </row>
    <row r="405" spans="1:7">
      <c r="A405" s="6">
        <v>10351.42166679345</v>
      </c>
      <c r="B405" s="6">
        <v>1.578439101058721</v>
      </c>
      <c r="C405" s="6">
        <v>1.578439101058721</v>
      </c>
      <c r="D405" s="6">
        <v>1.578439101058721</v>
      </c>
      <c r="E405" s="7">
        <v>123.964556614215</v>
      </c>
      <c r="F405" s="7">
        <v>123.964556614215</v>
      </c>
      <c r="G405" s="7">
        <v>123.964556614215</v>
      </c>
    </row>
    <row r="406" spans="1:7">
      <c r="A406" s="6">
        <v>10471.28548050898</v>
      </c>
      <c r="B406" s="6">
        <v>1.544861056150495</v>
      </c>
      <c r="C406" s="6">
        <v>1.544861056150495</v>
      </c>
      <c r="D406" s="6">
        <v>1.544861056150495</v>
      </c>
      <c r="E406" s="7">
        <v>123.7777885067946</v>
      </c>
      <c r="F406" s="7">
        <v>123.7777885067946</v>
      </c>
      <c r="G406" s="7">
        <v>123.7777885067946</v>
      </c>
    </row>
    <row r="407" spans="1:7">
      <c r="A407" s="6">
        <v>10592.5372517729</v>
      </c>
      <c r="B407" s="6">
        <v>1.51089534731607</v>
      </c>
      <c r="C407" s="6">
        <v>1.51089534731607</v>
      </c>
      <c r="D407" s="6">
        <v>1.51089534731607</v>
      </c>
      <c r="E407" s="7">
        <v>123.5846876764937</v>
      </c>
      <c r="F407" s="7">
        <v>123.5846876764937</v>
      </c>
      <c r="G407" s="7">
        <v>123.5846876764937</v>
      </c>
    </row>
    <row r="408" spans="1:7">
      <c r="A408" s="6">
        <v>10715.19305237607</v>
      </c>
      <c r="B408" s="6">
        <v>1.47671016386393</v>
      </c>
      <c r="C408" s="6">
        <v>1.47671016386393</v>
      </c>
      <c r="D408" s="6">
        <v>1.47671016386393</v>
      </c>
      <c r="E408" s="7">
        <v>123.3859052808293</v>
      </c>
      <c r="F408" s="7">
        <v>123.3859052808293</v>
      </c>
      <c r="G408" s="7">
        <v>123.3859052808293</v>
      </c>
    </row>
    <row r="409" spans="1:7">
      <c r="A409" s="6">
        <v>10839.26914021204</v>
      </c>
      <c r="B409" s="6">
        <v>1.44246037838895</v>
      </c>
      <c r="C409" s="6">
        <v>1.44246037838895</v>
      </c>
      <c r="D409" s="6">
        <v>1.44246037838895</v>
      </c>
      <c r="E409" s="7">
        <v>123.1820778551568</v>
      </c>
      <c r="F409" s="7">
        <v>123.1820778551568</v>
      </c>
      <c r="G409" s="7">
        <v>123.1820778551568</v>
      </c>
    </row>
    <row r="410" spans="1:7">
      <c r="A410" s="6">
        <v>10964.78196143185</v>
      </c>
      <c r="B410" s="6">
        <v>1.408286650172368</v>
      </c>
      <c r="C410" s="6">
        <v>1.408286650172368</v>
      </c>
      <c r="D410" s="6">
        <v>1.408286650172368</v>
      </c>
      <c r="E410" s="7">
        <v>122.973821248359</v>
      </c>
      <c r="F410" s="7">
        <v>122.973821248359</v>
      </c>
      <c r="G410" s="7">
        <v>122.973821248359</v>
      </c>
    </row>
    <row r="411" spans="1:7">
      <c r="A411" s="6">
        <v>11091.74815262401</v>
      </c>
      <c r="B411" s="6">
        <v>1.374315015128123</v>
      </c>
      <c r="C411" s="6">
        <v>1.374315015128123</v>
      </c>
      <c r="D411" s="6">
        <v>1.374315015128123</v>
      </c>
      <c r="E411" s="7">
        <v>122.7617258284329</v>
      </c>
      <c r="F411" s="7">
        <v>122.7617258284329</v>
      </c>
      <c r="G411" s="7">
        <v>122.7617258284329</v>
      </c>
    </row>
    <row r="412" spans="1:7">
      <c r="A412" s="6">
        <v>11220.18454301963</v>
      </c>
      <c r="B412" s="6">
        <v>1.340656888945273</v>
      </c>
      <c r="C412" s="6">
        <v>1.340656888945273</v>
      </c>
      <c r="D412" s="6">
        <v>1.340656888945273</v>
      </c>
      <c r="E412" s="7">
        <v>122.5463528828461</v>
      </c>
      <c r="F412" s="7">
        <v>122.5463528828461</v>
      </c>
      <c r="G412" s="7">
        <v>122.5463528828461</v>
      </c>
    </row>
    <row r="413" spans="1:7">
      <c r="A413" s="6">
        <v>11350.10815672314</v>
      </c>
      <c r="B413" s="6">
        <v>1.307409406605935</v>
      </c>
      <c r="C413" s="6">
        <v>1.307409406605935</v>
      </c>
      <c r="D413" s="6">
        <v>1.307409406605935</v>
      </c>
      <c r="E413" s="7">
        <v>122.3282321064385</v>
      </c>
      <c r="F413" s="7">
        <v>122.3282321064385</v>
      </c>
      <c r="G413" s="7">
        <v>122.3282321064385</v>
      </c>
    </row>
    <row r="414" spans="1:7">
      <c r="A414" s="6">
        <v>11481.53621496884</v>
      </c>
      <c r="B414" s="6">
        <v>1.274656023194774</v>
      </c>
      <c r="C414" s="6">
        <v>1.274656023194774</v>
      </c>
      <c r="D414" s="6">
        <v>1.274656023194774</v>
      </c>
      <c r="E414" s="7">
        <v>122.1078600501711</v>
      </c>
      <c r="F414" s="7">
        <v>122.1078600501711</v>
      </c>
      <c r="G414" s="7">
        <v>122.1078600501711</v>
      </c>
    </row>
    <row r="415" spans="1:7">
      <c r="A415" s="6">
        <v>11614.48613840341</v>
      </c>
      <c r="B415" s="6">
        <v>1.24246730637254</v>
      </c>
      <c r="C415" s="6">
        <v>1.24246730637254</v>
      </c>
      <c r="D415" s="6">
        <v>1.24246730637254</v>
      </c>
      <c r="E415" s="7">
        <v>121.8856993952091</v>
      </c>
      <c r="F415" s="7">
        <v>121.8856993952091</v>
      </c>
      <c r="G415" s="7">
        <v>121.8856993952091</v>
      </c>
    </row>
    <row r="416" spans="1:7">
      <c r="A416" s="6">
        <v>11748.9755493953</v>
      </c>
      <c r="B416" s="6">
        <v>1.210901858695381</v>
      </c>
      <c r="C416" s="6">
        <v>1.210901858695381</v>
      </c>
      <c r="D416" s="6">
        <v>1.210901858695381</v>
      </c>
      <c r="E416" s="7">
        <v>121.662178916466</v>
      </c>
      <c r="F416" s="7">
        <v>121.662178916466</v>
      </c>
      <c r="G416" s="7">
        <v>121.662178916466</v>
      </c>
    </row>
    <row r="417" spans="1:7">
      <c r="A417" s="6">
        <v>11885.02227437019</v>
      </c>
      <c r="B417" s="6">
        <v>1.180007316971753</v>
      </c>
      <c r="C417" s="6">
        <v>1.180007316971753</v>
      </c>
      <c r="D417" s="6">
        <v>1.180007316971753</v>
      </c>
      <c r="E417" s="7">
        <v>121.4376940056243</v>
      </c>
      <c r="F417" s="7">
        <v>121.4376940056243</v>
      </c>
      <c r="G417" s="7">
        <v>121.4376940056243</v>
      </c>
    </row>
    <row r="418" spans="1:7">
      <c r="A418" s="6">
        <v>12022.64434617413</v>
      </c>
      <c r="B418" s="6">
        <v>1.149821385159665</v>
      </c>
      <c r="C418" s="6">
        <v>1.149821385159665</v>
      </c>
      <c r="D418" s="6">
        <v>1.149821385159665</v>
      </c>
      <c r="E418" s="7">
        <v>121.2126076337808</v>
      </c>
      <c r="F418" s="7">
        <v>121.2126076337808</v>
      </c>
      <c r="G418" s="7">
        <v>121.2126076337808</v>
      </c>
    </row>
    <row r="419" spans="1:7">
      <c r="A419" s="6">
        <v>12161.86000646368</v>
      </c>
      <c r="B419" s="6">
        <v>1.120372866273696</v>
      </c>
      <c r="C419" s="6">
        <v>1.120372866273696</v>
      </c>
      <c r="D419" s="6">
        <v>1.120372866273696</v>
      </c>
      <c r="E419" s="7">
        <v>120.9872516465454</v>
      </c>
      <c r="F419" s="7">
        <v>120.9872516465454</v>
      </c>
      <c r="G419" s="7">
        <v>120.9872516465454</v>
      </c>
    </row>
    <row r="420" spans="1:7">
      <c r="A420" s="6">
        <v>12302.68770812381</v>
      </c>
      <c r="B420" s="6">
        <v>1.091682666969858</v>
      </c>
      <c r="C420" s="6">
        <v>1.091682666969858</v>
      </c>
      <c r="D420" s="6">
        <v>1.091682666969858</v>
      </c>
      <c r="E420" s="7">
        <v>120.7619282982842</v>
      </c>
      <c r="F420" s="7">
        <v>120.7619282982842</v>
      </c>
      <c r="G420" s="7">
        <v>120.7619282982842</v>
      </c>
    </row>
    <row r="421" spans="1:7">
      <c r="A421" s="6">
        <v>12445.14611771387</v>
      </c>
      <c r="B421" s="6">
        <v>1.0637647556713</v>
      </c>
      <c r="C421" s="6">
        <v>1.0637647556713</v>
      </c>
      <c r="D421" s="6">
        <v>1.0637647556713</v>
      </c>
      <c r="E421" s="7">
        <v>120.5369119462181</v>
      </c>
      <c r="F421" s="7">
        <v>120.5369119462181</v>
      </c>
      <c r="G421" s="7">
        <v>120.5369119462181</v>
      </c>
    </row>
    <row r="422" spans="1:7">
      <c r="A422" s="6">
        <v>12589.25411794166</v>
      </c>
      <c r="B422" s="6">
        <v>1.036627061192915</v>
      </c>
      <c r="C422" s="6">
        <v>1.036627061192915</v>
      </c>
      <c r="D422" s="6">
        <v>1.036627061192915</v>
      </c>
      <c r="E422" s="7">
        <v>120.3124508385432</v>
      </c>
      <c r="F422" s="7">
        <v>120.3124508385432</v>
      </c>
      <c r="G422" s="7">
        <v>120.3124508385432</v>
      </c>
    </row>
    <row r="423" spans="1:7">
      <c r="A423" s="6">
        <v>12735.03081016663</v>
      </c>
      <c r="B423" s="6">
        <v>1.010272303823571</v>
      </c>
      <c r="C423" s="6">
        <v>1.010272303823571</v>
      </c>
      <c r="D423" s="6">
        <v>1.010272303823571</v>
      </c>
      <c r="E423" s="7">
        <v>120.0887689431564</v>
      </c>
      <c r="F423" s="7">
        <v>120.0887689431564</v>
      </c>
      <c r="G423" s="7">
        <v>120.0887689431564</v>
      </c>
    </row>
    <row r="424" spans="1:7">
      <c r="A424" s="6">
        <v>12882.49551693132</v>
      </c>
      <c r="B424" s="6">
        <v>0.984698754802902</v>
      </c>
      <c r="C424" s="6">
        <v>0.984698754802902</v>
      </c>
      <c r="D424" s="6">
        <v>0.984698754802902</v>
      </c>
      <c r="E424" s="7">
        <v>119.8660677746874</v>
      </c>
      <c r="F424" s="7">
        <v>119.8660677746874</v>
      </c>
      <c r="G424" s="7">
        <v>119.8660677746874</v>
      </c>
    </row>
    <row r="425" spans="1:7">
      <c r="A425" s="6">
        <v>13031.667784523</v>
      </c>
      <c r="B425" s="6">
        <v>0.9599009231935977</v>
      </c>
      <c r="C425" s="6">
        <v>0.9599009231935977</v>
      </c>
      <c r="D425" s="6">
        <v>0.9599009231935977</v>
      </c>
      <c r="E425" s="7">
        <v>119.6445281872323</v>
      </c>
      <c r="F425" s="7">
        <v>119.6445281872323</v>
      </c>
      <c r="G425" s="7">
        <v>119.6445281872323</v>
      </c>
    </row>
    <row r="426" spans="1:7">
      <c r="A426" s="6">
        <v>13182.56738556407</v>
      </c>
      <c r="B426" s="6">
        <v>0.9358701714287514</v>
      </c>
      <c r="C426" s="6">
        <v>0.9358701714287514</v>
      </c>
      <c r="D426" s="6">
        <v>0.9358701714287514</v>
      </c>
      <c r="E426" s="7">
        <v>119.4243121084623</v>
      </c>
      <c r="F426" s="7">
        <v>119.4243121084623</v>
      </c>
      <c r="G426" s="7">
        <v>119.4243121084623</v>
      </c>
    </row>
    <row r="427" spans="1:7">
      <c r="A427" s="6">
        <v>13335.21432163324</v>
      </c>
      <c r="B427" s="6">
        <v>0.9125952624346804</v>
      </c>
      <c r="C427" s="6">
        <v>0.9125952624346804</v>
      </c>
      <c r="D427" s="6">
        <v>0.9125952624346804</v>
      </c>
      <c r="E427" s="7">
        <v>119.2055641977003</v>
      </c>
      <c r="F427" s="7">
        <v>119.2055641977003</v>
      </c>
      <c r="G427" s="7">
        <v>119.2055641977003</v>
      </c>
    </row>
    <row r="428" spans="1:7">
      <c r="A428" s="6">
        <v>13489.62882591653</v>
      </c>
      <c r="B428" s="6">
        <v>0.8900628423181502</v>
      </c>
      <c r="C428" s="6">
        <v>0.8900628423181502</v>
      </c>
      <c r="D428" s="6">
        <v>0.8900628423181502</v>
      </c>
      <c r="E428" s="7">
        <v>118.9884134162356</v>
      </c>
      <c r="F428" s="7">
        <v>118.9884134162356</v>
      </c>
      <c r="G428" s="7">
        <v>118.9884134162356</v>
      </c>
    </row>
    <row r="429" spans="1:7">
      <c r="A429" s="6">
        <v>13645.83136588924</v>
      </c>
      <c r="B429" s="6">
        <v>0.8682578632728073</v>
      </c>
      <c r="C429" s="6">
        <v>0.8682578632728073</v>
      </c>
      <c r="D429" s="6">
        <v>0.8682578632728073</v>
      </c>
      <c r="E429" s="7">
        <v>118.772974502726</v>
      </c>
      <c r="F429" s="7">
        <v>118.772974502726</v>
      </c>
      <c r="G429" s="7">
        <v>118.772974502726</v>
      </c>
    </row>
    <row r="430" spans="1:7">
      <c r="A430" s="6">
        <v>13803.84264602887</v>
      </c>
      <c r="B430" s="6">
        <v>0.8471639517008183</v>
      </c>
      <c r="C430" s="6">
        <v>0.8471639517008183</v>
      </c>
      <c r="D430" s="6">
        <v>0.8471639517008183</v>
      </c>
      <c r="E430" s="7">
        <v>118.5593493501449</v>
      </c>
      <c r="F430" s="7">
        <v>118.5593493501449</v>
      </c>
      <c r="G430" s="7">
        <v>118.5593493501449</v>
      </c>
    </row>
    <row r="431" spans="1:7">
      <c r="A431" s="6">
        <v>13963.68361055936</v>
      </c>
      <c r="B431" s="6">
        <v>0.8267637266432581</v>
      </c>
      <c r="C431" s="6">
        <v>0.8267637266432581</v>
      </c>
      <c r="D431" s="6">
        <v>0.8267637266432581</v>
      </c>
      <c r="E431" s="7">
        <v>118.3476282835306</v>
      </c>
      <c r="F431" s="7">
        <v>118.3476282835306</v>
      </c>
      <c r="G431" s="7">
        <v>118.3476282835306</v>
      </c>
    </row>
    <row r="432" spans="1:7">
      <c r="A432" s="6">
        <v>14125.37544622755</v>
      </c>
      <c r="B432" s="6">
        <v>0.8070390735339471</v>
      </c>
      <c r="C432" s="6">
        <v>0.8070390735339471</v>
      </c>
      <c r="D432" s="6">
        <v>0.8070390735339471</v>
      </c>
      <c r="E432" s="7">
        <v>118.1378912399031</v>
      </c>
      <c r="F432" s="7">
        <v>118.1378912399031</v>
      </c>
      <c r="G432" s="7">
        <v>118.1378912399031</v>
      </c>
    </row>
    <row r="433" spans="1:7">
      <c r="A433" s="6">
        <v>14288.93958511104</v>
      </c>
      <c r="B433" s="6">
        <v>0.7879713780902896</v>
      </c>
      <c r="C433" s="6">
        <v>0.7879713780902896</v>
      </c>
      <c r="D433" s="6">
        <v>0.7879713780902896</v>
      </c>
      <c r="E433" s="7">
        <v>117.9302088532631</v>
      </c>
      <c r="F433" s="7">
        <v>117.9302088532631</v>
      </c>
      <c r="G433" s="7">
        <v>117.9302088532631</v>
      </c>
    </row>
    <row r="434" spans="1:7">
      <c r="A434" s="6">
        <v>14454.39770745928</v>
      </c>
      <c r="B434" s="6">
        <v>0.769541724872732</v>
      </c>
      <c r="C434" s="6">
        <v>0.769541724872732</v>
      </c>
      <c r="D434" s="6">
        <v>0.769541724872732</v>
      </c>
      <c r="E434" s="7">
        <v>117.7246434486707</v>
      </c>
      <c r="F434" s="7">
        <v>117.7246434486707</v>
      </c>
      <c r="G434" s="7">
        <v>117.7246434486707</v>
      </c>
    </row>
    <row r="435" spans="1:7">
      <c r="A435" s="6">
        <v>14621.77174456718</v>
      </c>
      <c r="B435" s="6">
        <v>0.7517310647152354</v>
      </c>
      <c r="C435" s="6">
        <v>0.7517310647152354</v>
      </c>
      <c r="D435" s="6">
        <v>0.7517310647152354</v>
      </c>
      <c r="E435" s="7">
        <v>117.52124995013</v>
      </c>
      <c r="F435" s="7">
        <v>117.52124995013</v>
      </c>
      <c r="G435" s="7">
        <v>117.52124995013</v>
      </c>
    </row>
    <row r="436" spans="1:7">
      <c r="A436" s="6">
        <v>14791.08388168207</v>
      </c>
      <c r="B436" s="6">
        <v>0.7345203548759016</v>
      </c>
      <c r="C436" s="6">
        <v>0.7345203548759016</v>
      </c>
      <c r="D436" s="6">
        <v>0.7345203548759016</v>
      </c>
      <c r="E436" s="7">
        <v>117.3200767074349</v>
      </c>
      <c r="F436" s="7">
        <v>117.3200767074349</v>
      </c>
      <c r="G436" s="7">
        <v>117.3200767074349</v>
      </c>
    </row>
    <row r="437" spans="1:7">
      <c r="A437" s="6">
        <v>14962.35656094436</v>
      </c>
      <c r="B437" s="6">
        <v>0.7178906753980859</v>
      </c>
      <c r="C437" s="6">
        <v>0.7178906753980859</v>
      </c>
      <c r="D437" s="6">
        <v>0.7178906753980859</v>
      </c>
      <c r="E437" s="7">
        <v>117.1211662473429</v>
      </c>
      <c r="F437" s="7">
        <v>117.1211662473429</v>
      </c>
      <c r="G437" s="7">
        <v>117.1211662473429</v>
      </c>
    </row>
    <row r="438" spans="1:7">
      <c r="A438" s="6">
        <v>15135.61248436207</v>
      </c>
      <c r="B438" s="6">
        <v>0.7018233248202496</v>
      </c>
      <c r="C438" s="6">
        <v>0.7018233248202496</v>
      </c>
      <c r="D438" s="6">
        <v>0.7018233248202496</v>
      </c>
      <c r="E438" s="7">
        <v>116.9245559544869</v>
      </c>
      <c r="F438" s="7">
        <v>116.9245559544869</v>
      </c>
      <c r="G438" s="7">
        <v>116.9245559544869</v>
      </c>
    </row>
    <row r="439" spans="1:7">
      <c r="A439" s="6">
        <v>15310.87461682032</v>
      </c>
      <c r="B439" s="6">
        <v>0.6862998980357969</v>
      </c>
      <c r="C439" s="6">
        <v>0.6862998980357969</v>
      </c>
      <c r="D439" s="6">
        <v>0.6862998980357969</v>
      </c>
      <c r="E439" s="7">
        <v>116.730278687343</v>
      </c>
      <c r="F439" s="7">
        <v>116.730278687343</v>
      </c>
      <c r="G439" s="7">
        <v>116.730278687343</v>
      </c>
    </row>
    <row r="440" spans="1:7">
      <c r="A440" s="6">
        <v>15488.16618912479</v>
      </c>
      <c r="B440" s="6">
        <v>0.6713023487881385</v>
      </c>
      <c r="C440" s="6">
        <v>0.6713023487881385</v>
      </c>
      <c r="D440" s="6">
        <v>0.6713023487881385</v>
      </c>
      <c r="E440" s="7">
        <v>116.5383633344013</v>
      </c>
      <c r="F440" s="7">
        <v>116.5383633344013</v>
      </c>
      <c r="G440" s="7">
        <v>116.5383633344013</v>
      </c>
    </row>
    <row r="441" spans="1:7">
      <c r="A441" s="6">
        <v>15667.5107010815</v>
      </c>
      <c r="B441" s="6">
        <v>0.6568130389933632</v>
      </c>
      <c r="C441" s="6">
        <v>0.6568130389933632</v>
      </c>
      <c r="D441" s="6">
        <v>0.6568130389933632</v>
      </c>
      <c r="E441" s="7">
        <v>116.348835315439</v>
      </c>
      <c r="F441" s="7">
        <v>116.348835315439</v>
      </c>
      <c r="G441" s="7">
        <v>116.348835315439</v>
      </c>
    </row>
    <row r="442" spans="1:7">
      <c r="A442" s="6">
        <v>15848.93192461114</v>
      </c>
      <c r="B442" s="6">
        <v>0.6428147768158435</v>
      </c>
      <c r="C442" s="6">
        <v>0.6428147768158435</v>
      </c>
      <c r="D442" s="6">
        <v>0.6428147768158435</v>
      </c>
      <c r="E442" s="7">
        <v>116.1617170325112</v>
      </c>
      <c r="F442" s="7">
        <v>116.1617170325112</v>
      </c>
      <c r="G442" s="7">
        <v>116.1617170325112</v>
      </c>
    </row>
    <row r="443" spans="1:7">
      <c r="A443" s="6">
        <v>16032.45390690042</v>
      </c>
      <c r="B443" s="6">
        <v>0.629290845179569</v>
      </c>
      <c r="C443" s="6">
        <v>0.629290845179569</v>
      </c>
      <c r="D443" s="6">
        <v>0.629290845179569</v>
      </c>
      <c r="E443" s="7">
        <v>115.9770282749651</v>
      </c>
      <c r="F443" s="7">
        <v>115.9770282749651</v>
      </c>
      <c r="G443" s="7">
        <v>115.9770282749651</v>
      </c>
    </row>
    <row r="444" spans="1:7">
      <c r="A444" s="6">
        <v>16218.1009735893</v>
      </c>
      <c r="B444" s="6">
        <v>0.6162250221806707</v>
      </c>
      <c r="C444" s="6">
        <v>0.6162250221806707</v>
      </c>
      <c r="D444" s="6">
        <v>0.6162250221806707</v>
      </c>
      <c r="E444" s="7">
        <v>115.7947865824538</v>
      </c>
      <c r="F444" s="7">
        <v>115.7947865824538</v>
      </c>
      <c r="G444" s="7">
        <v>115.7947865824538</v>
      </c>
    </row>
    <row r="445" spans="1:7">
      <c r="A445" s="6">
        <v>16405.89773199539</v>
      </c>
      <c r="B445" s="6">
        <v>0.6036015946721863</v>
      </c>
      <c r="C445" s="6">
        <v>0.6036015946721863</v>
      </c>
      <c r="D445" s="6">
        <v>0.6036015946721863</v>
      </c>
      <c r="E445" s="7">
        <v>115.6150075695997</v>
      </c>
      <c r="F445" s="7">
        <v>115.6150075695997</v>
      </c>
      <c r="G445" s="7">
        <v>115.6150075695997</v>
      </c>
    </row>
    <row r="446" spans="1:7">
      <c r="A446" s="6">
        <v>16595.86907437563</v>
      </c>
      <c r="B446" s="6">
        <v>0.5914053661197142</v>
      </c>
      <c r="C446" s="6">
        <v>0.5914053661197142</v>
      </c>
      <c r="D446" s="6">
        <v>0.5914053661197142</v>
      </c>
      <c r="E446" s="7">
        <v>115.4377052156251</v>
      </c>
      <c r="F446" s="7">
        <v>115.4377052156251</v>
      </c>
      <c r="G446" s="7">
        <v>115.4377052156251</v>
      </c>
    </row>
    <row r="447" spans="1:7">
      <c r="A447" s="6">
        <v>16788.04018122559</v>
      </c>
      <c r="B447" s="6">
        <v>0.5796216596741752</v>
      </c>
      <c r="C447" s="6">
        <v>0.5796216596741752</v>
      </c>
      <c r="D447" s="6">
        <v>0.5796216596741752</v>
      </c>
      <c r="E447" s="7">
        <v>115.262892121946</v>
      </c>
      <c r="F447" s="7">
        <v>115.262892121946</v>
      </c>
      <c r="G447" s="7">
        <v>115.262892121946</v>
      </c>
    </row>
    <row r="448" spans="1:7">
      <c r="A448" s="6">
        <v>16982.43652461746</v>
      </c>
      <c r="B448" s="6">
        <v>0.5682363172736309</v>
      </c>
      <c r="C448" s="6">
        <v>0.5682363172736309</v>
      </c>
      <c r="D448" s="6">
        <v>0.5682363172736309</v>
      </c>
      <c r="E448" s="7">
        <v>115.0905797404135</v>
      </c>
      <c r="F448" s="7">
        <v>115.0905797404135</v>
      </c>
      <c r="G448" s="7">
        <v>115.0905797404135</v>
      </c>
    </row>
    <row r="449" spans="1:7">
      <c r="A449" s="6">
        <v>17179.08387157586</v>
      </c>
      <c r="B449" s="6">
        <v>0.5572356954684371</v>
      </c>
      <c r="C449" s="6">
        <v>0.5572356954684371</v>
      </c>
      <c r="D449" s="6">
        <v>0.5572356954684371</v>
      </c>
      <c r="E449" s="7">
        <v>114.9207785745803</v>
      </c>
      <c r="F449" s="7">
        <v>114.9207785745803</v>
      </c>
      <c r="G449" s="7">
        <v>114.9207785745803</v>
      </c>
    </row>
    <row r="450" spans="1:7">
      <c r="A450" s="6">
        <v>17378.00828749376</v>
      </c>
      <c r="B450" s="6">
        <v>0.546606658560659</v>
      </c>
      <c r="C450" s="6">
        <v>0.546606658560659</v>
      </c>
      <c r="D450" s="6">
        <v>0.546606658560659</v>
      </c>
      <c r="E450" s="7">
        <v>114.7534983560804</v>
      </c>
      <c r="F450" s="7">
        <v>114.7534983560804</v>
      </c>
      <c r="G450" s="7">
        <v>114.7534983560804</v>
      </c>
    </row>
    <row r="451" spans="1:7">
      <c r="A451" s="6">
        <v>17579.23613958693</v>
      </c>
      <c r="B451" s="6">
        <v>0.5363365695587912</v>
      </c>
      <c r="C451" s="6">
        <v>0.5363365695587912</v>
      </c>
      <c r="D451" s="6">
        <v>0.5363365695587912</v>
      </c>
      <c r="E451" s="7">
        <v>114.5887481979274</v>
      </c>
      <c r="F451" s="7">
        <v>114.5887481979274</v>
      </c>
      <c r="G451" s="7">
        <v>114.5887481979274</v>
      </c>
    </row>
    <row r="452" spans="1:7">
      <c r="A452" s="6">
        <v>17782.79410038923</v>
      </c>
      <c r="B452" s="6">
        <v>0.5264132793699134</v>
      </c>
      <c r="C452" s="6">
        <v>0.5264132793699134</v>
      </c>
      <c r="D452" s="6">
        <v>0.5264132793699134</v>
      </c>
      <c r="E452" s="7">
        <v>114.4265367262644</v>
      </c>
      <c r="F452" s="7">
        <v>114.4265367262644</v>
      </c>
      <c r="G452" s="7">
        <v>114.4265367262644</v>
      </c>
    </row>
    <row r="453" spans="1:7">
      <c r="A453" s="6">
        <v>17988.70915128787</v>
      </c>
      <c r="B453" s="6">
        <v>0.516825114582984</v>
      </c>
      <c r="C453" s="6">
        <v>0.516825114582984</v>
      </c>
      <c r="D453" s="6">
        <v>0.516825114582984</v>
      </c>
      <c r="E453" s="7">
        <v>114.2668721918377</v>
      </c>
      <c r="F453" s="7">
        <v>114.2668721918377</v>
      </c>
      <c r="G453" s="7">
        <v>114.2668721918377</v>
      </c>
    </row>
    <row r="454" spans="1:7">
      <c r="A454" s="6">
        <v>18197.00858609983</v>
      </c>
      <c r="B454" s="6">
        <v>0.5075608641369893</v>
      </c>
      <c r="C454" s="6">
        <v>0.5075608641369893</v>
      </c>
      <c r="D454" s="6">
        <v>0.5075608641369893</v>
      </c>
      <c r="E454" s="7">
        <v>114.1097625622045</v>
      </c>
      <c r="F454" s="7">
        <v>114.1097625622045</v>
      </c>
      <c r="G454" s="7">
        <v>114.1097625622045</v>
      </c>
    </row>
    <row r="455" spans="1:7">
      <c r="A455" s="6">
        <v>18407.72001468958</v>
      </c>
      <c r="B455" s="6">
        <v>0.4986097651154393</v>
      </c>
      <c r="C455" s="6">
        <v>0.4986097651154393</v>
      </c>
      <c r="D455" s="6">
        <v>0.4986097651154393</v>
      </c>
      <c r="E455" s="7">
        <v>113.9552155954378</v>
      </c>
      <c r="F455" s="7">
        <v>113.9552155954378</v>
      </c>
      <c r="G455" s="7">
        <v>113.9552155954378</v>
      </c>
    </row>
    <row r="456" spans="1:7">
      <c r="A456" s="6">
        <v>18620.87136662866</v>
      </c>
      <c r="B456" s="6">
        <v>0.4899614878629266</v>
      </c>
      <c r="C456" s="6">
        <v>0.4899614878629266</v>
      </c>
      <c r="D456" s="6">
        <v>0.4899614878629266</v>
      </c>
      <c r="E456" s="7">
        <v>113.8032388958382</v>
      </c>
      <c r="F456" s="7">
        <v>113.8032388958382</v>
      </c>
      <c r="G456" s="7">
        <v>113.8032388958382</v>
      </c>
    </row>
    <row r="457" spans="1:7">
      <c r="A457" s="6">
        <v>18836.49089489802</v>
      </c>
      <c r="B457" s="6">
        <v>0.4816061205792494</v>
      </c>
      <c r="C457" s="6">
        <v>0.4816061205792494</v>
      </c>
      <c r="D457" s="6">
        <v>0.4816061205792494</v>
      </c>
      <c r="E457" s="7">
        <v>113.65383995191</v>
      </c>
      <c r="F457" s="7">
        <v>113.65383995191</v>
      </c>
      <c r="G457" s="7">
        <v>113.65383995191</v>
      </c>
    </row>
    <row r="458" spans="1:7">
      <c r="A458" s="6">
        <v>19054.60717963248</v>
      </c>
      <c r="B458" s="6">
        <v>0.4735341535112121</v>
      </c>
      <c r="C458" s="6">
        <v>0.4735341535112121</v>
      </c>
      <c r="D458" s="6">
        <v>0.4735341535112121</v>
      </c>
      <c r="E458" s="7">
        <v>113.5070261566081</v>
      </c>
      <c r="F458" s="7">
        <v>113.5070261566081</v>
      </c>
      <c r="G458" s="7">
        <v>113.5070261566081</v>
      </c>
    </row>
    <row r="459" spans="1:7">
      <c r="A459" s="6">
        <v>19275.24913190937</v>
      </c>
      <c r="B459" s="6">
        <v>0.4657364628305566</v>
      </c>
      <c r="C459" s="6">
        <v>0.4657364628305566</v>
      </c>
      <c r="D459" s="6">
        <v>0.4657364628305566</v>
      </c>
      <c r="E459" s="7">
        <v>113.3628048095972</v>
      </c>
      <c r="F459" s="7">
        <v>113.3628048095972</v>
      </c>
      <c r="G459" s="7">
        <v>113.3628048095972</v>
      </c>
    </row>
    <row r="460" spans="1:7">
      <c r="A460" s="6">
        <v>19498.44599758046</v>
      </c>
      <c r="B460" s="6">
        <v>0.4582042942583318</v>
      </c>
      <c r="C460" s="6">
        <v>0.4582042942583318</v>
      </c>
      <c r="D460" s="6">
        <v>0.4582042942583318</v>
      </c>
      <c r="E460" s="7">
        <v>113.2211831009942</v>
      </c>
      <c r="F460" s="7">
        <v>113.2211831009942</v>
      </c>
      <c r="G460" s="7">
        <v>113.2211831009942</v>
      </c>
    </row>
    <row r="461" spans="1:7">
      <c r="A461" s="6">
        <v>19724.22736114853</v>
      </c>
      <c r="B461" s="6">
        <v>0.4509292464702743</v>
      </c>
      <c r="C461" s="6">
        <v>0.4509292464702743</v>
      </c>
      <c r="D461" s="6">
        <v>0.4509292464702743</v>
      </c>
      <c r="E461" s="7">
        <v>113.0821680757808</v>
      </c>
      <c r="F461" s="7">
        <v>113.0821680757808</v>
      </c>
      <c r="G461" s="7">
        <v>113.0821680757808</v>
      </c>
    </row>
    <row r="462" spans="1:7">
      <c r="A462" s="6">
        <v>19952.62314968883</v>
      </c>
      <c r="B462" s="6">
        <v>0.4439032542942098</v>
      </c>
      <c r="C462" s="6">
        <v>0.4439032542942098</v>
      </c>
      <c r="D462" s="6">
        <v>0.4439032542942098</v>
      </c>
      <c r="E462" s="7">
        <v>112.9457665777696</v>
      </c>
      <c r="F462" s="7">
        <v>112.9457665777696</v>
      </c>
      <c r="G462" s="7">
        <v>112.9457665777696</v>
      </c>
    </row>
    <row r="463" spans="1:7">
      <c r="A463" s="6">
        <v>20183.6636368156</v>
      </c>
      <c r="B463" s="6">
        <v>0.4371185716884296</v>
      </c>
      <c r="C463" s="6">
        <v>0.4371185716884296</v>
      </c>
      <c r="D463" s="6">
        <v>0.4371185716884296</v>
      </c>
      <c r="E463" s="7">
        <v>112.8119851716811</v>
      </c>
      <c r="F463" s="7">
        <v>112.8119851716811</v>
      </c>
      <c r="G463" s="7">
        <v>112.8119851716811</v>
      </c>
    </row>
    <row r="464" spans="1:7">
      <c r="A464" s="6">
        <v>20417.37944669531</v>
      </c>
      <c r="B464" s="6">
        <v>0.4305677544689562</v>
      </c>
      <c r="C464" s="6">
        <v>0.4305677544689562</v>
      </c>
      <c r="D464" s="6">
        <v>0.4305677544689562</v>
      </c>
      <c r="E464" s="7">
        <v>112.6808300415389</v>
      </c>
      <c r="F464" s="7">
        <v>112.6808300415389</v>
      </c>
      <c r="G464" s="7">
        <v>112.6808300415389</v>
      </c>
    </row>
    <row r="465" spans="1:7">
      <c r="A465" s="6">
        <v>20653.80155810527</v>
      </c>
      <c r="B465" s="6">
        <v>0.4242436427333066</v>
      </c>
      <c r="C465" s="6">
        <v>0.4242436427333066</v>
      </c>
      <c r="D465" s="6">
        <v>0.4242436427333066</v>
      </c>
      <c r="E465" s="7">
        <v>112.5523068632106</v>
      </c>
      <c r="F465" s="7">
        <v>112.5523068632106</v>
      </c>
      <c r="G465" s="7">
        <v>112.5523068632106</v>
      </c>
    </row>
    <row r="466" spans="1:7">
      <c r="A466" s="6">
        <v>20892.96130854041</v>
      </c>
      <c r="B466" s="6">
        <v>0.4181393429080551</v>
      </c>
      <c r="C466" s="6">
        <v>0.4181393429080551</v>
      </c>
      <c r="D466" s="6">
        <v>0.4181393429080551</v>
      </c>
      <c r="E466" s="7">
        <v>112.4264206484975</v>
      </c>
      <c r="F466" s="7">
        <v>112.4264206484975</v>
      </c>
      <c r="G466" s="7">
        <v>112.4264206484975</v>
      </c>
    </row>
    <row r="467" spans="1:7">
      <c r="A467" s="6">
        <v>21134.89039836647</v>
      </c>
      <c r="B467" s="6">
        <v>0.4122482093272653</v>
      </c>
      <c r="C467" s="6">
        <v>0.4122482093272653</v>
      </c>
      <c r="D467" s="6">
        <v>0.4122482093272653</v>
      </c>
      <c r="E467" s="7">
        <v>112.303175557721</v>
      </c>
      <c r="F467" s="7">
        <v>112.303175557721</v>
      </c>
      <c r="G467" s="7">
        <v>112.303175557721</v>
      </c>
    </row>
    <row r="468" spans="1:7">
      <c r="A468" s="6">
        <v>21379.62089502232</v>
      </c>
      <c r="B468" s="6">
        <v>0.4065638252278188</v>
      </c>
      <c r="C468" s="6">
        <v>0.4065638252278188</v>
      </c>
      <c r="D468" s="6">
        <v>0.4065638252278188</v>
      </c>
      <c r="E468" s="7">
        <v>112.1825746772427</v>
      </c>
      <c r="F468" s="7">
        <v>112.1825746772427</v>
      </c>
      <c r="G468" s="7">
        <v>112.1825746772427</v>
      </c>
    </row>
    <row r="469" spans="1:7">
      <c r="A469" s="6">
        <v>21627.1852372702</v>
      </c>
      <c r="B469" s="6">
        <v>0.4010799830259864</v>
      </c>
      <c r="C469" s="6">
        <v>0.4010799830259864</v>
      </c>
      <c r="D469" s="6">
        <v>0.4010799830259864</v>
      </c>
      <c r="E469" s="7">
        <v>112.0646197577937</v>
      </c>
      <c r="F469" s="7">
        <v>112.0646197577937</v>
      </c>
      <c r="G469" s="7">
        <v>112.0646197577937</v>
      </c>
    </row>
    <row r="470" spans="1:7">
      <c r="A470" s="6">
        <v>21877.61623949552</v>
      </c>
      <c r="B470" s="6">
        <v>0.3957906637165387</v>
      </c>
      <c r="C470" s="6">
        <v>0.3957906637165387</v>
      </c>
      <c r="D470" s="6">
        <v>0.3957906637165387</v>
      </c>
      <c r="E470" s="7">
        <v>111.9493109088673</v>
      </c>
      <c r="F470" s="7">
        <v>111.9493109088673</v>
      </c>
      <c r="G470" s="7">
        <v>111.9493109088673</v>
      </c>
    </row>
    <row r="471" spans="1:7">
      <c r="A471" s="6">
        <v>22130.94709605641</v>
      </c>
      <c r="B471" s="6">
        <v>0.3906900152113164</v>
      </c>
      <c r="C471" s="6">
        <v>0.3906900152113164</v>
      </c>
      <c r="D471" s="6">
        <v>0.3906900152113164</v>
      </c>
      <c r="E471" s="7">
        <v>111.8366462437412</v>
      </c>
      <c r="F471" s="7">
        <v>111.8366462437412</v>
      </c>
      <c r="G471" s="7">
        <v>111.8366462437412</v>
      </c>
    </row>
    <row r="472" spans="1:7">
      <c r="A472" s="6">
        <v>22387.21138568338</v>
      </c>
      <c r="B472" s="6">
        <v>0.3857723294080829</v>
      </c>
      <c r="C472" s="6">
        <v>0.3857723294080829</v>
      </c>
      <c r="D472" s="6">
        <v>0.3857723294080829</v>
      </c>
      <c r="E472" s="7">
        <v>111.7266214689384</v>
      </c>
      <c r="F472" s="7">
        <v>111.7266214689384</v>
      </c>
      <c r="G472" s="7">
        <v>111.7266214689384</v>
      </c>
    </row>
    <row r="473" spans="1:7">
      <c r="A473" s="6">
        <v>22646.44307593062</v>
      </c>
      <c r="B473" s="6">
        <v>0.3810320177525646</v>
      </c>
      <c r="C473" s="6">
        <v>0.3810320177525646</v>
      </c>
      <c r="D473" s="6">
        <v>0.3810320177525646</v>
      </c>
      <c r="E473" s="7">
        <v>111.6192294110992</v>
      </c>
      <c r="F473" s="7">
        <v>111.6192294110992</v>
      </c>
      <c r="G473" s="7">
        <v>111.6192294110992</v>
      </c>
    </row>
    <row r="474" spans="1:7">
      <c r="A474" s="6">
        <v>22908.6765276777</v>
      </c>
      <c r="B474" s="6">
        <v>0.3764635850268743</v>
      </c>
      <c r="C474" s="6">
        <v>0.3764635850268743</v>
      </c>
      <c r="D474" s="6">
        <v>0.3764635850268743</v>
      </c>
      <c r="E474" s="7">
        <v>111.5144594733246</v>
      </c>
      <c r="F474" s="7">
        <v>111.5144594733246</v>
      </c>
      <c r="G474" s="7">
        <v>111.5144594733246</v>
      </c>
    </row>
    <row r="475" spans="1:7">
      <c r="A475" s="6">
        <v>23173.9464996848</v>
      </c>
      <c r="B475" s="6">
        <v>0.3720616010658909</v>
      </c>
      <c r="C475" s="6">
        <v>0.3720616010658909</v>
      </c>
      <c r="D475" s="6">
        <v>0.3720616010658909</v>
      </c>
      <c r="E475" s="7">
        <v>111.4122970120556</v>
      </c>
      <c r="F475" s="7">
        <v>111.4122970120556</v>
      </c>
      <c r="G475" s="7">
        <v>111.4122970120556</v>
      </c>
    </row>
    <row r="476" spans="1:7">
      <c r="A476" s="6">
        <v>23442.28815319923</v>
      </c>
      <c r="B476" s="6">
        <v>0.3678206700702093</v>
      </c>
      <c r="C476" s="6">
        <v>0.3678206700702093</v>
      </c>
      <c r="D476" s="6">
        <v>0.3678206700702093</v>
      </c>
      <c r="E476" s="7">
        <v>111.3127226244792</v>
      </c>
      <c r="F476" s="7">
        <v>111.3127226244792</v>
      </c>
      <c r="G476" s="7">
        <v>111.3127226244792</v>
      </c>
    </row>
    <row r="477" spans="1:7">
      <c r="A477" s="6">
        <v>23713.73705661655</v>
      </c>
      <c r="B477" s="6">
        <v>0.3637353971501419</v>
      </c>
      <c r="C477" s="6">
        <v>0.3637353971501419</v>
      </c>
      <c r="D477" s="6">
        <v>0.3637353971501419</v>
      </c>
      <c r="E477" s="7">
        <v>111.2157113353066</v>
      </c>
      <c r="F477" s="7">
        <v>111.2157113353066</v>
      </c>
      <c r="G477" s="7">
        <v>111.2157113353066</v>
      </c>
    </row>
    <row r="478" spans="1:7">
      <c r="A478" s="6">
        <v>23988.3291901949</v>
      </c>
      <c r="B478" s="6">
        <v>0.3598003517011835</v>
      </c>
      <c r="C478" s="6">
        <v>0.3598003517011835</v>
      </c>
      <c r="D478" s="6">
        <v>0.3598003517011835</v>
      </c>
      <c r="E478" s="7">
        <v>111.1212316705636</v>
      </c>
      <c r="F478" s="7">
        <v>111.1212316705636</v>
      </c>
      <c r="G478" s="7">
        <v>111.1212316705636</v>
      </c>
    </row>
    <row r="479" spans="1:7">
      <c r="A479" s="6">
        <v>24266.10095082414</v>
      </c>
      <c r="B479" s="6">
        <v>0.3560100271783855</v>
      </c>
      <c r="C479" s="6">
        <v>0.3560100271783855</v>
      </c>
      <c r="D479" s="6">
        <v>0.3560100271783855</v>
      </c>
      <c r="E479" s="7">
        <v>111.0292446047898</v>
      </c>
      <c r="F479" s="7">
        <v>111.0292446047898</v>
      </c>
      <c r="G479" s="7">
        <v>111.0292446047898</v>
      </c>
    </row>
    <row r="480" spans="1:7">
      <c r="A480" s="6">
        <v>24547.08915685034</v>
      </c>
      <c r="B480" s="6">
        <v>0.3523587968073715</v>
      </c>
      <c r="C480" s="6">
        <v>0.3523587968073715</v>
      </c>
      <c r="D480" s="6">
        <v>0.3523587968073715</v>
      </c>
      <c r="E480" s="7">
        <v>110.9397023667983</v>
      </c>
      <c r="F480" s="7">
        <v>110.9397023667983</v>
      </c>
      <c r="G480" s="7">
        <v>110.9397023667983</v>
      </c>
    </row>
    <row r="481" spans="1:7">
      <c r="A481" s="6">
        <v>24831.33105295568</v>
      </c>
      <c r="B481" s="6">
        <v>0.3488408647459676</v>
      </c>
      <c r="C481" s="6">
        <v>0.3488408647459676</v>
      </c>
      <c r="D481" s="6">
        <v>0.3488408647459676</v>
      </c>
      <c r="E481" s="7">
        <v>110.8525470879478</v>
      </c>
      <c r="F481" s="7">
        <v>110.8525470879478</v>
      </c>
      <c r="G481" s="7">
        <v>110.8525470879478</v>
      </c>
    </row>
    <row r="482" spans="1:7">
      <c r="A482" s="6">
        <v>25118.86431509582</v>
      </c>
      <c r="B482" s="6">
        <v>0.3454502121964095</v>
      </c>
      <c r="C482" s="6">
        <v>0.3454502121964095</v>
      </c>
      <c r="D482" s="6">
        <v>0.3454502121964095</v>
      </c>
      <c r="E482" s="7">
        <v>110.7677092757985</v>
      </c>
      <c r="F482" s="7">
        <v>110.7677092757985</v>
      </c>
      <c r="G482" s="7">
        <v>110.7677092757985</v>
      </c>
    </row>
    <row r="483" spans="1:7">
      <c r="A483" s="6">
        <v>25409.72705549307</v>
      </c>
      <c r="B483" s="6">
        <v>0.3421805379690869</v>
      </c>
      <c r="C483" s="6">
        <v>0.3421805379690869</v>
      </c>
      <c r="D483" s="6">
        <v>0.3421805379690869</v>
      </c>
      <c r="E483" s="7">
        <v>110.6851060951598</v>
      </c>
      <c r="F483" s="7">
        <v>110.6851060951598</v>
      </c>
      <c r="G483" s="7">
        <v>110.6851060951598</v>
      </c>
    </row>
    <row r="484" spans="1:7">
      <c r="A484" s="6">
        <v>25703.95782768865</v>
      </c>
      <c r="B484" s="6">
        <v>0.3390251930214686</v>
      </c>
      <c r="C484" s="6">
        <v>0.3390251930214686</v>
      </c>
      <c r="D484" s="6">
        <v>0.3390251930214686</v>
      </c>
      <c r="E484" s="7">
        <v>110.6046394380248</v>
      </c>
      <c r="F484" s="7">
        <v>110.6046394380248</v>
      </c>
      <c r="G484" s="7">
        <v>110.6046394380248</v>
      </c>
    </row>
    <row r="485" spans="1:7">
      <c r="A485" s="6">
        <v>26001.59563165272</v>
      </c>
      <c r="B485" s="6">
        <v>0.3359771085493308</v>
      </c>
      <c r="C485" s="6">
        <v>0.3359771085493308</v>
      </c>
      <c r="D485" s="6">
        <v>0.3359771085493308</v>
      </c>
      <c r="E485" s="7">
        <v>110.5261937639051</v>
      </c>
      <c r="F485" s="7">
        <v>110.5261937639051</v>
      </c>
      <c r="G485" s="7">
        <v>110.5261937639051</v>
      </c>
    </row>
    <row r="486" spans="1:7">
      <c r="A486" s="6">
        <v>26302.67991895381</v>
      </c>
      <c r="B486" s="6">
        <v>0.3330287173029396</v>
      </c>
      <c r="C486" s="6">
        <v>0.3330287173029396</v>
      </c>
      <c r="D486" s="6">
        <v>0.3330287173029396</v>
      </c>
      <c r="E486" s="7">
        <v>110.4496336928568</v>
      </c>
      <c r="F486" s="7">
        <v>110.4496336928568</v>
      </c>
      <c r="G486" s="7">
        <v>110.4496336928568</v>
      </c>
    </row>
    <row r="487" spans="1:7">
      <c r="A487" s="6">
        <v>26607.25059798814</v>
      </c>
      <c r="B487" s="6">
        <v>0.3301718679528453</v>
      </c>
      <c r="C487" s="6">
        <v>0.3301718679528453</v>
      </c>
      <c r="D487" s="6">
        <v>0.3301718679528453</v>
      </c>
      <c r="E487" s="7">
        <v>110.3748013353299</v>
      </c>
      <c r="F487" s="7">
        <v>110.3748013353299</v>
      </c>
      <c r="G487" s="7">
        <v>110.3748013353299</v>
      </c>
    </row>
    <row r="488" spans="1:7">
      <c r="A488" s="6">
        <v>26915.34803926914</v>
      </c>
      <c r="B488" s="6">
        <v>0.3273977325561209</v>
      </c>
      <c r="C488" s="6">
        <v>0.3273977325561209</v>
      </c>
      <c r="D488" s="6">
        <v>0.3273977325561209</v>
      </c>
      <c r="E488" s="7">
        <v>110.3015133462482</v>
      </c>
      <c r="F488" s="7">
        <v>110.3015133462482</v>
      </c>
      <c r="G488" s="7">
        <v>110.3015133462482</v>
      </c>
    </row>
    <row r="489" spans="1:7">
      <c r="A489" s="6">
        <v>27227.01308077915</v>
      </c>
      <c r="B489" s="6">
        <v>0.324696707495397</v>
      </c>
      <c r="C489" s="6">
        <v>0.324696707495397</v>
      </c>
      <c r="D489" s="6">
        <v>0.324696707495397</v>
      </c>
      <c r="E489" s="7">
        <v>110.2295576959059</v>
      </c>
      <c r="F489" s="7">
        <v>110.2295576959059</v>
      </c>
      <c r="G489" s="7">
        <v>110.2295576959059</v>
      </c>
    </row>
    <row r="490" spans="1:7">
      <c r="A490" s="6">
        <v>27542.28703338163</v>
      </c>
      <c r="B490" s="6">
        <v>0.3220583087047824</v>
      </c>
      <c r="C490" s="6">
        <v>0.3220583087047824</v>
      </c>
      <c r="D490" s="6">
        <v>0.3220583087047824</v>
      </c>
      <c r="E490" s="7">
        <v>110.1586901579052</v>
      </c>
      <c r="F490" s="7">
        <v>110.1586901579052</v>
      </c>
      <c r="G490" s="7">
        <v>110.1586901579052</v>
      </c>
    </row>
    <row r="491" spans="1:7">
      <c r="A491" s="6">
        <v>27861.21168629772</v>
      </c>
      <c r="B491" s="6">
        <v>0.3194710625863794</v>
      </c>
      <c r="C491" s="6">
        <v>0.3194710625863794</v>
      </c>
      <c r="D491" s="6">
        <v>0.3194710625863794</v>
      </c>
      <c r="E491" s="7">
        <v>110.0886305251178</v>
      </c>
      <c r="F491" s="7">
        <v>110.0886305251178</v>
      </c>
      <c r="G491" s="7">
        <v>110.0886305251178</v>
      </c>
    </row>
    <row r="492" spans="1:7">
      <c r="A492" s="6">
        <v>28183.82931264455</v>
      </c>
      <c r="B492" s="6">
        <v>0.316922394788243</v>
      </c>
      <c r="C492" s="6">
        <v>0.316922394788243</v>
      </c>
      <c r="D492" s="6">
        <v>0.316922394788243</v>
      </c>
      <c r="E492" s="7">
        <v>110.0190585792819</v>
      </c>
      <c r="F492" s="7">
        <v>110.0190585792819</v>
      </c>
      <c r="G492" s="7">
        <v>110.0190585792819</v>
      </c>
    </row>
    <row r="493" spans="1:7">
      <c r="A493" s="6">
        <v>28510.1826750391</v>
      </c>
      <c r="B493" s="6">
        <v>0.3143985199877675</v>
      </c>
      <c r="C493" s="6">
        <v>0.3143985199877675</v>
      </c>
      <c r="D493" s="6">
        <v>0.3143985199877675</v>
      </c>
      <c r="E493" s="7">
        <v>109.9496098591376</v>
      </c>
      <c r="F493" s="7">
        <v>109.9496098591376</v>
      </c>
      <c r="G493" s="7">
        <v>109.9496098591376</v>
      </c>
    </row>
    <row r="494" spans="1:7">
      <c r="A494" s="6">
        <v>28840.31503126606</v>
      </c>
      <c r="B494" s="6">
        <v>0.3118843370275446</v>
      </c>
      <c r="C494" s="6">
        <v>0.3118843370275446</v>
      </c>
      <c r="D494" s="6">
        <v>0.3118843370275446</v>
      </c>
      <c r="E494" s="7">
        <v>109.87987129679</v>
      </c>
      <c r="F494" s="7">
        <v>109.87987129679</v>
      </c>
      <c r="G494" s="7">
        <v>109.87987129679</v>
      </c>
    </row>
    <row r="495" spans="1:7">
      <c r="A495" s="6">
        <v>29174.27014001166</v>
      </c>
      <c r="B495" s="6">
        <v>0.3093633351958717</v>
      </c>
      <c r="C495" s="6">
        <v>0.3093633351958717</v>
      </c>
      <c r="D495" s="6">
        <v>0.3093633351958717</v>
      </c>
      <c r="E495" s="7">
        <v>109.8093768229704</v>
      </c>
      <c r="F495" s="7">
        <v>109.8093768229704</v>
      </c>
      <c r="G495" s="7">
        <v>109.8093768229704</v>
      </c>
    </row>
    <row r="496" spans="1:7">
      <c r="A496" s="6">
        <v>29512.0922666639</v>
      </c>
      <c r="B496" s="6">
        <v>0.3068175191232766</v>
      </c>
      <c r="C496" s="6">
        <v>0.3068175191232766</v>
      </c>
      <c r="D496" s="6">
        <v>0.3068175191232766</v>
      </c>
      <c r="E496" s="7">
        <v>109.7376030795508</v>
      </c>
      <c r="F496" s="7">
        <v>109.7376030795508</v>
      </c>
      <c r="G496" s="7">
        <v>109.7376030795508</v>
      </c>
    </row>
    <row r="497" spans="1:7">
      <c r="A497" s="6">
        <v>29853.82618917957</v>
      </c>
      <c r="B497" s="6">
        <v>0.3042273616386005</v>
      </c>
      <c r="C497" s="6">
        <v>0.3042273616386005</v>
      </c>
      <c r="D497" s="6">
        <v>0.3042273616386005</v>
      </c>
      <c r="E497" s="7">
        <v>109.6639654221026</v>
      </c>
      <c r="F497" s="7">
        <v>109.6639654221026</v>
      </c>
      <c r="G497" s="7">
        <v>109.6639654221026</v>
      </c>
    </row>
    <row r="498" spans="1:7">
      <c r="A498" s="6">
        <v>30199.51720402019</v>
      </c>
      <c r="B498" s="6">
        <v>0.301571795904122</v>
      </c>
      <c r="C498" s="6">
        <v>0.301571795904122</v>
      </c>
      <c r="D498" s="6">
        <v>0.301571795904122</v>
      </c>
      <c r="E498" s="7">
        <v>109.5878144458135</v>
      </c>
      <c r="F498" s="7">
        <v>109.5878144458135</v>
      </c>
      <c r="G498" s="7">
        <v>109.5878144458135</v>
      </c>
    </row>
    <row r="499" spans="1:7">
      <c r="A499" s="6">
        <v>30549.21113215509</v>
      </c>
      <c r="B499" s="6">
        <v>0.2988282600739647</v>
      </c>
      <c r="C499" s="6">
        <v>0.2988282600739647</v>
      </c>
      <c r="D499" s="6">
        <v>0.2988282600739647</v>
      </c>
      <c r="E499" s="7">
        <v>109.5084333229627</v>
      </c>
      <c r="F499" s="7">
        <v>109.5084333229627</v>
      </c>
      <c r="G499" s="7">
        <v>109.5084333229627</v>
      </c>
    </row>
    <row r="500" spans="1:7">
      <c r="A500" s="6">
        <v>30902.95432513592</v>
      </c>
      <c r="B500" s="6">
        <v>0.2959728093551347</v>
      </c>
      <c r="C500" s="6">
        <v>0.2959728093551347</v>
      </c>
      <c r="D500" s="6">
        <v>0.2959728093551347</v>
      </c>
      <c r="E500" s="7">
        <v>109.4250362962169</v>
      </c>
      <c r="F500" s="7">
        <v>109.4250362962169</v>
      </c>
      <c r="G500" s="7">
        <v>109.4250362962169</v>
      </c>
    </row>
    <row r="501" spans="1:7">
      <c r="A501" s="6">
        <v>31260.79367123956</v>
      </c>
      <c r="B501" s="6">
        <v>0.2929803113613747</v>
      </c>
      <c r="C501" s="6">
        <v>0.2929803113613747</v>
      </c>
      <c r="D501" s="6">
        <v>0.2929803113613747</v>
      </c>
      <c r="E501" s="7">
        <v>109.3367687241872</v>
      </c>
      <c r="F501" s="7">
        <v>109.3367687241872</v>
      </c>
      <c r="G501" s="7">
        <v>109.3367687241872</v>
      </c>
    </row>
    <row r="502" spans="1:7">
      <c r="A502" s="6">
        <v>31622.77660168379</v>
      </c>
      <c r="B502" s="6">
        <v>0.2898247406028808</v>
      </c>
      <c r="C502" s="6">
        <v>0.2898247406028808</v>
      </c>
      <c r="D502" s="6">
        <v>0.2898247406028808</v>
      </c>
      <c r="E502" s="7">
        <v>109.2427091167467</v>
      </c>
      <c r="F502" s="7">
        <v>109.2427091167467</v>
      </c>
      <c r="G502" s="7">
        <v>109.2427091167467</v>
      </c>
    </row>
    <row r="503" spans="1:7">
      <c r="A503" s="6">
        <v>31988.95109691397</v>
      </c>
      <c r="B503" s="6">
        <v>0.2864795863357438</v>
      </c>
      <c r="C503" s="6">
        <v>0.2864795863357438</v>
      </c>
      <c r="D503" s="6">
        <v>0.2864795863357438</v>
      </c>
      <c r="E503" s="7">
        <v>109.1418736180333</v>
      </c>
      <c r="F503" s="7">
        <v>109.1418736180333</v>
      </c>
      <c r="G503" s="7">
        <v>109.1418736180333</v>
      </c>
    </row>
    <row r="504" spans="1:7">
      <c r="A504" s="6">
        <v>32359.36569296281</v>
      </c>
      <c r="B504" s="6">
        <v>0.2829183842570325</v>
      </c>
      <c r="C504" s="6">
        <v>0.2829183842570325</v>
      </c>
      <c r="D504" s="6">
        <v>0.2829183842570325</v>
      </c>
      <c r="E504" s="7">
        <v>109.0332233833546</v>
      </c>
      <c r="F504" s="7">
        <v>109.0332233833546</v>
      </c>
      <c r="G504" s="7">
        <v>109.0332233833546</v>
      </c>
    </row>
    <row r="505" spans="1:7">
      <c r="A505" s="6">
        <v>32734.06948788386</v>
      </c>
      <c r="B505" s="6">
        <v>0.2791153761846606</v>
      </c>
      <c r="C505" s="6">
        <v>0.2791153761846606</v>
      </c>
      <c r="D505" s="6">
        <v>0.2791153761846606</v>
      </c>
      <c r="E505" s="7">
        <v>108.9156752398558</v>
      </c>
      <c r="F505" s="7">
        <v>108.9156752398558</v>
      </c>
      <c r="G505" s="7">
        <v>108.9156752398558</v>
      </c>
    </row>
    <row r="506" spans="1:7">
      <c r="A506" s="6">
        <v>33113.11214825908</v>
      </c>
      <c r="B506" s="6">
        <v>0.2750462926043715</v>
      </c>
      <c r="C506" s="6">
        <v>0.2750462926043715</v>
      </c>
      <c r="D506" s="6">
        <v>0.2750462926043715</v>
      </c>
      <c r="E506" s="7">
        <v>108.7881159079251</v>
      </c>
      <c r="F506" s="7">
        <v>108.7881159079251</v>
      </c>
      <c r="G506" s="7">
        <v>108.7881159079251</v>
      </c>
    </row>
    <row r="507" spans="1:7">
      <c r="A507" s="6">
        <v>33496.54391578279</v>
      </c>
      <c r="B507" s="6">
        <v>0.2706892408554503</v>
      </c>
      <c r="C507" s="6">
        <v>0.2706892408554503</v>
      </c>
      <c r="D507" s="6">
        <v>0.2706892408554503</v>
      </c>
      <c r="E507" s="7">
        <v>108.6494198823131</v>
      </c>
      <c r="F507" s="7">
        <v>108.6494198823131</v>
      </c>
      <c r="G507" s="7">
        <v>108.6494198823131</v>
      </c>
    </row>
    <row r="508" spans="1:7">
      <c r="A508" s="6">
        <v>33884.41561392028</v>
      </c>
      <c r="B508" s="6">
        <v>0.2660256673535435</v>
      </c>
      <c r="C508" s="6">
        <v>0.2660256673535435</v>
      </c>
      <c r="D508" s="6">
        <v>0.2660256673535435</v>
      </c>
      <c r="E508" s="7">
        <v>108.4984708267737</v>
      </c>
      <c r="F508" s="7">
        <v>108.4984708267737</v>
      </c>
      <c r="G508" s="7">
        <v>108.4984708267737</v>
      </c>
    </row>
    <row r="509" spans="1:7">
      <c r="A509" s="6">
        <v>34276.77865464504</v>
      </c>
      <c r="B509" s="6">
        <v>0.2610413468772856</v>
      </c>
      <c r="C509" s="6">
        <v>0.2610413468772856</v>
      </c>
      <c r="D509" s="6">
        <v>0.2610413468772856</v>
      </c>
      <c r="E509" s="7">
        <v>108.3341860317061</v>
      </c>
      <c r="F509" s="7">
        <v>108.3341860317061</v>
      </c>
      <c r="G509" s="7">
        <v>108.3341860317061</v>
      </c>
    </row>
    <row r="510" spans="1:7">
      <c r="A510" s="6">
        <v>34673.68504525317</v>
      </c>
      <c r="B510" s="6">
        <v>0.2557273375442571</v>
      </c>
      <c r="C510" s="6">
        <v>0.2557273375442571</v>
      </c>
      <c r="D510" s="6">
        <v>0.2557273375442571</v>
      </c>
      <c r="E510" s="7">
        <v>108.1555431416767</v>
      </c>
      <c r="F510" s="7">
        <v>108.1555431416767</v>
      </c>
      <c r="G510" s="7">
        <v>108.1555431416767</v>
      </c>
    </row>
    <row r="511" spans="1:7">
      <c r="A511" s="6">
        <v>35075.18739525679</v>
      </c>
      <c r="B511" s="6">
        <v>0.2500808291986722</v>
      </c>
      <c r="C511" s="6">
        <v>0.2500808291986722</v>
      </c>
      <c r="D511" s="6">
        <v>0.2500808291986722</v>
      </c>
      <c r="E511" s="7">
        <v>107.9616080135511</v>
      </c>
      <c r="F511" s="7">
        <v>107.9616080135511</v>
      </c>
      <c r="G511" s="7">
        <v>107.9616080135511</v>
      </c>
    </row>
    <row r="512" spans="1:7">
      <c r="A512" s="6">
        <v>35481.3389233576</v>
      </c>
      <c r="B512" s="6">
        <v>0.2441058082497951</v>
      </c>
      <c r="C512" s="6">
        <v>0.2441058082497951</v>
      </c>
      <c r="D512" s="6">
        <v>0.2441058082497951</v>
      </c>
      <c r="E512" s="7">
        <v>107.7515622627252</v>
      </c>
      <c r="F512" s="7">
        <v>107.7515622627252</v>
      </c>
      <c r="G512" s="7">
        <v>107.7515622627252</v>
      </c>
    </row>
    <row r="513" spans="1:7">
      <c r="A513" s="6">
        <v>35892.19346450049</v>
      </c>
      <c r="B513" s="6">
        <v>0.2378134658820244</v>
      </c>
      <c r="C513" s="6">
        <v>0.2378134658820244</v>
      </c>
      <c r="D513" s="6">
        <v>0.2378134658820244</v>
      </c>
      <c r="E513" s="7">
        <v>107.5247288469219</v>
      </c>
      <c r="F513" s="7">
        <v>107.5247288469219</v>
      </c>
      <c r="G513" s="7">
        <v>107.5247288469219</v>
      </c>
    </row>
    <row r="514" spans="1:7">
      <c r="A514" s="6">
        <v>36307.80547701017</v>
      </c>
      <c r="B514" s="6">
        <v>0.2312222903036301</v>
      </c>
      <c r="C514" s="6">
        <v>0.2312222903036301</v>
      </c>
      <c r="D514" s="6">
        <v>0.2312222903036301</v>
      </c>
      <c r="E514" s="7">
        <v>107.2805939729317</v>
      </c>
      <c r="F514" s="7">
        <v>107.2805939729317</v>
      </c>
      <c r="G514" s="7">
        <v>107.2805939729317</v>
      </c>
    </row>
    <row r="515" spans="1:7">
      <c r="A515" s="6">
        <v>36728.23004980842</v>
      </c>
      <c r="B515" s="6">
        <v>0.2243578069747801</v>
      </c>
      <c r="C515" s="6">
        <v>0.2243578069747801</v>
      </c>
      <c r="D515" s="6">
        <v>0.2243578069747801</v>
      </c>
      <c r="E515" s="7">
        <v>107.018823725394</v>
      </c>
      <c r="F515" s="7">
        <v>107.018823725394</v>
      </c>
      <c r="G515" s="7">
        <v>107.018823725394</v>
      </c>
    </row>
    <row r="516" spans="1:7">
      <c r="A516" s="6">
        <v>37153.52290971728</v>
      </c>
      <c r="B516" s="6">
        <v>0.2172519612984415</v>
      </c>
      <c r="C516" s="6">
        <v>0.2172519612984415</v>
      </c>
      <c r="D516" s="6">
        <v>0.2172519612984415</v>
      </c>
      <c r="E516" s="7">
        <v>106.7392741168901</v>
      </c>
      <c r="F516" s="7">
        <v>106.7392741168901</v>
      </c>
      <c r="G516" s="7">
        <v>106.7392741168901</v>
      </c>
    </row>
    <row r="517" spans="1:7">
      <c r="A517" s="6">
        <v>37583.74042884443</v>
      </c>
      <c r="B517" s="6">
        <v>0.2099421720805971</v>
      </c>
      <c r="C517" s="6">
        <v>0.2099421720805971</v>
      </c>
      <c r="D517" s="6">
        <v>0.2099421720805971</v>
      </c>
      <c r="E517" s="7">
        <v>106.4419937227914</v>
      </c>
      <c r="F517" s="7">
        <v>106.4419937227914</v>
      </c>
      <c r="G517" s="7">
        <v>106.4419937227914</v>
      </c>
    </row>
    <row r="518" spans="1:7">
      <c r="A518" s="6">
        <v>38018.93963205613</v>
      </c>
      <c r="B518" s="6">
        <v>0.2024701161481482</v>
      </c>
      <c r="C518" s="6">
        <v>0.2024701161481482</v>
      </c>
      <c r="D518" s="6">
        <v>0.2024701161481482</v>
      </c>
      <c r="E518" s="7">
        <v>106.1272186399331</v>
      </c>
      <c r="F518" s="7">
        <v>106.1272186399331</v>
      </c>
      <c r="G518" s="7">
        <v>106.1272186399331</v>
      </c>
    </row>
    <row r="519" spans="1:7">
      <c r="A519" s="6">
        <v>38459.17820453535</v>
      </c>
      <c r="B519" s="6">
        <v>0.1948803298705239</v>
      </c>
      <c r="C519" s="6">
        <v>0.1948803298705239</v>
      </c>
      <c r="D519" s="6">
        <v>0.1948803298705239</v>
      </c>
      <c r="E519" s="7">
        <v>105.7953601215215</v>
      </c>
      <c r="F519" s="7">
        <v>105.7953601215215</v>
      </c>
      <c r="G519" s="7">
        <v>105.7953601215215</v>
      </c>
    </row>
    <row r="520" spans="1:7">
      <c r="A520" s="6">
        <v>38904.51449942805</v>
      </c>
      <c r="B520" s="6">
        <v>0.1872187281490699</v>
      </c>
      <c r="C520" s="6">
        <v>0.1872187281490699</v>
      </c>
      <c r="D520" s="6">
        <v>0.1872187281490699</v>
      </c>
      <c r="E520" s="7">
        <v>105.4469858116497</v>
      </c>
      <c r="F520" s="7">
        <v>105.4469858116497</v>
      </c>
      <c r="G520" s="7">
        <v>105.4469858116497</v>
      </c>
    </row>
    <row r="521" spans="1:7">
      <c r="A521" s="6">
        <v>39355.00754557781</v>
      </c>
      <c r="B521" s="6">
        <v>0.1795311439237227</v>
      </c>
      <c r="C521" s="6">
        <v>0.1795311439237227</v>
      </c>
      <c r="D521" s="6">
        <v>0.1795311439237227</v>
      </c>
      <c r="E521" s="7">
        <v>105.082795962017</v>
      </c>
      <c r="F521" s="7">
        <v>105.082795962017</v>
      </c>
      <c r="G521" s="7">
        <v>105.082795962017</v>
      </c>
    </row>
    <row r="522" spans="1:7">
      <c r="A522" s="6">
        <v>39810.71705534969</v>
      </c>
      <c r="B522" s="6">
        <v>0.1718619819443397</v>
      </c>
      <c r="C522" s="6">
        <v>0.1718619819443397</v>
      </c>
      <c r="D522" s="6">
        <v>0.1718619819443397</v>
      </c>
      <c r="E522" s="7">
        <v>104.7035963170015</v>
      </c>
      <c r="F522" s="7">
        <v>104.7035963170015</v>
      </c>
      <c r="G522" s="7">
        <v>104.7035963170015</v>
      </c>
    </row>
    <row r="523" spans="1:7">
      <c r="A523" s="6">
        <v>40271.70343254595</v>
      </c>
      <c r="B523" s="6">
        <v>0.1642530620654768</v>
      </c>
      <c r="C523" s="6">
        <v>0.1642530620654768</v>
      </c>
      <c r="D523" s="6">
        <v>0.1642530620654768</v>
      </c>
      <c r="E523" s="7">
        <v>104.3102694916676</v>
      </c>
      <c r="F523" s="7">
        <v>104.3102694916676</v>
      </c>
      <c r="G523" s="7">
        <v>104.3102694916676</v>
      </c>
    </row>
    <row r="524" spans="1:7">
      <c r="A524" s="6">
        <v>40738.02778041122</v>
      </c>
      <c r="B524" s="6">
        <v>0.1567427035652912</v>
      </c>
      <c r="C524" s="6">
        <v>0.1567427035652912</v>
      </c>
      <c r="D524" s="6">
        <v>0.1567427035652912</v>
      </c>
      <c r="E524" s="7">
        <v>103.9037466678752</v>
      </c>
      <c r="F524" s="7">
        <v>103.9037466678752</v>
      </c>
      <c r="G524" s="7">
        <v>103.9037466678752</v>
      </c>
    </row>
    <row r="525" spans="1:7">
      <c r="A525" s="6">
        <v>41209.75190973304</v>
      </c>
      <c r="B525" s="6">
        <v>0.1493650772720858</v>
      </c>
      <c r="C525" s="6">
        <v>0.1493650772720858</v>
      </c>
      <c r="D525" s="6">
        <v>0.1493650772720858</v>
      </c>
      <c r="E525" s="7">
        <v>103.4849813577616</v>
      </c>
      <c r="F525" s="7">
        <v>103.4849813577616</v>
      </c>
      <c r="G525" s="7">
        <v>103.4849813577616</v>
      </c>
    </row>
    <row r="526" spans="1:7">
      <c r="A526" s="6">
        <v>41686.93834703355</v>
      </c>
      <c r="B526" s="6">
        <v>0.1421498305028297</v>
      </c>
      <c r="C526" s="6">
        <v>0.1421498305028297</v>
      </c>
      <c r="D526" s="6">
        <v>0.1421498305028297</v>
      </c>
      <c r="E526" s="7">
        <v>103.0549269236204</v>
      </c>
      <c r="F526" s="7">
        <v>103.0549269236204</v>
      </c>
      <c r="G526" s="7">
        <v>103.0549269236204</v>
      </c>
    </row>
    <row r="527" spans="1:7">
      <c r="A527" s="6">
        <v>42169.65034285822</v>
      </c>
      <c r="B527" s="6">
        <v>0.1351219739754869</v>
      </c>
      <c r="C527" s="6">
        <v>0.1351219739754869</v>
      </c>
      <c r="D527" s="6">
        <v>0.1351219739754869</v>
      </c>
      <c r="E527" s="7">
        <v>102.61451962297</v>
      </c>
      <c r="F527" s="7">
        <v>102.61451962297</v>
      </c>
      <c r="G527" s="7">
        <v>102.61451962297</v>
      </c>
    </row>
    <row r="528" spans="1:7">
      <c r="A528" s="6">
        <v>42657.95188015926</v>
      </c>
      <c r="B528" s="6">
        <v>0.1283020119805259</v>
      </c>
      <c r="C528" s="6">
        <v>0.1283020119805259</v>
      </c>
      <c r="D528" s="6">
        <v>0.1283020119805259</v>
      </c>
      <c r="E528" s="7">
        <v>102.1646693371929</v>
      </c>
      <c r="F528" s="7">
        <v>102.1646693371929</v>
      </c>
      <c r="G528" s="7">
        <v>102.1646693371929</v>
      </c>
    </row>
    <row r="529" spans="1:7">
      <c r="A529" s="6">
        <v>43151.9076827765</v>
      </c>
      <c r="B529" s="6">
        <v>0.1217062985496195</v>
      </c>
      <c r="C529" s="6">
        <v>0.1217062985496195</v>
      </c>
      <c r="D529" s="6">
        <v>0.1217062985496195</v>
      </c>
      <c r="E529" s="7">
        <v>101.706261088769</v>
      </c>
      <c r="F529" s="7">
        <v>101.706261088769</v>
      </c>
      <c r="G529" s="7">
        <v>101.706261088769</v>
      </c>
    </row>
    <row r="530" spans="1:7">
      <c r="A530" s="6">
        <v>43651.58322401666</v>
      </c>
      <c r="B530" s="6">
        <v>0.1153476144167122</v>
      </c>
      <c r="C530" s="6">
        <v>0.1153476144167122</v>
      </c>
      <c r="D530" s="6">
        <v>0.1153476144167122</v>
      </c>
      <c r="E530" s="7">
        <v>101.2401723401467</v>
      </c>
      <c r="F530" s="7">
        <v>101.2401723401467</v>
      </c>
      <c r="G530" s="7">
        <v>101.2401723401467</v>
      </c>
    </row>
    <row r="531" spans="1:7">
      <c r="A531" s="6">
        <v>44157.0447353312</v>
      </c>
      <c r="B531" s="6">
        <v>0.1092359840882859</v>
      </c>
      <c r="C531" s="6">
        <v>0.1092359840882859</v>
      </c>
      <c r="D531" s="6">
        <v>0.1092359840882859</v>
      </c>
      <c r="E531" s="7">
        <v>100.7673145103579</v>
      </c>
      <c r="F531" s="7">
        <v>100.7673145103579</v>
      </c>
      <c r="G531" s="7">
        <v>100.7673145103579</v>
      </c>
    </row>
    <row r="532" spans="1:7">
      <c r="A532" s="6">
        <v>44668.35921509634</v>
      </c>
      <c r="B532" s="6">
        <v>0.1033797921716988</v>
      </c>
      <c r="C532" s="6">
        <v>0.1033797921716988</v>
      </c>
      <c r="D532" s="6">
        <v>0.1033797921716988</v>
      </c>
      <c r="E532" s="7">
        <v>100.2887130950789</v>
      </c>
      <c r="F532" s="7">
        <v>100.2887130950789</v>
      </c>
      <c r="G532" s="7">
        <v>100.2887130950789</v>
      </c>
    </row>
    <row r="533" spans="1:7">
      <c r="A533" s="6">
        <v>45185.59443749226</v>
      </c>
      <c r="B533" s="6">
        <v>0.09778731615731588</v>
      </c>
      <c r="C533" s="6">
        <v>0.09778731615731588</v>
      </c>
      <c r="D533" s="6">
        <v>0.09778731615731588</v>
      </c>
      <c r="E533" s="7">
        <v>99.80565053539976</v>
      </c>
      <c r="F533" s="7">
        <v>99.80565053539976</v>
      </c>
      <c r="G533" s="7">
        <v>99.80565053539976</v>
      </c>
    </row>
    <row r="534" spans="1:7">
      <c r="A534" s="6">
        <v>45708.81896148752</v>
      </c>
      <c r="B534" s="6">
        <v>0.09246886663987186</v>
      </c>
      <c r="C534" s="6">
        <v>0.09246886663987186</v>
      </c>
      <c r="D534" s="6">
        <v>0.09246886663987186</v>
      </c>
      <c r="E534" s="7">
        <v>99.31991069316915</v>
      </c>
      <c r="F534" s="7">
        <v>99.31991069316915</v>
      </c>
      <c r="G534" s="7">
        <v>99.31991069316915</v>
      </c>
    </row>
    <row r="535" spans="1:7">
      <c r="A535" s="6">
        <v>46238.10213992604</v>
      </c>
      <c r="B535" s="6">
        <v>0.08743978877333322</v>
      </c>
      <c r="C535" s="6">
        <v>0.08743978877333322</v>
      </c>
      <c r="D535" s="6">
        <v>0.08743978877333322</v>
      </c>
      <c r="E535" s="7">
        <v>98.83418199651669</v>
      </c>
      <c r="F535" s="7">
        <v>98.83418199651669</v>
      </c>
      <c r="G535" s="7">
        <v>98.83418199651669</v>
      </c>
    </row>
    <row r="536" spans="1:7">
      <c r="A536" s="6">
        <v>46773.51412871981</v>
      </c>
      <c r="B536" s="6">
        <v>0.08272452524486881</v>
      </c>
      <c r="C536" s="6">
        <v>0.08272452524486881</v>
      </c>
      <c r="D536" s="6">
        <v>0.08272452524486881</v>
      </c>
      <c r="E536" s="7">
        <v>98.35268566855673</v>
      </c>
      <c r="F536" s="7">
        <v>98.35268566855673</v>
      </c>
      <c r="G536" s="7">
        <v>98.35268566855673</v>
      </c>
    </row>
    <row r="537" spans="1:7">
      <c r="A537" s="6">
        <v>47315.12589614812</v>
      </c>
      <c r="B537" s="6">
        <v>0.07836145650333565</v>
      </c>
      <c r="C537" s="6">
        <v>0.07836145650333565</v>
      </c>
      <c r="D537" s="6">
        <v>0.07836145650333565</v>
      </c>
      <c r="E537" s="7">
        <v>97.882049992468</v>
      </c>
      <c r="F537" s="7">
        <v>97.882049992468</v>
      </c>
      <c r="G537" s="7">
        <v>97.882049992468</v>
      </c>
    </row>
    <row r="538" spans="1:7">
      <c r="A538" s="6">
        <v>47863.0092322638</v>
      </c>
      <c r="B538" s="6">
        <v>0.07440657342630387</v>
      </c>
      <c r="C538" s="6">
        <v>0.07440657342630387</v>
      </c>
      <c r="D538" s="6">
        <v>0.07440657342630387</v>
      </c>
      <c r="E538" s="7">
        <v>97.43222609711754</v>
      </c>
      <c r="F538" s="7">
        <v>97.43222609711754</v>
      </c>
      <c r="G538" s="7">
        <v>97.43222609711754</v>
      </c>
    </row>
    <row r="539" spans="1:7">
      <c r="A539" s="6">
        <v>48417.23675840999</v>
      </c>
      <c r="B539" s="6">
        <v>0.07093004326707564</v>
      </c>
      <c r="C539" s="6">
        <v>0.07093004326707564</v>
      </c>
      <c r="D539" s="6">
        <v>0.07093004326707564</v>
      </c>
      <c r="E539" s="7">
        <v>97.01660449533421</v>
      </c>
      <c r="F539" s="7">
        <v>97.01660449533421</v>
      </c>
      <c r="G539" s="7">
        <v>97.01660449533421</v>
      </c>
    </row>
    <row r="540" spans="1:7">
      <c r="A540" s="6">
        <v>48977.88193684456</v>
      </c>
      <c r="B540" s="6">
        <v>0.06799373189370964</v>
      </c>
      <c r="C540" s="6">
        <v>0.06799373189370964</v>
      </c>
      <c r="D540" s="6">
        <v>0.06799373189370964</v>
      </c>
      <c r="E540" s="7">
        <v>96.64937756899376</v>
      </c>
      <c r="F540" s="7">
        <v>96.64937756899376</v>
      </c>
      <c r="G540" s="7">
        <v>96.64937756899376</v>
      </c>
    </row>
    <row r="541" spans="1:7">
      <c r="A541" s="6">
        <v>49545.01908047905</v>
      </c>
      <c r="B541" s="6">
        <v>0.06559839996856291</v>
      </c>
      <c r="C541" s="6">
        <v>0.06559839996856291</v>
      </c>
      <c r="D541" s="6">
        <v>0.06559839996856291</v>
      </c>
      <c r="E541" s="7">
        <v>96.33786492980023</v>
      </c>
      <c r="F541" s="7">
        <v>96.33786492980023</v>
      </c>
      <c r="G541" s="7">
        <v>96.33786492980023</v>
      </c>
    </row>
    <row r="542" spans="1:7">
      <c r="A542" s="6">
        <v>50118.72336272725</v>
      </c>
      <c r="B542" s="6">
        <v>0.0636183551302115</v>
      </c>
      <c r="C542" s="6">
        <v>0.0636183551302115</v>
      </c>
      <c r="D542" s="6">
        <v>0.0636183551302115</v>
      </c>
      <c r="E542" s="7">
        <v>96.07164872230288</v>
      </c>
      <c r="F542" s="7">
        <v>96.07164872230288</v>
      </c>
      <c r="G542" s="7">
        <v>96.07164872230288</v>
      </c>
    </row>
    <row r="543" spans="1:7">
      <c r="A543" s="6">
        <v>50699.07082747044</v>
      </c>
      <c r="B543" s="6">
        <v>0.06179620603771679</v>
      </c>
      <c r="C543" s="6">
        <v>0.06179620603771679</v>
      </c>
      <c r="D543" s="6">
        <v>0.06179620603771679</v>
      </c>
      <c r="E543" s="7">
        <v>95.81923625017014</v>
      </c>
      <c r="F543" s="7">
        <v>95.81923625017014</v>
      </c>
      <c r="G543" s="7">
        <v>95.81923625017014</v>
      </c>
    </row>
    <row r="544" spans="1:7">
      <c r="A544" s="6">
        <v>51286.13839913648</v>
      </c>
      <c r="B544" s="6">
        <v>0.05985536501300116</v>
      </c>
      <c r="C544" s="6">
        <v>0.05985536501300116</v>
      </c>
      <c r="D544" s="6">
        <v>0.05985536501300116</v>
      </c>
      <c r="E544" s="7">
        <v>95.54206167166278</v>
      </c>
      <c r="F544" s="7">
        <v>95.54206167166278</v>
      </c>
      <c r="G544" s="7">
        <v>95.54206167166278</v>
      </c>
    </row>
    <row r="545" spans="1:7">
      <c r="A545" s="6">
        <v>51880.00389289609</v>
      </c>
      <c r="B545" s="6">
        <v>0.05764607575018684</v>
      </c>
      <c r="C545" s="6">
        <v>0.05764607575018684</v>
      </c>
      <c r="D545" s="6">
        <v>0.05764607575018684</v>
      </c>
      <c r="E545" s="7">
        <v>95.21539496182598</v>
      </c>
      <c r="F545" s="7">
        <v>95.21539496182598</v>
      </c>
      <c r="G545" s="7">
        <v>95.21539496182598</v>
      </c>
    </row>
    <row r="546" spans="1:7">
      <c r="A546" s="6">
        <v>52480.74602497734</v>
      </c>
      <c r="B546" s="6">
        <v>0.05518161231755582</v>
      </c>
      <c r="C546" s="6">
        <v>0.05518161231755582</v>
      </c>
      <c r="D546" s="6">
        <v>0.05518161231755582</v>
      </c>
      <c r="E546" s="7">
        <v>94.8358877142326</v>
      </c>
      <c r="F546" s="7">
        <v>94.8358877142326</v>
      </c>
      <c r="G546" s="7">
        <v>94.8358877142326</v>
      </c>
    </row>
    <row r="547" spans="1:7">
      <c r="A547" s="6">
        <v>53088.44442309879</v>
      </c>
      <c r="B547" s="6">
        <v>0.05256520147082037</v>
      </c>
      <c r="C547" s="6">
        <v>0.05256520147082037</v>
      </c>
      <c r="D547" s="6">
        <v>0.05256520147082037</v>
      </c>
      <c r="E547" s="7">
        <v>94.41396666615844</v>
      </c>
      <c r="F547" s="7">
        <v>94.41396666615844</v>
      </c>
      <c r="G547" s="7">
        <v>94.41396666615844</v>
      </c>
    </row>
    <row r="548" spans="1:7">
      <c r="A548" s="6">
        <v>53703.17963702533</v>
      </c>
      <c r="B548" s="6">
        <v>0.04990873495815947</v>
      </c>
      <c r="C548" s="6">
        <v>0.04990873495815947</v>
      </c>
      <c r="D548" s="6">
        <v>0.04990873495815947</v>
      </c>
      <c r="E548" s="7">
        <v>93.96353123797422</v>
      </c>
      <c r="F548" s="7">
        <v>93.96353123797422</v>
      </c>
      <c r="G548" s="7">
        <v>93.96353123797422</v>
      </c>
    </row>
    <row r="549" spans="1:7">
      <c r="A549" s="6">
        <v>54325.03314924325</v>
      </c>
      <c r="B549" s="6">
        <v>0.04729507175568332</v>
      </c>
      <c r="C549" s="6">
        <v>0.04729507175568332</v>
      </c>
      <c r="D549" s="6">
        <v>0.04729507175568332</v>
      </c>
      <c r="E549" s="7">
        <v>93.4963177742401</v>
      </c>
      <c r="F549" s="7">
        <v>93.4963177742401</v>
      </c>
      <c r="G549" s="7">
        <v>93.4963177742401</v>
      </c>
    </row>
    <row r="550" spans="1:7">
      <c r="A550" s="6">
        <v>54954.08738576248</v>
      </c>
      <c r="B550" s="6">
        <v>0.04477405916176851</v>
      </c>
      <c r="C550" s="6">
        <v>0.04477405916176851</v>
      </c>
      <c r="D550" s="6">
        <v>0.04477405916176851</v>
      </c>
      <c r="E550" s="7">
        <v>93.0205293755603</v>
      </c>
      <c r="F550" s="7">
        <v>93.0205293755603</v>
      </c>
      <c r="G550" s="7">
        <v>93.0205293755603</v>
      </c>
    </row>
    <row r="551" spans="1:7">
      <c r="A551" s="6">
        <v>55590.42572704037</v>
      </c>
      <c r="B551" s="6">
        <v>0.04237089012841102</v>
      </c>
      <c r="C551" s="6">
        <v>0.04237089012841102</v>
      </c>
      <c r="D551" s="6">
        <v>0.04237089012841102</v>
      </c>
      <c r="E551" s="7">
        <v>92.54135175526002</v>
      </c>
      <c r="F551" s="7">
        <v>92.54135175526002</v>
      </c>
      <c r="G551" s="7">
        <v>92.54135175526002</v>
      </c>
    </row>
    <row r="552" spans="1:7">
      <c r="A552" s="6">
        <v>56234.13251903491</v>
      </c>
      <c r="B552" s="6">
        <v>0.04009527873218365</v>
      </c>
      <c r="C552" s="6">
        <v>0.04009527873218365</v>
      </c>
      <c r="D552" s="6">
        <v>0.04009527873218365</v>
      </c>
      <c r="E552" s="7">
        <v>92.06186473855067</v>
      </c>
      <c r="F552" s="7">
        <v>92.06186473855067</v>
      </c>
      <c r="G552" s="7">
        <v>92.06186473855067</v>
      </c>
    </row>
    <row r="553" spans="1:7">
      <c r="A553" s="6">
        <v>56885.29308438413</v>
      </c>
      <c r="B553" s="6">
        <v>0.03794813350409198</v>
      </c>
      <c r="C553" s="6">
        <v>0.03794813350409198</v>
      </c>
      <c r="D553" s="6">
        <v>0.03794813350409198</v>
      </c>
      <c r="E553" s="7">
        <v>91.58380839577197</v>
      </c>
      <c r="F553" s="7">
        <v>91.58380839577197</v>
      </c>
      <c r="G553" s="7">
        <v>91.58380839577197</v>
      </c>
    </row>
    <row r="554" spans="1:7">
      <c r="A554" s="6">
        <v>57543.99373371567</v>
      </c>
      <c r="B554" s="6">
        <v>0.03592572399847545</v>
      </c>
      <c r="C554" s="6">
        <v>0.03592572399847545</v>
      </c>
      <c r="D554" s="6">
        <v>0.03592572399847545</v>
      </c>
      <c r="E554" s="7">
        <v>91.10811058156686</v>
      </c>
      <c r="F554" s="7">
        <v>91.10811058156686</v>
      </c>
      <c r="G554" s="7">
        <v>91.10811058156686</v>
      </c>
    </row>
    <row r="555" spans="1:7">
      <c r="A555" s="6">
        <v>58210.32177708721</v>
      </c>
      <c r="B555" s="6">
        <v>0.03402209284552619</v>
      </c>
      <c r="C555" s="6">
        <v>0.03402209284552619</v>
      </c>
      <c r="D555" s="6">
        <v>0.03402209284552619</v>
      </c>
      <c r="E555" s="7">
        <v>90.63522050846304</v>
      </c>
      <c r="F555" s="7">
        <v>90.63522050846304</v>
      </c>
      <c r="G555" s="7">
        <v>90.63522050846304</v>
      </c>
    </row>
    <row r="556" spans="1:7">
      <c r="A556" s="6">
        <v>58884.36553555884</v>
      </c>
      <c r="B556" s="6">
        <v>0.0322303899653683</v>
      </c>
      <c r="C556" s="6">
        <v>0.0322303899653683</v>
      </c>
      <c r="D556" s="6">
        <v>0.0322303899653683</v>
      </c>
      <c r="E556" s="7">
        <v>90.16531120412382</v>
      </c>
      <c r="F556" s="7">
        <v>90.16531120412382</v>
      </c>
      <c r="G556" s="7">
        <v>90.16531120412382</v>
      </c>
    </row>
    <row r="557" spans="1:7">
      <c r="A557" s="6">
        <v>59566.21435290109</v>
      </c>
      <c r="B557" s="6">
        <v>0.0305435838517937</v>
      </c>
      <c r="C557" s="6">
        <v>0.0305435838517937</v>
      </c>
      <c r="D557" s="6">
        <v>0.0305435838517937</v>
      </c>
      <c r="E557" s="7">
        <v>89.69839987886189</v>
      </c>
      <c r="F557" s="7">
        <v>89.69839987886189</v>
      </c>
      <c r="G557" s="7">
        <v>89.69839987886189</v>
      </c>
    </row>
    <row r="558" spans="1:7">
      <c r="A558" s="6">
        <v>60255.95860743581</v>
      </c>
      <c r="B558" s="6">
        <v>0.02895482431044418</v>
      </c>
      <c r="C558" s="6">
        <v>0.02895482431044418</v>
      </c>
      <c r="D558" s="6">
        <v>0.02895482431044418</v>
      </c>
      <c r="E558" s="7">
        <v>89.23441868206469</v>
      </c>
      <c r="F558" s="7">
        <v>89.23441868206469</v>
      </c>
      <c r="G558" s="7">
        <v>89.23441868206469</v>
      </c>
    </row>
    <row r="559" spans="1:7">
      <c r="A559" s="6">
        <v>60953.68972401693</v>
      </c>
      <c r="B559" s="6">
        <v>0.02745761415140937</v>
      </c>
      <c r="C559" s="6">
        <v>0.02745761415140937</v>
      </c>
      <c r="D559" s="6">
        <v>0.02745761415140937</v>
      </c>
      <c r="E559" s="7">
        <v>88.77325595598025</v>
      </c>
      <c r="F559" s="7">
        <v>88.77325595598025</v>
      </c>
      <c r="G559" s="7">
        <v>88.77325595598025</v>
      </c>
    </row>
    <row r="560" spans="1:7">
      <c r="A560" s="6">
        <v>61659.50018614822</v>
      </c>
      <c r="B560" s="6">
        <v>0.0260458780724362</v>
      </c>
      <c r="C560" s="6">
        <v>0.0260458780724362</v>
      </c>
      <c r="D560" s="6">
        <v>0.0260458780724362</v>
      </c>
      <c r="E560" s="7">
        <v>88.31478006362211</v>
      </c>
      <c r="F560" s="7">
        <v>88.31478006362211</v>
      </c>
      <c r="G560" s="7">
        <v>88.31478006362211</v>
      </c>
    </row>
    <row r="561" spans="1:7">
      <c r="A561" s="6">
        <v>62373.48354824191</v>
      </c>
      <c r="B561" s="6">
        <v>0.0247139775341756</v>
      </c>
      <c r="C561" s="6">
        <v>0.0247139775341756</v>
      </c>
      <c r="D561" s="6">
        <v>0.0247139775341756</v>
      </c>
      <c r="E561" s="7">
        <v>87.85885295104335</v>
      </c>
      <c r="F561" s="7">
        <v>87.85885295104335</v>
      </c>
      <c r="G561" s="7">
        <v>87.85885295104335</v>
      </c>
    </row>
    <row r="562" spans="1:7">
      <c r="A562" s="6">
        <v>63095.73444801943</v>
      </c>
      <c r="B562" s="6">
        <v>0.02345669838713841</v>
      </c>
      <c r="C562" s="6">
        <v>0.02345669838713841</v>
      </c>
      <c r="D562" s="6">
        <v>0.02345669838713841</v>
      </c>
      <c r="E562" s="7">
        <v>87.40533767208321</v>
      </c>
      <c r="F562" s="7">
        <v>87.40533767208321</v>
      </c>
      <c r="G562" s="7">
        <v>87.40533767208321</v>
      </c>
    </row>
    <row r="563" spans="1:7">
      <c r="A563" s="6">
        <v>63826.34861905483</v>
      </c>
      <c r="B563" s="6">
        <v>0.02226922578972763</v>
      </c>
      <c r="C563" s="6">
        <v>0.02226922578972763</v>
      </c>
      <c r="D563" s="6">
        <v>0.02226922578972763</v>
      </c>
      <c r="E563" s="7">
        <v>86.954102372927</v>
      </c>
      <c r="F563" s="7">
        <v>86.954102372927</v>
      </c>
      <c r="G563" s="7">
        <v>86.954102372927</v>
      </c>
    </row>
    <row r="564" spans="1:7">
      <c r="A564" s="6">
        <v>64565.42290346562</v>
      </c>
      <c r="B564" s="6">
        <v>0.02114711420597026</v>
      </c>
      <c r="C564" s="6">
        <v>0.02114711420597026</v>
      </c>
      <c r="D564" s="6">
        <v>0.02114711420597026</v>
      </c>
      <c r="E564" s="7">
        <v>86.50502221442692</v>
      </c>
      <c r="F564" s="7">
        <v>86.50502221442692</v>
      </c>
      <c r="G564" s="7">
        <v>86.50502221442692</v>
      </c>
    </row>
    <row r="565" spans="1:7">
      <c r="A565" s="6">
        <v>65313.05526474716</v>
      </c>
      <c r="B565" s="6">
        <v>0.02008625655208116</v>
      </c>
      <c r="C565" s="6">
        <v>0.02008625655208116</v>
      </c>
      <c r="D565" s="6">
        <v>0.02008625655208116</v>
      </c>
      <c r="E565" s="7">
        <v>86.05798010852371</v>
      </c>
      <c r="F565" s="7">
        <v>86.05798010852371</v>
      </c>
      <c r="G565" s="7">
        <v>86.05798010852371</v>
      </c>
    </row>
    <row r="566" spans="1:7">
      <c r="A566" s="6">
        <v>66069.34480075965</v>
      </c>
      <c r="B566" s="6">
        <v>0.01908285452044224</v>
      </c>
      <c r="C566" s="6">
        <v>0.01908285452044224</v>
      </c>
      <c r="D566" s="6">
        <v>0.01908285452044224</v>
      </c>
      <c r="E566" s="7">
        <v>85.61286678865198</v>
      </c>
      <c r="F566" s="7">
        <v>85.61286678865198</v>
      </c>
      <c r="G566" s="7">
        <v>85.61286678865198</v>
      </c>
    </row>
    <row r="567" spans="1:7">
      <c r="A567" s="6">
        <v>66834.39175686149</v>
      </c>
      <c r="B567" s="6">
        <v>0.01813339099990722</v>
      </c>
      <c r="C567" s="6">
        <v>0.01813339099990722</v>
      </c>
      <c r="D567" s="6">
        <v>0.01813339099990722</v>
      </c>
      <c r="E567" s="7">
        <v>85.16958052188838</v>
      </c>
      <c r="F567" s="7">
        <v>85.16958052188838</v>
      </c>
      <c r="G567" s="7">
        <v>85.16958052188838</v>
      </c>
    </row>
    <row r="568" spans="1:7">
      <c r="A568" s="6">
        <v>67608.29753919819</v>
      </c>
      <c r="B568" s="6">
        <v>0.01723460491793043</v>
      </c>
      <c r="C568" s="6">
        <v>0.01723460491793043</v>
      </c>
      <c r="D568" s="6">
        <v>0.01723460491793043</v>
      </c>
      <c r="E568" s="7">
        <v>84.7280266438502</v>
      </c>
      <c r="F568" s="7">
        <v>84.7280266438502</v>
      </c>
      <c r="G568" s="7">
        <v>84.7280266438502</v>
      </c>
    </row>
    <row r="569" spans="1:7">
      <c r="A569" s="6">
        <v>68391.16472814293</v>
      </c>
      <c r="B569" s="6">
        <v>0.01638346852256641</v>
      </c>
      <c r="C569" s="6">
        <v>0.01638346852256641</v>
      </c>
      <c r="D569" s="6">
        <v>0.01638346852256641</v>
      </c>
      <c r="E569" s="7">
        <v>84.28811702143662</v>
      </c>
      <c r="F569" s="7">
        <v>84.28811702143662</v>
      </c>
      <c r="G569" s="7">
        <v>84.28811702143662</v>
      </c>
    </row>
    <row r="570" spans="1:7">
      <c r="A570" s="6">
        <v>69183.09709189362</v>
      </c>
      <c r="B570" s="6">
        <v>0.01557716697236255</v>
      </c>
      <c r="C570" s="6">
        <v>0.01557716697236255</v>
      </c>
      <c r="D570" s="6">
        <v>0.01557716697236255</v>
      </c>
      <c r="E570" s="7">
        <v>83.84976950299907</v>
      </c>
      <c r="F570" s="7">
        <v>83.84976950299907</v>
      </c>
      <c r="G570" s="7">
        <v>83.84976950299907</v>
      </c>
    </row>
    <row r="571" spans="1:7">
      <c r="A571" s="6">
        <v>69984.19960022745</v>
      </c>
      <c r="B571" s="6">
        <v>0.01481308003783449</v>
      </c>
      <c r="C571" s="6">
        <v>0.01481308003783449</v>
      </c>
      <c r="D571" s="6">
        <v>0.01481308003783449</v>
      </c>
      <c r="E571" s="7">
        <v>83.41290738833086</v>
      </c>
      <c r="F571" s="7">
        <v>83.41290738833086</v>
      </c>
      <c r="G571" s="7">
        <v>83.41290738833086</v>
      </c>
    </row>
    <row r="572" spans="1:7">
      <c r="A572" s="6">
        <v>70794.57843841374</v>
      </c>
      <c r="B572" s="6">
        <v>0.0140887656994508</v>
      </c>
      <c r="C572" s="6">
        <v>0.0140887656994508</v>
      </c>
      <c r="D572" s="6">
        <v>0.0140887656994508</v>
      </c>
      <c r="E572" s="7">
        <v>82.9774589347234</v>
      </c>
      <c r="F572" s="7">
        <v>82.9774589347234</v>
      </c>
      <c r="G572" s="7">
        <v>82.9774589347234</v>
      </c>
    </row>
    <row r="573" spans="1:7">
      <c r="A573" s="6">
        <v>71614.34102129027</v>
      </c>
      <c r="B573" s="6">
        <v>0.01340194543152881</v>
      </c>
      <c r="C573" s="6">
        <v>0.01340194543152881</v>
      </c>
      <c r="D573" s="6">
        <v>0.01340194543152881</v>
      </c>
      <c r="E573" s="7">
        <v>82.54335690588215</v>
      </c>
      <c r="F573" s="7">
        <v>82.54335690588215</v>
      </c>
      <c r="G573" s="7">
        <v>82.54335690588215</v>
      </c>
    </row>
    <row r="574" spans="1:7">
      <c r="A574" s="6">
        <v>72443.59600749891</v>
      </c>
      <c r="B574" s="6">
        <v>0.01275049097685454</v>
      </c>
      <c r="C574" s="6">
        <v>0.01275049097685454</v>
      </c>
      <c r="D574" s="6">
        <v>0.01275049097685454</v>
      </c>
      <c r="E574" s="7">
        <v>82.11053816509873</v>
      </c>
      <c r="F574" s="7">
        <v>82.11053816509873</v>
      </c>
      <c r="G574" s="7">
        <v>82.11053816509873</v>
      </c>
    </row>
    <row r="575" spans="1:7">
      <c r="A575" s="6">
        <v>73282.45331389045</v>
      </c>
      <c r="B575" s="6">
        <v>0.01213241243646949</v>
      </c>
      <c r="C575" s="6">
        <v>0.01213241243646949</v>
      </c>
      <c r="D575" s="6">
        <v>0.01213241243646949</v>
      </c>
      <c r="E575" s="7">
        <v>81.67894331110793</v>
      </c>
      <c r="F575" s="7">
        <v>81.67894331110793</v>
      </c>
      <c r="G575" s="7">
        <v>81.67894331110793</v>
      </c>
    </row>
    <row r="576" spans="1:7">
      <c r="A576" s="6">
        <v>74131.02413009177</v>
      </c>
      <c r="B576" s="6">
        <v>0.01154584751944703</v>
      </c>
      <c r="C576" s="6">
        <v>0.01154584751944703</v>
      </c>
      <c r="D576" s="6">
        <v>0.01154584751944703</v>
      </c>
      <c r="E576" s="7">
        <v>81.24851635356919</v>
      </c>
      <c r="F576" s="7">
        <v>81.24851635356919</v>
      </c>
      <c r="G576" s="7">
        <v>81.24851635356919</v>
      </c>
    </row>
    <row r="577" spans="1:7">
      <c r="A577" s="6">
        <v>74989.42093324558</v>
      </c>
      <c r="B577" s="6">
        <v>0.01098905181681539</v>
      </c>
      <c r="C577" s="6">
        <v>0.01098905181681539</v>
      </c>
      <c r="D577" s="6">
        <v>0.01098905181681539</v>
      </c>
      <c r="E577" s="7">
        <v>80.81920442446628</v>
      </c>
      <c r="F577" s="7">
        <v>80.81920442446628</v>
      </c>
      <c r="G577" s="7">
        <v>80.81920442446628</v>
      </c>
    </row>
    <row r="578" spans="1:7">
      <c r="A578" s="6">
        <v>75857.75750291836</v>
      </c>
      <c r="B578" s="6">
        <v>0.01046038998135369</v>
      </c>
      <c r="C578" s="6">
        <v>0.01046038998135369</v>
      </c>
      <c r="D578" s="6">
        <v>0.01046038998135369</v>
      </c>
      <c r="E578" s="7">
        <v>80.39095752158643</v>
      </c>
      <c r="F578" s="7">
        <v>80.39095752158643</v>
      </c>
      <c r="G578" s="7">
        <v>80.39095752158643</v>
      </c>
    </row>
    <row r="579" spans="1:7">
      <c r="A579" s="6">
        <v>76736.14893618185</v>
      </c>
      <c r="B579" s="6">
        <v>0.009958327710505387</v>
      </c>
      <c r="C579" s="6">
        <v>0.009958327710505387</v>
      </c>
      <c r="D579" s="6">
        <v>0.009958327710505387</v>
      </c>
      <c r="E579" s="7">
        <v>79.9637282803681</v>
      </c>
      <c r="F579" s="7">
        <v>79.9637282803681</v>
      </c>
      <c r="G579" s="7">
        <v>79.9637282803681</v>
      </c>
    </row>
    <row r="580" spans="1:7">
      <c r="A580" s="6">
        <v>77624.71166286927</v>
      </c>
      <c r="B580" s="6">
        <v>0.009481424443174057</v>
      </c>
      <c r="C580" s="6">
        <v>0.009481424443174057</v>
      </c>
      <c r="D580" s="6">
        <v>0.009481424443174057</v>
      </c>
      <c r="E580" s="7">
        <v>79.53747177068144</v>
      </c>
      <c r="F580" s="7">
        <v>79.53747177068144</v>
      </c>
      <c r="G580" s="7">
        <v>79.53747177068144</v>
      </c>
    </row>
    <row r="581" spans="1:7">
      <c r="A581" s="6">
        <v>78523.5634610071</v>
      </c>
      <c r="B581" s="6">
        <v>0.009028326692828955</v>
      </c>
      <c r="C581" s="6">
        <v>0.009028326692828955</v>
      </c>
      <c r="D581" s="6">
        <v>0.009028326692828955</v>
      </c>
      <c r="E581" s="7">
        <v>79.11214531543806</v>
      </c>
      <c r="F581" s="7">
        <v>79.11214531543806</v>
      </c>
      <c r="G581" s="7">
        <v>79.11214531543806</v>
      </c>
    </row>
    <row r="582" spans="1:7">
      <c r="A582" s="6">
        <v>79432.82347242821</v>
      </c>
      <c r="B582" s="6">
        <v>0.008597761949358972</v>
      </c>
      <c r="C582" s="6">
        <v>0.008597761949358972</v>
      </c>
      <c r="D582" s="6">
        <v>0.008597761949358972</v>
      </c>
      <c r="E582" s="7">
        <v>78.6877083282715</v>
      </c>
      <c r="F582" s="7">
        <v>78.6877083282715</v>
      </c>
      <c r="G582" s="7">
        <v>78.6877083282715</v>
      </c>
    </row>
    <row r="583" spans="1:7">
      <c r="A583" s="6">
        <v>80352.61221856177</v>
      </c>
      <c r="B583" s="6">
        <v>0.008188533090695813</v>
      </c>
      <c r="C583" s="6">
        <v>0.008188533090695813</v>
      </c>
      <c r="D583" s="6">
        <v>0.008188533090695813</v>
      </c>
      <c r="E583" s="7">
        <v>78.26412216786802</v>
      </c>
      <c r="F583" s="7">
        <v>78.26412216786802</v>
      </c>
      <c r="G583" s="7">
        <v>78.26412216786802</v>
      </c>
    </row>
    <row r="584" spans="1:7">
      <c r="A584" s="6">
        <v>81283.05161640995</v>
      </c>
      <c r="B584" s="6">
        <v>0.00779951325256486</v>
      </c>
      <c r="C584" s="6">
        <v>0.00779951325256486</v>
      </c>
      <c r="D584" s="6">
        <v>0.00779951325256486</v>
      </c>
      <c r="E584" s="7">
        <v>77.84135000683209</v>
      </c>
      <c r="F584" s="7">
        <v>77.84135000683209</v>
      </c>
      <c r="G584" s="7">
        <v>77.84135000683209</v>
      </c>
    </row>
    <row r="585" spans="1:7">
      <c r="A585" s="6">
        <v>82224.26499470712</v>
      </c>
      <c r="B585" s="6">
        <v>0.00742964111102307</v>
      </c>
      <c r="C585" s="6">
        <v>0.00742964111102307</v>
      </c>
      <c r="D585" s="6">
        <v>0.00742964111102307</v>
      </c>
      <c r="E585" s="7">
        <v>77.4193567132553</v>
      </c>
      <c r="F585" s="7">
        <v>77.4193567132553</v>
      </c>
      <c r="G585" s="7">
        <v>77.4193567132553</v>
      </c>
    </row>
    <row r="586" spans="1:7">
      <c r="A586" s="6">
        <v>83176.37711026709</v>
      </c>
      <c r="B586" s="6">
        <v>0.007077916537842576</v>
      </c>
      <c r="C586" s="6">
        <v>0.007077916537842576</v>
      </c>
      <c r="D586" s="6">
        <v>0.007077916537842576</v>
      </c>
      <c r="E586" s="7">
        <v>76.9981087434017</v>
      </c>
      <c r="F586" s="7">
        <v>76.9981087434017</v>
      </c>
      <c r="G586" s="7">
        <v>76.9981087434017</v>
      </c>
    </row>
    <row r="587" spans="1:7">
      <c r="A587" s="6">
        <v>84139.51416451964</v>
      </c>
      <c r="B587" s="6">
        <v>0.006743396593451014</v>
      </c>
      <c r="C587" s="6">
        <v>0.006743396593451014</v>
      </c>
      <c r="D587" s="6">
        <v>0.006743396593451014</v>
      </c>
      <c r="E587" s="7">
        <v>76.5775740441405</v>
      </c>
      <c r="F587" s="7">
        <v>76.5775740441405</v>
      </c>
      <c r="G587" s="7">
        <v>76.5775740441405</v>
      </c>
    </row>
    <row r="588" spans="1:7">
      <c r="A588" s="6">
        <v>85113.80382023759</v>
      </c>
      <c r="B588" s="6">
        <v>0.006425191826152624</v>
      </c>
      <c r="C588" s="6">
        <v>0.006425191826152624</v>
      </c>
      <c r="D588" s="6">
        <v>0.006425191826152624</v>
      </c>
      <c r="E588" s="7">
        <v>76.15772196394508</v>
      </c>
      <c r="F588" s="7">
        <v>76.15772196394508</v>
      </c>
      <c r="G588" s="7">
        <v>76.15772196394508</v>
      </c>
    </row>
    <row r="589" spans="1:7">
      <c r="A589" s="6">
        <v>86099.37521846016</v>
      </c>
      <c r="B589" s="6">
        <v>0.006122462849826906</v>
      </c>
      <c r="C589" s="6">
        <v>0.006122462849826906</v>
      </c>
      <c r="D589" s="6">
        <v>0.006122462849826906</v>
      </c>
      <c r="E589" s="7">
        <v>75.73852317143809</v>
      </c>
      <c r="F589" s="7">
        <v>75.73852317143809</v>
      </c>
      <c r="G589" s="7">
        <v>75.73852317143809</v>
      </c>
    </row>
    <row r="590" spans="1:7">
      <c r="A590" s="6">
        <v>87096.35899560797</v>
      </c>
      <c r="B590" s="6">
        <v>0.005834417175322471</v>
      </c>
      <c r="C590" s="6">
        <v>0.005834417175322471</v>
      </c>
      <c r="D590" s="6">
        <v>0.005834417175322471</v>
      </c>
      <c r="E590" s="7">
        <v>75.31994958060656</v>
      </c>
      <c r="F590" s="7">
        <v>75.31994958060656</v>
      </c>
      <c r="G590" s="7">
        <v>75.31994958060656</v>
      </c>
    </row>
    <row r="591" spans="1:7">
      <c r="A591" s="6">
        <v>88104.88730080146</v>
      </c>
      <c r="B591" s="6">
        <v>0.005560306273386596</v>
      </c>
      <c r="C591" s="6">
        <v>0.005560306273386596</v>
      </c>
      <c r="D591" s="6">
        <v>0.005560306273386596</v>
      </c>
      <c r="E591" s="7">
        <v>74.90197428192306</v>
      </c>
      <c r="F591" s="7">
        <v>74.90197428192306</v>
      </c>
      <c r="G591" s="7">
        <v>74.90197428192306</v>
      </c>
    </row>
    <row r="592" spans="1:7">
      <c r="A592" s="6">
        <v>89125.09381337459</v>
      </c>
      <c r="B592" s="6">
        <v>0.005299422849276449</v>
      </c>
      <c r="C592" s="6">
        <v>0.005299422849276449</v>
      </c>
      <c r="D592" s="6">
        <v>0.005299422849276449</v>
      </c>
      <c r="E592" s="7">
        <v>74.48457147872116</v>
      </c>
      <c r="F592" s="7">
        <v>74.48457147872116</v>
      </c>
      <c r="G592" s="7">
        <v>74.48457147872116</v>
      </c>
    </row>
    <row r="593" spans="1:7">
      <c r="A593" s="6">
        <v>90157.1137605957</v>
      </c>
      <c r="B593" s="6">
        <v>0.005051098311206747</v>
      </c>
      <c r="C593" s="6">
        <v>0.005051098311206747</v>
      </c>
      <c r="D593" s="6">
        <v>0.005051098311206747</v>
      </c>
      <c r="E593" s="7">
        <v>74.06771642825171</v>
      </c>
      <c r="F593" s="7">
        <v>74.06771642825171</v>
      </c>
      <c r="G593" s="7">
        <v>74.06771642825171</v>
      </c>
    </row>
    <row r="594" spans="1:7">
      <c r="A594" s="6">
        <v>91201.08393559097</v>
      </c>
      <c r="B594" s="6">
        <v>0.004814700416567578</v>
      </c>
      <c r="C594" s="6">
        <v>0.004814700416567578</v>
      </c>
      <c r="D594" s="6">
        <v>0.004814700416567578</v>
      </c>
      <c r="E594" s="7">
        <v>73.65138538692945</v>
      </c>
      <c r="F594" s="7">
        <v>73.65138538692945</v>
      </c>
      <c r="G594" s="7">
        <v>73.65138538692945</v>
      </c>
    </row>
    <row r="595" spans="1:7">
      <c r="A595" s="6">
        <v>92257.14271547628</v>
      </c>
      <c r="B595" s="6">
        <v>0.004589631081408069</v>
      </c>
      <c r="C595" s="6">
        <v>0.004589631081408069</v>
      </c>
      <c r="D595" s="6">
        <v>0.004589631081408069</v>
      </c>
      <c r="E595" s="7">
        <v>73.23555555933842</v>
      </c>
      <c r="F595" s="7">
        <v>73.23555555933842</v>
      </c>
      <c r="G595" s="7">
        <v>73.23555555933842</v>
      </c>
    </row>
    <row r="596" spans="1:7">
      <c r="A596" s="6">
        <v>93325.43007969925</v>
      </c>
      <c r="B596" s="6">
        <v>0.00437532434006872</v>
      </c>
      <c r="C596" s="6">
        <v>0.00437532434006872</v>
      </c>
      <c r="D596" s="6">
        <v>0.00437532434006872</v>
      </c>
      <c r="E596" s="7">
        <v>72.820205050623</v>
      </c>
      <c r="F596" s="7">
        <v>72.820205050623</v>
      </c>
      <c r="G596" s="7">
        <v>72.820205050623</v>
      </c>
    </row>
    <row r="597" spans="1:7">
      <c r="A597" s="6">
        <v>94406.08762859226</v>
      </c>
      <c r="B597" s="6">
        <v>0.004171244443075011</v>
      </c>
      <c r="C597" s="6">
        <v>0.004171244443075011</v>
      </c>
      <c r="D597" s="6">
        <v>0.004171244443075011</v>
      </c>
      <c r="E597" s="7">
        <v>72.4053128219368</v>
      </c>
      <c r="F597" s="7">
        <v>72.4053128219368</v>
      </c>
      <c r="G597" s="7">
        <v>72.4053128219368</v>
      </c>
    </row>
    <row r="598" spans="1:7">
      <c r="A598" s="6">
        <v>95499.25860214369</v>
      </c>
      <c r="B598" s="6">
        <v>0.003976884082498841</v>
      </c>
      <c r="C598" s="6">
        <v>0.003976884082498841</v>
      </c>
      <c r="D598" s="6">
        <v>0.003976884082498841</v>
      </c>
      <c r="E598" s="7">
        <v>71.99085864866208</v>
      </c>
      <c r="F598" s="7">
        <v>71.99085864866208</v>
      </c>
      <c r="G598" s="7">
        <v>71.99085864866208</v>
      </c>
    </row>
    <row r="599" spans="1:7">
      <c r="A599" s="6">
        <v>96605.0878989812</v>
      </c>
      <c r="B599" s="6">
        <v>0.003791762734973777</v>
      </c>
      <c r="C599" s="6">
        <v>0.003791762734973777</v>
      </c>
      <c r="D599" s="6">
        <v>0.003791762734973777</v>
      </c>
      <c r="E599" s="7">
        <v>71.57682308115041</v>
      </c>
      <c r="F599" s="7">
        <v>71.57682308115041</v>
      </c>
      <c r="G599" s="7">
        <v>71.57682308115041</v>
      </c>
    </row>
    <row r="600" spans="1:7">
      <c r="A600" s="6">
        <v>97723.72209558112</v>
      </c>
      <c r="B600" s="6">
        <v>0.003615425113420556</v>
      </c>
      <c r="C600" s="6">
        <v>0.003615425113420556</v>
      </c>
      <c r="D600" s="6">
        <v>0.003615425113420556</v>
      </c>
      <c r="E600" s="7">
        <v>71.16318740775864</v>
      </c>
      <c r="F600" s="7">
        <v>71.16318740775864</v>
      </c>
      <c r="G600" s="7">
        <v>71.16318740775864</v>
      </c>
    </row>
    <row r="601" spans="1:7">
      <c r="A601" s="6">
        <v>98855.30946569391</v>
      </c>
      <c r="B601" s="6">
        <v>0.003447439719327083</v>
      </c>
      <c r="C601" s="6">
        <v>0.003447439719327083</v>
      </c>
      <c r="D601" s="6">
        <v>0.003447439719327083</v>
      </c>
      <c r="E601" s="7">
        <v>70.74993361998895</v>
      </c>
      <c r="F601" s="7">
        <v>70.74993361998895</v>
      </c>
      <c r="G601" s="7">
        <v>70.74993361998895</v>
      </c>
    </row>
    <row r="602" spans="1:7">
      <c r="A602" s="6">
        <v>100000</v>
      </c>
      <c r="B602" s="6">
        <v>0.003287397488127492</v>
      </c>
      <c r="C602" s="6">
        <v>0.003287397488127492</v>
      </c>
      <c r="D602" s="6">
        <v>0.003287397488127492</v>
      </c>
      <c r="E602" s="7">
        <v>70.33704437955508</v>
      </c>
      <c r="F602" s="7">
        <v>70.33704437955508</v>
      </c>
      <c r="G602" s="7">
        <v>70.33704437955508</v>
      </c>
    </row>
    <row r="603" spans="1:7">
      <c r="A603" s="6">
        <v>101157.9454259898</v>
      </c>
      <c r="B603" s="6">
        <v>0.003134910520862001</v>
      </c>
      <c r="C603" s="6">
        <v>0.003134910520862001</v>
      </c>
      <c r="D603" s="6">
        <v>0.003134910520862001</v>
      </c>
      <c r="E603" s="7">
        <v>69.92450298722329</v>
      </c>
      <c r="F603" s="7">
        <v>69.92450298722329</v>
      </c>
      <c r="G603" s="7">
        <v>69.92450298722329</v>
      </c>
    </row>
    <row r="604" spans="1:7">
      <c r="A604" s="6">
        <v>102329.2992280754</v>
      </c>
      <c r="B604" s="6">
        <v>0.002989610895869355</v>
      </c>
      <c r="C604" s="6">
        <v>0.002989610895869355</v>
      </c>
      <c r="D604" s="6">
        <v>0.002989610895869355</v>
      </c>
      <c r="E604" s="7">
        <v>69.51229335328944</v>
      </c>
      <c r="F604" s="7">
        <v>69.51229335328944</v>
      </c>
      <c r="G604" s="7">
        <v>69.51229335328944</v>
      </c>
    </row>
    <row r="605" spans="1:7">
      <c r="A605" s="6">
        <v>103514.2166679345</v>
      </c>
      <c r="B605" s="6">
        <v>0.002851149554781394</v>
      </c>
      <c r="C605" s="6">
        <v>0.002851149554781394</v>
      </c>
      <c r="D605" s="6">
        <v>0.002851149554781394</v>
      </c>
      <c r="E605" s="7">
        <v>69.10039996956907</v>
      </c>
      <c r="F605" s="7">
        <v>69.10039996956907</v>
      </c>
      <c r="G605" s="7">
        <v>69.10039996956907</v>
      </c>
    </row>
    <row r="606" spans="1:7">
      <c r="A606" s="6">
        <v>104712.8548050899</v>
      </c>
      <c r="B606" s="6">
        <v>0.002719195257557418</v>
      </c>
      <c r="C606" s="6">
        <v>0.002719195257557418</v>
      </c>
      <c r="D606" s="6">
        <v>0.002719195257557418</v>
      </c>
      <c r="E606" s="7">
        <v>68.68880788279132</v>
      </c>
      <c r="F606" s="7">
        <v>68.68880788279132</v>
      </c>
      <c r="G606" s="7">
        <v>68.68880788279132</v>
      </c>
    </row>
    <row r="607" spans="1:7">
      <c r="A607" s="6">
        <v>105925.372517729</v>
      </c>
      <c r="B607" s="6">
        <v>0.002593433601719539</v>
      </c>
      <c r="C607" s="6">
        <v>0.002593433601719539</v>
      </c>
      <c r="D607" s="6">
        <v>0.002593433601719539</v>
      </c>
      <c r="E607" s="7">
        <v>68.27750266929537</v>
      </c>
      <c r="F607" s="7">
        <v>68.27750266929537</v>
      </c>
      <c r="G607" s="7">
        <v>68.27750266929537</v>
      </c>
    </row>
    <row r="608" spans="1:7">
      <c r="A608" s="6">
        <v>107151.9305237607</v>
      </c>
      <c r="B608" s="6">
        <v>0.002473566101337325</v>
      </c>
      <c r="C608" s="6">
        <v>0.002473566101337325</v>
      </c>
      <c r="D608" s="6">
        <v>0.002473566101337325</v>
      </c>
      <c r="E608" s="7">
        <v>67.86647041094329</v>
      </c>
      <c r="F608" s="7">
        <v>67.86647041094329</v>
      </c>
      <c r="G608" s="7">
        <v>67.86647041094329</v>
      </c>
    </row>
    <row r="609" spans="1:7">
      <c r="A609" s="6">
        <v>108392.6914021204</v>
      </c>
      <c r="B609" s="6">
        <v>0.002359309321658294</v>
      </c>
      <c r="C609" s="6">
        <v>0.002359309321658294</v>
      </c>
      <c r="D609" s="6">
        <v>0.002359309321658294</v>
      </c>
      <c r="E609" s="7">
        <v>67.45569767216476</v>
      </c>
      <c r="F609" s="7">
        <v>67.45569767216476</v>
      </c>
      <c r="G609" s="7">
        <v>67.45569767216476</v>
      </c>
    </row>
    <row r="610" spans="1:7">
      <c r="A610" s="6">
        <v>109647.8196143185</v>
      </c>
      <c r="B610" s="6">
        <v>0.002250394065602251</v>
      </c>
      <c r="C610" s="6">
        <v>0.002250394065602251</v>
      </c>
      <c r="D610" s="6">
        <v>0.002250394065602251</v>
      </c>
      <c r="E610" s="7">
        <v>67.04517147806297</v>
      </c>
      <c r="F610" s="7">
        <v>67.04517147806297</v>
      </c>
      <c r="G610" s="7">
        <v>67.04517147806297</v>
      </c>
    </row>
    <row r="611" spans="1:7">
      <c r="A611" s="6">
        <v>110917.4815262401</v>
      </c>
      <c r="B611" s="6">
        <v>0.002146564608627063</v>
      </c>
      <c r="C611" s="6">
        <v>0.002146564608627063</v>
      </c>
      <c r="D611" s="6">
        <v>0.002146564608627063</v>
      </c>
      <c r="E611" s="7">
        <v>66.63487929351336</v>
      </c>
      <c r="F611" s="7">
        <v>66.63487929351336</v>
      </c>
      <c r="G611" s="7">
        <v>66.63487929351336</v>
      </c>
    </row>
    <row r="612" spans="1:7">
      <c r="A612" s="6">
        <v>112201.8454301965</v>
      </c>
      <c r="B612" s="6">
        <v>0.00204757797874003</v>
      </c>
      <c r="C612" s="6">
        <v>0.00204757797874003</v>
      </c>
      <c r="D612" s="6">
        <v>0.00204757797874003</v>
      </c>
      <c r="E612" s="7">
        <v>66.22480900319496</v>
      </c>
      <c r="F612" s="7">
        <v>66.22480900319496</v>
      </c>
      <c r="G612" s="7">
        <v>66.22480900319496</v>
      </c>
    </row>
    <row r="613" spans="1:7">
      <c r="A613" s="6">
        <v>113501.0815672314</v>
      </c>
      <c r="B613" s="6">
        <v>0.001953203278671765</v>
      </c>
      <c r="C613" s="6">
        <v>0.001953203278671765</v>
      </c>
      <c r="D613" s="6">
        <v>0.001953203278671765</v>
      </c>
      <c r="E613" s="7">
        <v>65.81494889249832</v>
      </c>
      <c r="F613" s="7">
        <v>65.81494889249832</v>
      </c>
      <c r="G613" s="7">
        <v>65.81494889249832</v>
      </c>
    </row>
    <row r="614" spans="1:7">
      <c r="A614" s="6">
        <v>114815.3621496884</v>
      </c>
      <c r="B614" s="6">
        <v>0.00186322104745155</v>
      </c>
      <c r="C614" s="6">
        <v>0.00186322104745155</v>
      </c>
      <c r="D614" s="6">
        <v>0.00186322104745155</v>
      </c>
      <c r="E614" s="7">
        <v>65.40528762925766</v>
      </c>
      <c r="F614" s="7">
        <v>65.40528762925766</v>
      </c>
      <c r="G614" s="7">
        <v>65.40528762925766</v>
      </c>
    </row>
    <row r="615" spans="1:7">
      <c r="A615" s="6">
        <v>116144.8613840341</v>
      </c>
      <c r="B615" s="6">
        <v>0.001777422658827818</v>
      </c>
      <c r="C615" s="6">
        <v>0.001777422658827818</v>
      </c>
      <c r="D615" s="6">
        <v>0.001777422658827818</v>
      </c>
      <c r="E615" s="7">
        <v>64.99581424626315</v>
      </c>
      <c r="F615" s="7">
        <v>64.99581424626315</v>
      </c>
      <c r="G615" s="7">
        <v>64.99581424626315</v>
      </c>
    </row>
    <row r="616" spans="1:7">
      <c r="A616" s="6">
        <v>117489.755493953</v>
      </c>
      <c r="B616" s="6">
        <v>0.001695609754162556</v>
      </c>
      <c r="C616" s="6">
        <v>0.001695609754162556</v>
      </c>
      <c r="D616" s="6">
        <v>0.001695609754162556</v>
      </c>
      <c r="E616" s="7">
        <v>64.58651812450529</v>
      </c>
      <c r="F616" s="7">
        <v>64.58651812450529</v>
      </c>
      <c r="G616" s="7">
        <v>64.58651812450529</v>
      </c>
    </row>
    <row r="617" spans="1:7">
      <c r="A617" s="6">
        <v>118850.2227437019</v>
      </c>
      <c r="B617" s="6">
        <v>0.001617593707601937</v>
      </c>
      <c r="C617" s="6">
        <v>0.001617593707601937</v>
      </c>
      <c r="D617" s="6">
        <v>0.001617593707601937</v>
      </c>
      <c r="E617" s="7">
        <v>64.17738897711617</v>
      </c>
      <c r="F617" s="7">
        <v>64.17738897711617</v>
      </c>
      <c r="G617" s="7">
        <v>64.17738897711617</v>
      </c>
    </row>
    <row r="618" spans="1:7">
      <c r="A618" s="6">
        <v>120226.4434617413</v>
      </c>
      <c r="B618" s="6">
        <v>0.001543195121481038</v>
      </c>
      <c r="C618" s="6">
        <v>0.001543195121481038</v>
      </c>
      <c r="D618" s="6">
        <v>0.001543195121481038</v>
      </c>
      <c r="E618" s="7">
        <v>63.76841683396573</v>
      </c>
      <c r="F618" s="7">
        <v>63.76841683396573</v>
      </c>
      <c r="G618" s="7">
        <v>63.76841683396573</v>
      </c>
    </row>
    <row r="619" spans="1:7">
      <c r="A619" s="6">
        <v>121618.6000646368</v>
      </c>
      <c r="B619" s="6">
        <v>0.001472243350067055</v>
      </c>
      <c r="C619" s="6">
        <v>0.001472243350067055</v>
      </c>
      <c r="D619" s="6">
        <v>0.001472243350067055</v>
      </c>
      <c r="E619" s="7">
        <v>63.35959202688177</v>
      </c>
      <c r="F619" s="7">
        <v>63.35959202688177</v>
      </c>
      <c r="G619" s="7">
        <v>63.35959202688177</v>
      </c>
    </row>
    <row r="620" spans="1:7">
      <c r="A620" s="6">
        <v>123026.8770812381</v>
      </c>
      <c r="B620" s="6">
        <v>0.001404576049877737</v>
      </c>
      <c r="C620" s="6">
        <v>0.001404576049877737</v>
      </c>
      <c r="D620" s="6">
        <v>0.001404576049877737</v>
      </c>
      <c r="E620" s="7">
        <v>62.95090517545957</v>
      </c>
      <c r="F620" s="7">
        <v>62.95090517545957</v>
      </c>
      <c r="G620" s="7">
        <v>62.95090517545957</v>
      </c>
    </row>
    <row r="621" spans="1:7">
      <c r="A621" s="6">
        <v>124451.4611771387</v>
      </c>
      <c r="B621" s="6">
        <v>0.001340038754935097</v>
      </c>
      <c r="C621" s="6">
        <v>0.001340038754935097</v>
      </c>
      <c r="D621" s="6">
        <v>0.001340038754935097</v>
      </c>
      <c r="E621" s="7">
        <v>62.54234717343158</v>
      </c>
      <c r="F621" s="7">
        <v>62.54234717343158</v>
      </c>
      <c r="G621" s="7">
        <v>62.54234717343158</v>
      </c>
    </row>
    <row r="622" spans="1:7">
      <c r="A622" s="6">
        <v>125892.5411794166</v>
      </c>
      <c r="B622" s="6">
        <v>0.001278484475427772</v>
      </c>
      <c r="C622" s="6">
        <v>0.001278484475427772</v>
      </c>
      <c r="D622" s="6">
        <v>0.001278484475427772</v>
      </c>
      <c r="E622" s="7">
        <v>62.13390917556953</v>
      </c>
      <c r="F622" s="7">
        <v>62.13390917556953</v>
      </c>
      <c r="G622" s="7">
        <v>62.13390917556953</v>
      </c>
    </row>
    <row r="623" spans="1:7">
      <c r="A623" s="6">
        <v>127350.3081016663</v>
      </c>
      <c r="B623" s="6">
        <v>0.001219773318359515</v>
      </c>
      <c r="C623" s="6">
        <v>0.001219773318359515</v>
      </c>
      <c r="D623" s="6">
        <v>0.001219773318359515</v>
      </c>
      <c r="E623" s="7">
        <v>61.72558258509071</v>
      </c>
      <c r="F623" s="7">
        <v>61.72558258509071</v>
      </c>
      <c r="G623" s="7">
        <v>61.72558258509071</v>
      </c>
    </row>
    <row r="624" spans="1:7">
      <c r="A624" s="6">
        <v>128824.9551693132</v>
      </c>
      <c r="B624" s="6">
        <v>0.001163772128858701</v>
      </c>
      <c r="C624" s="6">
        <v>0.001163772128858701</v>
      </c>
      <c r="D624" s="6">
        <v>0.001163772128858701</v>
      </c>
      <c r="E624" s="7">
        <v>61.31735904154702</v>
      </c>
      <c r="F624" s="7">
        <v>61.31735904154702</v>
      </c>
      <c r="G624" s="7">
        <v>61.31735904154702</v>
      </c>
    </row>
    <row r="625" spans="1:7">
      <c r="A625" s="6">
        <v>130316.67784523</v>
      </c>
      <c r="B625" s="6">
        <v>0.001110354150911722</v>
      </c>
      <c r="C625" s="6">
        <v>0.001110354150911722</v>
      </c>
      <c r="D625" s="6">
        <v>0.001110354150911722</v>
      </c>
      <c r="E625" s="7">
        <v>60.90923040916912</v>
      </c>
      <c r="F625" s="7">
        <v>60.90923040916912</v>
      </c>
      <c r="G625" s="7">
        <v>60.90923040916912</v>
      </c>
    </row>
    <row r="626" spans="1:7">
      <c r="A626" s="6">
        <v>131825.6738556408</v>
      </c>
      <c r="B626" s="6">
        <v>0.001059398706367045</v>
      </c>
      <c r="C626" s="6">
        <v>0.001059398706367045</v>
      </c>
      <c r="D626" s="6">
        <v>0.001059398706367045</v>
      </c>
      <c r="E626" s="7">
        <v>60.50118876564842</v>
      </c>
      <c r="F626" s="7">
        <v>60.50118876564842</v>
      </c>
      <c r="G626" s="7">
        <v>60.50118876564842</v>
      </c>
    </row>
    <row r="627" spans="1:7">
      <c r="A627" s="6">
        <v>133352.1432163324</v>
      </c>
      <c r="B627" s="6">
        <v>0.001010790891131762</v>
      </c>
      <c r="C627" s="6">
        <v>0.001010790891131762</v>
      </c>
      <c r="D627" s="6">
        <v>0.001010790891131762</v>
      </c>
      <c r="E627" s="7">
        <v>60.09322639133197</v>
      </c>
      <c r="F627" s="7">
        <v>60.09322639133197</v>
      </c>
      <c r="G627" s="7">
        <v>60.09322639133197</v>
      </c>
    </row>
    <row r="628" spans="1:7">
      <c r="A628" s="6">
        <v>134896.2882591653</v>
      </c>
      <c r="B628" s="6">
        <v>0.00096442128755422</v>
      </c>
      <c r="C628" s="6">
        <v>0.00096442128755422</v>
      </c>
      <c r="D628" s="6">
        <v>0.00096442128755422</v>
      </c>
      <c r="E628" s="7">
        <v>59.68533575881379</v>
      </c>
      <c r="F628" s="7">
        <v>59.68533575881379</v>
      </c>
      <c r="G628" s="7">
        <v>59.68533575881379</v>
      </c>
    </row>
    <row r="629" spans="1:7">
      <c r="A629" s="6">
        <v>136458.3136588924</v>
      </c>
      <c r="B629" s="6">
        <v>0.0009201856920512338</v>
      </c>
      <c r="C629" s="6">
        <v>0.0009201856920512338</v>
      </c>
      <c r="D629" s="6">
        <v>0.0009201856920512338</v>
      </c>
      <c r="E629" s="7">
        <v>59.27750952290274</v>
      </c>
      <c r="F629" s="7">
        <v>59.27750952290274</v>
      </c>
      <c r="G629" s="7">
        <v>59.27750952290274</v>
      </c>
    </row>
    <row r="630" spans="1:7">
      <c r="A630" s="6">
        <v>138038.4264602887</v>
      </c>
      <c r="B630" s="6">
        <v>0.0008779848570994191</v>
      </c>
      <c r="C630" s="6">
        <v>0.0008779848570994191</v>
      </c>
      <c r="D630" s="6">
        <v>0.0008779848570994191</v>
      </c>
      <c r="E630" s="7">
        <v>58.86974051094949</v>
      </c>
      <c r="F630" s="7">
        <v>58.86974051094949</v>
      </c>
      <c r="G630" s="7">
        <v>58.86974051094949</v>
      </c>
    </row>
    <row r="631" spans="1:7">
      <c r="A631" s="6">
        <v>139636.8361055936</v>
      </c>
      <c r="B631" s="6">
        <v>0.000837724246766618</v>
      </c>
      <c r="C631" s="6">
        <v>0.000837724246766618</v>
      </c>
      <c r="D631" s="6">
        <v>0.000837724246766618</v>
      </c>
      <c r="E631" s="7">
        <v>58.46202171351679</v>
      </c>
      <c r="F631" s="7">
        <v>58.46202171351679</v>
      </c>
      <c r="G631" s="7">
        <v>58.46202171351679</v>
      </c>
    </row>
    <row r="632" spans="1:7">
      <c r="A632" s="6">
        <v>141253.7544622755</v>
      </c>
      <c r="B632" s="6">
        <v>0.0007993138050115421</v>
      </c>
      <c r="C632" s="6">
        <v>0.0007993138050115421</v>
      </c>
      <c r="D632" s="6">
        <v>0.0007993138050115421</v>
      </c>
      <c r="E632" s="7">
        <v>58.05434627537555</v>
      </c>
      <c r="F632" s="7">
        <v>58.05434627537555</v>
      </c>
      <c r="G632" s="7">
        <v>58.05434627537555</v>
      </c>
    </row>
    <row r="633" spans="1:7">
      <c r="A633" s="6">
        <v>142889.3958511104</v>
      </c>
      <c r="B633" s="6">
        <v>0.0007626677360288907</v>
      </c>
      <c r="C633" s="6">
        <v>0.0007626677360288907</v>
      </c>
      <c r="D633" s="6">
        <v>0.0007626677360288907</v>
      </c>
      <c r="E633" s="7">
        <v>57.64670748681461</v>
      </c>
      <c r="F633" s="7">
        <v>57.64670748681461</v>
      </c>
      <c r="G633" s="7">
        <v>57.64670748681461</v>
      </c>
    </row>
    <row r="634" spans="1:7">
      <c r="A634" s="6">
        <v>144543.9770745928</v>
      </c>
      <c r="B634" s="6">
        <v>0.000727704295961825</v>
      </c>
      <c r="C634" s="6">
        <v>0.000727704295961825</v>
      </c>
      <c r="D634" s="6">
        <v>0.000727704295961825</v>
      </c>
      <c r="E634" s="7">
        <v>57.23909877524662</v>
      </c>
      <c r="F634" s="7">
        <v>57.23909877524662</v>
      </c>
      <c r="G634" s="7">
        <v>57.23909877524662</v>
      </c>
    </row>
    <row r="635" spans="1:7">
      <c r="A635" s="6">
        <v>146217.7174456718</v>
      </c>
      <c r="B635" s="6">
        <v>0.0006943455953464046</v>
      </c>
      <c r="C635" s="6">
        <v>0.0006943455953464046</v>
      </c>
      <c r="D635" s="6">
        <v>0.0006943455953464046</v>
      </c>
      <c r="E635" s="7">
        <v>56.83151369709911</v>
      </c>
      <c r="F635" s="7">
        <v>56.83151369709911</v>
      </c>
      <c r="G635" s="7">
        <v>56.83151369709911</v>
      </c>
    </row>
    <row r="636" spans="1:7">
      <c r="A636" s="6">
        <v>147910.8388168207</v>
      </c>
      <c r="B636" s="6">
        <v>0.0006625174116913622</v>
      </c>
      <c r="C636" s="6">
        <v>0.0006625174116913622</v>
      </c>
      <c r="D636" s="6">
        <v>0.0006625174116913622</v>
      </c>
      <c r="E636" s="7">
        <v>56.42394592997651</v>
      </c>
      <c r="F636" s="7">
        <v>56.42394592997651</v>
      </c>
      <c r="G636" s="7">
        <v>56.42394592997651</v>
      </c>
    </row>
    <row r="637" spans="1:7">
      <c r="A637" s="6">
        <v>149623.5656094436</v>
      </c>
      <c r="B637" s="6">
        <v>0.0006321490116332772</v>
      </c>
      <c r="C637" s="6">
        <v>0.0006321490116332772</v>
      </c>
      <c r="D637" s="6">
        <v>0.0006321490116332772</v>
      </c>
      <c r="E637" s="7">
        <v>56.0163892650811</v>
      </c>
      <c r="F637" s="7">
        <v>56.0163892650811</v>
      </c>
      <c r="G637" s="7">
        <v>56.0163892650811</v>
      </c>
    </row>
    <row r="638" spans="1:7">
      <c r="A638" s="6">
        <v>151356.1248436207</v>
      </c>
      <c r="B638" s="6">
        <v>0.0006031729821412385</v>
      </c>
      <c r="C638" s="6">
        <v>0.0006031729821412385</v>
      </c>
      <c r="D638" s="6">
        <v>0.0006031729821412385</v>
      </c>
      <c r="E638" s="7">
        <v>55.60883759988148</v>
      </c>
      <c r="F638" s="7">
        <v>55.60883759988148</v>
      </c>
      <c r="G638" s="7">
        <v>55.60883759988148</v>
      </c>
    </row>
    <row r="639" spans="1:7">
      <c r="A639" s="6">
        <v>153108.7461682032</v>
      </c>
      <c r="B639" s="6">
        <v>0.0005755250702766469</v>
      </c>
      <c r="C639" s="6">
        <v>0.0005755250702766469</v>
      </c>
      <c r="D639" s="6">
        <v>0.0005755250702766469</v>
      </c>
      <c r="E639" s="7">
        <v>55.20128493101603</v>
      </c>
      <c r="F639" s="7">
        <v>55.20128493101603</v>
      </c>
      <c r="G639" s="7">
        <v>55.20128493101603</v>
      </c>
    </row>
    <row r="640" spans="1:7">
      <c r="A640" s="6">
        <v>154881.661891248</v>
      </c>
      <c r="B640" s="6">
        <v>0.0005491440310437577</v>
      </c>
      <c r="C640" s="6">
        <v>0.0005491440310437577</v>
      </c>
      <c r="D640" s="6">
        <v>0.0005491440310437577</v>
      </c>
      <c r="E640" s="7">
        <v>54.79372534742321</v>
      </c>
      <c r="F640" s="7">
        <v>54.79372534742321</v>
      </c>
      <c r="G640" s="7">
        <v>54.79372534742321</v>
      </c>
    </row>
    <row r="641" spans="1:7">
      <c r="A641" s="6">
        <v>156675.107010815</v>
      </c>
      <c r="B641" s="6">
        <v>0.0005239714828936803</v>
      </c>
      <c r="C641" s="6">
        <v>0.0005239714828936803</v>
      </c>
      <c r="D641" s="6">
        <v>0.0005239714828936803</v>
      </c>
      <c r="E641" s="7">
        <v>54.38615302368484</v>
      </c>
      <c r="F641" s="7">
        <v>54.38615302368484</v>
      </c>
      <c r="G641" s="7">
        <v>54.38615302368484</v>
      </c>
    </row>
    <row r="642" spans="1:7">
      <c r="A642" s="6">
        <v>158489.3192461114</v>
      </c>
      <c r="B642" s="6">
        <v>0.0004999517704709634</v>
      </c>
      <c r="C642" s="6">
        <v>0.0004999517704709634</v>
      </c>
      <c r="D642" s="6">
        <v>0.0004999517704709634</v>
      </c>
      <c r="E642" s="7">
        <v>53.97856221357649</v>
      </c>
      <c r="F642" s="7">
        <v>53.97856221357649</v>
      </c>
      <c r="G642" s="7">
        <v>53.97856221357649</v>
      </c>
    </row>
    <row r="643" spans="1:7">
      <c r="A643" s="6">
        <v>160324.5390690042</v>
      </c>
      <c r="B643" s="6">
        <v>0.0004770318342154448</v>
      </c>
      <c r="C643" s="6">
        <v>0.0004770318342154448</v>
      </c>
      <c r="D643" s="6">
        <v>0.0004770318342154448</v>
      </c>
      <c r="E643" s="7">
        <v>53.57094724381195</v>
      </c>
      <c r="F643" s="7">
        <v>53.57094724381195</v>
      </c>
      <c r="G643" s="7">
        <v>53.57094724381195</v>
      </c>
    </row>
    <row r="644" spans="1:7">
      <c r="A644" s="6">
        <v>162181.009735893</v>
      </c>
      <c r="B644" s="6">
        <v>0.0004551610864550395</v>
      </c>
      <c r="C644" s="6">
        <v>0.0004551610864550395</v>
      </c>
      <c r="D644" s="6">
        <v>0.0004551610864550395</v>
      </c>
      <c r="E644" s="7">
        <v>53.16330250797542</v>
      </c>
      <c r="F644" s="7">
        <v>53.16330250797542</v>
      </c>
      <c r="G644" s="7">
        <v>53.16330250797542</v>
      </c>
    </row>
    <row r="645" spans="1:7">
      <c r="A645" s="6">
        <v>164058.9773199539</v>
      </c>
      <c r="B645" s="6">
        <v>0.0004342912936459879</v>
      </c>
      <c r="C645" s="6">
        <v>0.0004342912936459879</v>
      </c>
      <c r="D645" s="6">
        <v>0.0004342912936459879</v>
      </c>
      <c r="E645" s="7">
        <v>52.75562246063139</v>
      </c>
      <c r="F645" s="7">
        <v>52.75562246063139</v>
      </c>
      <c r="G645" s="7">
        <v>52.75562246063139</v>
      </c>
    </row>
    <row r="646" spans="1:7">
      <c r="A646" s="6">
        <v>165958.6907437563</v>
      </c>
      <c r="B646" s="6">
        <v>0.0004143764644369227</v>
      </c>
      <c r="C646" s="6">
        <v>0.0004143764644369227</v>
      </c>
      <c r="D646" s="6">
        <v>0.0004143764644369227</v>
      </c>
      <c r="E646" s="7">
        <v>52.34790161160446</v>
      </c>
      <c r="F646" s="7">
        <v>52.34790161160446</v>
      </c>
      <c r="G646" s="7">
        <v>52.34790161160446</v>
      </c>
    </row>
    <row r="647" spans="1:7">
      <c r="A647" s="6">
        <v>167880.4018122559</v>
      </c>
      <c r="B647" s="6">
        <v>0.0003953727432516286</v>
      </c>
      <c r="C647" s="6">
        <v>0.0003953727432516286</v>
      </c>
      <c r="D647" s="6">
        <v>0.0003953727432516286</v>
      </c>
      <c r="E647" s="7">
        <v>51.94013452042124</v>
      </c>
      <c r="F647" s="7">
        <v>51.94013452042124</v>
      </c>
      <c r="G647" s="7">
        <v>51.94013452042124</v>
      </c>
    </row>
    <row r="648" spans="1:7">
      <c r="A648" s="6">
        <v>169824.3652461746</v>
      </c>
      <c r="B648" s="6">
        <v>0.0003772383091025878</v>
      </c>
      <c r="C648" s="6">
        <v>0.0003772383091025878</v>
      </c>
      <c r="D648" s="6">
        <v>0.0003772383091025878</v>
      </c>
      <c r="E648" s="7">
        <v>51.53231579090572</v>
      </c>
      <c r="F648" s="7">
        <v>51.53231579090572</v>
      </c>
      <c r="G648" s="7">
        <v>51.53231579090572</v>
      </c>
    </row>
    <row r="649" spans="1:7">
      <c r="A649" s="6">
        <v>171790.8387157586</v>
      </c>
      <c r="B649" s="6">
        <v>0.0003599332793638676</v>
      </c>
      <c r="C649" s="6">
        <v>0.0003599332793638676</v>
      </c>
      <c r="D649" s="6">
        <v>0.0003599332793638676</v>
      </c>
      <c r="E649" s="7">
        <v>51.12444006592321</v>
      </c>
      <c r="F649" s="7">
        <v>51.12444006592321</v>
      </c>
      <c r="G649" s="7">
        <v>51.12444006592321</v>
      </c>
    </row>
    <row r="650" spans="1:7">
      <c r="A650" s="6">
        <v>173780.0828749376</v>
      </c>
      <c r="B650" s="6">
        <v>0.0003434196182468206</v>
      </c>
      <c r="C650" s="6">
        <v>0.0003434196182468206</v>
      </c>
      <c r="D650" s="6">
        <v>0.0003434196182468206</v>
      </c>
      <c r="E650" s="7">
        <v>50.7165020222623</v>
      </c>
      <c r="F650" s="7">
        <v>50.7165020222623</v>
      </c>
      <c r="G650" s="7">
        <v>50.7165020222623</v>
      </c>
    </row>
    <row r="651" spans="1:7">
      <c r="A651" s="6">
        <v>175792.3613958693</v>
      </c>
      <c r="B651" s="6">
        <v>0.0003276610497367259</v>
      </c>
      <c r="C651" s="6">
        <v>0.0003276610497367259</v>
      </c>
      <c r="D651" s="6">
        <v>0.0003276610497367259</v>
      </c>
      <c r="E651" s="7">
        <v>50.30849636565208</v>
      </c>
      <c r="F651" s="7">
        <v>50.30849636565208</v>
      </c>
      <c r="G651" s="7">
        <v>50.30849636565208</v>
      </c>
    </row>
    <row r="652" spans="1:7">
      <c r="A652" s="6">
        <v>177827.9410038923</v>
      </c>
      <c r="B652" s="6">
        <v>0.000312622974761574</v>
      </c>
      <c r="C652" s="6">
        <v>0.000312622974761574</v>
      </c>
      <c r="D652" s="6">
        <v>0.000312622974761574</v>
      </c>
      <c r="E652" s="7">
        <v>49.90041782590453</v>
      </c>
      <c r="F652" s="7">
        <v>49.90041782590453</v>
      </c>
      <c r="G652" s="7">
        <v>49.90041782590453</v>
      </c>
    </row>
    <row r="653" spans="1:7">
      <c r="A653" s="6">
        <v>179887.0915128787</v>
      </c>
      <c r="B653" s="6">
        <v>0.0002982723923770685</v>
      </c>
      <c r="C653" s="6">
        <v>0.0002982723923770685</v>
      </c>
      <c r="D653" s="6">
        <v>0.0002982723923770685</v>
      </c>
      <c r="E653" s="7">
        <v>49.49226115217851</v>
      </c>
      <c r="F653" s="7">
        <v>49.49226115217851</v>
      </c>
      <c r="G653" s="7">
        <v>49.49226115217851</v>
      </c>
    </row>
    <row r="654" spans="1:7">
      <c r="A654" s="6">
        <v>181970.0858609983</v>
      </c>
      <c r="B654" s="6">
        <v>0.0002845778247635952</v>
      </c>
      <c r="C654" s="6">
        <v>0.0002845778247635952</v>
      </c>
      <c r="D654" s="6">
        <v>0.0002845778247635952</v>
      </c>
      <c r="E654" s="7">
        <v>49.08402110835821</v>
      </c>
      <c r="F654" s="7">
        <v>49.08402110835821</v>
      </c>
      <c r="G654" s="7">
        <v>49.08402110835821</v>
      </c>
    </row>
    <row r="655" spans="1:7">
      <c r="A655" s="6">
        <v>184077.2001468958</v>
      </c>
      <c r="B655" s="6">
        <v>0.0002715092458420976</v>
      </c>
      <c r="C655" s="6">
        <v>0.0002715092458420976</v>
      </c>
      <c r="D655" s="6">
        <v>0.0002715092458420976</v>
      </c>
      <c r="E655" s="7">
        <v>48.67569246854028</v>
      </c>
      <c r="F655" s="7">
        <v>48.67569246854028</v>
      </c>
      <c r="G655" s="7">
        <v>48.67569246854028</v>
      </c>
    </row>
    <row r="656" spans="1:7">
      <c r="A656" s="6">
        <v>186208.7136662866</v>
      </c>
      <c r="B656" s="6">
        <v>0.0002590380133262766</v>
      </c>
      <c r="C656" s="6">
        <v>0.0002590380133262766</v>
      </c>
      <c r="D656" s="6">
        <v>0.0002590380133262766</v>
      </c>
      <c r="E656" s="7">
        <v>48.26727001262513</v>
      </c>
      <c r="F656" s="7">
        <v>48.26727001262513</v>
      </c>
      <c r="G656" s="7">
        <v>48.26727001262513</v>
      </c>
    </row>
    <row r="657" spans="1:7">
      <c r="A657" s="6">
        <v>188364.9089489802</v>
      </c>
      <c r="B657" s="6">
        <v>0.0002471368040382968</v>
      </c>
      <c r="C657" s="6">
        <v>0.0002471368040382968</v>
      </c>
      <c r="D657" s="6">
        <v>0.0002471368040382968</v>
      </c>
      <c r="E657" s="7">
        <v>47.85874852200502</v>
      </c>
      <c r="F657" s="7">
        <v>47.85874852200502</v>
      </c>
      <c r="G657" s="7">
        <v>47.85874852200502</v>
      </c>
    </row>
    <row r="658" spans="1:7">
      <c r="A658" s="6">
        <v>190546.0717963248</v>
      </c>
      <c r="B658" s="6">
        <v>0.0002357795523246117</v>
      </c>
      <c r="C658" s="6">
        <v>0.0002357795523246117</v>
      </c>
      <c r="D658" s="6">
        <v>0.0002357795523246117</v>
      </c>
      <c r="E658" s="7">
        <v>47.45012277534727</v>
      </c>
      <c r="F658" s="7">
        <v>47.45012277534727</v>
      </c>
      <c r="G658" s="7">
        <v>47.45012277534727</v>
      </c>
    </row>
    <row r="659" spans="1:7">
      <c r="A659" s="6">
        <v>192752.4913190936</v>
      </c>
      <c r="B659" s="6">
        <v>0.0002249413914170166</v>
      </c>
      <c r="C659" s="6">
        <v>0.0002249413914170166</v>
      </c>
      <c r="D659" s="6">
        <v>0.0002249413914170166</v>
      </c>
      <c r="E659" s="7">
        <v>47.04138754446375</v>
      </c>
      <c r="F659" s="7">
        <v>47.04138754446375</v>
      </c>
      <c r="G659" s="7">
        <v>47.04138754446375</v>
      </c>
    </row>
    <row r="660" spans="1:7">
      <c r="A660" s="6">
        <v>194984.4599758046</v>
      </c>
      <c r="B660" s="6">
        <v>0.0002145985975924778</v>
      </c>
      <c r="C660" s="6">
        <v>0.0002145985975924778</v>
      </c>
      <c r="D660" s="6">
        <v>0.0002145985975924778</v>
      </c>
      <c r="E660" s="7">
        <v>46.63253759026516</v>
      </c>
      <c r="F660" s="7">
        <v>46.63253759026516</v>
      </c>
      <c r="G660" s="7">
        <v>46.63253759026516</v>
      </c>
    </row>
    <row r="661" spans="1:7">
      <c r="A661" s="6">
        <v>197242.2736114853</v>
      </c>
      <c r="B661" s="6">
        <v>0.0002047285369928825</v>
      </c>
      <c r="C661" s="6">
        <v>0.0002047285369928825</v>
      </c>
      <c r="D661" s="6">
        <v>0.0002047285369928825</v>
      </c>
      <c r="E661" s="7">
        <v>46.22356765879387</v>
      </c>
      <c r="F661" s="7">
        <v>46.22356765879387</v>
      </c>
      <c r="G661" s="7">
        <v>46.22356765879387</v>
      </c>
    </row>
    <row r="662" spans="1:7">
      <c r="A662" s="6">
        <v>199526.2314968883</v>
      </c>
      <c r="B662" s="6">
        <v>0.0001953096149732131</v>
      </c>
      <c r="C662" s="6">
        <v>0.0001953096149732131</v>
      </c>
      <c r="D662" s="6">
        <v>0.0001953096149732131</v>
      </c>
      <c r="E662" s="7">
        <v>45.81447247733149</v>
      </c>
      <c r="F662" s="7">
        <v>45.81447247733149</v>
      </c>
      <c r="G662" s="7">
        <v>45.81447247733149</v>
      </c>
    </row>
    <row r="663" spans="1:7">
      <c r="A663" s="6">
        <v>201836.636368156</v>
      </c>
      <c r="B663" s="6">
        <v>0.0001863212278535376</v>
      </c>
      <c r="C663" s="6">
        <v>0.0001863212278535376</v>
      </c>
      <c r="D663" s="6">
        <v>0.0001863212278535376</v>
      </c>
      <c r="E663" s="7">
        <v>45.40524675057745</v>
      </c>
      <c r="F663" s="7">
        <v>45.40524675057745</v>
      </c>
      <c r="G663" s="7">
        <v>45.40524675057745</v>
      </c>
    </row>
    <row r="664" spans="1:7">
      <c r="A664" s="6">
        <v>204173.7944669532</v>
      </c>
      <c r="B664" s="6">
        <v>0.0001777437169566455</v>
      </c>
      <c r="C664" s="6">
        <v>0.0001777437169566455</v>
      </c>
      <c r="D664" s="6">
        <v>0.0001777437169566455</v>
      </c>
      <c r="E664" s="7">
        <v>44.99588515689279</v>
      </c>
      <c r="F664" s="7">
        <v>44.99588515689279</v>
      </c>
      <c r="G664" s="7">
        <v>44.99588515689279</v>
      </c>
    </row>
    <row r="665" spans="1:7">
      <c r="A665" s="6">
        <v>206538.0155810527</v>
      </c>
      <c r="B665" s="6">
        <v>0.0001695583248194032</v>
      </c>
      <c r="C665" s="6">
        <v>0.0001695583248194032</v>
      </c>
      <c r="D665" s="6">
        <v>0.0001695583248194032</v>
      </c>
      <c r="E665" s="7">
        <v>44.58638234460884</v>
      </c>
      <c r="F665" s="7">
        <v>44.58638234460884</v>
      </c>
      <c r="G665" s="7">
        <v>44.58638234460884</v>
      </c>
    </row>
    <row r="666" spans="1:7">
      <c r="A666" s="6">
        <v>208929.6130854041</v>
      </c>
      <c r="B666" s="6">
        <v>0.0001617471534715137</v>
      </c>
      <c r="C666" s="6">
        <v>0.0001617471534715137</v>
      </c>
      <c r="D666" s="6">
        <v>0.0001617471534715137</v>
      </c>
      <c r="E666" s="7">
        <v>44.17673292839225</v>
      </c>
      <c r="F666" s="7">
        <v>44.17673292839225</v>
      </c>
      <c r="G666" s="7">
        <v>44.17673292839225</v>
      </c>
    </row>
    <row r="667" spans="1:7">
      <c r="A667" s="6">
        <v>211348.9039836648</v>
      </c>
      <c r="B667" s="6">
        <v>0.0001542931246810313</v>
      </c>
      <c r="C667" s="6">
        <v>0.0001542931246810313</v>
      </c>
      <c r="D667" s="6">
        <v>0.0001542931246810313</v>
      </c>
      <c r="E667" s="7">
        <v>43.76693148566805</v>
      </c>
      <c r="F667" s="7">
        <v>43.76693148566805</v>
      </c>
      <c r="G667" s="7">
        <v>43.76693148566805</v>
      </c>
    </row>
    <row r="668" spans="1:7">
      <c r="A668" s="6">
        <v>213796.2089502233</v>
      </c>
      <c r="B668" s="6">
        <v>0.0001471799420709484</v>
      </c>
      <c r="C668" s="6">
        <v>0.0001471799420709484</v>
      </c>
      <c r="D668" s="6">
        <v>0.0001471799420709484</v>
      </c>
      <c r="E668" s="7">
        <v>43.35697255309256</v>
      </c>
      <c r="F668" s="7">
        <v>43.35697255309256</v>
      </c>
      <c r="G668" s="7">
        <v>43.35697255309256</v>
      </c>
    </row>
    <row r="669" spans="1:7">
      <c r="A669" s="6">
        <v>216271.852372702</v>
      </c>
      <c r="B669" s="6">
        <v>0.0001403920550162044</v>
      </c>
      <c r="C669" s="6">
        <v>0.0001403920550162044</v>
      </c>
      <c r="D669" s="6">
        <v>0.0001403920550162044</v>
      </c>
      <c r="E669" s="7">
        <v>42.94685062307621</v>
      </c>
      <c r="F669" s="7">
        <v>42.94685062307621</v>
      </c>
      <c r="G669" s="7">
        <v>42.94685062307621</v>
      </c>
    </row>
    <row r="670" spans="1:7">
      <c r="A670" s="6">
        <v>218776.1623949552</v>
      </c>
      <c r="B670" s="6">
        <v>0.0001339146242349782</v>
      </c>
      <c r="C670" s="6">
        <v>0.0001339146242349782</v>
      </c>
      <c r="D670" s="6">
        <v>0.0001339146242349782</v>
      </c>
      <c r="E670" s="7">
        <v>42.53656014035155</v>
      </c>
      <c r="F670" s="7">
        <v>42.53656014035155</v>
      </c>
      <c r="G670" s="7">
        <v>42.53656014035155</v>
      </c>
    </row>
    <row r="671" spans="1:7">
      <c r="A671" s="6">
        <v>221309.4709605641</v>
      </c>
      <c r="B671" s="6">
        <v>0.0001277334889925275</v>
      </c>
      <c r="C671" s="6">
        <v>0.0001277334889925275</v>
      </c>
      <c r="D671" s="6">
        <v>0.0001277334889925275</v>
      </c>
      <c r="E671" s="7">
        <v>42.12609549858364</v>
      </c>
      <c r="F671" s="7">
        <v>42.12609549858364</v>
      </c>
      <c r="G671" s="7">
        <v>42.12609549858364</v>
      </c>
    </row>
    <row r="672" spans="1:7">
      <c r="A672" s="6">
        <v>223872.1138568338</v>
      </c>
      <c r="B672" s="6">
        <v>0.0001218351358399598</v>
      </c>
      <c r="C672" s="6">
        <v>0.0001218351358399598</v>
      </c>
      <c r="D672" s="6">
        <v>0.0001218351358399598</v>
      </c>
      <c r="E672" s="7">
        <v>41.71545103702043</v>
      </c>
      <c r="F672" s="7">
        <v>41.71545103702043</v>
      </c>
      <c r="G672" s="7">
        <v>41.71545103702043</v>
      </c>
    </row>
    <row r="673" spans="1:7">
      <c r="A673" s="6">
        <v>226464.4307593062</v>
      </c>
      <c r="B673" s="6">
        <v>0.0001162066688141874</v>
      </c>
      <c r="C673" s="6">
        <v>0.0001162066688141874</v>
      </c>
      <c r="D673" s="6">
        <v>0.0001162066688141874</v>
      </c>
      <c r="E673" s="7">
        <v>41.30462103717868</v>
      </c>
      <c r="F673" s="7">
        <v>41.30462103717868</v>
      </c>
      <c r="G673" s="7">
        <v>41.30462103717868</v>
      </c>
    </row>
    <row r="674" spans="1:7">
      <c r="A674" s="6">
        <v>229086.765276777</v>
      </c>
      <c r="B674" s="6">
        <v>0.0001108357810290848</v>
      </c>
      <c r="C674" s="6">
        <v>0.0001108357810290848</v>
      </c>
      <c r="D674" s="6">
        <v>0.0001108357810290848</v>
      </c>
      <c r="E674" s="7">
        <v>40.89359971956581</v>
      </c>
      <c r="F674" s="7">
        <v>40.89359971956581</v>
      </c>
      <c r="G674" s="7">
        <v>40.89359971956581</v>
      </c>
    </row>
    <row r="675" spans="1:7">
      <c r="A675" s="6">
        <v>231739.464996848</v>
      </c>
      <c r="B675" s="6">
        <v>0.0001057107275912527</v>
      </c>
      <c r="C675" s="6">
        <v>0.0001057107275912527</v>
      </c>
      <c r="D675" s="6">
        <v>0.0001057107275912527</v>
      </c>
      <c r="E675" s="7">
        <v>40.48238124043073</v>
      </c>
      <c r="F675" s="7">
        <v>40.48238124043073</v>
      </c>
      <c r="G675" s="7">
        <v>40.48238124043073</v>
      </c>
    </row>
    <row r="676" spans="1:7">
      <c r="A676" s="6">
        <v>234422.8815319923</v>
      </c>
      <c r="B676" s="6">
        <v>0.0001008202997772295</v>
      </c>
      <c r="C676" s="6">
        <v>0.0001008202997772295</v>
      </c>
      <c r="D676" s="6">
        <v>0.0001008202997772295</v>
      </c>
      <c r="E676" s="7">
        <v>40.07095968854591</v>
      </c>
      <c r="F676" s="7">
        <v>40.07095968854591</v>
      </c>
      <c r="G676" s="7">
        <v>40.07095968854591</v>
      </c>
    </row>
    <row r="677" spans="1:7">
      <c r="A677" s="6">
        <v>237137.3705661655</v>
      </c>
      <c r="B677" s="6">
        <v>9.615380041200278E-05</v>
      </c>
      <c r="C677" s="6">
        <v>9.615380041200278E-05</v>
      </c>
      <c r="D677" s="6">
        <v>9.615380041200278E-05</v>
      </c>
      <c r="E677" s="7">
        <v>39.65932908201394</v>
      </c>
      <c r="F677" s="7">
        <v>39.65932908201394</v>
      </c>
      <c r="G677" s="7">
        <v>39.65932908201394</v>
      </c>
    </row>
    <row r="678" spans="1:7">
      <c r="A678" s="6">
        <v>239883.291901949</v>
      </c>
      <c r="B678" s="6">
        <v>9.170102039174504E-05</v>
      </c>
      <c r="C678" s="6">
        <v>9.170102039174504E-05</v>
      </c>
      <c r="D678" s="6">
        <v>9.170102039174504E-05</v>
      </c>
      <c r="E678" s="7">
        <v>39.24748336509915</v>
      </c>
      <c r="F678" s="7">
        <v>39.24748336509915</v>
      </c>
      <c r="G678" s="7">
        <v>39.24748336509915</v>
      </c>
    </row>
    <row r="679" spans="1:7">
      <c r="A679" s="6">
        <v>242661.0095082414</v>
      </c>
      <c r="B679" s="6">
        <v>8.745221629644759E-05</v>
      </c>
      <c r="C679" s="6">
        <v>8.745221629644759E-05</v>
      </c>
      <c r="D679" s="6">
        <v>8.745221629644759E-05</v>
      </c>
      <c r="E679" s="7">
        <v>38.83541640508081</v>
      </c>
      <c r="F679" s="7">
        <v>38.83541640508081</v>
      </c>
      <c r="G679" s="7">
        <v>38.83541640508081</v>
      </c>
    </row>
    <row r="680" spans="1:7">
      <c r="A680" s="6">
        <v>245470.8915685033</v>
      </c>
      <c r="B680" s="6">
        <v>8.339808904082547E-05</v>
      </c>
      <c r="C680" s="6">
        <v>8.339808904082547E-05</v>
      </c>
      <c r="D680" s="6">
        <v>8.339808904082547E-05</v>
      </c>
      <c r="E680" s="7">
        <v>38.4231219891258</v>
      </c>
      <c r="F680" s="7">
        <v>38.4231219891258</v>
      </c>
      <c r="G680" s="7">
        <v>38.4231219891258</v>
      </c>
    </row>
    <row r="681" spans="1:7">
      <c r="A681" s="6">
        <v>248313.3105295568</v>
      </c>
      <c r="B681" s="6">
        <v>7.952976351438887E-05</v>
      </c>
      <c r="C681" s="6">
        <v>7.952976351438887E-05</v>
      </c>
      <c r="D681" s="6">
        <v>7.952976351438887E-05</v>
      </c>
      <c r="E681" s="7">
        <v>38.01059382117919</v>
      </c>
      <c r="F681" s="7">
        <v>38.01059382117919</v>
      </c>
      <c r="G681" s="7">
        <v>38.01059382117919</v>
      </c>
    </row>
    <row r="682" spans="1:7">
      <c r="A682" s="6">
        <v>251188.6431509582</v>
      </c>
      <c r="B682" s="6">
        <v>7.583876916396478E-05</v>
      </c>
      <c r="C682" s="6">
        <v>7.583876916396478E-05</v>
      </c>
      <c r="D682" s="6">
        <v>7.583876916396478E-05</v>
      </c>
      <c r="E682" s="7">
        <v>37.5978255188692</v>
      </c>
      <c r="F682" s="7">
        <v>37.5978255188692</v>
      </c>
      <c r="G682" s="7">
        <v>37.5978255188692</v>
      </c>
    </row>
    <row r="683" spans="1:7">
      <c r="A683" s="6">
        <v>254097.2705549306</v>
      </c>
      <c r="B683" s="6">
        <v>7.231702147426344E-05</v>
      </c>
      <c r="C683" s="6">
        <v>7.231702147426344E-05</v>
      </c>
      <c r="D683" s="6">
        <v>7.231702147426344E-05</v>
      </c>
      <c r="E683" s="7">
        <v>37.18481061042741</v>
      </c>
      <c r="F683" s="7">
        <v>37.18481061042741</v>
      </c>
      <c r="G683" s="7">
        <v>37.18481061042741</v>
      </c>
    </row>
    <row r="684" spans="1:7">
      <c r="A684" s="6">
        <v>257039.5782768865</v>
      </c>
      <c r="B684" s="6">
        <v>6.895680430418853E-05</v>
      </c>
      <c r="C684" s="6">
        <v>6.895680430418853E-05</v>
      </c>
      <c r="D684" s="6">
        <v>6.895680430418853E-05</v>
      </c>
      <c r="E684" s="7">
        <v>36.77154253161861</v>
      </c>
      <c r="F684" s="7">
        <v>36.77154253161861</v>
      </c>
      <c r="G684" s="7">
        <v>36.77154253161861</v>
      </c>
    </row>
    <row r="685" spans="1:7">
      <c r="A685" s="6">
        <v>260015.9563165272</v>
      </c>
      <c r="B685" s="6">
        <v>6.575075303869687E-05</v>
      </c>
      <c r="C685" s="6">
        <v>6.575075303869687E-05</v>
      </c>
      <c r="D685" s="6">
        <v>6.575075303869687E-05</v>
      </c>
      <c r="E685" s="7">
        <v>36.35801462268167</v>
      </c>
      <c r="F685" s="7">
        <v>36.35801462268167</v>
      </c>
      <c r="G685" s="7">
        <v>36.35801462268167</v>
      </c>
    </row>
    <row r="686" spans="1:7">
      <c r="A686" s="6">
        <v>263026.7991895382</v>
      </c>
      <c r="B686" s="6">
        <v>6.26918385179179E-05</v>
      </c>
      <c r="C686" s="6">
        <v>6.26918385179179E-05</v>
      </c>
      <c r="D686" s="6">
        <v>6.26918385179179E-05</v>
      </c>
      <c r="E686" s="7">
        <v>35.9442201252777</v>
      </c>
      <c r="F686" s="7">
        <v>35.9442201252777</v>
      </c>
      <c r="G686" s="7">
        <v>35.9442201252777</v>
      </c>
    </row>
    <row r="687" spans="1:7">
      <c r="A687" s="6">
        <v>266072.5059798814</v>
      </c>
      <c r="B687" s="6">
        <v>5.977335170710936E-05</v>
      </c>
      <c r="C687" s="6">
        <v>5.977335170710936E-05</v>
      </c>
      <c r="D687" s="6">
        <v>5.977335170710936E-05</v>
      </c>
      <c r="E687" s="7">
        <v>35.53015217944447</v>
      </c>
      <c r="F687" s="7">
        <v>35.53015217944447</v>
      </c>
      <c r="G687" s="7">
        <v>35.53015217944447</v>
      </c>
    </row>
    <row r="688" spans="1:7">
      <c r="A688" s="6">
        <v>269153.4803926914</v>
      </c>
      <c r="B688" s="6">
        <v>5.69888890727761E-05</v>
      </c>
      <c r="C688" s="6">
        <v>5.69888890727761E-05</v>
      </c>
      <c r="D688" s="6">
        <v>5.69888890727761E-05</v>
      </c>
      <c r="E688" s="7">
        <v>35.11580382055551</v>
      </c>
      <c r="F688" s="7">
        <v>35.11580382055551</v>
      </c>
      <c r="G688" s="7">
        <v>35.11580382055551</v>
      </c>
    </row>
    <row r="689" spans="1:7">
      <c r="A689" s="6">
        <v>272270.1308077915</v>
      </c>
      <c r="B689" s="6">
        <v>5.433233863193343E-05</v>
      </c>
      <c r="C689" s="6">
        <v>5.433233863193343E-05</v>
      </c>
      <c r="D689" s="6">
        <v>5.433233863193343E-05</v>
      </c>
      <c r="E689" s="7">
        <v>34.70116797628094</v>
      </c>
      <c r="F689" s="7">
        <v>34.70116797628094</v>
      </c>
      <c r="G689" s="7">
        <v>34.70116797628094</v>
      </c>
    </row>
    <row r="690" spans="1:7">
      <c r="A690" s="6">
        <v>275422.8703338163</v>
      </c>
      <c r="B690" s="6">
        <v>5.179786664310751E-05</v>
      </c>
      <c r="C690" s="6">
        <v>5.179786664310751E-05</v>
      </c>
      <c r="D690" s="6">
        <v>5.179786664310751E-05</v>
      </c>
      <c r="E690" s="7">
        <v>34.28623746355112</v>
      </c>
      <c r="F690" s="7">
        <v>34.28623746355112</v>
      </c>
      <c r="G690" s="7">
        <v>34.28623746355112</v>
      </c>
    </row>
    <row r="691" spans="1:7">
      <c r="A691" s="6">
        <v>278612.1168629772</v>
      </c>
      <c r="B691" s="6">
        <v>4.937990490912219E-05</v>
      </c>
      <c r="C691" s="6">
        <v>4.937990490912219E-05</v>
      </c>
      <c r="D691" s="6">
        <v>4.937990490912219E-05</v>
      </c>
      <c r="E691" s="7">
        <v>33.87100498551759</v>
      </c>
      <c r="F691" s="7">
        <v>33.87100498551759</v>
      </c>
      <c r="G691" s="7">
        <v>33.87100498551759</v>
      </c>
    </row>
    <row r="692" spans="1:7">
      <c r="A692" s="6">
        <v>281838.2931264455</v>
      </c>
      <c r="B692" s="6">
        <v>4.707313866320567E-05</v>
      </c>
      <c r="C692" s="6">
        <v>4.707313866320567E-05</v>
      </c>
      <c r="D692" s="6">
        <v>4.707313866320567E-05</v>
      </c>
      <c r="E692" s="7">
        <v>33.45546312851413</v>
      </c>
      <c r="F692" s="7">
        <v>33.45546312851413</v>
      </c>
      <c r="G692" s="7">
        <v>33.45546312851413</v>
      </c>
    </row>
    <row r="693" spans="1:7">
      <c r="A693" s="6">
        <v>285101.826750391</v>
      </c>
      <c r="B693" s="6">
        <v>4.487249501125382E-05</v>
      </c>
      <c r="C693" s="6">
        <v>4.487249501125382E-05</v>
      </c>
      <c r="D693" s="6">
        <v>4.487249501125382E-05</v>
      </c>
      <c r="E693" s="7">
        <v>33.03960435901219</v>
      </c>
      <c r="F693" s="7">
        <v>33.03960435901219</v>
      </c>
      <c r="G693" s="7">
        <v>33.03960435901219</v>
      </c>
    </row>
    <row r="694" spans="1:7">
      <c r="A694" s="6">
        <v>288403.1503126606</v>
      </c>
      <c r="B694" s="6">
        <v>4.27731319044207E-05</v>
      </c>
      <c r="C694" s="6">
        <v>4.27731319044207E-05</v>
      </c>
      <c r="D694" s="6">
        <v>4.27731319044207E-05</v>
      </c>
      <c r="E694" s="7">
        <v>32.62342102057222</v>
      </c>
      <c r="F694" s="7">
        <v>32.62342102057222</v>
      </c>
      <c r="G694" s="7">
        <v>32.62342102057222</v>
      </c>
    </row>
    <row r="695" spans="1:7">
      <c r="A695" s="6">
        <v>291742.7014001166</v>
      </c>
      <c r="B695" s="6">
        <v>4.077042761740702E-05</v>
      </c>
      <c r="C695" s="6">
        <v>4.077042761740702E-05</v>
      </c>
      <c r="D695" s="6">
        <v>4.077042761740702E-05</v>
      </c>
      <c r="E695" s="7">
        <v>32.20690533078771</v>
      </c>
      <c r="F695" s="7">
        <v>32.20690533078771</v>
      </c>
      <c r="G695" s="7">
        <v>32.20690533078771</v>
      </c>
    </row>
    <row r="696" spans="1:7">
      <c r="A696" s="6">
        <v>295120.922666639</v>
      </c>
      <c r="B696" s="6">
        <v>3.885997070899549E-05</v>
      </c>
      <c r="C696" s="6">
        <v>3.885997070899549E-05</v>
      </c>
      <c r="D696" s="6">
        <v>3.885997070899549E-05</v>
      </c>
      <c r="E696" s="7">
        <v>31.79004937822101</v>
      </c>
      <c r="F696" s="7">
        <v>31.79004937822101</v>
      </c>
      <c r="G696" s="7">
        <v>31.79004937822101</v>
      </c>
    </row>
    <row r="697" spans="1:7">
      <c r="A697" s="6">
        <v>298538.2618917957</v>
      </c>
      <c r="B697" s="6">
        <v>3.703755044248951E-05</v>
      </c>
      <c r="C697" s="6">
        <v>3.703755044248951E-05</v>
      </c>
      <c r="D697" s="6">
        <v>3.703755044248951E-05</v>
      </c>
      <c r="E697" s="7">
        <v>31.37284511932944</v>
      </c>
      <c r="F697" s="7">
        <v>31.37284511932944</v>
      </c>
      <c r="G697" s="7">
        <v>31.37284511932944</v>
      </c>
    </row>
    <row r="698" spans="1:7">
      <c r="A698" s="6">
        <v>301995.1720402019</v>
      </c>
      <c r="B698" s="6">
        <v>3.529914764476045E-05</v>
      </c>
      <c r="C698" s="6">
        <v>3.529914764476045E-05</v>
      </c>
      <c r="D698" s="6">
        <v>3.529914764476045E-05</v>
      </c>
      <c r="E698" s="7">
        <v>30.95528437537892</v>
      </c>
      <c r="F698" s="7">
        <v>30.95528437537892</v>
      </c>
      <c r="G698" s="7">
        <v>30.95528437537892</v>
      </c>
    </row>
    <row r="699" spans="1:7">
      <c r="A699" s="6">
        <v>305492.1113215509</v>
      </c>
      <c r="B699" s="6">
        <v>3.364092598363001E-05</v>
      </c>
      <c r="C699" s="6">
        <v>3.364092598363001E-05</v>
      </c>
      <c r="D699" s="6">
        <v>3.364092598363001E-05</v>
      </c>
      <c r="E699" s="7">
        <v>30.53735882934633</v>
      </c>
      <c r="F699" s="7">
        <v>30.53735882934633</v>
      </c>
      <c r="G699" s="7">
        <v>30.53735882934633</v>
      </c>
    </row>
    <row r="700" spans="1:7">
      <c r="A700" s="6">
        <v>309029.5432513592</v>
      </c>
      <c r="B700" s="6">
        <v>3.20592236442406E-05</v>
      </c>
      <c r="C700" s="6">
        <v>3.20592236442406E-05</v>
      </c>
      <c r="D700" s="6">
        <v>3.20592236442406E-05</v>
      </c>
      <c r="E700" s="7">
        <v>30.11906002280498</v>
      </c>
      <c r="F700" s="7">
        <v>30.11906002280498</v>
      </c>
      <c r="G700" s="7">
        <v>30.11906002280498</v>
      </c>
    </row>
    <row r="701" spans="1:7">
      <c r="A701" s="6">
        <v>312607.9367123956</v>
      </c>
      <c r="B701" s="6">
        <v>3.055054538601041E-05</v>
      </c>
      <c r="C701" s="6">
        <v>3.055054538601041E-05</v>
      </c>
      <c r="D701" s="6">
        <v>3.055054538601041E-05</v>
      </c>
      <c r="E701" s="7">
        <v>29.70037935279609</v>
      </c>
      <c r="F701" s="7">
        <v>29.70037935279609</v>
      </c>
      <c r="G701" s="7">
        <v>29.70037935279609</v>
      </c>
    </row>
    <row r="702" spans="1:7">
      <c r="A702" s="6">
        <v>316227.7660168379</v>
      </c>
      <c r="B702" s="6">
        <v>2.911155496259889E-05</v>
      </c>
      <c r="C702" s="6">
        <v>2.911155496259889E-05</v>
      </c>
      <c r="D702" s="6">
        <v>2.911155496259889E-05</v>
      </c>
      <c r="E702" s="7">
        <v>29.28130806868032</v>
      </c>
      <c r="F702" s="7">
        <v>29.28130806868032</v>
      </c>
      <c r="G702" s="7">
        <v>29.28130806868032</v>
      </c>
    </row>
    <row r="703" spans="1:7">
      <c r="A703" s="6">
        <v>319889.5109691397</v>
      </c>
      <c r="B703" s="6">
        <v>2.773906788816154E-05</v>
      </c>
      <c r="C703" s="6">
        <v>2.773906788816154E-05</v>
      </c>
      <c r="D703" s="6">
        <v>2.773906788816154E-05</v>
      </c>
      <c r="E703" s="7">
        <v>28.86183726897077</v>
      </c>
      <c r="F703" s="7">
        <v>28.86183726897077</v>
      </c>
      <c r="G703" s="7">
        <v>28.86183726897077</v>
      </c>
    </row>
    <row r="704" spans="1:7">
      <c r="A704" s="6">
        <v>323593.6569296281</v>
      </c>
      <c r="B704" s="6">
        <v>2.643004453393644E-05</v>
      </c>
      <c r="C704" s="6">
        <v>2.643004453393644E-05</v>
      </c>
      <c r="D704" s="6">
        <v>2.643004453393644E-05</v>
      </c>
      <c r="E704" s="7">
        <v>28.44195789814428</v>
      </c>
      <c r="F704" s="7">
        <v>28.44195789814428</v>
      </c>
      <c r="G704" s="7">
        <v>28.44195789814428</v>
      </c>
    </row>
    <row r="705" spans="1:7">
      <c r="A705" s="6">
        <v>327340.6948788386</v>
      </c>
      <c r="B705" s="6">
        <v>2.518158353996005E-05</v>
      </c>
      <c r="C705" s="6">
        <v>2.518158353996005E-05</v>
      </c>
      <c r="D705" s="6">
        <v>2.518158353996005E-05</v>
      </c>
      <c r="E705" s="7">
        <v>28.02166074342925</v>
      </c>
      <c r="F705" s="7">
        <v>28.02166074342925</v>
      </c>
      <c r="G705" s="7">
        <v>28.02166074342925</v>
      </c>
    </row>
    <row r="706" spans="1:7">
      <c r="A706" s="6">
        <v>331131.1214825908</v>
      </c>
      <c r="B706" s="6">
        <v>2.399091552741727E-05</v>
      </c>
      <c r="C706" s="6">
        <v>2.399091552741727E-05</v>
      </c>
      <c r="D706" s="6">
        <v>2.399091552741727E-05</v>
      </c>
      <c r="E706" s="7">
        <v>27.60093643156887</v>
      </c>
      <c r="F706" s="7">
        <v>27.60093643156887</v>
      </c>
      <c r="G706" s="7">
        <v>27.60093643156887</v>
      </c>
    </row>
    <row r="707" spans="1:7">
      <c r="A707" s="6">
        <v>334965.4391578279</v>
      </c>
      <c r="B707" s="6">
        <v>2.285539709780376E-05</v>
      </c>
      <c r="C707" s="6">
        <v>2.285539709780376E-05</v>
      </c>
      <c r="D707" s="6">
        <v>2.285539709780376E-05</v>
      </c>
      <c r="E707" s="7">
        <v>27.17977542555602</v>
      </c>
      <c r="F707" s="7">
        <v>27.17977542555602</v>
      </c>
      <c r="G707" s="7">
        <v>27.17977542555602</v>
      </c>
    </row>
    <row r="708" spans="1:7">
      <c r="A708" s="6">
        <v>338844.1561392028</v>
      </c>
      <c r="B708" s="6">
        <v>2.177250510573253E-05</v>
      </c>
      <c r="C708" s="6">
        <v>2.177250510573253E-05</v>
      </c>
      <c r="D708" s="6">
        <v>2.177250510573253E-05</v>
      </c>
      <c r="E708" s="7">
        <v>26.75816802134079</v>
      </c>
      <c r="F708" s="7">
        <v>26.75816802134079</v>
      </c>
      <c r="G708" s="7">
        <v>26.75816802134079</v>
      </c>
    </row>
    <row r="709" spans="1:7">
      <c r="A709" s="6">
        <v>342767.7865464505</v>
      </c>
      <c r="B709" s="6">
        <v>2.073983119281335E-05</v>
      </c>
      <c r="C709" s="6">
        <v>2.073983119281335E-05</v>
      </c>
      <c r="D709" s="6">
        <v>2.073983119281335E-05</v>
      </c>
      <c r="E709" s="7">
        <v>26.33610434450497</v>
      </c>
      <c r="F709" s="7">
        <v>26.33610434450497</v>
      </c>
      <c r="G709" s="7">
        <v>26.33610434450497</v>
      </c>
    </row>
    <row r="710" spans="1:7">
      <c r="A710" s="6">
        <v>346736.8504525317</v>
      </c>
      <c r="B710" s="6">
        <v>1.975507657063386E-05</v>
      </c>
      <c r="C710" s="6">
        <v>1.975507657063386E-05</v>
      </c>
      <c r="D710" s="6">
        <v>1.975507657063386E-05</v>
      </c>
      <c r="E710" s="7">
        <v>25.91357434690391</v>
      </c>
      <c r="F710" s="7">
        <v>25.91357434690391</v>
      </c>
      <c r="G710" s="7">
        <v>25.91357434690391</v>
      </c>
    </row>
    <row r="711" spans="1:7">
      <c r="A711" s="6">
        <v>350751.8739525679</v>
      </c>
      <c r="B711" s="6">
        <v>1.88160470414174E-05</v>
      </c>
      <c r="C711" s="6">
        <v>1.88160470414174E-05</v>
      </c>
      <c r="D711" s="6">
        <v>1.88160470414174E-05</v>
      </c>
      <c r="E711" s="7">
        <v>25.49056780327214</v>
      </c>
      <c r="F711" s="7">
        <v>25.49056780327214</v>
      </c>
      <c r="G711" s="7">
        <v>25.49056780327214</v>
      </c>
    </row>
    <row r="712" spans="1:7">
      <c r="A712" s="6">
        <v>354813.389233576</v>
      </c>
      <c r="B712" s="6">
        <v>1.792064824546501E-05</v>
      </c>
      <c r="C712" s="6">
        <v>1.792064824546501E-05</v>
      </c>
      <c r="D712" s="6">
        <v>1.792064824546501E-05</v>
      </c>
      <c r="E712" s="7">
        <v>25.06707430779045</v>
      </c>
      <c r="F712" s="7">
        <v>25.06707430779045</v>
      </c>
      <c r="G712" s="7">
        <v>25.06707430779045</v>
      </c>
    </row>
    <row r="713" spans="1:7">
      <c r="A713" s="6">
        <v>358921.934645005</v>
      </c>
      <c r="B713" s="6">
        <v>1.70668811249961E-05</v>
      </c>
      <c r="C713" s="6">
        <v>1.70668811249961E-05</v>
      </c>
      <c r="D713" s="6">
        <v>1.70668811249961E-05</v>
      </c>
      <c r="E713" s="7">
        <v>24.6430832706123</v>
      </c>
      <c r="F713" s="7">
        <v>24.6430832706123</v>
      </c>
      <c r="G713" s="7">
        <v>24.6430832706123</v>
      </c>
    </row>
    <row r="714" spans="1:7">
      <c r="A714" s="6">
        <v>363078.0547701017</v>
      </c>
      <c r="B714" s="6">
        <v>1.625283759447708E-05</v>
      </c>
      <c r="C714" s="6">
        <v>1.625283759447708E-05</v>
      </c>
      <c r="D714" s="6">
        <v>1.625283759447708E-05</v>
      </c>
      <c r="E714" s="7">
        <v>24.21858391434517</v>
      </c>
      <c r="F714" s="7">
        <v>24.21858391434517</v>
      </c>
      <c r="G714" s="7">
        <v>24.21858391434517</v>
      </c>
    </row>
    <row r="715" spans="1:7">
      <c r="A715" s="6">
        <v>367282.3004980842</v>
      </c>
      <c r="B715" s="6">
        <v>1.547669640799623E-05</v>
      </c>
      <c r="C715" s="6">
        <v>1.547669640799623E-05</v>
      </c>
      <c r="D715" s="6">
        <v>1.547669640799623E-05</v>
      </c>
      <c r="E715" s="7">
        <v>23.79356527048686</v>
      </c>
      <c r="F715" s="7">
        <v>23.79356527048686</v>
      </c>
      <c r="G715" s="7">
        <v>23.79356527048686</v>
      </c>
    </row>
    <row r="716" spans="1:7">
      <c r="A716" s="6">
        <v>371535.2290971728</v>
      </c>
      <c r="B716" s="6">
        <v>1.473671921466464E-05</v>
      </c>
      <c r="C716" s="6">
        <v>1.473671921466464E-05</v>
      </c>
      <c r="D716" s="6">
        <v>1.473671921466464E-05</v>
      </c>
      <c r="E716" s="7">
        <v>23.36801617580955</v>
      </c>
      <c r="F716" s="7">
        <v>23.36801617580955</v>
      </c>
      <c r="G716" s="7">
        <v>23.36801617580955</v>
      </c>
    </row>
    <row r="717" spans="1:7">
      <c r="A717" s="6">
        <v>375837.4042884443</v>
      </c>
      <c r="B717" s="6">
        <v>1.40312467934563E-05</v>
      </c>
      <c r="C717" s="6">
        <v>1.40312467934563E-05</v>
      </c>
      <c r="D717" s="6">
        <v>1.40312467934563E-05</v>
      </c>
      <c r="E717" s="7">
        <v>22.94192526869282</v>
      </c>
      <c r="F717" s="7">
        <v>22.94192526869282</v>
      </c>
      <c r="G717" s="7">
        <v>22.94192526869282</v>
      </c>
    </row>
    <row r="718" spans="1:7">
      <c r="A718" s="6">
        <v>380189.3963205612</v>
      </c>
      <c r="B718" s="6">
        <v>1.335869545928048E-05</v>
      </c>
      <c r="C718" s="6">
        <v>1.335869545928048E-05</v>
      </c>
      <c r="D718" s="6">
        <v>1.335869545928048E-05</v>
      </c>
      <c r="E718" s="7">
        <v>22.51528098539772</v>
      </c>
      <c r="F718" s="7">
        <v>22.51528098539772</v>
      </c>
      <c r="G718" s="7">
        <v>22.51528098539772</v>
      </c>
    </row>
    <row r="719" spans="1:7">
      <c r="A719" s="6">
        <v>384591.7820453536</v>
      </c>
      <c r="B719" s="6">
        <v>1.271755363247102E-05</v>
      </c>
      <c r="C719" s="6">
        <v>1.271755363247102E-05</v>
      </c>
      <c r="D719" s="6">
        <v>1.271755363247102E-05</v>
      </c>
      <c r="E719" s="7">
        <v>22.08807155628149</v>
      </c>
      <c r="F719" s="7">
        <v>22.08807155628149</v>
      </c>
      <c r="G719" s="7">
        <v>22.08807155628149</v>
      </c>
    </row>
    <row r="720" spans="1:7">
      <c r="A720" s="6">
        <v>389045.1449942805</v>
      </c>
      <c r="B720" s="6">
        <v>1.21063785642288E-05</v>
      </c>
      <c r="C720" s="6">
        <v>1.21063785642288E-05</v>
      </c>
      <c r="D720" s="6">
        <v>1.21063785642288E-05</v>
      </c>
      <c r="E720" s="7">
        <v>21.66028500194712</v>
      </c>
      <c r="F720" s="7">
        <v>21.66028500194712</v>
      </c>
      <c r="G720" s="7">
        <v>21.66028500194712</v>
      </c>
    </row>
    <row r="721" spans="1:7">
      <c r="A721" s="6">
        <v>393550.075455778</v>
      </c>
      <c r="B721" s="6">
        <v>1.152379321090072E-05</v>
      </c>
      <c r="C721" s="6">
        <v>1.152379321090072E-05</v>
      </c>
      <c r="D721" s="6">
        <v>1.152379321090072E-05</v>
      </c>
      <c r="E721" s="7">
        <v>21.23190912932386</v>
      </c>
      <c r="F721" s="7">
        <v>21.23190912932386</v>
      </c>
      <c r="G721" s="7">
        <v>21.23190912932386</v>
      </c>
    </row>
    <row r="722" spans="1:7">
      <c r="A722" s="6">
        <v>398107.1705534969</v>
      </c>
      <c r="B722" s="6">
        <v>1.096848325030608E-05</v>
      </c>
      <c r="C722" s="6">
        <v>1.096848325030608E-05</v>
      </c>
      <c r="D722" s="6">
        <v>1.096848325030608E-05</v>
      </c>
      <c r="E722" s="7">
        <v>20.80293152767497</v>
      </c>
      <c r="F722" s="7">
        <v>20.80293152767497</v>
      </c>
      <c r="G722" s="7">
        <v>20.80293152767497</v>
      </c>
    </row>
    <row r="723" spans="1:7">
      <c r="A723" s="6">
        <v>402717.0343254595</v>
      </c>
      <c r="B723" s="6">
        <v>1.043919423362998E-05</v>
      </c>
      <c r="C723" s="6">
        <v>1.043919423362998E-05</v>
      </c>
      <c r="D723" s="6">
        <v>1.043919423362998E-05</v>
      </c>
      <c r="E723" s="7">
        <v>20.37333956452563</v>
      </c>
      <c r="F723" s="7">
        <v>20.37333956452563</v>
      </c>
      <c r="G723" s="7">
        <v>20.37333956452563</v>
      </c>
    </row>
    <row r="724" spans="1:7">
      <c r="A724" s="6">
        <v>407380.2778041122</v>
      </c>
      <c r="B724" s="6">
        <v>9.934728866707996E-06</v>
      </c>
      <c r="C724" s="6">
        <v>9.934728866707996E-06</v>
      </c>
      <c r="D724" s="6">
        <v>9.934728866707996E-06</v>
      </c>
      <c r="E724" s="7">
        <v>19.94312038150979</v>
      </c>
      <c r="F724" s="7">
        <v>19.94312038150979</v>
      </c>
      <c r="G724" s="7">
        <v>19.94312038150979</v>
      </c>
    </row>
    <row r="725" spans="1:7">
      <c r="A725" s="6">
        <v>412097.5190973304</v>
      </c>
      <c r="B725" s="6">
        <v>9.453944414799593E-06</v>
      </c>
      <c r="C725" s="6">
        <v>9.453944414799593E-06</v>
      </c>
      <c r="D725" s="6">
        <v>9.453944414799593E-06</v>
      </c>
      <c r="E725" s="7">
        <v>19.51226089012534</v>
      </c>
      <c r="F725" s="7">
        <v>19.51226089012534</v>
      </c>
      <c r="G725" s="7">
        <v>19.51226089012534</v>
      </c>
    </row>
    <row r="726" spans="1:7">
      <c r="A726" s="6">
        <v>416869.3834703355</v>
      </c>
      <c r="B726" s="6">
        <v>8.995750225230675E-06</v>
      </c>
      <c r="C726" s="6">
        <v>8.995750225230675E-06</v>
      </c>
      <c r="D726" s="6">
        <v>8.995750225230675E-06</v>
      </c>
      <c r="E726" s="7">
        <v>19.08074776739732</v>
      </c>
      <c r="F726" s="7">
        <v>19.08074776739732</v>
      </c>
      <c r="G726" s="7">
        <v>19.08074776739732</v>
      </c>
    </row>
    <row r="727" spans="1:7">
      <c r="A727" s="6">
        <v>421696.5034285823</v>
      </c>
      <c r="B727" s="6">
        <v>8.559105362531507E-06</v>
      </c>
      <c r="C727" s="6">
        <v>8.559105362531507E-06</v>
      </c>
      <c r="D727" s="6">
        <v>8.559105362531507E-06</v>
      </c>
      <c r="E727" s="7">
        <v>18.64856745143801</v>
      </c>
      <c r="F727" s="7">
        <v>18.64856745143801</v>
      </c>
      <c r="G727" s="7">
        <v>18.64856745143801</v>
      </c>
    </row>
    <row r="728" spans="1:7">
      <c r="A728" s="6">
        <v>426579.5188015926</v>
      </c>
      <c r="B728" s="6">
        <v>8.143016350952051E-06</v>
      </c>
      <c r="C728" s="6">
        <v>8.143016350952051E-06</v>
      </c>
      <c r="D728" s="6">
        <v>8.143016350952051E-06</v>
      </c>
      <c r="E728" s="7">
        <v>18.21570613690088</v>
      </c>
      <c r="F728" s="7">
        <v>18.21570613690088</v>
      </c>
      <c r="G728" s="7">
        <v>18.21570613690088</v>
      </c>
    </row>
    <row r="729" spans="1:7">
      <c r="A729" s="6">
        <v>431519.076827765</v>
      </c>
      <c r="B729" s="6">
        <v>7.746535019465239E-06</v>
      </c>
      <c r="C729" s="6">
        <v>7.746535019465239E-06</v>
      </c>
      <c r="D729" s="6">
        <v>7.746535019465239E-06</v>
      </c>
      <c r="E729" s="7">
        <v>17.78214977031956</v>
      </c>
      <c r="F729" s="7">
        <v>17.78214977031956</v>
      </c>
      <c r="G729" s="7">
        <v>17.78214977031956</v>
      </c>
    </row>
    <row r="730" spans="1:7">
      <c r="A730" s="6">
        <v>436515.8322401666</v>
      </c>
      <c r="B730" s="6">
        <v>7.368756444594939E-06</v>
      </c>
      <c r="C730" s="6">
        <v>7.368756444594939E-06</v>
      </c>
      <c r="D730" s="6">
        <v>7.368756444594939E-06</v>
      </c>
      <c r="E730" s="7">
        <v>17.34788404532489</v>
      </c>
      <c r="F730" s="7">
        <v>17.34788404532489</v>
      </c>
      <c r="G730" s="7">
        <v>17.34788404532489</v>
      </c>
    </row>
    <row r="731" spans="1:7">
      <c r="A731" s="6">
        <v>441570.447353312</v>
      </c>
      <c r="B731" s="6">
        <v>7.008816986618805E-06</v>
      </c>
      <c r="C731" s="6">
        <v>7.008816986618805E-06</v>
      </c>
      <c r="D731" s="6">
        <v>7.008816986618805E-06</v>
      </c>
      <c r="E731" s="7">
        <v>16.91289439773261</v>
      </c>
      <c r="F731" s="7">
        <v>16.91289439773261</v>
      </c>
      <c r="G731" s="7">
        <v>16.91289439773261</v>
      </c>
    </row>
    <row r="732" spans="1:7">
      <c r="A732" s="6">
        <v>446683.5921509635</v>
      </c>
      <c r="B732" s="6">
        <v>6.665892414897651E-06</v>
      </c>
      <c r="C732" s="6">
        <v>6.665892414897651E-06</v>
      </c>
      <c r="D732" s="6">
        <v>6.665892414897651E-06</v>
      </c>
      <c r="E732" s="7">
        <v>16.47716600049162</v>
      </c>
      <c r="F732" s="7">
        <v>16.47716600049162</v>
      </c>
      <c r="G732" s="7">
        <v>16.47716600049162</v>
      </c>
    </row>
    <row r="733" spans="1:7">
      <c r="A733" s="6">
        <v>451855.9443749226</v>
      </c>
      <c r="B733" s="6">
        <v>6.339196118281423E-06</v>
      </c>
      <c r="C733" s="6">
        <v>6.339196118281423E-06</v>
      </c>
      <c r="D733" s="6">
        <v>6.339196118281423E-06</v>
      </c>
      <c r="E733" s="7">
        <v>16.04068375848697</v>
      </c>
      <c r="F733" s="7">
        <v>16.04068375848697</v>
      </c>
      <c r="G733" s="7">
        <v>16.04068375848697</v>
      </c>
    </row>
    <row r="734" spans="1:7">
      <c r="A734" s="6">
        <v>457088.1896148752</v>
      </c>
      <c r="B734" s="6">
        <v>6.027977396720813E-06</v>
      </c>
      <c r="C734" s="6">
        <v>6.027977396720813E-06</v>
      </c>
      <c r="D734" s="6">
        <v>6.027977396720813E-06</v>
      </c>
      <c r="E734" s="7">
        <v>15.60343230318424</v>
      </c>
      <c r="F734" s="7">
        <v>15.60343230318424</v>
      </c>
      <c r="G734" s="7">
        <v>15.60343230318424</v>
      </c>
    </row>
    <row r="735" spans="1:7">
      <c r="A735" s="6">
        <v>462381.0213992603</v>
      </c>
      <c r="B735" s="6">
        <v>5.731519830396502E-06</v>
      </c>
      <c r="C735" s="6">
        <v>5.731519830396502E-06</v>
      </c>
      <c r="D735" s="6">
        <v>5.731519830396502E-06</v>
      </c>
      <c r="E735" s="7">
        <v>15.16539598710854</v>
      </c>
      <c r="F735" s="7">
        <v>15.16539598710854</v>
      </c>
      <c r="G735" s="7">
        <v>15.16539598710854</v>
      </c>
    </row>
    <row r="736" spans="1:7">
      <c r="A736" s="6">
        <v>467735.1412871981</v>
      </c>
      <c r="B736" s="6">
        <v>5.449139722841953E-06</v>
      </c>
      <c r="C736" s="6">
        <v>5.449139722841953E-06</v>
      </c>
      <c r="D736" s="6">
        <v>5.449139722841953E-06</v>
      </c>
      <c r="E736" s="7">
        <v>14.72655887814561</v>
      </c>
      <c r="F736" s="7">
        <v>14.72655887814561</v>
      </c>
      <c r="G736" s="7">
        <v>14.72655887814561</v>
      </c>
    </row>
    <row r="737" spans="1:7">
      <c r="A737" s="6">
        <v>473151.2589614813</v>
      </c>
      <c r="B737" s="6">
        <v>5.18018461469856E-06</v>
      </c>
      <c r="C737" s="6">
        <v>5.18018461469856E-06</v>
      </c>
      <c r="D737" s="6">
        <v>5.18018461469856E-06</v>
      </c>
      <c r="E737" s="7">
        <v>14.28690475365425</v>
      </c>
      <c r="F737" s="7">
        <v>14.28690475365425</v>
      </c>
      <c r="G737" s="7">
        <v>14.28690475365425</v>
      </c>
    </row>
    <row r="738" spans="1:7">
      <c r="A738" s="6">
        <v>478630.092322638</v>
      </c>
      <c r="B738" s="6">
        <v>4.924031864895044E-06</v>
      </c>
      <c r="C738" s="6">
        <v>4.924031864895044E-06</v>
      </c>
      <c r="D738" s="6">
        <v>4.924031864895044E-06</v>
      </c>
      <c r="E738" s="7">
        <v>13.84641709437853</v>
      </c>
      <c r="F738" s="7">
        <v>13.84641709437853</v>
      </c>
      <c r="G738" s="7">
        <v>13.84641709437853</v>
      </c>
    </row>
    <row r="739" spans="1:7">
      <c r="A739" s="6">
        <v>484172.3675840999</v>
      </c>
      <c r="B739" s="6">
        <v>4.680087296187871E-06</v>
      </c>
      <c r="C739" s="6">
        <v>4.680087296187871E-06</v>
      </c>
      <c r="D739" s="6">
        <v>4.680087296187871E-06</v>
      </c>
      <c r="E739" s="7">
        <v>13.4050790781453</v>
      </c>
      <c r="F739" s="7">
        <v>13.4050790781453</v>
      </c>
      <c r="G739" s="7">
        <v>13.4050790781453</v>
      </c>
    </row>
    <row r="740" spans="1:7">
      <c r="A740" s="6">
        <v>489778.8193684457</v>
      </c>
      <c r="B740" s="6">
        <v>4.447783902142182E-06</v>
      </c>
      <c r="C740" s="6">
        <v>4.447783902142182E-06</v>
      </c>
      <c r="D740" s="6">
        <v>4.447783902142182E-06</v>
      </c>
      <c r="E740" s="7">
        <v>12.96287357333684</v>
      </c>
      <c r="F740" s="7">
        <v>12.96287357333684</v>
      </c>
      <c r="G740" s="7">
        <v>12.96287357333684</v>
      </c>
    </row>
    <row r="741" spans="1:7">
      <c r="A741" s="6">
        <v>495450.1908047905</v>
      </c>
      <c r="B741" s="6">
        <v>4.226580612761238E-06</v>
      </c>
      <c r="C741" s="6">
        <v>4.226580612761238E-06</v>
      </c>
      <c r="D741" s="6">
        <v>4.226580612761238E-06</v>
      </c>
      <c r="E741" s="7">
        <v>12.5197831321201</v>
      </c>
      <c r="F741" s="7">
        <v>12.5197831321201</v>
      </c>
      <c r="G741" s="7">
        <v>12.5197831321201</v>
      </c>
    </row>
    <row r="742" spans="1:7">
      <c r="A742" s="6">
        <v>501187.2336272725</v>
      </c>
      <c r="B742" s="6">
        <v>4.015961116104656E-06</v>
      </c>
      <c r="C742" s="6">
        <v>4.015961116104656E-06</v>
      </c>
      <c r="D742" s="6">
        <v>4.015961116104656E-06</v>
      </c>
      <c r="E742" s="7">
        <v>12.07578998342185</v>
      </c>
      <c r="F742" s="7">
        <v>12.07578998342185</v>
      </c>
      <c r="G742" s="7">
        <v>12.07578998342185</v>
      </c>
    </row>
    <row r="743" spans="1:7">
      <c r="A743" s="6">
        <v>506990.7082747045</v>
      </c>
      <c r="B743" s="6">
        <v>3.815432733351983E-06</v>
      </c>
      <c r="C743" s="6">
        <v>3.815432733351983E-06</v>
      </c>
      <c r="D743" s="6">
        <v>3.815432733351983E-06</v>
      </c>
      <c r="E743" s="7">
        <v>11.63087602562977</v>
      </c>
      <c r="F743" s="7">
        <v>11.63087602562977</v>
      </c>
      <c r="G743" s="7">
        <v>11.63087602562977</v>
      </c>
    </row>
    <row r="744" spans="1:7">
      <c r="A744" s="6">
        <v>512861.3839913648</v>
      </c>
      <c r="B744" s="6">
        <v>3.624525344887791E-06</v>
      </c>
      <c r="C744" s="6">
        <v>3.624525344887791E-06</v>
      </c>
      <c r="D744" s="6">
        <v>3.624525344887791E-06</v>
      </c>
      <c r="E744" s="7">
        <v>11.18502281900567</v>
      </c>
      <c r="F744" s="7">
        <v>11.18502281900567</v>
      </c>
      <c r="G744" s="7">
        <v>11.18502281900567</v>
      </c>
    </row>
    <row r="745" spans="1:7">
      <c r="A745" s="6">
        <v>518800.038928961</v>
      </c>
      <c r="B745" s="6">
        <v>3.442790365092252E-06</v>
      </c>
      <c r="C745" s="6">
        <v>3.442790365092252E-06</v>
      </c>
      <c r="D745" s="6">
        <v>3.442790365092252E-06</v>
      </c>
      <c r="E745" s="7">
        <v>10.73821157779111</v>
      </c>
      <c r="F745" s="7">
        <v>10.73821157779111</v>
      </c>
      <c r="G745" s="7">
        <v>10.73821157779111</v>
      </c>
    </row>
    <row r="746" spans="1:7">
      <c r="A746" s="6">
        <v>524807.4602497733</v>
      </c>
      <c r="B746" s="6">
        <v>3.269799763627639E-06</v>
      </c>
      <c r="C746" s="6">
        <v>3.269799763627639E-06</v>
      </c>
      <c r="D746" s="6">
        <v>3.269799763627639E-06</v>
      </c>
      <c r="E746" s="7">
        <v>10.29042316198726</v>
      </c>
      <c r="F746" s="7">
        <v>10.29042316198726</v>
      </c>
      <c r="G746" s="7">
        <v>10.29042316198726</v>
      </c>
    </row>
    <row r="747" spans="1:7">
      <c r="A747" s="6">
        <v>530884.4442309879</v>
      </c>
      <c r="B747" s="6">
        <v>3.105145131111584E-06</v>
      </c>
      <c r="C747" s="6">
        <v>3.105145131111584E-06</v>
      </c>
      <c r="D747" s="6">
        <v>3.105145131111584E-06</v>
      </c>
      <c r="E747" s="7">
        <v>9.841638068789321</v>
      </c>
      <c r="F747" s="7">
        <v>9.841638068789321</v>
      </c>
      <c r="G747" s="7">
        <v>9.841638068789321</v>
      </c>
    </row>
    <row r="748" spans="1:7">
      <c r="A748" s="6">
        <v>537031.7963702533</v>
      </c>
      <c r="B748" s="6">
        <v>2.948436787162952E-06</v>
      </c>
      <c r="C748" s="6">
        <v>2.948436787162952E-06</v>
      </c>
      <c r="D748" s="6">
        <v>2.948436787162952E-06</v>
      </c>
      <c r="E748" s="7">
        <v>9.391836423652789</v>
      </c>
      <c r="F748" s="7">
        <v>9.391836423652789</v>
      </c>
      <c r="G748" s="7">
        <v>9.391836423652789</v>
      </c>
    </row>
    <row r="749" spans="1:7">
      <c r="A749" s="6">
        <v>543250.3314924325</v>
      </c>
      <c r="B749" s="6">
        <v>2.799302928899642E-06</v>
      </c>
      <c r="C749" s="6">
        <v>2.799302928899642E-06</v>
      </c>
      <c r="D749" s="6">
        <v>2.799302928899642E-06</v>
      </c>
      <c r="E749" s="7">
        <v>8.940997970972482</v>
      </c>
      <c r="F749" s="7">
        <v>8.940997970972482</v>
      </c>
      <c r="G749" s="7">
        <v>8.940997970972482</v>
      </c>
    </row>
    <row r="750" spans="1:7">
      <c r="A750" s="6">
        <v>549540.8738576248</v>
      </c>
      <c r="B750" s="6">
        <v>2.657388818052025E-06</v>
      </c>
      <c r="C750" s="6">
        <v>2.657388818052025E-06</v>
      </c>
      <c r="D750" s="6">
        <v>2.657388818052025E-06</v>
      </c>
      <c r="E750" s="7">
        <v>8.4891020643463</v>
      </c>
      <c r="F750" s="7">
        <v>8.4891020643463</v>
      </c>
      <c r="G750" s="7">
        <v>8.4891020643463</v>
      </c>
    </row>
    <row r="751" spans="1:7">
      <c r="A751" s="6">
        <v>555904.2572704037</v>
      </c>
      <c r="B751" s="6">
        <v>2.522356004942527E-06</v>
      </c>
      <c r="C751" s="6">
        <v>2.522356004942527E-06</v>
      </c>
      <c r="D751" s="6">
        <v>2.522356004942527E-06</v>
      </c>
      <c r="E751" s="7">
        <v>8.036127656403993</v>
      </c>
      <c r="F751" s="7">
        <v>8.036127656403993</v>
      </c>
      <c r="G751" s="7">
        <v>8.036127656403993</v>
      </c>
    </row>
    <row r="752" spans="1:7">
      <c r="A752" s="6">
        <v>562341.3251903491</v>
      </c>
      <c r="B752" s="6">
        <v>2.393881587657967E-06</v>
      </c>
      <c r="C752" s="6">
        <v>2.393881587657967E-06</v>
      </c>
      <c r="D752" s="6">
        <v>2.393881587657967E-06</v>
      </c>
      <c r="E752" s="7">
        <v>7.582053288169814</v>
      </c>
      <c r="F752" s="7">
        <v>7.582053288169814</v>
      </c>
      <c r="G752" s="7">
        <v>7.582053288169814</v>
      </c>
    </row>
    <row r="753" spans="1:7">
      <c r="A753" s="6">
        <v>568852.9308438413</v>
      </c>
      <c r="B753" s="6">
        <v>2.271657504820012E-06</v>
      </c>
      <c r="C753" s="6">
        <v>2.271657504820012E-06</v>
      </c>
      <c r="D753" s="6">
        <v>2.271657504820012E-06</v>
      </c>
      <c r="E753" s="7">
        <v>7.126857077935023</v>
      </c>
      <c r="F753" s="7">
        <v>7.126857077935023</v>
      </c>
      <c r="G753" s="7">
        <v>7.126857077935023</v>
      </c>
    </row>
    <row r="754" spans="1:7">
      <c r="A754" s="6">
        <v>575439.9373371566</v>
      </c>
      <c r="B754" s="6">
        <v>2.155389860429678E-06</v>
      </c>
      <c r="C754" s="6">
        <v>2.155389860429678E-06</v>
      </c>
      <c r="D754" s="6">
        <v>2.155389860429678E-06</v>
      </c>
      <c r="E754" s="7">
        <v>6.670516709609013</v>
      </c>
      <c r="F754" s="7">
        <v>6.670516709609013</v>
      </c>
      <c r="G754" s="7">
        <v>6.670516709609013</v>
      </c>
    </row>
    <row r="755" spans="1:7">
      <c r="A755" s="6">
        <v>582103.2177708722</v>
      </c>
      <c r="B755" s="6">
        <v>2.044798279331859E-06</v>
      </c>
      <c r="C755" s="6">
        <v>2.044798279331859E-06</v>
      </c>
      <c r="D755" s="6">
        <v>2.044798279331859E-06</v>
      </c>
      <c r="E755" s="7">
        <v>6.213009420518848</v>
      </c>
      <c r="F755" s="7">
        <v>6.213009420518848</v>
      </c>
      <c r="G755" s="7">
        <v>6.213009420518848</v>
      </c>
    </row>
    <row r="756" spans="1:7">
      <c r="A756" s="6">
        <v>588843.6553555884</v>
      </c>
      <c r="B756" s="6">
        <v>1.939615291911663E-06</v>
      </c>
      <c r="C756" s="6">
        <v>1.939615291911663E-06</v>
      </c>
      <c r="D756" s="6">
        <v>1.939615291911663E-06</v>
      </c>
      <c r="E756" s="7">
        <v>5.754311988625078</v>
      </c>
      <c r="F756" s="7">
        <v>5.754311988625078</v>
      </c>
      <c r="G756" s="7">
        <v>5.754311988625078</v>
      </c>
    </row>
    <row r="757" spans="1:7">
      <c r="A757" s="6">
        <v>595662.1435290109</v>
      </c>
      <c r="B757" s="6">
        <v>1.839585746696853E-06</v>
      </c>
      <c r="C757" s="6">
        <v>1.839585746696853E-06</v>
      </c>
      <c r="D757" s="6">
        <v>1.839585746696853E-06</v>
      </c>
      <c r="E757" s="7">
        <v>5.294400719117556</v>
      </c>
      <c r="F757" s="7">
        <v>5.294400719117556</v>
      </c>
      <c r="G757" s="7">
        <v>5.294400719117556</v>
      </c>
    </row>
    <row r="758" spans="1:7">
      <c r="A758" s="6">
        <v>602559.5860743581</v>
      </c>
      <c r="B758" s="6">
        <v>1.74446624960202E-06</v>
      </c>
      <c r="C758" s="6">
        <v>1.74446624960202E-06</v>
      </c>
      <c r="D758" s="6">
        <v>1.74446624960202E-06</v>
      </c>
      <c r="E758" s="7">
        <v>4.833251430358488</v>
      </c>
      <c r="F758" s="7">
        <v>4.833251430358488</v>
      </c>
      <c r="G758" s="7">
        <v>4.833251430358488</v>
      </c>
    </row>
    <row r="759" spans="1:7">
      <c r="A759" s="6">
        <v>609536.8972401693</v>
      </c>
      <c r="B759" s="6">
        <v>1.654024628605728E-06</v>
      </c>
      <c r="C759" s="6">
        <v>1.654024628605728E-06</v>
      </c>
      <c r="D759" s="6">
        <v>1.654024628605728E-06</v>
      </c>
      <c r="E759" s="7">
        <v>4.370839439130211</v>
      </c>
      <c r="F759" s="7">
        <v>4.370839439130211</v>
      </c>
      <c r="G759" s="7">
        <v>4.370839439130211</v>
      </c>
    </row>
    <row r="760" spans="1:7">
      <c r="A760" s="6">
        <v>616595.0018614822</v>
      </c>
      <c r="B760" s="6">
        <v>1.568039422708392E-06</v>
      </c>
      <c r="C760" s="6">
        <v>1.568039422708392E-06</v>
      </c>
      <c r="D760" s="6">
        <v>1.568039422708392E-06</v>
      </c>
      <c r="E760" s="7">
        <v>3.907139545150674</v>
      </c>
      <c r="F760" s="7">
        <v>3.907139545150674</v>
      </c>
      <c r="G760" s="7">
        <v>3.907139545150674</v>
      </c>
    </row>
    <row r="761" spans="1:7">
      <c r="A761" s="6">
        <v>623734.8354824191</v>
      </c>
      <c r="B761" s="6">
        <v>1.486299394069723E-06</v>
      </c>
      <c r="C761" s="6">
        <v>1.486299394069723E-06</v>
      </c>
      <c r="D761" s="6">
        <v>1.486299394069723E-06</v>
      </c>
      <c r="E761" s="7">
        <v>3.442126014812048</v>
      </c>
      <c r="F761" s="7">
        <v>3.442126014812048</v>
      </c>
      <c r="G761" s="7">
        <v>3.442126014812048</v>
      </c>
    </row>
    <row r="762" spans="1:7">
      <c r="A762" s="6">
        <v>630957.3444801943</v>
      </c>
      <c r="B762" s="6">
        <v>1.408603062275019E-06</v>
      </c>
      <c r="C762" s="6">
        <v>1.408603062275019E-06</v>
      </c>
      <c r="D762" s="6">
        <v>1.408603062275019E-06</v>
      </c>
      <c r="E762" s="7">
        <v>2.975772564097956</v>
      </c>
      <c r="F762" s="7">
        <v>2.975772564097956</v>
      </c>
      <c r="G762" s="7">
        <v>2.975772564097956</v>
      </c>
    </row>
    <row r="763" spans="1:7">
      <c r="A763" s="6">
        <v>638263.4861905483</v>
      </c>
      <c r="B763" s="6">
        <v>1.334758259727186E-06</v>
      </c>
      <c r="C763" s="6">
        <v>1.334758259727186E-06</v>
      </c>
      <c r="D763" s="6">
        <v>1.334758259727186E-06</v>
      </c>
      <c r="E763" s="7">
        <v>2.508052340632116</v>
      </c>
      <c r="F763" s="7">
        <v>2.508052340632116</v>
      </c>
      <c r="G763" s="7">
        <v>2.508052340632116</v>
      </c>
    </row>
    <row r="764" spans="1:7">
      <c r="A764" s="6">
        <v>645654.2290346563</v>
      </c>
      <c r="B764" s="6">
        <v>1.264581707206434E-06</v>
      </c>
      <c r="C764" s="6">
        <v>1.264581707206434E-06</v>
      </c>
      <c r="D764" s="6">
        <v>1.264581707206434E-06</v>
      </c>
      <c r="E764" s="7">
        <v>2.038937904806293</v>
      </c>
      <c r="F764" s="7">
        <v>2.038937904806293</v>
      </c>
      <c r="G764" s="7">
        <v>2.038937904806293</v>
      </c>
    </row>
    <row r="765" spans="1:7">
      <c r="A765" s="6">
        <v>653130.5526474717</v>
      </c>
      <c r="B765" s="6">
        <v>1.197898608683899E-06</v>
      </c>
      <c r="C765" s="6">
        <v>1.197898608683899E-06</v>
      </c>
      <c r="D765" s="6">
        <v>1.197898608683899E-06</v>
      </c>
      <c r="E765" s="7">
        <v>1.568401209937798</v>
      </c>
      <c r="F765" s="7">
        <v>1.568401209937798</v>
      </c>
      <c r="G765" s="7">
        <v>1.568401209937798</v>
      </c>
    </row>
    <row r="766" spans="1:7">
      <c r="A766" s="6">
        <v>660693.4480075964</v>
      </c>
      <c r="B766" s="6">
        <v>1.134542264515557E-06</v>
      </c>
      <c r="C766" s="6">
        <v>1.134542264515557E-06</v>
      </c>
      <c r="D766" s="6">
        <v>1.134542264515557E-06</v>
      </c>
      <c r="E766" s="7">
        <v>1.09641358139562</v>
      </c>
      <c r="F766" s="7">
        <v>1.09641358139562</v>
      </c>
      <c r="G766" s="7">
        <v>1.09641358139562</v>
      </c>
    </row>
    <row r="767" spans="1:7">
      <c r="A767" s="6">
        <v>668343.9175686149</v>
      </c>
      <c r="B767" s="6">
        <v>1.074353702183849E-06</v>
      </c>
      <c r="C767" s="6">
        <v>1.074353702183849E-06</v>
      </c>
      <c r="D767" s="6">
        <v>1.074353702183849E-06</v>
      </c>
      <c r="E767" s="7">
        <v>0.6229456946407375</v>
      </c>
      <c r="F767" s="7">
        <v>0.6229456946407375</v>
      </c>
      <c r="G767" s="7">
        <v>0.6229456946407375</v>
      </c>
    </row>
    <row r="768" spans="1:7">
      <c r="A768" s="6">
        <v>676082.9753919819</v>
      </c>
      <c r="B768" s="6">
        <v>1.017181323790808E-06</v>
      </c>
      <c r="C768" s="6">
        <v>1.017181323790808E-06</v>
      </c>
      <c r="D768" s="6">
        <v>1.017181323790808E-06</v>
      </c>
      <c r="E768" s="7">
        <v>0.147967552113216</v>
      </c>
      <c r="F768" s="7">
        <v>0.147967552113216</v>
      </c>
      <c r="G768" s="7">
        <v>0.147967552113216</v>
      </c>
    </row>
    <row r="769" spans="1:7">
      <c r="A769" s="6">
        <v>683911.6472814293</v>
      </c>
      <c r="B769" s="6">
        <v>9.628805695435794E-07</v>
      </c>
      <c r="C769" s="6">
        <v>9.628805695435794E-07</v>
      </c>
      <c r="D769" s="6">
        <v>9.628805695435794E-07</v>
      </c>
      <c r="E769" s="7">
        <v>-0.3285515410975314</v>
      </c>
      <c r="F769" s="7">
        <v>-0.3285515410975314</v>
      </c>
      <c r="G769" s="7">
        <v>-0.3285515410975314</v>
      </c>
    </row>
    <row r="770" spans="1:7">
      <c r="A770" s="6">
        <v>691830.9709189363</v>
      </c>
      <c r="B770" s="6">
        <v>9.113135965070461E-07</v>
      </c>
      <c r="C770" s="6">
        <v>9.113135965070461E-07</v>
      </c>
      <c r="D770" s="6">
        <v>9.113135965070461E-07</v>
      </c>
      <c r="E770" s="7">
        <v>-0.8066430028712841</v>
      </c>
      <c r="F770" s="7">
        <v>-0.8066430028712841</v>
      </c>
      <c r="G770" s="7">
        <v>-0.8066430028712841</v>
      </c>
    </row>
    <row r="771" spans="1:7">
      <c r="A771" s="6">
        <v>699841.9960022746</v>
      </c>
      <c r="B771" s="6">
        <v>8.623489719313386E-07</v>
      </c>
      <c r="C771" s="6">
        <v>8.623489719313386E-07</v>
      </c>
      <c r="D771" s="6">
        <v>8.623489719313386E-07</v>
      </c>
      <c r="E771" s="7">
        <v>-1.286339001038781</v>
      </c>
      <c r="F771" s="7">
        <v>-1.286339001038781</v>
      </c>
      <c r="G771" s="7">
        <v>-1.286339001038781</v>
      </c>
    </row>
    <row r="772" spans="1:7">
      <c r="A772" s="6">
        <v>707945.7843841374</v>
      </c>
      <c r="B772" s="6">
        <v>8.158613804933818E-07</v>
      </c>
      <c r="C772" s="6">
        <v>8.158613804933818E-07</v>
      </c>
      <c r="D772" s="6">
        <v>8.158613804933818E-07</v>
      </c>
      <c r="E772" s="7">
        <v>-1.767672481805715</v>
      </c>
      <c r="F772" s="7">
        <v>-1.767672481805715</v>
      </c>
      <c r="G772" s="7">
        <v>-1.767672481805715</v>
      </c>
    </row>
    <row r="773" spans="1:7">
      <c r="A773" s="6">
        <v>716143.4102129027</v>
      </c>
      <c r="B773" s="6">
        <v>7.717313448213842E-07</v>
      </c>
      <c r="C773" s="6">
        <v>7.717313448213842E-07</v>
      </c>
      <c r="D773" s="6">
        <v>7.717313448213842E-07</v>
      </c>
      <c r="E773" s="7">
        <v>-2.25067719970463</v>
      </c>
      <c r="F773" s="7">
        <v>-2.25067719970463</v>
      </c>
      <c r="G773" s="7">
        <v>-2.25067719970463</v>
      </c>
    </row>
    <row r="774" spans="1:7">
      <c r="A774" s="6">
        <v>724435.9600749891</v>
      </c>
      <c r="B774" s="6">
        <v>7.29844958700242E-07</v>
      </c>
      <c r="C774" s="6">
        <v>7.29844958700242E-07</v>
      </c>
      <c r="D774" s="6">
        <v>7.29844958700242E-07</v>
      </c>
      <c r="E774" s="7">
        <v>-2.735387749160673</v>
      </c>
      <c r="F774" s="7">
        <v>-2.735387749160673</v>
      </c>
      <c r="G774" s="7">
        <v>-2.735387749160673</v>
      </c>
    </row>
    <row r="775" spans="1:7">
      <c r="A775" s="6">
        <v>732824.5331389045</v>
      </c>
      <c r="B775" s="6">
        <v>6.900936323823542E-07</v>
      </c>
      <c r="C775" s="6">
        <v>6.900936323823542E-07</v>
      </c>
      <c r="D775" s="6">
        <v>6.900936323823542E-07</v>
      </c>
      <c r="E775" s="7">
        <v>-3.22183959777091</v>
      </c>
      <c r="F775" s="7">
        <v>-3.22183959777091</v>
      </c>
      <c r="G775" s="7">
        <v>-3.22183959777091</v>
      </c>
    </row>
    <row r="776" spans="1:7">
      <c r="A776" s="6">
        <v>741310.2413009177</v>
      </c>
      <c r="B776" s="6">
        <v>6.523738494553327E-07</v>
      </c>
      <c r="C776" s="6">
        <v>6.523738494553327E-07</v>
      </c>
      <c r="D776" s="6">
        <v>6.523738494553327E-07</v>
      </c>
      <c r="E776" s="7">
        <v>-3.710069121392729</v>
      </c>
      <c r="F776" s="7">
        <v>-3.710069121392729</v>
      </c>
      <c r="G776" s="7">
        <v>-3.710069121392729</v>
      </c>
    </row>
    <row r="777" spans="1:7">
      <c r="A777" s="6">
        <v>749894.2093324559</v>
      </c>
      <c r="B777" s="6">
        <v>6.165869347420658E-07</v>
      </c>
      <c r="C777" s="6">
        <v>6.165869347420658E-07</v>
      </c>
      <c r="D777" s="6">
        <v>6.165869347420658E-07</v>
      </c>
      <c r="E777" s="7">
        <v>-4.20011364115362</v>
      </c>
      <c r="F777" s="7">
        <v>-4.20011364115362</v>
      </c>
      <c r="G777" s="7">
        <v>-4.20011364115362</v>
      </c>
    </row>
    <row r="778" spans="1:7">
      <c r="A778" s="6">
        <v>758577.5750291835</v>
      </c>
      <c r="B778" s="6">
        <v>5.826388327331006E-07</v>
      </c>
      <c r="C778" s="6">
        <v>5.826388327331006E-07</v>
      </c>
      <c r="D778" s="6">
        <v>5.826388327331006E-07</v>
      </c>
      <c r="E778" s="7">
        <v>-4.692011462492756</v>
      </c>
      <c r="F778" s="7">
        <v>-4.692011462492756</v>
      </c>
      <c r="G778" s="7">
        <v>-4.692011462492756</v>
      </c>
    </row>
    <row r="779" spans="1:7">
      <c r="A779" s="6">
        <v>767361.4893618185</v>
      </c>
      <c r="B779" s="6">
        <v>5.504398960734861E-07</v>
      </c>
      <c r="C779" s="6">
        <v>5.504398960734861E-07</v>
      </c>
      <c r="D779" s="6">
        <v>5.504398960734861E-07</v>
      </c>
      <c r="E779" s="7">
        <v>-5.185801916358281</v>
      </c>
      <c r="F779" s="7">
        <v>-5.185801916358281</v>
      </c>
      <c r="G779" s="7">
        <v>-5.185801916358281</v>
      </c>
    </row>
    <row r="780" spans="1:7">
      <c r="A780" s="6">
        <v>776247.1166286927</v>
      </c>
      <c r="B780" s="6">
        <v>5.199046836481231E-07</v>
      </c>
      <c r="C780" s="6">
        <v>5.199046836481231E-07</v>
      </c>
      <c r="D780" s="6">
        <v>5.199046836481231E-07</v>
      </c>
      <c r="E780" s="7">
        <v>-5.681525402689335</v>
      </c>
      <c r="F780" s="7">
        <v>-5.681525402689335</v>
      </c>
      <c r="G780" s="7">
        <v>-5.681525402689335</v>
      </c>
    </row>
    <row r="781" spans="1:7">
      <c r="A781" s="6">
        <v>785235.634610071</v>
      </c>
      <c r="B781" s="6">
        <v>4.909517678302981E-07</v>
      </c>
      <c r="C781" s="6">
        <v>4.909517678302981E-07</v>
      </c>
      <c r="D781" s="6">
        <v>4.909517678302981E-07</v>
      </c>
      <c r="E781" s="7">
        <v>-6.179223436320907</v>
      </c>
      <c r="F781" s="7">
        <v>-6.179223436320907</v>
      </c>
      <c r="G781" s="7">
        <v>-6.179223436320907</v>
      </c>
    </row>
    <row r="782" spans="1:7">
      <c r="A782" s="6">
        <v>794328.2347242822</v>
      </c>
      <c r="B782" s="6">
        <v>4.635035504776845E-07</v>
      </c>
      <c r="C782" s="6">
        <v>4.635035504776845E-07</v>
      </c>
      <c r="D782" s="6">
        <v>4.635035504776845E-07</v>
      </c>
      <c r="E782" s="7">
        <v>-6.678938695461495</v>
      </c>
      <c r="F782" s="7">
        <v>-6.678938695461495</v>
      </c>
      <c r="G782" s="7">
        <v>-6.678938695461495</v>
      </c>
    </row>
    <row r="783" spans="1:7">
      <c r="A783" s="6">
        <v>803526.1221856177</v>
      </c>
      <c r="B783" s="6">
        <v>4.374860872792839E-07</v>
      </c>
      <c r="C783" s="6">
        <v>4.374860872792839E-07</v>
      </c>
      <c r="D783" s="6">
        <v>4.374860872792839E-07</v>
      </c>
      <c r="E783" s="7">
        <v>-7.18071507289782</v>
      </c>
      <c r="F783" s="7">
        <v>-7.18071507289782</v>
      </c>
      <c r="G783" s="7">
        <v>-7.18071507289782</v>
      </c>
    </row>
    <row r="784" spans="1:7">
      <c r="A784" s="6">
        <v>812830.5161640996</v>
      </c>
      <c r="B784" s="6">
        <v>4.128289200742766E-07</v>
      </c>
      <c r="C784" s="6">
        <v>4.128289200742766E-07</v>
      </c>
      <c r="D784" s="6">
        <v>4.128289200742766E-07</v>
      </c>
      <c r="E784" s="7">
        <v>-7.684597730100677</v>
      </c>
      <c r="F784" s="7">
        <v>-7.684597730100677</v>
      </c>
      <c r="G784" s="7">
        <v>-7.684597730100677</v>
      </c>
    </row>
    <row r="785" spans="1:7">
      <c r="A785" s="6">
        <v>822242.6499470712</v>
      </c>
      <c r="B785" s="6">
        <v>3.894649167814427E-07</v>
      </c>
      <c r="C785" s="6">
        <v>3.894649167814427E-07</v>
      </c>
      <c r="D785" s="6">
        <v>3.894649167814427E-07</v>
      </c>
      <c r="E785" s="7">
        <v>-8.190633154409086</v>
      </c>
      <c r="F785" s="7">
        <v>-8.190633154409086</v>
      </c>
      <c r="G785" s="7">
        <v>-8.190633154409086</v>
      </c>
    </row>
    <row r="786" spans="1:7">
      <c r="A786" s="6">
        <v>831763.7711026708</v>
      </c>
      <c r="B786" s="6">
        <v>3.673301185938605E-07</v>
      </c>
      <c r="C786" s="6">
        <v>3.673301185938605E-07</v>
      </c>
      <c r="D786" s="6">
        <v>3.673301185938605E-07</v>
      </c>
      <c r="E786" s="7">
        <v>-8.698869219489344</v>
      </c>
      <c r="F786" s="7">
        <v>-8.698869219489344</v>
      </c>
      <c r="G786" s="7">
        <v>-8.698869219489344</v>
      </c>
    </row>
    <row r="787" spans="1:7">
      <c r="A787" s="6">
        <v>841395.1416451965</v>
      </c>
      <c r="B787" s="6">
        <v>3.463635941094279E-07</v>
      </c>
      <c r="C787" s="6">
        <v>3.463635941094279E-07</v>
      </c>
      <c r="D787" s="6">
        <v>3.463635941094279E-07</v>
      </c>
      <c r="E787" s="7">
        <v>-9.209355249276673</v>
      </c>
      <c r="F787" s="7">
        <v>-9.209355249276673</v>
      </c>
      <c r="G787" s="7">
        <v>-9.209355249276673</v>
      </c>
    </row>
    <row r="788" spans="1:7">
      <c r="A788" s="6">
        <v>851138.0382023759</v>
      </c>
      <c r="B788" s="6">
        <v>3.265073000826861E-07</v>
      </c>
      <c r="C788" s="6">
        <v>3.265073000826861E-07</v>
      </c>
      <c r="D788" s="6">
        <v>3.265073000826861E-07</v>
      </c>
      <c r="E788" s="7">
        <v>-9.72214208562281</v>
      </c>
      <c r="F788" s="7">
        <v>-9.72214208562281</v>
      </c>
      <c r="G788" s="7">
        <v>-9.72214208562281</v>
      </c>
    </row>
    <row r="789" spans="1:7">
      <c r="A789" s="6">
        <v>860993.7521846016</v>
      </c>
      <c r="B789" s="6">
        <v>3.077059484976039E-07</v>
      </c>
      <c r="C789" s="6">
        <v>3.077059484976039E-07</v>
      </c>
      <c r="D789" s="6">
        <v>3.077059484976039E-07</v>
      </c>
      <c r="E789" s="7">
        <v>-10.2372821598923</v>
      </c>
      <c r="F789" s="7">
        <v>-10.2372821598923</v>
      </c>
      <c r="G789" s="7">
        <v>-10.2372821598923</v>
      </c>
    </row>
    <row r="790" spans="1:7">
      <c r="A790" s="6">
        <v>870963.5899560796</v>
      </c>
      <c r="B790" s="6">
        <v>2.899068796748503E-07</v>
      </c>
      <c r="C790" s="6">
        <v>2.899068796748503E-07</v>
      </c>
      <c r="D790" s="6">
        <v>2.899068796748503E-07</v>
      </c>
      <c r="E790" s="7">
        <v>-10.75482956876254</v>
      </c>
      <c r="F790" s="7">
        <v>-10.75482956876254</v>
      </c>
      <c r="G790" s="7">
        <v>-10.75482956876254</v>
      </c>
    </row>
    <row r="791" spans="1:7">
      <c r="A791" s="6">
        <v>881048.8730080146</v>
      </c>
      <c r="B791" s="6">
        <v>2.730599411397588E-07</v>
      </c>
      <c r="C791" s="6">
        <v>2.730599411397588E-07</v>
      </c>
      <c r="D791" s="6">
        <v>2.730599411397588E-07</v>
      </c>
      <c r="E791" s="7">
        <v>-11.27484015451163</v>
      </c>
      <c r="F791" s="7">
        <v>-11.27484015451163</v>
      </c>
      <c r="G791" s="7">
        <v>-11.27484015451163</v>
      </c>
    </row>
    <row r="792" spans="1:7">
      <c r="A792" s="6">
        <v>891250.9381337459</v>
      </c>
      <c r="B792" s="6">
        <v>2.571173719900114E-07</v>
      </c>
      <c r="C792" s="6">
        <v>2.571173719900114E-07</v>
      </c>
      <c r="D792" s="6">
        <v>2.571173719900114E-07</v>
      </c>
      <c r="E792" s="7">
        <v>-11.79737159008919</v>
      </c>
      <c r="F792" s="7">
        <v>-11.79737159008919</v>
      </c>
      <c r="G792" s="7">
        <v>-11.79737159008919</v>
      </c>
    </row>
    <row r="793" spans="1:7">
      <c r="A793" s="6">
        <v>901571.137605957</v>
      </c>
      <c r="B793" s="6">
        <v>2.420336925135547E-07</v>
      </c>
      <c r="C793" s="6">
        <v>2.420336925135547E-07</v>
      </c>
      <c r="D793" s="6">
        <v>2.420336925135547E-07</v>
      </c>
      <c r="E793" s="7">
        <v>-12.32248346929982</v>
      </c>
      <c r="F793" s="7">
        <v>-12.32248346929982</v>
      </c>
      <c r="G793" s="7">
        <v>-12.32248346929982</v>
      </c>
    </row>
    <row r="794" spans="1:7">
      <c r="A794" s="6">
        <v>912010.8393559096</v>
      </c>
      <c r="B794" s="6">
        <v>2.277655988189055E-07</v>
      </c>
      <c r="C794" s="6">
        <v>2.277655988189055E-07</v>
      </c>
      <c r="D794" s="6">
        <v>2.277655988189055E-07</v>
      </c>
      <c r="E794" s="7">
        <v>-12.85023740244593</v>
      </c>
      <c r="F794" s="7">
        <v>-12.85023740244593</v>
      </c>
      <c r="G794" s="7">
        <v>-12.85023740244593</v>
      </c>
    </row>
    <row r="795" spans="1:7">
      <c r="A795" s="6">
        <v>922571.4271547629</v>
      </c>
      <c r="B795" s="6">
        <v>2.142718622506197E-07</v>
      </c>
      <c r="C795" s="6">
        <v>2.142718622506197E-07</v>
      </c>
      <c r="D795" s="6">
        <v>2.142718622506197E-07</v>
      </c>
      <c r="E795" s="7">
        <v>-13.38069711781124</v>
      </c>
      <c r="F795" s="7">
        <v>-13.38069711781124</v>
      </c>
      <c r="G795" s="7">
        <v>-13.38069711781124</v>
      </c>
    </row>
    <row r="796" spans="1:7">
      <c r="A796" s="6">
        <v>933254.3007969924</v>
      </c>
      <c r="B796" s="6">
        <v>2.015132333731154E-07</v>
      </c>
      <c r="C796" s="6">
        <v>2.015132333731154E-07</v>
      </c>
      <c r="D796" s="6">
        <v>2.015132333731154E-07</v>
      </c>
      <c r="E796" s="7">
        <v>-13.91392856939459</v>
      </c>
      <c r="F796" s="7">
        <v>-13.91392856939459</v>
      </c>
      <c r="G796" s="7">
        <v>-13.91392856939459</v>
      </c>
    </row>
    <row r="797" spans="1:7">
      <c r="A797" s="6">
        <v>944060.8762859226</v>
      </c>
      <c r="B797" s="6">
        <v>1.89452350315891E-07</v>
      </c>
      <c r="C797" s="6">
        <v>1.89452350315891E-07</v>
      </c>
      <c r="D797" s="6">
        <v>1.89452350315891E-07</v>
      </c>
      <c r="E797" s="7">
        <v>-14.45000005133842</v>
      </c>
      <c r="F797" s="7">
        <v>-14.45000005133842</v>
      </c>
      <c r="G797" s="7">
        <v>-14.45000005133842</v>
      </c>
    </row>
    <row r="798" spans="1:7">
      <c r="A798" s="6">
        <v>954992.5860214368</v>
      </c>
      <c r="B798" s="6">
        <v>1.780536512825361E-07</v>
      </c>
      <c r="C798" s="6">
        <v>1.780536512825361E-07</v>
      </c>
      <c r="D798" s="6">
        <v>1.780536512825361E-07</v>
      </c>
      <c r="E798" s="7">
        <v>-14.9889823195364</v>
      </c>
      <c r="F798" s="7">
        <v>-14.9889823195364</v>
      </c>
      <c r="G798" s="7">
        <v>-14.9889823195364</v>
      </c>
    </row>
    <row r="799" spans="1:7">
      <c r="A799" s="6">
        <v>966050.8789898121</v>
      </c>
      <c r="B799" s="6">
        <v>1.672832910350533E-07</v>
      </c>
      <c r="C799" s="6">
        <v>1.672832910350533E-07</v>
      </c>
      <c r="D799" s="6">
        <v>1.672832910350533E-07</v>
      </c>
      <c r="E799" s="7">
        <v>-15.53094872094018</v>
      </c>
      <c r="F799" s="7">
        <v>-15.53094872094018</v>
      </c>
      <c r="G799" s="7">
        <v>-15.53094872094018</v>
      </c>
    </row>
    <row r="800" spans="1:7">
      <c r="A800" s="6">
        <v>977237.2209558112</v>
      </c>
      <c r="B800" s="6">
        <v>1.571090611733819E-07</v>
      </c>
      <c r="C800" s="6">
        <v>1.571090611733819E-07</v>
      </c>
      <c r="D800" s="6">
        <v>1.571090611733819E-07</v>
      </c>
      <c r="E800" s="7">
        <v>-16.07597533113987</v>
      </c>
      <c r="F800" s="7">
        <v>-16.07597533113987</v>
      </c>
      <c r="G800" s="7">
        <v>-16.07597533113987</v>
      </c>
    </row>
    <row r="801" spans="1:7">
      <c r="A801" s="6">
        <v>988553.094656939</v>
      </c>
      <c r="B801" s="6">
        <v>1.475003140384448E-07</v>
      </c>
      <c r="C801" s="6">
        <v>1.475003140384448E-07</v>
      </c>
      <c r="D801" s="6">
        <v>1.475003140384448E-07</v>
      </c>
      <c r="E801" s="7">
        <v>-16.6241411008325</v>
      </c>
      <c r="F801" s="7">
        <v>-16.6241411008325</v>
      </c>
      <c r="G801" s="7">
        <v>-16.6241411008325</v>
      </c>
    </row>
    <row r="802" spans="1:7">
      <c r="A802" s="6">
        <v>1000000</v>
      </c>
      <c r="B802" s="6">
        <v>1.3842789007462E-07</v>
      </c>
      <c r="C802" s="6">
        <v>1.3842789007462E-07</v>
      </c>
      <c r="D802" s="6">
        <v>1.3842789007462E-07</v>
      </c>
      <c r="E802" s="7">
        <v>-17.17552801185862</v>
      </c>
      <c r="F802" s="7">
        <v>-17.17552801185862</v>
      </c>
      <c r="G802" s="7">
        <v>-17.17552801185862</v>
      </c>
    </row>
    <row r="803" spans="1:7">
      <c r="A803" s="6">
        <v>1011579.454259898</v>
      </c>
      <c r="B803" s="6">
        <v>1.298640484951983E-07</v>
      </c>
      <c r="C803" s="6">
        <v>1.298640484951983E-07</v>
      </c>
      <c r="D803" s="6">
        <v>1.298640484951983E-07</v>
      </c>
      <c r="E803" s="7">
        <v>-17.73022124353941</v>
      </c>
      <c r="F803" s="7">
        <v>-17.73022124353941</v>
      </c>
      <c r="G803" s="7">
        <v>-17.73022124353941</v>
      </c>
    </row>
    <row r="804" spans="1:7">
      <c r="A804" s="6">
        <v>1023292.992280754</v>
      </c>
      <c r="B804" s="6">
        <v>1.21782401101379E-07</v>
      </c>
      <c r="C804" s="6">
        <v>1.21782401101379E-07</v>
      </c>
      <c r="D804" s="6">
        <v>1.21782401101379E-07</v>
      </c>
      <c r="E804" s="7">
        <v>-18.28830935012009</v>
      </c>
      <c r="F804" s="7">
        <v>-18.28830935012009</v>
      </c>
      <c r="G804" s="7">
        <v>-18.28830935012009</v>
      </c>
    </row>
    <row r="805" spans="1:7">
      <c r="A805" s="6">
        <v>1035142.166679343</v>
      </c>
      <c r="B805" s="6">
        <v>1.141578491122154E-07</v>
      </c>
      <c r="C805" s="6">
        <v>1.141578491122154E-07</v>
      </c>
      <c r="D805" s="6">
        <v>1.141578491122154E-07</v>
      </c>
      <c r="E805" s="7">
        <v>-18.84988445019756</v>
      </c>
      <c r="F805" s="7">
        <v>-18.84988445019756</v>
      </c>
      <c r="G805" s="7">
        <v>-18.84988445019756</v>
      </c>
    </row>
    <row r="806" spans="1:7">
      <c r="A806" s="6">
        <v>1047128.548050901</v>
      </c>
      <c r="B806" s="6">
        <v>1.069665228693939E-07</v>
      </c>
      <c r="C806" s="6">
        <v>1.069665228693939E-07</v>
      </c>
      <c r="D806" s="6">
        <v>1.069665228693939E-07</v>
      </c>
      <c r="E806" s="7">
        <v>-19.41504242909346</v>
      </c>
      <c r="F806" s="7">
        <v>-19.41504242909346</v>
      </c>
      <c r="G806" s="7">
        <v>-19.41504242909346</v>
      </c>
    </row>
    <row r="807" spans="1:7">
      <c r="A807" s="6">
        <v>1059253.72517729</v>
      </c>
      <c r="B807" s="6">
        <v>1.001857242869321E-07</v>
      </c>
      <c r="C807" s="6">
        <v>1.001857242869321E-07</v>
      </c>
      <c r="D807" s="6">
        <v>1.001857242869321E-07</v>
      </c>
      <c r="E807" s="7">
        <v>-19.98388315522509</v>
      </c>
      <c r="F807" s="7">
        <v>-19.98388315522509</v>
      </c>
      <c r="G807" s="7">
        <v>-19.98388315522509</v>
      </c>
    </row>
    <row r="808" spans="1:7">
      <c r="A808" s="6">
        <v>1071519.305237607</v>
      </c>
      <c r="B808" s="6">
        <v>9.379387192176253E-08</v>
      </c>
      <c r="C808" s="6">
        <v>9.379387192176253E-08</v>
      </c>
      <c r="D808" s="6">
        <v>9.379387192176253E-08</v>
      </c>
      <c r="E808" s="7">
        <v>-20.55651071163045</v>
      </c>
      <c r="F808" s="7">
        <v>-20.55651071163045</v>
      </c>
      <c r="G808" s="7">
        <v>-20.55651071163045</v>
      </c>
    </row>
    <row r="809" spans="1:7">
      <c r="A809" s="6">
        <v>1083926.914021204</v>
      </c>
      <c r="B809" s="6">
        <v>8.777044854686351E-08</v>
      </c>
      <c r="C809" s="6">
        <v>8.777044854686351E-08</v>
      </c>
      <c r="D809" s="6">
        <v>8.777044854686351E-08</v>
      </c>
      <c r="E809" s="7">
        <v>-21.13303364391298</v>
      </c>
      <c r="F809" s="7">
        <v>-21.13303364391298</v>
      </c>
      <c r="G809" s="7">
        <v>-21.13303364391298</v>
      </c>
    </row>
    <row r="810" spans="1:7">
      <c r="A810" s="6">
        <v>1096478.196143185</v>
      </c>
      <c r="B810" s="6">
        <v>8.209595111392453E-08</v>
      </c>
      <c r="C810" s="6">
        <v>8.209595111392453E-08</v>
      </c>
      <c r="D810" s="6">
        <v>8.209595111392453E-08</v>
      </c>
      <c r="E810" s="7">
        <v>-21.71356522600124</v>
      </c>
      <c r="F810" s="7">
        <v>-21.71356522600124</v>
      </c>
      <c r="G810" s="7">
        <v>-21.71356522600124</v>
      </c>
    </row>
    <row r="811" spans="1:7">
      <c r="A811" s="6">
        <v>1109174.815262401</v>
      </c>
      <c r="B811" s="6">
        <v>7.675184299770647E-08</v>
      </c>
      <c r="C811" s="6">
        <v>7.675184299770647E-08</v>
      </c>
      <c r="D811" s="6">
        <v>7.675184299770647E-08</v>
      </c>
      <c r="E811" s="7">
        <v>-22.29822374525677</v>
      </c>
      <c r="F811" s="7">
        <v>-22.29822374525677</v>
      </c>
      <c r="G811" s="7">
        <v>-22.29822374525677</v>
      </c>
    </row>
    <row r="812" spans="1:7">
      <c r="A812" s="6">
        <v>1122018.454301963</v>
      </c>
      <c r="B812" s="6">
        <v>7.172050841914725E-08</v>
      </c>
      <c r="C812" s="6">
        <v>7.172050841914725E-08</v>
      </c>
      <c r="D812" s="6">
        <v>7.172050841914725E-08</v>
      </c>
      <c r="E812" s="7">
        <v>-22.88713280861998</v>
      </c>
      <c r="F812" s="7">
        <v>-22.88713280861998</v>
      </c>
      <c r="G812" s="7">
        <v>-22.88713280861998</v>
      </c>
    </row>
    <row r="813" spans="1:7">
      <c r="A813" s="6">
        <v>1135010.815672314</v>
      </c>
      <c r="B813" s="6">
        <v>6.698520894894122E-08</v>
      </c>
      <c r="C813" s="6">
        <v>6.698520894894122E-08</v>
      </c>
      <c r="D813" s="6">
        <v>6.698520894894122E-08</v>
      </c>
      <c r="E813" s="7">
        <v>-23.48042167165868</v>
      </c>
      <c r="F813" s="7">
        <v>-23.48042167165868</v>
      </c>
      <c r="G813" s="7">
        <v>-23.48042167165868</v>
      </c>
    </row>
    <row r="814" spans="1:7">
      <c r="A814" s="6">
        <v>1148153.621496884</v>
      </c>
      <c r="B814" s="6">
        <v>6.253004199778435E-08</v>
      </c>
      <c r="C814" s="6">
        <v>6.253004199778435E-08</v>
      </c>
      <c r="D814" s="6">
        <v>6.253004199778435E-08</v>
      </c>
      <c r="E814" s="7">
        <v>-24.0782255925789</v>
      </c>
      <c r="F814" s="7">
        <v>-24.0782255925789</v>
      </c>
      <c r="G814" s="7">
        <v>-24.0782255925789</v>
      </c>
    </row>
    <row r="815" spans="1:7">
      <c r="A815" s="6">
        <v>1161448.613840344</v>
      </c>
      <c r="B815" s="6">
        <v>5.833990120374295E-08</v>
      </c>
      <c r="C815" s="6">
        <v>5.833990120374295E-08</v>
      </c>
      <c r="D815" s="6">
        <v>5.833990120374295E-08</v>
      </c>
      <c r="E815" s="7">
        <v>-24.68068621347517</v>
      </c>
      <c r="F815" s="7">
        <v>-24.68068621347517</v>
      </c>
      <c r="G815" s="7">
        <v>-24.68068621347517</v>
      </c>
    </row>
    <row r="816" spans="1:7">
      <c r="A816" s="6">
        <v>1174897.55493953</v>
      </c>
      <c r="B816" s="6">
        <v>5.440043863124701E-08</v>
      </c>
      <c r="C816" s="6">
        <v>5.440043863124701E-08</v>
      </c>
      <c r="D816" s="6">
        <v>5.440043863124701E-08</v>
      </c>
      <c r="E816" s="7">
        <v>-25.28795197134442</v>
      </c>
      <c r="F816" s="7">
        <v>-25.28795197134442</v>
      </c>
      <c r="G816" s="7">
        <v>-25.28795197134442</v>
      </c>
    </row>
    <row r="817" spans="1:7">
      <c r="A817" s="6">
        <v>1188502.227437019</v>
      </c>
      <c r="B817" s="6">
        <v>5.069802870011857E-08</v>
      </c>
      <c r="C817" s="6">
        <v>5.069802870011857E-08</v>
      </c>
      <c r="D817" s="6">
        <v>5.069802870011857E-08</v>
      </c>
      <c r="E817" s="7">
        <v>-25.90017854165868</v>
      </c>
      <c r="F817" s="7">
        <v>-25.90017854165868</v>
      </c>
      <c r="G817" s="7">
        <v>-25.90017854165868</v>
      </c>
    </row>
    <row r="818" spans="1:7">
      <c r="A818" s="6">
        <v>1202264.434617413</v>
      </c>
      <c r="B818" s="6">
        <v>4.721973376671285E-08</v>
      </c>
      <c r="C818" s="6">
        <v>4.721973376671285E-08</v>
      </c>
      <c r="D818" s="6">
        <v>4.721973376671285E-08</v>
      </c>
      <c r="E818" s="7">
        <v>-26.51752931760389</v>
      </c>
      <c r="F818" s="7">
        <v>-26.51752931760389</v>
      </c>
      <c r="G818" s="7">
        <v>-26.51752931760389</v>
      </c>
    </row>
    <row r="819" spans="1:7">
      <c r="A819" s="6">
        <v>1216186.000646368</v>
      </c>
      <c r="B819" s="6">
        <v>4.395327128279871E-08</v>
      </c>
      <c r="C819" s="6">
        <v>4.395327128279871E-08</v>
      </c>
      <c r="D819" s="6">
        <v>4.395327128279871E-08</v>
      </c>
      <c r="E819" s="7">
        <v>-27.14017592843757</v>
      </c>
      <c r="F819" s="7">
        <v>-27.14017592843757</v>
      </c>
      <c r="G819" s="7">
        <v>-27.14017592843757</v>
      </c>
    </row>
    <row r="820" spans="1:7">
      <c r="A820" s="6">
        <v>1230268.770812381</v>
      </c>
      <c r="B820" s="6">
        <v>4.088698246116342E-08</v>
      </c>
      <c r="C820" s="6">
        <v>4.088698246116342E-08</v>
      </c>
      <c r="D820" s="6">
        <v>4.088698246116342E-08</v>
      </c>
      <c r="E820" s="7">
        <v>-27.76829880081018</v>
      </c>
      <c r="F820" s="7">
        <v>-27.76829880081018</v>
      </c>
      <c r="G820" s="7">
        <v>-27.76829880081018</v>
      </c>
    </row>
    <row r="821" spans="1:7">
      <c r="A821" s="6">
        <v>1244514.611771384</v>
      </c>
      <c r="B821" s="6">
        <v>3.800980238014423E-08</v>
      </c>
      <c r="C821" s="6">
        <v>3.800980238014423E-08</v>
      </c>
      <c r="D821" s="6">
        <v>3.800980238014423E-08</v>
      </c>
      <c r="E821" s="7">
        <v>-28.40208776733597</v>
      </c>
      <c r="F821" s="7">
        <v>-28.40208776733597</v>
      </c>
      <c r="G821" s="7">
        <v>-28.40208776733597</v>
      </c>
    </row>
    <row r="822" spans="1:7">
      <c r="A822" s="6">
        <v>1258925.411794166</v>
      </c>
      <c r="B822" s="6">
        <v>3.53112314623486E-08</v>
      </c>
      <c r="C822" s="6">
        <v>3.53112314623486E-08</v>
      </c>
      <c r="D822" s="6">
        <v>3.53112314623486E-08</v>
      </c>
      <c r="E822" s="7">
        <v>-29.04174272719922</v>
      </c>
      <c r="F822" s="7">
        <v>-29.04174272719922</v>
      </c>
      <c r="G822" s="7">
        <v>-29.04174272719922</v>
      </c>
    </row>
    <row r="823" spans="1:7">
      <c r="A823" s="6">
        <v>1273503.081016663</v>
      </c>
      <c r="B823" s="6">
        <v>3.278130826575238E-08</v>
      </c>
      <c r="C823" s="6">
        <v>3.278130826575238E-08</v>
      </c>
      <c r="D823" s="6">
        <v>3.278130826575238E-08</v>
      </c>
      <c r="E823" s="7">
        <v>-29.68747436414542</v>
      </c>
      <c r="F823" s="7">
        <v>-29.68747436414542</v>
      </c>
      <c r="G823" s="7">
        <v>-29.68747436414542</v>
      </c>
    </row>
    <row r="824" spans="1:7">
      <c r="A824" s="6">
        <v>1288249.551693135</v>
      </c>
      <c r="B824" s="6">
        <v>3.041058352815554E-08</v>
      </c>
      <c r="C824" s="6">
        <v>3.041058352815554E-08</v>
      </c>
      <c r="D824" s="6">
        <v>3.041058352815554E-08</v>
      </c>
      <c r="E824" s="7">
        <v>-30.33950492784634</v>
      </c>
      <c r="F824" s="7">
        <v>-30.33950492784634</v>
      </c>
      <c r="G824" s="7">
        <v>-30.33950492784634</v>
      </c>
    </row>
    <row r="825" spans="1:7">
      <c r="A825" s="6">
        <v>1303166.7784523</v>
      </c>
      <c r="B825" s="6">
        <v>2.81900954086269E-08</v>
      </c>
      <c r="C825" s="6">
        <v>2.81900954086269E-08</v>
      </c>
      <c r="D825" s="6">
        <v>2.81900954086269E-08</v>
      </c>
      <c r="E825" s="7">
        <v>-30.99806908535612</v>
      </c>
      <c r="F825" s="7">
        <v>-30.99806908535612</v>
      </c>
      <c r="G825" s="7">
        <v>-30.99806908535612</v>
      </c>
    </row>
    <row r="826" spans="1:7">
      <c r="A826" s="6">
        <v>1318256.738556407</v>
      </c>
      <c r="B826" s="6">
        <v>2.611134587212443E-08</v>
      </c>
      <c r="C826" s="6">
        <v>2.611134587212443E-08</v>
      </c>
      <c r="D826" s="6">
        <v>2.611134587212443E-08</v>
      </c>
      <c r="E826" s="7">
        <v>-31.66341485019527</v>
      </c>
      <c r="F826" s="7">
        <v>-31.66341485019527</v>
      </c>
      <c r="G826" s="7">
        <v>-31.66341485019527</v>
      </c>
    </row>
    <row r="827" spans="1:7">
      <c r="A827" s="6">
        <v>1333521.432163324</v>
      </c>
      <c r="B827" s="6">
        <v>2.416627816588295E-08</v>
      </c>
      <c r="C827" s="6">
        <v>2.416627816588295E-08</v>
      </c>
      <c r="D827" s="6">
        <v>2.416627816588295E-08</v>
      </c>
      <c r="E827" s="7">
        <v>-32.3358045975412</v>
      </c>
      <c r="F827" s="7">
        <v>-32.3358045975412</v>
      </c>
      <c r="G827" s="7">
        <v>-32.3358045975412</v>
      </c>
    </row>
    <row r="828" spans="1:7">
      <c r="A828" s="6">
        <v>1348962.882591653</v>
      </c>
      <c r="B828" s="6">
        <v>2.234725533848177E-08</v>
      </c>
      <c r="C828" s="6">
        <v>2.234725533848177E-08</v>
      </c>
      <c r="D828" s="6">
        <v>2.234725533848177E-08</v>
      </c>
      <c r="E828" s="7">
        <v>-33.01551617506907</v>
      </c>
      <c r="F828" s="7">
        <v>-33.01551617506907</v>
      </c>
      <c r="G828" s="7">
        <v>-33.01551617506907</v>
      </c>
    </row>
    <row r="829" spans="1:7">
      <c r="A829" s="6">
        <v>1364583.136588924</v>
      </c>
      <c r="B829" s="6">
        <v>2.064703975470641E-08</v>
      </c>
      <c r="C829" s="6">
        <v>2.064703975470641E-08</v>
      </c>
      <c r="D829" s="6">
        <v>2.064703975470641E-08</v>
      </c>
      <c r="E829" s="7">
        <v>-33.7028441202036</v>
      </c>
      <c r="F829" s="7">
        <v>-33.7028441202036</v>
      </c>
      <c r="G829" s="7">
        <v>-33.7028441202036</v>
      </c>
    </row>
    <row r="830" spans="1:7">
      <c r="A830" s="6">
        <v>1380384.264602884</v>
      </c>
      <c r="B830" s="6">
        <v>1.905877356142122E-08</v>
      </c>
      <c r="C830" s="6">
        <v>1.905877356142122E-08</v>
      </c>
      <c r="D830" s="6">
        <v>1.905877356142122E-08</v>
      </c>
      <c r="E830" s="7">
        <v>-34.39810099593122</v>
      </c>
      <c r="F830" s="7">
        <v>-34.39810099593122</v>
      </c>
      <c r="G830" s="7">
        <v>-34.39810099593122</v>
      </c>
    </row>
    <row r="831" spans="1:7">
      <c r="A831" s="6">
        <v>1396368.361055939</v>
      </c>
      <c r="B831" s="6">
        <v>1.757596006167817E-08</v>
      </c>
      <c r="C831" s="6">
        <v>1.757596006167817E-08</v>
      </c>
      <c r="D831" s="6">
        <v>1.757596006167817E-08</v>
      </c>
      <c r="E831" s="7">
        <v>-35.10161885890669</v>
      </c>
      <c r="F831" s="7">
        <v>-35.10161885890669</v>
      </c>
      <c r="G831" s="7">
        <v>-35.10161885890669</v>
      </c>
    </row>
    <row r="832" spans="1:7">
      <c r="A832" s="6">
        <v>1412537.544622755</v>
      </c>
      <c r="B832" s="6">
        <v>1.619244595620218E-08</v>
      </c>
      <c r="C832" s="6">
        <v>1.619244595620218E-08</v>
      </c>
      <c r="D832" s="6">
        <v>1.619244595620218E-08</v>
      </c>
      <c r="E832" s="7">
        <v>-35.81375087539936</v>
      </c>
      <c r="F832" s="7">
        <v>-35.81375087539936</v>
      </c>
      <c r="G832" s="7">
        <v>-35.81375087539936</v>
      </c>
    </row>
    <row r="833" spans="1:7">
      <c r="A833" s="6">
        <v>1428893.958511104</v>
      </c>
      <c r="B833" s="6">
        <v>1.49024044132155E-08</v>
      </c>
      <c r="C833" s="6">
        <v>1.49024044132155E-08</v>
      </c>
      <c r="D833" s="6">
        <v>1.49024044132155E-08</v>
      </c>
      <c r="E833" s="7">
        <v>-36.53487310269733</v>
      </c>
      <c r="F833" s="7">
        <v>-36.53487310269733</v>
      </c>
      <c r="G833" s="7">
        <v>-36.53487310269733</v>
      </c>
    </row>
    <row r="834" spans="1:7">
      <c r="A834" s="6">
        <v>1445439.770745928</v>
      </c>
      <c r="B834" s="6">
        <v>1.370031892931738E-08</v>
      </c>
      <c r="C834" s="6">
        <v>1.370031892931738E-08</v>
      </c>
      <c r="D834" s="6">
        <v>1.370031892931738E-08</v>
      </c>
      <c r="E834" s="7">
        <v>-37.26538645595148</v>
      </c>
      <c r="F834" s="7">
        <v>-37.26538645595148</v>
      </c>
      <c r="G834" s="7">
        <v>-37.26538645595148</v>
      </c>
    </row>
    <row r="835" spans="1:7">
      <c r="A835" s="6">
        <v>1462177.174456718</v>
      </c>
      <c r="B835" s="6">
        <v>1.25809679457882E-08</v>
      </c>
      <c r="C835" s="6">
        <v>1.25809679457882E-08</v>
      </c>
      <c r="D835" s="6">
        <v>1.25809679457882E-08</v>
      </c>
      <c r="E835" s="7">
        <v>-38.00571888315207</v>
      </c>
      <c r="F835" s="7">
        <v>-38.00571888315207</v>
      </c>
      <c r="G835" s="7">
        <v>-38.00571888315207</v>
      </c>
    </row>
    <row r="836" spans="1:7">
      <c r="A836" s="6">
        <v>1479108.388168207</v>
      </c>
      <c r="B836" s="6">
        <v>1.153941018628327E-08</v>
      </c>
      <c r="C836" s="6">
        <v>1.153941018628327E-08</v>
      </c>
      <c r="D836" s="6">
        <v>1.153941018628327E-08</v>
      </c>
      <c r="E836" s="7">
        <v>-38.75632777401958</v>
      </c>
      <c r="F836" s="7">
        <v>-38.75632777401958</v>
      </c>
      <c r="G836" s="7">
        <v>-38.75632777401958</v>
      </c>
    </row>
    <row r="837" spans="1:7">
      <c r="A837" s="6">
        <v>1496235.656094433</v>
      </c>
      <c r="B837" s="6">
        <v>1.057097068339236E-08</v>
      </c>
      <c r="C837" s="6">
        <v>1.057097068339236E-08</v>
      </c>
      <c r="D837" s="6">
        <v>1.057097068339236E-08</v>
      </c>
      <c r="E837" s="7">
        <v>-39.51770263211956</v>
      </c>
      <c r="F837" s="7">
        <v>-39.51770263211956</v>
      </c>
      <c r="G837" s="7">
        <v>-39.51770263211956</v>
      </c>
    </row>
    <row r="838" spans="1:7">
      <c r="A838" s="6">
        <v>1513561.248436207</v>
      </c>
      <c r="B838" s="6">
        <v>9.671227462990914E-09</v>
      </c>
      <c r="C838" s="6">
        <v>9.671227462990914E-09</v>
      </c>
      <c r="D838" s="6">
        <v>9.671227462990914E-09</v>
      </c>
      <c r="E838" s="7">
        <v>-40.29036804352459</v>
      </c>
      <c r="F838" s="7">
        <v>-40.29036804352459</v>
      </c>
      <c r="G838" s="7">
        <v>-40.29036804352459</v>
      </c>
    </row>
    <row r="839" spans="1:7">
      <c r="A839" s="6">
        <v>1531087.461682032</v>
      </c>
      <c r="B839" s="6">
        <v>8.835998856687564E-09</v>
      </c>
      <c r="C839" s="6">
        <v>8.835998856687564E-09</v>
      </c>
      <c r="D839" s="6">
        <v>8.835998856687564E-09</v>
      </c>
      <c r="E839" s="7">
        <v>-41.07488697990141</v>
      </c>
      <c r="F839" s="7">
        <v>-41.07488697990141</v>
      </c>
      <c r="G839" s="7">
        <v>-41.07488697990141</v>
      </c>
    </row>
    <row r="840" spans="1:7">
      <c r="A840" s="6">
        <v>1548816.618912483</v>
      </c>
      <c r="B840" s="6">
        <v>8.061331413993037E-09</v>
      </c>
      <c r="C840" s="6">
        <v>8.061331413993037E-09</v>
      </c>
      <c r="D840" s="6">
        <v>8.061331413993037E-09</v>
      </c>
      <c r="E840" s="7">
        <v>-41.87186447904054</v>
      </c>
      <c r="F840" s="7">
        <v>-41.87186447904054</v>
      </c>
      <c r="G840" s="7">
        <v>-41.87186447904054</v>
      </c>
    </row>
    <row r="841" spans="1:7">
      <c r="A841" s="6">
        <v>1566751.07010815</v>
      </c>
      <c r="B841" s="6">
        <v>7.343488387090974E-09</v>
      </c>
      <c r="C841" s="6">
        <v>7.343488387090974E-09</v>
      </c>
      <c r="D841" s="6">
        <v>7.343488387090974E-09</v>
      </c>
      <c r="E841" s="7">
        <v>-42.68195175161279</v>
      </c>
      <c r="F841" s="7">
        <v>-42.68195175161279</v>
      </c>
      <c r="G841" s="7">
        <v>-42.68195175161279</v>
      </c>
    </row>
    <row r="842" spans="1:7">
      <c r="A842" s="6">
        <v>1584893.192461114</v>
      </c>
      <c r="B842" s="6">
        <v>6.678938762297956E-09</v>
      </c>
      <c r="C842" s="6">
        <v>6.678938762297956E-09</v>
      </c>
      <c r="D842" s="6">
        <v>6.678938762297956E-09</v>
      </c>
      <c r="E842" s="7">
        <v>-43.50585076932788</v>
      </c>
      <c r="F842" s="7">
        <v>-43.50585076932788</v>
      </c>
      <c r="G842" s="7">
        <v>-43.50585076932788</v>
      </c>
    </row>
    <row r="843" spans="1:7">
      <c r="A843" s="6">
        <v>1603245.390690042</v>
      </c>
      <c r="B843" s="6">
        <v>6.064346813442553E-09</v>
      </c>
      <c r="C843" s="6">
        <v>6.064346813442553E-09</v>
      </c>
      <c r="D843" s="6">
        <v>6.064346813442553E-09</v>
      </c>
      <c r="E843" s="7">
        <v>-44.34431939667113</v>
      </c>
      <c r="F843" s="7">
        <v>-44.34431939667113</v>
      </c>
      <c r="G843" s="7">
        <v>-44.34431939667113</v>
      </c>
    </row>
    <row r="844" spans="1:7">
      <c r="A844" s="6">
        <v>1621810.09735893</v>
      </c>
      <c r="B844" s="6">
        <v>5.496562153492661E-09</v>
      </c>
      <c r="C844" s="6">
        <v>5.496562153492661E-09</v>
      </c>
      <c r="D844" s="6">
        <v>5.496562153492661E-09</v>
      </c>
      <c r="E844" s="7">
        <v>-45.19817713587381</v>
      </c>
      <c r="F844" s="7">
        <v>-45.19817713587381</v>
      </c>
      <c r="G844" s="7">
        <v>-45.19817713587381</v>
      </c>
    </row>
    <row r="845" spans="1:7">
      <c r="A845" s="6">
        <v>1640589.773199539</v>
      </c>
      <c r="B845" s="6">
        <v>4.972610261805617E-09</v>
      </c>
      <c r="C845" s="6">
        <v>4.972610261805617E-09</v>
      </c>
      <c r="D845" s="6">
        <v>4.972610261805617E-09</v>
      </c>
      <c r="E845" s="7">
        <v>-46.06831156251063</v>
      </c>
      <c r="F845" s="7">
        <v>-46.06831156251063</v>
      </c>
      <c r="G845" s="7">
        <v>-46.06831156251063</v>
      </c>
    </row>
    <row r="846" spans="1:7">
      <c r="A846" s="6">
        <v>1659586.90743756</v>
      </c>
      <c r="B846" s="6">
        <v>4.489683465375946E-09</v>
      </c>
      <c r="C846" s="6">
        <v>4.489683465375946E-09</v>
      </c>
      <c r="D846" s="6">
        <v>4.489683465375946E-09</v>
      </c>
      <c r="E846" s="7">
        <v>-46.9556855366659</v>
      </c>
      <c r="F846" s="7">
        <v>-46.9556855366659</v>
      </c>
      <c r="G846" s="7">
        <v>-46.9556855366659</v>
      </c>
    </row>
    <row r="847" spans="1:7">
      <c r="A847" s="6">
        <v>1678804.018122559</v>
      </c>
      <c r="B847" s="6">
        <v>4.045132353410902E-09</v>
      </c>
      <c r="C847" s="6">
        <v>4.045132353410902E-09</v>
      </c>
      <c r="D847" s="6">
        <v>4.045132353410902E-09</v>
      </c>
      <c r="E847" s="7">
        <v>-47.86134528120401</v>
      </c>
      <c r="F847" s="7">
        <v>-47.86134528120401</v>
      </c>
      <c r="G847" s="7">
        <v>-47.86134528120401</v>
      </c>
    </row>
    <row r="848" spans="1:7">
      <c r="A848" s="6">
        <v>1698243.652461746</v>
      </c>
      <c r="B848" s="6">
        <v>3.636457605476217E-09</v>
      </c>
      <c r="C848" s="6">
        <v>3.636457605476217E-09</v>
      </c>
      <c r="D848" s="6">
        <v>3.636457605476217E-09</v>
      </c>
      <c r="E848" s="7">
        <v>-48.7864294230365</v>
      </c>
      <c r="F848" s="7">
        <v>-48.7864294230365</v>
      </c>
      <c r="G848" s="7">
        <v>-48.7864294230365</v>
      </c>
    </row>
    <row r="849" spans="1:7">
      <c r="A849" s="6">
        <v>1717908.387157589</v>
      </c>
      <c r="B849" s="6">
        <v>3.261302214327166E-09</v>
      </c>
      <c r="C849" s="6">
        <v>3.261302214327166E-09</v>
      </c>
      <c r="D849" s="6">
        <v>3.261302214327166E-09</v>
      </c>
      <c r="E849" s="7">
        <v>-49.73217909328782</v>
      </c>
      <c r="F849" s="7">
        <v>-49.73217909328782</v>
      </c>
      <c r="G849" s="7">
        <v>-49.73217909328782</v>
      </c>
    </row>
    <row r="850" spans="1:7">
      <c r="A850" s="6">
        <v>1737800.828749376</v>
      </c>
      <c r="B850" s="6">
        <v>2.917444085371866E-09</v>
      </c>
      <c r="C850" s="6">
        <v>2.917444085371866E-09</v>
      </c>
      <c r="D850" s="6">
        <v>2.917444085371866E-09</v>
      </c>
      <c r="E850" s="7">
        <v>-50.69994917452696</v>
      </c>
      <c r="F850" s="7">
        <v>-50.69994917452696</v>
      </c>
      <c r="G850" s="7">
        <v>-50.69994917452696</v>
      </c>
    </row>
    <row r="851" spans="1:7">
      <c r="A851" s="6">
        <v>1757923.613958693</v>
      </c>
      <c r="B851" s="6">
        <v>2.602788995512609E-09</v>
      </c>
      <c r="C851" s="6">
        <v>2.602788995512609E-09</v>
      </c>
      <c r="D851" s="6">
        <v>2.602788995512609E-09</v>
      </c>
      <c r="E851" s="7">
        <v>-51.69122076227872</v>
      </c>
      <c r="F851" s="7">
        <v>-51.69122076227872</v>
      </c>
      <c r="G851" s="7">
        <v>-51.69122076227872</v>
      </c>
    </row>
    <row r="852" spans="1:7">
      <c r="A852" s="6">
        <v>1778279.410038923</v>
      </c>
      <c r="B852" s="6">
        <v>2.315363894869706E-09</v>
      </c>
      <c r="C852" s="6">
        <v>2.315363894869706E-09</v>
      </c>
      <c r="D852" s="6">
        <v>2.315363894869706E-09</v>
      </c>
      <c r="E852" s="7">
        <v>-52.70761486515169</v>
      </c>
      <c r="F852" s="7">
        <v>-52.70761486515169</v>
      </c>
      <c r="G852" s="7">
        <v>-52.70761486515169</v>
      </c>
    </row>
    <row r="853" spans="1:7">
      <c r="A853" s="6">
        <v>1798870.915128788</v>
      </c>
      <c r="B853" s="6">
        <v>2.05331053562162E-09</v>
      </c>
      <c r="C853" s="6">
        <v>2.05331053562162E-09</v>
      </c>
      <c r="D853" s="6">
        <v>2.05331053562162E-09</v>
      </c>
      <c r="E853" s="7">
        <v>-53.75090728917645</v>
      </c>
      <c r="F853" s="7">
        <v>-53.75090728917645</v>
      </c>
      <c r="G853" s="7">
        <v>-53.75090728917645</v>
      </c>
    </row>
    <row r="854" spans="1:7">
      <c r="A854" s="6">
        <v>1819700.858609983</v>
      </c>
      <c r="B854" s="6">
        <v>1.814879412890223E-09</v>
      </c>
      <c r="C854" s="6">
        <v>1.814879412890223E-09</v>
      </c>
      <c r="D854" s="6">
        <v>1.814879412890223E-09</v>
      </c>
      <c r="E854" s="7">
        <v>-54.82304451510462</v>
      </c>
      <c r="F854" s="7">
        <v>-54.82304451510462</v>
      </c>
      <c r="G854" s="7">
        <v>-54.82304451510462</v>
      </c>
    </row>
    <row r="855" spans="1:7">
      <c r="A855" s="6">
        <v>1840772.001468954</v>
      </c>
      <c r="B855" s="6">
        <v>1.59842400326538E-09</v>
      </c>
      <c r="C855" s="6">
        <v>1.59842400326538E-09</v>
      </c>
      <c r="D855" s="6">
        <v>1.59842400326538E-09</v>
      </c>
      <c r="E855" s="7">
        <v>-55.92616014683345</v>
      </c>
      <c r="F855" s="7">
        <v>-55.92616014683345</v>
      </c>
      <c r="G855" s="7">
        <v>-55.92616014683345</v>
      </c>
    </row>
    <row r="856" spans="1:7">
      <c r="A856" s="6">
        <v>1862087.136662869</v>
      </c>
      <c r="B856" s="6">
        <v>1.402395287198948E-09</v>
      </c>
      <c r="C856" s="6">
        <v>1.402395287198948E-09</v>
      </c>
      <c r="D856" s="6">
        <v>1.402395287198948E-09</v>
      </c>
      <c r="E856" s="7">
        <v>-57.06259112748846</v>
      </c>
      <c r="F856" s="7">
        <v>-57.06259112748846</v>
      </c>
      <c r="G856" s="7">
        <v>-57.06259112748846</v>
      </c>
    </row>
    <row r="857" spans="1:7">
      <c r="A857" s="6">
        <v>1883649.089489802</v>
      </c>
      <c r="B857" s="6">
        <v>1.225336542106899E-09</v>
      </c>
      <c r="C857" s="6">
        <v>1.225336542106899E-09</v>
      </c>
      <c r="D857" s="6">
        <v>1.225336542106899E-09</v>
      </c>
      <c r="E857" s="7">
        <v>-58.2348922944508</v>
      </c>
      <c r="F857" s="7">
        <v>-58.2348922944508</v>
      </c>
      <c r="G857" s="7">
        <v>-58.2348922944508</v>
      </c>
    </row>
    <row r="858" spans="1:7">
      <c r="A858" s="6">
        <v>1905460.717963248</v>
      </c>
      <c r="B858" s="6">
        <v>1.065878393599209E-09</v>
      </c>
      <c r="C858" s="6">
        <v>1.065878393599209E-09</v>
      </c>
      <c r="D858" s="6">
        <v>1.065878393599209E-09</v>
      </c>
      <c r="E858" s="7">
        <v>-59.4458468255405</v>
      </c>
      <c r="F858" s="7">
        <v>-59.4458468255405</v>
      </c>
      <c r="G858" s="7">
        <v>-59.4458468255405</v>
      </c>
    </row>
    <row r="859" spans="1:7">
      <c r="A859" s="6">
        <v>1927524.913190937</v>
      </c>
      <c r="B859" s="6">
        <v>9.22734112814936E-10</v>
      </c>
      <c r="C859" s="6">
        <v>9.22734112814936E-10</v>
      </c>
      <c r="D859" s="6">
        <v>9.22734112814936E-10</v>
      </c>
      <c r="E859" s="7">
        <v>-60.69846847076214</v>
      </c>
      <c r="F859" s="7">
        <v>-60.69846847076214</v>
      </c>
      <c r="G859" s="7">
        <v>-60.69846847076214</v>
      </c>
    </row>
    <row r="860" spans="1:7">
      <c r="A860" s="6">
        <v>1949844.599758046</v>
      </c>
      <c r="B860" s="6">
        <v>7.946951483708666E-10</v>
      </c>
      <c r="C860" s="6">
        <v>7.946951483708666E-10</v>
      </c>
      <c r="D860" s="6">
        <v>7.946951483708666E-10</v>
      </c>
      <c r="E860" s="7">
        <v>-61.99598876702321</v>
      </c>
      <c r="F860" s="7">
        <v>-61.99598876702321</v>
      </c>
      <c r="G860" s="7">
        <v>-61.99598876702321</v>
      </c>
    </row>
    <row r="861" spans="1:7">
      <c r="A861" s="6">
        <v>1972422.736114854</v>
      </c>
      <c r="B861" s="6">
        <v>6.806268819421137E-10</v>
      </c>
      <c r="C861" s="6">
        <v>6.806268819421137E-10</v>
      </c>
      <c r="D861" s="6">
        <v>6.806268819421137E-10</v>
      </c>
      <c r="E861" s="7">
        <v>-63.34181804137283</v>
      </c>
      <c r="F861" s="7">
        <v>-63.34181804137283</v>
      </c>
      <c r="G861" s="7">
        <v>-63.34181804137283</v>
      </c>
    </row>
    <row r="862" spans="1:7">
      <c r="A862" s="6">
        <v>1995262.314968879</v>
      </c>
      <c r="B862" s="6">
        <v>5.794645969800399E-10</v>
      </c>
      <c r="C862" s="6">
        <v>5.794645969800399E-10</v>
      </c>
      <c r="D862" s="6">
        <v>5.794645969800399E-10</v>
      </c>
      <c r="E862" s="7">
        <v>-64.73946185167425</v>
      </c>
      <c r="F862" s="7">
        <v>-64.73946185167425</v>
      </c>
      <c r="G862" s="7">
        <v>-64.73946185167425</v>
      </c>
    </row>
    <row r="863" spans="1:7">
      <c r="A863" s="6">
        <v>2018366.36368156</v>
      </c>
      <c r="B863" s="6">
        <v>4.902096505389568E-10</v>
      </c>
      <c r="C863" s="6">
        <v>4.902096505389568E-10</v>
      </c>
      <c r="D863" s="6">
        <v>4.902096505389568E-10</v>
      </c>
      <c r="E863" s="7">
        <v>-66.1923628647567</v>
      </c>
      <c r="F863" s="7">
        <v>-66.1923628647567</v>
      </c>
      <c r="G863" s="7">
        <v>-66.1923628647567</v>
      </c>
    </row>
    <row r="864" spans="1:7">
      <c r="A864" s="6">
        <v>2041737.944669532</v>
      </c>
      <c r="B864" s="6">
        <v>4.119258386291954E-10</v>
      </c>
      <c r="C864" s="6">
        <v>4.119258386291954E-10</v>
      </c>
      <c r="D864" s="6">
        <v>4.119258386291954E-10</v>
      </c>
      <c r="E864" s="7">
        <v>-67.70361930910531</v>
      </c>
      <c r="F864" s="7">
        <v>-67.70361930910531</v>
      </c>
      <c r="G864" s="7">
        <v>-67.70361930910531</v>
      </c>
    </row>
    <row r="865" spans="1:7">
      <c r="A865" s="6">
        <v>2065380.155810531</v>
      </c>
      <c r="B865" s="6">
        <v>3.437359459409432E-10</v>
      </c>
      <c r="C865" s="6">
        <v>3.437359459409432E-10</v>
      </c>
      <c r="D865" s="6">
        <v>3.437359459409432E-10</v>
      </c>
      <c r="E865" s="7">
        <v>-69.27550098905597</v>
      </c>
      <c r="F865" s="7">
        <v>-69.27550098905597</v>
      </c>
      <c r="G865" s="7">
        <v>-69.27550098905597</v>
      </c>
    </row>
    <row r="866" spans="1:7">
      <c r="A866" s="6">
        <v>2089296.130854041</v>
      </c>
      <c r="B866" s="6">
        <v>2.848184711915064E-10</v>
      </c>
      <c r="C866" s="6">
        <v>2.848184711915064E-10</v>
      </c>
      <c r="D866" s="6">
        <v>2.848184711915064E-10</v>
      </c>
      <c r="E866" s="7">
        <v>-70.90863698073042</v>
      </c>
      <c r="F866" s="7">
        <v>-70.90863698073042</v>
      </c>
      <c r="G866" s="7">
        <v>-70.90863698073042</v>
      </c>
    </row>
    <row r="867" spans="1:7">
      <c r="A867" s="6">
        <v>2113489.039836647</v>
      </c>
      <c r="B867" s="6">
        <v>2.344045197399593E-10</v>
      </c>
      <c r="C867" s="6">
        <v>2.344045197399593E-10</v>
      </c>
      <c r="D867" s="6">
        <v>2.344045197399593E-10</v>
      </c>
      <c r="E867" s="7">
        <v>-72.60068037191856</v>
      </c>
      <c r="F867" s="7">
        <v>-72.60068037191856</v>
      </c>
      <c r="G867" s="7">
        <v>-72.60068037191856</v>
      </c>
    </row>
    <row r="868" spans="1:7">
      <c r="A868" s="6">
        <v>2137962.089502233</v>
      </c>
      <c r="B868" s="6">
        <v>1.917748554868214E-10</v>
      </c>
      <c r="C868" s="6">
        <v>1.917748554868214E-10</v>
      </c>
      <c r="D868" s="6">
        <v>1.917748554868214E-10</v>
      </c>
      <c r="E868" s="7">
        <v>-74.34416671694495</v>
      </c>
      <c r="F868" s="7">
        <v>-74.34416671694495</v>
      </c>
      <c r="G868" s="7">
        <v>-74.34416671694495</v>
      </c>
    </row>
    <row r="869" spans="1:7">
      <c r="A869" s="6">
        <v>2162718.52372702</v>
      </c>
      <c r="B869" s="6">
        <v>1.562571044347019E-10</v>
      </c>
      <c r="C869" s="6">
        <v>1.562571044347019E-10</v>
      </c>
      <c r="D869" s="6">
        <v>1.562571044347019E-10</v>
      </c>
      <c r="E869" s="7">
        <v>-76.12320455530708</v>
      </c>
      <c r="F869" s="7">
        <v>-76.12320455530708</v>
      </c>
      <c r="G869" s="7">
        <v>-76.12320455530708</v>
      </c>
    </row>
    <row r="870" spans="1:7">
      <c r="A870" s="6">
        <v>2187761.623949552</v>
      </c>
      <c r="B870" s="6">
        <v>1.272231026284483E-10</v>
      </c>
      <c r="C870" s="6">
        <v>1.272231026284483E-10</v>
      </c>
      <c r="D870" s="6">
        <v>1.272231026284483E-10</v>
      </c>
      <c r="E870" s="7">
        <v>-77.90868034717778</v>
      </c>
      <c r="F870" s="7">
        <v>-77.90868034717778</v>
      </c>
      <c r="G870" s="7">
        <v>-77.90868034717778</v>
      </c>
    </row>
    <row r="871" spans="1:7">
      <c r="A871" s="6">
        <v>2213094.709605637</v>
      </c>
      <c r="B871" s="6">
        <v>1.040863815213522E-10</v>
      </c>
      <c r="C871" s="6">
        <v>1.040863815213522E-10</v>
      </c>
      <c r="D871" s="6">
        <v>1.040863815213522E-10</v>
      </c>
      <c r="E871" s="7">
        <v>-79.65212178193694</v>
      </c>
      <c r="F871" s="7">
        <v>-79.65212178193694</v>
      </c>
      <c r="G871" s="7">
        <v>-79.65212178193694</v>
      </c>
    </row>
    <row r="872" spans="1:7">
      <c r="A872" s="6">
        <v>2238721.138568342</v>
      </c>
      <c r="B872" s="6">
        <v>8.629978412786522E-11</v>
      </c>
      <c r="C872" s="6">
        <v>8.629978412786522E-11</v>
      </c>
      <c r="D872" s="6">
        <v>8.629978412786522E-11</v>
      </c>
      <c r="E872" s="7">
        <v>-81.27980581273965</v>
      </c>
      <c r="F872" s="7">
        <v>-81.27980581273965</v>
      </c>
      <c r="G872" s="7">
        <v>-81.27980581273965</v>
      </c>
    </row>
    <row r="873" spans="1:7">
      <c r="A873" s="6">
        <v>2264644.307593062</v>
      </c>
      <c r="B873" s="6">
        <v>7.335320562376134E-11</v>
      </c>
      <c r="C873" s="6">
        <v>7.335320562376134E-11</v>
      </c>
      <c r="D873" s="6">
        <v>7.335320562376134E-11</v>
      </c>
      <c r="E873" s="7">
        <v>-82.69161804424216</v>
      </c>
      <c r="F873" s="7">
        <v>-82.69161804424216</v>
      </c>
      <c r="G873" s="7">
        <v>-82.69161804424216</v>
      </c>
    </row>
    <row r="874" spans="1:7">
      <c r="A874" s="6">
        <v>2290867.652767775</v>
      </c>
      <c r="B874" s="6">
        <v>6.477145234220594E-11</v>
      </c>
      <c r="C874" s="6">
        <v>6.477145234220594E-11</v>
      </c>
      <c r="D874" s="6">
        <v>6.477145234220594E-11</v>
      </c>
      <c r="E874" s="7">
        <v>-83.77232729679943</v>
      </c>
      <c r="F874" s="7">
        <v>-83.77232729679943</v>
      </c>
      <c r="G874" s="7">
        <v>-83.77232729679943</v>
      </c>
    </row>
    <row r="875" spans="1:7">
      <c r="A875" s="6">
        <v>2317394.64996848</v>
      </c>
      <c r="B875" s="6">
        <v>6.011221338950926E-11</v>
      </c>
      <c r="C875" s="6">
        <v>6.011221338950926E-11</v>
      </c>
      <c r="D875" s="6">
        <v>6.011221338950926E-11</v>
      </c>
      <c r="E875" s="7">
        <v>-84.42074561192939</v>
      </c>
      <c r="F875" s="7">
        <v>-84.42074561192939</v>
      </c>
      <c r="G875" s="7">
        <v>-84.42074561192939</v>
      </c>
    </row>
    <row r="876" spans="1:7">
      <c r="A876" s="6">
        <v>2344228.815319923</v>
      </c>
      <c r="B876" s="6">
        <v>5.896413936766506E-11</v>
      </c>
      <c r="C876" s="6">
        <v>5.896413936766506E-11</v>
      </c>
      <c r="D876" s="6">
        <v>5.896413936766506E-11</v>
      </c>
      <c r="E876" s="7">
        <v>-84.58824071959023</v>
      </c>
      <c r="F876" s="7">
        <v>-84.58824071959023</v>
      </c>
      <c r="G876" s="7">
        <v>-84.58824071959023</v>
      </c>
    </row>
    <row r="877" spans="1:7">
      <c r="A877" s="6">
        <v>2371373.705661655</v>
      </c>
      <c r="B877" s="6">
        <v>6.094502294293163E-11</v>
      </c>
      <c r="C877" s="6">
        <v>6.094502294293163E-11</v>
      </c>
      <c r="D877" s="6">
        <v>6.094502294293163E-11</v>
      </c>
      <c r="E877" s="7">
        <v>-84.30123510252905</v>
      </c>
      <c r="F877" s="7">
        <v>-84.30123510252905</v>
      </c>
      <c r="G877" s="7">
        <v>-84.30123510252905</v>
      </c>
    </row>
    <row r="878" spans="1:7">
      <c r="A878" s="6">
        <v>2398832.91901949</v>
      </c>
      <c r="B878" s="6">
        <v>6.570007624095091E-11</v>
      </c>
      <c r="C878" s="6">
        <v>6.570007624095091E-11</v>
      </c>
      <c r="D878" s="6">
        <v>6.570007624095091E-11</v>
      </c>
      <c r="E878" s="7">
        <v>-83.64868252935079</v>
      </c>
      <c r="F878" s="7">
        <v>-83.64868252935079</v>
      </c>
      <c r="G878" s="7">
        <v>-83.64868252935079</v>
      </c>
    </row>
    <row r="879" spans="1:7">
      <c r="A879" s="6">
        <v>2426610.095082414</v>
      </c>
      <c r="B879" s="6">
        <v>7.290030027977362E-11</v>
      </c>
      <c r="C879" s="6">
        <v>7.290030027977362E-11</v>
      </c>
      <c r="D879" s="6">
        <v>7.290030027977362E-11</v>
      </c>
      <c r="E879" s="7">
        <v>-82.74541365597791</v>
      </c>
      <c r="F879" s="7">
        <v>-82.74541365597791</v>
      </c>
      <c r="G879" s="7">
        <v>-82.74541365597791</v>
      </c>
    </row>
    <row r="880" spans="1:7">
      <c r="A880" s="6">
        <v>2454708.915685029</v>
      </c>
      <c r="B880" s="6">
        <v>8.224094187307801E-11</v>
      </c>
      <c r="C880" s="6">
        <v>8.224094187307801E-11</v>
      </c>
      <c r="D880" s="6">
        <v>8.224094187307801E-11</v>
      </c>
      <c r="E880" s="7">
        <v>-81.69823849033735</v>
      </c>
      <c r="F880" s="7">
        <v>-81.69823849033735</v>
      </c>
      <c r="G880" s="7">
        <v>-81.69823849033735</v>
      </c>
    </row>
    <row r="881" spans="1:7">
      <c r="A881" s="6">
        <v>2483133.105295573</v>
      </c>
      <c r="B881" s="6">
        <v>9.344003364725571E-11</v>
      </c>
      <c r="C881" s="6">
        <v>9.344003364725571E-11</v>
      </c>
      <c r="D881" s="6">
        <v>9.344003364725571E-11</v>
      </c>
      <c r="E881" s="7">
        <v>-80.58934027689061</v>
      </c>
      <c r="F881" s="7">
        <v>-80.58934027689061</v>
      </c>
      <c r="G881" s="7">
        <v>-80.58934027689061</v>
      </c>
    </row>
    <row r="882" spans="1:7">
      <c r="A882" s="6">
        <v>2511886.431509582</v>
      </c>
      <c r="B882" s="6">
        <v>1.062370130182702E-10</v>
      </c>
      <c r="C882" s="6">
        <v>1.062370130182702E-10</v>
      </c>
      <c r="D882" s="6">
        <v>1.062370130182702E-10</v>
      </c>
      <c r="E882" s="7">
        <v>-79.47448297034933</v>
      </c>
      <c r="F882" s="7">
        <v>-79.47448297034933</v>
      </c>
      <c r="G882" s="7">
        <v>-79.47448297034933</v>
      </c>
    </row>
    <row r="883" spans="1:7">
      <c r="A883" s="6">
        <v>2540972.705549307</v>
      </c>
      <c r="B883" s="6">
        <v>1.203914161677167E-10</v>
      </c>
      <c r="C883" s="6">
        <v>1.203914161677167E-10</v>
      </c>
      <c r="D883" s="6">
        <v>1.203914161677167E-10</v>
      </c>
      <c r="E883" s="7">
        <v>-78.38808953795755</v>
      </c>
      <c r="F883" s="7">
        <v>-78.38808953795755</v>
      </c>
      <c r="G883" s="7">
        <v>-78.38808953795755</v>
      </c>
    </row>
    <row r="884" spans="1:7">
      <c r="A884" s="6">
        <v>2570395.782768865</v>
      </c>
      <c r="B884" s="6">
        <v>1.356816432425385E-10</v>
      </c>
      <c r="C884" s="6">
        <v>1.356816432425385E-10</v>
      </c>
      <c r="D884" s="6">
        <v>1.356816432425385E-10</v>
      </c>
      <c r="E884" s="7">
        <v>-77.34957810616271</v>
      </c>
      <c r="F884" s="7">
        <v>-77.34957810616271</v>
      </c>
      <c r="G884" s="7">
        <v>-77.34957810616271</v>
      </c>
    </row>
    <row r="885" spans="1:7">
      <c r="A885" s="6">
        <v>2600159.563165272</v>
      </c>
      <c r="B885" s="6">
        <v>1.519037911799596E-10</v>
      </c>
      <c r="C885" s="6">
        <v>1.519037911799596E-10</v>
      </c>
      <c r="D885" s="6">
        <v>1.519037911799596E-10</v>
      </c>
      <c r="E885" s="7">
        <v>-76.36862773959879</v>
      </c>
      <c r="F885" s="7">
        <v>-76.36862773959879</v>
      </c>
      <c r="G885" s="7">
        <v>-76.36862773959879</v>
      </c>
    </row>
    <row r="886" spans="1:7">
      <c r="A886" s="6">
        <v>2630267.991895381</v>
      </c>
      <c r="B886" s="6">
        <v>1.688705507284856E-10</v>
      </c>
      <c r="C886" s="6">
        <v>1.688705507284856E-10</v>
      </c>
      <c r="D886" s="6">
        <v>1.688705507284856E-10</v>
      </c>
      <c r="E886" s="7">
        <v>-75.44892160552969</v>
      </c>
      <c r="F886" s="7">
        <v>-75.44892160552969</v>
      </c>
      <c r="G886" s="7">
        <v>-75.44892160552969</v>
      </c>
    </row>
    <row r="887" spans="1:7">
      <c r="A887" s="6">
        <v>2660725.059798809</v>
      </c>
      <c r="B887" s="6">
        <v>1.864101643977582E-10</v>
      </c>
      <c r="C887" s="6">
        <v>1.864101643977582E-10</v>
      </c>
      <c r="D887" s="6">
        <v>1.864101643977582E-10</v>
      </c>
      <c r="E887" s="7">
        <v>-74.59060821072384</v>
      </c>
      <c r="F887" s="7">
        <v>-74.59060821072384</v>
      </c>
      <c r="G887" s="7">
        <v>-74.59060821072384</v>
      </c>
    </row>
    <row r="888" spans="1:7">
      <c r="A888" s="6">
        <v>2691534.803926914</v>
      </c>
      <c r="B888" s="6">
        <v>2.043654422249026E-10</v>
      </c>
      <c r="C888" s="6">
        <v>2.043654422249026E-10</v>
      </c>
      <c r="D888" s="6">
        <v>2.043654422249026E-10</v>
      </c>
      <c r="E888" s="7">
        <v>-73.79185081261463</v>
      </c>
      <c r="F888" s="7">
        <v>-73.79185081261463</v>
      </c>
      <c r="G888" s="7">
        <v>-73.79185081261463</v>
      </c>
    </row>
    <row r="889" spans="1:7">
      <c r="A889" s="6">
        <v>2722701.308077916</v>
      </c>
      <c r="B889" s="6">
        <v>2.22592832393031E-10</v>
      </c>
      <c r="C889" s="6">
        <v>2.22592832393031E-10</v>
      </c>
      <c r="D889" s="6">
        <v>2.22592832393031E-10</v>
      </c>
      <c r="E889" s="7">
        <v>-73.04977648576497</v>
      </c>
      <c r="F889" s="7">
        <v>-73.04977648576497</v>
      </c>
      <c r="G889" s="7">
        <v>-73.04977648576497</v>
      </c>
    </row>
    <row r="890" spans="1:7">
      <c r="A890" s="6">
        <v>2754228.703338169</v>
      </c>
      <c r="B890" s="6">
        <v>2.409615438790814E-10</v>
      </c>
      <c r="C890" s="6">
        <v>2.409615438790814E-10</v>
      </c>
      <c r="D890" s="6">
        <v>2.409615438790814E-10</v>
      </c>
      <c r="E890" s="7">
        <v>-72.36104525752796</v>
      </c>
      <c r="F890" s="7">
        <v>-72.36104525752796</v>
      </c>
      <c r="G890" s="7">
        <v>-72.36104525752796</v>
      </c>
    </row>
    <row r="891" spans="1:7">
      <c r="A891" s="6">
        <v>2786121.168629772</v>
      </c>
      <c r="B891" s="6">
        <v>2.593527184435014E-10</v>
      </c>
      <c r="C891" s="6">
        <v>2.593527184435014E-10</v>
      </c>
      <c r="D891" s="6">
        <v>2.593527184435014E-10</v>
      </c>
      <c r="E891" s="7">
        <v>-71.72218391050646</v>
      </c>
      <c r="F891" s="7">
        <v>-71.72218391050646</v>
      </c>
      <c r="G891" s="7">
        <v>-71.72218391050646</v>
      </c>
    </row>
    <row r="892" spans="1:7">
      <c r="A892" s="6">
        <v>2818382.931264455</v>
      </c>
      <c r="B892" s="6">
        <v>2.776586494034607E-10</v>
      </c>
      <c r="C892" s="6">
        <v>2.776586494034607E-10</v>
      </c>
      <c r="D892" s="6">
        <v>2.776586494034607E-10</v>
      </c>
      <c r="E892" s="7">
        <v>-71.12977586362399</v>
      </c>
      <c r="F892" s="7">
        <v>-71.12977586362399</v>
      </c>
      <c r="G892" s="7">
        <v>-71.12977586362399</v>
      </c>
    </row>
    <row r="893" spans="1:7">
      <c r="A893" s="6">
        <v>2851018.26750391</v>
      </c>
      <c r="B893" s="6">
        <v>2.957820447549186E-10</v>
      </c>
      <c r="C893" s="6">
        <v>2.957820447549186E-10</v>
      </c>
      <c r="D893" s="6">
        <v>2.957820447549186E-10</v>
      </c>
      <c r="E893" s="7">
        <v>-70.58056386172082</v>
      </c>
      <c r="F893" s="7">
        <v>-70.58056386172082</v>
      </c>
      <c r="G893" s="7">
        <v>-70.58056386172082</v>
      </c>
    </row>
    <row r="894" spans="1:7">
      <c r="A894" s="6">
        <v>2884031.503126606</v>
      </c>
      <c r="B894" s="6">
        <v>3.136353323268418E-10</v>
      </c>
      <c r="C894" s="6">
        <v>3.136353323268418E-10</v>
      </c>
      <c r="D894" s="6">
        <v>3.136353323268418E-10</v>
      </c>
      <c r="E894" s="7">
        <v>-70.07150036297716</v>
      </c>
      <c r="F894" s="7">
        <v>-70.07150036297716</v>
      </c>
      <c r="G894" s="7">
        <v>-70.07150036297716</v>
      </c>
    </row>
    <row r="895" spans="1:7">
      <c r="A895" s="6">
        <v>2917427.014001166</v>
      </c>
      <c r="B895" s="6">
        <v>3.311400047636319E-10</v>
      </c>
      <c r="C895" s="6">
        <v>3.311400047636319E-10</v>
      </c>
      <c r="D895" s="6">
        <v>3.311400047636319E-10</v>
      </c>
      <c r="E895" s="7">
        <v>-69.59976698607053</v>
      </c>
      <c r="F895" s="7">
        <v>-69.59976698607053</v>
      </c>
      <c r="G895" s="7">
        <v>-69.59976698607053</v>
      </c>
    </row>
    <row r="896" spans="1:7">
      <c r="A896" s="6">
        <v>2951209.226666384</v>
      </c>
      <c r="B896" s="6">
        <v>3.482260022395106E-10</v>
      </c>
      <c r="C896" s="6">
        <v>3.482260022395106E-10</v>
      </c>
      <c r="D896" s="6">
        <v>3.482260022395106E-10</v>
      </c>
      <c r="E896" s="7">
        <v>-69.16277605969182</v>
      </c>
      <c r="F896" s="7">
        <v>-69.16277605969182</v>
      </c>
      <c r="G896" s="7">
        <v>-69.16277605969182</v>
      </c>
    </row>
    <row r="897" spans="1:7">
      <c r="A897" s="6">
        <v>2985382.618917963</v>
      </c>
      <c r="B897" s="6">
        <v>3.648311309114369E-10</v>
      </c>
      <c r="C897" s="6">
        <v>3.648311309114369E-10</v>
      </c>
      <c r="D897" s="6">
        <v>3.648311309114369E-10</v>
      </c>
      <c r="E897" s="7">
        <v>-68.75816221135655</v>
      </c>
      <c r="F897" s="7">
        <v>-68.75816221135655</v>
      </c>
      <c r="G897" s="7">
        <v>-68.75816221135655</v>
      </c>
    </row>
    <row r="898" spans="1:7">
      <c r="A898" s="6">
        <v>3019951.720402019</v>
      </c>
      <c r="B898" s="6">
        <v>3.809005152153152E-10</v>
      </c>
      <c r="C898" s="6">
        <v>3.809005152153152E-10</v>
      </c>
      <c r="D898" s="6">
        <v>3.809005152153152E-10</v>
      </c>
      <c r="E898" s="7">
        <v>-68.38376879802722</v>
      </c>
      <c r="F898" s="7">
        <v>-68.38376879802722</v>
      </c>
      <c r="G898" s="7">
        <v>-68.38376879802722</v>
      </c>
    </row>
    <row r="899" spans="1:7">
      <c r="A899" s="6">
        <v>3054921.113215515</v>
      </c>
      <c r="B899" s="6">
        <v>3.963860822040121E-10</v>
      </c>
      <c r="C899" s="6">
        <v>3.963860822040121E-10</v>
      </c>
      <c r="D899" s="6">
        <v>3.963860822040121E-10</v>
      </c>
      <c r="E899" s="7">
        <v>-68.03763205488113</v>
      </c>
      <c r="F899" s="7">
        <v>-68.03763205488113</v>
      </c>
      <c r="G899" s="7">
        <v>-68.03763205488113</v>
      </c>
    </row>
    <row r="900" spans="1:7">
      <c r="A900" s="6">
        <v>3090295.432513592</v>
      </c>
      <c r="B900" s="6">
        <v>4.112460762150712E-10</v>
      </c>
      <c r="C900" s="6">
        <v>4.112460762150712E-10</v>
      </c>
      <c r="D900" s="6">
        <v>4.112460762150712E-10</v>
      </c>
      <c r="E900" s="7">
        <v>-67.7179646543359</v>
      </c>
      <c r="F900" s="7">
        <v>-67.7179646543359</v>
      </c>
      <c r="G900" s="7">
        <v>-67.7179646543359</v>
      </c>
    </row>
    <row r="901" spans="1:7">
      <c r="A901" s="6">
        <v>3126079.367123956</v>
      </c>
      <c r="B901" s="6">
        <v>4.254446022414627E-10</v>
      </c>
      <c r="C901" s="6">
        <v>4.254446022414627E-10</v>
      </c>
      <c r="D901" s="6">
        <v>4.254446022414627E-10</v>
      </c>
      <c r="E901" s="7">
        <v>-67.42313964024353</v>
      </c>
      <c r="F901" s="7">
        <v>-67.42313964024353</v>
      </c>
      <c r="G901" s="7">
        <v>-67.42313964024353</v>
      </c>
    </row>
    <row r="902" spans="1:7">
      <c r="A902" s="6">
        <v>3162277.66016838</v>
      </c>
      <c r="B902" s="6">
        <v>4.389511964600829E-10</v>
      </c>
      <c r="C902" s="6">
        <v>4.389511964600829E-10</v>
      </c>
      <c r="D902" s="6">
        <v>4.389511964600829E-10</v>
      </c>
      <c r="E902" s="7">
        <v>-67.15167525740353</v>
      </c>
      <c r="F902" s="7">
        <v>-67.15167525740353</v>
      </c>
      <c r="G902" s="7">
        <v>-67.15167525740353</v>
      </c>
    </row>
    <row r="903" spans="1:7">
      <c r="A903" s="6">
        <v>3198895.109691397</v>
      </c>
      <c r="B903" s="6">
        <v>4.517404224504091E-10</v>
      </c>
      <c r="C903" s="6">
        <v>4.517404224504091E-10</v>
      </c>
      <c r="D903" s="6">
        <v>4.517404224504091E-10</v>
      </c>
      <c r="E903" s="7">
        <v>-66.90222092679741</v>
      </c>
      <c r="F903" s="7">
        <v>-66.90222092679741</v>
      </c>
      <c r="G903" s="7">
        <v>-66.90222092679741</v>
      </c>
    </row>
    <row r="904" spans="1:7">
      <c r="A904" s="6">
        <v>3235936.569296281</v>
      </c>
      <c r="B904" s="6">
        <v>4.637914917097913E-10</v>
      </c>
      <c r="C904" s="6">
        <v>4.637914917097913E-10</v>
      </c>
      <c r="D904" s="6">
        <v>4.637914917097913E-10</v>
      </c>
      <c r="E904" s="7">
        <v>-66.67354445580544</v>
      </c>
      <c r="F904" s="7">
        <v>-66.67354445580544</v>
      </c>
      <c r="G904" s="7">
        <v>-66.67354445580544</v>
      </c>
    </row>
    <row r="905" spans="1:7">
      <c r="A905" s="6">
        <v>3273406.948788379</v>
      </c>
      <c r="B905" s="6">
        <v>4.750879071424784E-10</v>
      </c>
      <c r="C905" s="6">
        <v>4.750879071424784E-10</v>
      </c>
      <c r="D905" s="6">
        <v>4.750879071424784E-10</v>
      </c>
      <c r="E905" s="7">
        <v>-66.46452047888728</v>
      </c>
      <c r="F905" s="7">
        <v>-66.46452047888728</v>
      </c>
      <c r="G905" s="7">
        <v>-66.46452047888728</v>
      </c>
    </row>
    <row r="906" spans="1:7">
      <c r="A906" s="6">
        <v>3311311.214825914</v>
      </c>
      <c r="B906" s="6">
        <v>4.856171282667936E-10</v>
      </c>
      <c r="C906" s="6">
        <v>4.856171282667936E-10</v>
      </c>
      <c r="D906" s="6">
        <v>4.856171282667936E-10</v>
      </c>
      <c r="E906" s="7">
        <v>-66.27412007207585</v>
      </c>
      <c r="F906" s="7">
        <v>-66.27412007207585</v>
      </c>
      <c r="G906" s="7">
        <v>-66.27412007207585</v>
      </c>
    </row>
    <row r="907" spans="1:7">
      <c r="A907" s="6">
        <v>3349654.391578279</v>
      </c>
      <c r="B907" s="6">
        <v>4.95370256949029E-10</v>
      </c>
      <c r="C907" s="6">
        <v>4.95370256949029E-10</v>
      </c>
      <c r="D907" s="6">
        <v>4.95370256949029E-10</v>
      </c>
      <c r="E907" s="7">
        <v>-66.10140145805946</v>
      </c>
      <c r="F907" s="7">
        <v>-66.10140145805946</v>
      </c>
      <c r="G907" s="7">
        <v>-66.10140145805946</v>
      </c>
    </row>
    <row r="908" spans="1:7">
      <c r="A908" s="6">
        <v>3388441.561392027</v>
      </c>
      <c r="B908" s="6">
        <v>5.043417425337748E-10</v>
      </c>
      <c r="C908" s="6">
        <v>5.043417425337748E-10</v>
      </c>
      <c r="D908" s="6">
        <v>5.043417425337748E-10</v>
      </c>
      <c r="E908" s="7">
        <v>-65.94550170753551</v>
      </c>
      <c r="F908" s="7">
        <v>-65.94550170753551</v>
      </c>
      <c r="G908" s="7">
        <v>-65.94550170753551</v>
      </c>
    </row>
    <row r="909" spans="1:7">
      <c r="A909" s="6">
        <v>3427677.865464505</v>
      </c>
      <c r="B909" s="6">
        <v>5.125291052985575E-10</v>
      </c>
      <c r="C909" s="6">
        <v>5.125291052985575E-10</v>
      </c>
      <c r="D909" s="6">
        <v>5.125291052985575E-10</v>
      </c>
      <c r="E909" s="7">
        <v>-65.80562934059945</v>
      </c>
      <c r="F909" s="7">
        <v>-65.80562934059945</v>
      </c>
      <c r="G909" s="7">
        <v>-65.80562934059945</v>
      </c>
    </row>
    <row r="910" spans="1:7">
      <c r="A910" s="6">
        <v>3467368.504525317</v>
      </c>
      <c r="B910" s="6">
        <v>5.199326772161857E-10</v>
      </c>
      <c r="C910" s="6">
        <v>5.199326772161857E-10</v>
      </c>
      <c r="D910" s="6">
        <v>5.199326772161857E-10</v>
      </c>
      <c r="E910" s="7">
        <v>-65.6810577352406</v>
      </c>
      <c r="F910" s="7">
        <v>-65.6810577352406</v>
      </c>
      <c r="G910" s="7">
        <v>-65.6810577352406</v>
      </c>
    </row>
    <row r="911" spans="1:7">
      <c r="A911" s="6">
        <v>3507518.739525679</v>
      </c>
      <c r="B911" s="6">
        <v>5.265553590609294E-10</v>
      </c>
      <c r="C911" s="6">
        <v>5.265553590609294E-10</v>
      </c>
      <c r="D911" s="6">
        <v>5.265553590609294E-10</v>
      </c>
      <c r="E911" s="7">
        <v>-65.57111925611069</v>
      </c>
      <c r="F911" s="7">
        <v>-65.57111925611069</v>
      </c>
      <c r="G911" s="7">
        <v>-65.57111925611069</v>
      </c>
    </row>
    <row r="912" spans="1:7">
      <c r="A912" s="6">
        <v>3548133.892335753</v>
      </c>
      <c r="B912" s="6">
        <v>5.324023929449299E-10</v>
      </c>
      <c r="C912" s="6">
        <v>5.324023929449299E-10</v>
      </c>
      <c r="D912" s="6">
        <v>5.324023929449299E-10</v>
      </c>
      <c r="E912" s="7">
        <v>-65.47520002411092</v>
      </c>
      <c r="F912" s="7">
        <v>-65.47520002411092</v>
      </c>
      <c r="G912" s="7">
        <v>-65.47520002411092</v>
      </c>
    </row>
    <row r="913" spans="1:7">
      <c r="A913" s="6">
        <v>3589219.34645005</v>
      </c>
      <c r="B913" s="6">
        <v>5.37481149419038E-10</v>
      </c>
      <c r="C913" s="6">
        <v>5.37481149419038E-10</v>
      </c>
      <c r="D913" s="6">
        <v>5.37481149419038E-10</v>
      </c>
      <c r="E913" s="7">
        <v>-65.39273525510679</v>
      </c>
      <c r="F913" s="7">
        <v>-65.39273525510679</v>
      </c>
      <c r="G913" s="7">
        <v>-65.39273525510679</v>
      </c>
    </row>
    <row r="914" spans="1:7">
      <c r="A914" s="6">
        <v>3630780.547701017</v>
      </c>
      <c r="B914" s="6">
        <v>5.418009283177664E-10</v>
      </c>
      <c r="C914" s="6">
        <v>5.418009283177664E-10</v>
      </c>
      <c r="D914" s="6">
        <v>5.418009283177664E-10</v>
      </c>
      <c r="E914" s="7">
        <v>-65.32320510370418</v>
      </c>
      <c r="F914" s="7">
        <v>-65.32320510370418</v>
      </c>
      <c r="G914" s="7">
        <v>-65.32320510370418</v>
      </c>
    </row>
    <row r="915" spans="1:7">
      <c r="A915" s="6">
        <v>3672823.00498085</v>
      </c>
      <c r="B915" s="6">
        <v>5.453727725712896E-10</v>
      </c>
      <c r="C915" s="6">
        <v>5.453727725712896E-10</v>
      </c>
      <c r="D915" s="6">
        <v>5.453727725712896E-10</v>
      </c>
      <c r="E915" s="7">
        <v>-65.26613095521495</v>
      </c>
      <c r="F915" s="7">
        <v>-65.26613095521495</v>
      </c>
      <c r="G915" s="7">
        <v>-65.26613095521495</v>
      </c>
    </row>
    <row r="916" spans="1:7">
      <c r="A916" s="6">
        <v>3715352.290971728</v>
      </c>
      <c r="B916" s="6">
        <v>5.482092942485689E-10</v>
      </c>
      <c r="C916" s="6">
        <v>5.482092942485689E-10</v>
      </c>
      <c r="D916" s="6">
        <v>5.482092942485689E-10</v>
      </c>
      <c r="E916" s="7">
        <v>-65.22107211556374</v>
      </c>
      <c r="F916" s="7">
        <v>-65.22107211556374</v>
      </c>
      <c r="G916" s="7">
        <v>-65.22107211556374</v>
      </c>
    </row>
    <row r="917" spans="1:7">
      <c r="A917" s="6">
        <v>3758374.042884443</v>
      </c>
      <c r="B917" s="6">
        <v>5.503245121347545E-10</v>
      </c>
      <c r="C917" s="6">
        <v>5.503245121347545E-10</v>
      </c>
      <c r="D917" s="6">
        <v>5.503245121347545E-10</v>
      </c>
      <c r="E917" s="7">
        <v>-65.18762285488795</v>
      </c>
      <c r="F917" s="7">
        <v>-65.18762285488795</v>
      </c>
      <c r="G917" s="7">
        <v>-65.18762285488795</v>
      </c>
    </row>
    <row r="918" spans="1:7">
      <c r="A918" s="6">
        <v>3801893.963205613</v>
      </c>
      <c r="B918" s="6">
        <v>5.517337001831833E-10</v>
      </c>
      <c r="C918" s="6">
        <v>5.517337001831833E-10</v>
      </c>
      <c r="D918" s="6">
        <v>5.517337001831833E-10</v>
      </c>
      <c r="E918" s="7">
        <v>-65.16540976595648</v>
      </c>
      <c r="F918" s="7">
        <v>-65.16540976595648</v>
      </c>
      <c r="G918" s="7">
        <v>-65.16540976595648</v>
      </c>
    </row>
    <row r="919" spans="1:7">
      <c r="A919" s="6">
        <v>3845917.820453535</v>
      </c>
      <c r="B919" s="6">
        <v>5.524532462175736E-10</v>
      </c>
      <c r="C919" s="6">
        <v>5.524532462175736E-10</v>
      </c>
      <c r="D919" s="6">
        <v>5.524532462175736E-10</v>
      </c>
      <c r="E919" s="7">
        <v>-65.15408940331452</v>
      </c>
      <c r="F919" s="7">
        <v>-65.15408940331452</v>
      </c>
      <c r="G919" s="7">
        <v>-65.15408940331452</v>
      </c>
    </row>
    <row r="920" spans="1:7">
      <c r="A920" s="6">
        <v>3890451.449942805</v>
      </c>
      <c r="B920" s="6">
        <v>5.525005202935428E-10</v>
      </c>
      <c r="C920" s="6">
        <v>5.525005202935428E-10</v>
      </c>
      <c r="D920" s="6">
        <v>5.525005202935428E-10</v>
      </c>
      <c r="E920" s="7">
        <v>-65.15334617329113</v>
      </c>
      <c r="F920" s="7">
        <v>-65.15334617329113</v>
      </c>
      <c r="G920" s="7">
        <v>-65.15334617329113</v>
      </c>
    </row>
    <row r="921" spans="1:7">
      <c r="A921" s="6">
        <v>3935500.754557773</v>
      </c>
      <c r="B921" s="6">
        <v>5.518937521603865E-10</v>
      </c>
      <c r="C921" s="6">
        <v>5.518937521603865E-10</v>
      </c>
      <c r="D921" s="6">
        <v>5.518937521603865E-10</v>
      </c>
      <c r="E921" s="7">
        <v>-65.162890448741</v>
      </c>
      <c r="F921" s="7">
        <v>-65.162890448741</v>
      </c>
      <c r="G921" s="7">
        <v>-65.162890448741</v>
      </c>
    </row>
    <row r="922" spans="1:7">
      <c r="A922" s="6">
        <v>3981071.705534977</v>
      </c>
      <c r="B922" s="6">
        <v>5.506519172942838E-10</v>
      </c>
      <c r="C922" s="6">
        <v>5.506519172942838E-10</v>
      </c>
      <c r="D922" s="6">
        <v>5.506519172942838E-10</v>
      </c>
      <c r="E922" s="7">
        <v>-65.18245688568022</v>
      </c>
      <c r="F922" s="7">
        <v>-65.18245688568022</v>
      </c>
      <c r="G922" s="7">
        <v>-65.18245688568022</v>
      </c>
    </row>
    <row r="923" spans="1:7">
      <c r="A923" s="6">
        <v>4027170.343254595</v>
      </c>
      <c r="B923" s="6">
        <v>5.487946310027337E-10</v>
      </c>
      <c r="C923" s="6">
        <v>5.487946310027337E-10</v>
      </c>
      <c r="D923" s="6">
        <v>5.487946310027337E-10</v>
      </c>
      <c r="E923" s="7">
        <v>-65.21180292187493</v>
      </c>
      <c r="F923" s="7">
        <v>-65.21180292187493</v>
      </c>
      <c r="G923" s="7">
        <v>-65.21180292187493</v>
      </c>
    </row>
    <row r="924" spans="1:7">
      <c r="A924" s="6">
        <v>4073802.77804113</v>
      </c>
      <c r="B924" s="6">
        <v>5.463420501272259E-10</v>
      </c>
      <c r="C924" s="6">
        <v>5.463420501272259E-10</v>
      </c>
      <c r="D924" s="6">
        <v>5.463420501272259E-10</v>
      </c>
      <c r="E924" s="7">
        <v>-65.25070743999532</v>
      </c>
      <c r="F924" s="7">
        <v>-65.25070743999532</v>
      </c>
      <c r="G924" s="7">
        <v>-65.25070743999532</v>
      </c>
    </row>
    <row r="925" spans="1:7">
      <c r="A925" s="6">
        <v>4120975.190973304</v>
      </c>
      <c r="B925" s="6">
        <v>5.433147818969487E-10</v>
      </c>
      <c r="C925" s="6">
        <v>5.433147818969487E-10</v>
      </c>
      <c r="D925" s="6">
        <v>5.433147818969487E-10</v>
      </c>
      <c r="E925" s="7">
        <v>-65.2989695802037</v>
      </c>
      <c r="F925" s="7">
        <v>-65.2989695802037</v>
      </c>
      <c r="G925" s="7">
        <v>-65.2989695802037</v>
      </c>
    </row>
    <row r="926" spans="1:7">
      <c r="A926" s="6">
        <v>4168693.834703355</v>
      </c>
      <c r="B926" s="6">
        <v>5.397337995107563E-10</v>
      </c>
      <c r="C926" s="6">
        <v>5.397337995107563E-10</v>
      </c>
      <c r="D926" s="6">
        <v>5.397337995107563E-10</v>
      </c>
      <c r="E926" s="7">
        <v>-65.35640768904271</v>
      </c>
      <c r="F926" s="7">
        <v>-65.35640768904271</v>
      </c>
      <c r="G926" s="7">
        <v>-65.35640768904271</v>
      </c>
    </row>
    <row r="927" spans="1:7">
      <c r="A927" s="6">
        <v>4216965.034285823</v>
      </c>
      <c r="B927" s="6">
        <v>5.356203640478068E-10</v>
      </c>
      <c r="C927" s="6">
        <v>5.356203640478068E-10</v>
      </c>
      <c r="D927" s="6">
        <v>5.356203640478068E-10</v>
      </c>
      <c r="E927" s="7">
        <v>-65.42285839326527</v>
      </c>
      <c r="F927" s="7">
        <v>-65.42285839326527</v>
      </c>
      <c r="G927" s="7">
        <v>-65.42285839326527</v>
      </c>
    </row>
    <row r="928" spans="1:7">
      <c r="A928" s="6">
        <v>4265795.188015926</v>
      </c>
      <c r="B928" s="6">
        <v>5.309959523292236E-10</v>
      </c>
      <c r="C928" s="6">
        <v>5.309959523292236E-10</v>
      </c>
      <c r="D928" s="6">
        <v>5.309959523292236E-10</v>
      </c>
      <c r="E928" s="7">
        <v>-65.49817578883324</v>
      </c>
      <c r="F928" s="7">
        <v>-65.49817578883324</v>
      </c>
      <c r="G928" s="7">
        <v>-65.49817578883324</v>
      </c>
    </row>
    <row r="929" spans="1:7">
      <c r="A929" s="6">
        <v>4315190.76827765</v>
      </c>
      <c r="B929" s="6">
        <v>5.258821903739458E-10</v>
      </c>
      <c r="C929" s="6">
        <v>5.258821903739458E-10</v>
      </c>
      <c r="D929" s="6">
        <v>5.258821903739458E-10</v>
      </c>
      <c r="E929" s="7">
        <v>-65.58223073673673</v>
      </c>
      <c r="F929" s="7">
        <v>-65.58223073673673</v>
      </c>
      <c r="G929" s="7">
        <v>-65.58223073673673</v>
      </c>
    </row>
    <row r="930" spans="1:7">
      <c r="A930" s="6">
        <v>4365158.322401657</v>
      </c>
      <c r="B930" s="6">
        <v>5.203007921115894E-10</v>
      </c>
      <c r="C930" s="6">
        <v>5.203007921115894E-10</v>
      </c>
      <c r="D930" s="6">
        <v>5.203007921115894E-10</v>
      </c>
      <c r="E930" s="7">
        <v>-65.67491025857626</v>
      </c>
      <c r="F930" s="7">
        <v>-65.67491025857626</v>
      </c>
      <c r="G930" s="7">
        <v>-65.67491025857626</v>
      </c>
    </row>
    <row r="931" spans="1:7">
      <c r="A931" s="6">
        <v>4415704.473533129</v>
      </c>
      <c r="B931" s="6">
        <v>5.142735030338302E-10</v>
      </c>
      <c r="C931" s="6">
        <v>5.142735030338302E-10</v>
      </c>
      <c r="D931" s="6">
        <v>5.142735030338302E-10</v>
      </c>
      <c r="E931" s="7">
        <v>-65.77611702602775</v>
      </c>
      <c r="F931" s="7">
        <v>-65.77611702602775</v>
      </c>
      <c r="G931" s="7">
        <v>-65.77611702602775</v>
      </c>
    </row>
    <row r="932" spans="1:7">
      <c r="A932" s="6">
        <v>4466835.921509635</v>
      </c>
      <c r="B932" s="6">
        <v>5.078220484834263E-10</v>
      </c>
      <c r="C932" s="6">
        <v>5.078220484834263E-10</v>
      </c>
      <c r="D932" s="6">
        <v>5.078220484834263E-10</v>
      </c>
      <c r="E932" s="7">
        <v>-65.88576893939917</v>
      </c>
      <c r="F932" s="7">
        <v>-65.88576893939917</v>
      </c>
      <c r="G932" s="7">
        <v>-65.88576893939917</v>
      </c>
    </row>
    <row r="933" spans="1:7">
      <c r="A933" s="6">
        <v>4518559.443749227</v>
      </c>
      <c r="B933" s="6">
        <v>5.009680862966966E-10</v>
      </c>
      <c r="C933" s="6">
        <v>5.009680862966966E-10</v>
      </c>
      <c r="D933" s="6">
        <v>5.009680862966966E-10</v>
      </c>
      <c r="E933" s="7">
        <v>-66.00379879150537</v>
      </c>
      <c r="F933" s="7">
        <v>-66.00379879150537</v>
      </c>
      <c r="G933" s="7">
        <v>-66.00379879150537</v>
      </c>
    </row>
    <row r="934" spans="1:7">
      <c r="A934" s="6">
        <v>4570881.896148751</v>
      </c>
      <c r="B934" s="6">
        <v>4.93733163531096E-10</v>
      </c>
      <c r="C934" s="6">
        <v>4.93733163531096E-10</v>
      </c>
      <c r="D934" s="6">
        <v>4.93733163531096E-10</v>
      </c>
      <c r="E934" s="7">
        <v>-66.13015401405231</v>
      </c>
      <c r="F934" s="7">
        <v>-66.13015401405231</v>
      </c>
      <c r="G934" s="7">
        <v>-66.13015401405231</v>
      </c>
    </row>
    <row r="935" spans="1:7">
      <c r="A935" s="6">
        <v>4623810.213992603</v>
      </c>
      <c r="B935" s="6">
        <v>4.861386770244158E-10</v>
      </c>
      <c r="C935" s="6">
        <v>4.861386770244158E-10</v>
      </c>
      <c r="D935" s="6">
        <v>4.861386770244158E-10</v>
      </c>
      <c r="E935" s="7">
        <v>-66.26479650465308</v>
      </c>
      <c r="F935" s="7">
        <v>-66.26479650465308</v>
      </c>
      <c r="G935" s="7">
        <v>-66.26479650465308</v>
      </c>
    </row>
    <row r="936" spans="1:7">
      <c r="A936" s="6">
        <v>4677351.412871981</v>
      </c>
      <c r="B936" s="6">
        <v>4.782058375462943E-10</v>
      </c>
      <c r="C936" s="6">
        <v>4.782058375462943E-10</v>
      </c>
      <c r="D936" s="6">
        <v>4.782058375462943E-10</v>
      </c>
      <c r="E936" s="7">
        <v>-66.40770253351113</v>
      </c>
      <c r="F936" s="7">
        <v>-66.40770253351113</v>
      </c>
      <c r="G936" s="7">
        <v>-66.40770253351113</v>
      </c>
    </row>
    <row r="937" spans="1:7">
      <c r="A937" s="6">
        <v>4731512.589614803</v>
      </c>
      <c r="B937" s="6">
        <v>4.699556373160518E-10</v>
      </c>
      <c r="C937" s="6">
        <v>4.699556373160518E-10</v>
      </c>
      <c r="D937" s="6">
        <v>4.699556373160518E-10</v>
      </c>
      <c r="E937" s="7">
        <v>-66.55886272971829</v>
      </c>
      <c r="F937" s="7">
        <v>-66.55886272971829</v>
      </c>
      <c r="G937" s="7">
        <v>-66.55886272971829</v>
      </c>
    </row>
    <row r="938" spans="1:7">
      <c r="A938" s="6">
        <v>4786300.923226381</v>
      </c>
      <c r="B938" s="6">
        <v>4.614088206734822E-10</v>
      </c>
      <c r="C938" s="6">
        <v>4.614088206734822E-10</v>
      </c>
      <c r="D938" s="6">
        <v>4.614088206734822E-10</v>
      </c>
      <c r="E938" s="7">
        <v>-66.7182821480452</v>
      </c>
      <c r="F938" s="7">
        <v>-66.7182821480452</v>
      </c>
      <c r="G938" s="7">
        <v>-66.7182821480452</v>
      </c>
    </row>
    <row r="939" spans="1:7">
      <c r="A939" s="6">
        <v>4841723.675840999</v>
      </c>
      <c r="B939" s="6">
        <v>4.525858577011587E-10</v>
      </c>
      <c r="C939" s="6">
        <v>4.525858577011587E-10</v>
      </c>
      <c r="D939" s="6">
        <v>4.525858577011587E-10</v>
      </c>
      <c r="E939" s="7">
        <v>-66.88598041806804</v>
      </c>
      <c r="F939" s="7">
        <v>-66.88598041806804</v>
      </c>
      <c r="G939" s="7">
        <v>-66.88598041806804</v>
      </c>
    </row>
    <row r="940" spans="1:7">
      <c r="A940" s="6">
        <v>4897788.193684466</v>
      </c>
      <c r="B940" s="6">
        <v>4.435069206080625E-10</v>
      </c>
      <c r="C940" s="6">
        <v>4.435069206080625E-10</v>
      </c>
      <c r="D940" s="6">
        <v>4.435069206080625E-10</v>
      </c>
      <c r="E940" s="7">
        <v>-67.06199197849659</v>
      </c>
      <c r="F940" s="7">
        <v>-67.06199197849659</v>
      </c>
      <c r="G940" s="7">
        <v>-67.06199197849659</v>
      </c>
    </row>
    <row r="941" spans="1:7">
      <c r="A941" s="6">
        <v>4954501.908047905</v>
      </c>
      <c r="B941" s="6">
        <v>4.341918626949607E-10</v>
      </c>
      <c r="C941" s="6">
        <v>4.341918626949607E-10</v>
      </c>
      <c r="D941" s="6">
        <v>4.341918626949607E-10</v>
      </c>
      <c r="E941" s="7">
        <v>-67.24636640067166</v>
      </c>
      <c r="F941" s="7">
        <v>-67.24636640067166</v>
      </c>
      <c r="G941" s="7">
        <v>-67.24636640067166</v>
      </c>
    </row>
    <row r="942" spans="1:7">
      <c r="A942" s="6">
        <v>5011872.336272725</v>
      </c>
      <c r="B942" s="6">
        <v>4.246601997320576E-10</v>
      </c>
      <c r="C942" s="6">
        <v>4.246601997320576E-10</v>
      </c>
      <c r="D942" s="6">
        <v>4.246601997320576E-10</v>
      </c>
      <c r="E942" s="7">
        <v>-67.4391688064035</v>
      </c>
      <c r="F942" s="7">
        <v>-67.4391688064035</v>
      </c>
      <c r="G942" s="7">
        <v>-67.4391688064035</v>
      </c>
    </row>
    <row r="943" spans="1:7">
      <c r="A943" s="6">
        <v>5069907.082747044</v>
      </c>
      <c r="B943" s="6">
        <v>4.149310935888573E-10</v>
      </c>
      <c r="C943" s="6">
        <v>4.149310935888573E-10</v>
      </c>
      <c r="D943" s="6">
        <v>4.149310935888573E-10</v>
      </c>
      <c r="E943" s="7">
        <v>-67.64048038666536</v>
      </c>
      <c r="F943" s="7">
        <v>-67.64048038666536</v>
      </c>
      <c r="G943" s="7">
        <v>-67.64048038666536</v>
      </c>
    </row>
    <row r="944" spans="1:7">
      <c r="A944" s="6">
        <v>5128613.839913649</v>
      </c>
      <c r="B944" s="6">
        <v>4.050233379651658E-10</v>
      </c>
      <c r="C944" s="6">
        <v>4.050233379651658E-10</v>
      </c>
      <c r="D944" s="6">
        <v>4.050233379651658E-10</v>
      </c>
      <c r="E944" s="7">
        <v>-67.85039902916475</v>
      </c>
      <c r="F944" s="7">
        <v>-67.85039902916475</v>
      </c>
      <c r="G944" s="7">
        <v>-67.85039902916475</v>
      </c>
    </row>
    <row r="945" spans="1:7">
      <c r="A945" s="6">
        <v>5188000.389289609</v>
      </c>
      <c r="B945" s="6">
        <v>3.949553460806156E-10</v>
      </c>
      <c r="C945" s="6">
        <v>3.949553460806156E-10</v>
      </c>
      <c r="D945" s="6">
        <v>3.949553460806156E-10</v>
      </c>
      <c r="E945" s="7">
        <v>-68.06904006453576</v>
      </c>
      <c r="F945" s="7">
        <v>-68.06904006453576</v>
      </c>
      <c r="G945" s="7">
        <v>-68.06904006453576</v>
      </c>
    </row>
    <row r="946" spans="1:7">
      <c r="A946" s="6">
        <v>5248074.602497723</v>
      </c>
      <c r="B946" s="6">
        <v>3.847451401880454E-10</v>
      </c>
      <c r="C946" s="6">
        <v>3.847451401880454E-10</v>
      </c>
      <c r="D946" s="6">
        <v>3.847451401880454E-10</v>
      </c>
      <c r="E946" s="7">
        <v>-68.29653714287807</v>
      </c>
      <c r="F946" s="7">
        <v>-68.29653714287807</v>
      </c>
      <c r="G946" s="7">
        <v>-68.29653714287807</v>
      </c>
    </row>
    <row r="947" spans="1:7">
      <c r="A947" s="6">
        <v>5308844.44230989</v>
      </c>
      <c r="B947" s="6">
        <v>3.744103427836242E-10</v>
      </c>
      <c r="C947" s="6">
        <v>3.744103427836242E-10</v>
      </c>
      <c r="D947" s="6">
        <v>3.744103427836242E-10</v>
      </c>
      <c r="E947" s="7">
        <v>-68.53304325467151</v>
      </c>
      <c r="F947" s="7">
        <v>-68.53304325467151</v>
      </c>
      <c r="G947" s="7">
        <v>-68.53304325467151</v>
      </c>
    </row>
    <row r="948" spans="1:7">
      <c r="A948" s="6">
        <v>5370317.963702532</v>
      </c>
      <c r="B948" s="6">
        <v>3.639681693937001E-10</v>
      </c>
      <c r="C948" s="6">
        <v>3.639681693937001E-10</v>
      </c>
      <c r="D948" s="6">
        <v>3.639681693937001E-10</v>
      </c>
      <c r="E948" s="7">
        <v>-68.77873191279538</v>
      </c>
      <c r="F948" s="7">
        <v>-68.77873191279538</v>
      </c>
      <c r="G948" s="7">
        <v>-68.77873191279538</v>
      </c>
    </row>
    <row r="949" spans="1:7">
      <c r="A949" s="6">
        <v>5432503.314924336</v>
      </c>
      <c r="B949" s="6">
        <v>3.534354228250417E-10</v>
      </c>
      <c r="C949" s="6">
        <v>3.534354228250417E-10</v>
      </c>
      <c r="D949" s="6">
        <v>3.534354228250417E-10</v>
      </c>
      <c r="E949" s="7">
        <v>-69.03379851557203</v>
      </c>
      <c r="F949" s="7">
        <v>-69.03379851557203</v>
      </c>
      <c r="G949" s="7">
        <v>-69.03379851557203</v>
      </c>
    </row>
    <row r="950" spans="1:7">
      <c r="A950" s="6">
        <v>5495408.738576248</v>
      </c>
      <c r="B950" s="6">
        <v>3.428284887715187E-10</v>
      </c>
      <c r="C950" s="6">
        <v>3.428284887715187E-10</v>
      </c>
      <c r="D950" s="6">
        <v>3.428284887715187E-10</v>
      </c>
      <c r="E950" s="7">
        <v>-69.29846191454625</v>
      </c>
      <c r="F950" s="7">
        <v>-69.29846191454625</v>
      </c>
      <c r="G950" s="7">
        <v>-69.29846191454625</v>
      </c>
    </row>
    <row r="951" spans="1:7">
      <c r="A951" s="6">
        <v>5559042.572704037</v>
      </c>
      <c r="B951" s="6">
        <v>3.321633326761872E-10</v>
      </c>
      <c r="C951" s="6">
        <v>3.321633326761872E-10</v>
      </c>
      <c r="D951" s="6">
        <v>3.321633326761872E-10</v>
      </c>
      <c r="E951" s="7">
        <v>-69.57296621525475</v>
      </c>
      <c r="F951" s="7">
        <v>-69.57296621525475</v>
      </c>
      <c r="G951" s="7">
        <v>-69.57296621525475</v>
      </c>
    </row>
    <row r="952" spans="1:7">
      <c r="A952" s="6">
        <v>5623413.251903491</v>
      </c>
      <c r="B952" s="6">
        <v>3.21455497753407E-10</v>
      </c>
      <c r="C952" s="6">
        <v>3.21455497753407E-10</v>
      </c>
      <c r="D952" s="6">
        <v>3.21455497753407E-10</v>
      </c>
      <c r="E952" s="7">
        <v>-69.85758284471027</v>
      </c>
      <c r="F952" s="7">
        <v>-69.85758284471027</v>
      </c>
      <c r="G952" s="7">
        <v>-69.85758284471027</v>
      </c>
    </row>
    <row r="953" spans="1:7">
      <c r="A953" s="6">
        <v>5688529.308438413</v>
      </c>
      <c r="B953" s="6">
        <v>3.107201040809372E-10</v>
      </c>
      <c r="C953" s="6">
        <v>3.107201040809372E-10</v>
      </c>
      <c r="D953" s="6">
        <v>3.107201040809372E-10</v>
      </c>
      <c r="E953" s="7">
        <v>-70.15261292595613</v>
      </c>
      <c r="F953" s="7">
        <v>-70.15261292595613</v>
      </c>
      <c r="G953" s="7">
        <v>-70.15261292595613</v>
      </c>
    </row>
    <row r="954" spans="1:7">
      <c r="A954" s="6">
        <v>5754399.373371567</v>
      </c>
      <c r="B954" s="6">
        <v>2.999718486769721E-10</v>
      </c>
      <c r="C954" s="6">
        <v>2.999718486769721E-10</v>
      </c>
      <c r="D954" s="6">
        <v>2.999718486769721E-10</v>
      </c>
      <c r="E954" s="7">
        <v>-70.45839000813432</v>
      </c>
      <c r="F954" s="7">
        <v>-70.45839000813432</v>
      </c>
      <c r="G954" s="7">
        <v>-70.45839000813432</v>
      </c>
    </row>
    <row r="955" spans="1:7">
      <c r="A955" s="6">
        <v>5821032.17770871</v>
      </c>
      <c r="B955" s="6">
        <v>2.892250064818204E-10</v>
      </c>
      <c r="C955" s="6">
        <v>2.892250064818204E-10</v>
      </c>
      <c r="D955" s="6">
        <v>2.892250064818204E-10</v>
      </c>
      <c r="E955" s="7">
        <v>-70.77528321042941</v>
      </c>
      <c r="F955" s="7">
        <v>-70.77528321042941</v>
      </c>
      <c r="G955" s="7">
        <v>-70.77528321042941</v>
      </c>
    </row>
    <row r="956" spans="1:7">
      <c r="A956" s="6">
        <v>5888436.553555896</v>
      </c>
      <c r="B956" s="6">
        <v>2.784934321683982E-10</v>
      </c>
      <c r="C956" s="6">
        <v>2.784934321683982E-10</v>
      </c>
      <c r="D956" s="6">
        <v>2.784934321683982E-10</v>
      </c>
      <c r="E956" s="7">
        <v>-71.10370085049853</v>
      </c>
      <c r="F956" s="7">
        <v>-71.10370085049853</v>
      </c>
      <c r="G956" s="7">
        <v>-71.10370085049853</v>
      </c>
    </row>
    <row r="957" spans="1:7">
      <c r="A957" s="6">
        <v>5956621.435290109</v>
      </c>
      <c r="B957" s="6">
        <v>2.677905627099607E-10</v>
      </c>
      <c r="C957" s="6">
        <v>2.677905627099607E-10</v>
      </c>
      <c r="D957" s="6">
        <v>2.677905627099607E-10</v>
      </c>
      <c r="E957" s="7">
        <v>-71.4440946432096</v>
      </c>
      <c r="F957" s="7">
        <v>-71.4440946432096</v>
      </c>
      <c r="G957" s="7">
        <v>-71.4440946432096</v>
      </c>
    </row>
    <row r="958" spans="1:7">
      <c r="A958" s="6">
        <v>6025595.860743581</v>
      </c>
      <c r="B958" s="6">
        <v>2.571294206374197E-10</v>
      </c>
      <c r="C958" s="6">
        <v>2.571294206374197E-10</v>
      </c>
      <c r="D958" s="6">
        <v>2.571294206374197E-10</v>
      </c>
      <c r="E958" s="7">
        <v>-71.79696457453481</v>
      </c>
      <c r="F958" s="7">
        <v>-71.79696457453481</v>
      </c>
      <c r="G958" s="7">
        <v>-71.79696457453481</v>
      </c>
    </row>
    <row r="959" spans="1:7">
      <c r="A959" s="6">
        <v>6095368.972401693</v>
      </c>
      <c r="B959" s="6">
        <v>2.465226179224571E-10</v>
      </c>
      <c r="C959" s="6">
        <v>2.465226179224571E-10</v>
      </c>
      <c r="D959" s="6">
        <v>2.465226179224571E-10</v>
      </c>
      <c r="E959" s="7">
        <v>-72.16286457939512</v>
      </c>
      <c r="F959" s="7">
        <v>-72.16286457939512</v>
      </c>
      <c r="G959" s="7">
        <v>-72.16286457939512</v>
      </c>
    </row>
    <row r="960" spans="1:7">
      <c r="A960" s="6">
        <v>6165950.018614822</v>
      </c>
      <c r="B960" s="6">
        <v>2.359823604261109E-10</v>
      </c>
      <c r="C960" s="6">
        <v>2.359823604261109E-10</v>
      </c>
      <c r="D960" s="6">
        <v>2.359823604261109E-10</v>
      </c>
      <c r="E960" s="7">
        <v>-72.54240918262461</v>
      </c>
      <c r="F960" s="7">
        <v>-72.54240918262461</v>
      </c>
      <c r="G960" s="7">
        <v>-72.54240918262461</v>
      </c>
    </row>
    <row r="961" spans="1:7">
      <c r="A961" s="6">
        <v>6237348.354824191</v>
      </c>
      <c r="B961" s="6">
        <v>2.255204528559362E-10</v>
      </c>
      <c r="C961" s="6">
        <v>2.255204528559362E-10</v>
      </c>
      <c r="D961" s="6">
        <v>2.255204528559362E-10</v>
      </c>
      <c r="E961" s="7">
        <v>-72.93628130102664</v>
      </c>
      <c r="F961" s="7">
        <v>-72.93628130102664</v>
      </c>
      <c r="G961" s="7">
        <v>-72.93628130102664</v>
      </c>
    </row>
    <row r="962" spans="1:7">
      <c r="A962" s="6">
        <v>6309573.44480193</v>
      </c>
      <c r="B962" s="6">
        <v>2.151483041779913E-10</v>
      </c>
      <c r="C962" s="6">
        <v>2.151483041779913E-10</v>
      </c>
      <c r="D962" s="6">
        <v>2.151483041779913E-10</v>
      </c>
      <c r="E962" s="7">
        <v>-73.34524145447241</v>
      </c>
      <c r="F962" s="7">
        <v>-73.34524145447241</v>
      </c>
      <c r="G962" s="7">
        <v>-73.34524145447241</v>
      </c>
    </row>
    <row r="963" spans="1:7">
      <c r="A963" s="6">
        <v>6382634.861905483</v>
      </c>
      <c r="B963" s="6">
        <v>2.048769334329151E-10</v>
      </c>
      <c r="C963" s="6">
        <v>2.048769334329151E-10</v>
      </c>
      <c r="D963" s="6">
        <v>2.048769334329151E-10</v>
      </c>
      <c r="E963" s="7">
        <v>-73.77013869890757</v>
      </c>
      <c r="F963" s="7">
        <v>-73.77013869890757</v>
      </c>
      <c r="G963" s="7">
        <v>-73.77013869890757</v>
      </c>
    </row>
    <row r="964" spans="1:7">
      <c r="A964" s="6">
        <v>6456542.290346563</v>
      </c>
      <c r="B964" s="6">
        <v>1.947169759081976E-10</v>
      </c>
      <c r="C964" s="6">
        <v>1.947169759081976E-10</v>
      </c>
      <c r="D964" s="6">
        <v>1.947169759081976E-10</v>
      </c>
      <c r="E964" s="7">
        <v>-74.21192367921746</v>
      </c>
      <c r="F964" s="7">
        <v>-74.21192367921746</v>
      </c>
      <c r="G964" s="7">
        <v>-74.21192367921746</v>
      </c>
    </row>
    <row r="965" spans="1:7">
      <c r="A965" s="6">
        <v>6531305.526474729</v>
      </c>
      <c r="B965" s="6">
        <v>1.846786896214511E-10</v>
      </c>
      <c r="C965" s="6">
        <v>1.846786896214511E-10</v>
      </c>
      <c r="D965" s="6">
        <v>1.846786896214511E-10</v>
      </c>
      <c r="E965" s="7">
        <v>-74.67166431250153</v>
      </c>
      <c r="F965" s="7">
        <v>-74.67166431250153</v>
      </c>
      <c r="G965" s="7">
        <v>-74.67166431250153</v>
      </c>
    </row>
    <row r="966" spans="1:7">
      <c r="A966" s="6">
        <v>6606934.480075965</v>
      </c>
      <c r="B966" s="6">
        <v>1.747719620719898E-10</v>
      </c>
      <c r="C966" s="6">
        <v>1.747719620719898E-10</v>
      </c>
      <c r="D966" s="6">
        <v>1.747719620719898E-10</v>
      </c>
      <c r="E966" s="7">
        <v>-75.15056476287629</v>
      </c>
      <c r="F966" s="7">
        <v>-75.15056476287629</v>
      </c>
      <c r="G966" s="7">
        <v>-75.15056476287629</v>
      </c>
    </row>
    <row r="967" spans="1:7">
      <c r="A967" s="6">
        <v>6683439.175686149</v>
      </c>
      <c r="B967" s="6">
        <v>1.650063172205055E-10</v>
      </c>
      <c r="C967" s="6">
        <v>1.650063172205055E-10</v>
      </c>
      <c r="D967" s="6">
        <v>1.650063172205055E-10</v>
      </c>
      <c r="E967" s="7">
        <v>-75.64998857251119</v>
      </c>
      <c r="F967" s="7">
        <v>-75.64998857251119</v>
      </c>
      <c r="G967" s="7">
        <v>-75.64998857251119</v>
      </c>
    </row>
    <row r="968" spans="1:7">
      <c r="A968" s="6">
        <v>6760829.753919818</v>
      </c>
      <c r="B968" s="6">
        <v>1.553909226588438E-10</v>
      </c>
      <c r="C968" s="6">
        <v>1.553909226588438E-10</v>
      </c>
      <c r="D968" s="6">
        <v>1.553909226588438E-10</v>
      </c>
      <c r="E968" s="7">
        <v>-76.17148709221014</v>
      </c>
      <c r="F968" s="7">
        <v>-76.17148709221014</v>
      </c>
      <c r="G968" s="7">
        <v>-76.17148709221014</v>
      </c>
    </row>
    <row r="969" spans="1:7">
      <c r="A969" s="6">
        <v>6839116.472814293</v>
      </c>
      <c r="B969" s="6">
        <v>1.4593459693409E-10</v>
      </c>
      <c r="C969" s="6">
        <v>1.4593459693409E-10</v>
      </c>
      <c r="D969" s="6">
        <v>1.4593459693409E-10</v>
      </c>
      <c r="E969" s="7">
        <v>-76.71683474110354</v>
      </c>
      <c r="F969" s="7">
        <v>-76.71683474110354</v>
      </c>
      <c r="G969" s="7">
        <v>-76.71683474110354</v>
      </c>
    </row>
    <row r="970" spans="1:7">
      <c r="A970" s="6">
        <v>6918309.709189363</v>
      </c>
      <c r="B970" s="6">
        <v>1.366458169932243E-10</v>
      </c>
      <c r="C970" s="6">
        <v>1.366458169932243E-10</v>
      </c>
      <c r="D970" s="6">
        <v>1.366458169932243E-10</v>
      </c>
      <c r="E970" s="7">
        <v>-77.28807316812981</v>
      </c>
      <c r="F970" s="7">
        <v>-77.28807316812981</v>
      </c>
      <c r="G970" s="7">
        <v>-77.28807316812981</v>
      </c>
    </row>
    <row r="971" spans="1:7">
      <c r="A971" s="6">
        <v>6998419.960022731</v>
      </c>
      <c r="B971" s="6">
        <v>1.275327257165514E-10</v>
      </c>
      <c r="C971" s="6">
        <v>1.275327257165514E-10</v>
      </c>
      <c r="D971" s="6">
        <v>1.275327257165514E-10</v>
      </c>
      <c r="E971" s="7">
        <v>-77.88756716351241</v>
      </c>
      <c r="F971" s="7">
        <v>-77.88756716351241</v>
      </c>
      <c r="G971" s="7">
        <v>-77.88756716351241</v>
      </c>
    </row>
    <row r="972" spans="1:7">
      <c r="A972" s="6">
        <v>7079457.843841388</v>
      </c>
      <c r="B972" s="6">
        <v>1.186031395099867E-10</v>
      </c>
      <c r="C972" s="6">
        <v>1.186031395099867E-10</v>
      </c>
      <c r="D972" s="6">
        <v>1.186031395099867E-10</v>
      </c>
      <c r="E972" s="7">
        <v>-78.51807629467679</v>
      </c>
      <c r="F972" s="7">
        <v>-78.51807629467679</v>
      </c>
      <c r="G972" s="7">
        <v>-78.51807629467679</v>
      </c>
    </row>
    <row r="973" spans="1:7">
      <c r="A973" s="6">
        <v>7161434.102129027</v>
      </c>
      <c r="B973" s="6">
        <v>1.098645559280582E-10</v>
      </c>
      <c r="C973" s="6">
        <v>1.098645559280582E-10</v>
      </c>
      <c r="D973" s="6">
        <v>1.098645559280582E-10</v>
      </c>
      <c r="E973" s="7">
        <v>-79.18284790724171</v>
      </c>
      <c r="F973" s="7">
        <v>-79.18284790724171</v>
      </c>
      <c r="G973" s="7">
        <v>-79.18284790724171</v>
      </c>
    </row>
    <row r="974" spans="1:7">
      <c r="A974" s="6">
        <v>7244359.600749906</v>
      </c>
      <c r="B974" s="6">
        <v>1.013241613011554E-10</v>
      </c>
      <c r="C974" s="6">
        <v>1.013241613011554E-10</v>
      </c>
      <c r="D974" s="6">
        <v>1.013241613011554E-10</v>
      </c>
      <c r="E974" s="7">
        <v>-79.88573964785915</v>
      </c>
      <c r="F974" s="7">
        <v>-79.88573964785915</v>
      </c>
      <c r="G974" s="7">
        <v>-79.88573964785915</v>
      </c>
    </row>
    <row r="975" spans="1:7">
      <c r="A975" s="6">
        <v>7328245.331389044</v>
      </c>
      <c r="B975" s="6">
        <v>9.29888383422522E-11</v>
      </c>
      <c r="C975" s="6">
        <v>9.29888383422522E-11</v>
      </c>
      <c r="D975" s="6">
        <v>9.29888383422522E-11</v>
      </c>
      <c r="E975" s="7">
        <v>-80.63138355306798</v>
      </c>
      <c r="F975" s="7">
        <v>-80.63138355306798</v>
      </c>
      <c r="G975" s="7">
        <v>-80.63138355306798</v>
      </c>
    </row>
    <row r="976" spans="1:7">
      <c r="A976" s="6">
        <v>7413102.413009177</v>
      </c>
      <c r="B976" s="6">
        <v>8.486517370983829E-11</v>
      </c>
      <c r="C976" s="6">
        <v>8.486517370983829E-11</v>
      </c>
      <c r="D976" s="6">
        <v>8.486517370983829E-11</v>
      </c>
      <c r="E976" s="7">
        <v>-81.42540990975664</v>
      </c>
      <c r="F976" s="7">
        <v>-81.42540990975664</v>
      </c>
      <c r="G976" s="7">
        <v>-81.42540990975664</v>
      </c>
    </row>
    <row r="977" spans="1:7">
      <c r="A977" s="6">
        <v>7498942.093324558</v>
      </c>
      <c r="B977" s="6">
        <v>7.695946550537102E-11</v>
      </c>
      <c r="C977" s="6">
        <v>7.695946550537102E-11</v>
      </c>
      <c r="D977" s="6">
        <v>7.695946550537102E-11</v>
      </c>
      <c r="E977" s="7">
        <v>-82.27475914395633</v>
      </c>
      <c r="F977" s="7">
        <v>-82.27475914395633</v>
      </c>
      <c r="G977" s="7">
        <v>-82.27475914395633</v>
      </c>
    </row>
    <row r="978" spans="1:7">
      <c r="A978" s="6">
        <v>7585775.750291836</v>
      </c>
      <c r="B978" s="6">
        <v>6.927773068502731E-11</v>
      </c>
      <c r="C978" s="6">
        <v>6.927773068502731E-11</v>
      </c>
      <c r="D978" s="6">
        <v>6.927773068502731E-11</v>
      </c>
      <c r="E978" s="7">
        <v>-83.18812693687883</v>
      </c>
      <c r="F978" s="7">
        <v>-83.18812693687883</v>
      </c>
      <c r="G978" s="7">
        <v>-83.18812693687883</v>
      </c>
    </row>
    <row r="979" spans="1:7">
      <c r="A979" s="6">
        <v>7673614.893618186</v>
      </c>
      <c r="B979" s="6">
        <v>6.182571236701835E-11</v>
      </c>
      <c r="C979" s="6">
        <v>6.182571236701835E-11</v>
      </c>
      <c r="D979" s="6">
        <v>6.182571236701835E-11</v>
      </c>
      <c r="E979" s="7">
        <v>-84.17661741836838</v>
      </c>
      <c r="F979" s="7">
        <v>-84.17661741836838</v>
      </c>
      <c r="G979" s="7">
        <v>-84.17661741836838</v>
      </c>
    </row>
    <row r="980" spans="1:7">
      <c r="A980" s="6">
        <v>7762471.166286912</v>
      </c>
      <c r="B980" s="6">
        <v>5.460888701718568E-11</v>
      </c>
      <c r="C980" s="6">
        <v>5.460888701718568E-11</v>
      </c>
      <c r="D980" s="6">
        <v>5.460888701718568E-11</v>
      </c>
      <c r="E980" s="7">
        <v>-85.25473349445683</v>
      </c>
      <c r="F980" s="7">
        <v>-85.25473349445683</v>
      </c>
      <c r="G980" s="7">
        <v>-85.25473349445683</v>
      </c>
    </row>
    <row r="981" spans="1:7">
      <c r="A981" s="6">
        <v>7852356.346100726</v>
      </c>
      <c r="B981" s="6">
        <v>4.76324714970745E-11</v>
      </c>
      <c r="C981" s="6">
        <v>4.76324714970745E-11</v>
      </c>
      <c r="D981" s="6">
        <v>4.76324714970745E-11</v>
      </c>
      <c r="E981" s="7">
        <v>-86.44193767495634</v>
      </c>
      <c r="F981" s="7">
        <v>-86.44193767495634</v>
      </c>
      <c r="G981" s="7">
        <v>-86.44193767495634</v>
      </c>
    </row>
    <row r="982" spans="1:7">
      <c r="A982" s="6">
        <v>7943282.347242822</v>
      </c>
      <c r="B982" s="6">
        <v>4.0901429960201E-11</v>
      </c>
      <c r="C982" s="6">
        <v>4.0901429960201E-11</v>
      </c>
      <c r="D982" s="6">
        <v>4.0901429960201E-11</v>
      </c>
      <c r="E982" s="7">
        <v>-87.76523016602987</v>
      </c>
      <c r="F982" s="7">
        <v>-87.76523016602987</v>
      </c>
      <c r="G982" s="7">
        <v>-87.76523016602987</v>
      </c>
    </row>
    <row r="983" spans="1:7">
      <c r="A983" s="6">
        <v>8035261.221856177</v>
      </c>
      <c r="B983" s="6">
        <v>3.442048058377741E-11</v>
      </c>
      <c r="C983" s="6">
        <v>3.442048058377741E-11</v>
      </c>
      <c r="D983" s="6">
        <v>3.442048058377741E-11</v>
      </c>
      <c r="E983" s="7">
        <v>-89.26366140566275</v>
      </c>
      <c r="F983" s="7">
        <v>-89.26366140566275</v>
      </c>
      <c r="G983" s="7">
        <v>-89.26366140566275</v>
      </c>
    </row>
    <row r="984" spans="1:7">
      <c r="A984" s="6">
        <v>8128305.161640995</v>
      </c>
      <c r="B984" s="6">
        <v>2.819410212488273E-11</v>
      </c>
      <c r="C984" s="6">
        <v>2.819410212488273E-11</v>
      </c>
      <c r="D984" s="6">
        <v>2.819410212488273E-11</v>
      </c>
      <c r="E984" s="7">
        <v>-90.99683462971819</v>
      </c>
      <c r="F984" s="7">
        <v>-90.99683462971819</v>
      </c>
      <c r="G984" s="7">
        <v>-90.99683462971819</v>
      </c>
    </row>
    <row r="985" spans="1:7">
      <c r="A985" s="6">
        <v>8222426.499470712</v>
      </c>
      <c r="B985" s="6">
        <v>2.22265402918771E-11</v>
      </c>
      <c r="C985" s="6">
        <v>2.22265402918771E-11</v>
      </c>
      <c r="D985" s="6">
        <v>2.22265402918771E-11</v>
      </c>
      <c r="E985" s="7">
        <v>-93.06256265702356</v>
      </c>
      <c r="F985" s="7">
        <v>-93.06256265702356</v>
      </c>
      <c r="G985" s="7">
        <v>-93.06256265702356</v>
      </c>
    </row>
    <row r="986" spans="1:7">
      <c r="A986" s="6">
        <v>8317637.711026709</v>
      </c>
      <c r="B986" s="6">
        <v>1.652181392407066E-11</v>
      </c>
      <c r="C986" s="6">
        <v>1.652181392407066E-11</v>
      </c>
      <c r="D986" s="6">
        <v>1.652181392407066E-11</v>
      </c>
      <c r="E986" s="7">
        <v>-95.63884546722798</v>
      </c>
      <c r="F986" s="7">
        <v>-95.63884546722798</v>
      </c>
      <c r="G986" s="7">
        <v>-95.63884546722798</v>
      </c>
    </row>
    <row r="987" spans="1:7">
      <c r="A987" s="6">
        <v>8413951.416451948</v>
      </c>
      <c r="B987" s="6">
        <v>1.108372097586815E-11</v>
      </c>
      <c r="C987" s="6">
        <v>1.108372097586815E-11</v>
      </c>
      <c r="D987" s="6">
        <v>1.108372097586815E-11</v>
      </c>
      <c r="E987" s="7">
        <v>-99.10628831562011</v>
      </c>
      <c r="F987" s="7">
        <v>-99.10628831562011</v>
      </c>
      <c r="G987" s="7">
        <v>-99.10628831562011</v>
      </c>
    </row>
    <row r="988" spans="1:7">
      <c r="A988" s="6">
        <v>8511380.382023759</v>
      </c>
      <c r="B988" s="6">
        <v>5.91584431233777E-12</v>
      </c>
      <c r="C988" s="6">
        <v>5.91584431233777E-12</v>
      </c>
      <c r="D988" s="6">
        <v>5.91584431233777E-12</v>
      </c>
      <c r="E988" s="7">
        <v>-104.5596652776216</v>
      </c>
      <c r="F988" s="7">
        <v>-104.5596652776216</v>
      </c>
      <c r="G988" s="7">
        <v>-104.5596652776216</v>
      </c>
    </row>
    <row r="989" spans="1:7">
      <c r="A989" s="6">
        <v>8609937.521846017</v>
      </c>
      <c r="B989" s="6">
        <v>1.021557672141694E-12</v>
      </c>
      <c r="C989" s="6">
        <v>1.021557672141694E-12</v>
      </c>
      <c r="D989" s="6">
        <v>1.021557672141694E-12</v>
      </c>
      <c r="E989" s="7">
        <v>-119.8147422040105</v>
      </c>
      <c r="F989" s="7">
        <v>-119.8147422040105</v>
      </c>
      <c r="G989" s="7">
        <v>-119.8147422040105</v>
      </c>
    </row>
    <row r="990" spans="1:7">
      <c r="A990" s="6">
        <v>8709635.899560815</v>
      </c>
      <c r="B990" s="6">
        <v>3.595971468207532E-12</v>
      </c>
      <c r="C990" s="6">
        <v>3.595971468207532E-12</v>
      </c>
      <c r="D990" s="6">
        <v>3.595971468207532E-12</v>
      </c>
      <c r="E990" s="7">
        <v>-108.8836752556237</v>
      </c>
      <c r="F990" s="7">
        <v>-108.8836752556237</v>
      </c>
      <c r="G990" s="7">
        <v>-108.8836752556237</v>
      </c>
    </row>
    <row r="991" spans="1:7">
      <c r="A991" s="6">
        <v>8810488.730080146</v>
      </c>
      <c r="B991" s="6">
        <v>7.933770723541485E-12</v>
      </c>
      <c r="C991" s="6">
        <v>7.933770723541485E-12</v>
      </c>
      <c r="D991" s="6">
        <v>7.933770723541485E-12</v>
      </c>
      <c r="E991" s="7">
        <v>-102.0104070854036</v>
      </c>
      <c r="F991" s="7">
        <v>-102.0104070854036</v>
      </c>
      <c r="G991" s="7">
        <v>-102.0104070854036</v>
      </c>
    </row>
    <row r="992" spans="1:7">
      <c r="A992" s="6">
        <v>8912509.381337458</v>
      </c>
      <c r="B992" s="6">
        <v>1.198906466132632E-11</v>
      </c>
      <c r="C992" s="6">
        <v>1.198906466132632E-11</v>
      </c>
      <c r="D992" s="6">
        <v>1.198906466132632E-11</v>
      </c>
      <c r="E992" s="7">
        <v>-98.42429394981586</v>
      </c>
      <c r="F992" s="7">
        <v>-98.42429394981586</v>
      </c>
      <c r="G992" s="7">
        <v>-98.42429394981586</v>
      </c>
    </row>
    <row r="993" spans="1:7">
      <c r="A993" s="6">
        <v>9015711.376059569</v>
      </c>
      <c r="B993" s="6">
        <v>1.575926588062189E-11</v>
      </c>
      <c r="C993" s="6">
        <v>1.575926588062189E-11</v>
      </c>
      <c r="D993" s="6">
        <v>1.575926588062189E-11</v>
      </c>
      <c r="E993" s="7">
        <v>-96.0492803453313</v>
      </c>
      <c r="F993" s="7">
        <v>-96.0492803453313</v>
      </c>
      <c r="G993" s="7">
        <v>-96.0492803453313</v>
      </c>
    </row>
    <row r="994" spans="1:7">
      <c r="A994" s="6">
        <v>9120108.393559096</v>
      </c>
      <c r="B994" s="6">
        <v>1.924197127326903E-11</v>
      </c>
      <c r="C994" s="6">
        <v>1.924197127326903E-11</v>
      </c>
      <c r="D994" s="6">
        <v>1.924197127326903E-11</v>
      </c>
      <c r="E994" s="7">
        <v>-94.31500876109025</v>
      </c>
      <c r="F994" s="7">
        <v>-94.31500876109025</v>
      </c>
      <c r="G994" s="7">
        <v>-94.31500876109025</v>
      </c>
    </row>
    <row r="995" spans="1:7">
      <c r="A995" s="6">
        <v>9225714.271547629</v>
      </c>
      <c r="B995" s="6">
        <v>2.243495729559726E-11</v>
      </c>
      <c r="C995" s="6">
        <v>2.243495729559726E-11</v>
      </c>
      <c r="D995" s="6">
        <v>2.243495729559726E-11</v>
      </c>
      <c r="E995" s="7">
        <v>-92.98149505598487</v>
      </c>
      <c r="F995" s="7">
        <v>-92.98149505598487</v>
      </c>
      <c r="G995" s="7">
        <v>-92.98149505598487</v>
      </c>
    </row>
    <row r="996" spans="1:7">
      <c r="A996" s="6">
        <v>9332543.007969905</v>
      </c>
      <c r="B996" s="6">
        <v>2.53361752907713E-11</v>
      </c>
      <c r="C996" s="6">
        <v>2.53361752907713E-11</v>
      </c>
      <c r="D996" s="6">
        <v>2.53361752907713E-11</v>
      </c>
      <c r="E996" s="7">
        <v>-91.92517889835017</v>
      </c>
      <c r="F996" s="7">
        <v>-91.92517889835017</v>
      </c>
      <c r="G996" s="7">
        <v>-91.92517889835017</v>
      </c>
    </row>
    <row r="997" spans="1:7">
      <c r="A997" s="6">
        <v>9440608.762859246</v>
      </c>
      <c r="B997" s="6">
        <v>2.794374675180262E-11</v>
      </c>
      <c r="C997" s="6">
        <v>2.794374675180262E-11</v>
      </c>
      <c r="D997" s="6">
        <v>2.794374675180262E-11</v>
      </c>
      <c r="E997" s="7">
        <v>-91.07430726541067</v>
      </c>
      <c r="F997" s="7">
        <v>-91.07430726541067</v>
      </c>
      <c r="G997" s="7">
        <v>-91.07430726541067</v>
      </c>
    </row>
    <row r="998" spans="1:7">
      <c r="A998" s="6">
        <v>9549925.860214369</v>
      </c>
      <c r="B998" s="6">
        <v>3.025595841492214E-11</v>
      </c>
      <c r="C998" s="6">
        <v>3.025595841492214E-11</v>
      </c>
      <c r="D998" s="6">
        <v>3.025595841492214E-11</v>
      </c>
      <c r="E998" s="7">
        <v>-90.38378170822917</v>
      </c>
      <c r="F998" s="7">
        <v>-90.38378170822917</v>
      </c>
      <c r="G998" s="7">
        <v>-90.38378170822917</v>
      </c>
    </row>
    <row r="999" spans="1:7">
      <c r="A999" s="6">
        <v>9660508.78989814</v>
      </c>
      <c r="B999" s="6">
        <v>3.227125703694188E-11</v>
      </c>
      <c r="C999" s="6">
        <v>3.227125703694188E-11</v>
      </c>
      <c r="D999" s="6">
        <v>3.227125703694188E-11</v>
      </c>
      <c r="E999" s="7">
        <v>-89.8236823506918</v>
      </c>
      <c r="F999" s="7">
        <v>-89.8236823506918</v>
      </c>
      <c r="G999" s="7">
        <v>-89.8236823506918</v>
      </c>
    </row>
    <row r="1000" spans="1:7">
      <c r="A1000" s="6">
        <v>9772372.209558113</v>
      </c>
      <c r="B1000" s="6">
        <v>3.398824365774333E-11</v>
      </c>
      <c r="C1000" s="6">
        <v>3.398824365774333E-11</v>
      </c>
      <c r="D1000" s="6">
        <v>3.398824365774333E-11</v>
      </c>
      <c r="E1000" s="7">
        <v>-89.37342554002937</v>
      </c>
      <c r="F1000" s="7">
        <v>-89.37342554002937</v>
      </c>
      <c r="G1000" s="7">
        <v>-89.37342554002937</v>
      </c>
    </row>
    <row r="1001" spans="1:7">
      <c r="A1001" s="6">
        <v>9885530.946569391</v>
      </c>
      <c r="B1001" s="6">
        <v>3.540566707529909E-11</v>
      </c>
      <c r="C1001" s="6">
        <v>3.540566707529909E-11</v>
      </c>
      <c r="D1001" s="6">
        <v>3.540566707529909E-11</v>
      </c>
      <c r="E1001" s="7">
        <v>-89.0185443738624</v>
      </c>
      <c r="F1001" s="7">
        <v>-89.0185443738624</v>
      </c>
      <c r="G1001" s="7">
        <v>-89.0185443738624</v>
      </c>
    </row>
    <row r="1002" spans="1:7">
      <c r="A1002" s="6">
        <v>10000000</v>
      </c>
      <c r="B1002" s="6">
        <v>3.652241615605869E-11</v>
      </c>
      <c r="C1002" s="6">
        <v>3.652241615605869E-11</v>
      </c>
      <c r="D1002" s="6">
        <v>3.652241615605869E-11</v>
      </c>
      <c r="E1002" s="7">
        <v>-88.74880998500356</v>
      </c>
      <c r="F1002" s="7">
        <v>-88.74880998500356</v>
      </c>
      <c r="G1002" s="7">
        <v>-88.74880998500356</v>
      </c>
    </row>
    <row r="1003" spans="1:7">
      <c r="A1003" s="6">
        <v>10115794.54259898</v>
      </c>
      <c r="B1003" s="6">
        <v>3.733751045320752E-11</v>
      </c>
      <c r="C1003" s="6">
        <v>3.733751045320752E-11</v>
      </c>
      <c r="D1003" s="6">
        <v>3.733751045320752E-11</v>
      </c>
      <c r="E1003" s="7">
        <v>-88.55709285600823</v>
      </c>
      <c r="F1003" s="7">
        <v>-88.55709285600823</v>
      </c>
      <c r="G1003" s="7">
        <v>-88.55709285600823</v>
      </c>
    </row>
    <row r="1004" spans="1:7">
      <c r="A1004" s="6">
        <v>10232929.92280754</v>
      </c>
      <c r="B1004" s="6">
        <v>3.785008838582516E-11</v>
      </c>
      <c r="C1004" s="6">
        <v>3.785008838582516E-11</v>
      </c>
      <c r="D1004" s="6">
        <v>3.785008838582516E-11</v>
      </c>
      <c r="E1004" s="7">
        <v>-88.43866204035541</v>
      </c>
      <c r="F1004" s="7">
        <v>-88.43866204035541</v>
      </c>
      <c r="G1004" s="7">
        <v>-88.43866204035541</v>
      </c>
    </row>
    <row r="1005" spans="1:7">
      <c r="A1005" s="6">
        <v>10351421.66679343</v>
      </c>
      <c r="B1005" s="6">
        <v>3.805939190601017E-11</v>
      </c>
      <c r="C1005" s="6">
        <v>3.805939190601017E-11</v>
      </c>
      <c r="D1005" s="6">
        <v>3.805939190601017E-11</v>
      </c>
      <c r="E1005" s="7">
        <v>-88.39076309868571</v>
      </c>
      <c r="F1005" s="7">
        <v>-88.39076309868571</v>
      </c>
      <c r="G1005" s="7">
        <v>-88.39076309868571</v>
      </c>
    </row>
    <row r="1006" spans="1:7">
      <c r="A1006" s="6">
        <v>10471285.48050901</v>
      </c>
      <c r="B1006" s="6">
        <v>3.796474608790153E-11</v>
      </c>
      <c r="C1006" s="6">
        <v>3.796474608790153E-11</v>
      </c>
      <c r="D1006" s="6">
        <v>3.796474608790153E-11</v>
      </c>
      <c r="E1006" s="7">
        <v>-88.41239000764386</v>
      </c>
      <c r="F1006" s="7">
        <v>-88.41239000764386</v>
      </c>
      <c r="G1006" s="7">
        <v>-88.41239000764386</v>
      </c>
    </row>
    <row r="1007" spans="1:7">
      <c r="A1007" s="6">
        <v>10592537.2517729</v>
      </c>
      <c r="B1007" s="6">
        <v>3.756553131112841E-11</v>
      </c>
      <c r="C1007" s="6">
        <v>3.756553131112841E-11</v>
      </c>
      <c r="D1007" s="6">
        <v>3.756553131112841E-11</v>
      </c>
      <c r="E1007" s="7">
        <v>-88.50420928603354</v>
      </c>
      <c r="F1007" s="7">
        <v>-88.50420928603354</v>
      </c>
      <c r="G1007" s="7">
        <v>-88.50420928603354</v>
      </c>
    </row>
    <row r="1008" spans="1:7">
      <c r="A1008" s="6">
        <v>10715193.05237607</v>
      </c>
      <c r="B1008" s="6">
        <v>3.686114450892818E-11</v>
      </c>
      <c r="C1008" s="6">
        <v>3.686114450892818E-11</v>
      </c>
      <c r="D1008" s="6">
        <v>3.686114450892818E-11</v>
      </c>
      <c r="E1008" s="7">
        <v>-88.66862368825568</v>
      </c>
      <c r="F1008" s="7">
        <v>-88.66862368825568</v>
      </c>
      <c r="G1008" s="7">
        <v>-88.66862368825568</v>
      </c>
    </row>
    <row r="1009" spans="1:7">
      <c r="A1009" s="6">
        <v>10839269.14021204</v>
      </c>
      <c r="B1009" s="6">
        <v>3.58509440047474E-11</v>
      </c>
      <c r="C1009" s="6">
        <v>3.58509440047474E-11</v>
      </c>
      <c r="D1009" s="6">
        <v>3.58509440047474E-11</v>
      </c>
      <c r="E1009" s="7">
        <v>-88.90998808547172</v>
      </c>
      <c r="F1009" s="7">
        <v>-88.90998808547172</v>
      </c>
      <c r="G1009" s="7">
        <v>-88.90998808547172</v>
      </c>
    </row>
    <row r="1010" spans="1:7">
      <c r="A1010" s="6">
        <v>10964781.96143185</v>
      </c>
      <c r="B1010" s="6">
        <v>3.453416922100664E-11</v>
      </c>
      <c r="C1010" s="6">
        <v>3.453416922100664E-11</v>
      </c>
      <c r="D1010" s="6">
        <v>3.453416922100664E-11</v>
      </c>
      <c r="E1010" s="7">
        <v>-89.23501974469704</v>
      </c>
      <c r="F1010" s="7">
        <v>-89.23501974469704</v>
      </c>
      <c r="G1010" s="7">
        <v>-89.23501974469704</v>
      </c>
    </row>
    <row r="1011" spans="1:7">
      <c r="A1011" s="6">
        <v>11091748.15262401</v>
      </c>
      <c r="B1011" s="6">
        <v>3.290982097818247E-11</v>
      </c>
      <c r="C1011" s="6">
        <v>3.290982097818247E-11</v>
      </c>
      <c r="D1011" s="6">
        <v>3.290982097818247E-11</v>
      </c>
      <c r="E1011" s="7">
        <v>-89.6534896032155</v>
      </c>
      <c r="F1011" s="7">
        <v>-89.6534896032155</v>
      </c>
      <c r="G1011" s="7">
        <v>-89.6534896032155</v>
      </c>
    </row>
    <row r="1012" spans="1:7">
      <c r="A1012" s="6">
        <v>11220184.54301963</v>
      </c>
      <c r="B1012" s="6">
        <v>3.097647819635362E-11</v>
      </c>
      <c r="C1012" s="6">
        <v>3.097647819635362E-11</v>
      </c>
      <c r="D1012" s="6">
        <v>3.097647819635362E-11</v>
      </c>
      <c r="E1012" s="7">
        <v>-90.17935919882694</v>
      </c>
      <c r="F1012" s="7">
        <v>-90.17935919882694</v>
      </c>
      <c r="G1012" s="7">
        <v>-90.17935919882694</v>
      </c>
    </row>
    <row r="1013" spans="1:7">
      <c r="A1013" s="6">
        <v>11350108.15672314</v>
      </c>
      <c r="B1013" s="6">
        <v>2.873200844675179E-11</v>
      </c>
      <c r="C1013" s="6">
        <v>2.873200844675179E-11</v>
      </c>
      <c r="D1013" s="6">
        <v>2.873200844675179E-11</v>
      </c>
      <c r="E1013" s="7">
        <v>-90.83268029126151</v>
      </c>
      <c r="F1013" s="7">
        <v>-90.83268029126151</v>
      </c>
      <c r="G1013" s="7">
        <v>-90.83268029126151</v>
      </c>
    </row>
    <row r="1014" spans="1:7">
      <c r="A1014" s="6">
        <v>11481536.21496884</v>
      </c>
      <c r="B1014" s="6">
        <v>2.617309411111011E-11</v>
      </c>
      <c r="C1014" s="6">
        <v>2.617309411111011E-11</v>
      </c>
      <c r="D1014" s="6">
        <v>2.617309411111011E-11</v>
      </c>
      <c r="E1014" s="7">
        <v>-91.64289866454985</v>
      </c>
      <c r="F1014" s="7">
        <v>-91.64289866454985</v>
      </c>
      <c r="G1014" s="7">
        <v>-91.64289866454985</v>
      </c>
    </row>
    <row r="1015" spans="1:7">
      <c r="A1015" s="6">
        <v>11614486.13840344</v>
      </c>
      <c r="B1015" s="6">
        <v>2.329442260456978E-11</v>
      </c>
      <c r="C1015" s="6">
        <v>2.329442260456978E-11</v>
      </c>
      <c r="D1015" s="6">
        <v>2.329442260456978E-11</v>
      </c>
      <c r="E1015" s="7">
        <v>-92.65496099751715</v>
      </c>
      <c r="F1015" s="7">
        <v>-92.65496099751715</v>
      </c>
      <c r="G1015" s="7">
        <v>-92.65496099751715</v>
      </c>
    </row>
    <row r="1016" spans="1:7">
      <c r="A1016" s="6">
        <v>11748975.5493953</v>
      </c>
      <c r="B1016" s="6">
        <v>2.00872283196851E-11</v>
      </c>
      <c r="C1016" s="6">
        <v>2.00872283196851E-11</v>
      </c>
      <c r="D1016" s="6">
        <v>2.00872283196851E-11</v>
      </c>
      <c r="E1016" s="7">
        <v>-93.94159968067355</v>
      </c>
      <c r="F1016" s="7">
        <v>-93.94159968067355</v>
      </c>
      <c r="G1016" s="7">
        <v>-93.94159968067355</v>
      </c>
    </row>
    <row r="1017" spans="1:7">
      <c r="A1017" s="6">
        <v>11885022.27437019</v>
      </c>
      <c r="B1017" s="6">
        <v>1.653649186856061E-11</v>
      </c>
      <c r="C1017" s="6">
        <v>1.653649186856061E-11</v>
      </c>
      <c r="D1017" s="6">
        <v>1.653649186856061E-11</v>
      </c>
      <c r="E1017" s="7">
        <v>-95.63113236691783</v>
      </c>
      <c r="F1017" s="7">
        <v>-95.63113236691783</v>
      </c>
      <c r="G1017" s="7">
        <v>-95.63113236691783</v>
      </c>
    </row>
    <row r="1018" spans="1:7">
      <c r="A1018" s="6">
        <v>12022644.34617413</v>
      </c>
      <c r="B1018" s="6">
        <v>1.261509941388762E-11</v>
      </c>
      <c r="C1018" s="6">
        <v>1.261509941388762E-11</v>
      </c>
      <c r="D1018" s="6">
        <v>1.261509941388762E-11</v>
      </c>
      <c r="E1018" s="7">
        <v>-97.9821864530943</v>
      </c>
      <c r="F1018" s="7">
        <v>-97.9821864530943</v>
      </c>
      <c r="G1018" s="7">
        <v>-97.9821864530943</v>
      </c>
    </row>
    <row r="1019" spans="1:7">
      <c r="A1019" s="6">
        <v>12161860.00646368</v>
      </c>
      <c r="B1019" s="6">
        <v>8.270274224833506E-12</v>
      </c>
      <c r="C1019" s="6">
        <v>8.270274224833506E-12</v>
      </c>
      <c r="D1019" s="6">
        <v>8.270274224833506E-12</v>
      </c>
      <c r="E1019" s="7">
        <v>-101.6496017984109</v>
      </c>
      <c r="F1019" s="7">
        <v>-101.6496017984109</v>
      </c>
      <c r="G1019" s="7">
        <v>-101.6496017984109</v>
      </c>
    </row>
    <row r="1020" spans="1:7">
      <c r="A1020" s="6">
        <v>12302687.70812381</v>
      </c>
      <c r="B1020" s="6">
        <v>3.38699895963457E-12</v>
      </c>
      <c r="C1020" s="6">
        <v>3.38699895963457E-12</v>
      </c>
      <c r="D1020" s="6">
        <v>3.38699895963457E-12</v>
      </c>
      <c r="E1020" s="7">
        <v>-109.4036987351029</v>
      </c>
      <c r="F1020" s="7">
        <v>-109.4036987351029</v>
      </c>
      <c r="G1020" s="7">
        <v>-109.4036987351029</v>
      </c>
    </row>
    <row r="1021" spans="1:7">
      <c r="A1021" s="6">
        <v>12445146.11771384</v>
      </c>
      <c r="B1021" s="6">
        <v>2.334983052663988E-12</v>
      </c>
      <c r="C1021" s="6">
        <v>2.334983052663988E-12</v>
      </c>
      <c r="D1021" s="6">
        <v>2.334983052663988E-12</v>
      </c>
      <c r="E1021" s="7">
        <v>-112.6343253440235</v>
      </c>
      <c r="F1021" s="7">
        <v>-112.6343253440235</v>
      </c>
      <c r="G1021" s="7">
        <v>-112.6343253440235</v>
      </c>
    </row>
    <row r="1022" spans="1:7">
      <c r="A1022" s="6">
        <v>12589254.11794169</v>
      </c>
      <c r="B1022" s="6">
        <v>9.983305682474797E-12</v>
      </c>
      <c r="C1022" s="6">
        <v>9.983305682474797E-12</v>
      </c>
      <c r="D1022" s="6">
        <v>9.983305682474797E-12</v>
      </c>
      <c r="E1022" s="7">
        <v>-100.0145126172461</v>
      </c>
      <c r="F1022" s="7">
        <v>-100.0145126172461</v>
      </c>
      <c r="G1022" s="7">
        <v>-100.0145126172461</v>
      </c>
    </row>
    <row r="1023" spans="1:7">
      <c r="A1023" s="6">
        <v>12735030.81016663</v>
      </c>
      <c r="B1023" s="6">
        <v>2.87168132796012E-11</v>
      </c>
      <c r="C1023" s="6">
        <v>2.87168132796012E-11</v>
      </c>
      <c r="D1023" s="6">
        <v>2.87168132796012E-11</v>
      </c>
      <c r="E1023" s="7">
        <v>-90.83727511301811</v>
      </c>
      <c r="F1023" s="7">
        <v>-90.83727511301811</v>
      </c>
      <c r="G1023" s="7">
        <v>-90.83727511301811</v>
      </c>
    </row>
    <row r="1024" spans="1:7">
      <c r="A1024" s="6">
        <v>12882495.51693135</v>
      </c>
      <c r="B1024" s="6">
        <v>1.202205241117505E-11</v>
      </c>
      <c r="C1024" s="6">
        <v>1.202205241117505E-11</v>
      </c>
      <c r="D1024" s="6">
        <v>1.202205241117505E-11</v>
      </c>
      <c r="E1024" s="7">
        <v>-98.40042766037998</v>
      </c>
      <c r="F1024" s="7">
        <v>-98.40042766037998</v>
      </c>
      <c r="G1024" s="7">
        <v>-98.40042766037998</v>
      </c>
    </row>
    <row r="1025" spans="1:7">
      <c r="A1025" s="6">
        <v>13031667.784523</v>
      </c>
      <c r="B1025" s="6">
        <v>1.053037155322052E-11</v>
      </c>
      <c r="C1025" s="6">
        <v>1.053037155322052E-11</v>
      </c>
      <c r="D1025" s="6">
        <v>1.053037155322052E-11</v>
      </c>
      <c r="E1025" s="7">
        <v>-99.55112609829102</v>
      </c>
      <c r="F1025" s="7">
        <v>-99.55112609829102</v>
      </c>
      <c r="G1025" s="7">
        <v>-99.55112609829102</v>
      </c>
    </row>
    <row r="1026" spans="1:7">
      <c r="A1026" s="6">
        <v>13182567.38556407</v>
      </c>
      <c r="B1026" s="6">
        <v>1.949731405390394E-11</v>
      </c>
      <c r="C1026" s="6">
        <v>1.949731405390394E-11</v>
      </c>
      <c r="D1026" s="6">
        <v>1.949731405390394E-11</v>
      </c>
      <c r="E1026" s="7">
        <v>-94.2005042567623</v>
      </c>
      <c r="F1026" s="7">
        <v>-94.2005042567623</v>
      </c>
      <c r="G1026" s="7">
        <v>-94.2005042567623</v>
      </c>
    </row>
    <row r="1027" spans="1:7">
      <c r="A1027" s="6">
        <v>13335214.32163324</v>
      </c>
      <c r="B1027" s="6">
        <v>2.688264756382424E-11</v>
      </c>
      <c r="C1027" s="6">
        <v>2.688264756382424E-11</v>
      </c>
      <c r="D1027" s="6">
        <v>2.688264756382424E-11</v>
      </c>
      <c r="E1027" s="7">
        <v>-91.41055923190532</v>
      </c>
      <c r="F1027" s="7">
        <v>-91.41055923190532</v>
      </c>
      <c r="G1027" s="7">
        <v>-91.41055923190532</v>
      </c>
    </row>
    <row r="1028" spans="1:7">
      <c r="A1028" s="6">
        <v>13489628.82591653</v>
      </c>
      <c r="B1028" s="6">
        <v>3.391569031250891E-11</v>
      </c>
      <c r="C1028" s="6">
        <v>3.391569031250891E-11</v>
      </c>
      <c r="D1028" s="6">
        <v>3.391569031250891E-11</v>
      </c>
      <c r="E1028" s="7">
        <v>-89.39198677949068</v>
      </c>
      <c r="F1028" s="7">
        <v>-89.39198677949068</v>
      </c>
      <c r="G1028" s="7">
        <v>-89.39198677949068</v>
      </c>
    </row>
    <row r="1029" spans="1:7">
      <c r="A1029" s="6">
        <v>13645831.36588924</v>
      </c>
      <c r="B1029" s="6">
        <v>4.092150062659129E-11</v>
      </c>
      <c r="C1029" s="6">
        <v>4.092150062659129E-11</v>
      </c>
      <c r="D1029" s="6">
        <v>4.092150062659129E-11</v>
      </c>
      <c r="E1029" s="7">
        <v>-87.76096897432053</v>
      </c>
      <c r="F1029" s="7">
        <v>-87.76096897432053</v>
      </c>
      <c r="G1029" s="7">
        <v>-87.76096897432053</v>
      </c>
    </row>
    <row r="1030" spans="1:7">
      <c r="A1030" s="6">
        <v>13803842.64602884</v>
      </c>
      <c r="B1030" s="6">
        <v>4.802016939584086E-11</v>
      </c>
      <c r="C1030" s="6">
        <v>4.802016939584086E-11</v>
      </c>
      <c r="D1030" s="6">
        <v>4.802016939584086E-11</v>
      </c>
      <c r="E1030" s="7">
        <v>-86.37152624520115</v>
      </c>
      <c r="F1030" s="7">
        <v>-86.37152624520115</v>
      </c>
      <c r="G1030" s="7">
        <v>-86.37152624520115</v>
      </c>
    </row>
    <row r="1031" spans="1:7">
      <c r="A1031" s="6">
        <v>13963683.61055939</v>
      </c>
      <c r="B1031" s="6">
        <v>5.526391326949598E-11</v>
      </c>
      <c r="C1031" s="6">
        <v>5.526391326949598E-11</v>
      </c>
      <c r="D1031" s="6">
        <v>5.526391326949598E-11</v>
      </c>
      <c r="E1031" s="7">
        <v>-85.15116731377009</v>
      </c>
      <c r="F1031" s="7">
        <v>-85.15116731377009</v>
      </c>
      <c r="G1031" s="7">
        <v>-85.15116731377009</v>
      </c>
    </row>
    <row r="1032" spans="1:7">
      <c r="A1032" s="6">
        <v>14125375.44622755</v>
      </c>
      <c r="B1032" s="6">
        <v>6.267694885264148E-11</v>
      </c>
      <c r="C1032" s="6">
        <v>6.267694885264148E-11</v>
      </c>
      <c r="D1032" s="6">
        <v>6.267694885264148E-11</v>
      </c>
      <c r="E1032" s="7">
        <v>-84.05784306752587</v>
      </c>
      <c r="F1032" s="7">
        <v>-84.05784306752587</v>
      </c>
      <c r="G1032" s="7">
        <v>-84.05784306752587</v>
      </c>
    </row>
    <row r="1033" spans="1:7">
      <c r="A1033" s="6">
        <v>14288939.58511104</v>
      </c>
      <c r="B1033" s="6">
        <v>7.027007072437255E-11</v>
      </c>
      <c r="C1033" s="6">
        <v>7.027007072437255E-11</v>
      </c>
      <c r="D1033" s="6">
        <v>7.027007072437255E-11</v>
      </c>
      <c r="E1033" s="7">
        <v>-83.0645921872066</v>
      </c>
      <c r="F1033" s="7">
        <v>-83.0645921872066</v>
      </c>
      <c r="G1033" s="7">
        <v>-83.0645921872066</v>
      </c>
    </row>
    <row r="1034" spans="1:7">
      <c r="A1034" s="6">
        <v>14454397.70745928</v>
      </c>
      <c r="B1034" s="6">
        <v>7.80468591947654E-11</v>
      </c>
      <c r="C1034" s="6">
        <v>7.80468591947654E-11</v>
      </c>
      <c r="D1034" s="6">
        <v>7.80468591947654E-11</v>
      </c>
      <c r="E1034" s="7">
        <v>-82.15289138741318</v>
      </c>
      <c r="F1034" s="7">
        <v>-82.15289138741318</v>
      </c>
      <c r="G1034" s="7">
        <v>-82.15289138741318</v>
      </c>
    </row>
    <row r="1035" spans="1:7">
      <c r="A1035" s="6">
        <v>14621771.74456718</v>
      </c>
      <c r="B1035" s="6">
        <v>8.600662970635957E-11</v>
      </c>
      <c r="C1035" s="6">
        <v>8.600662970635957E-11</v>
      </c>
      <c r="D1035" s="6">
        <v>8.600662970635957E-11</v>
      </c>
      <c r="E1035" s="7">
        <v>-81.30936140910205</v>
      </c>
      <c r="F1035" s="7">
        <v>-81.30936140910205</v>
      </c>
      <c r="G1035" s="7">
        <v>-81.30936140910205</v>
      </c>
    </row>
    <row r="1036" spans="1:7">
      <c r="A1036" s="6">
        <v>14791083.88168207</v>
      </c>
      <c r="B1036" s="6">
        <v>9.414595402618117E-11</v>
      </c>
      <c r="C1036" s="6">
        <v>9.414595402618117E-11</v>
      </c>
      <c r="D1036" s="6">
        <v>9.414595402618117E-11</v>
      </c>
      <c r="E1036" s="7">
        <v>-80.52396678577905</v>
      </c>
      <c r="F1036" s="7">
        <v>-80.52396678577905</v>
      </c>
      <c r="G1036" s="7">
        <v>-80.52396678577905</v>
      </c>
    </row>
    <row r="1037" spans="1:7">
      <c r="A1037" s="6">
        <v>14962356.56094433</v>
      </c>
      <c r="B1037" s="6">
        <v>1.02459495731145E-10</v>
      </c>
      <c r="C1037" s="6">
        <v>1.02459495731145E-10</v>
      </c>
      <c r="D1037" s="6">
        <v>1.02459495731145E-10</v>
      </c>
      <c r="E1037" s="7">
        <v>-79.78895571791892</v>
      </c>
      <c r="F1037" s="7">
        <v>-79.78895571791892</v>
      </c>
      <c r="G1037" s="7">
        <v>-79.78895571791892</v>
      </c>
    </row>
    <row r="1038" spans="1:7">
      <c r="A1038" s="6">
        <v>15135612.48436207</v>
      </c>
      <c r="B1038" s="6">
        <v>1.109404917480239E-10</v>
      </c>
      <c r="C1038" s="6">
        <v>1.109404917480239E-10</v>
      </c>
      <c r="D1038" s="6">
        <v>1.109404917480239E-10</v>
      </c>
      <c r="E1038" s="7">
        <v>-79.0981982685163</v>
      </c>
      <c r="F1038" s="7">
        <v>-79.0981982685163</v>
      </c>
      <c r="G1038" s="7">
        <v>-79.0981982685163</v>
      </c>
    </row>
    <row r="1039" spans="1:7">
      <c r="A1039" s="6">
        <v>15310874.61682032</v>
      </c>
      <c r="B1039" s="6">
        <v>1.195810400652501E-10</v>
      </c>
      <c r="C1039" s="6">
        <v>1.195810400652501E-10</v>
      </c>
      <c r="D1039" s="6">
        <v>1.195810400652501E-10</v>
      </c>
      <c r="E1039" s="7">
        <v>-78.44675347179879</v>
      </c>
      <c r="F1039" s="7">
        <v>-78.44675347179879</v>
      </c>
      <c r="G1039" s="7">
        <v>-78.44675347179879</v>
      </c>
    </row>
    <row r="1040" spans="1:7">
      <c r="A1040" s="6">
        <v>15488166.18912483</v>
      </c>
      <c r="B1040" s="6">
        <v>1.28372275938305E-10</v>
      </c>
      <c r="C1040" s="6">
        <v>1.28372275938305E-10</v>
      </c>
      <c r="D1040" s="6">
        <v>1.28372275938305E-10</v>
      </c>
      <c r="E1040" s="7">
        <v>-77.83057518065118</v>
      </c>
      <c r="F1040" s="7">
        <v>-77.83057518065118</v>
      </c>
      <c r="G1040" s="7">
        <v>-77.83057518065118</v>
      </c>
    </row>
    <row r="1041" spans="1:7">
      <c r="A1041" s="6">
        <v>15667510.7010815</v>
      </c>
      <c r="B1041" s="6">
        <v>1.373044812164548E-10</v>
      </c>
      <c r="C1041" s="6">
        <v>1.373044812164548E-10</v>
      </c>
      <c r="D1041" s="6">
        <v>1.373044812164548E-10</v>
      </c>
      <c r="E1041" s="7">
        <v>-77.24630576861966</v>
      </c>
      <c r="F1041" s="7">
        <v>-77.24630576861966</v>
      </c>
      <c r="G1041" s="7">
        <v>-77.24630576861966</v>
      </c>
    </row>
    <row r="1042" spans="1:7">
      <c r="A1042" s="6">
        <v>15848931.92461114</v>
      </c>
      <c r="B1042" s="6">
        <v>1.463671521040084E-10</v>
      </c>
      <c r="C1042" s="6">
        <v>1.463671521040084E-10</v>
      </c>
      <c r="D1042" s="6">
        <v>1.463671521040084E-10</v>
      </c>
      <c r="E1042" s="7">
        <v>-76.69112754487085</v>
      </c>
      <c r="F1042" s="7">
        <v>-76.69112754487085</v>
      </c>
      <c r="G1042" s="7">
        <v>-76.69112754487085</v>
      </c>
    </row>
    <row r="1043" spans="1:7">
      <c r="A1043" s="6">
        <v>16032453.90690042</v>
      </c>
      <c r="B1043" s="6">
        <v>1.555490402902727E-10</v>
      </c>
      <c r="C1043" s="6">
        <v>1.555490402902727E-10</v>
      </c>
      <c r="D1043" s="6">
        <v>1.555490402902727E-10</v>
      </c>
      <c r="E1043" s="7">
        <v>-76.16265328132408</v>
      </c>
      <c r="F1043" s="7">
        <v>-76.16265328132408</v>
      </c>
      <c r="G1043" s="7">
        <v>-76.16265328132408</v>
      </c>
    </row>
    <row r="1044" spans="1:7">
      <c r="A1044" s="6">
        <v>16218100.9735893</v>
      </c>
      <c r="B1044" s="6">
        <v>1.648381765720025E-10</v>
      </c>
      <c r="C1044" s="6">
        <v>1.648381765720025E-10</v>
      </c>
      <c r="D1044" s="6">
        <v>1.648381765720025E-10</v>
      </c>
      <c r="E1044" s="7">
        <v>-75.65884396510106</v>
      </c>
      <c r="F1044" s="7">
        <v>-75.65884396510106</v>
      </c>
      <c r="G1044" s="7">
        <v>-75.65884396510106</v>
      </c>
    </row>
    <row r="1045" spans="1:7">
      <c r="A1045" s="6">
        <v>16405897.73199539</v>
      </c>
      <c r="B1045" s="6">
        <v>1.742218827219434E-10</v>
      </c>
      <c r="C1045" s="6">
        <v>1.742218827219434E-10</v>
      </c>
      <c r="D1045" s="6">
        <v>1.742218827219434E-10</v>
      </c>
      <c r="E1045" s="7">
        <v>-75.17794594770041</v>
      </c>
      <c r="F1045" s="7">
        <v>-75.17794594770041</v>
      </c>
      <c r="G1045" s="7">
        <v>-75.17794594770041</v>
      </c>
    </row>
    <row r="1046" spans="1:7">
      <c r="A1046" s="6">
        <v>16595869.0743756</v>
      </c>
      <c r="B1046" s="6">
        <v>1.83686775340929E-10</v>
      </c>
      <c r="C1046" s="6">
        <v>1.83686775340929E-10</v>
      </c>
      <c r="D1046" s="6">
        <v>1.83686775340929E-10</v>
      </c>
      <c r="E1046" s="7">
        <v>-74.71844219813038</v>
      </c>
      <c r="F1046" s="7">
        <v>-74.71844219813038</v>
      </c>
      <c r="G1046" s="7">
        <v>-74.71844219813038</v>
      </c>
    </row>
    <row r="1047" spans="1:7">
      <c r="A1047" s="6">
        <v>16788040.18122562</v>
      </c>
      <c r="B1047" s="6">
        <v>1.932187641921242E-10</v>
      </c>
      <c r="C1047" s="6">
        <v>1.932187641921242E-10</v>
      </c>
      <c r="D1047" s="6">
        <v>1.932187641921242E-10</v>
      </c>
      <c r="E1047" s="7">
        <v>-74.27901399843273</v>
      </c>
      <c r="F1047" s="7">
        <v>-74.27901399843273</v>
      </c>
      <c r="G1047" s="7">
        <v>-74.27901399843273</v>
      </c>
    </row>
    <row r="1048" spans="1:7">
      <c r="A1048" s="6">
        <v>16982436.52461746</v>
      </c>
      <c r="B1048" s="6">
        <v>2.028030467369313E-10</v>
      </c>
      <c r="C1048" s="6">
        <v>2.028030467369313E-10</v>
      </c>
      <c r="D1048" s="6">
        <v>2.028030467369313E-10</v>
      </c>
      <c r="E1048" s="7">
        <v>-73.8585104965277</v>
      </c>
      <c r="F1048" s="7">
        <v>-73.8585104965277</v>
      </c>
      <c r="G1048" s="7">
        <v>-73.8585104965277</v>
      </c>
    </row>
    <row r="1049" spans="1:7">
      <c r="A1049" s="6">
        <v>17179083.8715759</v>
      </c>
      <c r="B1049" s="6">
        <v>2.124241000926921E-10</v>
      </c>
      <c r="C1049" s="6">
        <v>2.124241000926921E-10</v>
      </c>
      <c r="D1049" s="6">
        <v>2.124241000926921E-10</v>
      </c>
      <c r="E1049" s="7">
        <v>-73.45592425807139</v>
      </c>
      <c r="F1049" s="7">
        <v>-73.45592425807139</v>
      </c>
      <c r="G1049" s="7">
        <v>-73.45592425807139</v>
      </c>
    </row>
    <row r="1050" spans="1:7">
      <c r="A1050" s="6">
        <v>17378008.28749376</v>
      </c>
      <c r="B1050" s="6">
        <v>2.220656713071085E-10</v>
      </c>
      <c r="C1050" s="6">
        <v>2.220656713071085E-10</v>
      </c>
      <c r="D1050" s="6">
        <v>2.220656713071085E-10</v>
      </c>
      <c r="E1050" s="7">
        <v>-73.07037145975474</v>
      </c>
      <c r="F1050" s="7">
        <v>-73.07037145975474</v>
      </c>
      <c r="G1050" s="7">
        <v>-73.07037145975474</v>
      </c>
    </row>
    <row r="1051" spans="1:7">
      <c r="A1051" s="6">
        <v>17579236.13958693</v>
      </c>
      <c r="B1051" s="6">
        <v>2.31710766630481E-10</v>
      </c>
      <c r="C1051" s="6">
        <v>2.31710766630481E-10</v>
      </c>
      <c r="D1051" s="6">
        <v>2.31710766630481E-10</v>
      </c>
      <c r="E1051" s="7">
        <v>-72.70107571785</v>
      </c>
      <c r="F1051" s="7">
        <v>-72.70107571785</v>
      </c>
      <c r="G1051" s="7">
        <v>-72.70107571785</v>
      </c>
    </row>
    <row r="1052" spans="1:7">
      <c r="A1052" s="6">
        <v>17782794.10038923</v>
      </c>
      <c r="B1052" s="6">
        <v>2.413416403254906E-10</v>
      </c>
      <c r="C1052" s="6">
        <v>2.413416403254906E-10</v>
      </c>
      <c r="D1052" s="6">
        <v>2.413416403254906E-10</v>
      </c>
      <c r="E1052" s="7">
        <v>-72.34735479651943</v>
      </c>
      <c r="F1052" s="7">
        <v>-72.34735479651943</v>
      </c>
      <c r="G1052" s="7">
        <v>-72.34735479651943</v>
      </c>
    </row>
    <row r="1053" spans="1:7">
      <c r="A1053" s="6">
        <v>17988709.15128787</v>
      </c>
      <c r="B1053" s="6">
        <v>2.5093978346129E-10</v>
      </c>
      <c r="C1053" s="6">
        <v>2.5093978346129E-10</v>
      </c>
      <c r="D1053" s="6">
        <v>2.5093978346129E-10</v>
      </c>
      <c r="E1053" s="7">
        <v>-72.00860962200998</v>
      </c>
      <c r="F1053" s="7">
        <v>-72.00860962200998</v>
      </c>
      <c r="G1053" s="7">
        <v>-72.00860962200998</v>
      </c>
    </row>
    <row r="1054" spans="1:7">
      <c r="A1054" s="6">
        <v>18197008.58609983</v>
      </c>
      <c r="B1054" s="6">
        <v>2.604859130786528E-10</v>
      </c>
      <c r="C1054" s="6">
        <v>2.604859130786528E-10</v>
      </c>
      <c r="D1054" s="6">
        <v>2.604859130786528E-10</v>
      </c>
      <c r="E1054" s="7">
        <v>-71.68431516227037</v>
      </c>
      <c r="F1054" s="7">
        <v>-71.68431516227037</v>
      </c>
      <c r="G1054" s="7">
        <v>-71.68431516227037</v>
      </c>
    </row>
    <row r="1055" spans="1:7">
      <c r="A1055" s="6">
        <v>18407720.01468955</v>
      </c>
      <c r="B1055" s="6">
        <v>2.699599620758312E-10</v>
      </c>
      <c r="C1055" s="6">
        <v>2.699599620758312E-10</v>
      </c>
      <c r="D1055" s="6">
        <v>2.699599620758312E-10</v>
      </c>
      <c r="E1055" s="7">
        <v>-71.37401283081287</v>
      </c>
      <c r="F1055" s="7">
        <v>-71.37401283081287</v>
      </c>
      <c r="G1055" s="7">
        <v>-71.37401283081287</v>
      </c>
    </row>
    <row r="1056" spans="1:7">
      <c r="A1056" s="6">
        <v>18620871.3666287</v>
      </c>
      <c r="B1056" s="6">
        <v>2.793410701440856E-10</v>
      </c>
      <c r="C1056" s="6">
        <v>2.793410701440856E-10</v>
      </c>
      <c r="D1056" s="6">
        <v>2.793410701440856E-10</v>
      </c>
      <c r="E1056" s="7">
        <v>-71.07730414844507</v>
      </c>
      <c r="F1056" s="7">
        <v>-71.07730414844507</v>
      </c>
      <c r="G1056" s="7">
        <v>-71.07730414844507</v>
      </c>
    </row>
    <row r="1057" spans="1:7">
      <c r="A1057" s="6">
        <v>18836490.89489802</v>
      </c>
      <c r="B1057" s="6">
        <v>2.88607576073107E-10</v>
      </c>
      <c r="C1057" s="6">
        <v>2.88607576073107E-10</v>
      </c>
      <c r="D1057" s="6">
        <v>2.88607576073107E-10</v>
      </c>
      <c r="E1057" s="7">
        <v>-70.79384545351581</v>
      </c>
      <c r="F1057" s="7">
        <v>-70.79384545351581</v>
      </c>
      <c r="G1057" s="7">
        <v>-70.79384545351581</v>
      </c>
    </row>
    <row r="1058" spans="1:7">
      <c r="A1058" s="6">
        <v>19054607.17963248</v>
      </c>
      <c r="B1058" s="6">
        <v>2.977370117469671E-10</v>
      </c>
      <c r="C1058" s="6">
        <v>2.977370117469671E-10</v>
      </c>
      <c r="D1058" s="6">
        <v>2.977370117469671E-10</v>
      </c>
      <c r="E1058" s="7">
        <v>-70.5233434952851</v>
      </c>
      <c r="F1058" s="7">
        <v>-70.5233434952851</v>
      </c>
      <c r="G1058" s="7">
        <v>-70.5233434952851</v>
      </c>
    </row>
    <row r="1059" spans="1:7">
      <c r="A1059" s="6">
        <v>19275249.13190937</v>
      </c>
      <c r="B1059" s="6">
        <v>3.067060981585881E-10</v>
      </c>
      <c r="C1059" s="6">
        <v>3.067060981585881E-10</v>
      </c>
      <c r="D1059" s="6">
        <v>3.067060981585881E-10</v>
      </c>
      <c r="E1059" s="7">
        <v>-70.26555177932025</v>
      </c>
      <c r="F1059" s="7">
        <v>-70.26555177932025</v>
      </c>
      <c r="G1059" s="7">
        <v>-70.26555177932025</v>
      </c>
    </row>
    <row r="1060" spans="1:7">
      <c r="A1060" s="6">
        <v>19498445.99758045</v>
      </c>
      <c r="B1060" s="6">
        <v>3.154907437839826E-10</v>
      </c>
      <c r="C1060" s="6">
        <v>3.154907437839826E-10</v>
      </c>
      <c r="D1060" s="6">
        <v>3.154907437839826E-10</v>
      </c>
      <c r="E1060" s="7">
        <v>-70.02026756088566</v>
      </c>
      <c r="F1060" s="7">
        <v>-70.02026756088566</v>
      </c>
      <c r="G1060" s="7">
        <v>-70.02026756088566</v>
      </c>
    </row>
    <row r="1061" spans="1:7">
      <c r="A1061" s="6">
        <v>19724227.36114853</v>
      </c>
      <c r="B1061" s="6">
        <v>3.240660456754807E-10</v>
      </c>
      <c r="C1061" s="6">
        <v>3.240660456754807E-10</v>
      </c>
      <c r="D1061" s="6">
        <v>3.240660456754807E-10</v>
      </c>
      <c r="E1061" s="7">
        <v>-69.78732940393283</v>
      </c>
      <c r="F1061" s="7">
        <v>-69.78732940393283</v>
      </c>
      <c r="G1061" s="7">
        <v>-69.78732940393283</v>
      </c>
    </row>
    <row r="1062" spans="1:7">
      <c r="A1062" s="6">
        <v>19952623.14968879</v>
      </c>
      <c r="B1062" s="6">
        <v>3.32406293655448E-10</v>
      </c>
      <c r="C1062" s="6">
        <v>3.32406293655448E-10</v>
      </c>
      <c r="D1062" s="6">
        <v>3.32406293655448E-10</v>
      </c>
      <c r="E1062" s="7">
        <v>-69.5666152408418</v>
      </c>
      <c r="F1062" s="7">
        <v>-69.5666152408418</v>
      </c>
      <c r="G1062" s="7">
        <v>-69.5666152408418</v>
      </c>
    </row>
    <row r="1063" spans="1:7">
      <c r="A1063" s="6">
        <v>20183663.6368156</v>
      </c>
      <c r="B1063" s="6">
        <v>3.404849780181343E-10</v>
      </c>
      <c r="C1063" s="6">
        <v>3.404849780181343E-10</v>
      </c>
      <c r="D1063" s="6">
        <v>3.404849780181343E-10</v>
      </c>
      <c r="E1063" s="7">
        <v>-69.35804088252736</v>
      </c>
      <c r="F1063" s="7">
        <v>-69.35804088252736</v>
      </c>
      <c r="G1063" s="7">
        <v>-69.35804088252736</v>
      </c>
    </row>
    <row r="1064" spans="1:7">
      <c r="A1064" s="6">
        <v>20417379.44669532</v>
      </c>
      <c r="B1064" s="6">
        <v>3.48274801177069E-10</v>
      </c>
      <c r="C1064" s="6">
        <v>3.48274801177069E-10</v>
      </c>
      <c r="D1064" s="6">
        <v>3.48274801177069E-10</v>
      </c>
      <c r="E1064" s="7">
        <v>-69.16155894067428</v>
      </c>
      <c r="F1064" s="7">
        <v>-69.16155894067428</v>
      </c>
      <c r="G1064" s="7">
        <v>-69.16155894067428</v>
      </c>
    </row>
    <row r="1065" spans="1:7">
      <c r="A1065" s="6">
        <v>20653801.55810531</v>
      </c>
      <c r="B1065" s="6">
        <v>3.557476937287358E-10</v>
      </c>
      <c r="C1065" s="6">
        <v>3.557476937287358E-10</v>
      </c>
      <c r="D1065" s="6">
        <v>3.557476937287358E-10</v>
      </c>
      <c r="E1065" s="7">
        <v>-68.97715813431168</v>
      </c>
      <c r="F1065" s="7">
        <v>-68.97715813431168</v>
      </c>
      <c r="G1065" s="7">
        <v>-68.97715813431168</v>
      </c>
    </row>
    <row r="1066" spans="1:7">
      <c r="A1066" s="6">
        <v>20892961.30854041</v>
      </c>
      <c r="B1066" s="6">
        <v>3.62874835440132E-10</v>
      </c>
      <c r="C1066" s="6">
        <v>3.62874835440132E-10</v>
      </c>
      <c r="D1066" s="6">
        <v>3.62874835440132E-10</v>
      </c>
      <c r="E1066" s="7">
        <v>-68.80486296216282</v>
      </c>
      <c r="F1066" s="7">
        <v>-68.80486296216282</v>
      </c>
      <c r="G1066" s="7">
        <v>-68.80486296216282</v>
      </c>
    </row>
    <row r="1067" spans="1:7">
      <c r="A1067" s="6">
        <v>21134890.39836648</v>
      </c>
      <c r="B1067" s="6">
        <v>3.696266817081856E-10</v>
      </c>
      <c r="C1067" s="6">
        <v>3.696266817081856E-10</v>
      </c>
      <c r="D1067" s="6">
        <v>3.696266817081856E-10</v>
      </c>
      <c r="E1067" s="7">
        <v>-68.64473373061927</v>
      </c>
      <c r="F1067" s="7">
        <v>-68.64473373061927</v>
      </c>
      <c r="G1067" s="7">
        <v>-68.64473373061927</v>
      </c>
    </row>
    <row r="1068" spans="1:7">
      <c r="A1068" s="6">
        <v>21379620.89502233</v>
      </c>
      <c r="B1068" s="6">
        <v>3.759729960831183E-10</v>
      </c>
      <c r="C1068" s="6">
        <v>3.759729960831183E-10</v>
      </c>
      <c r="D1068" s="6">
        <v>3.759729960831183E-10</v>
      </c>
      <c r="E1068" s="7">
        <v>-68.49686693513004</v>
      </c>
      <c r="F1068" s="7">
        <v>-68.49686693513004</v>
      </c>
      <c r="G1068" s="7">
        <v>-68.49686693513004</v>
      </c>
    </row>
    <row r="1069" spans="1:7">
      <c r="A1069" s="6">
        <v>21627185.2372702</v>
      </c>
      <c r="B1069" s="6">
        <v>3.818828894957232E-10</v>
      </c>
      <c r="C1069" s="6">
        <v>3.818828894957232E-10</v>
      </c>
      <c r="D1069" s="6">
        <v>3.818828894957232E-10</v>
      </c>
      <c r="E1069" s="7">
        <v>-68.3613960005914</v>
      </c>
      <c r="F1069" s="7">
        <v>-68.3613960005914</v>
      </c>
      <c r="G1069" s="7">
        <v>-68.3613960005914</v>
      </c>
    </row>
    <row r="1070" spans="1:7">
      <c r="A1070" s="6">
        <v>21877616.23949552</v>
      </c>
      <c r="B1070" s="6">
        <v>3.873248668804082E-10</v>
      </c>
      <c r="C1070" s="6">
        <v>3.873248668804082E-10</v>
      </c>
      <c r="D1070" s="6">
        <v>3.873248668804082E-10</v>
      </c>
      <c r="E1070" s="7">
        <v>-68.23849239426947</v>
      </c>
      <c r="F1070" s="7">
        <v>-68.23849239426947</v>
      </c>
      <c r="G1070" s="7">
        <v>-68.23849239426947</v>
      </c>
    </row>
    <row r="1071" spans="1:7">
      <c r="A1071" s="6">
        <v>22130947.09605636</v>
      </c>
      <c r="B1071" s="6">
        <v>3.922668819419804E-10</v>
      </c>
      <c r="C1071" s="6">
        <v>3.922668819419804E-10</v>
      </c>
      <c r="D1071" s="6">
        <v>3.922668819419804E-10</v>
      </c>
      <c r="E1071" s="7">
        <v>-68.12836713320286</v>
      </c>
      <c r="F1071" s="7">
        <v>-68.12836713320286</v>
      </c>
      <c r="G1071" s="7">
        <v>-68.12836713320286</v>
      </c>
    </row>
    <row r="1072" spans="1:7">
      <c r="A1072" s="6">
        <v>22387211.38568342</v>
      </c>
      <c r="B1072" s="6">
        <v>3.966764008746948E-10</v>
      </c>
      <c r="C1072" s="6">
        <v>3.966764008746948E-10</v>
      </c>
      <c r="D1072" s="6">
        <v>3.966764008746948E-10</v>
      </c>
      <c r="E1072" s="7">
        <v>-68.03127271725046</v>
      </c>
      <c r="F1072" s="7">
        <v>-68.03127271725046</v>
      </c>
      <c r="G1072" s="7">
        <v>-68.03127271725046</v>
      </c>
    </row>
    <row r="1073" spans="1:7">
      <c r="A1073" s="6">
        <v>22646443.07593062</v>
      </c>
      <c r="B1073" s="6">
        <v>4.005204759074259E-10</v>
      </c>
      <c r="C1073" s="6">
        <v>4.005204759074259E-10</v>
      </c>
      <c r="D1073" s="6">
        <v>4.005204759074259E-10</v>
      </c>
      <c r="E1073" s="7">
        <v>-67.94750552935794</v>
      </c>
      <c r="F1073" s="7">
        <v>-67.94750552935794</v>
      </c>
      <c r="G1073" s="7">
        <v>-67.94750552935794</v>
      </c>
    </row>
    <row r="1074" spans="1:7">
      <c r="A1074" s="6">
        <v>22908676.52767775</v>
      </c>
      <c r="B1074" s="6">
        <v>4.037658296192014E-10</v>
      </c>
      <c r="C1074" s="6">
        <v>4.037658296192014E-10</v>
      </c>
      <c r="D1074" s="6">
        <v>4.037658296192014E-10</v>
      </c>
      <c r="E1074" s="7">
        <v>-67.8774087566716</v>
      </c>
      <c r="F1074" s="7">
        <v>-67.8774087566716</v>
      </c>
      <c r="G1074" s="7">
        <v>-67.8774087566716</v>
      </c>
    </row>
    <row r="1075" spans="1:7">
      <c r="A1075" s="6">
        <v>23173946.4996848</v>
      </c>
      <c r="B1075" s="6">
        <v>4.063789510451078E-10</v>
      </c>
      <c r="C1075" s="6">
        <v>4.063789510451078E-10</v>
      </c>
      <c r="D1075" s="6">
        <v>4.063789510451078E-10</v>
      </c>
      <c r="E1075" s="7">
        <v>-67.82137590039328</v>
      </c>
      <c r="F1075" s="7">
        <v>-67.82137590039328</v>
      </c>
      <c r="G1075" s="7">
        <v>-67.82137590039328</v>
      </c>
    </row>
    <row r="1076" spans="1:7">
      <c r="A1076" s="6">
        <v>23442288.15319923</v>
      </c>
      <c r="B1076" s="6">
        <v>4.083262046741829E-10</v>
      </c>
      <c r="C1076" s="6">
        <v>4.083262046741829E-10</v>
      </c>
      <c r="D1076" s="6">
        <v>4.083262046741829E-10</v>
      </c>
      <c r="E1076" s="7">
        <v>-67.77985495945276</v>
      </c>
      <c r="F1076" s="7">
        <v>-67.77985495945276</v>
      </c>
      <c r="G1076" s="7">
        <v>-67.77985495945276</v>
      </c>
    </row>
    <row r="1077" spans="1:7">
      <c r="A1077" s="6">
        <v>23713737.05661655</v>
      </c>
      <c r="B1077" s="6">
        <v>4.095739535286874E-10</v>
      </c>
      <c r="C1077" s="6">
        <v>4.095739535286874E-10</v>
      </c>
      <c r="D1077" s="6">
        <v>4.095739535286874E-10</v>
      </c>
      <c r="E1077" s="7">
        <v>-67.75335339408394</v>
      </c>
      <c r="F1077" s="7">
        <v>-67.75335339408394</v>
      </c>
      <c r="G1077" s="7">
        <v>-67.75335339408394</v>
      </c>
    </row>
    <row r="1078" spans="1:7">
      <c r="A1078" s="6">
        <v>23988329.1901949</v>
      </c>
      <c r="B1078" s="6">
        <v>4.100886976086437E-10</v>
      </c>
      <c r="C1078" s="6">
        <v>4.100886976086437E-10</v>
      </c>
      <c r="D1078" s="6">
        <v>4.100886976086437E-10</v>
      </c>
      <c r="E1078" s="7">
        <v>-67.74244400141636</v>
      </c>
      <c r="F1078" s="7">
        <v>-67.74244400141636</v>
      </c>
      <c r="G1078" s="7">
        <v>-67.74244400141636</v>
      </c>
    </row>
    <row r="1079" spans="1:7">
      <c r="A1079" s="6">
        <v>24266100.95082414</v>
      </c>
      <c r="B1079" s="6">
        <v>4.098372290872294E-10</v>
      </c>
      <c r="C1079" s="6">
        <v>4.098372290872294E-10</v>
      </c>
      <c r="D1079" s="6">
        <v>4.098372290872294E-10</v>
      </c>
      <c r="E1079" s="7">
        <v>-67.74777186780481</v>
      </c>
      <c r="F1079" s="7">
        <v>-67.74777186780481</v>
      </c>
      <c r="G1079" s="7">
        <v>-67.74777186780481</v>
      </c>
    </row>
    <row r="1080" spans="1:7">
      <c r="A1080" s="6">
        <v>24547089.15685029</v>
      </c>
      <c r="B1080" s="6">
        <v>4.087868057521113E-10</v>
      </c>
      <c r="C1080" s="6">
        <v>4.087868057521113E-10</v>
      </c>
      <c r="D1080" s="6">
        <v>4.087868057521113E-10</v>
      </c>
      <c r="E1080" s="7">
        <v>-67.77006260392115</v>
      </c>
      <c r="F1080" s="7">
        <v>-67.77006260392115</v>
      </c>
      <c r="G1080" s="7">
        <v>-67.77006260392115</v>
      </c>
    </row>
    <row r="1081" spans="1:7">
      <c r="A1081" s="6">
        <v>24831331.05295573</v>
      </c>
      <c r="B1081" s="6">
        <v>4.069053443058091E-10</v>
      </c>
      <c r="C1081" s="6">
        <v>4.069053443058091E-10</v>
      </c>
      <c r="D1081" s="6">
        <v>4.069053443058091E-10</v>
      </c>
      <c r="E1081" s="7">
        <v>-67.81013212147545</v>
      </c>
      <c r="F1081" s="7">
        <v>-67.81013212147545</v>
      </c>
      <c r="G1081" s="7">
        <v>-67.81013212147545</v>
      </c>
    </row>
    <row r="1082" spans="1:7">
      <c r="A1082" s="6">
        <v>25118864.31509582</v>
      </c>
      <c r="B1082" s="6">
        <v>4.041616352654789E-10</v>
      </c>
      <c r="C1082" s="6">
        <v>4.041616352654789E-10</v>
      </c>
      <c r="D1082" s="6">
        <v>4.041616352654789E-10</v>
      </c>
      <c r="E1082" s="7">
        <v>-67.86889827872363</v>
      </c>
      <c r="F1082" s="7">
        <v>-67.86889827872363</v>
      </c>
      <c r="G1082" s="7">
        <v>-67.86889827872363</v>
      </c>
    </row>
    <row r="1083" spans="1:7">
      <c r="A1083" s="6">
        <v>25409727.05549306</v>
      </c>
      <c r="B1083" s="6">
        <v>4.005255813400032E-10</v>
      </c>
      <c r="C1083" s="6">
        <v>4.005255813400032E-10</v>
      </c>
      <c r="D1083" s="6">
        <v>4.005255813400032E-10</v>
      </c>
      <c r="E1083" s="7">
        <v>-67.94739481107023</v>
      </c>
      <c r="F1083" s="7">
        <v>-67.94739481107023</v>
      </c>
      <c r="G1083" s="7">
        <v>-67.94739481107023</v>
      </c>
    </row>
    <row r="1084" spans="1:7">
      <c r="A1084" s="6">
        <v>25703957.82768865</v>
      </c>
      <c r="B1084" s="6">
        <v>3.95968461311253E-10</v>
      </c>
      <c r="C1084" s="6">
        <v>3.95968461311253E-10</v>
      </c>
      <c r="D1084" s="6">
        <v>3.95968461311253E-10</v>
      </c>
      <c r="E1084" s="7">
        <v>-68.04678808067953</v>
      </c>
      <c r="F1084" s="7">
        <v>-68.04678808067953</v>
      </c>
      <c r="G1084" s="7">
        <v>-68.04678808067953</v>
      </c>
    </row>
    <row r="1085" spans="1:7">
      <c r="A1085" s="6">
        <v>26001595.63165272</v>
      </c>
      <c r="B1085" s="6">
        <v>3.904632216081844E-10</v>
      </c>
      <c r="C1085" s="6">
        <v>3.904632216081844E-10</v>
      </c>
      <c r="D1085" s="6">
        <v>3.904632216081844E-10</v>
      </c>
      <c r="E1085" s="7">
        <v>-68.16839733585351</v>
      </c>
      <c r="F1085" s="7">
        <v>-68.16839733585351</v>
      </c>
      <c r="G1085" s="7">
        <v>-68.16839733585351</v>
      </c>
    </row>
    <row r="1086" spans="1:7">
      <c r="A1086" s="6">
        <v>26302679.91895381</v>
      </c>
      <c r="B1086" s="6">
        <v>3.839847979391269E-10</v>
      </c>
      <c r="C1086" s="6">
        <v>3.839847979391269E-10</v>
      </c>
      <c r="D1086" s="6">
        <v>3.839847979391269E-10</v>
      </c>
      <c r="E1086" s="7">
        <v>-68.31371938253687</v>
      </c>
      <c r="F1086" s="7">
        <v>-68.31371938253687</v>
      </c>
      <c r="G1086" s="7">
        <v>-68.31371938253687</v>
      </c>
    </row>
    <row r="1087" spans="1:7">
      <c r="A1087" s="6">
        <v>26607250.59798808</v>
      </c>
      <c r="B1087" s="6">
        <v>3.765104695417736E-10</v>
      </c>
      <c r="C1087" s="6">
        <v>3.765104695417736E-10</v>
      </c>
      <c r="D1087" s="6">
        <v>3.765104695417736E-10</v>
      </c>
      <c r="E1087" s="7">
        <v>-68.48445885933185</v>
      </c>
      <c r="F1087" s="7">
        <v>-68.48445885933185</v>
      </c>
      <c r="G1087" s="7">
        <v>-68.48445885933185</v>
      </c>
    </row>
    <row r="1088" spans="1:7">
      <c r="A1088" s="6">
        <v>26915348.03926914</v>
      </c>
      <c r="B1088" s="6">
        <v>3.680202488258101E-10</v>
      </c>
      <c r="C1088" s="6">
        <v>3.680202488258101E-10</v>
      </c>
      <c r="D1088" s="6">
        <v>3.680202488258101E-10</v>
      </c>
      <c r="E1088" s="7">
        <v>-68.68256570743269</v>
      </c>
      <c r="F1088" s="7">
        <v>-68.68256570743269</v>
      </c>
      <c r="G1088" s="7">
        <v>-68.68256570743269</v>
      </c>
    </row>
    <row r="1089" spans="1:7">
      <c r="A1089" s="6">
        <v>27227013.08077915</v>
      </c>
      <c r="B1089" s="6">
        <v>3.584973094253222E-10</v>
      </c>
      <c r="C1089" s="6">
        <v>3.584973094253222E-10</v>
      </c>
      <c r="D1089" s="6">
        <v>3.584973094253222E-10</v>
      </c>
      <c r="E1089" s="7">
        <v>-68.9102819885496</v>
      </c>
      <c r="F1089" s="7">
        <v>-68.9102819885496</v>
      </c>
      <c r="G1089" s="7">
        <v>-68.9102819885496</v>
      </c>
    </row>
    <row r="1090" spans="1:7">
      <c r="A1090" s="6">
        <v>27542287.03338169</v>
      </c>
      <c r="B1090" s="6">
        <v>3.479284559555647E-10</v>
      </c>
      <c r="C1090" s="6">
        <v>3.479284559555647E-10</v>
      </c>
      <c r="D1090" s="6">
        <v>3.479284559555647E-10</v>
      </c>
      <c r="E1090" s="7">
        <v>-69.17020100486462</v>
      </c>
      <c r="F1090" s="7">
        <v>-69.17020100486462</v>
      </c>
      <c r="G1090" s="7">
        <v>-69.17020100486462</v>
      </c>
    </row>
    <row r="1091" spans="1:7">
      <c r="A1091" s="6">
        <v>27861211.68629772</v>
      </c>
      <c r="B1091" s="6">
        <v>3.363046390946913E-10</v>
      </c>
      <c r="C1091" s="6">
        <v>3.363046390946913E-10</v>
      </c>
      <c r="D1091" s="6">
        <v>3.363046390946913E-10</v>
      </c>
      <c r="E1091" s="7">
        <v>-69.46534283691696</v>
      </c>
      <c r="F1091" s="7">
        <v>-69.46534283691696</v>
      </c>
      <c r="G1091" s="7">
        <v>-69.46534283691696</v>
      </c>
    </row>
    <row r="1092" spans="1:7">
      <c r="A1092" s="6">
        <v>28183829.31264455</v>
      </c>
      <c r="B1092" s="6">
        <v>3.23621520007652E-10</v>
      </c>
      <c r="C1092" s="6">
        <v>3.23621520007652E-10</v>
      </c>
      <c r="D1092" s="6">
        <v>3.23621520007652E-10</v>
      </c>
      <c r="E1092" s="7">
        <v>-69.79925213242994</v>
      </c>
      <c r="F1092" s="7">
        <v>-69.79925213242994</v>
      </c>
      <c r="G1092" s="7">
        <v>-69.79925213242994</v>
      </c>
    </row>
    <row r="1093" spans="1:7">
      <c r="A1093" s="6">
        <v>28510182.6750391</v>
      </c>
      <c r="B1093" s="6">
        <v>3.098800886336781E-10</v>
      </c>
      <c r="C1093" s="6">
        <v>3.098800886336781E-10</v>
      </c>
      <c r="D1093" s="6">
        <v>3.098800886336781E-10</v>
      </c>
      <c r="E1093" s="7">
        <v>-70.17612656971801</v>
      </c>
      <c r="F1093" s="7">
        <v>-70.17612656971801</v>
      </c>
      <c r="G1093" s="7">
        <v>-70.17612656971801</v>
      </c>
    </row>
    <row r="1094" spans="1:7">
      <c r="A1094" s="6">
        <v>28840315.03126606</v>
      </c>
      <c r="B1094" s="6">
        <v>2.950873410361499E-10</v>
      </c>
      <c r="C1094" s="6">
        <v>2.950873410361499E-10</v>
      </c>
      <c r="D1094" s="6">
        <v>2.950873410361499E-10</v>
      </c>
      <c r="E1094" s="7">
        <v>-70.6009884183416</v>
      </c>
      <c r="F1094" s="7">
        <v>-70.6009884183416</v>
      </c>
      <c r="G1094" s="7">
        <v>-70.6009884183416</v>
      </c>
    </row>
    <row r="1095" spans="1:7">
      <c r="A1095" s="6">
        <v>29174270.14001166</v>
      </c>
      <c r="B1095" s="6">
        <v>2.792570219832183E-10</v>
      </c>
      <c r="C1095" s="6">
        <v>2.792570219832183E-10</v>
      </c>
      <c r="D1095" s="6">
        <v>2.792570219832183E-10</v>
      </c>
      <c r="E1095" s="7">
        <v>-71.07991795277191</v>
      </c>
      <c r="F1095" s="7">
        <v>-71.07991795277191</v>
      </c>
      <c r="G1095" s="7">
        <v>-71.07991795277191</v>
      </c>
    </row>
    <row r="1096" spans="1:7">
      <c r="A1096" s="6">
        <v>29512092.26666384</v>
      </c>
      <c r="B1096" s="6">
        <v>2.624104404155512E-10</v>
      </c>
      <c r="C1096" s="6">
        <v>2.624104404155512E-10</v>
      </c>
      <c r="D1096" s="6">
        <v>2.624104404155512E-10</v>
      </c>
      <c r="E1096" s="7">
        <v>-71.62037779715766</v>
      </c>
      <c r="F1096" s="7">
        <v>-71.62037779715766</v>
      </c>
      <c r="G1096" s="7">
        <v>-71.62037779715766</v>
      </c>
    </row>
    <row r="1097" spans="1:7">
      <c r="A1097" s="6">
        <v>29853826.18917963</v>
      </c>
      <c r="B1097" s="6">
        <v>2.445773679118924E-10</v>
      </c>
      <c r="C1097" s="6">
        <v>2.445773679118924E-10</v>
      </c>
      <c r="D1097" s="6">
        <v>2.445773679118924E-10</v>
      </c>
      <c r="E1097" s="7">
        <v>-72.23167466191701</v>
      </c>
      <c r="F1097" s="7">
        <v>-72.23167466191701</v>
      </c>
      <c r="G1097" s="7">
        <v>-72.23167466191701</v>
      </c>
    </row>
    <row r="1098" spans="1:7">
      <c r="A1098" s="6">
        <v>30199517.20402019</v>
      </c>
      <c r="B1098" s="6">
        <v>2.257970346156771E-10</v>
      </c>
      <c r="C1098" s="6">
        <v>2.257970346156771E-10</v>
      </c>
      <c r="D1098" s="6">
        <v>2.257970346156771E-10</v>
      </c>
      <c r="E1098" s="7">
        <v>-72.92563531894774</v>
      </c>
      <c r="F1098" s="7">
        <v>-72.92563531894774</v>
      </c>
      <c r="G1098" s="7">
        <v>-72.92563531894774</v>
      </c>
    </row>
    <row r="1099" spans="1:7">
      <c r="A1099" s="6">
        <v>30549211.13215515</v>
      </c>
      <c r="B1099" s="6">
        <v>2.061192453860751E-10</v>
      </c>
      <c r="C1099" s="6">
        <v>2.061192453860751E-10</v>
      </c>
      <c r="D1099" s="6">
        <v>2.061192453860751E-10</v>
      </c>
      <c r="E1099" s="7">
        <v>-73.71762912368204</v>
      </c>
      <c r="F1099" s="7">
        <v>-73.71762912368204</v>
      </c>
      <c r="G1099" s="7">
        <v>-73.71762912368204</v>
      </c>
    </row>
    <row r="1100" spans="1:7">
      <c r="A1100" s="6">
        <v>30902954.32513592</v>
      </c>
      <c r="B1100" s="6">
        <v>1.85605655994613E-10</v>
      </c>
      <c r="C1100" s="6">
        <v>1.85605655994613E-10</v>
      </c>
      <c r="D1100" s="6">
        <v>1.85605655994613E-10</v>
      </c>
      <c r="E1100" s="7">
        <v>-74.62817587162944</v>
      </c>
      <c r="F1100" s="7">
        <v>-74.62817587162944</v>
      </c>
      <c r="G1100" s="7">
        <v>-74.62817587162944</v>
      </c>
    </row>
    <row r="1101" spans="1:7">
      <c r="A1101" s="6">
        <v>31260793.67123956</v>
      </c>
      <c r="B1101" s="6">
        <v>1.643312871949774E-10</v>
      </c>
      <c r="C1101" s="6">
        <v>1.643312871949774E-10</v>
      </c>
      <c r="D1101" s="6">
        <v>1.643312871949774E-10</v>
      </c>
      <c r="E1101" s="7">
        <v>-75.68559485880355</v>
      </c>
      <c r="F1101" s="7">
        <v>-75.68559485880355</v>
      </c>
      <c r="G1101" s="7">
        <v>-75.68559485880355</v>
      </c>
    </row>
    <row r="1102" spans="1:7">
      <c r="A1102" s="6">
        <v>31622776.60168379</v>
      </c>
      <c r="B1102" s="6">
        <v>1.423864473732685E-10</v>
      </c>
      <c r="C1102" s="6">
        <v>1.423864473732685E-10</v>
      </c>
      <c r="D1102" s="6">
        <v>1.423864473732685E-10</v>
      </c>
      <c r="E1102" s="7">
        <v>-76.93062691498163</v>
      </c>
      <c r="F1102" s="7">
        <v>-76.93062691498163</v>
      </c>
      <c r="G1102" s="7">
        <v>-76.93062691498163</v>
      </c>
    </row>
    <row r="1103" spans="1:7">
      <c r="A1103" s="6">
        <v>31988951.09691397</v>
      </c>
      <c r="B1103" s="6">
        <v>1.198794882594436E-10</v>
      </c>
      <c r="C1103" s="6">
        <v>1.198794882594436E-10</v>
      </c>
      <c r="D1103" s="6">
        <v>1.198794882594436E-10</v>
      </c>
      <c r="E1103" s="7">
        <v>-78.42510239270172</v>
      </c>
      <c r="F1103" s="7">
        <v>-78.42510239270172</v>
      </c>
      <c r="G1103" s="7">
        <v>-78.42510239270172</v>
      </c>
    </row>
    <row r="1104" spans="1:7">
      <c r="A1104" s="6">
        <v>32359365.69296281</v>
      </c>
      <c r="B1104" s="6">
        <v>9.694161764379922E-11</v>
      </c>
      <c r="C1104" s="6">
        <v>9.694161764379922E-11</v>
      </c>
      <c r="D1104" s="6">
        <v>9.694161764379922E-11</v>
      </c>
      <c r="E1104" s="7">
        <v>-80.2697947514948</v>
      </c>
      <c r="F1104" s="7">
        <v>-80.2697947514948</v>
      </c>
      <c r="G1104" s="7">
        <v>-80.2697947514948</v>
      </c>
    </row>
    <row r="1105" spans="1:7">
      <c r="A1105" s="6">
        <v>32734069.4878838</v>
      </c>
      <c r="B1105" s="6">
        <v>7.373804811164075E-11</v>
      </c>
      <c r="C1105" s="6">
        <v>7.373804811164075E-11</v>
      </c>
      <c r="D1105" s="6">
        <v>7.373804811164075E-11</v>
      </c>
      <c r="E1105" s="7">
        <v>-82.64616725202769</v>
      </c>
      <c r="F1105" s="7">
        <v>-82.64616725202769</v>
      </c>
      <c r="G1105" s="7">
        <v>-82.64616725202769</v>
      </c>
    </row>
    <row r="1106" spans="1:7">
      <c r="A1106" s="6">
        <v>33113112.14825914</v>
      </c>
      <c r="B1106" s="6">
        <v>5.050528639914019E-11</v>
      </c>
      <c r="C1106" s="6">
        <v>5.050528639914019E-11</v>
      </c>
      <c r="D1106" s="6">
        <v>5.050528639914019E-11</v>
      </c>
      <c r="E1106" s="7">
        <v>-85.93326323611478</v>
      </c>
      <c r="F1106" s="7">
        <v>-85.93326323611478</v>
      </c>
      <c r="G1106" s="7">
        <v>-85.93326323611478</v>
      </c>
    </row>
    <row r="1107" spans="1:7">
      <c r="A1107" s="6">
        <v>33496543.91578279</v>
      </c>
      <c r="B1107" s="6">
        <v>2.776269506020878E-11</v>
      </c>
      <c r="C1107" s="6">
        <v>2.776269506020878E-11</v>
      </c>
      <c r="D1107" s="6">
        <v>2.776269506020878E-11</v>
      </c>
      <c r="E1107" s="7">
        <v>-91.13076754174669</v>
      </c>
      <c r="F1107" s="7">
        <v>-91.13076754174669</v>
      </c>
      <c r="G1107" s="7">
        <v>-91.13076754174669</v>
      </c>
    </row>
    <row r="1108" spans="1:7">
      <c r="A1108" s="6">
        <v>33884415.61392027</v>
      </c>
      <c r="B1108" s="6">
        <v>9.811248514570499E-12</v>
      </c>
      <c r="C1108" s="6">
        <v>9.811248514570499E-12</v>
      </c>
      <c r="D1108" s="6">
        <v>9.811248514570499E-12</v>
      </c>
      <c r="E1108" s="7">
        <v>-100.1655144732222</v>
      </c>
      <c r="F1108" s="7">
        <v>-100.1655144732222</v>
      </c>
      <c r="G1108" s="7">
        <v>-100.1655144732222</v>
      </c>
    </row>
    <row r="1109" spans="1:7">
      <c r="A1109" s="6">
        <v>34276778.65464505</v>
      </c>
      <c r="B1109" s="6">
        <v>2.207663748222149E-11</v>
      </c>
      <c r="C1109" s="6">
        <v>2.207663748222149E-11</v>
      </c>
      <c r="D1109" s="6">
        <v>2.207663748222149E-11</v>
      </c>
      <c r="E1109" s="7">
        <v>-93.12134147585186</v>
      </c>
      <c r="F1109" s="7">
        <v>-93.12134147585186</v>
      </c>
      <c r="G1109" s="7">
        <v>-93.12134147585186</v>
      </c>
    </row>
    <row r="1110" spans="1:7">
      <c r="A1110" s="6">
        <v>34673685.04525317</v>
      </c>
      <c r="B1110" s="6">
        <v>4.313416071221897E-11</v>
      </c>
      <c r="C1110" s="6">
        <v>4.313416071221897E-11</v>
      </c>
      <c r="D1110" s="6">
        <v>4.313416071221897E-11</v>
      </c>
      <c r="E1110" s="7">
        <v>-87.30357295755186</v>
      </c>
      <c r="F1110" s="7">
        <v>-87.30357295755186</v>
      </c>
      <c r="G1110" s="7">
        <v>-87.30357295755186</v>
      </c>
    </row>
    <row r="1111" spans="1:7">
      <c r="A1111" s="6">
        <v>35075187.39525679</v>
      </c>
      <c r="B1111" s="6">
        <v>6.391158966868279E-11</v>
      </c>
      <c r="C1111" s="6">
        <v>6.391158966868279E-11</v>
      </c>
      <c r="D1111" s="6">
        <v>6.391158966868279E-11</v>
      </c>
      <c r="E1111" s="7">
        <v>-83.88840760279167</v>
      </c>
      <c r="F1111" s="7">
        <v>-83.88840760279167</v>
      </c>
      <c r="G1111" s="7">
        <v>-83.88840760279167</v>
      </c>
    </row>
    <row r="1112" spans="1:7">
      <c r="A1112" s="6">
        <v>35481338.92335753</v>
      </c>
      <c r="B1112" s="6">
        <v>8.353893477102179E-11</v>
      </c>
      <c r="C1112" s="6">
        <v>8.353893477102179E-11</v>
      </c>
      <c r="D1112" s="6">
        <v>8.353893477102179E-11</v>
      </c>
      <c r="E1112" s="7">
        <v>-81.56222133698816</v>
      </c>
      <c r="F1112" s="7">
        <v>-81.56222133698816</v>
      </c>
      <c r="G1112" s="7">
        <v>-81.56222133698816</v>
      </c>
    </row>
    <row r="1113" spans="1:7">
      <c r="A1113" s="6">
        <v>35892193.4645005</v>
      </c>
      <c r="B1113" s="6">
        <v>1.015459754180928E-10</v>
      </c>
      <c r="C1113" s="6">
        <v>1.015459754180928E-10</v>
      </c>
      <c r="D1113" s="6">
        <v>1.015459754180928E-10</v>
      </c>
      <c r="E1113" s="7">
        <v>-79.86674568710376</v>
      </c>
      <c r="F1113" s="7">
        <v>-79.86674568710376</v>
      </c>
      <c r="G1113" s="7">
        <v>-79.86674568710376</v>
      </c>
    </row>
    <row r="1114" spans="1:7">
      <c r="A1114" s="6">
        <v>36307805.47701018</v>
      </c>
      <c r="B1114" s="6">
        <v>1.174938233788338E-10</v>
      </c>
      <c r="C1114" s="6">
        <v>1.174938233788338E-10</v>
      </c>
      <c r="D1114" s="6">
        <v>1.174938233788338E-10</v>
      </c>
      <c r="E1114" s="7">
        <v>-78.59969927090813</v>
      </c>
      <c r="F1114" s="7">
        <v>-78.59969927090813</v>
      </c>
      <c r="G1114" s="7">
        <v>-78.59969927090813</v>
      </c>
    </row>
    <row r="1115" spans="1:7">
      <c r="A1115" s="6">
        <v>36728230.0498085</v>
      </c>
      <c r="B1115" s="6">
        <v>1.309194912543792E-10</v>
      </c>
      <c r="C1115" s="6">
        <v>1.309194912543792E-10</v>
      </c>
      <c r="D1115" s="6">
        <v>1.309194912543792E-10</v>
      </c>
      <c r="E1115" s="7">
        <v>-77.65991382008315</v>
      </c>
      <c r="F1115" s="7">
        <v>-77.65991382008315</v>
      </c>
      <c r="G1115" s="7">
        <v>-77.65991382008315</v>
      </c>
    </row>
    <row r="1116" spans="1:7">
      <c r="A1116" s="6">
        <v>37153522.90971728</v>
      </c>
      <c r="B1116" s="6">
        <v>1.413193399265678E-10</v>
      </c>
      <c r="C1116" s="6">
        <v>1.413193399265678E-10</v>
      </c>
      <c r="D1116" s="6">
        <v>1.413193399265678E-10</v>
      </c>
      <c r="E1116" s="7">
        <v>-76.9959679946446</v>
      </c>
      <c r="F1116" s="7">
        <v>-76.9959679946446</v>
      </c>
      <c r="G1116" s="7">
        <v>-76.9959679946446</v>
      </c>
    </row>
    <row r="1117" spans="1:7">
      <c r="A1117" s="6">
        <v>37583740.42884443</v>
      </c>
      <c r="B1117" s="6">
        <v>1.481407899806183E-10</v>
      </c>
      <c r="C1117" s="6">
        <v>1.481407899806183E-10</v>
      </c>
      <c r="D1117" s="6">
        <v>1.481407899806183E-10</v>
      </c>
      <c r="E1117" s="7">
        <v>-76.5865068748943</v>
      </c>
      <c r="F1117" s="7">
        <v>-76.5865068748943</v>
      </c>
      <c r="G1117" s="7">
        <v>-76.5865068748943</v>
      </c>
    </row>
    <row r="1118" spans="1:7">
      <c r="A1118" s="6">
        <v>38018939.63205612</v>
      </c>
      <c r="B1118" s="6">
        <v>1.507762514042373E-10</v>
      </c>
      <c r="C1118" s="6">
        <v>1.507762514042373E-10</v>
      </c>
      <c r="D1118" s="6">
        <v>1.507762514042373E-10</v>
      </c>
      <c r="E1118" s="7">
        <v>-76.43334116618354</v>
      </c>
      <c r="F1118" s="7">
        <v>-76.43334116618354</v>
      </c>
      <c r="G1118" s="7">
        <v>-76.43334116618354</v>
      </c>
    </row>
    <row r="1119" spans="1:7">
      <c r="A1119" s="6">
        <v>38459178.20453535</v>
      </c>
      <c r="B1119" s="6">
        <v>1.485576293082901E-10</v>
      </c>
      <c r="C1119" s="6">
        <v>1.485576293082901E-10</v>
      </c>
      <c r="D1119" s="6">
        <v>1.485576293082901E-10</v>
      </c>
      <c r="E1119" s="7">
        <v>-76.56210079421621</v>
      </c>
      <c r="F1119" s="7">
        <v>-76.56210079421621</v>
      </c>
      <c r="G1119" s="7">
        <v>-76.56210079421621</v>
      </c>
    </row>
    <row r="1120" spans="1:7">
      <c r="A1120" s="6">
        <v>38904514.49942805</v>
      </c>
      <c r="B1120" s="6">
        <v>1.407508485677836E-10</v>
      </c>
      <c r="C1120" s="6">
        <v>1.407508485677836E-10</v>
      </c>
      <c r="D1120" s="6">
        <v>1.407508485677836E-10</v>
      </c>
      <c r="E1120" s="7">
        <v>-77.03097956332344</v>
      </c>
      <c r="F1120" s="7">
        <v>-77.03097956332344</v>
      </c>
      <c r="G1120" s="7">
        <v>-77.03097956332344</v>
      </c>
    </row>
    <row r="1121" spans="1:7">
      <c r="A1121" s="6">
        <v>39355007.54557773</v>
      </c>
      <c r="B1121" s="6">
        <v>1.265501698247511E-10</v>
      </c>
      <c r="C1121" s="6">
        <v>1.265501698247511E-10</v>
      </c>
      <c r="D1121" s="6">
        <v>1.265501698247511E-10</v>
      </c>
      <c r="E1121" s="7">
        <v>-77.95474535402559</v>
      </c>
      <c r="F1121" s="7">
        <v>-77.95474535402559</v>
      </c>
      <c r="G1121" s="7">
        <v>-77.95474535402559</v>
      </c>
    </row>
    <row r="1122" spans="1:7">
      <c r="A1122" s="6">
        <v>39810717.05534977</v>
      </c>
      <c r="B1122" s="6">
        <v>1.050721870150479E-10</v>
      </c>
      <c r="C1122" s="6">
        <v>1.050721870150479E-10</v>
      </c>
      <c r="D1122" s="6">
        <v>1.050721870150479E-10</v>
      </c>
      <c r="E1122" s="7">
        <v>-79.57024456134376</v>
      </c>
      <c r="F1122" s="7">
        <v>-79.57024456134376</v>
      </c>
      <c r="G1122" s="7">
        <v>-79.57024456134376</v>
      </c>
    </row>
    <row r="1123" spans="1:7">
      <c r="A1123" s="6">
        <v>40271703.43254595</v>
      </c>
      <c r="B1123" s="6">
        <v>7.534945614681595E-11</v>
      </c>
      <c r="C1123" s="6">
        <v>7.534945614681595E-11</v>
      </c>
      <c r="D1123" s="6">
        <v>7.534945614681595E-11</v>
      </c>
      <c r="E1123" s="7">
        <v>-82.45839755929998</v>
      </c>
      <c r="F1123" s="7">
        <v>-82.45839755929998</v>
      </c>
      <c r="G1123" s="7">
        <v>-82.45839755929998</v>
      </c>
    </row>
    <row r="1124" spans="1:7">
      <c r="A1124" s="6">
        <v>40738027.7804113</v>
      </c>
      <c r="B1124" s="6">
        <v>3.6323916062567E-11</v>
      </c>
      <c r="C1124" s="6">
        <v>3.6323916062567E-11</v>
      </c>
      <c r="D1124" s="6">
        <v>3.6323916062567E-11</v>
      </c>
      <c r="E1124" s="7">
        <v>-88.79614673127719</v>
      </c>
      <c r="F1124" s="7">
        <v>-88.79614673127719</v>
      </c>
      <c r="G1124" s="7">
        <v>-88.79614673127719</v>
      </c>
    </row>
    <row r="1125" spans="1:7">
      <c r="A1125" s="6">
        <v>41209751.90973304</v>
      </c>
      <c r="B1125" s="6">
        <v>1.316661365998906E-11</v>
      </c>
      <c r="C1125" s="6">
        <v>1.316661365998906E-11</v>
      </c>
      <c r="D1125" s="6">
        <v>1.316661365998906E-11</v>
      </c>
      <c r="E1125" s="7">
        <v>-97.61051814979407</v>
      </c>
      <c r="F1125" s="7">
        <v>-97.61051814979407</v>
      </c>
      <c r="G1125" s="7">
        <v>-97.61051814979407</v>
      </c>
    </row>
    <row r="1126" spans="1:7">
      <c r="A1126" s="6">
        <v>41686938.34703355</v>
      </c>
      <c r="B1126" s="6">
        <v>7.437270064201213E-11</v>
      </c>
      <c r="C1126" s="6">
        <v>7.437270064201213E-11</v>
      </c>
      <c r="D1126" s="6">
        <v>7.437270064201213E-11</v>
      </c>
      <c r="E1126" s="7">
        <v>-82.5717289601042</v>
      </c>
      <c r="F1126" s="7">
        <v>-82.5717289601042</v>
      </c>
      <c r="G1126" s="7">
        <v>-82.5717289601042</v>
      </c>
    </row>
    <row r="1127" spans="1:7">
      <c r="A1127" s="6">
        <v>42169650.34285823</v>
      </c>
      <c r="B1127" s="6">
        <v>1.486811569203101E-10</v>
      </c>
      <c r="C1127" s="6">
        <v>1.486811569203101E-10</v>
      </c>
      <c r="D1127" s="6">
        <v>1.486811569203101E-10</v>
      </c>
      <c r="E1127" s="7">
        <v>-76.55488136447325</v>
      </c>
      <c r="F1127" s="7">
        <v>-76.55488136447325</v>
      </c>
      <c r="G1127" s="7">
        <v>-76.55488136447325</v>
      </c>
    </row>
    <row r="1128" spans="1:7">
      <c r="A1128" s="6">
        <v>42657951.88015926</v>
      </c>
      <c r="B1128" s="6">
        <v>2.375905763870055E-10</v>
      </c>
      <c r="C1128" s="6">
        <v>2.375905763870055E-10</v>
      </c>
      <c r="D1128" s="6">
        <v>2.375905763870055E-10</v>
      </c>
      <c r="E1128" s="7">
        <v>-72.48341577754461</v>
      </c>
      <c r="F1128" s="7">
        <v>-72.48341577754461</v>
      </c>
      <c r="G1128" s="7">
        <v>-72.48341577754461</v>
      </c>
    </row>
    <row r="1129" spans="1:7">
      <c r="A1129" s="6">
        <v>43151907.6827765</v>
      </c>
      <c r="B1129" s="6">
        <v>3.427348447477561E-10</v>
      </c>
      <c r="C1129" s="6">
        <v>3.427348447477561E-10</v>
      </c>
      <c r="D1129" s="6">
        <v>3.427348447477561E-10</v>
      </c>
      <c r="E1129" s="7">
        <v>-69.3008348000871</v>
      </c>
      <c r="F1129" s="7">
        <v>-69.3008348000871</v>
      </c>
      <c r="G1129" s="7">
        <v>-69.3008348000871</v>
      </c>
    </row>
    <row r="1130" spans="1:7">
      <c r="A1130" s="6">
        <v>43651583.22401656</v>
      </c>
      <c r="B1130" s="6">
        <v>4.658915088734242E-10</v>
      </c>
      <c r="C1130" s="6">
        <v>4.658915088734242E-10</v>
      </c>
      <c r="D1130" s="6">
        <v>4.658915088734242E-10</v>
      </c>
      <c r="E1130" s="7">
        <v>-66.63430409466389</v>
      </c>
      <c r="F1130" s="7">
        <v>-66.63430409466389</v>
      </c>
      <c r="G1130" s="7">
        <v>-66.63430409466389</v>
      </c>
    </row>
    <row r="1131" spans="1:7">
      <c r="A1131" s="6">
        <v>44157044.7353313</v>
      </c>
      <c r="B1131" s="6">
        <v>6.08992800243513E-10</v>
      </c>
      <c r="C1131" s="6">
        <v>6.08992800243513E-10</v>
      </c>
      <c r="D1131" s="6">
        <v>6.08992800243513E-10</v>
      </c>
      <c r="E1131" s="7">
        <v>-64.30775683479722</v>
      </c>
      <c r="F1131" s="7">
        <v>-64.30775683479722</v>
      </c>
      <c r="G1131" s="7">
        <v>-64.30775683479722</v>
      </c>
    </row>
    <row r="1132" spans="1:7">
      <c r="A1132" s="6">
        <v>44668359.21509635</v>
      </c>
      <c r="B1132" s="6">
        <v>7.741375137459129E-10</v>
      </c>
      <c r="C1132" s="6">
        <v>7.741375137459129E-10</v>
      </c>
      <c r="D1132" s="6">
        <v>7.741375137459129E-10</v>
      </c>
      <c r="E1132" s="7">
        <v>-62.22363773320475</v>
      </c>
      <c r="F1132" s="7">
        <v>-62.22363773320475</v>
      </c>
      <c r="G1132" s="7">
        <v>-62.22363773320475</v>
      </c>
    </row>
    <row r="1133" spans="1:7">
      <c r="A1133" s="6">
        <v>45185594.43749226</v>
      </c>
      <c r="B1133" s="6">
        <v>9.636037402787079E-10</v>
      </c>
      <c r="C1133" s="6">
        <v>9.636037402787079E-10</v>
      </c>
      <c r="D1133" s="6">
        <v>9.636037402787079E-10</v>
      </c>
      <c r="E1133" s="7">
        <v>-60.32203045867</v>
      </c>
      <c r="F1133" s="7">
        <v>-60.32203045867</v>
      </c>
      <c r="G1133" s="7">
        <v>-60.32203045867</v>
      </c>
    </row>
    <row r="1134" spans="1:7">
      <c r="A1134" s="6">
        <v>45708818.96148752</v>
      </c>
      <c r="B1134" s="6">
        <v>1.179862502510767E-09</v>
      </c>
      <c r="C1134" s="6">
        <v>1.179862502510767E-09</v>
      </c>
      <c r="D1134" s="6">
        <v>1.179862502510767E-09</v>
      </c>
      <c r="E1134" s="7">
        <v>-58.56337202133815</v>
      </c>
      <c r="F1134" s="7">
        <v>-58.56337202133815</v>
      </c>
      <c r="G1134" s="7">
        <v>-58.56337202133815</v>
      </c>
    </row>
    <row r="1135" spans="1:7">
      <c r="A1135" s="6">
        <v>46238102.13992603</v>
      </c>
      <c r="B1135" s="6">
        <v>1.425592352513609E-09</v>
      </c>
      <c r="C1135" s="6">
        <v>1.425592352513609E-09</v>
      </c>
      <c r="D1135" s="6">
        <v>1.425592352513609E-09</v>
      </c>
      <c r="E1135" s="7">
        <v>-56.92009286084166</v>
      </c>
      <c r="F1135" s="7">
        <v>-56.92009286084166</v>
      </c>
      <c r="G1135" s="7">
        <v>-56.92009286084166</v>
      </c>
    </row>
    <row r="1136" spans="1:7">
      <c r="A1136" s="6">
        <v>46773514.12871981</v>
      </c>
      <c r="B1136" s="6">
        <v>1.703694994942918E-09</v>
      </c>
      <c r="C1136" s="6">
        <v>1.703694994942918E-09</v>
      </c>
      <c r="D1136" s="6">
        <v>1.703694994942918E-09</v>
      </c>
      <c r="E1136" s="7">
        <v>-55.37216304901059</v>
      </c>
      <c r="F1136" s="7">
        <v>-55.37216304901059</v>
      </c>
      <c r="G1136" s="7">
        <v>-55.37216304901059</v>
      </c>
    </row>
    <row r="1137" spans="1:7">
      <c r="A1137" s="6">
        <v>47315125.89614803</v>
      </c>
      <c r="B1137" s="6">
        <v>2.017312003813463E-09</v>
      </c>
      <c r="C1137" s="6">
        <v>2.017312003813463E-09</v>
      </c>
      <c r="D1137" s="6">
        <v>2.017312003813463E-09</v>
      </c>
      <c r="E1137" s="7">
        <v>-53.90453854486286</v>
      </c>
      <c r="F1137" s="7">
        <v>-53.90453854486286</v>
      </c>
      <c r="G1137" s="7">
        <v>-53.90453854486286</v>
      </c>
    </row>
    <row r="1138" spans="1:7">
      <c r="A1138" s="6">
        <v>47863009.2322638</v>
      </c>
      <c r="B1138" s="6">
        <v>2.369842705326937E-09</v>
      </c>
      <c r="C1138" s="6">
        <v>2.369842705326937E-09</v>
      </c>
      <c r="D1138" s="6">
        <v>2.369842705326937E-09</v>
      </c>
      <c r="E1138" s="7">
        <v>-52.5056095732625</v>
      </c>
      <c r="F1138" s="7">
        <v>-52.5056095732625</v>
      </c>
      <c r="G1138" s="7">
        <v>-52.5056095732625</v>
      </c>
    </row>
    <row r="1139" spans="1:7">
      <c r="A1139" s="6">
        <v>48417236.75840999</v>
      </c>
      <c r="B1139" s="6">
        <v>2.764963303837293E-09</v>
      </c>
      <c r="C1139" s="6">
        <v>2.764963303837293E-09</v>
      </c>
      <c r="D1139" s="6">
        <v>2.764963303837293E-09</v>
      </c>
      <c r="E1139" s="7">
        <v>-51.16621256419634</v>
      </c>
      <c r="F1139" s="7">
        <v>-51.16621256419634</v>
      </c>
      <c r="G1139" s="7">
        <v>-51.16621256419634</v>
      </c>
    </row>
    <row r="1140" spans="1:7">
      <c r="A1140" s="6">
        <v>48977881.93684466</v>
      </c>
      <c r="B1140" s="6">
        <v>3.206647332928294E-09</v>
      </c>
      <c r="C1140" s="6">
        <v>3.206647332928294E-09</v>
      </c>
      <c r="D1140" s="6">
        <v>3.206647332928294E-09</v>
      </c>
      <c r="E1140" s="7">
        <v>-49.87897602304158</v>
      </c>
      <c r="F1140" s="7">
        <v>-49.87897602304158</v>
      </c>
      <c r="G1140" s="7">
        <v>-49.87897602304158</v>
      </c>
    </row>
    <row r="1141" spans="1:7">
      <c r="A1141" s="6">
        <v>49545019.08047906</v>
      </c>
      <c r="B1141" s="6">
        <v>3.699187518764087E-09</v>
      </c>
      <c r="C1141" s="6">
        <v>3.699187518764087E-09</v>
      </c>
      <c r="D1141" s="6">
        <v>3.699187518764087E-09</v>
      </c>
      <c r="E1141" s="7">
        <v>-48.63787305847001</v>
      </c>
      <c r="F1141" s="7">
        <v>-48.63787305847001</v>
      </c>
      <c r="G1141" s="7">
        <v>-48.63787305847001</v>
      </c>
    </row>
    <row r="1142" spans="1:7">
      <c r="A1142" s="6">
        <v>50118723.36272725</v>
      </c>
      <c r="B1142" s="6">
        <v>4.247219148373323E-09</v>
      </c>
      <c r="C1142" s="6">
        <v>4.247219148373323E-09</v>
      </c>
      <c r="D1142" s="6">
        <v>4.247219148373323E-09</v>
      </c>
      <c r="E1142" s="7">
        <v>-47.43790659335435</v>
      </c>
      <c r="F1142" s="7">
        <v>-47.43790659335435</v>
      </c>
      <c r="G1142" s="7">
        <v>-47.43790659335435</v>
      </c>
    </row>
    <row r="1143" spans="1:7">
      <c r="A1143" s="6">
        <v>50699070.82747044</v>
      </c>
      <c r="B1143" s="6">
        <v>4.855745041370081E-09</v>
      </c>
      <c r="C1143" s="6">
        <v>4.855745041370081E-09</v>
      </c>
      <c r="D1143" s="6">
        <v>4.855745041370081E-09</v>
      </c>
      <c r="E1143" s="7">
        <v>-46.27488249315758</v>
      </c>
      <c r="F1143" s="7">
        <v>-46.27488249315758</v>
      </c>
      <c r="G1143" s="7">
        <v>-46.27488249315758</v>
      </c>
    </row>
    <row r="1144" spans="1:7">
      <c r="A1144" s="6">
        <v>51286138.39913648</v>
      </c>
      <c r="B1144" s="6">
        <v>5.530162229812531E-09</v>
      </c>
      <c r="C1144" s="6">
        <v>5.530162229812531E-09</v>
      </c>
      <c r="D1144" s="6">
        <v>5.530162229812531E-09</v>
      </c>
      <c r="E1144" s="7">
        <v>-45.1452425656639</v>
      </c>
      <c r="F1144" s="7">
        <v>-45.1452425656639</v>
      </c>
      <c r="G1144" s="7">
        <v>-45.1452425656639</v>
      </c>
    </row>
    <row r="1145" spans="1:7">
      <c r="A1145" s="6">
        <v>51880003.89289609</v>
      </c>
      <c r="B1145" s="6">
        <v>6.276290457482718E-09</v>
      </c>
      <c r="C1145" s="6">
        <v>6.276290457482718E-09</v>
      </c>
      <c r="D1145" s="6">
        <v>6.276290457482718E-09</v>
      </c>
      <c r="E1145" s="7">
        <v>-44.04593932221494</v>
      </c>
      <c r="F1145" s="7">
        <v>-44.04593932221494</v>
      </c>
      <c r="G1145" s="7">
        <v>-44.04593932221494</v>
      </c>
    </row>
    <row r="1146" spans="1:7">
      <c r="A1146" s="6">
        <v>52480746.02497723</v>
      </c>
      <c r="B1146" s="6">
        <v>7.10040261685722E-09</v>
      </c>
      <c r="C1146" s="6">
        <v>7.10040261685722E-09</v>
      </c>
      <c r="D1146" s="6">
        <v>7.10040261685722E-09</v>
      </c>
      <c r="E1146" s="7">
        <v>-42.97434049231736</v>
      </c>
      <c r="F1146" s="7">
        <v>-42.97434049231736</v>
      </c>
      <c r="G1146" s="7">
        <v>-42.97434049231736</v>
      </c>
    </row>
    <row r="1147" spans="1:7">
      <c r="A1147" s="6">
        <v>53088444.4230989</v>
      </c>
      <c r="B1147" s="6">
        <v>8.00925724945541E-09</v>
      </c>
      <c r="C1147" s="6">
        <v>8.00925724945541E-09</v>
      </c>
      <c r="D1147" s="6">
        <v>8.00925724945541E-09</v>
      </c>
      <c r="E1147" s="7">
        <v>-41.92815514003711</v>
      </c>
      <c r="F1147" s="7">
        <v>-41.92815514003711</v>
      </c>
      <c r="G1147" s="7">
        <v>-41.92815514003711</v>
      </c>
    </row>
    <row r="1148" spans="1:7">
      <c r="A1148" s="6">
        <v>53703179.63702533</v>
      </c>
      <c r="B1148" s="6">
        <v>9.010133243125545E-09</v>
      </c>
      <c r="C1148" s="6">
        <v>9.010133243125545E-09</v>
      </c>
      <c r="D1148" s="6">
        <v>9.010133243125545E-09</v>
      </c>
      <c r="E1148" s="7">
        <v>-40.90537573130376</v>
      </c>
      <c r="F1148" s="7">
        <v>-40.90537573130376</v>
      </c>
      <c r="G1148" s="7">
        <v>-40.90537573130376</v>
      </c>
    </row>
    <row r="1149" spans="1:7">
      <c r="A1149" s="6">
        <v>54325033.14924336</v>
      </c>
      <c r="B1149" s="6">
        <v>1.011086686819133E-08</v>
      </c>
      <c r="C1149" s="6">
        <v>1.011086686819133E-08</v>
      </c>
      <c r="D1149" s="6">
        <v>1.011086686819133E-08</v>
      </c>
      <c r="E1149" s="7">
        <v>-39.90423216032094</v>
      </c>
      <c r="F1149" s="7">
        <v>-39.90423216032094</v>
      </c>
      <c r="G1149" s="7">
        <v>-39.90423216032094</v>
      </c>
    </row>
    <row r="1150" spans="1:7">
      <c r="A1150" s="6">
        <v>54954087.38576248</v>
      </c>
      <c r="B1150" s="6">
        <v>1.131989130325114E-08</v>
      </c>
      <c r="C1150" s="6">
        <v>1.131989130325114E-08</v>
      </c>
      <c r="D1150" s="6">
        <v>1.131989130325114E-08</v>
      </c>
      <c r="E1150" s="7">
        <v>-38.92315486688582</v>
      </c>
      <c r="F1150" s="7">
        <v>-38.92315486688582</v>
      </c>
      <c r="G1150" s="7">
        <v>-38.92315486688582</v>
      </c>
    </row>
    <row r="1151" spans="1:7">
      <c r="A1151" s="6">
        <v>55590425.72704037</v>
      </c>
      <c r="B1151" s="6">
        <v>1.264627881085042E-08</v>
      </c>
      <c r="C1151" s="6">
        <v>1.264627881085042E-08</v>
      </c>
      <c r="D1151" s="6">
        <v>1.264627881085042E-08</v>
      </c>
      <c r="E1151" s="7">
        <v>-37.9607449516753</v>
      </c>
      <c r="F1151" s="7">
        <v>-37.9607449516753</v>
      </c>
      <c r="G1151" s="7">
        <v>-37.9607449516753</v>
      </c>
    </row>
    <row r="1152" spans="1:7">
      <c r="A1152" s="6">
        <v>56234132.51903491</v>
      </c>
      <c r="B1152" s="6">
        <v>1.409978573324909E-08</v>
      </c>
      <c r="C1152" s="6">
        <v>1.409978573324909E-08</v>
      </c>
      <c r="D1152" s="6">
        <v>1.409978573324909E-08</v>
      </c>
      <c r="E1152" s="7">
        <v>-37.01574974061527</v>
      </c>
      <c r="F1152" s="7">
        <v>-37.01574974061527</v>
      </c>
      <c r="G1152" s="7">
        <v>-37.01574974061527</v>
      </c>
    </row>
    <row r="1153" spans="1:7">
      <c r="A1153" s="6">
        <v>56885293.08438413</v>
      </c>
      <c r="B1153" s="6">
        <v>1.569090048913014E-08</v>
      </c>
      <c r="C1153" s="6">
        <v>1.569090048913014E-08</v>
      </c>
      <c r="D1153" s="6">
        <v>1.569090048913014E-08</v>
      </c>
      <c r="E1153" s="7">
        <v>-36.0870426371992</v>
      </c>
      <c r="F1153" s="7">
        <v>-36.0870426371992</v>
      </c>
      <c r="G1153" s="7">
        <v>-36.0870426371992</v>
      </c>
    </row>
    <row r="1154" spans="1:7">
      <c r="A1154" s="6">
        <v>57543993.73371567</v>
      </c>
      <c r="B1154" s="6">
        <v>1.743089476337571E-08</v>
      </c>
      <c r="C1154" s="6">
        <v>1.743089476337571E-08</v>
      </c>
      <c r="D1154" s="6">
        <v>1.743089476337571E-08</v>
      </c>
      <c r="E1154" s="7">
        <v>-35.17360638192758</v>
      </c>
      <c r="F1154" s="7">
        <v>-35.17360638192758</v>
      </c>
      <c r="G1154" s="7">
        <v>-35.17360638192758</v>
      </c>
    </row>
    <row r="1155" spans="1:7">
      <c r="A1155" s="6">
        <v>58210321.7770871</v>
      </c>
      <c r="B1155" s="6">
        <v>1.933187809401653E-08</v>
      </c>
      <c r="C1155" s="6">
        <v>1.933187809401653E-08</v>
      </c>
      <c r="D1155" s="6">
        <v>1.933187809401653E-08</v>
      </c>
      <c r="E1155" s="7">
        <v>-34.27451904333318</v>
      </c>
      <c r="F1155" s="7">
        <v>-34.27451904333318</v>
      </c>
      <c r="G1155" s="7">
        <v>-34.27451904333318</v>
      </c>
    </row>
    <row r="1156" spans="1:7">
      <c r="A1156" s="6">
        <v>58884365.53555896</v>
      </c>
      <c r="B1156" s="6">
        <v>2.140685607318333E-08</v>
      </c>
      <c r="C1156" s="6">
        <v>2.140685607318333E-08</v>
      </c>
      <c r="D1156" s="6">
        <v>2.140685607318333E-08</v>
      </c>
      <c r="E1156" s="7">
        <v>-33.38894221723815</v>
      </c>
      <c r="F1156" s="7">
        <v>-33.38894221723815</v>
      </c>
      <c r="G1156" s="7">
        <v>-33.38894221723815</v>
      </c>
    </row>
    <row r="1157" spans="1:7">
      <c r="A1157" s="6">
        <v>59566214.35290109</v>
      </c>
      <c r="B1157" s="6">
        <v>2.366979239239707E-08</v>
      </c>
      <c r="C1157" s="6">
        <v>2.366979239239707E-08</v>
      </c>
      <c r="D1157" s="6">
        <v>2.366979239239707E-08</v>
      </c>
      <c r="E1157" s="7">
        <v>-32.51611102496863</v>
      </c>
      <c r="F1157" s="7">
        <v>-32.51611102496863</v>
      </c>
      <c r="G1157" s="7">
        <v>-32.51611102496863</v>
      </c>
    </row>
    <row r="1158" spans="1:7">
      <c r="A1158" s="6">
        <v>60255958.60743581</v>
      </c>
      <c r="B1158" s="6">
        <v>2.613567497689744E-08</v>
      </c>
      <c r="C1158" s="6">
        <v>2.613567497689744E-08</v>
      </c>
      <c r="D1158" s="6">
        <v>2.613567497689744E-08</v>
      </c>
      <c r="E1158" s="7">
        <v>-31.65532558765394</v>
      </c>
      <c r="F1158" s="7">
        <v>-31.65532558765394</v>
      </c>
      <c r="G1158" s="7">
        <v>-31.65532558765394</v>
      </c>
    </row>
    <row r="1159" spans="1:7">
      <c r="A1159" s="6">
        <v>60953689.72401693</v>
      </c>
      <c r="B1159" s="6">
        <v>2.882058646893904E-08</v>
      </c>
      <c r="C1159" s="6">
        <v>2.882058646893904E-08</v>
      </c>
      <c r="D1159" s="6">
        <v>2.882058646893904E-08</v>
      </c>
      <c r="E1159" s="7">
        <v>-30.80594371982812</v>
      </c>
      <c r="F1159" s="7">
        <v>-30.80594371982812</v>
      </c>
      <c r="G1159" s="7">
        <v>-30.80594371982812</v>
      </c>
    </row>
    <row r="1160" spans="1:7">
      <c r="A1160" s="6">
        <v>61659500.18614822</v>
      </c>
      <c r="B1160" s="6">
        <v>3.17417793361962E-08</v>
      </c>
      <c r="C1160" s="6">
        <v>3.17417793361962E-08</v>
      </c>
      <c r="D1160" s="6">
        <v>3.17417793361962E-08</v>
      </c>
      <c r="E1160" s="7">
        <v>-29.96737463654337</v>
      </c>
      <c r="F1160" s="7">
        <v>-29.96737463654337</v>
      </c>
      <c r="G1160" s="7">
        <v>-29.96737463654337</v>
      </c>
    </row>
    <row r="1161" spans="1:7">
      <c r="A1161" s="6">
        <v>62373483.54824191</v>
      </c>
      <c r="B1161" s="6">
        <v>3.491775589861653E-08</v>
      </c>
      <c r="C1161" s="6">
        <v>3.491775589861653E-08</v>
      </c>
      <c r="D1161" s="6">
        <v>3.491775589861653E-08</v>
      </c>
      <c r="E1161" s="7">
        <v>-29.13907350790033</v>
      </c>
      <c r="F1161" s="7">
        <v>-29.13907350790033</v>
      </c>
      <c r="G1161" s="7">
        <v>-29.13907350790033</v>
      </c>
    </row>
    <row r="1162" spans="1:7">
      <c r="A1162" s="6">
        <v>63095734.4480193</v>
      </c>
      <c r="B1162" s="6">
        <v>3.836835358534934E-08</v>
      </c>
      <c r="C1162" s="6">
        <v>3.836835358534934E-08</v>
      </c>
      <c r="D1162" s="6">
        <v>3.836835358534934E-08</v>
      </c>
      <c r="E1162" s="7">
        <v>-28.3205367260356</v>
      </c>
      <c r="F1162" s="7">
        <v>-28.3205367260356</v>
      </c>
      <c r="G1162" s="7">
        <v>-28.3205367260356</v>
      </c>
    </row>
    <row r="1163" spans="1:7">
      <c r="A1163" s="6">
        <v>63826348.61905482</v>
      </c>
      <c r="B1163" s="6">
        <v>4.211483575280304E-08</v>
      </c>
      <c r="C1163" s="6">
        <v>4.211483575280304E-08</v>
      </c>
      <c r="D1163" s="6">
        <v>4.211483575280304E-08</v>
      </c>
      <c r="E1163" s="7">
        <v>-27.51129777421577</v>
      </c>
      <c r="F1163" s="7">
        <v>-27.51129777421577</v>
      </c>
      <c r="G1163" s="7">
        <v>-27.51129777421577</v>
      </c>
    </row>
    <row r="1164" spans="1:7">
      <c r="A1164" s="6">
        <v>64565422.90346563</v>
      </c>
      <c r="B1164" s="6">
        <v>4.617998841553612E-08</v>
      </c>
      <c r="C1164" s="6">
        <v>4.617998841553612E-08</v>
      </c>
      <c r="D1164" s="6">
        <v>4.617998841553612E-08</v>
      </c>
      <c r="E1164" s="7">
        <v>-26.7109236072722</v>
      </c>
      <c r="F1164" s="7">
        <v>-26.7109236072722</v>
      </c>
      <c r="G1164" s="7">
        <v>-26.7109236072722</v>
      </c>
    </row>
    <row r="1165" spans="1:7">
      <c r="A1165" s="6">
        <v>65313055.26474729</v>
      </c>
      <c r="B1165" s="6">
        <v>5.058822326362067E-08</v>
      </c>
      <c r="C1165" s="6">
        <v>5.058822326362067E-08</v>
      </c>
      <c r="D1165" s="6">
        <v>5.058822326362067E-08</v>
      </c>
      <c r="E1165" s="7">
        <v>-25.91901146830445</v>
      </c>
      <c r="F1165" s="7">
        <v>-25.91901146830445</v>
      </c>
      <c r="G1165" s="7">
        <v>-25.91901146830445</v>
      </c>
    </row>
    <row r="1166" spans="1:7">
      <c r="A1166" s="6">
        <v>66069344.80075964</v>
      </c>
      <c r="B1166" s="6">
        <v>5.536568736346289E-08</v>
      </c>
      <c r="C1166" s="6">
        <v>5.536568736346289E-08</v>
      </c>
      <c r="D1166" s="6">
        <v>5.536568736346289E-08</v>
      </c>
      <c r="E1166" s="7">
        <v>-25.13518607922648</v>
      </c>
      <c r="F1166" s="7">
        <v>-25.13518607922648</v>
      </c>
      <c r="G1166" s="7">
        <v>-25.13518607922648</v>
      </c>
    </row>
    <row r="1167" spans="1:7">
      <c r="A1167" s="6">
        <v>66834391.75686149</v>
      </c>
      <c r="B1167" s="6">
        <v>6.054037996382973E-08</v>
      </c>
      <c r="C1167" s="6">
        <v>6.054037996382973E-08</v>
      </c>
      <c r="D1167" s="6">
        <v>6.054037996382973E-08</v>
      </c>
      <c r="E1167" s="7">
        <v>-24.35909715299469</v>
      </c>
      <c r="F1167" s="7">
        <v>-24.35909715299469</v>
      </c>
      <c r="G1167" s="7">
        <v>-24.35909715299469</v>
      </c>
    </row>
    <row r="1168" spans="1:7">
      <c r="A1168" s="6">
        <v>67608297.53919819</v>
      </c>
      <c r="B1168" s="6">
        <v>6.61422768552168E-08</v>
      </c>
      <c r="C1168" s="6">
        <v>6.61422768552168E-08</v>
      </c>
      <c r="D1168" s="6">
        <v>6.61422768552168E-08</v>
      </c>
      <c r="E1168" s="7">
        <v>-23.59041718371784</v>
      </c>
      <c r="F1168" s="7">
        <v>-23.59041718371784</v>
      </c>
      <c r="G1168" s="7">
        <v>-23.59041718371784</v>
      </c>
    </row>
    <row r="1169" spans="1:7">
      <c r="A1169" s="6">
        <v>68391164.72814293</v>
      </c>
      <c r="B1169" s="6">
        <v>7.220346275870048E-08</v>
      </c>
      <c r="C1169" s="6">
        <v>7.220346275870048E-08</v>
      </c>
      <c r="D1169" s="6">
        <v>7.220346275870048E-08</v>
      </c>
      <c r="E1169" s="7">
        <v>-22.82883947771138</v>
      </c>
      <c r="F1169" s="7">
        <v>-22.82883947771138</v>
      </c>
      <c r="G1169" s="7">
        <v>-22.82883947771138</v>
      </c>
    </row>
    <row r="1170" spans="1:7">
      <c r="A1170" s="6">
        <v>69183097.09189363</v>
      </c>
      <c r="B1170" s="6">
        <v>7.875827225022109E-08</v>
      </c>
      <c r="C1170" s="6">
        <v>7.875827225022109E-08</v>
      </c>
      <c r="D1170" s="6">
        <v>7.875827225022109E-08</v>
      </c>
      <c r="E1170" s="7">
        <v>-22.07407639420947</v>
      </c>
      <c r="F1170" s="7">
        <v>-22.07407639420947</v>
      </c>
      <c r="G1170" s="7">
        <v>-22.07407639420947</v>
      </c>
    </row>
    <row r="1171" spans="1:7">
      <c r="A1171" s="6">
        <v>69984199.60022731</v>
      </c>
      <c r="B1171" s="6">
        <v>8.584343975792572E-08</v>
      </c>
      <c r="C1171" s="6">
        <v>8.584343975792572E-08</v>
      </c>
      <c r="D1171" s="6">
        <v>8.584343975792572E-08</v>
      </c>
      <c r="E1171" s="7">
        <v>-21.3258577691282</v>
      </c>
      <c r="F1171" s="7">
        <v>-21.3258577691282</v>
      </c>
      <c r="G1171" s="7">
        <v>-21.3258577691282</v>
      </c>
    </row>
    <row r="1172" spans="1:7">
      <c r="A1172" s="6">
        <v>70794578.43841387</v>
      </c>
      <c r="B1172" s="6">
        <v>9.349825920389693E-08</v>
      </c>
      <c r="C1172" s="6">
        <v>9.349825920389693E-08</v>
      </c>
      <c r="D1172" s="6">
        <v>9.349825920389693E-08</v>
      </c>
      <c r="E1172" s="7">
        <v>-20.5839294991656</v>
      </c>
      <c r="F1172" s="7">
        <v>-20.5839294991656</v>
      </c>
      <c r="G1172" s="7">
        <v>-20.5839294991656</v>
      </c>
    </row>
    <row r="1173" spans="1:7">
      <c r="A1173" s="6">
        <v>71614341.02129027</v>
      </c>
      <c r="B1173" s="6">
        <v>1.017647538974186E-07</v>
      </c>
      <c r="C1173" s="6">
        <v>1.017647538974186E-07</v>
      </c>
      <c r="D1173" s="6">
        <v>1.017647538974186E-07</v>
      </c>
      <c r="E1173" s="7">
        <v>-19.84805226677635</v>
      </c>
      <c r="F1173" s="7">
        <v>-19.84805226677635</v>
      </c>
      <c r="G1173" s="7">
        <v>-19.84805226677635</v>
      </c>
    </row>
    <row r="1174" spans="1:7">
      <c r="A1174" s="6">
        <v>72443596.00749905</v>
      </c>
      <c r="B1174" s="6">
        <v>1.106878573250668E-07</v>
      </c>
      <c r="C1174" s="6">
        <v>1.106878573250668E-07</v>
      </c>
      <c r="D1174" s="6">
        <v>1.106878573250668E-07</v>
      </c>
      <c r="E1174" s="7">
        <v>-19.11800038928461</v>
      </c>
      <c r="F1174" s="7">
        <v>-19.11800038928461</v>
      </c>
      <c r="G1174" s="7">
        <v>-19.11800038928461</v>
      </c>
    </row>
    <row r="1175" spans="1:7">
      <c r="A1175" s="6">
        <v>73282453.31389044</v>
      </c>
      <c r="B1175" s="6">
        <v>1.203156055234122E-07</v>
      </c>
      <c r="C1175" s="6">
        <v>1.203156055234122E-07</v>
      </c>
      <c r="D1175" s="6">
        <v>1.203156055234122E-07</v>
      </c>
      <c r="E1175" s="7">
        <v>-18.39356077769926</v>
      </c>
      <c r="F1175" s="7">
        <v>-18.39356077769926</v>
      </c>
      <c r="G1175" s="7">
        <v>-18.39356077769926</v>
      </c>
    </row>
    <row r="1176" spans="1:7">
      <c r="A1176" s="6">
        <v>74131024.13009177</v>
      </c>
      <c r="B1176" s="6">
        <v>1.306993417632732E-07</v>
      </c>
      <c r="C1176" s="6">
        <v>1.306993417632732E-07</v>
      </c>
      <c r="D1176" s="6">
        <v>1.306993417632732E-07</v>
      </c>
      <c r="E1176" s="7">
        <v>-17.67453199273465</v>
      </c>
      <c r="F1176" s="7">
        <v>-17.67453199273465</v>
      </c>
      <c r="G1176" s="7">
        <v>-17.67453199273465</v>
      </c>
    </row>
    <row r="1177" spans="1:7">
      <c r="A1177" s="6">
        <v>74989420.93324558</v>
      </c>
      <c r="B1177" s="6">
        <v>1.418939343203079E-07</v>
      </c>
      <c r="C1177" s="6">
        <v>1.418939343203079E-07</v>
      </c>
      <c r="D1177" s="6">
        <v>1.418939343203079E-07</v>
      </c>
      <c r="E1177" s="7">
        <v>-16.96072338718932</v>
      </c>
      <c r="F1177" s="7">
        <v>-16.96072338718932</v>
      </c>
      <c r="G1177" s="7">
        <v>-16.96072338718932</v>
      </c>
    </row>
    <row r="1178" spans="1:7">
      <c r="A1178" s="6">
        <v>75857757.50291836</v>
      </c>
      <c r="B1178" s="6">
        <v>1.53958008155529E-07</v>
      </c>
      <c r="C1178" s="6">
        <v>1.53958008155529E-07</v>
      </c>
      <c r="D1178" s="6">
        <v>1.53958008155529E-07</v>
      </c>
      <c r="E1178" s="7">
        <v>-16.25195432523799</v>
      </c>
      <c r="F1178" s="7">
        <v>-16.25195432523799</v>
      </c>
      <c r="G1178" s="7">
        <v>-16.25195432523799</v>
      </c>
    </row>
    <row r="1179" spans="1:7">
      <c r="A1179" s="6">
        <v>76736148.93618186</v>
      </c>
      <c r="B1179" s="6">
        <v>1.66954191381223E-07</v>
      </c>
      <c r="C1179" s="6">
        <v>1.66954191381223E-07</v>
      </c>
      <c r="D1179" s="6">
        <v>1.66954191381223E-07</v>
      </c>
      <c r="E1179" s="7">
        <v>-15.5480534703908</v>
      </c>
      <c r="F1179" s="7">
        <v>-15.5480534703908</v>
      </c>
      <c r="G1179" s="7">
        <v>-15.5480534703908</v>
      </c>
    </row>
    <row r="1180" spans="1:7">
      <c r="A1180" s="6">
        <v>77624711.66286911</v>
      </c>
      <c r="B1180" s="6">
        <v>1.809493774429719E-07</v>
      </c>
      <c r="C1180" s="6">
        <v>1.809493774429719E-07</v>
      </c>
      <c r="D1180" s="6">
        <v>1.809493774429719E-07</v>
      </c>
      <c r="E1180" s="7">
        <v>-14.84885813490089</v>
      </c>
      <c r="F1180" s="7">
        <v>-14.84885813490089</v>
      </c>
      <c r="G1180" s="7">
        <v>-14.84885813490089</v>
      </c>
    </row>
    <row r="1181" spans="1:7">
      <c r="A1181" s="6">
        <v>78523563.46100727</v>
      </c>
      <c r="B1181" s="6">
        <v>1.960150040072196E-07</v>
      </c>
      <c r="C1181" s="6">
        <v>1.960150040072196E-07</v>
      </c>
      <c r="D1181" s="6">
        <v>1.960150040072196E-07</v>
      </c>
      <c r="E1181" s="7">
        <v>-14.15421368428423</v>
      </c>
      <c r="F1181" s="7">
        <v>-14.15421368428423</v>
      </c>
      <c r="G1181" s="7">
        <v>-14.15421368428423</v>
      </c>
    </row>
    <row r="1182" spans="1:7">
      <c r="A1182" s="6">
        <v>79432823.47242822</v>
      </c>
      <c r="B1182" s="6">
        <v>2.122273496062765E-07</v>
      </c>
      <c r="C1182" s="6">
        <v>2.122273496062765E-07</v>
      </c>
      <c r="D1182" s="6">
        <v>2.122273496062765E-07</v>
      </c>
      <c r="E1182" s="7">
        <v>-13.46397299137839</v>
      </c>
      <c r="F1182" s="7">
        <v>-13.46397299137839</v>
      </c>
      <c r="G1182" s="7">
        <v>-13.46397299137839</v>
      </c>
    </row>
    <row r="1183" spans="1:7">
      <c r="A1183" s="6">
        <v>80352612.21856177</v>
      </c>
      <c r="B1183" s="6">
        <v>2.296678491591987E-07</v>
      </c>
      <c r="C1183" s="6">
        <v>2.296678491591987E-07</v>
      </c>
      <c r="D1183" s="6">
        <v>2.296678491591987E-07</v>
      </c>
      <c r="E1183" s="7">
        <v>-12.7779959350222</v>
      </c>
      <c r="F1183" s="7">
        <v>-12.7779959350222</v>
      </c>
      <c r="G1183" s="7">
        <v>-12.7779959350222</v>
      </c>
    </row>
    <row r="1184" spans="1:7">
      <c r="A1184" s="6">
        <v>81283051.61640996</v>
      </c>
      <c r="B1184" s="6">
        <v>2.484234295575804E-07</v>
      </c>
      <c r="C1184" s="6">
        <v>2.484234295575804E-07</v>
      </c>
      <c r="D1184" s="6">
        <v>2.484234295575804E-07</v>
      </c>
      <c r="E1184" s="7">
        <v>-12.0961489390136</v>
      </c>
      <c r="F1184" s="7">
        <v>-12.0961489390136</v>
      </c>
      <c r="G1184" s="7">
        <v>-12.0961489390136</v>
      </c>
    </row>
    <row r="1185" spans="1:7">
      <c r="A1185" s="6">
        <v>82224264.99470712</v>
      </c>
      <c r="B1185" s="6">
        <v>2.685868665806049E-07</v>
      </c>
      <c r="C1185" s="6">
        <v>2.685868665806049E-07</v>
      </c>
      <c r="D1185" s="6">
        <v>2.685868665806049E-07</v>
      </c>
      <c r="E1185" s="7">
        <v>-11.41830454749511</v>
      </c>
      <c r="F1185" s="7">
        <v>-11.41830454749511</v>
      </c>
      <c r="G1185" s="7">
        <v>-11.41830454749511</v>
      </c>
    </row>
    <row r="1186" spans="1:7">
      <c r="A1186" s="6">
        <v>83176377.11026709</v>
      </c>
      <c r="B1186" s="6">
        <v>2.902571644836515E-07</v>
      </c>
      <c r="C1186" s="6">
        <v>2.902571644836515E-07</v>
      </c>
      <c r="D1186" s="6">
        <v>2.902571644836515E-07</v>
      </c>
      <c r="E1186" s="7">
        <v>-10.74434103335095</v>
      </c>
      <c r="F1186" s="7">
        <v>-10.74434103335095</v>
      </c>
      <c r="G1186" s="7">
        <v>-10.74434103335095</v>
      </c>
    </row>
    <row r="1187" spans="1:7">
      <c r="A1187" s="6">
        <v>84139514.16451947</v>
      </c>
      <c r="B1187" s="6">
        <v>3.135399596898582E-07</v>
      </c>
      <c r="C1187" s="6">
        <v>3.135399596898582E-07</v>
      </c>
      <c r="D1187" s="6">
        <v>3.135399596898582E-07</v>
      </c>
      <c r="E1187" s="7">
        <v>-10.07414203657706</v>
      </c>
      <c r="F1187" s="7">
        <v>-10.07414203657706</v>
      </c>
      <c r="G1187" s="7">
        <v>-10.07414203657706</v>
      </c>
    </row>
    <row r="1188" spans="1:7">
      <c r="A1188" s="6">
        <v>85113803.82023759</v>
      </c>
      <c r="B1188" s="6">
        <v>3.385479501045292E-07</v>
      </c>
      <c r="C1188" s="6">
        <v>3.385479501045292E-07</v>
      </c>
      <c r="D1188" s="6">
        <v>3.385479501045292E-07</v>
      </c>
      <c r="E1188" s="7">
        <v>-9.407596229916376</v>
      </c>
      <c r="F1188" s="7">
        <v>-9.407596229916376</v>
      </c>
      <c r="G1188" s="7">
        <v>-9.407596229916376</v>
      </c>
    </row>
    <row r="1189" spans="1:7">
      <c r="A1189" s="6">
        <v>86099375.21846016</v>
      </c>
      <c r="B1189" s="6">
        <v>3.65401351668529E-07</v>
      </c>
      <c r="C1189" s="6">
        <v>3.65401351668529E-07</v>
      </c>
      <c r="D1189" s="6">
        <v>3.65401351668529E-07</v>
      </c>
      <c r="E1189" s="7">
        <v>-8.744597009341334</v>
      </c>
      <c r="F1189" s="7">
        <v>-8.744597009341334</v>
      </c>
      <c r="G1189" s="7">
        <v>-8.744597009341334</v>
      </c>
    </row>
    <row r="1190" spans="1:7">
      <c r="A1190" s="6">
        <v>87096358.99560814</v>
      </c>
      <c r="B1190" s="6">
        <v>3.942283838690861E-07</v>
      </c>
      <c r="C1190" s="6">
        <v>3.942283838690861E-07</v>
      </c>
      <c r="D1190" s="6">
        <v>3.942283838690861E-07</v>
      </c>
      <c r="E1190" s="7">
        <v>-8.085042207222481</v>
      </c>
      <c r="F1190" s="7">
        <v>-8.085042207222481</v>
      </c>
      <c r="G1190" s="7">
        <v>-8.085042207222481</v>
      </c>
    </row>
    <row r="1191" spans="1:7">
      <c r="A1191" s="6">
        <v>88104887.30080147</v>
      </c>
      <c r="B1191" s="6">
        <v>4.251657860353468E-07</v>
      </c>
      <c r="C1191" s="6">
        <v>4.251657860353468E-07</v>
      </c>
      <c r="D1191" s="6">
        <v>4.251657860353468E-07</v>
      </c>
      <c r="E1191" s="7">
        <v>-7.428833826243936</v>
      </c>
      <c r="F1191" s="7">
        <v>-7.428833826243936</v>
      </c>
      <c r="G1191" s="7">
        <v>-7.428833826243936</v>
      </c>
    </row>
    <row r="1192" spans="1:7">
      <c r="A1192" s="6">
        <v>89125093.81337459</v>
      </c>
      <c r="B1192" s="6">
        <v>4.58359366361516E-07</v>
      </c>
      <c r="C1192" s="6">
        <v>4.58359366361516E-07</v>
      </c>
      <c r="D1192" s="6">
        <v>4.58359366361516E-07</v>
      </c>
      <c r="E1192" s="7">
        <v>-6.775877792329622</v>
      </c>
      <c r="F1192" s="7">
        <v>-6.775877792329622</v>
      </c>
      <c r="G1192" s="7">
        <v>-6.775877792329622</v>
      </c>
    </row>
    <row r="1193" spans="1:7">
      <c r="A1193" s="6">
        <v>90157113.76059571</v>
      </c>
      <c r="B1193" s="6">
        <v>4.93964585723549E-07</v>
      </c>
      <c r="C1193" s="6">
        <v>4.93964585723549E-07</v>
      </c>
      <c r="D1193" s="6">
        <v>4.93964585723549E-07</v>
      </c>
      <c r="E1193" s="7">
        <v>-6.12608372501551</v>
      </c>
      <c r="F1193" s="7">
        <v>-6.12608372501551</v>
      </c>
      <c r="G1193" s="7">
        <v>-6.12608372501551</v>
      </c>
    </row>
    <row r="1194" spans="1:7">
      <c r="A1194" s="6">
        <v>91201083.93559097</v>
      </c>
      <c r="B1194" s="6">
        <v>5.321471784859511E-07</v>
      </c>
      <c r="C1194" s="6">
        <v>5.321471784859511E-07</v>
      </c>
      <c r="D1194" s="6">
        <v>5.321471784859511E-07</v>
      </c>
      <c r="E1194" s="7">
        <v>-5.479364723861293</v>
      </c>
      <c r="F1194" s="7">
        <v>-5.479364723861293</v>
      </c>
      <c r="G1194" s="7">
        <v>-5.479364723861293</v>
      </c>
    </row>
    <row r="1195" spans="1:7">
      <c r="A1195" s="6">
        <v>92257142.71547629</v>
      </c>
      <c r="B1195" s="6">
        <v>5.730838126341633E-07</v>
      </c>
      <c r="C1195" s="6">
        <v>5.730838126341633E-07</v>
      </c>
      <c r="D1195" s="6">
        <v>5.730838126341633E-07</v>
      </c>
      <c r="E1195" s="7">
        <v>-4.835637169632118</v>
      </c>
      <c r="F1195" s="7">
        <v>-4.835637169632118</v>
      </c>
      <c r="G1195" s="7">
        <v>-4.835637169632118</v>
      </c>
    </row>
    <row r="1196" spans="1:7">
      <c r="A1196" s="6">
        <v>93325430.07969905</v>
      </c>
      <c r="B1196" s="6">
        <v>6.169627917156199E-07</v>
      </c>
      <c r="C1196" s="6">
        <v>6.169627917156199E-07</v>
      </c>
      <c r="D1196" s="6">
        <v>6.169627917156199E-07</v>
      </c>
      <c r="E1196" s="7">
        <v>-4.194820539103499</v>
      </c>
      <c r="F1196" s="7">
        <v>-4.194820539103499</v>
      </c>
      <c r="G1196" s="7">
        <v>-4.194820539103499</v>
      </c>
    </row>
    <row r="1197" spans="1:7">
      <c r="A1197" s="6">
        <v>94406087.62859245</v>
      </c>
      <c r="B1197" s="6">
        <v>6.639848012294019E-07</v>
      </c>
      <c r="C1197" s="6">
        <v>6.639848012294019E-07</v>
      </c>
      <c r="D1197" s="6">
        <v>6.639848012294019E-07</v>
      </c>
      <c r="E1197" s="7">
        <v>-3.556837232451342</v>
      </c>
      <c r="F1197" s="7">
        <v>-3.556837232451342</v>
      </c>
      <c r="G1197" s="7">
        <v>-3.556837232451342</v>
      </c>
    </row>
    <row r="1198" spans="1:7">
      <c r="A1198" s="6">
        <v>95499258.60214369</v>
      </c>
      <c r="B1198" s="6">
        <v>7.143637022710118E-07</v>
      </c>
      <c r="C1198" s="6">
        <v>7.143637022710118E-07</v>
      </c>
      <c r="D1198" s="6">
        <v>7.143637022710118E-07</v>
      </c>
      <c r="E1198" s="7">
        <v>-2.921612412286347</v>
      </c>
      <c r="F1198" s="7">
        <v>-2.921612412286347</v>
      </c>
      <c r="G1198" s="7">
        <v>-2.921612412286347</v>
      </c>
    </row>
    <row r="1199" spans="1:7">
      <c r="A1199" s="6">
        <v>96605087.89898141</v>
      </c>
      <c r="B1199" s="6">
        <v>7.683273754160489E-07</v>
      </c>
      <c r="C1199" s="6">
        <v>7.683273754160489E-07</v>
      </c>
      <c r="D1199" s="6">
        <v>7.683273754160489E-07</v>
      </c>
      <c r="E1199" s="7">
        <v>-2.28907385347555</v>
      </c>
      <c r="F1199" s="7">
        <v>-2.28907385347555</v>
      </c>
      <c r="G1199" s="7">
        <v>-2.28907385347555</v>
      </c>
    </row>
    <row r="1200" spans="1:7">
      <c r="A1200" s="6">
        <v>97723722.09558111</v>
      </c>
      <c r="B1200" s="6">
        <v>8.261186180144914E-07</v>
      </c>
      <c r="C1200" s="6">
        <v>8.261186180144914E-07</v>
      </c>
      <c r="D1200" s="6">
        <v>8.261186180144914E-07</v>
      </c>
      <c r="E1200" s="7">
        <v>-1.659151802973067</v>
      </c>
      <c r="F1200" s="7">
        <v>-1.659151802973067</v>
      </c>
      <c r="G1200" s="7">
        <v>-1.659151802973067</v>
      </c>
    </row>
    <row r="1201" spans="1:7">
      <c r="A1201" s="6">
        <v>98855309.46569391</v>
      </c>
      <c r="B1201" s="6">
        <v>8.879960982676111E-07</v>
      </c>
      <c r="C1201" s="6">
        <v>8.879960982676111E-07</v>
      </c>
      <c r="D1201" s="6">
        <v>8.879960982676111E-07</v>
      </c>
      <c r="E1201" s="7">
        <v>-1.031778848945302</v>
      </c>
      <c r="F1201" s="7">
        <v>-1.031778848945302</v>
      </c>
      <c r="G1201" s="7">
        <v>-1.031778848945302</v>
      </c>
    </row>
    <row r="1202" spans="1:7">
      <c r="A1202" s="6">
        <v>100000000</v>
      </c>
      <c r="B1202" s="6">
        <v>9.542353696721878E-07</v>
      </c>
      <c r="C1202" s="6">
        <v>9.542353696721878E-07</v>
      </c>
      <c r="D1202" s="6">
        <v>9.542353696721878E-07</v>
      </c>
      <c r="E1202" s="7">
        <v>-0.4068897985355271</v>
      </c>
      <c r="F1202" s="7">
        <v>-0.4068897985355271</v>
      </c>
      <c r="G1202" s="7">
        <v>-0.4068897985355271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19"/>
  <sheetViews>
    <sheetView workbookViewId="0"/>
  </sheetViews>
  <sheetFormatPr defaultRowHeight="15"/>
  <cols>
    <col min="1" max="1" width="13.7109375" customWidth="1"/>
    <col min="2" max="8" width="17.7109375" customWidth="1"/>
  </cols>
  <sheetData>
    <row r="1" spans="1:8">
      <c r="A1" s="1" t="s">
        <v>148</v>
      </c>
    </row>
    <row r="3" spans="1:8">
      <c r="A3" t="s">
        <v>149</v>
      </c>
      <c r="B3" s="6">
        <v>2.791011866065674E-11</v>
      </c>
    </row>
    <row r="4" spans="1:8">
      <c r="A4" t="s">
        <v>150</v>
      </c>
      <c r="B4" s="6">
        <v>2.305569693658504E-12</v>
      </c>
    </row>
    <row r="5" spans="1:8">
      <c r="A5" t="s">
        <v>151</v>
      </c>
      <c r="B5" s="6">
        <v>41209751.9097361</v>
      </c>
    </row>
    <row r="7" spans="1:8">
      <c r="A7" s="4" t="s">
        <v>107</v>
      </c>
      <c r="B7" s="4" t="s">
        <v>152</v>
      </c>
      <c r="C7" s="4" t="s">
        <v>153</v>
      </c>
      <c r="D7" s="4" t="s">
        <v>154</v>
      </c>
      <c r="E7" s="4" t="s">
        <v>155</v>
      </c>
      <c r="F7" s="4" t="s">
        <v>156</v>
      </c>
      <c r="G7" s="4" t="s">
        <v>157</v>
      </c>
      <c r="H7" s="4" t="s">
        <v>158</v>
      </c>
    </row>
    <row r="8" spans="1:8">
      <c r="A8" s="6">
        <v>100</v>
      </c>
      <c r="B8" s="6">
        <v>0.9877480483058603</v>
      </c>
      <c r="C8" s="6">
        <v>0.987748048305859</v>
      </c>
      <c r="D8" s="6">
        <v>0.9877480483058597</v>
      </c>
      <c r="E8" s="6">
        <v>0.9877480483058596</v>
      </c>
      <c r="F8" s="6">
        <v>119.8929236046129</v>
      </c>
      <c r="G8" s="6">
        <v>119.8929236046129</v>
      </c>
      <c r="H8" s="6">
        <v>0</v>
      </c>
    </row>
    <row r="9" spans="1:8">
      <c r="A9" s="6">
        <v>398.1071705535004</v>
      </c>
      <c r="B9" s="6">
        <v>0.9894567608518138</v>
      </c>
      <c r="C9" s="6">
        <v>0.9894567608518413</v>
      </c>
      <c r="D9" s="6">
        <v>0.9894567608518275</v>
      </c>
      <c r="E9" s="6">
        <v>0.9894567608518108</v>
      </c>
      <c r="F9" s="6">
        <v>119.9079364067501</v>
      </c>
      <c r="G9" s="6">
        <v>119.90793640675</v>
      </c>
      <c r="H9" s="6">
        <v>-1.4210854715202E-13</v>
      </c>
    </row>
    <row r="10" spans="1:8">
      <c r="A10" s="6">
        <v>1000.000000000013</v>
      </c>
      <c r="B10" s="6">
        <v>0.9992144563792792</v>
      </c>
      <c r="C10" s="6">
        <v>0.9992144563792377</v>
      </c>
      <c r="D10" s="6">
        <v>0.9992144563792584</v>
      </c>
      <c r="E10" s="6">
        <v>0.9992144563792885</v>
      </c>
      <c r="F10" s="6">
        <v>119.993174173461</v>
      </c>
      <c r="G10" s="6">
        <v>119.9931741734612</v>
      </c>
      <c r="H10" s="6">
        <v>2.415845301584341E-13</v>
      </c>
    </row>
    <row r="11" spans="1:8">
      <c r="A11" s="6">
        <v>10000.00000000027</v>
      </c>
      <c r="B11" s="6">
        <v>1.675000166783077</v>
      </c>
      <c r="C11" s="6">
        <v>1.675000166785057</v>
      </c>
      <c r="D11" s="6">
        <v>1.675000166784067</v>
      </c>
      <c r="E11" s="6">
        <v>1.675000166785023</v>
      </c>
      <c r="F11" s="6">
        <v>124.4802970923337</v>
      </c>
      <c r="G11" s="6">
        <v>124.4802970923386</v>
      </c>
      <c r="H11" s="6">
        <v>4.959588295605499E-12</v>
      </c>
    </row>
    <row r="12" spans="1:8">
      <c r="A12" s="6">
        <v>100000.000000004</v>
      </c>
      <c r="B12" s="6">
        <v>0.00328739748813907</v>
      </c>
      <c r="C12" s="6">
        <v>0.003287397488114925</v>
      </c>
      <c r="D12" s="6">
        <v>0.003287397488126998</v>
      </c>
      <c r="E12" s="6">
        <v>0.003287397488126949</v>
      </c>
      <c r="F12" s="6">
        <v>70.33704437955377</v>
      </c>
      <c r="G12" s="6">
        <v>70.33704437955365</v>
      </c>
      <c r="H12" s="6">
        <v>-1.27897692436818E-13</v>
      </c>
    </row>
    <row r="13" spans="1:8">
      <c r="A13" s="6">
        <v>1000000.000000053</v>
      </c>
      <c r="B13" s="6">
        <v>1.384278901626061E-07</v>
      </c>
      <c r="C13" s="6">
        <v>1.384278899865453E-07</v>
      </c>
      <c r="D13" s="6">
        <v>1.384278900745757E-07</v>
      </c>
      <c r="E13" s="6">
        <v>1.384278900745793E-07</v>
      </c>
      <c r="F13" s="6">
        <v>-17.1755280118614</v>
      </c>
      <c r="G13" s="6">
        <v>-17.17552801186118</v>
      </c>
      <c r="H13" s="6">
        <v>2.273736754432321E-13</v>
      </c>
    </row>
    <row r="14" spans="1:8">
      <c r="A14" s="6">
        <v>10000000.00000066</v>
      </c>
      <c r="B14" s="6">
        <v>3.652241606347104E-11</v>
      </c>
      <c r="C14" s="6">
        <v>3.652241624869948E-11</v>
      </c>
      <c r="D14" s="6">
        <v>3.65224161560705E-11</v>
      </c>
      <c r="E14" s="6">
        <v>3.652241615606427E-11</v>
      </c>
      <c r="F14" s="6">
        <v>-88.74880998500075</v>
      </c>
      <c r="G14" s="6">
        <v>-88.74880998500223</v>
      </c>
      <c r="H14" s="6">
        <v>-1.477928890381008E-12</v>
      </c>
    </row>
    <row r="15" spans="1:8">
      <c r="A15" s="6">
        <v>100000000</v>
      </c>
      <c r="B15" s="6">
        <v>9.542353697321386E-07</v>
      </c>
      <c r="C15" s="6">
        <v>9.542353696122799E-07</v>
      </c>
      <c r="D15" s="6">
        <v>9.542353696722094E-07</v>
      </c>
      <c r="E15" s="6">
        <v>9.542353696721878E-07</v>
      </c>
      <c r="F15" s="6">
        <v>-0.4068897985353321</v>
      </c>
      <c r="G15" s="6">
        <v>-0.4068897985355271</v>
      </c>
      <c r="H15" s="6">
        <v>-1.9506618542664E-13</v>
      </c>
    </row>
    <row r="18" spans="1:4">
      <c r="A18" s="4" t="s">
        <v>107</v>
      </c>
      <c r="B18" s="4" t="s">
        <v>156</v>
      </c>
      <c r="C18" s="4" t="s">
        <v>157</v>
      </c>
      <c r="D18" s="4" t="s">
        <v>159</v>
      </c>
    </row>
    <row r="19" spans="1:4">
      <c r="A19" s="6">
        <v>100</v>
      </c>
      <c r="B19" s="7">
        <v>119.8929236046129</v>
      </c>
      <c r="C19" s="7">
        <v>119.8929236046129</v>
      </c>
      <c r="D19" s="6">
        <v>0</v>
      </c>
    </row>
    <row r="20" spans="1:4">
      <c r="A20" s="6">
        <v>101.1579454259899</v>
      </c>
      <c r="B20" s="7">
        <v>119.8929471480622</v>
      </c>
      <c r="C20" s="7">
        <v>119.8929471480621</v>
      </c>
      <c r="D20" s="6">
        <v>-7.105427357601002E-14</v>
      </c>
    </row>
    <row r="21" spans="1:4">
      <c r="A21" s="6">
        <v>102.3292992280754</v>
      </c>
      <c r="B21" s="7">
        <v>119.8929712399303</v>
      </c>
      <c r="C21" s="7">
        <v>119.8929712399302</v>
      </c>
      <c r="D21" s="6">
        <v>-7.105427357601002E-14</v>
      </c>
    </row>
    <row r="22" spans="1:4">
      <c r="A22" s="6">
        <v>103.5142166679344</v>
      </c>
      <c r="B22" s="7">
        <v>119.8929958929926</v>
      </c>
      <c r="C22" s="7">
        <v>119.8929958929925</v>
      </c>
      <c r="D22" s="6">
        <v>-9.947598300641403E-14</v>
      </c>
    </row>
    <row r="23" spans="1:4">
      <c r="A23" s="6">
        <v>104.71285480509</v>
      </c>
      <c r="B23" s="7">
        <v>119.8930211203218</v>
      </c>
      <c r="C23" s="7">
        <v>119.8930211203219</v>
      </c>
      <c r="D23" s="6">
        <v>7.105427357601002E-14</v>
      </c>
    </row>
    <row r="24" spans="1:4">
      <c r="A24" s="6">
        <v>105.9253725177289</v>
      </c>
      <c r="B24" s="7">
        <v>119.8930469352962</v>
      </c>
      <c r="C24" s="7">
        <v>119.893046935296</v>
      </c>
      <c r="D24" s="6">
        <v>-1.56319401867222E-13</v>
      </c>
    </row>
    <row r="25" spans="1:4">
      <c r="A25" s="6">
        <v>107.1519305237607</v>
      </c>
      <c r="B25" s="7">
        <v>119.8930733516038</v>
      </c>
      <c r="C25" s="7">
        <v>119.8930733516039</v>
      </c>
      <c r="D25" s="6">
        <v>9.947598300641403E-14</v>
      </c>
    </row>
    <row r="26" spans="1:4">
      <c r="A26" s="6">
        <v>108.3926914021204</v>
      </c>
      <c r="B26" s="7">
        <v>119.8931003832538</v>
      </c>
      <c r="C26" s="7">
        <v>119.8931003832538</v>
      </c>
      <c r="D26" s="6">
        <v>0</v>
      </c>
    </row>
    <row r="27" spans="1:4">
      <c r="A27" s="6">
        <v>109.6478196143185</v>
      </c>
      <c r="B27" s="7">
        <v>119.8931280445801</v>
      </c>
      <c r="C27" s="7">
        <v>119.89312804458</v>
      </c>
      <c r="D27" s="6">
        <v>-5.684341886080801E-14</v>
      </c>
    </row>
    <row r="28" spans="1:4">
      <c r="A28" s="6">
        <v>110.9174815262402</v>
      </c>
      <c r="B28" s="7">
        <v>119.893156350251</v>
      </c>
      <c r="C28" s="7">
        <v>119.8931563502509</v>
      </c>
      <c r="D28" s="6">
        <v>-1.13686837721616E-13</v>
      </c>
    </row>
    <row r="29" spans="1:4">
      <c r="A29" s="6">
        <v>112.2018454301964</v>
      </c>
      <c r="B29" s="7">
        <v>119.8931853152767</v>
      </c>
      <c r="C29" s="7">
        <v>119.8931853152767</v>
      </c>
      <c r="D29" s="6">
        <v>4.263256414560601E-14</v>
      </c>
    </row>
    <row r="30" spans="1:4">
      <c r="A30" s="6">
        <v>113.5010815672316</v>
      </c>
      <c r="B30" s="7">
        <v>119.8932149550171</v>
      </c>
      <c r="C30" s="7">
        <v>119.8932149550171</v>
      </c>
      <c r="D30" s="6">
        <v>1.4210854715202E-14</v>
      </c>
    </row>
    <row r="31" spans="1:4">
      <c r="A31" s="6">
        <v>114.8153621496884</v>
      </c>
      <c r="B31" s="7">
        <v>119.89324528519</v>
      </c>
      <c r="C31" s="7">
        <v>119.8932452851898</v>
      </c>
      <c r="D31" s="6">
        <v>-1.27897692436818E-13</v>
      </c>
    </row>
    <row r="32" spans="1:4">
      <c r="A32" s="6">
        <v>116.1448613840344</v>
      </c>
      <c r="B32" s="7">
        <v>119.8932763218789</v>
      </c>
      <c r="C32" s="7">
        <v>119.8932763218787</v>
      </c>
      <c r="D32" s="6">
        <v>-1.84741111297626E-13</v>
      </c>
    </row>
    <row r="33" spans="1:4">
      <c r="A33" s="6">
        <v>117.4897554939531</v>
      </c>
      <c r="B33" s="7">
        <v>119.8933080815424</v>
      </c>
      <c r="C33" s="7">
        <v>119.8933080815423</v>
      </c>
      <c r="D33" s="6">
        <v>-1.27897692436818E-13</v>
      </c>
    </row>
    <row r="34" spans="1:4">
      <c r="A34" s="6">
        <v>118.850222743702</v>
      </c>
      <c r="B34" s="7">
        <v>119.8933405810225</v>
      </c>
      <c r="C34" s="7">
        <v>119.8933405810226</v>
      </c>
      <c r="D34" s="6">
        <v>1.27897692436818E-13</v>
      </c>
    </row>
    <row r="35" spans="1:4">
      <c r="A35" s="6">
        <v>120.2264434617414</v>
      </c>
      <c r="B35" s="7">
        <v>119.8933738375541</v>
      </c>
      <c r="C35" s="7">
        <v>119.893373837554</v>
      </c>
      <c r="D35" s="6">
        <v>-5.684341886080801E-14</v>
      </c>
    </row>
    <row r="36" spans="1:4">
      <c r="A36" s="6">
        <v>121.6186000646369</v>
      </c>
      <c r="B36" s="7">
        <v>119.8934078687724</v>
      </c>
      <c r="C36" s="7">
        <v>119.8934078687724</v>
      </c>
      <c r="D36" s="6">
        <v>-4.263256414560601E-14</v>
      </c>
    </row>
    <row r="37" spans="1:4">
      <c r="A37" s="6">
        <v>123.0268770812383</v>
      </c>
      <c r="B37" s="7">
        <v>119.8934426927248</v>
      </c>
      <c r="C37" s="7">
        <v>119.8934426927246</v>
      </c>
      <c r="D37" s="6">
        <v>-1.4210854715202E-13</v>
      </c>
    </row>
    <row r="38" spans="1:4">
      <c r="A38" s="6">
        <v>124.4514611771387</v>
      </c>
      <c r="B38" s="7">
        <v>119.8934783278779</v>
      </c>
      <c r="C38" s="7">
        <v>119.8934783278779</v>
      </c>
      <c r="D38" s="6">
        <v>-5.684341886080801E-14</v>
      </c>
    </row>
    <row r="39" spans="1:4">
      <c r="A39" s="6">
        <v>125.8925411794169</v>
      </c>
      <c r="B39" s="7">
        <v>119.8935147931299</v>
      </c>
      <c r="C39" s="7">
        <v>119.8935147931298</v>
      </c>
      <c r="D39" s="6">
        <v>-1.70530256582424E-13</v>
      </c>
    </row>
    <row r="40" spans="1:4">
      <c r="A40" s="6">
        <v>127.3503081016663</v>
      </c>
      <c r="B40" s="7">
        <v>119.8935521078179</v>
      </c>
      <c r="C40" s="7">
        <v>119.893552107818</v>
      </c>
      <c r="D40" s="6">
        <v>8.526512829121202E-14</v>
      </c>
    </row>
    <row r="41" spans="1:4">
      <c r="A41" s="6">
        <v>128.8249551693136</v>
      </c>
      <c r="B41" s="7">
        <v>119.893590291731</v>
      </c>
      <c r="C41" s="7">
        <v>119.893590291731</v>
      </c>
      <c r="D41" s="6">
        <v>-4.263256414560601E-14</v>
      </c>
    </row>
    <row r="42" spans="1:4">
      <c r="A42" s="6">
        <v>130.3166778452301</v>
      </c>
      <c r="B42" s="7">
        <v>119.8936293651181</v>
      </c>
      <c r="C42" s="7">
        <v>119.8936293651181</v>
      </c>
      <c r="D42" s="6">
        <v>1.4210854715202E-14</v>
      </c>
    </row>
    <row r="43" spans="1:4">
      <c r="A43" s="6">
        <v>131.8256738556409</v>
      </c>
      <c r="B43" s="7">
        <v>119.8936693487007</v>
      </c>
      <c r="C43" s="7">
        <v>119.8936693487005</v>
      </c>
      <c r="D43" s="6">
        <v>-1.989519660128281E-13</v>
      </c>
    </row>
    <row r="44" spans="1:4">
      <c r="A44" s="6">
        <v>133.3521432163326</v>
      </c>
      <c r="B44" s="7">
        <v>119.8937102636824</v>
      </c>
      <c r="C44" s="7">
        <v>119.8937102636822</v>
      </c>
      <c r="D44" s="6">
        <v>-2.842170943040401E-13</v>
      </c>
    </row>
    <row r="45" spans="1:4">
      <c r="A45" s="6">
        <v>134.8962882591656</v>
      </c>
      <c r="B45" s="7">
        <v>119.8937521317612</v>
      </c>
      <c r="C45" s="7">
        <v>119.8937521317611</v>
      </c>
      <c r="D45" s="6">
        <v>-9.947598300641403E-14</v>
      </c>
    </row>
    <row r="46" spans="1:4">
      <c r="A46" s="6">
        <v>136.4583136588927</v>
      </c>
      <c r="B46" s="7">
        <v>119.8937949751408</v>
      </c>
      <c r="C46" s="7">
        <v>119.8937949751408</v>
      </c>
      <c r="D46" s="6">
        <v>-8.526512829121202E-14</v>
      </c>
    </row>
    <row r="47" spans="1:4">
      <c r="A47" s="6">
        <v>138.0384264602887</v>
      </c>
      <c r="B47" s="7">
        <v>119.8938388165423</v>
      </c>
      <c r="C47" s="7">
        <v>119.8938388165421</v>
      </c>
      <c r="D47" s="6">
        <v>-1.13686837721616E-13</v>
      </c>
    </row>
    <row r="48" spans="1:4">
      <c r="A48" s="6">
        <v>139.636836105594</v>
      </c>
      <c r="B48" s="7">
        <v>119.8938836792155</v>
      </c>
      <c r="C48" s="7">
        <v>119.8938836792155</v>
      </c>
      <c r="D48" s="6">
        <v>-2.842170943040401E-14</v>
      </c>
    </row>
    <row r="49" spans="1:4">
      <c r="A49" s="6">
        <v>141.2537544622757</v>
      </c>
      <c r="B49" s="7">
        <v>119.8939295869529</v>
      </c>
      <c r="C49" s="7">
        <v>119.8939295869527</v>
      </c>
      <c r="D49" s="6">
        <v>-2.273736754432321E-13</v>
      </c>
    </row>
    <row r="50" spans="1:4">
      <c r="A50" s="6">
        <v>142.8893958511106</v>
      </c>
      <c r="B50" s="7">
        <v>119.8939765641002</v>
      </c>
      <c r="C50" s="7">
        <v>119.8939765641002</v>
      </c>
      <c r="D50" s="6">
        <v>0</v>
      </c>
    </row>
    <row r="51" spans="1:4">
      <c r="A51" s="6">
        <v>144.543977074593</v>
      </c>
      <c r="B51" s="7">
        <v>119.8940246355715</v>
      </c>
      <c r="C51" s="7">
        <v>119.8940246355716</v>
      </c>
      <c r="D51" s="6">
        <v>9.947598300641403E-14</v>
      </c>
    </row>
    <row r="52" spans="1:4">
      <c r="A52" s="6">
        <v>146.2177174456721</v>
      </c>
      <c r="B52" s="7">
        <v>119.8940738268609</v>
      </c>
      <c r="C52" s="7">
        <v>119.894073826861</v>
      </c>
      <c r="D52" s="6">
        <v>9.947598300641403E-14</v>
      </c>
    </row>
    <row r="53" spans="1:4">
      <c r="A53" s="6">
        <v>147.9108388168211</v>
      </c>
      <c r="B53" s="7">
        <v>119.8941241640566</v>
      </c>
      <c r="C53" s="7">
        <v>119.8941241640566</v>
      </c>
      <c r="D53" s="6">
        <v>0</v>
      </c>
    </row>
    <row r="54" spans="1:4">
      <c r="A54" s="6">
        <v>149.6235656094437</v>
      </c>
      <c r="B54" s="7">
        <v>119.8941756738544</v>
      </c>
      <c r="C54" s="7">
        <v>119.8941756738542</v>
      </c>
      <c r="D54" s="6">
        <v>-1.4210854715202E-13</v>
      </c>
    </row>
    <row r="55" spans="1:4">
      <c r="A55" s="6">
        <v>151.3561248436212</v>
      </c>
      <c r="B55" s="7">
        <v>119.8942283835723</v>
      </c>
      <c r="C55" s="7">
        <v>119.8942283835721</v>
      </c>
      <c r="D55" s="6">
        <v>-1.989519660128281E-13</v>
      </c>
    </row>
    <row r="56" spans="1:4">
      <c r="A56" s="6">
        <v>153.1087461682034</v>
      </c>
      <c r="B56" s="7">
        <v>119.8942823211648</v>
      </c>
      <c r="C56" s="7">
        <v>119.8942823211646</v>
      </c>
      <c r="D56" s="6">
        <v>-1.989519660128281E-13</v>
      </c>
    </row>
    <row r="57" spans="1:4">
      <c r="A57" s="6">
        <v>154.8816618912485</v>
      </c>
      <c r="B57" s="7">
        <v>119.8943375152379</v>
      </c>
      <c r="C57" s="7">
        <v>119.8943375152379</v>
      </c>
      <c r="D57" s="6">
        <v>-2.842170943040401E-14</v>
      </c>
    </row>
    <row r="58" spans="1:4">
      <c r="A58" s="6">
        <v>156.6751070108153</v>
      </c>
      <c r="B58" s="7">
        <v>119.8943939950644</v>
      </c>
      <c r="C58" s="7">
        <v>119.8943939950644</v>
      </c>
      <c r="D58" s="6">
        <v>-2.842170943040401E-14</v>
      </c>
    </row>
    <row r="59" spans="1:4">
      <c r="A59" s="6">
        <v>158.4893192461118</v>
      </c>
      <c r="B59" s="7">
        <v>119.8944517905988</v>
      </c>
      <c r="C59" s="7">
        <v>119.8944517905987</v>
      </c>
      <c r="D59" s="6">
        <v>-9.947598300641403E-14</v>
      </c>
    </row>
    <row r="60" spans="1:4">
      <c r="A60" s="6">
        <v>160.3245390690046</v>
      </c>
      <c r="B60" s="7">
        <v>119.8945109324933</v>
      </c>
      <c r="C60" s="7">
        <v>119.8945109324934</v>
      </c>
      <c r="D60" s="6">
        <v>4.263256414560601E-14</v>
      </c>
    </row>
    <row r="61" spans="1:4">
      <c r="A61" s="6">
        <v>162.1810097358934</v>
      </c>
      <c r="B61" s="7">
        <v>119.8945714521155</v>
      </c>
      <c r="C61" s="7">
        <v>119.8945714521153</v>
      </c>
      <c r="D61" s="6">
        <v>-1.56319401867222E-13</v>
      </c>
    </row>
    <row r="62" spans="1:4">
      <c r="A62" s="6">
        <v>164.0589773199544</v>
      </c>
      <c r="B62" s="7">
        <v>119.8946333815622</v>
      </c>
      <c r="C62" s="7">
        <v>119.8946333815624</v>
      </c>
      <c r="D62" s="6">
        <v>1.989519660128281E-13</v>
      </c>
    </row>
    <row r="63" spans="1:4">
      <c r="A63" s="6">
        <v>165.9586907437566</v>
      </c>
      <c r="B63" s="7">
        <v>119.8946967536803</v>
      </c>
      <c r="C63" s="7">
        <v>119.8946967536802</v>
      </c>
      <c r="D63" s="6">
        <v>-1.56319401867222E-13</v>
      </c>
    </row>
    <row r="64" spans="1:4">
      <c r="A64" s="6">
        <v>167.8804018122565</v>
      </c>
      <c r="B64" s="7">
        <v>119.8947616020798</v>
      </c>
      <c r="C64" s="7">
        <v>119.8947616020799</v>
      </c>
      <c r="D64" s="6">
        <v>8.526512829121202E-14</v>
      </c>
    </row>
    <row r="65" spans="1:4">
      <c r="A65" s="6">
        <v>169.8243652461749</v>
      </c>
      <c r="B65" s="7">
        <v>119.8948279611557</v>
      </c>
      <c r="C65" s="7">
        <v>119.8948279611558</v>
      </c>
      <c r="D65" s="6">
        <v>1.27897692436818E-13</v>
      </c>
    </row>
    <row r="66" spans="1:4">
      <c r="A66" s="6">
        <v>171.7908387157593</v>
      </c>
      <c r="B66" s="7">
        <v>119.8948958661038</v>
      </c>
      <c r="C66" s="7">
        <v>119.8948958661039</v>
      </c>
      <c r="D66" s="6">
        <v>1.27897692436818E-13</v>
      </c>
    </row>
    <row r="67" spans="1:4">
      <c r="A67" s="6">
        <v>173.7800828749381</v>
      </c>
      <c r="B67" s="7">
        <v>119.8949653529401</v>
      </c>
      <c r="C67" s="7">
        <v>119.8949653529401</v>
      </c>
      <c r="D67" s="6">
        <v>0</v>
      </c>
    </row>
    <row r="68" spans="1:4">
      <c r="A68" s="6">
        <v>175.7923613958698</v>
      </c>
      <c r="B68" s="7">
        <v>119.8950364585198</v>
      </c>
      <c r="C68" s="7">
        <v>119.8950364585198</v>
      </c>
      <c r="D68" s="6">
        <v>-7.105427357601002E-14</v>
      </c>
    </row>
    <row r="69" spans="1:4">
      <c r="A69" s="6">
        <v>177.8279410038929</v>
      </c>
      <c r="B69" s="7">
        <v>119.8951092205571</v>
      </c>
      <c r="C69" s="7">
        <v>119.8951092205571</v>
      </c>
      <c r="D69" s="6">
        <v>-1.4210854715202E-14</v>
      </c>
    </row>
    <row r="70" spans="1:4">
      <c r="A70" s="6">
        <v>179.8870915128794</v>
      </c>
      <c r="B70" s="7">
        <v>119.8951836776454</v>
      </c>
      <c r="C70" s="7">
        <v>119.8951836776452</v>
      </c>
      <c r="D70" s="6">
        <v>-1.989519660128281E-13</v>
      </c>
    </row>
    <row r="71" spans="1:4">
      <c r="A71" s="6">
        <v>181.970085860999</v>
      </c>
      <c r="B71" s="7">
        <v>119.8952598692765</v>
      </c>
      <c r="C71" s="7">
        <v>119.8952598692765</v>
      </c>
      <c r="D71" s="6">
        <v>-4.263256414560601E-14</v>
      </c>
    </row>
    <row r="72" spans="1:4">
      <c r="A72" s="6">
        <v>184.0772001468962</v>
      </c>
      <c r="B72" s="7">
        <v>119.895337835864</v>
      </c>
      <c r="C72" s="7">
        <v>119.8953378358638</v>
      </c>
      <c r="D72" s="6">
        <v>-2.131628207280301E-13</v>
      </c>
    </row>
    <row r="73" spans="1:4">
      <c r="A73" s="6">
        <v>186.2087136662874</v>
      </c>
      <c r="B73" s="7">
        <v>119.8954176187621</v>
      </c>
      <c r="C73" s="7">
        <v>119.8954176187618</v>
      </c>
      <c r="D73" s="6">
        <v>-2.273736754432321E-13</v>
      </c>
    </row>
    <row r="74" spans="1:4">
      <c r="A74" s="6">
        <v>188.3649089489807</v>
      </c>
      <c r="B74" s="7">
        <v>119.8954992602889</v>
      </c>
      <c r="C74" s="7">
        <v>119.8954992602889</v>
      </c>
      <c r="D74" s="6">
        <v>5.684341886080801E-14</v>
      </c>
    </row>
    <row r="75" spans="1:4">
      <c r="A75" s="6">
        <v>190.5460717963254</v>
      </c>
      <c r="B75" s="7">
        <v>119.8955828037496</v>
      </c>
      <c r="C75" s="7">
        <v>119.8955828037497</v>
      </c>
      <c r="D75" s="6">
        <v>8.526512829121202E-14</v>
      </c>
    </row>
    <row r="76" spans="1:4">
      <c r="A76" s="6">
        <v>192.7524913190943</v>
      </c>
      <c r="B76" s="7">
        <v>119.8956682934582</v>
      </c>
      <c r="C76" s="7">
        <v>119.8956682934582</v>
      </c>
      <c r="D76" s="6">
        <v>2.842170943040401E-14</v>
      </c>
    </row>
    <row r="77" spans="1:4">
      <c r="A77" s="6">
        <v>194.9844599758053</v>
      </c>
      <c r="B77" s="7">
        <v>119.8957557747612</v>
      </c>
      <c r="C77" s="7">
        <v>119.8957557747609</v>
      </c>
      <c r="D77" s="6">
        <v>-2.842170943040401E-13</v>
      </c>
    </row>
    <row r="78" spans="1:4">
      <c r="A78" s="6">
        <v>197.2422736114862</v>
      </c>
      <c r="B78" s="7">
        <v>119.8958452940617</v>
      </c>
      <c r="C78" s="7">
        <v>119.8958452940615</v>
      </c>
      <c r="D78" s="6">
        <v>-1.989519660128281E-13</v>
      </c>
    </row>
    <row r="79" spans="1:4">
      <c r="A79" s="6">
        <v>199.5262314968888</v>
      </c>
      <c r="B79" s="7">
        <v>119.895936898845</v>
      </c>
      <c r="C79" s="7">
        <v>119.895936898845</v>
      </c>
      <c r="D79" s="6">
        <v>4.263256414560601E-14</v>
      </c>
    </row>
    <row r="80" spans="1:4">
      <c r="A80" s="6">
        <v>201.8366363681569</v>
      </c>
      <c r="B80" s="7">
        <v>119.896030637703</v>
      </c>
      <c r="C80" s="7">
        <v>119.8960306377031</v>
      </c>
      <c r="D80" s="6">
        <v>2.842170943040401E-14</v>
      </c>
    </row>
    <row r="81" spans="1:4">
      <c r="A81" s="6">
        <v>204.1737944669538</v>
      </c>
      <c r="B81" s="7">
        <v>119.8961265603601</v>
      </c>
      <c r="C81" s="7">
        <v>119.8961265603601</v>
      </c>
      <c r="D81" s="6">
        <v>-4.263256414560601E-14</v>
      </c>
    </row>
    <row r="82" spans="1:4">
      <c r="A82" s="6">
        <v>206.5380155810538</v>
      </c>
      <c r="B82" s="7">
        <v>119.8962247176994</v>
      </c>
      <c r="C82" s="7">
        <v>119.8962247176993</v>
      </c>
      <c r="D82" s="6">
        <v>-1.4210854715202E-13</v>
      </c>
    </row>
    <row r="83" spans="1:4">
      <c r="A83" s="6">
        <v>208.9296130854049</v>
      </c>
      <c r="B83" s="7">
        <v>119.8963251617901</v>
      </c>
      <c r="C83" s="7">
        <v>119.8963251617899</v>
      </c>
      <c r="D83" s="6">
        <v>-2.842170943040401E-13</v>
      </c>
    </row>
    <row r="84" spans="1:4">
      <c r="A84" s="6">
        <v>211.3489039836656</v>
      </c>
      <c r="B84" s="7">
        <v>119.8964279459148</v>
      </c>
      <c r="C84" s="7">
        <v>119.8964279459147</v>
      </c>
      <c r="D84" s="6">
        <v>-8.526512829121202E-14</v>
      </c>
    </row>
    <row r="85" spans="1:4">
      <c r="A85" s="6">
        <v>213.7962089502242</v>
      </c>
      <c r="B85" s="7">
        <v>119.8965331245986</v>
      </c>
      <c r="C85" s="7">
        <v>119.8965331245987</v>
      </c>
      <c r="D85" s="6">
        <v>2.842170943040401E-14</v>
      </c>
    </row>
    <row r="86" spans="1:4">
      <c r="A86" s="6">
        <v>216.271852372703</v>
      </c>
      <c r="B86" s="7">
        <v>119.8966407536372</v>
      </c>
      <c r="C86" s="7">
        <v>119.8966407536374</v>
      </c>
      <c r="D86" s="6">
        <v>1.84741111297626E-13</v>
      </c>
    </row>
    <row r="87" spans="1:4">
      <c r="A87" s="6">
        <v>218.7761623949562</v>
      </c>
      <c r="B87" s="7">
        <v>119.8967508901273</v>
      </c>
      <c r="C87" s="7">
        <v>119.8967508901272</v>
      </c>
      <c r="D87" s="6">
        <v>-9.947598300641403E-14</v>
      </c>
    </row>
    <row r="88" spans="1:4">
      <c r="A88" s="6">
        <v>221.3094709605648</v>
      </c>
      <c r="B88" s="7">
        <v>119.8968635924951</v>
      </c>
      <c r="C88" s="7">
        <v>119.8968635924953</v>
      </c>
      <c r="D88" s="6">
        <v>1.989519660128281E-13</v>
      </c>
    </row>
    <row r="89" spans="1:4">
      <c r="A89" s="6">
        <v>223.872113856835</v>
      </c>
      <c r="B89" s="7">
        <v>119.8969789205309</v>
      </c>
      <c r="C89" s="7">
        <v>119.8969789205308</v>
      </c>
      <c r="D89" s="6">
        <v>-1.4210854715202E-13</v>
      </c>
    </row>
    <row r="90" spans="1:4">
      <c r="A90" s="6">
        <v>226.464430759307</v>
      </c>
      <c r="B90" s="7">
        <v>119.8970969354166</v>
      </c>
      <c r="C90" s="7">
        <v>119.8970969354164</v>
      </c>
      <c r="D90" s="6">
        <v>-1.84741111297626E-13</v>
      </c>
    </row>
    <row r="91" spans="1:4">
      <c r="A91" s="6">
        <v>229.0867652767784</v>
      </c>
      <c r="B91" s="7">
        <v>119.8972176997614</v>
      </c>
      <c r="C91" s="7">
        <v>119.8972176997613</v>
      </c>
      <c r="D91" s="6">
        <v>-8.526512829121202E-14</v>
      </c>
    </row>
    <row r="92" spans="1:4">
      <c r="A92" s="6">
        <v>231.739464996849</v>
      </c>
      <c r="B92" s="7">
        <v>119.8973412776341</v>
      </c>
      <c r="C92" s="7">
        <v>119.897341277634</v>
      </c>
      <c r="D92" s="6">
        <v>-1.4210854715202E-13</v>
      </c>
    </row>
    <row r="93" spans="1:4">
      <c r="A93" s="6">
        <v>234.4228815319934</v>
      </c>
      <c r="B93" s="7">
        <v>119.8974677345964</v>
      </c>
      <c r="C93" s="7">
        <v>119.8974677345965</v>
      </c>
      <c r="D93" s="6">
        <v>7.105427357601002E-14</v>
      </c>
    </row>
    <row r="94" spans="1:4">
      <c r="A94" s="6">
        <v>237.1373705661667</v>
      </c>
      <c r="B94" s="7">
        <v>119.8975971377395</v>
      </c>
      <c r="C94" s="7">
        <v>119.8975971377394</v>
      </c>
      <c r="D94" s="6">
        <v>-9.947598300641403E-14</v>
      </c>
    </row>
    <row r="95" spans="1:4">
      <c r="A95" s="6">
        <v>239.8832919019503</v>
      </c>
      <c r="B95" s="7">
        <v>119.8977295557173</v>
      </c>
      <c r="C95" s="7">
        <v>119.8977295557171</v>
      </c>
      <c r="D95" s="6">
        <v>-1.70530256582424E-13</v>
      </c>
    </row>
    <row r="96" spans="1:4">
      <c r="A96" s="6">
        <v>242.6610095082428</v>
      </c>
      <c r="B96" s="7">
        <v>119.8978650587851</v>
      </c>
      <c r="C96" s="7">
        <v>119.8978650587848</v>
      </c>
      <c r="D96" s="6">
        <v>-3.268496584496461E-13</v>
      </c>
    </row>
    <row r="97" spans="1:4">
      <c r="A97" s="6">
        <v>245.4708915685043</v>
      </c>
      <c r="B97" s="7">
        <v>119.8980037188355</v>
      </c>
      <c r="C97" s="7">
        <v>119.8980037188353</v>
      </c>
      <c r="D97" s="6">
        <v>-1.989519660128281E-13</v>
      </c>
    </row>
    <row r="98" spans="1:4">
      <c r="A98" s="6">
        <v>248.3133105295584</v>
      </c>
      <c r="B98" s="7">
        <v>119.8981456094377</v>
      </c>
      <c r="C98" s="7">
        <v>119.8981456094378</v>
      </c>
      <c r="D98" s="6">
        <v>1.27897692436818E-13</v>
      </c>
    </row>
    <row r="99" spans="1:4">
      <c r="A99" s="6">
        <v>251.1886431509593</v>
      </c>
      <c r="B99" s="7">
        <v>119.8982908058767</v>
      </c>
      <c r="C99" s="7">
        <v>119.8982908058765</v>
      </c>
      <c r="D99" s="6">
        <v>-1.70530256582424E-13</v>
      </c>
    </row>
    <row r="100" spans="1:4">
      <c r="A100" s="6">
        <v>254.0972705549319</v>
      </c>
      <c r="B100" s="7">
        <v>119.898439385191</v>
      </c>
      <c r="C100" s="7">
        <v>119.898439385191</v>
      </c>
      <c r="D100" s="6">
        <v>0</v>
      </c>
    </row>
    <row r="101" spans="1:4">
      <c r="A101" s="6">
        <v>257.0395782768878</v>
      </c>
      <c r="B101" s="7">
        <v>119.898591426217</v>
      </c>
      <c r="C101" s="7">
        <v>119.898591426217</v>
      </c>
      <c r="D101" s="6">
        <v>-8.526512829121202E-14</v>
      </c>
    </row>
    <row r="102" spans="1:4">
      <c r="A102" s="6">
        <v>260.0159563165286</v>
      </c>
      <c r="B102" s="7">
        <v>119.8987470096285</v>
      </c>
      <c r="C102" s="7">
        <v>119.8987470096283</v>
      </c>
      <c r="D102" s="6">
        <v>-2.415845301584341E-13</v>
      </c>
    </row>
    <row r="103" spans="1:4">
      <c r="A103" s="6">
        <v>263.0267991895396</v>
      </c>
      <c r="B103" s="7">
        <v>119.8989062179798</v>
      </c>
      <c r="C103" s="7">
        <v>119.8989062179798</v>
      </c>
      <c r="D103" s="6">
        <v>0</v>
      </c>
    </row>
    <row r="104" spans="1:4">
      <c r="A104" s="6">
        <v>266.0725059798825</v>
      </c>
      <c r="B104" s="7">
        <v>119.8990691357515</v>
      </c>
      <c r="C104" s="7">
        <v>119.8990691357515</v>
      </c>
      <c r="D104" s="6">
        <v>1.4210854715202E-14</v>
      </c>
    </row>
    <row r="105" spans="1:4">
      <c r="A105" s="6">
        <v>269.1534803926931</v>
      </c>
      <c r="B105" s="7">
        <v>119.8992358493931</v>
      </c>
      <c r="C105" s="7">
        <v>119.8992358493929</v>
      </c>
      <c r="D105" s="6">
        <v>-1.84741111297626E-13</v>
      </c>
    </row>
    <row r="106" spans="1:4">
      <c r="A106" s="6">
        <v>272.2701308077928</v>
      </c>
      <c r="B106" s="7">
        <v>119.8994064473698</v>
      </c>
      <c r="C106" s="7">
        <v>119.8994064473697</v>
      </c>
      <c r="D106" s="6">
        <v>-2.842170943040401E-14</v>
      </c>
    </row>
    <row r="107" spans="1:4">
      <c r="A107" s="6">
        <v>275.4228703338183</v>
      </c>
      <c r="B107" s="7">
        <v>119.8995810202105</v>
      </c>
      <c r="C107" s="7">
        <v>119.8995810202103</v>
      </c>
      <c r="D107" s="6">
        <v>-1.989519660128281E-13</v>
      </c>
    </row>
    <row r="108" spans="1:4">
      <c r="A108" s="6">
        <v>278.6121168629787</v>
      </c>
      <c r="B108" s="7">
        <v>119.8997596605542</v>
      </c>
      <c r="C108" s="7">
        <v>119.8997596605542</v>
      </c>
      <c r="D108" s="6">
        <v>-4.263256414560601E-14</v>
      </c>
    </row>
    <row r="109" spans="1:4">
      <c r="A109" s="6">
        <v>281.8382931264471</v>
      </c>
      <c r="B109" s="7">
        <v>119.8999424632011</v>
      </c>
      <c r="C109" s="7">
        <v>119.8999424632012</v>
      </c>
      <c r="D109" s="6">
        <v>1.4210854715202E-13</v>
      </c>
    </row>
    <row r="110" spans="1:4">
      <c r="A110" s="6">
        <v>285.1018267503927</v>
      </c>
      <c r="B110" s="7">
        <v>119.900129525162</v>
      </c>
      <c r="C110" s="7">
        <v>119.900129525162</v>
      </c>
      <c r="D110" s="6">
        <v>-1.4210854715202E-14</v>
      </c>
    </row>
    <row r="111" spans="1:4">
      <c r="A111" s="6">
        <v>288.4031503126624</v>
      </c>
      <c r="B111" s="7">
        <v>119.9003209457097</v>
      </c>
      <c r="C111" s="7">
        <v>119.9003209457097</v>
      </c>
      <c r="D111" s="6">
        <v>1.4210854715202E-14</v>
      </c>
    </row>
    <row r="112" spans="1:4">
      <c r="A112" s="6">
        <v>291.7427014001185</v>
      </c>
      <c r="B112" s="7">
        <v>119.9005168264324</v>
      </c>
      <c r="C112" s="7">
        <v>119.9005168264326</v>
      </c>
      <c r="D112" s="6">
        <v>1.4210854715202E-13</v>
      </c>
    </row>
    <row r="113" spans="1:4">
      <c r="A113" s="6">
        <v>295.1209226666404</v>
      </c>
      <c r="B113" s="7">
        <v>119.9007172712882</v>
      </c>
      <c r="C113" s="7">
        <v>119.9007172712881</v>
      </c>
      <c r="D113" s="6">
        <v>-1.56319401867222E-13</v>
      </c>
    </row>
    <row r="114" spans="1:4">
      <c r="A114" s="6">
        <v>298.5382618917978</v>
      </c>
      <c r="B114" s="7">
        <v>119.9009223866586</v>
      </c>
      <c r="C114" s="7">
        <v>119.9009223866586</v>
      </c>
      <c r="D114" s="6">
        <v>-5.684341886080801E-14</v>
      </c>
    </row>
    <row r="115" spans="1:4">
      <c r="A115" s="6">
        <v>301.9951720402036</v>
      </c>
      <c r="B115" s="7">
        <v>119.9011322814074</v>
      </c>
      <c r="C115" s="7">
        <v>119.9011322814074</v>
      </c>
      <c r="D115" s="6">
        <v>0</v>
      </c>
    </row>
    <row r="116" spans="1:4">
      <c r="A116" s="6">
        <v>305.4921113215533</v>
      </c>
      <c r="B116" s="7">
        <v>119.9013470669375</v>
      </c>
      <c r="C116" s="7">
        <v>119.9013470669372</v>
      </c>
      <c r="D116" s="6">
        <v>-2.842170943040401E-13</v>
      </c>
    </row>
    <row r="117" spans="1:4">
      <c r="A117" s="6">
        <v>309.0295432513611</v>
      </c>
      <c r="B117" s="7">
        <v>119.9015668572493</v>
      </c>
      <c r="C117" s="7">
        <v>119.9015668572493</v>
      </c>
      <c r="D117" s="6">
        <v>-4.263256414560601E-14</v>
      </c>
    </row>
    <row r="118" spans="1:4">
      <c r="A118" s="6">
        <v>312.6079367123975</v>
      </c>
      <c r="B118" s="7">
        <v>119.9017917690038</v>
      </c>
      <c r="C118" s="7">
        <v>119.9017917690039</v>
      </c>
      <c r="D118" s="6">
        <v>5.684341886080801E-14</v>
      </c>
    </row>
    <row r="119" spans="1:4">
      <c r="A119" s="6">
        <v>316.2277660168401</v>
      </c>
      <c r="B119" s="7">
        <v>119.9020219215829</v>
      </c>
      <c r="C119" s="7">
        <v>119.9020219215827</v>
      </c>
      <c r="D119" s="6">
        <v>-1.84741111297626E-13</v>
      </c>
    </row>
    <row r="120" spans="1:4">
      <c r="A120" s="6">
        <v>319.889510969142</v>
      </c>
      <c r="B120" s="7">
        <v>119.9022574371524</v>
      </c>
      <c r="C120" s="7">
        <v>119.9022574371523</v>
      </c>
      <c r="D120" s="6">
        <v>-8.526512829121202E-14</v>
      </c>
    </row>
    <row r="121" spans="1:4">
      <c r="A121" s="6">
        <v>323.5936569296305</v>
      </c>
      <c r="B121" s="7">
        <v>119.9024984407293</v>
      </c>
      <c r="C121" s="7">
        <v>119.9024984407293</v>
      </c>
      <c r="D121" s="6">
        <v>-1.4210854715202E-14</v>
      </c>
    </row>
    <row r="122" spans="1:4">
      <c r="A122" s="6">
        <v>327.3406948788405</v>
      </c>
      <c r="B122" s="7">
        <v>119.9027450602466</v>
      </c>
      <c r="C122" s="7">
        <v>119.9027450602467</v>
      </c>
      <c r="D122" s="6">
        <v>1.4210854715202E-13</v>
      </c>
    </row>
    <row r="123" spans="1:4">
      <c r="A123" s="6">
        <v>331.1311214825934</v>
      </c>
      <c r="B123" s="7">
        <v>119.9029974266224</v>
      </c>
      <c r="C123" s="7">
        <v>119.9029974266223</v>
      </c>
      <c r="D123" s="6">
        <v>-1.27897692436818E-13</v>
      </c>
    </row>
    <row r="124" spans="1:4">
      <c r="A124" s="6">
        <v>334.96543915783</v>
      </c>
      <c r="B124" s="7">
        <v>119.9032556738284</v>
      </c>
      <c r="C124" s="7">
        <v>119.9032556738283</v>
      </c>
      <c r="D124" s="6">
        <v>-4.263256414560601E-14</v>
      </c>
    </row>
    <row r="125" spans="1:4">
      <c r="A125" s="6">
        <v>338.844156139205</v>
      </c>
      <c r="B125" s="7">
        <v>119.9035199389629</v>
      </c>
      <c r="C125" s="7">
        <v>119.9035199389628</v>
      </c>
      <c r="D125" s="6">
        <v>-7.105427357601002E-14</v>
      </c>
    </row>
    <row r="126" spans="1:4">
      <c r="A126" s="6">
        <v>342.7677865464528</v>
      </c>
      <c r="B126" s="7">
        <v>119.9037903623227</v>
      </c>
      <c r="C126" s="7">
        <v>119.9037903623227</v>
      </c>
      <c r="D126" s="6">
        <v>-5.684341886080801E-14</v>
      </c>
    </row>
    <row r="127" spans="1:4">
      <c r="A127" s="6">
        <v>346.7368504525341</v>
      </c>
      <c r="B127" s="7">
        <v>119.9040670874784</v>
      </c>
      <c r="C127" s="7">
        <v>119.9040670874784</v>
      </c>
      <c r="D127" s="6">
        <v>0</v>
      </c>
    </row>
    <row r="128" spans="1:4">
      <c r="A128" s="6">
        <v>350.7518739525705</v>
      </c>
      <c r="B128" s="7">
        <v>119.904350261351</v>
      </c>
      <c r="C128" s="7">
        <v>119.9043502613508</v>
      </c>
      <c r="D128" s="6">
        <v>-2.131628207280301E-13</v>
      </c>
    </row>
    <row r="129" spans="1:4">
      <c r="A129" s="6">
        <v>354.8133892335781</v>
      </c>
      <c r="B129" s="7">
        <v>119.9046400342891</v>
      </c>
      <c r="C129" s="7">
        <v>119.9046400342891</v>
      </c>
      <c r="D129" s="6">
        <v>-8.526512829121202E-14</v>
      </c>
    </row>
    <row r="130" spans="1:4">
      <c r="A130" s="6">
        <v>358.9219346450079</v>
      </c>
      <c r="B130" s="7">
        <v>119.9049365601511</v>
      </c>
      <c r="C130" s="7">
        <v>119.904936560151</v>
      </c>
      <c r="D130" s="6">
        <v>-1.13686837721616E-13</v>
      </c>
    </row>
    <row r="131" spans="1:4">
      <c r="A131" s="6">
        <v>363.0780547701041</v>
      </c>
      <c r="B131" s="7">
        <v>119.9052399963851</v>
      </c>
      <c r="C131" s="7">
        <v>119.905239996385</v>
      </c>
      <c r="D131" s="6">
        <v>-5.684341886080801E-14</v>
      </c>
    </row>
    <row r="132" spans="1:4">
      <c r="A132" s="6">
        <v>367.2823004980874</v>
      </c>
      <c r="B132" s="7">
        <v>119.9055505041143</v>
      </c>
      <c r="C132" s="7">
        <v>119.9055505041144</v>
      </c>
      <c r="D132" s="6">
        <v>5.684341886080801E-14</v>
      </c>
    </row>
    <row r="133" spans="1:4">
      <c r="A133" s="6">
        <v>371.5352290971754</v>
      </c>
      <c r="B133" s="7">
        <v>119.9058682482228</v>
      </c>
      <c r="C133" s="7">
        <v>119.9058682482227</v>
      </c>
      <c r="D133" s="6">
        <v>-2.842170943040401E-14</v>
      </c>
    </row>
    <row r="134" spans="1:4">
      <c r="A134" s="6">
        <v>375.837404288447</v>
      </c>
      <c r="B134" s="7">
        <v>119.9061933974424</v>
      </c>
      <c r="C134" s="7">
        <v>119.9061933974422</v>
      </c>
      <c r="D134" s="6">
        <v>-2.131628207280301E-13</v>
      </c>
    </row>
    <row r="135" spans="1:4">
      <c r="A135" s="6">
        <v>380.1893963205641</v>
      </c>
      <c r="B135" s="7">
        <v>119.9065261244434</v>
      </c>
      <c r="C135" s="7">
        <v>119.9065261244436</v>
      </c>
      <c r="D135" s="6">
        <v>1.4210854715202E-13</v>
      </c>
    </row>
    <row r="136" spans="1:4">
      <c r="A136" s="6">
        <v>384.5917820453566</v>
      </c>
      <c r="B136" s="7">
        <v>119.9068666059281</v>
      </c>
      <c r="C136" s="7">
        <v>119.9068666059282</v>
      </c>
      <c r="D136" s="6">
        <v>4.263256414560601E-14</v>
      </c>
    </row>
    <row r="137" spans="1:4">
      <c r="A137" s="6">
        <v>389.0451449942836</v>
      </c>
      <c r="B137" s="7">
        <v>119.9072150227223</v>
      </c>
      <c r="C137" s="7">
        <v>119.9072150227222</v>
      </c>
      <c r="D137" s="6">
        <v>-8.526512829121202E-14</v>
      </c>
    </row>
    <row r="138" spans="1:4">
      <c r="A138" s="6">
        <v>393.5500754557806</v>
      </c>
      <c r="B138" s="7">
        <v>119.9075715598735</v>
      </c>
      <c r="C138" s="7">
        <v>119.9075715598735</v>
      </c>
      <c r="D138" s="6">
        <v>-2.842170943040401E-14</v>
      </c>
    </row>
    <row r="139" spans="1:4">
      <c r="A139" s="6">
        <v>398.1071705535004</v>
      </c>
      <c r="B139" s="7">
        <v>119.9079364067501</v>
      </c>
      <c r="C139" s="7">
        <v>119.90793640675</v>
      </c>
      <c r="D139" s="6">
        <v>-1.4210854715202E-13</v>
      </c>
    </row>
    <row r="140" spans="1:4">
      <c r="A140" s="6">
        <v>402.7170343254624</v>
      </c>
      <c r="B140" s="7">
        <v>119.9083097571412</v>
      </c>
      <c r="C140" s="7">
        <v>119.9083097571409</v>
      </c>
      <c r="D140" s="6">
        <v>-3.126388037344441E-13</v>
      </c>
    </row>
    <row r="141" spans="1:4">
      <c r="A141" s="6">
        <v>407.380277804116</v>
      </c>
      <c r="B141" s="7">
        <v>119.9086918093604</v>
      </c>
      <c r="C141" s="7">
        <v>119.9086918093602</v>
      </c>
      <c r="D141" s="6">
        <v>-2.131628207280301E-13</v>
      </c>
    </row>
    <row r="142" spans="1:4">
      <c r="A142" s="6">
        <v>412.0975190973335</v>
      </c>
      <c r="B142" s="7">
        <v>119.9090827663527</v>
      </c>
      <c r="C142" s="7">
        <v>119.9090827663527</v>
      </c>
      <c r="D142" s="6">
        <v>-1.4210854715202E-14</v>
      </c>
    </row>
    <row r="143" spans="1:4">
      <c r="A143" s="6">
        <v>416.8693834703388</v>
      </c>
      <c r="B143" s="7">
        <v>119.9094828358023</v>
      </c>
      <c r="C143" s="7">
        <v>119.9094828358022</v>
      </c>
      <c r="D143" s="6">
        <v>-1.56319401867222E-13</v>
      </c>
    </row>
    <row r="144" spans="1:4">
      <c r="A144" s="6">
        <v>421.6965034285858</v>
      </c>
      <c r="B144" s="7">
        <v>119.9098922302426</v>
      </c>
      <c r="C144" s="7">
        <v>119.9098922302424</v>
      </c>
      <c r="D144" s="6">
        <v>-1.56319401867222E-13</v>
      </c>
    </row>
    <row r="145" spans="1:4">
      <c r="A145" s="6">
        <v>426.5795188015962</v>
      </c>
      <c r="B145" s="7">
        <v>119.9103111671711</v>
      </c>
      <c r="C145" s="7">
        <v>119.9103111671709</v>
      </c>
      <c r="D145" s="6">
        <v>-1.989519660128281E-13</v>
      </c>
    </row>
    <row r="146" spans="1:4">
      <c r="A146" s="6">
        <v>431.5190768277689</v>
      </c>
      <c r="B146" s="7">
        <v>119.9107398691652</v>
      </c>
      <c r="C146" s="7">
        <v>119.9107398691649</v>
      </c>
      <c r="D146" s="6">
        <v>-3.410605131648481E-13</v>
      </c>
    </row>
    <row r="147" spans="1:4">
      <c r="A147" s="6">
        <v>436.5158322401696</v>
      </c>
      <c r="B147" s="7">
        <v>119.9111785640005</v>
      </c>
      <c r="C147" s="7">
        <v>119.9111785640003</v>
      </c>
      <c r="D147" s="6">
        <v>-1.4210854715202E-13</v>
      </c>
    </row>
    <row r="148" spans="1:4">
      <c r="A148" s="6">
        <v>441.5704473533163</v>
      </c>
      <c r="B148" s="7">
        <v>119.9116274847737</v>
      </c>
      <c r="C148" s="7">
        <v>119.9116274847737</v>
      </c>
      <c r="D148" s="6">
        <v>1.4210854715202E-14</v>
      </c>
    </row>
    <row r="149" spans="1:4">
      <c r="A149" s="6">
        <v>446.683592150967</v>
      </c>
      <c r="B149" s="7">
        <v>119.912086870027</v>
      </c>
      <c r="C149" s="7">
        <v>119.9120868700269</v>
      </c>
      <c r="D149" s="6">
        <v>-8.526512829121202E-14</v>
      </c>
    </row>
    <row r="150" spans="1:4">
      <c r="A150" s="6">
        <v>451.8559443749263</v>
      </c>
      <c r="B150" s="7">
        <v>119.9125569638744</v>
      </c>
      <c r="C150" s="7">
        <v>119.9125569638743</v>
      </c>
      <c r="D150" s="6">
        <v>-1.27897692436818E-13</v>
      </c>
    </row>
    <row r="151" spans="1:4">
      <c r="A151" s="6">
        <v>457.0881896148791</v>
      </c>
      <c r="B151" s="7">
        <v>119.9130380161337</v>
      </c>
      <c r="C151" s="7">
        <v>119.9130380161336</v>
      </c>
      <c r="D151" s="6">
        <v>-9.947598300641403E-14</v>
      </c>
    </row>
    <row r="152" spans="1:4">
      <c r="A152" s="6">
        <v>462.3810213992644</v>
      </c>
      <c r="B152" s="7">
        <v>119.9135302824598</v>
      </c>
      <c r="C152" s="7">
        <v>119.9135302824597</v>
      </c>
      <c r="D152" s="6">
        <v>-9.947598300641403E-14</v>
      </c>
    </row>
    <row r="153" spans="1:4">
      <c r="A153" s="6">
        <v>467.7351412872023</v>
      </c>
      <c r="B153" s="7">
        <v>119.914034024481</v>
      </c>
      <c r="C153" s="7">
        <v>119.914034024481</v>
      </c>
      <c r="D153" s="6">
        <v>-1.4210854715202E-14</v>
      </c>
    </row>
    <row r="154" spans="1:4">
      <c r="A154" s="6">
        <v>473.1512589614847</v>
      </c>
      <c r="B154" s="7">
        <v>119.9145495099401</v>
      </c>
      <c r="C154" s="7">
        <v>119.9145495099399</v>
      </c>
      <c r="D154" s="6">
        <v>-2.273736754432321E-13</v>
      </c>
    </row>
    <row r="155" spans="1:4">
      <c r="A155" s="6">
        <v>478.6300923226427</v>
      </c>
      <c r="B155" s="7">
        <v>119.9150770128359</v>
      </c>
      <c r="C155" s="7">
        <v>119.9150770128359</v>
      </c>
      <c r="D155" s="6">
        <v>-5.684341886080801E-14</v>
      </c>
    </row>
    <row r="156" spans="1:4">
      <c r="A156" s="6">
        <v>484.1723675841037</v>
      </c>
      <c r="B156" s="7">
        <v>119.9156168135721</v>
      </c>
      <c r="C156" s="7">
        <v>119.9156168135721</v>
      </c>
      <c r="D156" s="6">
        <v>0</v>
      </c>
    </row>
    <row r="157" spans="1:4">
      <c r="A157" s="6">
        <v>489.7788193684507</v>
      </c>
      <c r="B157" s="7">
        <v>119.916169199106</v>
      </c>
      <c r="C157" s="7">
        <v>119.916169199106</v>
      </c>
      <c r="D157" s="6">
        <v>0</v>
      </c>
    </row>
    <row r="158" spans="1:4">
      <c r="A158" s="6">
        <v>495.4501908047948</v>
      </c>
      <c r="B158" s="7">
        <v>119.9167344631026</v>
      </c>
      <c r="C158" s="7">
        <v>119.9167344631026</v>
      </c>
      <c r="D158" s="6">
        <v>-2.842170943040401E-14</v>
      </c>
    </row>
    <row r="159" spans="1:4">
      <c r="A159" s="6">
        <v>501.1872336272769</v>
      </c>
      <c r="B159" s="7">
        <v>119.9173129060918</v>
      </c>
      <c r="C159" s="7">
        <v>119.9173129060921</v>
      </c>
      <c r="D159" s="6">
        <v>2.557953848736361E-13</v>
      </c>
    </row>
    <row r="160" spans="1:4">
      <c r="A160" s="6">
        <v>506.990708274709</v>
      </c>
      <c r="B160" s="7">
        <v>119.9179048356308</v>
      </c>
      <c r="C160" s="7">
        <v>119.9179048356306</v>
      </c>
      <c r="D160" s="6">
        <v>-1.27897692436818E-13</v>
      </c>
    </row>
    <row r="161" spans="1:4">
      <c r="A161" s="6">
        <v>512.8613839913697</v>
      </c>
      <c r="B161" s="7">
        <v>119.9185105664657</v>
      </c>
      <c r="C161" s="7">
        <v>119.9185105664657</v>
      </c>
      <c r="D161" s="6">
        <v>1.4210854715202E-14</v>
      </c>
    </row>
    <row r="162" spans="1:4">
      <c r="A162" s="6">
        <v>518.800038928966</v>
      </c>
      <c r="B162" s="7">
        <v>119.9191304207044</v>
      </c>
      <c r="C162" s="7">
        <v>119.9191304207043</v>
      </c>
      <c r="D162" s="6">
        <v>-1.4210854715202E-14</v>
      </c>
    </row>
    <row r="163" spans="1:4">
      <c r="A163" s="6">
        <v>524.8074602497776</v>
      </c>
      <c r="B163" s="7">
        <v>119.9197647279863</v>
      </c>
      <c r="C163" s="7">
        <v>119.9197647279863</v>
      </c>
      <c r="D163" s="6">
        <v>2.842170943040401E-14</v>
      </c>
    </row>
    <row r="164" spans="1:4">
      <c r="A164" s="6">
        <v>530.8844442309935</v>
      </c>
      <c r="B164" s="7">
        <v>119.9204138256609</v>
      </c>
      <c r="C164" s="7">
        <v>119.9204138256607</v>
      </c>
      <c r="D164" s="6">
        <v>-2.842170943040401E-13</v>
      </c>
    </row>
    <row r="165" spans="1:4">
      <c r="A165" s="6">
        <v>537.0317963702579</v>
      </c>
      <c r="B165" s="7">
        <v>119.9210780589669</v>
      </c>
      <c r="C165" s="7">
        <v>119.921078058967</v>
      </c>
      <c r="D165" s="6">
        <v>2.842170943040401E-14</v>
      </c>
    </row>
    <row r="166" spans="1:4">
      <c r="A166" s="6">
        <v>543.2503314924385</v>
      </c>
      <c r="B166" s="7">
        <v>119.9217577812205</v>
      </c>
      <c r="C166" s="7">
        <v>119.9217577812205</v>
      </c>
      <c r="D166" s="6">
        <v>-5.684341886080801E-14</v>
      </c>
    </row>
    <row r="167" spans="1:4">
      <c r="A167" s="6">
        <v>549.54087385763</v>
      </c>
      <c r="B167" s="7">
        <v>119.922453354002</v>
      </c>
      <c r="C167" s="7">
        <v>119.922453354002</v>
      </c>
      <c r="D167" s="6">
        <v>-2.842170943040401E-14</v>
      </c>
    </row>
    <row r="168" spans="1:4">
      <c r="A168" s="6">
        <v>555.9042572704091</v>
      </c>
      <c r="B168" s="7">
        <v>119.9231651473519</v>
      </c>
      <c r="C168" s="7">
        <v>119.9231651473519</v>
      </c>
      <c r="D168" s="6">
        <v>-1.4210854715202E-14</v>
      </c>
    </row>
    <row r="169" spans="1:4">
      <c r="A169" s="6">
        <v>562.3413251903547</v>
      </c>
      <c r="B169" s="7">
        <v>119.9238935399691</v>
      </c>
      <c r="C169" s="7">
        <v>119.923893539969</v>
      </c>
      <c r="D169" s="6">
        <v>-1.4210854715202E-13</v>
      </c>
    </row>
    <row r="170" spans="1:4">
      <c r="A170" s="6">
        <v>568.8529308438472</v>
      </c>
      <c r="B170" s="7">
        <v>119.9246389194143</v>
      </c>
      <c r="C170" s="7">
        <v>119.9246389194141</v>
      </c>
      <c r="D170" s="6">
        <v>-1.84741111297626E-13</v>
      </c>
    </row>
    <row r="171" spans="1:4">
      <c r="A171" s="6">
        <v>575.4399373371627</v>
      </c>
      <c r="B171" s="7">
        <v>119.9254016823183</v>
      </c>
      <c r="C171" s="7">
        <v>119.9254016823183</v>
      </c>
      <c r="D171" s="6">
        <v>-2.842170943040401E-14</v>
      </c>
    </row>
    <row r="172" spans="1:4">
      <c r="A172" s="6">
        <v>582.1032177708773</v>
      </c>
      <c r="B172" s="7">
        <v>119.9261822345963</v>
      </c>
      <c r="C172" s="7">
        <v>119.9261822345963</v>
      </c>
      <c r="D172" s="6">
        <v>-1.4210854715202E-14</v>
      </c>
    </row>
    <row r="173" spans="1:4">
      <c r="A173" s="6">
        <v>588.843655355595</v>
      </c>
      <c r="B173" s="7">
        <v>119.9269809916648</v>
      </c>
      <c r="C173" s="7">
        <v>119.9269809916646</v>
      </c>
      <c r="D173" s="6">
        <v>-2.273736754432321E-13</v>
      </c>
    </row>
    <row r="174" spans="1:4">
      <c r="A174" s="6">
        <v>595.6621435290166</v>
      </c>
      <c r="B174" s="7">
        <v>119.9277983786655</v>
      </c>
      <c r="C174" s="7">
        <v>119.9277983786652</v>
      </c>
      <c r="D174" s="6">
        <v>-2.700062395888381E-13</v>
      </c>
    </row>
    <row r="175" spans="1:4">
      <c r="A175" s="6">
        <v>602.559586074364</v>
      </c>
      <c r="B175" s="7">
        <v>119.9286348306945</v>
      </c>
      <c r="C175" s="7">
        <v>119.9286348306943</v>
      </c>
      <c r="D175" s="6">
        <v>-1.84741111297626E-13</v>
      </c>
    </row>
    <row r="176" spans="1:4">
      <c r="A176" s="6">
        <v>609.5368972401756</v>
      </c>
      <c r="B176" s="7">
        <v>119.9294907930368</v>
      </c>
      <c r="C176" s="7">
        <v>119.9294907930366</v>
      </c>
      <c r="D176" s="6">
        <v>-1.13686837721616E-13</v>
      </c>
    </row>
    <row r="177" spans="1:4">
      <c r="A177" s="6">
        <v>616.5950018614886</v>
      </c>
      <c r="B177" s="7">
        <v>119.9303667214055</v>
      </c>
      <c r="C177" s="7">
        <v>119.9303667214053</v>
      </c>
      <c r="D177" s="6">
        <v>-1.989519660128281E-13</v>
      </c>
    </row>
    <row r="178" spans="1:4">
      <c r="A178" s="6">
        <v>623.7348354824259</v>
      </c>
      <c r="B178" s="7">
        <v>119.9312630821875</v>
      </c>
      <c r="C178" s="7">
        <v>119.9312630821873</v>
      </c>
      <c r="D178" s="6">
        <v>-2.131628207280301E-13</v>
      </c>
    </row>
    <row r="179" spans="1:4">
      <c r="A179" s="6">
        <v>630.9573444802</v>
      </c>
      <c r="B179" s="7">
        <v>119.9321803526947</v>
      </c>
      <c r="C179" s="7">
        <v>119.9321803526947</v>
      </c>
      <c r="D179" s="6">
        <v>2.842170943040401E-14</v>
      </c>
    </row>
    <row r="180" spans="1:4">
      <c r="A180" s="6">
        <v>638.2634861905556</v>
      </c>
      <c r="B180" s="7">
        <v>119.9331190214226</v>
      </c>
      <c r="C180" s="7">
        <v>119.9331190214224</v>
      </c>
      <c r="D180" s="6">
        <v>-1.4210854715202E-13</v>
      </c>
    </row>
    <row r="181" spans="1:4">
      <c r="A181" s="6">
        <v>645.6542290346624</v>
      </c>
      <c r="B181" s="7">
        <v>119.9340795883113</v>
      </c>
      <c r="C181" s="7">
        <v>119.9340795883113</v>
      </c>
      <c r="D181" s="6">
        <v>4.263256414560601E-14</v>
      </c>
    </row>
    <row r="182" spans="1:4">
      <c r="A182" s="6">
        <v>653.1305526474794</v>
      </c>
      <c r="B182" s="7">
        <v>119.935062565018</v>
      </c>
      <c r="C182" s="7">
        <v>119.9350625650182</v>
      </c>
      <c r="D182" s="6">
        <v>2.273736754432321E-13</v>
      </c>
    </row>
    <row r="183" spans="1:4">
      <c r="A183" s="6">
        <v>660.6934480076033</v>
      </c>
      <c r="B183" s="7">
        <v>119.9360684751916</v>
      </c>
      <c r="C183" s="7">
        <v>119.9360684751919</v>
      </c>
      <c r="D183" s="6">
        <v>3.694822225952521E-13</v>
      </c>
    </row>
    <row r="184" spans="1:4">
      <c r="A184" s="6">
        <v>668.3439175686219</v>
      </c>
      <c r="B184" s="7">
        <v>119.9370978547561</v>
      </c>
      <c r="C184" s="7">
        <v>119.9370978547561</v>
      </c>
      <c r="D184" s="6">
        <v>1.4210854715202E-14</v>
      </c>
    </row>
    <row r="185" spans="1:4">
      <c r="A185" s="6">
        <v>676.0829753919892</v>
      </c>
      <c r="B185" s="7">
        <v>119.9381512521988</v>
      </c>
      <c r="C185" s="7">
        <v>119.9381512521988</v>
      </c>
      <c r="D185" s="6">
        <v>4.263256414560601E-14</v>
      </c>
    </row>
    <row r="186" spans="1:4">
      <c r="A186" s="6">
        <v>683.9116472814369</v>
      </c>
      <c r="B186" s="7">
        <v>119.939229228869</v>
      </c>
      <c r="C186" s="7">
        <v>119.9392292288687</v>
      </c>
      <c r="D186" s="6">
        <v>-2.842170943040401E-13</v>
      </c>
    </row>
    <row r="187" spans="1:4">
      <c r="A187" s="6">
        <v>691.8309709189442</v>
      </c>
      <c r="B187" s="7">
        <v>119.9403323592792</v>
      </c>
      <c r="C187" s="7">
        <v>119.9403323592791</v>
      </c>
      <c r="D187" s="6">
        <v>-8.526512829121202E-14</v>
      </c>
    </row>
    <row r="188" spans="1:4">
      <c r="A188" s="6">
        <v>699.8419960022813</v>
      </c>
      <c r="B188" s="7">
        <v>119.9414612314185</v>
      </c>
      <c r="C188" s="7">
        <v>119.9414612314181</v>
      </c>
      <c r="D188" s="6">
        <v>-3.694822225952521E-13</v>
      </c>
    </row>
    <row r="189" spans="1:4">
      <c r="A189" s="6">
        <v>707.9457843841459</v>
      </c>
      <c r="B189" s="7">
        <v>119.9426164470674</v>
      </c>
      <c r="C189" s="7">
        <v>119.9426164470671</v>
      </c>
      <c r="D189" s="6">
        <v>-3.126388037344441E-13</v>
      </c>
    </row>
    <row r="190" spans="1:4">
      <c r="A190" s="6">
        <v>716.1434102129101</v>
      </c>
      <c r="B190" s="7">
        <v>119.9437986221268</v>
      </c>
      <c r="C190" s="7">
        <v>119.9437986221267</v>
      </c>
      <c r="D190" s="6">
        <v>-9.947598300641403E-14</v>
      </c>
    </row>
    <row r="191" spans="1:4">
      <c r="A191" s="6">
        <v>724.4359600749983</v>
      </c>
      <c r="B191" s="7">
        <v>119.9450083869503</v>
      </c>
      <c r="C191" s="7">
        <v>119.9450083869501</v>
      </c>
      <c r="D191" s="6">
        <v>-1.4210854715202E-13</v>
      </c>
    </row>
    <row r="192" spans="1:4">
      <c r="A192" s="6">
        <v>732.8245331389124</v>
      </c>
      <c r="B192" s="7">
        <v>119.9462463866853</v>
      </c>
      <c r="C192" s="7">
        <v>119.9462463866848</v>
      </c>
      <c r="D192" s="6">
        <v>-4.405364961712621E-13</v>
      </c>
    </row>
    <row r="193" spans="1:4">
      <c r="A193" s="6">
        <v>741.3102413009261</v>
      </c>
      <c r="B193" s="7">
        <v>119.9475132816225</v>
      </c>
      <c r="C193" s="7">
        <v>119.9475132816223</v>
      </c>
      <c r="D193" s="6">
        <v>-2.131628207280301E-13</v>
      </c>
    </row>
    <row r="194" spans="1:4">
      <c r="A194" s="6">
        <v>749.8942093324646</v>
      </c>
      <c r="B194" s="7">
        <v>119.9488097475565</v>
      </c>
      <c r="C194" s="7">
        <v>119.9488097475563</v>
      </c>
      <c r="D194" s="6">
        <v>-1.989519660128281E-13</v>
      </c>
    </row>
    <row r="195" spans="1:4">
      <c r="A195" s="6">
        <v>758.5775750291926</v>
      </c>
      <c r="B195" s="7">
        <v>119.9501364761502</v>
      </c>
      <c r="C195" s="7">
        <v>119.9501364761496</v>
      </c>
      <c r="D195" s="6">
        <v>-5.400124791776761E-13</v>
      </c>
    </row>
    <row r="196" spans="1:4">
      <c r="A196" s="6">
        <v>767.3614893618279</v>
      </c>
      <c r="B196" s="7">
        <v>119.9514941753095</v>
      </c>
      <c r="C196" s="7">
        <v>119.9514941753094</v>
      </c>
      <c r="D196" s="6">
        <v>-1.70530256582424E-13</v>
      </c>
    </row>
    <row r="197" spans="1:4">
      <c r="A197" s="6">
        <v>776.2471166287008</v>
      </c>
      <c r="B197" s="7">
        <v>119.9528835695721</v>
      </c>
      <c r="C197" s="7">
        <v>119.9528835695719</v>
      </c>
      <c r="D197" s="6">
        <v>-1.70530256582424E-13</v>
      </c>
    </row>
    <row r="198" spans="1:4">
      <c r="A198" s="6">
        <v>785.2356346100811</v>
      </c>
      <c r="B198" s="7">
        <v>119.9543054004966</v>
      </c>
      <c r="C198" s="7">
        <v>119.9543054004965</v>
      </c>
      <c r="D198" s="6">
        <v>-8.526512829121202E-14</v>
      </c>
    </row>
    <row r="199" spans="1:4">
      <c r="A199" s="6">
        <v>794.328234724291</v>
      </c>
      <c r="B199" s="7">
        <v>119.9557604270685</v>
      </c>
      <c r="C199" s="7">
        <v>119.9557604270685</v>
      </c>
      <c r="D199" s="6">
        <v>5.684341886080801E-14</v>
      </c>
    </row>
    <row r="200" spans="1:4">
      <c r="A200" s="6">
        <v>803.5261221856268</v>
      </c>
      <c r="B200" s="7">
        <v>119.9572494261127</v>
      </c>
      <c r="C200" s="7">
        <v>119.9572494261126</v>
      </c>
      <c r="D200" s="6">
        <v>-9.947598300641403E-14</v>
      </c>
    </row>
    <row r="201" spans="1:4">
      <c r="A201" s="6">
        <v>812.8305161641091</v>
      </c>
      <c r="B201" s="7">
        <v>119.9587731927158</v>
      </c>
      <c r="C201" s="7">
        <v>119.9587731927156</v>
      </c>
      <c r="D201" s="6">
        <v>-1.4210854715202E-13</v>
      </c>
    </row>
    <row r="202" spans="1:4">
      <c r="A202" s="6">
        <v>822.2426499470812</v>
      </c>
      <c r="B202" s="7">
        <v>119.9603325406597</v>
      </c>
      <c r="C202" s="7">
        <v>119.9603325406595</v>
      </c>
      <c r="D202" s="6">
        <v>-2.415845301584341E-13</v>
      </c>
    </row>
    <row r="203" spans="1:4">
      <c r="A203" s="6">
        <v>831.7637711026812</v>
      </c>
      <c r="B203" s="7">
        <v>119.9619283028649</v>
      </c>
      <c r="C203" s="7">
        <v>119.9619283028651</v>
      </c>
      <c r="D203" s="6">
        <v>2.273736754432321E-13</v>
      </c>
    </row>
    <row r="204" spans="1:4">
      <c r="A204" s="6">
        <v>841.3951416452054</v>
      </c>
      <c r="B204" s="7">
        <v>119.9635613318469</v>
      </c>
      <c r="C204" s="7">
        <v>119.9635613318464</v>
      </c>
      <c r="D204" s="6">
        <v>-4.973799150320701E-13</v>
      </c>
    </row>
    <row r="205" spans="1:4">
      <c r="A205" s="6">
        <v>851.138038202387</v>
      </c>
      <c r="B205" s="7">
        <v>119.9652325001758</v>
      </c>
      <c r="C205" s="7">
        <v>119.9652325001757</v>
      </c>
      <c r="D205" s="6">
        <v>-1.56319401867222E-13</v>
      </c>
    </row>
    <row r="206" spans="1:4">
      <c r="A206" s="6">
        <v>860.9937521846114</v>
      </c>
      <c r="B206" s="7">
        <v>119.9669427009601</v>
      </c>
      <c r="C206" s="7">
        <v>119.96694270096</v>
      </c>
      <c r="D206" s="6">
        <v>-1.13686837721616E-13</v>
      </c>
    </row>
    <row r="207" spans="1:4">
      <c r="A207" s="6">
        <v>870.9635899560915</v>
      </c>
      <c r="B207" s="7">
        <v>119.9686928483294</v>
      </c>
      <c r="C207" s="7">
        <v>119.9686928483294</v>
      </c>
      <c r="D207" s="6">
        <v>-1.4210854715202E-14</v>
      </c>
    </row>
    <row r="208" spans="1:4">
      <c r="A208" s="6">
        <v>881.0488730080251</v>
      </c>
      <c r="B208" s="7">
        <v>119.9704838779361</v>
      </c>
      <c r="C208" s="7">
        <v>119.9704838779363</v>
      </c>
      <c r="D208" s="6">
        <v>2.700062395888381E-13</v>
      </c>
    </row>
    <row r="209" spans="1:4">
      <c r="A209" s="6">
        <v>891.2509381337568</v>
      </c>
      <c r="B209" s="7">
        <v>119.9723167474681</v>
      </c>
      <c r="C209" s="7">
        <v>119.9723167474679</v>
      </c>
      <c r="D209" s="6">
        <v>-1.70530256582424E-13</v>
      </c>
    </row>
    <row r="210" spans="1:4">
      <c r="A210" s="6">
        <v>901.5711376059683</v>
      </c>
      <c r="B210" s="7">
        <v>119.9741924371704</v>
      </c>
      <c r="C210" s="7">
        <v>119.97419243717</v>
      </c>
      <c r="D210" s="6">
        <v>-3.979039320256561E-13</v>
      </c>
    </row>
    <row r="211" spans="1:4">
      <c r="A211" s="6">
        <v>912.0108393559213</v>
      </c>
      <c r="B211" s="7">
        <v>119.9761119503847</v>
      </c>
      <c r="C211" s="7">
        <v>119.9761119503846</v>
      </c>
      <c r="D211" s="6">
        <v>-1.4210854715202E-13</v>
      </c>
    </row>
    <row r="212" spans="1:4">
      <c r="A212" s="6">
        <v>922.5714271547749</v>
      </c>
      <c r="B212" s="7">
        <v>119.9780763140992</v>
      </c>
      <c r="C212" s="7">
        <v>119.9780763140992</v>
      </c>
      <c r="D212" s="6">
        <v>4.263256414560601E-14</v>
      </c>
    </row>
    <row r="213" spans="1:4">
      <c r="A213" s="6">
        <v>933.2543007970031</v>
      </c>
      <c r="B213" s="7">
        <v>119.9800865795112</v>
      </c>
      <c r="C213" s="7">
        <v>119.980086579511</v>
      </c>
      <c r="D213" s="6">
        <v>-1.56319401867222E-13</v>
      </c>
    </row>
    <row r="214" spans="1:4">
      <c r="A214" s="6">
        <v>944.0608762859356</v>
      </c>
      <c r="B214" s="7">
        <v>119.9821438226035</v>
      </c>
      <c r="C214" s="7">
        <v>119.9821438226036</v>
      </c>
      <c r="D214" s="6">
        <v>7.105427357601002E-14</v>
      </c>
    </row>
    <row r="215" spans="1:4">
      <c r="A215" s="6">
        <v>954.9925860214485</v>
      </c>
      <c r="B215" s="7">
        <v>119.9842491447382</v>
      </c>
      <c r="C215" s="7">
        <v>119.984249144738</v>
      </c>
      <c r="D215" s="6">
        <v>-1.56319401867222E-13</v>
      </c>
    </row>
    <row r="216" spans="1:4">
      <c r="A216" s="6">
        <v>966.0508789898261</v>
      </c>
      <c r="B216" s="7">
        <v>119.9864036732589</v>
      </c>
      <c r="C216" s="7">
        <v>119.9864036732587</v>
      </c>
      <c r="D216" s="6">
        <v>-2.273736754432321E-13</v>
      </c>
    </row>
    <row r="217" spans="1:4">
      <c r="A217" s="6">
        <v>977.2372209558234</v>
      </c>
      <c r="B217" s="7">
        <v>119.9886085621134</v>
      </c>
      <c r="C217" s="7">
        <v>119.9886085621134</v>
      </c>
      <c r="D217" s="6">
        <v>-1.4210854715202E-14</v>
      </c>
    </row>
    <row r="218" spans="1:4">
      <c r="A218" s="6">
        <v>988.5530946569519</v>
      </c>
      <c r="B218" s="7">
        <v>119.9908649924889</v>
      </c>
      <c r="C218" s="7">
        <v>119.9908649924887</v>
      </c>
      <c r="D218" s="6">
        <v>-1.56319401867222E-13</v>
      </c>
    </row>
    <row r="219" spans="1:4">
      <c r="A219" s="6">
        <v>1000.000000000013</v>
      </c>
      <c r="B219" s="7">
        <v>119.993174173461</v>
      </c>
      <c r="C219" s="7">
        <v>119.9931741734612</v>
      </c>
      <c r="D219" s="6">
        <v>2.415845301584341E-13</v>
      </c>
    </row>
    <row r="220" spans="1:4">
      <c r="A220" s="6">
        <v>1011.579454259912</v>
      </c>
      <c r="B220" s="7">
        <v>119.9955373426643</v>
      </c>
      <c r="C220" s="7">
        <v>119.9955373426639</v>
      </c>
      <c r="D220" s="6">
        <v>-3.694822225952521E-13</v>
      </c>
    </row>
    <row r="221" spans="1:4">
      <c r="A221" s="6">
        <v>1023.292992280768</v>
      </c>
      <c r="B221" s="7">
        <v>119.9979557669696</v>
      </c>
      <c r="C221" s="7">
        <v>119.9979557669697</v>
      </c>
      <c r="D221" s="6">
        <v>7.105427357601002E-14</v>
      </c>
    </row>
    <row r="222" spans="1:4">
      <c r="A222" s="6">
        <v>1035.142166679358</v>
      </c>
      <c r="B222" s="7">
        <v>120.0004307431912</v>
      </c>
      <c r="C222" s="7">
        <v>120.000430743191</v>
      </c>
      <c r="D222" s="6">
        <v>-1.56319401867222E-13</v>
      </c>
    </row>
    <row r="223" spans="1:4">
      <c r="A223" s="6">
        <v>1047.128548050914</v>
      </c>
      <c r="B223" s="7">
        <v>120.0029635987966</v>
      </c>
      <c r="C223" s="7">
        <v>120.002963598797</v>
      </c>
      <c r="D223" s="6">
        <v>3.410605131648481E-13</v>
      </c>
    </row>
    <row r="224" spans="1:4">
      <c r="A224" s="6">
        <v>1059.253725177303</v>
      </c>
      <c r="B224" s="7">
        <v>120.0055556926476</v>
      </c>
      <c r="C224" s="7">
        <v>120.0055556926477</v>
      </c>
      <c r="D224" s="6">
        <v>8.526512829121202E-14</v>
      </c>
    </row>
    <row r="225" spans="1:4">
      <c r="A225" s="6">
        <v>1071.519305237621</v>
      </c>
      <c r="B225" s="7">
        <v>120.0082084157471</v>
      </c>
      <c r="C225" s="7">
        <v>120.0082084157471</v>
      </c>
      <c r="D225" s="6">
        <v>-1.4210854715202E-14</v>
      </c>
    </row>
    <row r="226" spans="1:4">
      <c r="A226" s="6">
        <v>1083.926914021218</v>
      </c>
      <c r="B226" s="7">
        <v>120.0109231920146</v>
      </c>
      <c r="C226" s="7">
        <v>120.0109231920139</v>
      </c>
      <c r="D226" s="6">
        <v>-7.105427357601002E-13</v>
      </c>
    </row>
    <row r="227" spans="1:4">
      <c r="A227" s="6">
        <v>1096.4781961432</v>
      </c>
      <c r="B227" s="7">
        <v>120.0137014790717</v>
      </c>
      <c r="C227" s="7">
        <v>120.0137014790716</v>
      </c>
      <c r="D227" s="6">
        <v>-1.4210854715202E-13</v>
      </c>
    </row>
    <row r="228" spans="1:4">
      <c r="A228" s="6">
        <v>1109.174815262417</v>
      </c>
      <c r="B228" s="7">
        <v>120.0165447690573</v>
      </c>
      <c r="C228" s="7">
        <v>120.0165447690576</v>
      </c>
      <c r="D228" s="6">
        <v>3.268496584496461E-13</v>
      </c>
    </row>
    <row r="229" spans="1:4">
      <c r="A229" s="6">
        <v>1122.018454301979</v>
      </c>
      <c r="B229" s="7">
        <v>120.0194545894531</v>
      </c>
      <c r="C229" s="7">
        <v>120.0194545894532</v>
      </c>
      <c r="D229" s="6">
        <v>1.56319401867222E-13</v>
      </c>
    </row>
    <row r="230" spans="1:4">
      <c r="A230" s="6">
        <v>1135.010815672331</v>
      </c>
      <c r="B230" s="7">
        <v>120.0224325039331</v>
      </c>
      <c r="C230" s="7">
        <v>120.0224325039329</v>
      </c>
      <c r="D230" s="6">
        <v>-2.131628207280301E-13</v>
      </c>
    </row>
    <row r="231" spans="1:4">
      <c r="A231" s="6">
        <v>1148.153621496899</v>
      </c>
      <c r="B231" s="7">
        <v>120.0254801132352</v>
      </c>
      <c r="C231" s="7">
        <v>120.0254801132352</v>
      </c>
      <c r="D231" s="6">
        <v>-7.105427357601002E-14</v>
      </c>
    </row>
    <row r="232" spans="1:4">
      <c r="A232" s="6">
        <v>1161.448613840359</v>
      </c>
      <c r="B232" s="7">
        <v>120.028599056055</v>
      </c>
      <c r="C232" s="7">
        <v>120.0285990560549</v>
      </c>
      <c r="D232" s="6">
        <v>-9.947598300641403E-14</v>
      </c>
    </row>
    <row r="233" spans="1:4">
      <c r="A233" s="6">
        <v>1174.897554939546</v>
      </c>
      <c r="B233" s="7">
        <v>120.0317910099574</v>
      </c>
      <c r="C233" s="7">
        <v>120.0317910099574</v>
      </c>
      <c r="D233" s="6">
        <v>1.4210854715202E-14</v>
      </c>
    </row>
    <row r="234" spans="1:4">
      <c r="A234" s="6">
        <v>1188.502227437036</v>
      </c>
      <c r="B234" s="7">
        <v>120.0350576923162</v>
      </c>
      <c r="C234" s="7">
        <v>120.0350576923158</v>
      </c>
      <c r="D234" s="6">
        <v>-3.836930773104541E-13</v>
      </c>
    </row>
    <row r="235" spans="1:4">
      <c r="A235" s="6">
        <v>1202.26443461743</v>
      </c>
      <c r="B235" s="7">
        <v>120.0384008612704</v>
      </c>
      <c r="C235" s="7">
        <v>120.0384008612703</v>
      </c>
      <c r="D235" s="6">
        <v>-2.842170943040401E-14</v>
      </c>
    </row>
    <row r="236" spans="1:4">
      <c r="A236" s="6">
        <v>1216.186000646386</v>
      </c>
      <c r="B236" s="7">
        <v>120.041822316713</v>
      </c>
      <c r="C236" s="7">
        <v>120.041822316713</v>
      </c>
      <c r="D236" s="6">
        <v>7.105427357601002E-14</v>
      </c>
    </row>
    <row r="237" spans="1:4">
      <c r="A237" s="6">
        <v>1230.268770812399</v>
      </c>
      <c r="B237" s="7">
        <v>120.045323901295</v>
      </c>
      <c r="C237" s="7">
        <v>120.0453239012954</v>
      </c>
      <c r="D237" s="6">
        <v>4.121147867408581E-13</v>
      </c>
    </row>
    <row r="238" spans="1:4">
      <c r="A238" s="6">
        <v>1244.514611771403</v>
      </c>
      <c r="B238" s="7">
        <v>120.0489075014621</v>
      </c>
      <c r="C238" s="7">
        <v>120.0489075014619</v>
      </c>
      <c r="D238" s="6">
        <v>-2.700062395888381E-13</v>
      </c>
    </row>
    <row r="239" spans="1:4">
      <c r="A239" s="6">
        <v>1258.925411794185</v>
      </c>
      <c r="B239" s="7">
        <v>120.052575048509</v>
      </c>
      <c r="C239" s="7">
        <v>120.0525750485089</v>
      </c>
      <c r="D239" s="6">
        <v>-8.526512829121202E-14</v>
      </c>
    </row>
    <row r="240" spans="1:4">
      <c r="A240" s="6">
        <v>1273.50308101668</v>
      </c>
      <c r="B240" s="7">
        <v>120.0563285196701</v>
      </c>
      <c r="C240" s="7">
        <v>120.0563285196699</v>
      </c>
      <c r="D240" s="6">
        <v>-2.131628207280301E-13</v>
      </c>
    </row>
    <row r="241" spans="1:4">
      <c r="A241" s="6">
        <v>1288.249551693153</v>
      </c>
      <c r="B241" s="7">
        <v>120.0601699392285</v>
      </c>
      <c r="C241" s="7">
        <v>120.060169939228</v>
      </c>
      <c r="D241" s="6">
        <v>-4.973799150320701E-13</v>
      </c>
    </row>
    <row r="242" spans="1:4">
      <c r="A242" s="6">
        <v>1303.166778452319</v>
      </c>
      <c r="B242" s="7">
        <v>120.0641013796551</v>
      </c>
      <c r="C242" s="7">
        <v>120.0641013796554</v>
      </c>
      <c r="D242" s="6">
        <v>2.700062395888381E-13</v>
      </c>
    </row>
    <row r="243" spans="1:4">
      <c r="A243" s="6">
        <v>1318.256738556427</v>
      </c>
      <c r="B243" s="7">
        <v>120.068124962782</v>
      </c>
      <c r="C243" s="7">
        <v>120.0681249627822</v>
      </c>
      <c r="D243" s="6">
        <v>1.84741111297626E-13</v>
      </c>
    </row>
    <row r="244" spans="1:4">
      <c r="A244" s="6">
        <v>1333.521432163344</v>
      </c>
      <c r="B244" s="7">
        <v>120.0722428609935</v>
      </c>
      <c r="C244" s="7">
        <v>120.0722428609939</v>
      </c>
      <c r="D244" s="6">
        <v>4.547473508864641E-13</v>
      </c>
    </row>
    <row r="245" spans="1:4">
      <c r="A245" s="6">
        <v>1348.962882591674</v>
      </c>
      <c r="B245" s="7">
        <v>120.0764572984584</v>
      </c>
      <c r="C245" s="7">
        <v>120.0764572984586</v>
      </c>
      <c r="D245" s="6">
        <v>1.70530256582424E-13</v>
      </c>
    </row>
    <row r="246" spans="1:4">
      <c r="A246" s="6">
        <v>1364.583136588945</v>
      </c>
      <c r="B246" s="7">
        <v>120.0807705523856</v>
      </c>
      <c r="C246" s="7">
        <v>120.0807705523852</v>
      </c>
      <c r="D246" s="6">
        <v>-4.121147867408581E-13</v>
      </c>
    </row>
    <row r="247" spans="1:4">
      <c r="A247" s="6">
        <v>1380.384264602906</v>
      </c>
      <c r="B247" s="7">
        <v>120.0851849543128</v>
      </c>
      <c r="C247" s="7">
        <v>120.0851849543129</v>
      </c>
      <c r="D247" s="6">
        <v>1.27897692436818E-13</v>
      </c>
    </row>
    <row r="248" spans="1:4">
      <c r="A248" s="6">
        <v>1396.368361055959</v>
      </c>
      <c r="B248" s="7">
        <v>120.0897028914334</v>
      </c>
      <c r="C248" s="7">
        <v>120.0897028914331</v>
      </c>
      <c r="D248" s="6">
        <v>-2.842170943040401E-13</v>
      </c>
    </row>
    <row r="249" spans="1:4">
      <c r="A249" s="6">
        <v>1412.537544622776</v>
      </c>
      <c r="B249" s="7">
        <v>120.0943268079448</v>
      </c>
      <c r="C249" s="7">
        <v>120.0943268079444</v>
      </c>
      <c r="D249" s="6">
        <v>-3.979039320256561E-13</v>
      </c>
    </row>
    <row r="250" spans="1:4">
      <c r="A250" s="6">
        <v>1428.893958511125</v>
      </c>
      <c r="B250" s="7">
        <v>120.0990592064417</v>
      </c>
      <c r="C250" s="7">
        <v>120.099059206441</v>
      </c>
      <c r="D250" s="6">
        <v>-6.110667527536862E-13</v>
      </c>
    </row>
    <row r="251" spans="1:4">
      <c r="A251" s="6">
        <v>1445.43977074595</v>
      </c>
      <c r="B251" s="7">
        <v>120.1039026493372</v>
      </c>
      <c r="C251" s="7">
        <v>120.1039026493369</v>
      </c>
      <c r="D251" s="6">
        <v>-2.557953848736361E-13</v>
      </c>
    </row>
    <row r="252" spans="1:4">
      <c r="A252" s="6">
        <v>1462.177174456741</v>
      </c>
      <c r="B252" s="7">
        <v>120.1088597603248</v>
      </c>
      <c r="C252" s="7">
        <v>120.108859760325</v>
      </c>
      <c r="D252" s="6">
        <v>1.989519660128281E-13</v>
      </c>
    </row>
    <row r="253" spans="1:4">
      <c r="A253" s="6">
        <v>1479.10838816823</v>
      </c>
      <c r="B253" s="7">
        <v>120.1139332258734</v>
      </c>
      <c r="C253" s="7">
        <v>120.113933225873</v>
      </c>
      <c r="D253" s="6">
        <v>-3.979039320256561E-13</v>
      </c>
    </row>
    <row r="254" spans="1:4">
      <c r="A254" s="6">
        <v>1496.235656094457</v>
      </c>
      <c r="B254" s="7">
        <v>120.1191257967584</v>
      </c>
      <c r="C254" s="7">
        <v>120.1191257967575</v>
      </c>
      <c r="D254" s="6">
        <v>-9.521272659185342E-13</v>
      </c>
    </row>
    <row r="255" spans="1:4">
      <c r="A255" s="6">
        <v>1513.561248436232</v>
      </c>
      <c r="B255" s="7">
        <v>120.1244402896368</v>
      </c>
      <c r="C255" s="7">
        <v>120.1244402896356</v>
      </c>
      <c r="D255" s="6">
        <v>-1.193711796076968E-12</v>
      </c>
    </row>
    <row r="256" spans="1:4">
      <c r="A256" s="6">
        <v>1531.087461682054</v>
      </c>
      <c r="B256" s="7">
        <v>120.1298795886568</v>
      </c>
      <c r="C256" s="7">
        <v>120.1298795886568</v>
      </c>
      <c r="D256" s="6">
        <v>-2.842170943040401E-14</v>
      </c>
    </row>
    <row r="257" spans="1:4">
      <c r="A257" s="6">
        <v>1548.816618912506</v>
      </c>
      <c r="B257" s="7">
        <v>120.1354466471142</v>
      </c>
      <c r="C257" s="7">
        <v>120.1354466471152</v>
      </c>
      <c r="D257" s="6">
        <v>9.947598300641403E-13</v>
      </c>
    </row>
    <row r="258" spans="1:4">
      <c r="A258" s="6">
        <v>1566.751070108174</v>
      </c>
      <c r="B258" s="7">
        <v>120.1411444891438</v>
      </c>
      <c r="C258" s="7">
        <v>120.1411444891431</v>
      </c>
      <c r="D258" s="6">
        <v>-6.536993168992922E-13</v>
      </c>
    </row>
    <row r="259" spans="1:4">
      <c r="A259" s="6">
        <v>1584.893192461139</v>
      </c>
      <c r="B259" s="7">
        <v>120.146976211447</v>
      </c>
      <c r="C259" s="7">
        <v>120.1469762114476</v>
      </c>
      <c r="D259" s="6">
        <v>5.684341886080801E-13</v>
      </c>
    </row>
    <row r="260" spans="1:4">
      <c r="A260" s="6">
        <v>1603.245390690067</v>
      </c>
      <c r="B260" s="7">
        <v>120.1529449850904</v>
      </c>
      <c r="C260" s="7">
        <v>120.1529449850901</v>
      </c>
      <c r="D260" s="6">
        <v>-2.131628207280301E-13</v>
      </c>
    </row>
    <row r="261" spans="1:4">
      <c r="A261" s="6">
        <v>1621.810097358956</v>
      </c>
      <c r="B261" s="7">
        <v>120.159054057312</v>
      </c>
      <c r="C261" s="7">
        <v>120.1590540573121</v>
      </c>
      <c r="D261" s="6">
        <v>1.4210854715202E-13</v>
      </c>
    </row>
    <row r="262" spans="1:4">
      <c r="A262" s="6">
        <v>1640.589773199566</v>
      </c>
      <c r="B262" s="7">
        <v>120.1653067534044</v>
      </c>
      <c r="C262" s="7">
        <v>120.1653067534049</v>
      </c>
      <c r="D262" s="6">
        <v>4.973799150320701E-13</v>
      </c>
    </row>
    <row r="263" spans="1:4">
      <c r="A263" s="6">
        <v>1659.586907437588</v>
      </c>
      <c r="B263" s="7">
        <v>120.171706478628</v>
      </c>
      <c r="C263" s="7">
        <v>120.1717064786283</v>
      </c>
      <c r="D263" s="6">
        <v>2.700062395888381E-13</v>
      </c>
    </row>
    <row r="264" spans="1:4">
      <c r="A264" s="6">
        <v>1678.804018122588</v>
      </c>
      <c r="B264" s="7">
        <v>120.1782567201767</v>
      </c>
      <c r="C264" s="7">
        <v>120.178256720176</v>
      </c>
      <c r="D264" s="6">
        <v>-6.821210263296962E-13</v>
      </c>
    </row>
    <row r="265" spans="1:4">
      <c r="A265" s="6">
        <v>1698.243652461772</v>
      </c>
      <c r="B265" s="7">
        <v>120.1849610491922</v>
      </c>
      <c r="C265" s="7">
        <v>120.1849610491919</v>
      </c>
      <c r="D265" s="6">
        <v>-2.984279490192421E-13</v>
      </c>
    </row>
    <row r="266" spans="1:4">
      <c r="A266" s="6">
        <v>1717.908387157617</v>
      </c>
      <c r="B266" s="7">
        <v>120.1918231228351</v>
      </c>
      <c r="C266" s="7">
        <v>120.1918231228356</v>
      </c>
      <c r="D266" s="6">
        <v>4.689582056016661E-13</v>
      </c>
    </row>
    <row r="267" spans="1:4">
      <c r="A267" s="6">
        <v>1737.800828749404</v>
      </c>
      <c r="B267" s="7">
        <v>120.1988466864017</v>
      </c>
      <c r="C267" s="7">
        <v>120.1988466864009</v>
      </c>
      <c r="D267" s="6">
        <v>-7.389644451905042E-13</v>
      </c>
    </row>
    <row r="268" spans="1:4">
      <c r="A268" s="6">
        <v>1757.923613958722</v>
      </c>
      <c r="B268" s="7">
        <v>120.206035575487</v>
      </c>
      <c r="C268" s="7">
        <v>120.2060355754872</v>
      </c>
      <c r="D268" s="6">
        <v>2.273736754432321E-13</v>
      </c>
    </row>
    <row r="269" spans="1:4">
      <c r="A269" s="6">
        <v>1778.279410038952</v>
      </c>
      <c r="B269" s="7">
        <v>120.213393718224</v>
      </c>
      <c r="C269" s="7">
        <v>120.2133937182249</v>
      </c>
      <c r="D269" s="6">
        <v>8.668621376273222E-13</v>
      </c>
    </row>
    <row r="270" spans="1:4">
      <c r="A270" s="6">
        <v>1798.870915128818</v>
      </c>
      <c r="B270" s="7">
        <v>120.2209251375578</v>
      </c>
      <c r="C270" s="7">
        <v>120.2209251375573</v>
      </c>
      <c r="D270" s="6">
        <v>-5.258016244624741E-13</v>
      </c>
    </row>
    <row r="271" spans="1:4">
      <c r="A271" s="6">
        <v>1819.700858610014</v>
      </c>
      <c r="B271" s="7">
        <v>120.2286339535791</v>
      </c>
      <c r="C271" s="7">
        <v>120.2286339535791</v>
      </c>
      <c r="D271" s="6">
        <v>2.842170943040401E-14</v>
      </c>
    </row>
    <row r="272" spans="1:4">
      <c r="A272" s="6">
        <v>1840.772001468987</v>
      </c>
      <c r="B272" s="7">
        <v>120.236524385934</v>
      </c>
      <c r="C272" s="7">
        <v>120.2365243859335</v>
      </c>
      <c r="D272" s="6">
        <v>-5.115907697472721E-13</v>
      </c>
    </row>
    <row r="273" spans="1:4">
      <c r="A273" s="6">
        <v>1862.087136662899</v>
      </c>
      <c r="B273" s="7">
        <v>120.2446007562699</v>
      </c>
      <c r="C273" s="7">
        <v>120.2446007562693</v>
      </c>
      <c r="D273" s="6">
        <v>-6.252776074688882E-13</v>
      </c>
    </row>
    <row r="274" spans="1:4">
      <c r="A274" s="6">
        <v>1883.649089489832</v>
      </c>
      <c r="B274" s="7">
        <v>120.2528674907586</v>
      </c>
      <c r="C274" s="7">
        <v>120.2528674907585</v>
      </c>
      <c r="D274" s="6">
        <v>-1.4210854715202E-13</v>
      </c>
    </row>
    <row r="275" spans="1:4">
      <c r="A275" s="6">
        <v>1905.46071796328</v>
      </c>
      <c r="B275" s="7">
        <v>120.2613291226777</v>
      </c>
      <c r="C275" s="7">
        <v>120.2613291226778</v>
      </c>
      <c r="D275" s="6">
        <v>1.56319401867222E-13</v>
      </c>
    </row>
    <row r="276" spans="1:4">
      <c r="A276" s="6">
        <v>1927.524913190969</v>
      </c>
      <c r="B276" s="7">
        <v>120.2699902950536</v>
      </c>
      <c r="C276" s="7">
        <v>120.2699902950527</v>
      </c>
      <c r="D276" s="6">
        <v>-9.947598300641403E-13</v>
      </c>
    </row>
    <row r="277" spans="1:4">
      <c r="A277" s="6">
        <v>1949.844599758079</v>
      </c>
      <c r="B277" s="7">
        <v>120.2788557633675</v>
      </c>
      <c r="C277" s="7">
        <v>120.2788557633676</v>
      </c>
      <c r="D277" s="6">
        <v>8.526512829121202E-14</v>
      </c>
    </row>
    <row r="278" spans="1:4">
      <c r="A278" s="6">
        <v>1972.422736114888</v>
      </c>
      <c r="B278" s="7">
        <v>120.2879303983437</v>
      </c>
      <c r="C278" s="7">
        <v>120.2879303983432</v>
      </c>
      <c r="D278" s="6">
        <v>-5.115907697472721E-13</v>
      </c>
    </row>
    <row r="279" spans="1:4">
      <c r="A279" s="6">
        <v>1995.262314968914</v>
      </c>
      <c r="B279" s="7">
        <v>120.2972191887812</v>
      </c>
      <c r="C279" s="7">
        <v>120.2972191887811</v>
      </c>
      <c r="D279" s="6">
        <v>-1.13686837721616E-13</v>
      </c>
    </row>
    <row r="280" spans="1:4">
      <c r="A280" s="6">
        <v>2018.366363681596</v>
      </c>
      <c r="B280" s="7">
        <v>120.3067272444788</v>
      </c>
      <c r="C280" s="7">
        <v>120.3067272444789</v>
      </c>
      <c r="D280" s="6">
        <v>1.13686837721616E-13</v>
      </c>
    </row>
    <row r="281" spans="1:4">
      <c r="A281" s="6">
        <v>2041.737944669565</v>
      </c>
      <c r="B281" s="7">
        <v>120.3164597992174</v>
      </c>
      <c r="C281" s="7">
        <v>120.3164597992163</v>
      </c>
      <c r="D281" s="6">
        <v>-1.080024958355352E-12</v>
      </c>
    </row>
    <row r="282" spans="1:4">
      <c r="A282" s="6">
        <v>2065.380155810566</v>
      </c>
      <c r="B282" s="7">
        <v>120.3264222138145</v>
      </c>
      <c r="C282" s="7">
        <v>120.3264222138131</v>
      </c>
      <c r="D282" s="6">
        <v>-1.463718035665806E-12</v>
      </c>
    </row>
    <row r="283" spans="1:4">
      <c r="A283" s="6">
        <v>2089.296130854076</v>
      </c>
      <c r="B283" s="7">
        <v>120.3366199792607</v>
      </c>
      <c r="C283" s="7">
        <v>120.3366199792615</v>
      </c>
      <c r="D283" s="6">
        <v>7.531752999057062E-13</v>
      </c>
    </row>
    <row r="284" spans="1:4">
      <c r="A284" s="6">
        <v>2113.489039836684</v>
      </c>
      <c r="B284" s="7">
        <v>120.3470587199341</v>
      </c>
      <c r="C284" s="7">
        <v>120.3470587199339</v>
      </c>
      <c r="D284" s="6">
        <v>-1.4210854715202E-13</v>
      </c>
    </row>
    <row r="285" spans="1:4">
      <c r="A285" s="6">
        <v>2137.96208950227</v>
      </c>
      <c r="B285" s="7">
        <v>120.3577441968663</v>
      </c>
      <c r="C285" s="7">
        <v>120.3577441968667</v>
      </c>
      <c r="D285" s="6">
        <v>4.121147867408581E-13</v>
      </c>
    </row>
    <row r="286" spans="1:4">
      <c r="A286" s="6">
        <v>2162.718523727059</v>
      </c>
      <c r="B286" s="7">
        <v>120.3686823111228</v>
      </c>
      <c r="C286" s="7">
        <v>120.3686823111223</v>
      </c>
      <c r="D286" s="6">
        <v>-4.689582056016661E-13</v>
      </c>
    </row>
    <row r="287" spans="1:4">
      <c r="A287" s="6">
        <v>2187.761623949591</v>
      </c>
      <c r="B287" s="7">
        <v>120.3798791072323</v>
      </c>
      <c r="C287" s="7">
        <v>120.3798791072299</v>
      </c>
      <c r="D287" s="6">
        <v>-2.415845301584341E-12</v>
      </c>
    </row>
    <row r="288" spans="1:4">
      <c r="A288" s="6">
        <v>2213.094709605677</v>
      </c>
      <c r="B288" s="7">
        <v>120.391340776708</v>
      </c>
      <c r="C288" s="7">
        <v>120.3913407767073</v>
      </c>
      <c r="D288" s="6">
        <v>-7.673861546209082E-13</v>
      </c>
    </row>
    <row r="289" spans="1:4">
      <c r="A289" s="6">
        <v>2238.72113856838</v>
      </c>
      <c r="B289" s="7">
        <v>120.4030736616635</v>
      </c>
      <c r="C289" s="7">
        <v>120.4030736616631</v>
      </c>
      <c r="D289" s="6">
        <v>-3.552713678800501E-13</v>
      </c>
    </row>
    <row r="290" spans="1:4">
      <c r="A290" s="6">
        <v>2264.6443075931</v>
      </c>
      <c r="B290" s="7">
        <v>120.4150842584834</v>
      </c>
      <c r="C290" s="7">
        <v>120.4150842584826</v>
      </c>
      <c r="D290" s="6">
        <v>-7.247535904753022E-13</v>
      </c>
    </row>
    <row r="291" spans="1:4">
      <c r="A291" s="6">
        <v>2290.867652767814</v>
      </c>
      <c r="B291" s="7">
        <v>120.427379221597</v>
      </c>
      <c r="C291" s="7">
        <v>120.4273792215962</v>
      </c>
      <c r="D291" s="6">
        <v>-7.815970093361102E-13</v>
      </c>
    </row>
    <row r="292" spans="1:4">
      <c r="A292" s="6">
        <v>2317.394649968521</v>
      </c>
      <c r="B292" s="7">
        <v>120.4399653673334</v>
      </c>
      <c r="C292" s="7">
        <v>120.4399653673322</v>
      </c>
      <c r="D292" s="6">
        <v>-1.250555214937776E-12</v>
      </c>
    </row>
    <row r="293" spans="1:4">
      <c r="A293" s="6">
        <v>2344.228815319965</v>
      </c>
      <c r="B293" s="7">
        <v>120.4528496778562</v>
      </c>
      <c r="C293" s="7">
        <v>120.4528496778554</v>
      </c>
      <c r="D293" s="6">
        <v>-8.100187187665142E-13</v>
      </c>
    </row>
    <row r="294" spans="1:4">
      <c r="A294" s="6">
        <v>2371.373705661698</v>
      </c>
      <c r="B294" s="7">
        <v>120.4660393051886</v>
      </c>
      <c r="C294" s="7">
        <v>120.4660393051903</v>
      </c>
      <c r="D294" s="6">
        <v>1.719513420539442E-12</v>
      </c>
    </row>
    <row r="295" spans="1:4">
      <c r="A295" s="6">
        <v>2398.832919019535</v>
      </c>
      <c r="B295" s="7">
        <v>120.4795415753325</v>
      </c>
      <c r="C295" s="7">
        <v>120.4795415753312</v>
      </c>
      <c r="D295" s="6">
        <v>-1.364242052659392E-12</v>
      </c>
    </row>
    <row r="296" spans="1:4">
      <c r="A296" s="6">
        <v>2426.61009508246</v>
      </c>
      <c r="B296" s="7">
        <v>120.4933639924386</v>
      </c>
      <c r="C296" s="7">
        <v>120.4933639924376</v>
      </c>
      <c r="D296" s="6">
        <v>-9.805489753489383E-13</v>
      </c>
    </row>
    <row r="297" spans="1:4">
      <c r="A297" s="6">
        <v>2454.708915685076</v>
      </c>
      <c r="B297" s="7">
        <v>120.5075142431197</v>
      </c>
      <c r="C297" s="7">
        <v>120.5075142431171</v>
      </c>
      <c r="D297" s="6">
        <v>-2.543742994021159E-12</v>
      </c>
    </row>
    <row r="298" spans="1:4">
      <c r="A298" s="6">
        <v>2483.133105295616</v>
      </c>
      <c r="B298" s="7">
        <v>120.5220002007945</v>
      </c>
      <c r="C298" s="7">
        <v>120.522000200793</v>
      </c>
      <c r="D298" s="6">
        <v>-1.577404873387422E-12</v>
      </c>
    </row>
    <row r="299" spans="1:4">
      <c r="A299" s="6">
        <v>2511.886431509627</v>
      </c>
      <c r="B299" s="7">
        <v>120.5368299301585</v>
      </c>
      <c r="C299" s="7">
        <v>120.5368299301581</v>
      </c>
      <c r="D299" s="6">
        <v>-4.263256414560601E-13</v>
      </c>
    </row>
    <row r="300" spans="1:4">
      <c r="A300" s="6">
        <v>2540.972705549353</v>
      </c>
      <c r="B300" s="7">
        <v>120.5520116917133</v>
      </c>
      <c r="C300" s="7">
        <v>120.5520116917136</v>
      </c>
      <c r="D300" s="6">
        <v>2.700062395888381E-13</v>
      </c>
    </row>
    <row r="301" spans="1:4">
      <c r="A301" s="6">
        <v>2570.395782768912</v>
      </c>
      <c r="B301" s="7">
        <v>120.5675539463918</v>
      </c>
      <c r="C301" s="7">
        <v>120.5675539463907</v>
      </c>
      <c r="D301" s="6">
        <v>-1.151079231931362E-12</v>
      </c>
    </row>
    <row r="302" spans="1:4">
      <c r="A302" s="6">
        <v>2600.159563165321</v>
      </c>
      <c r="B302" s="7">
        <v>120.583465360253</v>
      </c>
      <c r="C302" s="7">
        <v>120.5834653602544</v>
      </c>
      <c r="D302" s="6">
        <v>1.335820343228988E-12</v>
      </c>
    </row>
    <row r="303" spans="1:4">
      <c r="A303" s="6">
        <v>2630.267991895431</v>
      </c>
      <c r="B303" s="7">
        <v>120.5997548092879</v>
      </c>
      <c r="C303" s="7">
        <v>120.5997548092875</v>
      </c>
      <c r="D303" s="6">
        <v>-4.121147867408581E-13</v>
      </c>
    </row>
    <row r="304" spans="1:4">
      <c r="A304" s="6">
        <v>2660.72505979886</v>
      </c>
      <c r="B304" s="7">
        <v>120.6164313842537</v>
      </c>
      <c r="C304" s="7">
        <v>120.6164313842519</v>
      </c>
      <c r="D304" s="6">
        <v>-1.875832822406664E-12</v>
      </c>
    </row>
    <row r="305" spans="1:4">
      <c r="A305" s="6">
        <v>2691.534803926967</v>
      </c>
      <c r="B305" s="7">
        <v>120.6335043956232</v>
      </c>
      <c r="C305" s="7">
        <v>120.6335043956237</v>
      </c>
      <c r="D305" s="6">
        <v>4.689582056016661E-13</v>
      </c>
    </row>
    <row r="306" spans="1:4">
      <c r="A306" s="6">
        <v>2722.701308077964</v>
      </c>
      <c r="B306" s="7">
        <v>120.650983378599</v>
      </c>
      <c r="C306" s="7">
        <v>120.6509833786</v>
      </c>
      <c r="D306" s="6">
        <v>1.023181539494544E-12</v>
      </c>
    </row>
    <row r="307" spans="1:4">
      <c r="A307" s="6">
        <v>2754.228703338219</v>
      </c>
      <c r="B307" s="7">
        <v>120.6688780981695</v>
      </c>
      <c r="C307" s="7">
        <v>120.6688780981705</v>
      </c>
      <c r="D307" s="6">
        <v>9.805489753489383E-13</v>
      </c>
    </row>
    <row r="308" spans="1:4">
      <c r="A308" s="6">
        <v>2786.121168629824</v>
      </c>
      <c r="B308" s="7">
        <v>120.6871985542526</v>
      </c>
      <c r="C308" s="7">
        <v>120.6871985542511</v>
      </c>
      <c r="D308" s="6">
        <v>-1.463718035665806E-12</v>
      </c>
    </row>
    <row r="309" spans="1:4">
      <c r="A309" s="6">
        <v>2818.382931264508</v>
      </c>
      <c r="B309" s="7">
        <v>120.7059549868733</v>
      </c>
      <c r="C309" s="7">
        <v>120.7059549868722</v>
      </c>
      <c r="D309" s="6">
        <v>-1.080024958355352E-12</v>
      </c>
    </row>
    <row r="310" spans="1:4">
      <c r="A310" s="6">
        <v>2851.018267503965</v>
      </c>
      <c r="B310" s="7">
        <v>120.7251578814106</v>
      </c>
      <c r="C310" s="7">
        <v>120.7251578814141</v>
      </c>
      <c r="D310" s="6">
        <v>3.524291969370097E-12</v>
      </c>
    </row>
    <row r="311" spans="1:4">
      <c r="A311" s="6">
        <v>2884.031503126662</v>
      </c>
      <c r="B311" s="7">
        <v>120.7448179738819</v>
      </c>
      <c r="C311" s="7">
        <v>120.7448179738831</v>
      </c>
      <c r="D311" s="6">
        <v>1.20792265079217E-12</v>
      </c>
    </row>
    <row r="312" spans="1:4">
      <c r="A312" s="6">
        <v>2917.427014001224</v>
      </c>
      <c r="B312" s="7">
        <v>120.7649462562174</v>
      </c>
      <c r="C312" s="7">
        <v>120.7649462562163</v>
      </c>
      <c r="D312" s="6">
        <v>-1.080024958355352E-12</v>
      </c>
    </row>
    <row r="313" spans="1:4">
      <c r="A313" s="6">
        <v>2951.209226666444</v>
      </c>
      <c r="B313" s="7">
        <v>120.7855539816067</v>
      </c>
      <c r="C313" s="7">
        <v>120.7855539816076</v>
      </c>
      <c r="D313" s="6">
        <v>8.810729923425242E-13</v>
      </c>
    </row>
    <row r="314" spans="1:4">
      <c r="A314" s="6">
        <v>2985.382618918018</v>
      </c>
      <c r="B314" s="7">
        <v>120.8066526698387</v>
      </c>
      <c r="C314" s="7">
        <v>120.8066526698391</v>
      </c>
      <c r="D314" s="6">
        <v>4.263256414560601E-13</v>
      </c>
    </row>
    <row r="315" spans="1:4">
      <c r="A315" s="6">
        <v>3019.951720402076</v>
      </c>
      <c r="B315" s="7">
        <v>120.8282541126063</v>
      </c>
      <c r="C315" s="7">
        <v>120.8282541126064</v>
      </c>
      <c r="D315" s="6">
        <v>8.526512829121202E-14</v>
      </c>
    </row>
    <row r="316" spans="1:4">
      <c r="A316" s="6">
        <v>3054.921113215574</v>
      </c>
      <c r="B316" s="7">
        <v>120.8503703788205</v>
      </c>
      <c r="C316" s="7">
        <v>120.8503703788211</v>
      </c>
      <c r="D316" s="6">
        <v>5.684341886080801E-13</v>
      </c>
    </row>
    <row r="317" spans="1:4">
      <c r="A317" s="6">
        <v>3090.295432513652</v>
      </c>
      <c r="B317" s="7">
        <v>120.8730138198703</v>
      </c>
      <c r="C317" s="7">
        <v>120.8730138198718</v>
      </c>
      <c r="D317" s="6">
        <v>1.506350599811412E-12</v>
      </c>
    </row>
    <row r="318" spans="1:4">
      <c r="A318" s="6">
        <v>3126.079367124017</v>
      </c>
      <c r="B318" s="7">
        <v>120.8961970748233</v>
      </c>
      <c r="C318" s="7">
        <v>120.8961970748242</v>
      </c>
      <c r="D318" s="6">
        <v>9.237055564881302E-13</v>
      </c>
    </row>
    <row r="319" spans="1:4">
      <c r="A319" s="6">
        <v>3162.277660168443</v>
      </c>
      <c r="B319" s="7">
        <v>120.9199330755378</v>
      </c>
      <c r="C319" s="7">
        <v>120.919933075537</v>
      </c>
      <c r="D319" s="6">
        <v>-7.673861546209082E-13</v>
      </c>
    </row>
    <row r="320" spans="1:4">
      <c r="A320" s="6">
        <v>3198.895109691462</v>
      </c>
      <c r="B320" s="7">
        <v>120.9442350516681</v>
      </c>
      <c r="C320" s="7">
        <v>120.9442350516669</v>
      </c>
      <c r="D320" s="6">
        <v>-1.193711796076968E-12</v>
      </c>
    </row>
    <row r="321" spans="1:4">
      <c r="A321" s="6">
        <v>3235.936569296348</v>
      </c>
      <c r="B321" s="7">
        <v>120.9691165355337</v>
      </c>
      <c r="C321" s="7">
        <v>120.9691165355348</v>
      </c>
      <c r="D321" s="6">
        <v>1.094235813070554E-12</v>
      </c>
    </row>
    <row r="322" spans="1:4">
      <c r="A322" s="6">
        <v>3273.406948788448</v>
      </c>
      <c r="B322" s="7">
        <v>120.9945913668191</v>
      </c>
      <c r="C322" s="7">
        <v>120.9945913668192</v>
      </c>
      <c r="D322" s="6">
        <v>2.842170943040401E-14</v>
      </c>
    </row>
    <row r="323" spans="1:4">
      <c r="A323" s="6">
        <v>3311.311214825978</v>
      </c>
      <c r="B323" s="7">
        <v>121.02067369704</v>
      </c>
      <c r="C323" s="7">
        <v>121.0206736970405</v>
      </c>
      <c r="D323" s="6">
        <v>5.542233338928781E-13</v>
      </c>
    </row>
    <row r="324" spans="1:4">
      <c r="A324" s="6">
        <v>3349.654391578345</v>
      </c>
      <c r="B324" s="7">
        <v>121.0473779937957</v>
      </c>
      <c r="C324" s="7">
        <v>121.0473779937952</v>
      </c>
      <c r="D324" s="6">
        <v>-5.115907697472721E-13</v>
      </c>
    </row>
    <row r="325" spans="1:4">
      <c r="A325" s="6">
        <v>3388.441561392094</v>
      </c>
      <c r="B325" s="7">
        <v>121.0747190446924</v>
      </c>
      <c r="C325" s="7">
        <v>121.0747190446923</v>
      </c>
      <c r="D325" s="6">
        <v>-8.526512829121202E-14</v>
      </c>
    </row>
    <row r="326" spans="1:4">
      <c r="A326" s="6">
        <v>3427.677865464573</v>
      </c>
      <c r="B326" s="7">
        <v>121.1027119609422</v>
      </c>
      <c r="C326" s="7">
        <v>121.1027119609418</v>
      </c>
      <c r="D326" s="6">
        <v>-3.410605131648481E-13</v>
      </c>
    </row>
    <row r="327" spans="1:4">
      <c r="A327" s="6">
        <v>3467.368504525388</v>
      </c>
      <c r="B327" s="7">
        <v>121.1313721805369</v>
      </c>
      <c r="C327" s="7">
        <v>121.1313721805357</v>
      </c>
      <c r="D327" s="6">
        <v>-1.179500941361766E-12</v>
      </c>
    </row>
    <row r="328" spans="1:4">
      <c r="A328" s="6">
        <v>3507.518739525752</v>
      </c>
      <c r="B328" s="7">
        <v>121.1607154709557</v>
      </c>
      <c r="C328" s="7">
        <v>121.1607154709571</v>
      </c>
      <c r="D328" s="6">
        <v>1.378452907374594E-12</v>
      </c>
    </row>
    <row r="329" spans="1:4">
      <c r="A329" s="6">
        <v>3548.133892335828</v>
      </c>
      <c r="B329" s="7">
        <v>121.1907579313472</v>
      </c>
      <c r="C329" s="7">
        <v>121.1907579313443</v>
      </c>
      <c r="D329" s="6">
        <v>-2.870592652470805E-12</v>
      </c>
    </row>
    <row r="330" spans="1:4">
      <c r="A330" s="6">
        <v>3589.219346450126</v>
      </c>
      <c r="B330" s="7">
        <v>121.2215159940337</v>
      </c>
      <c r="C330" s="7">
        <v>121.2215159940295</v>
      </c>
      <c r="D330" s="6">
        <v>-4.192202140984591E-12</v>
      </c>
    </row>
    <row r="331" spans="1:4">
      <c r="A331" s="6">
        <v>3630.780547701089</v>
      </c>
      <c r="B331" s="7">
        <v>121.2530064253603</v>
      </c>
      <c r="C331" s="7">
        <v>121.25300642536</v>
      </c>
      <c r="D331" s="6">
        <v>-2.700062395888381E-13</v>
      </c>
    </row>
    <row r="332" spans="1:4">
      <c r="A332" s="6">
        <v>3672.823004980923</v>
      </c>
      <c r="B332" s="7">
        <v>121.2852463257005</v>
      </c>
      <c r="C332" s="7">
        <v>121.2852463257013</v>
      </c>
      <c r="D332" s="6">
        <v>7.673861546209082E-13</v>
      </c>
    </row>
    <row r="333" spans="1:4">
      <c r="A333" s="6">
        <v>3715.352290971803</v>
      </c>
      <c r="B333" s="7">
        <v>121.3182531285089</v>
      </c>
      <c r="C333" s="7">
        <v>121.3182531285082</v>
      </c>
      <c r="D333" s="6">
        <v>-6.110667527536862E-13</v>
      </c>
    </row>
    <row r="334" spans="1:4">
      <c r="A334" s="6">
        <v>3758.37404288452</v>
      </c>
      <c r="B334" s="7">
        <v>121.3520445983366</v>
      </c>
      <c r="C334" s="7">
        <v>121.3520445983388</v>
      </c>
      <c r="D334" s="6">
        <v>2.287947609147523E-12</v>
      </c>
    </row>
    <row r="335" spans="1:4">
      <c r="A335" s="6">
        <v>3801.893963205692</v>
      </c>
      <c r="B335" s="7">
        <v>121.3866388276682</v>
      </c>
      <c r="C335" s="7">
        <v>121.3866388276678</v>
      </c>
      <c r="D335" s="6">
        <v>-3.979039320256561E-13</v>
      </c>
    </row>
    <row r="336" spans="1:4">
      <c r="A336" s="6">
        <v>3845.917820453617</v>
      </c>
      <c r="B336" s="7">
        <v>121.4220542323434</v>
      </c>
      <c r="C336" s="7">
        <v>121.4220542323436</v>
      </c>
      <c r="D336" s="6">
        <v>2.273736754432321E-13</v>
      </c>
    </row>
    <row r="337" spans="1:4">
      <c r="A337" s="6">
        <v>3890.451449942888</v>
      </c>
      <c r="B337" s="7">
        <v>121.4583095455115</v>
      </c>
      <c r="C337" s="7">
        <v>121.4583095455137</v>
      </c>
      <c r="D337" s="6">
        <v>2.131628207280301E-12</v>
      </c>
    </row>
    <row r="338" spans="1:4">
      <c r="A338" s="6">
        <v>3935.500754557858</v>
      </c>
      <c r="B338" s="7">
        <v>121.4954238098198</v>
      </c>
      <c r="C338" s="7">
        <v>121.4954238098193</v>
      </c>
      <c r="D338" s="6">
        <v>-5.115907697472721E-13</v>
      </c>
    </row>
    <row r="339" spans="1:4">
      <c r="A339" s="6">
        <v>3981.071705535057</v>
      </c>
      <c r="B339" s="7">
        <v>121.5334163676464</v>
      </c>
      <c r="C339" s="7">
        <v>121.5334163676449</v>
      </c>
      <c r="D339" s="6">
        <v>-1.435296326235402E-12</v>
      </c>
    </row>
    <row r="340" spans="1:4">
      <c r="A340" s="6">
        <v>4027.170343254676</v>
      </c>
      <c r="B340" s="7">
        <v>121.5723068491759</v>
      </c>
      <c r="C340" s="7">
        <v>121.5723068491748</v>
      </c>
      <c r="D340" s="6">
        <v>-1.165290086646564E-12</v>
      </c>
    </row>
    <row r="341" spans="1:4">
      <c r="A341" s="6">
        <v>4073.802778041214</v>
      </c>
      <c r="B341" s="7">
        <v>121.6121151579871</v>
      </c>
      <c r="C341" s="7">
        <v>121.6121151579869</v>
      </c>
      <c r="D341" s="6">
        <v>-1.989519660128281E-13</v>
      </c>
    </row>
    <row r="342" spans="1:4">
      <c r="A342" s="6">
        <v>4120.97519097339</v>
      </c>
      <c r="B342" s="7">
        <v>121.6528614538806</v>
      </c>
      <c r="C342" s="7">
        <v>121.6528614538803</v>
      </c>
      <c r="D342" s="6">
        <v>-3.126388037344441E-13</v>
      </c>
    </row>
    <row r="343" spans="1:4">
      <c r="A343" s="6">
        <v>4168.693834703444</v>
      </c>
      <c r="B343" s="7">
        <v>121.694566132601</v>
      </c>
      <c r="C343" s="7">
        <v>121.6945661325971</v>
      </c>
      <c r="D343" s="6">
        <v>-3.922195901395753E-12</v>
      </c>
    </row>
    <row r="344" spans="1:4">
      <c r="A344" s="6">
        <v>4216.965034285913</v>
      </c>
      <c r="B344" s="7">
        <v>121.7372498020637</v>
      </c>
      <c r="C344" s="7">
        <v>121.7372498020632</v>
      </c>
      <c r="D344" s="6">
        <v>-5.542233338928781E-13</v>
      </c>
    </row>
    <row r="345" spans="1:4">
      <c r="A345" s="6">
        <v>4265.795188016019</v>
      </c>
      <c r="B345" s="7">
        <v>121.7809332547269</v>
      </c>
      <c r="C345" s="7">
        <v>121.7809332547265</v>
      </c>
      <c r="D345" s="6">
        <v>-3.979039320256561E-13</v>
      </c>
    </row>
    <row r="346" spans="1:4">
      <c r="A346" s="6">
        <v>4315.190768277746</v>
      </c>
      <c r="B346" s="7">
        <v>121.8256374355271</v>
      </c>
      <c r="C346" s="7">
        <v>121.8256374355249</v>
      </c>
      <c r="D346" s="6">
        <v>-2.287947609147523E-12</v>
      </c>
    </row>
    <row r="347" spans="1:4">
      <c r="A347" s="6">
        <v>4365.158322401755</v>
      </c>
      <c r="B347" s="7">
        <v>121.8713834049633</v>
      </c>
      <c r="C347" s="7">
        <v>121.8713834049616</v>
      </c>
      <c r="D347" s="6">
        <v>-1.605826582817826E-12</v>
      </c>
    </row>
    <row r="348" spans="1:4">
      <c r="A348" s="6">
        <v>4415.704473533221</v>
      </c>
      <c r="B348" s="7">
        <v>121.918192296704</v>
      </c>
      <c r="C348" s="7">
        <v>121.9181922967074</v>
      </c>
      <c r="D348" s="6">
        <v>3.396394276933279E-12</v>
      </c>
    </row>
    <row r="349" spans="1:4">
      <c r="A349" s="6">
        <v>4466.835921509729</v>
      </c>
      <c r="B349" s="7">
        <v>121.9660852690839</v>
      </c>
      <c r="C349" s="7">
        <v>121.9660852690802</v>
      </c>
      <c r="D349" s="6">
        <v>-3.637978807091713E-12</v>
      </c>
    </row>
    <row r="350" spans="1:4">
      <c r="A350" s="6">
        <v>4518.559443749323</v>
      </c>
      <c r="B350" s="7">
        <v>122.0150834496853</v>
      </c>
      <c r="C350" s="7">
        <v>122.015083449683</v>
      </c>
      <c r="D350" s="6">
        <v>-2.259525899717119E-12</v>
      </c>
    </row>
    <row r="351" spans="1:4">
      <c r="A351" s="6">
        <v>4570.881896148851</v>
      </c>
      <c r="B351" s="7">
        <v>122.0652078723988</v>
      </c>
      <c r="C351" s="7">
        <v>122.0652078723957</v>
      </c>
      <c r="D351" s="6">
        <v>-3.097966327914037E-12</v>
      </c>
    </row>
    <row r="352" spans="1:4">
      <c r="A352" s="6">
        <v>4623.810213992705</v>
      </c>
      <c r="B352" s="7">
        <v>122.1164794058263</v>
      </c>
      <c r="C352" s="7">
        <v>122.1164794058283</v>
      </c>
      <c r="D352" s="6">
        <v>1.975308805413079E-12</v>
      </c>
    </row>
    <row r="353" spans="1:4">
      <c r="A353" s="6">
        <v>4677.351412872085</v>
      </c>
      <c r="B353" s="7">
        <v>122.1689186722386</v>
      </c>
      <c r="C353" s="7">
        <v>122.1689186722408</v>
      </c>
      <c r="D353" s="6">
        <v>2.273736754432321E-12</v>
      </c>
    </row>
    <row r="354" spans="1:4">
      <c r="A354" s="6">
        <v>4731.51258961491</v>
      </c>
      <c r="B354" s="7">
        <v>122.2225459558218</v>
      </c>
      <c r="C354" s="7">
        <v>122.222545955827</v>
      </c>
      <c r="D354" s="6">
        <v>5.144329406903125E-12</v>
      </c>
    </row>
    <row r="355" spans="1:4">
      <c r="A355" s="6">
        <v>4786.30092322649</v>
      </c>
      <c r="B355" s="7">
        <v>122.2773810991295</v>
      </c>
      <c r="C355" s="7">
        <v>122.2773810991321</v>
      </c>
      <c r="D355" s="6">
        <v>2.671640686457977E-12</v>
      </c>
    </row>
    <row r="356" spans="1:4">
      <c r="A356" s="6">
        <v>4841.723675841102</v>
      </c>
      <c r="B356" s="7">
        <v>122.3334433862408</v>
      </c>
      <c r="C356" s="7">
        <v>122.3334433862451</v>
      </c>
      <c r="D356" s="6">
        <v>4.320099833421409E-12</v>
      </c>
    </row>
    <row r="357" spans="1:4">
      <c r="A357" s="6">
        <v>4897.788193684572</v>
      </c>
      <c r="B357" s="7">
        <v>122.3907514112456</v>
      </c>
      <c r="C357" s="7">
        <v>122.3907514112512</v>
      </c>
      <c r="D357" s="6">
        <v>5.641709321935195E-12</v>
      </c>
    </row>
    <row r="358" spans="1:4">
      <c r="A358" s="6">
        <v>4954.501908048014</v>
      </c>
      <c r="B358" s="7">
        <v>122.4493229302725</v>
      </c>
      <c r="C358" s="7">
        <v>122.449322930273</v>
      </c>
      <c r="D358" s="6">
        <v>5.258016244624741E-13</v>
      </c>
    </row>
    <row r="359" spans="1:4">
      <c r="A359" s="6">
        <v>5011.872336272836</v>
      </c>
      <c r="B359" s="7">
        <v>122.5091746952474</v>
      </c>
      <c r="C359" s="7">
        <v>122.5091746952443</v>
      </c>
      <c r="D359" s="6">
        <v>-3.083755473198835E-12</v>
      </c>
    </row>
    <row r="360" spans="1:4">
      <c r="A360" s="6">
        <v>5069.907082747159</v>
      </c>
      <c r="B360" s="7">
        <v>122.5703222673775</v>
      </c>
      <c r="C360" s="7">
        <v>122.5703222673705</v>
      </c>
      <c r="D360" s="6">
        <v>-6.977529665164184E-12</v>
      </c>
    </row>
    <row r="361" spans="1:4">
      <c r="A361" s="6">
        <v>5128.613839913764</v>
      </c>
      <c r="B361" s="7">
        <v>122.6327798080147</v>
      </c>
      <c r="C361" s="7">
        <v>122.6327798080141</v>
      </c>
      <c r="D361" s="6">
        <v>-6.394884621840902E-13</v>
      </c>
    </row>
    <row r="362" spans="1:4">
      <c r="A362" s="6">
        <v>5188.000389289729</v>
      </c>
      <c r="B362" s="7">
        <v>122.6965598445136</v>
      </c>
      <c r="C362" s="7">
        <v>122.6965598445157</v>
      </c>
      <c r="D362" s="6">
        <v>2.060573933704291E-12</v>
      </c>
    </row>
    <row r="363" spans="1:4">
      <c r="A363" s="6">
        <v>5248.074602497846</v>
      </c>
      <c r="B363" s="7">
        <v>122.7616730082148</v>
      </c>
      <c r="C363" s="7">
        <v>122.7616730082162</v>
      </c>
      <c r="D363" s="6">
        <v>1.449507180950604E-12</v>
      </c>
    </row>
    <row r="364" spans="1:4">
      <c r="A364" s="6">
        <v>5308.844442310005</v>
      </c>
      <c r="B364" s="7">
        <v>122.8281277416862</v>
      </c>
      <c r="C364" s="7">
        <v>122.8281277416808</v>
      </c>
      <c r="D364" s="6">
        <v>-5.329070518200751E-12</v>
      </c>
    </row>
    <row r="365" spans="1:4">
      <c r="A365" s="6">
        <v>5370.317963702651</v>
      </c>
      <c r="B365" s="7">
        <v>122.8959299718379</v>
      </c>
      <c r="C365" s="7">
        <v>122.8959299718473</v>
      </c>
      <c r="D365" s="6">
        <v>9.407585821463726E-12</v>
      </c>
    </row>
    <row r="366" spans="1:4">
      <c r="A366" s="6">
        <v>5432.503314924457</v>
      </c>
      <c r="B366" s="7">
        <v>122.9650827455371</v>
      </c>
      <c r="C366" s="7">
        <v>122.9650827455315</v>
      </c>
      <c r="D366" s="6">
        <v>-5.584865903074387E-12</v>
      </c>
    </row>
    <row r="367" spans="1:4">
      <c r="A367" s="6">
        <v>5495.408738576372</v>
      </c>
      <c r="B367" s="7">
        <v>123.035585823416</v>
      </c>
      <c r="C367" s="7">
        <v>123.03558582342</v>
      </c>
      <c r="D367" s="6">
        <v>4.035882739117369E-12</v>
      </c>
    </row>
    <row r="368" spans="1:4">
      <c r="A368" s="6">
        <v>5559.042572704165</v>
      </c>
      <c r="B368" s="7">
        <v>123.1074352283707</v>
      </c>
      <c r="C368" s="7">
        <v>123.1074352283745</v>
      </c>
      <c r="D368" s="6">
        <v>3.879563337250147E-12</v>
      </c>
    </row>
    <row r="369" spans="1:4">
      <c r="A369" s="6">
        <v>5623.413251903621</v>
      </c>
      <c r="B369" s="7">
        <v>123.1806227435648</v>
      </c>
      <c r="C369" s="7">
        <v>123.1806227435711</v>
      </c>
      <c r="D369" s="6">
        <v>6.323830348264892E-12</v>
      </c>
    </row>
    <row r="370" spans="1:4">
      <c r="A370" s="6">
        <v>5688.529308438548</v>
      </c>
      <c r="B370" s="7">
        <v>123.2551353557036</v>
      </c>
      <c r="C370" s="7">
        <v>123.2551353557042</v>
      </c>
      <c r="D370" s="6">
        <v>6.252776074688882E-13</v>
      </c>
    </row>
    <row r="371" spans="1:4">
      <c r="A371" s="6">
        <v>5754.399373371703</v>
      </c>
      <c r="B371" s="7">
        <v>123.3309546382247</v>
      </c>
      <c r="C371" s="7">
        <v>123.3309546382237</v>
      </c>
      <c r="D371" s="6">
        <v>-1.037392394209746E-12</v>
      </c>
    </row>
    <row r="372" spans="1:4">
      <c r="A372" s="6">
        <v>5821.032177708851</v>
      </c>
      <c r="B372" s="7">
        <v>123.4080560693516</v>
      </c>
      <c r="C372" s="7">
        <v>123.4080560693485</v>
      </c>
      <c r="D372" s="6">
        <v>-3.097966327914037E-12</v>
      </c>
    </row>
    <row r="373" spans="1:4">
      <c r="A373" s="6">
        <v>5888.436553556028</v>
      </c>
      <c r="B373" s="7">
        <v>123.4864082794499</v>
      </c>
      <c r="C373" s="7">
        <v>123.4864082794456</v>
      </c>
      <c r="D373" s="6">
        <v>-4.334310688136611E-12</v>
      </c>
    </row>
    <row r="374" spans="1:4">
      <c r="A374" s="6">
        <v>5956.621435290245</v>
      </c>
      <c r="B374" s="7">
        <v>123.5659722222963</v>
      </c>
      <c r="C374" s="7">
        <v>123.5659722222976</v>
      </c>
      <c r="D374" s="6">
        <v>1.264766069652978E-12</v>
      </c>
    </row>
    <row r="375" spans="1:4">
      <c r="A375" s="6">
        <v>6025.59586074372</v>
      </c>
      <c r="B375" s="7">
        <v>123.6467002648521</v>
      </c>
      <c r="C375" s="7">
        <v>123.6467002648518</v>
      </c>
      <c r="D375" s="6">
        <v>-2.984279490192421E-13</v>
      </c>
    </row>
    <row r="376" spans="1:4">
      <c r="A376" s="6">
        <v>6095.368972401836</v>
      </c>
      <c r="B376" s="7">
        <v>123.7285351902711</v>
      </c>
      <c r="C376" s="7">
        <v>123.7285351902794</v>
      </c>
      <c r="D376" s="6">
        <v>8.384404281969182E-12</v>
      </c>
    </row>
    <row r="377" spans="1:4">
      <c r="A377" s="6">
        <v>6165.950018614969</v>
      </c>
      <c r="B377" s="7">
        <v>123.8114091096471</v>
      </c>
      <c r="C377" s="7">
        <v>123.8114091096458</v>
      </c>
      <c r="D377" s="6">
        <v>-1.35003119794419E-12</v>
      </c>
    </row>
    <row r="378" spans="1:4">
      <c r="A378" s="6">
        <v>6237.348354824341</v>
      </c>
      <c r="B378" s="7">
        <v>123.8952422782538</v>
      </c>
      <c r="C378" s="7">
        <v>123.8952422782538</v>
      </c>
      <c r="D378" s="6">
        <v>-1.4210854715202E-14</v>
      </c>
    </row>
    <row r="379" spans="1:4">
      <c r="A379" s="6">
        <v>6309.573444802083</v>
      </c>
      <c r="B379" s="7">
        <v>123.979941813861</v>
      </c>
      <c r="C379" s="7">
        <v>123.9799418138627</v>
      </c>
      <c r="D379" s="6">
        <v>1.77635683940025E-12</v>
      </c>
    </row>
    <row r="380" spans="1:4">
      <c r="A380" s="6">
        <v>6382.63486190564</v>
      </c>
      <c r="B380" s="7">
        <v>124.0654003155793</v>
      </c>
      <c r="C380" s="7">
        <v>124.0654003155877</v>
      </c>
      <c r="D380" s="6">
        <v>8.469669410260394E-12</v>
      </c>
    </row>
    <row r="381" spans="1:4">
      <c r="A381" s="6">
        <v>6456.542290346711</v>
      </c>
      <c r="B381" s="7">
        <v>124.1514943844684</v>
      </c>
      <c r="C381" s="7">
        <v>124.151494384469</v>
      </c>
      <c r="D381" s="6">
        <v>6.536993168992922E-13</v>
      </c>
    </row>
    <row r="382" spans="1:4">
      <c r="A382" s="6">
        <v>6531.305526474881</v>
      </c>
      <c r="B382" s="7">
        <v>124.2380830495831</v>
      </c>
      <c r="C382" s="7">
        <v>124.2380830495784</v>
      </c>
      <c r="D382" s="6">
        <v>-4.703792910731863E-12</v>
      </c>
    </row>
    <row r="383" spans="1:4">
      <c r="A383" s="6">
        <v>6606.93448007612</v>
      </c>
      <c r="B383" s="7">
        <v>124.325006107233</v>
      </c>
      <c r="C383" s="7">
        <v>124.3250061072424</v>
      </c>
      <c r="D383" s="6">
        <v>9.379164112033322E-12</v>
      </c>
    </row>
    <row r="384" spans="1:4">
      <c r="A384" s="6">
        <v>6683.439175686309</v>
      </c>
      <c r="B384" s="7">
        <v>124.4120823856481</v>
      </c>
      <c r="C384" s="7">
        <v>124.4120823856485</v>
      </c>
      <c r="D384" s="6">
        <v>4.405364961712621E-13</v>
      </c>
    </row>
    <row r="385" spans="1:4">
      <c r="A385" s="6">
        <v>6760.829753919982</v>
      </c>
      <c r="B385" s="7">
        <v>124.4991079529152</v>
      </c>
      <c r="C385" s="7">
        <v>124.49910795291</v>
      </c>
      <c r="D385" s="6">
        <v>-5.272227099339943E-12</v>
      </c>
    </row>
    <row r="386" spans="1:4">
      <c r="A386" s="6">
        <v>6839.11647281446</v>
      </c>
      <c r="B386" s="7">
        <v>124.5858542937129</v>
      </c>
      <c r="C386" s="7">
        <v>124.5858542937211</v>
      </c>
      <c r="D386" s="6">
        <v>8.270717444247566E-12</v>
      </c>
    </row>
    <row r="387" spans="1:4">
      <c r="A387" s="6">
        <v>6918.309709189533</v>
      </c>
      <c r="B387" s="7">
        <v>124.6720664881715</v>
      </c>
      <c r="C387" s="7">
        <v>124.6720664881666</v>
      </c>
      <c r="D387" s="6">
        <v>-4.945377440890297E-12</v>
      </c>
    </row>
    <row r="388" spans="1:4">
      <c r="A388" s="6">
        <v>6998.419960022906</v>
      </c>
      <c r="B388" s="7">
        <v>124.7574614360786</v>
      </c>
      <c r="C388" s="7">
        <v>124.7574614360927</v>
      </c>
      <c r="D388" s="6">
        <v>1.412558958691079E-11</v>
      </c>
    </row>
    <row r="389" spans="1:4">
      <c r="A389" s="6">
        <v>7079.457843841553</v>
      </c>
      <c r="B389" s="7">
        <v>124.8417261817097</v>
      </c>
      <c r="C389" s="7">
        <v>124.841726181716</v>
      </c>
      <c r="D389" s="6">
        <v>6.338041202980094E-12</v>
      </c>
    </row>
    <row r="390" spans="1:4">
      <c r="A390" s="6">
        <v>7161.434102129197</v>
      </c>
      <c r="B390" s="7">
        <v>124.9245164056847</v>
      </c>
      <c r="C390" s="7">
        <v>124.924516405686</v>
      </c>
      <c r="D390" s="6">
        <v>1.321609488513786E-12</v>
      </c>
    </row>
    <row r="391" spans="1:4">
      <c r="A391" s="6">
        <v>7244.35960075008</v>
      </c>
      <c r="B391" s="7">
        <v>125.0054551653734</v>
      </c>
      <c r="C391" s="7">
        <v>125.0054551653613</v>
      </c>
      <c r="D391" s="6">
        <v>-1.20650156532065E-11</v>
      </c>
    </row>
    <row r="392" spans="1:4">
      <c r="A392" s="6">
        <v>7328.245331389222</v>
      </c>
      <c r="B392" s="7">
        <v>125.0841319780934</v>
      </c>
      <c r="C392" s="7">
        <v>125.0841319781035</v>
      </c>
      <c r="D392" s="6">
        <v>1.003286342893261E-11</v>
      </c>
    </row>
    <row r="393" spans="1:4">
      <c r="A393" s="6">
        <v>7413.102413009359</v>
      </c>
      <c r="B393" s="7">
        <v>125.1601023561773</v>
      </c>
      <c r="C393" s="7">
        <v>125.1601023561827</v>
      </c>
      <c r="D393" s="6">
        <v>5.329070518200751E-12</v>
      </c>
    </row>
    <row r="394" spans="1:4">
      <c r="A394" s="6">
        <v>7498.942093324745</v>
      </c>
      <c r="B394" s="7">
        <v>125.2328879143701</v>
      </c>
      <c r="C394" s="7">
        <v>125.2328879143718</v>
      </c>
      <c r="D394" s="6">
        <v>1.63424829224823E-12</v>
      </c>
    </row>
    <row r="395" spans="1:4">
      <c r="A395" s="6">
        <v>7585.775750292028</v>
      </c>
      <c r="B395" s="7">
        <v>125.3019771810712</v>
      </c>
      <c r="C395" s="7">
        <v>125.3019771810765</v>
      </c>
      <c r="D395" s="6">
        <v>5.229594535194337E-12</v>
      </c>
    </row>
    <row r="396" spans="1:4">
      <c r="A396" s="6">
        <v>7673.614893618383</v>
      </c>
      <c r="B396" s="7">
        <v>125.3668272491649</v>
      </c>
      <c r="C396" s="7">
        <v>125.3668272491753</v>
      </c>
      <c r="D396" s="6">
        <v>1.044497821567347E-11</v>
      </c>
    </row>
    <row r="397" spans="1:4">
      <c r="A397" s="6">
        <v>7762.471166287112</v>
      </c>
      <c r="B397" s="7">
        <v>125.426866401594</v>
      </c>
      <c r="C397" s="7">
        <v>125.4268664015942</v>
      </c>
      <c r="D397" s="6">
        <v>2.131628207280301E-13</v>
      </c>
    </row>
    <row r="398" spans="1:4">
      <c r="A398" s="6">
        <v>7852.356346100916</v>
      </c>
      <c r="B398" s="7">
        <v>125.4814978367996</v>
      </c>
      <c r="C398" s="7">
        <v>125.4814978368023</v>
      </c>
      <c r="D398" s="6">
        <v>2.685851541173179E-12</v>
      </c>
    </row>
    <row r="399" spans="1:4">
      <c r="A399" s="6">
        <v>7943.282347243015</v>
      </c>
      <c r="B399" s="7">
        <v>125.530104598697</v>
      </c>
      <c r="C399" s="7">
        <v>125.5301045986877</v>
      </c>
      <c r="D399" s="6">
        <v>-9.279688129026908E-12</v>
      </c>
    </row>
    <row r="400" spans="1:4">
      <c r="A400" s="6">
        <v>8035.261221856376</v>
      </c>
      <c r="B400" s="7">
        <v>125.5720557817659</v>
      </c>
      <c r="C400" s="7">
        <v>125.5720557817546</v>
      </c>
      <c r="D400" s="6">
        <v>-1.1326051208016E-11</v>
      </c>
    </row>
    <row r="401" spans="1:4">
      <c r="A401" s="6">
        <v>8128.305161641199</v>
      </c>
      <c r="B401" s="7">
        <v>125.6067140350322</v>
      </c>
      <c r="C401" s="7">
        <v>125.6067140350442</v>
      </c>
      <c r="D401" s="6">
        <v>1.200817223434569E-11</v>
      </c>
    </row>
    <row r="402" spans="1:4">
      <c r="A402" s="6">
        <v>8222.426499470921</v>
      </c>
      <c r="B402" s="7">
        <v>125.6334443265261</v>
      </c>
      <c r="C402" s="7">
        <v>125.6334443265173</v>
      </c>
      <c r="D402" s="6">
        <v>-8.72546479513403E-12</v>
      </c>
    </row>
    <row r="403" spans="1:4">
      <c r="A403" s="6">
        <v>8317.637711026922</v>
      </c>
      <c r="B403" s="7">
        <v>125.6516238552682</v>
      </c>
      <c r="C403" s="7">
        <v>125.6516238552727</v>
      </c>
      <c r="D403" s="6">
        <v>4.561684363579843E-12</v>
      </c>
    </row>
    <row r="404" spans="1:4">
      <c r="A404" s="6">
        <v>8413.951416452166</v>
      </c>
      <c r="B404" s="7">
        <v>125.660652915289</v>
      </c>
      <c r="C404" s="7">
        <v>125.6606529152843</v>
      </c>
      <c r="D404" s="6">
        <v>-4.661160346586257E-12</v>
      </c>
    </row>
    <row r="405" spans="1:4">
      <c r="A405" s="6">
        <v>8511.380382023983</v>
      </c>
      <c r="B405" s="7">
        <v>125.6599664267637</v>
      </c>
      <c r="C405" s="7">
        <v>125.6599664267647</v>
      </c>
      <c r="D405" s="6">
        <v>1.023181539494544E-12</v>
      </c>
    </row>
    <row r="406" spans="1:4">
      <c r="A406" s="6">
        <v>8609.937521846228</v>
      </c>
      <c r="B406" s="7">
        <v>125.6490457672112</v>
      </c>
      <c r="C406" s="7">
        <v>125.6490457672166</v>
      </c>
      <c r="D406" s="6">
        <v>5.371703082346357E-12</v>
      </c>
    </row>
    <row r="407" spans="1:4">
      <c r="A407" s="6">
        <v>8709.635899561032</v>
      </c>
      <c r="B407" s="7">
        <v>125.6274304625981</v>
      </c>
      <c r="C407" s="7">
        <v>125.6274304625895</v>
      </c>
      <c r="D407" s="6">
        <v>-8.640199666842818E-12</v>
      </c>
    </row>
    <row r="408" spans="1:4">
      <c r="A408" s="6">
        <v>8810.488730080368</v>
      </c>
      <c r="B408" s="7">
        <v>125.5947292490831</v>
      </c>
      <c r="C408" s="7">
        <v>125.5947292490851</v>
      </c>
      <c r="D408" s="6">
        <v>1.975308805413079E-12</v>
      </c>
    </row>
    <row r="409" spans="1:4">
      <c r="A409" s="6">
        <v>8912.509381337686</v>
      </c>
      <c r="B409" s="7">
        <v>125.5506299966678</v>
      </c>
      <c r="C409" s="7">
        <v>125.5506299966632</v>
      </c>
      <c r="D409" s="6">
        <v>-4.575895218295045E-12</v>
      </c>
    </row>
    <row r="410" spans="1:4">
      <c r="A410" s="6">
        <v>9015.711376059804</v>
      </c>
      <c r="B410" s="7">
        <v>125.4949080025662</v>
      </c>
      <c r="C410" s="7">
        <v>125.4949080025731</v>
      </c>
      <c r="D410" s="6">
        <v>6.906475391588174E-12</v>
      </c>
    </row>
    <row r="411" spans="1:4">
      <c r="A411" s="6">
        <v>9120.108393559334</v>
      </c>
      <c r="B411" s="7">
        <v>125.427432220053</v>
      </c>
      <c r="C411" s="7">
        <v>125.4274322200513</v>
      </c>
      <c r="D411" s="6">
        <v>-1.70530256582424E-12</v>
      </c>
    </row>
    <row r="412" spans="1:4">
      <c r="A412" s="6">
        <v>9225.714271547873</v>
      </c>
      <c r="B412" s="7">
        <v>125.3481690819251</v>
      </c>
      <c r="C412" s="7">
        <v>125.3481690819274</v>
      </c>
      <c r="D412" s="6">
        <v>2.344791028008331E-12</v>
      </c>
    </row>
    <row r="413" spans="1:4">
      <c r="A413" s="6">
        <v>9332.543007970155</v>
      </c>
      <c r="B413" s="7">
        <v>125.257183704673</v>
      </c>
      <c r="C413" s="7">
        <v>125.2571837046724</v>
      </c>
      <c r="D413" s="6">
        <v>-5.826450433232822E-13</v>
      </c>
    </row>
    <row r="414" spans="1:4">
      <c r="A414" s="6">
        <v>9440.608762859481</v>
      </c>
      <c r="B414" s="7">
        <v>125.1546384045529</v>
      </c>
      <c r="C414" s="7">
        <v>125.15463840455</v>
      </c>
      <c r="D414" s="6">
        <v>-2.884803507186007E-12</v>
      </c>
    </row>
    <row r="415" spans="1:4">
      <c r="A415" s="6">
        <v>9549.925860214611</v>
      </c>
      <c r="B415" s="7">
        <v>125.0407886102525</v>
      </c>
      <c r="C415" s="7">
        <v>125.0407886102472</v>
      </c>
      <c r="D415" s="6">
        <v>-5.258016244624741E-12</v>
      </c>
    </row>
    <row r="416" spans="1:4">
      <c r="A416" s="6">
        <v>9660.508789898387</v>
      </c>
      <c r="B416" s="7">
        <v>124.9159764009561</v>
      </c>
      <c r="C416" s="7">
        <v>124.9159764009501</v>
      </c>
      <c r="D416" s="6">
        <v>-6.039613253960852E-12</v>
      </c>
    </row>
    <row r="417" spans="1:4">
      <c r="A417" s="6">
        <v>9772.372209558365</v>
      </c>
      <c r="B417" s="7">
        <v>124.7806220217759</v>
      </c>
      <c r="C417" s="7">
        <v>124.7806220217687</v>
      </c>
      <c r="D417" s="6">
        <v>-7.148059921746608E-12</v>
      </c>
    </row>
    <row r="418" spans="1:4">
      <c r="A418" s="6">
        <v>9885.53094656965</v>
      </c>
      <c r="B418" s="7">
        <v>124.6352138192452</v>
      </c>
      <c r="C418" s="7">
        <v>124.6352138192493</v>
      </c>
      <c r="D418" s="6">
        <v>4.177991286269389E-12</v>
      </c>
    </row>
    <row r="419" spans="1:4">
      <c r="A419" s="6">
        <v>10000.00000000027</v>
      </c>
      <c r="B419" s="7">
        <v>124.4802970923337</v>
      </c>
      <c r="C419" s="7">
        <v>124.4802970923386</v>
      </c>
      <c r="D419" s="6">
        <v>4.959588295605499E-12</v>
      </c>
    </row>
    <row r="420" spans="1:4">
      <c r="A420" s="6">
        <v>10115.79454259925</v>
      </c>
      <c r="B420" s="7">
        <v>124.3164623673495</v>
      </c>
      <c r="C420" s="7">
        <v>124.3164623673469</v>
      </c>
      <c r="D420" s="6">
        <v>-2.614797267597169E-12</v>
      </c>
    </row>
    <row r="421" spans="1:4">
      <c r="A421" s="6">
        <v>10232.92992280781</v>
      </c>
      <c r="B421" s="7">
        <v>124.1443335823871</v>
      </c>
      <c r="C421" s="7">
        <v>124.1443335823941</v>
      </c>
      <c r="D421" s="6">
        <v>7.048583938740194E-12</v>
      </c>
    </row>
    <row r="422" spans="1:4">
      <c r="A422" s="6">
        <v>10351.42166679371</v>
      </c>
      <c r="B422" s="7">
        <v>123.9645566142179</v>
      </c>
      <c r="C422" s="7">
        <v>123.9645566142146</v>
      </c>
      <c r="D422" s="6">
        <v>-3.325340003357269E-12</v>
      </c>
    </row>
    <row r="423" spans="1:4">
      <c r="A423" s="6">
        <v>10471.28548050928</v>
      </c>
      <c r="B423" s="7">
        <v>123.7777885067887</v>
      </c>
      <c r="C423" s="7">
        <v>123.7777885067941</v>
      </c>
      <c r="D423" s="6">
        <v>5.428546501207165E-12</v>
      </c>
    </row>
    <row r="424" spans="1:4">
      <c r="A424" s="6">
        <v>10592.53725177317</v>
      </c>
      <c r="B424" s="7">
        <v>123.5846876764958</v>
      </c>
      <c r="C424" s="7">
        <v>123.5846876764932</v>
      </c>
      <c r="D424" s="6">
        <v>-2.515321284590755E-12</v>
      </c>
    </row>
    <row r="425" spans="1:4">
      <c r="A425" s="6">
        <v>10715.19305237635</v>
      </c>
      <c r="B425" s="7">
        <v>123.3859052808206</v>
      </c>
      <c r="C425" s="7">
        <v>123.3859052808288</v>
      </c>
      <c r="D425" s="6">
        <v>8.242295734817162E-12</v>
      </c>
    </row>
    <row r="426" spans="1:4">
      <c r="A426" s="6">
        <v>10839.26914021233</v>
      </c>
      <c r="B426" s="7">
        <v>123.1820778551443</v>
      </c>
      <c r="C426" s="7">
        <v>123.1820778551564</v>
      </c>
      <c r="D426" s="6">
        <v>1.20792265079217E-11</v>
      </c>
    </row>
    <row r="427" spans="1:4">
      <c r="A427" s="6">
        <v>10964.78196143215</v>
      </c>
      <c r="B427" s="7">
        <v>122.9738212483584</v>
      </c>
      <c r="C427" s="7">
        <v>122.9738212483585</v>
      </c>
      <c r="D427" s="6">
        <v>1.84741111297626E-13</v>
      </c>
    </row>
    <row r="428" spans="1:4">
      <c r="A428" s="6">
        <v>11091.74815262431</v>
      </c>
      <c r="B428" s="7">
        <v>122.76172582843</v>
      </c>
      <c r="C428" s="7">
        <v>122.7617258284324</v>
      </c>
      <c r="D428" s="6">
        <v>2.458477865729947E-12</v>
      </c>
    </row>
    <row r="429" spans="1:4">
      <c r="A429" s="6">
        <v>11220.18454301994</v>
      </c>
      <c r="B429" s="7">
        <v>122.5463528828451</v>
      </c>
      <c r="C429" s="7">
        <v>122.5463528828456</v>
      </c>
      <c r="D429" s="6">
        <v>4.831690603168681E-13</v>
      </c>
    </row>
    <row r="430" spans="1:4">
      <c r="A430" s="6">
        <v>11350.10815672346</v>
      </c>
      <c r="B430" s="7">
        <v>122.3282321064404</v>
      </c>
      <c r="C430" s="7">
        <v>122.328232106438</v>
      </c>
      <c r="D430" s="6">
        <v>-2.415845301584341E-12</v>
      </c>
    </row>
    <row r="431" spans="1:4">
      <c r="A431" s="6">
        <v>11481.53621496914</v>
      </c>
      <c r="B431" s="7">
        <v>122.1078600501738</v>
      </c>
      <c r="C431" s="7">
        <v>122.1078600501706</v>
      </c>
      <c r="D431" s="6">
        <v>-3.211653165635653E-12</v>
      </c>
    </row>
    <row r="432" spans="1:4">
      <c r="A432" s="6">
        <v>11614.48613840375</v>
      </c>
      <c r="B432" s="7">
        <v>121.8856993952163</v>
      </c>
      <c r="C432" s="7">
        <v>121.8856993952085</v>
      </c>
      <c r="D432" s="6">
        <v>-7.716494110354688E-12</v>
      </c>
    </row>
    <row r="433" spans="1:4">
      <c r="A433" s="6">
        <v>11748.97554939562</v>
      </c>
      <c r="B433" s="7">
        <v>121.6621789164682</v>
      </c>
      <c r="C433" s="7">
        <v>121.6621789164655</v>
      </c>
      <c r="D433" s="6">
        <v>-2.714273250603583E-12</v>
      </c>
    </row>
    <row r="434" spans="1:4">
      <c r="A434" s="6">
        <v>11885.02227437051</v>
      </c>
      <c r="B434" s="7">
        <v>121.43769400563</v>
      </c>
      <c r="C434" s="7">
        <v>121.4376940056238</v>
      </c>
      <c r="D434" s="6">
        <v>-6.266986929404084E-12</v>
      </c>
    </row>
    <row r="435" spans="1:4">
      <c r="A435" s="6">
        <v>12022.64434617446</v>
      </c>
      <c r="B435" s="7">
        <v>121.2126076337719</v>
      </c>
      <c r="C435" s="7">
        <v>121.2126076337802</v>
      </c>
      <c r="D435" s="6">
        <v>8.384404281969182E-12</v>
      </c>
    </row>
    <row r="436" spans="1:4">
      <c r="A436" s="6">
        <v>12161.86000646402</v>
      </c>
      <c r="B436" s="7">
        <v>120.9872516465369</v>
      </c>
      <c r="C436" s="7">
        <v>120.9872516465448</v>
      </c>
      <c r="D436" s="6">
        <v>7.901235221652314E-12</v>
      </c>
    </row>
    <row r="437" spans="1:4">
      <c r="A437" s="6">
        <v>12302.68770812416</v>
      </c>
      <c r="B437" s="7">
        <v>120.7619282982843</v>
      </c>
      <c r="C437" s="7">
        <v>120.7619282982837</v>
      </c>
      <c r="D437" s="6">
        <v>-6.110667527536862E-13</v>
      </c>
    </row>
    <row r="438" spans="1:4">
      <c r="A438" s="6">
        <v>12445.1461177142</v>
      </c>
      <c r="B438" s="7">
        <v>120.5369119462149</v>
      </c>
      <c r="C438" s="7">
        <v>120.5369119462176</v>
      </c>
      <c r="D438" s="6">
        <v>2.756905814749189E-12</v>
      </c>
    </row>
    <row r="439" spans="1:4">
      <c r="A439" s="6">
        <v>12589.25411794202</v>
      </c>
      <c r="B439" s="7">
        <v>120.3124508385489</v>
      </c>
      <c r="C439" s="7">
        <v>120.3124508385427</v>
      </c>
      <c r="D439" s="6">
        <v>-6.23856521997368E-12</v>
      </c>
    </row>
    <row r="440" spans="1:4">
      <c r="A440" s="6">
        <v>12735.03081016697</v>
      </c>
      <c r="B440" s="7">
        <v>120.088768943163</v>
      </c>
      <c r="C440" s="7">
        <v>120.0887689431559</v>
      </c>
      <c r="D440" s="6">
        <v>-7.048583938740194E-12</v>
      </c>
    </row>
    <row r="441" spans="1:4">
      <c r="A441" s="6">
        <v>12882.4955169317</v>
      </c>
      <c r="B441" s="7">
        <v>119.8660677746917</v>
      </c>
      <c r="C441" s="7">
        <v>119.8660677746869</v>
      </c>
      <c r="D441" s="6">
        <v>-4.803268893738277E-12</v>
      </c>
    </row>
    <row r="442" spans="1:4">
      <c r="A442" s="6">
        <v>13031.66778452336</v>
      </c>
      <c r="B442" s="7">
        <v>119.6445281872416</v>
      </c>
      <c r="C442" s="7">
        <v>119.6445281872317</v>
      </c>
      <c r="D442" s="6">
        <v>-9.833911462919787E-12</v>
      </c>
    </row>
    <row r="443" spans="1:4">
      <c r="A443" s="6">
        <v>13182.56738556444</v>
      </c>
      <c r="B443" s="7">
        <v>119.4243121084524</v>
      </c>
      <c r="C443" s="7">
        <v>119.4243121084618</v>
      </c>
      <c r="D443" s="6">
        <v>9.379164112033322E-12</v>
      </c>
    </row>
    <row r="444" spans="1:4">
      <c r="A444" s="6">
        <v>13335.21432163362</v>
      </c>
      <c r="B444" s="7">
        <v>119.2055641977029</v>
      </c>
      <c r="C444" s="7">
        <v>119.2055641976997</v>
      </c>
      <c r="D444" s="6">
        <v>-3.211653165635653E-12</v>
      </c>
    </row>
    <row r="445" spans="1:4">
      <c r="A445" s="6">
        <v>13489.62882591692</v>
      </c>
      <c r="B445" s="7">
        <v>118.9884134162381</v>
      </c>
      <c r="C445" s="7">
        <v>118.988413416235</v>
      </c>
      <c r="D445" s="6">
        <v>-3.069544618483633E-12</v>
      </c>
    </row>
    <row r="446" spans="1:4">
      <c r="A446" s="6">
        <v>13645.83136588963</v>
      </c>
      <c r="B446" s="7">
        <v>118.7729745027248</v>
      </c>
      <c r="C446" s="7">
        <v>118.7729745027254</v>
      </c>
      <c r="D446" s="6">
        <v>6.394884621840902E-13</v>
      </c>
    </row>
    <row r="447" spans="1:4">
      <c r="A447" s="6">
        <v>13803.84264602924</v>
      </c>
      <c r="B447" s="7">
        <v>118.5593493501419</v>
      </c>
      <c r="C447" s="7">
        <v>118.5593493501444</v>
      </c>
      <c r="D447" s="6">
        <v>2.529532139305957E-12</v>
      </c>
    </row>
    <row r="448" spans="1:4">
      <c r="A448" s="6">
        <v>13963.68361055978</v>
      </c>
      <c r="B448" s="7">
        <v>118.3476282835331</v>
      </c>
      <c r="C448" s="7">
        <v>118.34762828353</v>
      </c>
      <c r="D448" s="6">
        <v>-3.055333763768431E-12</v>
      </c>
    </row>
    <row r="449" spans="1:4">
      <c r="A449" s="6">
        <v>14125.37544622795</v>
      </c>
      <c r="B449" s="7">
        <v>118.1378912399046</v>
      </c>
      <c r="C449" s="7">
        <v>118.1378912399026</v>
      </c>
      <c r="D449" s="6">
        <v>-2.003730514843483E-12</v>
      </c>
    </row>
    <row r="450" spans="1:4">
      <c r="A450" s="6">
        <v>14288.93958511144</v>
      </c>
      <c r="B450" s="7">
        <v>117.9302088532585</v>
      </c>
      <c r="C450" s="7">
        <v>117.9302088532626</v>
      </c>
      <c r="D450" s="6">
        <v>4.064304448547773E-12</v>
      </c>
    </row>
    <row r="451" spans="1:4">
      <c r="A451" s="6">
        <v>14454.39770745969</v>
      </c>
      <c r="B451" s="7">
        <v>117.7246434486753</v>
      </c>
      <c r="C451" s="7">
        <v>117.7246434486702</v>
      </c>
      <c r="D451" s="6">
        <v>-5.101696842757519E-12</v>
      </c>
    </row>
    <row r="452" spans="1:4">
      <c r="A452" s="6">
        <v>14621.7717445676</v>
      </c>
      <c r="B452" s="7">
        <v>117.5212499501295</v>
      </c>
      <c r="C452" s="7">
        <v>117.5212499501295</v>
      </c>
      <c r="D452" s="6">
        <v>4.263256414560601E-14</v>
      </c>
    </row>
    <row r="453" spans="1:4">
      <c r="A453" s="6">
        <v>14791.0838816825</v>
      </c>
      <c r="B453" s="7">
        <v>117.3200767074323</v>
      </c>
      <c r="C453" s="7">
        <v>117.3200767074344</v>
      </c>
      <c r="D453" s="6">
        <v>2.088995643134695E-12</v>
      </c>
    </row>
    <row r="454" spans="1:4">
      <c r="A454" s="6">
        <v>14962.35656094477</v>
      </c>
      <c r="B454" s="7">
        <v>117.1211662473392</v>
      </c>
      <c r="C454" s="7">
        <v>117.1211662473425</v>
      </c>
      <c r="D454" s="6">
        <v>3.254285729781259E-12</v>
      </c>
    </row>
    <row r="455" spans="1:4">
      <c r="A455" s="6">
        <v>15135.61248436252</v>
      </c>
      <c r="B455" s="7">
        <v>116.9245559544862</v>
      </c>
      <c r="C455" s="7">
        <v>116.9245559544865</v>
      </c>
      <c r="D455" s="6">
        <v>2.415845301584341E-13</v>
      </c>
    </row>
    <row r="456" spans="1:4">
      <c r="A456" s="6">
        <v>15310.87461682075</v>
      </c>
      <c r="B456" s="7">
        <v>116.7302786873417</v>
      </c>
      <c r="C456" s="7">
        <v>116.7302786873425</v>
      </c>
      <c r="D456" s="6">
        <v>7.673861546209082E-13</v>
      </c>
    </row>
    <row r="457" spans="1:4">
      <c r="A457" s="6">
        <v>15488.16618912526</v>
      </c>
      <c r="B457" s="7">
        <v>116.5383633344014</v>
      </c>
      <c r="C457" s="7">
        <v>116.5383633344008</v>
      </c>
      <c r="D457" s="6">
        <v>-5.542233338928781E-13</v>
      </c>
    </row>
    <row r="458" spans="1:4">
      <c r="A458" s="6">
        <v>15667.51070108195</v>
      </c>
      <c r="B458" s="7">
        <v>116.3488353154395</v>
      </c>
      <c r="C458" s="7">
        <v>116.3488353154385</v>
      </c>
      <c r="D458" s="6">
        <v>-9.805489753489383E-13</v>
      </c>
    </row>
    <row r="459" spans="1:4">
      <c r="A459" s="6">
        <v>15848.9319246116</v>
      </c>
      <c r="B459" s="7">
        <v>116.161717032507</v>
      </c>
      <c r="C459" s="7">
        <v>116.1617170325108</v>
      </c>
      <c r="D459" s="6">
        <v>3.780087354243733E-12</v>
      </c>
    </row>
    <row r="460" spans="1:4">
      <c r="A460" s="6">
        <v>16032.45390690088</v>
      </c>
      <c r="B460" s="7">
        <v>115.9770282749647</v>
      </c>
      <c r="C460" s="7">
        <v>115.9770282749646</v>
      </c>
      <c r="D460" s="6">
        <v>-1.13686837721616E-13</v>
      </c>
    </row>
    <row r="461" spans="1:4">
      <c r="A461" s="6">
        <v>16218.10097358978</v>
      </c>
      <c r="B461" s="7">
        <v>115.7947865824524</v>
      </c>
      <c r="C461" s="7">
        <v>115.7947865824533</v>
      </c>
      <c r="D461" s="6">
        <v>8.810729923425242E-13</v>
      </c>
    </row>
    <row r="462" spans="1:4">
      <c r="A462" s="6">
        <v>16405.89773199588</v>
      </c>
      <c r="B462" s="7">
        <v>115.615007569599</v>
      </c>
      <c r="C462" s="7">
        <v>115.6150075695993</v>
      </c>
      <c r="D462" s="6">
        <v>2.415845301584341E-13</v>
      </c>
    </row>
    <row r="463" spans="1:4">
      <c r="A463" s="6">
        <v>16595.8690743761</v>
      </c>
      <c r="B463" s="7">
        <v>115.4377052156242</v>
      </c>
      <c r="C463" s="7">
        <v>115.4377052156246</v>
      </c>
      <c r="D463" s="6">
        <v>4.263256414560601E-13</v>
      </c>
    </row>
    <row r="464" spans="1:4">
      <c r="A464" s="6">
        <v>16788.0401812261</v>
      </c>
      <c r="B464" s="7">
        <v>115.2628921219453</v>
      </c>
      <c r="C464" s="7">
        <v>115.2628921219455</v>
      </c>
      <c r="D464" s="6">
        <v>2.273736754432321E-13</v>
      </c>
    </row>
    <row r="465" spans="1:4">
      <c r="A465" s="6">
        <v>16982.43652461795</v>
      </c>
      <c r="B465" s="7">
        <v>115.0905797404147</v>
      </c>
      <c r="C465" s="7">
        <v>115.090579740413</v>
      </c>
      <c r="D465" s="6">
        <v>-1.63424829224823E-12</v>
      </c>
    </row>
    <row r="466" spans="1:4">
      <c r="A466" s="6">
        <v>17179.08387157639</v>
      </c>
      <c r="B466" s="7">
        <v>114.9207785745786</v>
      </c>
      <c r="C466" s="7">
        <v>114.9207785745799</v>
      </c>
      <c r="D466" s="6">
        <v>1.27897692436818E-12</v>
      </c>
    </row>
    <row r="467" spans="1:4">
      <c r="A467" s="6">
        <v>17378.00828749427</v>
      </c>
      <c r="B467" s="7">
        <v>114.753498356081</v>
      </c>
      <c r="C467" s="7">
        <v>114.75349835608</v>
      </c>
      <c r="D467" s="6">
        <v>-9.947598300641403E-13</v>
      </c>
    </row>
    <row r="468" spans="1:4">
      <c r="A468" s="6">
        <v>17579.23613958745</v>
      </c>
      <c r="B468" s="7">
        <v>114.5887481979276</v>
      </c>
      <c r="C468" s="7">
        <v>114.5887481979269</v>
      </c>
      <c r="D468" s="6">
        <v>-6.679101716144942E-13</v>
      </c>
    </row>
    <row r="469" spans="1:4">
      <c r="A469" s="6">
        <v>17782.79410038976</v>
      </c>
      <c r="B469" s="7">
        <v>114.4265367262654</v>
      </c>
      <c r="C469" s="7">
        <v>114.426536726264</v>
      </c>
      <c r="D469" s="6">
        <v>-1.4210854715202E-12</v>
      </c>
    </row>
    <row r="470" spans="1:4">
      <c r="A470" s="6">
        <v>17988.70915128842</v>
      </c>
      <c r="B470" s="7">
        <v>114.2668721918387</v>
      </c>
      <c r="C470" s="7">
        <v>114.2668721918373</v>
      </c>
      <c r="D470" s="6">
        <v>-1.4210854715202E-12</v>
      </c>
    </row>
    <row r="471" spans="1:4">
      <c r="A471" s="6">
        <v>18197.00858610038</v>
      </c>
      <c r="B471" s="7">
        <v>114.1097625622044</v>
      </c>
      <c r="C471" s="7">
        <v>114.109762562204</v>
      </c>
      <c r="D471" s="6">
        <v>-3.694822225952521E-13</v>
      </c>
    </row>
    <row r="472" spans="1:4">
      <c r="A472" s="6">
        <v>18407.72001469011</v>
      </c>
      <c r="B472" s="7">
        <v>113.9552155954381</v>
      </c>
      <c r="C472" s="7">
        <v>113.9552155954374</v>
      </c>
      <c r="D472" s="6">
        <v>-6.679101716144942E-13</v>
      </c>
    </row>
    <row r="473" spans="1:4">
      <c r="A473" s="6">
        <v>18620.87136662924</v>
      </c>
      <c r="B473" s="7">
        <v>113.8032388958367</v>
      </c>
      <c r="C473" s="7">
        <v>113.8032388958378</v>
      </c>
      <c r="D473" s="6">
        <v>1.080024958355352E-12</v>
      </c>
    </row>
    <row r="474" spans="1:4">
      <c r="A474" s="6">
        <v>18836.49089489858</v>
      </c>
      <c r="B474" s="7">
        <v>113.6538399519085</v>
      </c>
      <c r="C474" s="7">
        <v>113.6538399519096</v>
      </c>
      <c r="D474" s="6">
        <v>1.023181539494544E-12</v>
      </c>
    </row>
    <row r="475" spans="1:4">
      <c r="A475" s="6">
        <v>19054.60717963305</v>
      </c>
      <c r="B475" s="7">
        <v>113.5070261566098</v>
      </c>
      <c r="C475" s="7">
        <v>113.5070261566078</v>
      </c>
      <c r="D475" s="6">
        <v>-2.017941369558685E-12</v>
      </c>
    </row>
    <row r="476" spans="1:4">
      <c r="A476" s="6">
        <v>19275.24913190995</v>
      </c>
      <c r="B476" s="7">
        <v>113.3628048095945</v>
      </c>
      <c r="C476" s="7">
        <v>113.3628048095969</v>
      </c>
      <c r="D476" s="6">
        <v>2.387423592153937E-12</v>
      </c>
    </row>
    <row r="477" spans="1:4">
      <c r="A477" s="6">
        <v>19498.44599758105</v>
      </c>
      <c r="B477" s="7">
        <v>113.2211831009957</v>
      </c>
      <c r="C477" s="7">
        <v>113.2211831009938</v>
      </c>
      <c r="D477" s="6">
        <v>-1.890043677121866E-12</v>
      </c>
    </row>
    <row r="478" spans="1:4">
      <c r="A478" s="6">
        <v>19724.22736114914</v>
      </c>
      <c r="B478" s="7">
        <v>113.082168075779</v>
      </c>
      <c r="C478" s="7">
        <v>113.0821680757804</v>
      </c>
      <c r="D478" s="6">
        <v>1.449507180950604E-12</v>
      </c>
    </row>
    <row r="479" spans="1:4">
      <c r="A479" s="6">
        <v>19952.62314968941</v>
      </c>
      <c r="B479" s="7">
        <v>112.9457665777706</v>
      </c>
      <c r="C479" s="7">
        <v>112.9457665777693</v>
      </c>
      <c r="D479" s="6">
        <v>-1.293187779083382E-12</v>
      </c>
    </row>
    <row r="480" spans="1:4">
      <c r="A480" s="6">
        <v>20183.66363681623</v>
      </c>
      <c r="B480" s="7">
        <v>112.8119851716805</v>
      </c>
      <c r="C480" s="7">
        <v>112.8119851716807</v>
      </c>
      <c r="D480" s="6">
        <v>2.273736754432321E-13</v>
      </c>
    </row>
    <row r="481" spans="1:4">
      <c r="A481" s="6">
        <v>20417.37944669592</v>
      </c>
      <c r="B481" s="7">
        <v>112.6808300415396</v>
      </c>
      <c r="C481" s="7">
        <v>112.6808300415385</v>
      </c>
      <c r="D481" s="6">
        <v>-1.051603248924948E-12</v>
      </c>
    </row>
    <row r="482" spans="1:4">
      <c r="A482" s="6">
        <v>20653.80155810593</v>
      </c>
      <c r="B482" s="7">
        <v>112.5523068632096</v>
      </c>
      <c r="C482" s="7">
        <v>112.5523068632103</v>
      </c>
      <c r="D482" s="6">
        <v>6.394884621840902E-13</v>
      </c>
    </row>
    <row r="483" spans="1:4">
      <c r="A483" s="6">
        <v>20892.96130854104</v>
      </c>
      <c r="B483" s="7">
        <v>112.4264206484975</v>
      </c>
      <c r="C483" s="7">
        <v>112.4264206484972</v>
      </c>
      <c r="D483" s="6">
        <v>-3.694822225952521E-13</v>
      </c>
    </row>
    <row r="484" spans="1:4">
      <c r="A484" s="6">
        <v>21134.89039836712</v>
      </c>
      <c r="B484" s="7">
        <v>112.303175557719</v>
      </c>
      <c r="C484" s="7">
        <v>112.3031755577207</v>
      </c>
      <c r="D484" s="6">
        <v>1.676880856393836E-12</v>
      </c>
    </row>
    <row r="485" spans="1:4">
      <c r="A485" s="6">
        <v>21379.62089502298</v>
      </c>
      <c r="B485" s="7">
        <v>112.1825746772439</v>
      </c>
      <c r="C485" s="7">
        <v>112.1825746772424</v>
      </c>
      <c r="D485" s="6">
        <v>-1.56319401867222E-12</v>
      </c>
    </row>
    <row r="486" spans="1:4">
      <c r="A486" s="6">
        <v>21627.18523727087</v>
      </c>
      <c r="B486" s="7">
        <v>112.0646197577928</v>
      </c>
      <c r="C486" s="7">
        <v>112.0646197577934</v>
      </c>
      <c r="D486" s="6">
        <v>6.536993168992922E-13</v>
      </c>
    </row>
    <row r="487" spans="1:4">
      <c r="A487" s="6">
        <v>21877.6162394962</v>
      </c>
      <c r="B487" s="7">
        <v>111.9493109088682</v>
      </c>
      <c r="C487" s="7">
        <v>111.949310908867</v>
      </c>
      <c r="D487" s="6">
        <v>-1.236344360222574E-12</v>
      </c>
    </row>
    <row r="488" spans="1:4">
      <c r="A488" s="6">
        <v>22130.94709605707</v>
      </c>
      <c r="B488" s="7">
        <v>111.8366462437392</v>
      </c>
      <c r="C488" s="7">
        <v>111.8366462437409</v>
      </c>
      <c r="D488" s="6">
        <v>1.70530256582424E-12</v>
      </c>
    </row>
    <row r="489" spans="1:4">
      <c r="A489" s="6">
        <v>22387.2113856841</v>
      </c>
      <c r="B489" s="7">
        <v>111.7266214689384</v>
      </c>
      <c r="C489" s="7">
        <v>111.7266214689381</v>
      </c>
      <c r="D489" s="6">
        <v>-3.694822225952521E-13</v>
      </c>
    </row>
    <row r="490" spans="1:4">
      <c r="A490" s="6">
        <v>22646.4430759313</v>
      </c>
      <c r="B490" s="7">
        <v>111.6192294110989</v>
      </c>
      <c r="C490" s="7">
        <v>111.6192294110989</v>
      </c>
      <c r="D490" s="6">
        <v>1.4210854715202E-14</v>
      </c>
    </row>
    <row r="491" spans="1:4">
      <c r="A491" s="6">
        <v>22908.67652767845</v>
      </c>
      <c r="B491" s="7">
        <v>111.5144594733229</v>
      </c>
      <c r="C491" s="7">
        <v>111.5144594733243</v>
      </c>
      <c r="D491" s="6">
        <v>1.378452907374594E-12</v>
      </c>
    </row>
    <row r="492" spans="1:4">
      <c r="A492" s="6">
        <v>23173.94649968551</v>
      </c>
      <c r="B492" s="7">
        <v>111.4122970120574</v>
      </c>
      <c r="C492" s="7">
        <v>111.4122970120553</v>
      </c>
      <c r="D492" s="6">
        <v>-2.088995643134695E-12</v>
      </c>
    </row>
    <row r="493" spans="1:4">
      <c r="A493" s="6">
        <v>23442.28815319996</v>
      </c>
      <c r="B493" s="7">
        <v>111.3127226244808</v>
      </c>
      <c r="C493" s="7">
        <v>111.3127226244789</v>
      </c>
      <c r="D493" s="6">
        <v>-1.904254531837068E-12</v>
      </c>
    </row>
    <row r="494" spans="1:4">
      <c r="A494" s="6">
        <v>23713.7370566173</v>
      </c>
      <c r="B494" s="7">
        <v>111.2157113353057</v>
      </c>
      <c r="C494" s="7">
        <v>111.2157113353063</v>
      </c>
      <c r="D494" s="6">
        <v>6.110667527536862E-13</v>
      </c>
    </row>
    <row r="495" spans="1:4">
      <c r="A495" s="6">
        <v>23988.32919019566</v>
      </c>
      <c r="B495" s="7">
        <v>111.121231670564</v>
      </c>
      <c r="C495" s="7">
        <v>111.1212316705633</v>
      </c>
      <c r="D495" s="6">
        <v>-7.389644451905042E-13</v>
      </c>
    </row>
    <row r="496" spans="1:4">
      <c r="A496" s="6">
        <v>24266.10095082492</v>
      </c>
      <c r="B496" s="7">
        <v>111.0292446047905</v>
      </c>
      <c r="C496" s="7">
        <v>111.0292446047895</v>
      </c>
      <c r="D496" s="6">
        <v>-9.805489753489383E-13</v>
      </c>
    </row>
    <row r="497" spans="1:4">
      <c r="A497" s="6">
        <v>24547.08915685109</v>
      </c>
      <c r="B497" s="7">
        <v>110.9397023667981</v>
      </c>
      <c r="C497" s="7">
        <v>110.9397023667981</v>
      </c>
      <c r="D497" s="6">
        <v>-4.263256414560601E-14</v>
      </c>
    </row>
    <row r="498" spans="1:4">
      <c r="A498" s="6">
        <v>24831.3310529565</v>
      </c>
      <c r="B498" s="7">
        <v>110.852547087948</v>
      </c>
      <c r="C498" s="7">
        <v>110.8525470879476</v>
      </c>
      <c r="D498" s="6">
        <v>-3.694822225952521E-13</v>
      </c>
    </row>
    <row r="499" spans="1:4">
      <c r="A499" s="6">
        <v>25118.8643150966</v>
      </c>
      <c r="B499" s="7">
        <v>110.767709275798</v>
      </c>
      <c r="C499" s="7">
        <v>110.7677092757983</v>
      </c>
      <c r="D499" s="6">
        <v>2.700062395888381E-13</v>
      </c>
    </row>
    <row r="500" spans="1:4">
      <c r="A500" s="6">
        <v>25409.72705549386</v>
      </c>
      <c r="B500" s="7">
        <v>110.6851060951612</v>
      </c>
      <c r="C500" s="7">
        <v>110.6851060951596</v>
      </c>
      <c r="D500" s="6">
        <v>-1.648459146963432E-12</v>
      </c>
    </row>
    <row r="501" spans="1:4">
      <c r="A501" s="6">
        <v>25703.95782768946</v>
      </c>
      <c r="B501" s="7">
        <v>110.6046394380243</v>
      </c>
      <c r="C501" s="7">
        <v>110.6046394380246</v>
      </c>
      <c r="D501" s="6">
        <v>3.268496584496461E-13</v>
      </c>
    </row>
    <row r="502" spans="1:4">
      <c r="A502" s="6">
        <v>26001.59563165356</v>
      </c>
      <c r="B502" s="7">
        <v>110.5261937639044</v>
      </c>
      <c r="C502" s="7">
        <v>110.5261937639049</v>
      </c>
      <c r="D502" s="6">
        <v>4.831690603168681E-13</v>
      </c>
    </row>
    <row r="503" spans="1:4">
      <c r="A503" s="6">
        <v>26302.67991895467</v>
      </c>
      <c r="B503" s="7">
        <v>110.449633692858</v>
      </c>
      <c r="C503" s="7">
        <v>110.4496336928566</v>
      </c>
      <c r="D503" s="6">
        <v>-1.335820343228988E-12</v>
      </c>
    </row>
    <row r="504" spans="1:4">
      <c r="A504" s="6">
        <v>26607.25059798895</v>
      </c>
      <c r="B504" s="7">
        <v>110.3748013353294</v>
      </c>
      <c r="C504" s="7">
        <v>110.3748013353297</v>
      </c>
      <c r="D504" s="6">
        <v>3.126388037344441E-13</v>
      </c>
    </row>
    <row r="505" spans="1:4">
      <c r="A505" s="6">
        <v>26915.34803927003</v>
      </c>
      <c r="B505" s="7">
        <v>110.3015133462478</v>
      </c>
      <c r="C505" s="7">
        <v>110.301513346248</v>
      </c>
      <c r="D505" s="6">
        <v>1.4210854715202E-13</v>
      </c>
    </row>
    <row r="506" spans="1:4">
      <c r="A506" s="6">
        <v>27227.01308078001</v>
      </c>
      <c r="B506" s="7">
        <v>110.2295576959055</v>
      </c>
      <c r="C506" s="7">
        <v>110.2295576959057</v>
      </c>
      <c r="D506" s="6">
        <v>1.84741111297626E-13</v>
      </c>
    </row>
    <row r="507" spans="1:4">
      <c r="A507" s="6">
        <v>27542.28703338256</v>
      </c>
      <c r="B507" s="7">
        <v>110.1586901579043</v>
      </c>
      <c r="C507" s="7">
        <v>110.158690157905</v>
      </c>
      <c r="D507" s="6">
        <v>6.536993168992922E-13</v>
      </c>
    </row>
    <row r="508" spans="1:4">
      <c r="A508" s="6">
        <v>27861.21168629861</v>
      </c>
      <c r="B508" s="7">
        <v>110.0886305251161</v>
      </c>
      <c r="C508" s="7">
        <v>110.0886305251177</v>
      </c>
      <c r="D508" s="6">
        <v>1.591615728102624E-12</v>
      </c>
    </row>
    <row r="509" spans="1:4">
      <c r="A509" s="6">
        <v>28183.82931264546</v>
      </c>
      <c r="B509" s="7">
        <v>110.0190585792831</v>
      </c>
      <c r="C509" s="7">
        <v>110.0190585792817</v>
      </c>
      <c r="D509" s="6">
        <v>-1.406874616804998E-12</v>
      </c>
    </row>
    <row r="510" spans="1:4">
      <c r="A510" s="6">
        <v>28510.18267504002</v>
      </c>
      <c r="B510" s="7">
        <v>109.9496098591379</v>
      </c>
      <c r="C510" s="7">
        <v>109.9496098591374</v>
      </c>
      <c r="D510" s="6">
        <v>-5.542233338928781E-13</v>
      </c>
    </row>
    <row r="511" spans="1:4">
      <c r="A511" s="6">
        <v>28840.315031267</v>
      </c>
      <c r="B511" s="7">
        <v>109.87987129679</v>
      </c>
      <c r="C511" s="7">
        <v>109.8798712967898</v>
      </c>
      <c r="D511" s="6">
        <v>-1.4210854715202E-13</v>
      </c>
    </row>
    <row r="512" spans="1:4">
      <c r="A512" s="6">
        <v>29174.27014001262</v>
      </c>
      <c r="B512" s="7">
        <v>109.8093768229699</v>
      </c>
      <c r="C512" s="7">
        <v>109.8093768229702</v>
      </c>
      <c r="D512" s="6">
        <v>3.268496584496461E-13</v>
      </c>
    </row>
    <row r="513" spans="1:4">
      <c r="A513" s="6">
        <v>29512.09226666483</v>
      </c>
      <c r="B513" s="7">
        <v>109.737603079551</v>
      </c>
      <c r="C513" s="7">
        <v>109.7376030795506</v>
      </c>
      <c r="D513" s="6">
        <v>-3.979039320256561E-13</v>
      </c>
    </row>
    <row r="514" spans="1:4">
      <c r="A514" s="6">
        <v>29853.82618918058</v>
      </c>
      <c r="B514" s="7">
        <v>109.6639654221016</v>
      </c>
      <c r="C514" s="7">
        <v>109.6639654221025</v>
      </c>
      <c r="D514" s="6">
        <v>8.384404281969182E-13</v>
      </c>
    </row>
    <row r="515" spans="1:4">
      <c r="A515" s="6">
        <v>30199.51720402116</v>
      </c>
      <c r="B515" s="7">
        <v>109.5878144458154</v>
      </c>
      <c r="C515" s="7">
        <v>109.5878144458133</v>
      </c>
      <c r="D515" s="6">
        <v>-2.032152224273887E-12</v>
      </c>
    </row>
    <row r="516" spans="1:4">
      <c r="A516" s="6">
        <v>30549.21113215614</v>
      </c>
      <c r="B516" s="7">
        <v>109.5084333229647</v>
      </c>
      <c r="C516" s="7">
        <v>109.5084333229625</v>
      </c>
      <c r="D516" s="6">
        <v>-2.160049916710705E-12</v>
      </c>
    </row>
    <row r="517" spans="1:4">
      <c r="A517" s="6">
        <v>30902.95432513693</v>
      </c>
      <c r="B517" s="7">
        <v>109.4250362962189</v>
      </c>
      <c r="C517" s="7">
        <v>109.4250362962167</v>
      </c>
      <c r="D517" s="6">
        <v>-2.188471626141109E-12</v>
      </c>
    </row>
    <row r="518" spans="1:4">
      <c r="A518" s="6">
        <v>31260.79367124059</v>
      </c>
      <c r="B518" s="7">
        <v>109.3367687241865</v>
      </c>
      <c r="C518" s="7">
        <v>109.3367687241869</v>
      </c>
      <c r="D518" s="6">
        <v>3.552713678800501E-13</v>
      </c>
    </row>
    <row r="519" spans="1:4">
      <c r="A519" s="6">
        <v>31622.77660168484</v>
      </c>
      <c r="B519" s="7">
        <v>109.2427091167489</v>
      </c>
      <c r="C519" s="7">
        <v>109.2427091167464</v>
      </c>
      <c r="D519" s="6">
        <v>-2.501110429875553E-12</v>
      </c>
    </row>
    <row r="520" spans="1:4">
      <c r="A520" s="6">
        <v>31988.95109691505</v>
      </c>
      <c r="B520" s="7">
        <v>109.1418736180318</v>
      </c>
      <c r="C520" s="7">
        <v>109.1418736180329</v>
      </c>
      <c r="D520" s="6">
        <v>1.151079231931362E-12</v>
      </c>
    </row>
    <row r="521" spans="1:4">
      <c r="A521" s="6">
        <v>32359.3656929639</v>
      </c>
      <c r="B521" s="7">
        <v>109.0332233833556</v>
      </c>
      <c r="C521" s="7">
        <v>109.0332233833543</v>
      </c>
      <c r="D521" s="6">
        <v>-1.335820343228988E-12</v>
      </c>
    </row>
    <row r="522" spans="1:4">
      <c r="A522" s="6">
        <v>32734.06948788491</v>
      </c>
      <c r="B522" s="7">
        <v>108.915675239854</v>
      </c>
      <c r="C522" s="7">
        <v>108.9156752398555</v>
      </c>
      <c r="D522" s="6">
        <v>1.463718035665806E-12</v>
      </c>
    </row>
    <row r="523" spans="1:4">
      <c r="A523" s="6">
        <v>33113.11214826022</v>
      </c>
      <c r="B523" s="7">
        <v>108.788115907923</v>
      </c>
      <c r="C523" s="7">
        <v>108.7881159079247</v>
      </c>
      <c r="D523" s="6">
        <v>1.719513420539442E-12</v>
      </c>
    </row>
    <row r="524" spans="1:4">
      <c r="A524" s="6">
        <v>33496.54391578389</v>
      </c>
      <c r="B524" s="7">
        <v>108.6494198823138</v>
      </c>
      <c r="C524" s="7">
        <v>108.6494198823126</v>
      </c>
      <c r="D524" s="6">
        <v>-1.165290086646564E-12</v>
      </c>
    </row>
    <row r="525" spans="1:4">
      <c r="A525" s="6">
        <v>33884.4156139214</v>
      </c>
      <c r="B525" s="7">
        <v>108.498470826774</v>
      </c>
      <c r="C525" s="7">
        <v>108.4984708267732</v>
      </c>
      <c r="D525" s="6">
        <v>-7.531752999057062E-13</v>
      </c>
    </row>
    <row r="526" spans="1:4">
      <c r="A526" s="6">
        <v>34276.77865464619</v>
      </c>
      <c r="B526" s="7">
        <v>108.3341860317067</v>
      </c>
      <c r="C526" s="7">
        <v>108.3341860317056</v>
      </c>
      <c r="D526" s="6">
        <v>-1.080024958355352E-12</v>
      </c>
    </row>
    <row r="527" spans="1:4">
      <c r="A527" s="6">
        <v>34673.68504525434</v>
      </c>
      <c r="B527" s="7">
        <v>108.1555431416745</v>
      </c>
      <c r="C527" s="7">
        <v>108.1555431416762</v>
      </c>
      <c r="D527" s="6">
        <v>1.70530256582424E-12</v>
      </c>
    </row>
    <row r="528" spans="1:4">
      <c r="A528" s="6">
        <v>35075.18739525798</v>
      </c>
      <c r="B528" s="7">
        <v>107.9616080135482</v>
      </c>
      <c r="C528" s="7">
        <v>107.9616080135505</v>
      </c>
      <c r="D528" s="6">
        <v>2.330580173293129E-12</v>
      </c>
    </row>
    <row r="529" spans="1:4">
      <c r="A529" s="6">
        <v>35481.33892335875</v>
      </c>
      <c r="B529" s="7">
        <v>107.751562262725</v>
      </c>
      <c r="C529" s="7">
        <v>107.7515622627246</v>
      </c>
      <c r="D529" s="6">
        <v>-4.263256414560601E-13</v>
      </c>
    </row>
    <row r="530" spans="1:4">
      <c r="A530" s="6">
        <v>35892.19346450174</v>
      </c>
      <c r="B530" s="7">
        <v>107.5247288469234</v>
      </c>
      <c r="C530" s="7">
        <v>107.5247288469212</v>
      </c>
      <c r="D530" s="6">
        <v>-2.216893335571513E-12</v>
      </c>
    </row>
    <row r="531" spans="1:4">
      <c r="A531" s="6">
        <v>36307.80547701137</v>
      </c>
      <c r="B531" s="7">
        <v>107.280593972932</v>
      </c>
      <c r="C531" s="7">
        <v>107.2805939729309</v>
      </c>
      <c r="D531" s="6">
        <v>-1.094235813070554E-12</v>
      </c>
    </row>
    <row r="532" spans="1:4">
      <c r="A532" s="6">
        <v>36728.23004980972</v>
      </c>
      <c r="B532" s="7">
        <v>107.0188237253979</v>
      </c>
      <c r="C532" s="7">
        <v>107.0188237253932</v>
      </c>
      <c r="D532" s="6">
        <v>-4.661160346586257E-12</v>
      </c>
    </row>
    <row r="533" spans="1:4">
      <c r="A533" s="6">
        <v>37153.52290971852</v>
      </c>
      <c r="B533" s="7">
        <v>106.7392741168943</v>
      </c>
      <c r="C533" s="7">
        <v>106.7392741168892</v>
      </c>
      <c r="D533" s="6">
        <v>-5.002220859751105E-12</v>
      </c>
    </row>
    <row r="534" spans="1:4">
      <c r="A534" s="6">
        <v>37583.7404288457</v>
      </c>
      <c r="B534" s="7">
        <v>106.4419937227889</v>
      </c>
      <c r="C534" s="7">
        <v>106.4419937227905</v>
      </c>
      <c r="D534" s="6">
        <v>1.548983163957018E-12</v>
      </c>
    </row>
    <row r="535" spans="1:4">
      <c r="A535" s="6">
        <v>38018.93963205742</v>
      </c>
      <c r="B535" s="7">
        <v>106.1272186399353</v>
      </c>
      <c r="C535" s="7">
        <v>106.1272186399321</v>
      </c>
      <c r="D535" s="6">
        <v>-3.154809746774845E-12</v>
      </c>
    </row>
    <row r="536" spans="1:4">
      <c r="A536" s="6">
        <v>38459.17820453668</v>
      </c>
      <c r="B536" s="7">
        <v>105.7953601215208</v>
      </c>
      <c r="C536" s="7">
        <v>105.7953601215204</v>
      </c>
      <c r="D536" s="6">
        <v>-3.836930773104541E-13</v>
      </c>
    </row>
    <row r="537" spans="1:4">
      <c r="A537" s="6">
        <v>38904.5144994294</v>
      </c>
      <c r="B537" s="7">
        <v>105.4469858116483</v>
      </c>
      <c r="C537" s="7">
        <v>105.4469858116486</v>
      </c>
      <c r="D537" s="6">
        <v>3.268496584496461E-13</v>
      </c>
    </row>
    <row r="538" spans="1:4">
      <c r="A538" s="6">
        <v>39355.0075455791</v>
      </c>
      <c r="B538" s="7">
        <v>105.0827959620177</v>
      </c>
      <c r="C538" s="7">
        <v>105.082795962016</v>
      </c>
      <c r="D538" s="6">
        <v>-1.691091711109038E-12</v>
      </c>
    </row>
    <row r="539" spans="1:4">
      <c r="A539" s="6">
        <v>39810.7170553511</v>
      </c>
      <c r="B539" s="7">
        <v>104.7035963170005</v>
      </c>
      <c r="C539" s="7">
        <v>104.7035963170003</v>
      </c>
      <c r="D539" s="6">
        <v>-1.84741111297626E-13</v>
      </c>
    </row>
    <row r="540" spans="1:4">
      <c r="A540" s="6">
        <v>40271.70343254731</v>
      </c>
      <c r="B540" s="7">
        <v>104.3102694916655</v>
      </c>
      <c r="C540" s="7">
        <v>104.3102694916664</v>
      </c>
      <c r="D540" s="6">
        <v>9.094947017729282E-13</v>
      </c>
    </row>
    <row r="541" spans="1:4">
      <c r="A541" s="6">
        <v>40738.02778041269</v>
      </c>
      <c r="B541" s="7">
        <v>103.9037466678742</v>
      </c>
      <c r="C541" s="7">
        <v>103.9037466678739</v>
      </c>
      <c r="D541" s="6">
        <v>-3.268496584496461E-13</v>
      </c>
    </row>
    <row r="542" spans="1:4">
      <c r="A542" s="6">
        <v>41209.75190973446</v>
      </c>
      <c r="B542" s="7">
        <v>103.4849813577603</v>
      </c>
      <c r="C542" s="7">
        <v>103.4849813577603</v>
      </c>
      <c r="D542" s="6">
        <v>2.842170943040401E-14</v>
      </c>
    </row>
    <row r="543" spans="1:4">
      <c r="A543" s="6">
        <v>41686.93834703499</v>
      </c>
      <c r="B543" s="7">
        <v>103.0549269236201</v>
      </c>
      <c r="C543" s="7">
        <v>103.0549269236191</v>
      </c>
      <c r="D543" s="6">
        <v>-1.008970684779342E-12</v>
      </c>
    </row>
    <row r="544" spans="1:4">
      <c r="A544" s="6">
        <v>42169.65034285969</v>
      </c>
      <c r="B544" s="7">
        <v>102.614519622971</v>
      </c>
      <c r="C544" s="7">
        <v>102.6145196229687</v>
      </c>
      <c r="D544" s="6">
        <v>-2.359001882723533E-12</v>
      </c>
    </row>
    <row r="545" spans="1:4">
      <c r="A545" s="6">
        <v>42657.95188016076</v>
      </c>
      <c r="B545" s="7">
        <v>102.1646693371917</v>
      </c>
      <c r="C545" s="7">
        <v>102.1646693371915</v>
      </c>
      <c r="D545" s="6">
        <v>-2.273736754432321E-13</v>
      </c>
    </row>
    <row r="546" spans="1:4">
      <c r="A546" s="6">
        <v>43151.90768277804</v>
      </c>
      <c r="B546" s="7">
        <v>101.7062610887687</v>
      </c>
      <c r="C546" s="7">
        <v>101.7062610887676</v>
      </c>
      <c r="D546" s="6">
        <v>-1.094235813070554E-12</v>
      </c>
    </row>
    <row r="547" spans="1:4">
      <c r="A547" s="6">
        <v>43651.58322401813</v>
      </c>
      <c r="B547" s="7">
        <v>101.2401723401458</v>
      </c>
      <c r="C547" s="7">
        <v>101.2401723401454</v>
      </c>
      <c r="D547" s="6">
        <v>-4.263256414560601E-13</v>
      </c>
    </row>
    <row r="548" spans="1:4">
      <c r="A548" s="6">
        <v>44157.0447353328</v>
      </c>
      <c r="B548" s="7">
        <v>100.7673145103567</v>
      </c>
      <c r="C548" s="7">
        <v>100.7673145103564</v>
      </c>
      <c r="D548" s="6">
        <v>-3.410605131648481E-13</v>
      </c>
    </row>
    <row r="549" spans="1:4">
      <c r="A549" s="6">
        <v>44668.35921509788</v>
      </c>
      <c r="B549" s="7">
        <v>100.2887130950778</v>
      </c>
      <c r="C549" s="7">
        <v>100.2887130950775</v>
      </c>
      <c r="D549" s="6">
        <v>-2.415845301584341E-13</v>
      </c>
    </row>
    <row r="550" spans="1:4">
      <c r="A550" s="6">
        <v>45185.59443749383</v>
      </c>
      <c r="B550" s="7">
        <v>99.80565053540022</v>
      </c>
      <c r="C550" s="7">
        <v>99.80565053539829</v>
      </c>
      <c r="D550" s="6">
        <v>-1.932676241267473E-12</v>
      </c>
    </row>
    <row r="551" spans="1:4">
      <c r="A551" s="6">
        <v>45708.81896148912</v>
      </c>
      <c r="B551" s="7">
        <v>99.31991069316942</v>
      </c>
      <c r="C551" s="7">
        <v>99.31991069316766</v>
      </c>
      <c r="D551" s="6">
        <v>-1.762145984685048E-12</v>
      </c>
    </row>
    <row r="552" spans="1:4">
      <c r="A552" s="6">
        <v>46238.10213992767</v>
      </c>
      <c r="B552" s="7">
        <v>98.83418199651581</v>
      </c>
      <c r="C552" s="7">
        <v>98.83418199651518</v>
      </c>
      <c r="D552" s="6">
        <v>-6.252776074688882E-13</v>
      </c>
    </row>
    <row r="553" spans="1:4">
      <c r="A553" s="6">
        <v>46773.51412872148</v>
      </c>
      <c r="B553" s="7">
        <v>98.35268566855669</v>
      </c>
      <c r="C553" s="7">
        <v>98.35268566855525</v>
      </c>
      <c r="D553" s="6">
        <v>-1.435296326235402E-12</v>
      </c>
    </row>
    <row r="554" spans="1:4">
      <c r="A554" s="6">
        <v>47315.12589614973</v>
      </c>
      <c r="B554" s="7">
        <v>97.8820499924658</v>
      </c>
      <c r="C554" s="7">
        <v>97.88204999246662</v>
      </c>
      <c r="D554" s="6">
        <v>8.242295734817162E-13</v>
      </c>
    </row>
    <row r="555" spans="1:4">
      <c r="A555" s="6">
        <v>47863.00923226554</v>
      </c>
      <c r="B555" s="7">
        <v>97.43222609711626</v>
      </c>
      <c r="C555" s="7">
        <v>97.43222609711617</v>
      </c>
      <c r="D555" s="6">
        <v>-8.526512829121202E-14</v>
      </c>
    </row>
    <row r="556" spans="1:4">
      <c r="A556" s="6">
        <v>48417.23675841166</v>
      </c>
      <c r="B556" s="7">
        <v>97.01660449533213</v>
      </c>
      <c r="C556" s="7">
        <v>97.01660449533304</v>
      </c>
      <c r="D556" s="6">
        <v>9.094947017729282E-13</v>
      </c>
    </row>
    <row r="557" spans="1:4">
      <c r="A557" s="6">
        <v>48977.88193684637</v>
      </c>
      <c r="B557" s="7">
        <v>96.64937756899323</v>
      </c>
      <c r="C557" s="7">
        <v>96.64937756899266</v>
      </c>
      <c r="D557" s="6">
        <v>-5.684341886080801E-13</v>
      </c>
    </row>
    <row r="558" spans="1:4">
      <c r="A558" s="6">
        <v>49545.01908048079</v>
      </c>
      <c r="B558" s="7">
        <v>96.33786492979991</v>
      </c>
      <c r="C558" s="7">
        <v>96.33786492979938</v>
      </c>
      <c r="D558" s="6">
        <v>-5.258016244624741E-13</v>
      </c>
    </row>
    <row r="559" spans="1:4">
      <c r="A559" s="6">
        <v>50118.72336272903</v>
      </c>
      <c r="B559" s="7">
        <v>96.07164872230251</v>
      </c>
      <c r="C559" s="7">
        <v>96.07164872230209</v>
      </c>
      <c r="D559" s="6">
        <v>-4.263256414560601E-13</v>
      </c>
    </row>
    <row r="560" spans="1:4">
      <c r="A560" s="6">
        <v>50699.07082747226</v>
      </c>
      <c r="B560" s="7">
        <v>95.81923625017001</v>
      </c>
      <c r="C560" s="7">
        <v>95.81923625016934</v>
      </c>
      <c r="D560" s="6">
        <v>-6.679101716144942E-13</v>
      </c>
    </row>
    <row r="561" spans="1:4">
      <c r="A561" s="6">
        <v>51286.13839913834</v>
      </c>
      <c r="B561" s="7">
        <v>95.54206167166127</v>
      </c>
      <c r="C561" s="7">
        <v>95.54206167166183</v>
      </c>
      <c r="D561" s="6">
        <v>5.542233338928781E-13</v>
      </c>
    </row>
    <row r="562" spans="1:4">
      <c r="A562" s="6">
        <v>51880.00389289798</v>
      </c>
      <c r="B562" s="7">
        <v>95.21539496182528</v>
      </c>
      <c r="C562" s="7">
        <v>95.21539496182486</v>
      </c>
      <c r="D562" s="6">
        <v>-4.263256414560601E-13</v>
      </c>
    </row>
    <row r="563" spans="1:4">
      <c r="A563" s="6">
        <v>52480.74602497915</v>
      </c>
      <c r="B563" s="7">
        <v>94.83588771423017</v>
      </c>
      <c r="C563" s="7">
        <v>94.8358877142314</v>
      </c>
      <c r="D563" s="6">
        <v>1.236344360222574E-12</v>
      </c>
    </row>
    <row r="564" spans="1:4">
      <c r="A564" s="6">
        <v>53088.44442310076</v>
      </c>
      <c r="B564" s="7">
        <v>94.41396666615836</v>
      </c>
      <c r="C564" s="7">
        <v>94.41396666615702</v>
      </c>
      <c r="D564" s="6">
        <v>-1.335820343228988E-12</v>
      </c>
    </row>
    <row r="565" spans="1:4">
      <c r="A565" s="6">
        <v>53703.17963702722</v>
      </c>
      <c r="B565" s="7">
        <v>93.96353123797252</v>
      </c>
      <c r="C565" s="7">
        <v>93.96353123797282</v>
      </c>
      <c r="D565" s="6">
        <v>2.984279490192421E-13</v>
      </c>
    </row>
    <row r="566" spans="1:4">
      <c r="A566" s="6">
        <v>54325.03314924529</v>
      </c>
      <c r="B566" s="7">
        <v>93.49631777423846</v>
      </c>
      <c r="C566" s="7">
        <v>93.49631777423855</v>
      </c>
      <c r="D566" s="6">
        <v>8.526512829121202E-14</v>
      </c>
    </row>
    <row r="567" spans="1:4">
      <c r="A567" s="6">
        <v>54954.08738576445</v>
      </c>
      <c r="B567" s="7">
        <v>93.02052937555816</v>
      </c>
      <c r="C567" s="7">
        <v>93.02052937555882</v>
      </c>
      <c r="D567" s="6">
        <v>6.679101716144942E-13</v>
      </c>
    </row>
    <row r="568" spans="1:4">
      <c r="A568" s="6">
        <v>55590.42572704238</v>
      </c>
      <c r="B568" s="7">
        <v>92.54135175526184</v>
      </c>
      <c r="C568" s="7">
        <v>92.54135175525852</v>
      </c>
      <c r="D568" s="6">
        <v>-3.325340003357269E-12</v>
      </c>
    </row>
    <row r="569" spans="1:4">
      <c r="A569" s="6">
        <v>56234.13251903696</v>
      </c>
      <c r="B569" s="7">
        <v>92.06186473854805</v>
      </c>
      <c r="C569" s="7">
        <v>92.06186473854913</v>
      </c>
      <c r="D569" s="6">
        <v>1.080024958355352E-12</v>
      </c>
    </row>
    <row r="570" spans="1:4">
      <c r="A570" s="6">
        <v>56885.29308438623</v>
      </c>
      <c r="B570" s="7">
        <v>91.58380839576984</v>
      </c>
      <c r="C570" s="7">
        <v>91.58380839577043</v>
      </c>
      <c r="D570" s="6">
        <v>5.968558980384842E-13</v>
      </c>
    </row>
    <row r="571" spans="1:4">
      <c r="A571" s="6">
        <v>57543.99373371781</v>
      </c>
      <c r="B571" s="7">
        <v>91.10811058156369</v>
      </c>
      <c r="C571" s="7">
        <v>91.10811058156534</v>
      </c>
      <c r="D571" s="6">
        <v>1.648459146963432E-12</v>
      </c>
    </row>
    <row r="572" spans="1:4">
      <c r="A572" s="6">
        <v>58210.32177708928</v>
      </c>
      <c r="B572" s="7">
        <v>90.63522050846007</v>
      </c>
      <c r="C572" s="7">
        <v>90.6352205084616</v>
      </c>
      <c r="D572" s="6">
        <v>1.534772309241816E-12</v>
      </c>
    </row>
    <row r="573" spans="1:4">
      <c r="A573" s="6">
        <v>58884.36553556106</v>
      </c>
      <c r="B573" s="7">
        <v>90.16531120412373</v>
      </c>
      <c r="C573" s="7">
        <v>90.1653112041223</v>
      </c>
      <c r="D573" s="6">
        <v>-1.4210854715202E-12</v>
      </c>
    </row>
    <row r="574" spans="1:4">
      <c r="A574" s="6">
        <v>59566.21435290324</v>
      </c>
      <c r="B574" s="7">
        <v>89.69839987885928</v>
      </c>
      <c r="C574" s="7">
        <v>89.69839987886044</v>
      </c>
      <c r="D574" s="6">
        <v>1.165290086646564E-12</v>
      </c>
    </row>
    <row r="575" spans="1:4">
      <c r="A575" s="6">
        <v>60255.95860743801</v>
      </c>
      <c r="B575" s="7">
        <v>89.23441868206316</v>
      </c>
      <c r="C575" s="7">
        <v>89.23441868206322</v>
      </c>
      <c r="D575" s="6">
        <v>5.684341886080801E-14</v>
      </c>
    </row>
    <row r="576" spans="1:4">
      <c r="A576" s="6">
        <v>60953.68972401917</v>
      </c>
      <c r="B576" s="7">
        <v>88.77325595597961</v>
      </c>
      <c r="C576" s="7">
        <v>88.77325595597878</v>
      </c>
      <c r="D576" s="6">
        <v>-8.242295734817162E-13</v>
      </c>
    </row>
    <row r="577" spans="1:4">
      <c r="A577" s="6">
        <v>61659.5001861505</v>
      </c>
      <c r="B577" s="7">
        <v>88.31478006362134</v>
      </c>
      <c r="C577" s="7">
        <v>88.31478006362063</v>
      </c>
      <c r="D577" s="6">
        <v>-7.105427357601002E-13</v>
      </c>
    </row>
    <row r="578" spans="1:4">
      <c r="A578" s="6">
        <v>62373.48354824424</v>
      </c>
      <c r="B578" s="7">
        <v>87.85885295104111</v>
      </c>
      <c r="C578" s="7">
        <v>87.85885295104188</v>
      </c>
      <c r="D578" s="6">
        <v>7.673861546209082E-13</v>
      </c>
    </row>
    <row r="579" spans="1:4">
      <c r="A579" s="6">
        <v>63095.73444802168</v>
      </c>
      <c r="B579" s="7">
        <v>87.40533767208129</v>
      </c>
      <c r="C579" s="7">
        <v>87.4053376720818</v>
      </c>
      <c r="D579" s="6">
        <v>5.115907697472721E-13</v>
      </c>
    </row>
    <row r="580" spans="1:4">
      <c r="A580" s="6">
        <v>63826.34861905725</v>
      </c>
      <c r="B580" s="7">
        <v>86.95410237292609</v>
      </c>
      <c r="C580" s="7">
        <v>86.9541023729255</v>
      </c>
      <c r="D580" s="6">
        <v>-5.826450433232822E-13</v>
      </c>
    </row>
    <row r="581" spans="1:4">
      <c r="A581" s="6">
        <v>64565.42290346796</v>
      </c>
      <c r="B581" s="7">
        <v>86.50502221442576</v>
      </c>
      <c r="C581" s="7">
        <v>86.50502221442551</v>
      </c>
      <c r="D581" s="6">
        <v>-2.557953848736361E-13</v>
      </c>
    </row>
    <row r="582" spans="1:4">
      <c r="A582" s="6">
        <v>65313.05526474967</v>
      </c>
      <c r="B582" s="7">
        <v>86.0579801085224</v>
      </c>
      <c r="C582" s="7">
        <v>86.05798010852223</v>
      </c>
      <c r="D582" s="6">
        <v>-1.70530256582424E-13</v>
      </c>
    </row>
    <row r="583" spans="1:4">
      <c r="A583" s="6">
        <v>66069.34480076208</v>
      </c>
      <c r="B583" s="7">
        <v>85.61286678864981</v>
      </c>
      <c r="C583" s="7">
        <v>85.61286678865056</v>
      </c>
      <c r="D583" s="6">
        <v>7.531752999057062E-13</v>
      </c>
    </row>
    <row r="584" spans="1:4">
      <c r="A584" s="6">
        <v>66834.39175686396</v>
      </c>
      <c r="B584" s="7">
        <v>85.16958052188633</v>
      </c>
      <c r="C584" s="7">
        <v>85.16958052188696</v>
      </c>
      <c r="D584" s="6">
        <v>6.252776074688882E-13</v>
      </c>
    </row>
    <row r="585" spans="1:4">
      <c r="A585" s="6">
        <v>67608.29753920072</v>
      </c>
      <c r="B585" s="7">
        <v>84.72802664384871</v>
      </c>
      <c r="C585" s="7">
        <v>84.72802664384878</v>
      </c>
      <c r="D585" s="6">
        <v>7.105427357601002E-14</v>
      </c>
    </row>
    <row r="586" spans="1:4">
      <c r="A586" s="6">
        <v>68391.16472814551</v>
      </c>
      <c r="B586" s="7">
        <v>84.28811702143521</v>
      </c>
      <c r="C586" s="7">
        <v>84.28811702143518</v>
      </c>
      <c r="D586" s="6">
        <v>-2.842170943040401E-14</v>
      </c>
    </row>
    <row r="587" spans="1:4">
      <c r="A587" s="6">
        <v>69183.09709189627</v>
      </c>
      <c r="B587" s="7">
        <v>83.84976950299622</v>
      </c>
      <c r="C587" s="7">
        <v>83.8497695029976</v>
      </c>
      <c r="D587" s="6">
        <v>1.378452907374594E-12</v>
      </c>
    </row>
    <row r="588" spans="1:4">
      <c r="A588" s="6">
        <v>69984.19960023</v>
      </c>
      <c r="B588" s="7">
        <v>83.41290738832903</v>
      </c>
      <c r="C588" s="7">
        <v>83.41290738832947</v>
      </c>
      <c r="D588" s="6">
        <v>4.405364961712621E-13</v>
      </c>
    </row>
    <row r="589" spans="1:4">
      <c r="A589" s="6">
        <v>70794.57843841647</v>
      </c>
      <c r="B589" s="7">
        <v>82.97745893472133</v>
      </c>
      <c r="C589" s="7">
        <v>82.97745893472195</v>
      </c>
      <c r="D589" s="6">
        <v>6.252776074688882E-13</v>
      </c>
    </row>
    <row r="590" spans="1:4">
      <c r="A590" s="6">
        <v>71614.34102129292</v>
      </c>
      <c r="B590" s="7">
        <v>82.54335690588108</v>
      </c>
      <c r="C590" s="7">
        <v>82.54335690588077</v>
      </c>
      <c r="D590" s="6">
        <v>-3.126388037344441E-13</v>
      </c>
    </row>
    <row r="591" spans="1:4">
      <c r="A591" s="6">
        <v>72443.59600750176</v>
      </c>
      <c r="B591" s="7">
        <v>82.11053816509732</v>
      </c>
      <c r="C591" s="7">
        <v>82.11053816509725</v>
      </c>
      <c r="D591" s="6">
        <v>-7.105427357601002E-14</v>
      </c>
    </row>
    <row r="592" spans="1:4">
      <c r="A592" s="6">
        <v>73282.4533138932</v>
      </c>
      <c r="B592" s="7">
        <v>81.67894331110642</v>
      </c>
      <c r="C592" s="7">
        <v>81.67894331110652</v>
      </c>
      <c r="D592" s="6">
        <v>9.947598300641403E-14</v>
      </c>
    </row>
    <row r="593" spans="1:4">
      <c r="A593" s="6">
        <v>74131.02413009458</v>
      </c>
      <c r="B593" s="7">
        <v>81.24851635356791</v>
      </c>
      <c r="C593" s="7">
        <v>81.24851635356777</v>
      </c>
      <c r="D593" s="6">
        <v>-1.4210854715202E-13</v>
      </c>
    </row>
    <row r="594" spans="1:4">
      <c r="A594" s="6">
        <v>74989.42093324845</v>
      </c>
      <c r="B594" s="7">
        <v>80.81920442446452</v>
      </c>
      <c r="C594" s="7">
        <v>80.81920442446486</v>
      </c>
      <c r="D594" s="6">
        <v>3.410605131648481E-13</v>
      </c>
    </row>
    <row r="595" spans="1:4">
      <c r="A595" s="6">
        <v>75857.75750292127</v>
      </c>
      <c r="B595" s="7">
        <v>80.39095752158494</v>
      </c>
      <c r="C595" s="7">
        <v>80.39095752158499</v>
      </c>
      <c r="D595" s="6">
        <v>5.684341886080801E-14</v>
      </c>
    </row>
    <row r="596" spans="1:4">
      <c r="A596" s="6">
        <v>76736.14893618484</v>
      </c>
      <c r="B596" s="7">
        <v>79.96372828036633</v>
      </c>
      <c r="C596" s="7">
        <v>79.96372828036667</v>
      </c>
      <c r="D596" s="6">
        <v>3.410605131648481E-13</v>
      </c>
    </row>
    <row r="597" spans="1:4">
      <c r="A597" s="6">
        <v>77624.71166287216</v>
      </c>
      <c r="B597" s="7">
        <v>79.53747177067994</v>
      </c>
      <c r="C597" s="7">
        <v>79.53747177068006</v>
      </c>
      <c r="D597" s="6">
        <v>1.13686837721616E-13</v>
      </c>
    </row>
    <row r="598" spans="1:4">
      <c r="A598" s="6">
        <v>78523.5634610102</v>
      </c>
      <c r="B598" s="7">
        <v>79.11214531543706</v>
      </c>
      <c r="C598" s="7">
        <v>79.11214531543661</v>
      </c>
      <c r="D598" s="6">
        <v>-4.547473508864641E-13</v>
      </c>
    </row>
    <row r="599" spans="1:4">
      <c r="A599" s="6">
        <v>79432.82347243121</v>
      </c>
      <c r="B599" s="7">
        <v>78.68770832827109</v>
      </c>
      <c r="C599" s="7">
        <v>78.68770832827009</v>
      </c>
      <c r="D599" s="6">
        <v>-9.947598300641403E-13</v>
      </c>
    </row>
    <row r="600" spans="1:4">
      <c r="A600" s="6">
        <v>80352.61221856483</v>
      </c>
      <c r="B600" s="7">
        <v>78.26412216786609</v>
      </c>
      <c r="C600" s="7">
        <v>78.26412216786663</v>
      </c>
      <c r="D600" s="6">
        <v>5.400124791776761E-13</v>
      </c>
    </row>
    <row r="601" spans="1:4">
      <c r="A601" s="6">
        <v>81283.05161641307</v>
      </c>
      <c r="B601" s="7">
        <v>77.84135000683078</v>
      </c>
      <c r="C601" s="7">
        <v>77.84135000683068</v>
      </c>
      <c r="D601" s="6">
        <v>-9.947598300641403E-14</v>
      </c>
    </row>
    <row r="602" spans="1:4">
      <c r="A602" s="6">
        <v>82224.26499471031</v>
      </c>
      <c r="B602" s="7">
        <v>77.41935671325349</v>
      </c>
      <c r="C602" s="7">
        <v>77.41935671325388</v>
      </c>
      <c r="D602" s="6">
        <v>3.836930773104541E-13</v>
      </c>
    </row>
    <row r="603" spans="1:4">
      <c r="A603" s="6">
        <v>83176.37711027033</v>
      </c>
      <c r="B603" s="7">
        <v>76.99810874340081</v>
      </c>
      <c r="C603" s="7">
        <v>76.99810874340028</v>
      </c>
      <c r="D603" s="6">
        <v>-5.258016244624741E-13</v>
      </c>
    </row>
    <row r="604" spans="1:4">
      <c r="A604" s="6">
        <v>84139.51416452278</v>
      </c>
      <c r="B604" s="7">
        <v>76.5775740441387</v>
      </c>
      <c r="C604" s="7">
        <v>76.57757404413914</v>
      </c>
      <c r="D604" s="6">
        <v>4.405364961712621E-13</v>
      </c>
    </row>
    <row r="605" spans="1:4">
      <c r="A605" s="6">
        <v>85113.80382024095</v>
      </c>
      <c r="B605" s="7">
        <v>76.15772196394406</v>
      </c>
      <c r="C605" s="7">
        <v>76.15772196394363</v>
      </c>
      <c r="D605" s="6">
        <v>-4.263256414560601E-13</v>
      </c>
    </row>
    <row r="606" spans="1:4">
      <c r="A606" s="6">
        <v>86099.37521846342</v>
      </c>
      <c r="B606" s="7">
        <v>75.73852317143756</v>
      </c>
      <c r="C606" s="7">
        <v>75.73852317143673</v>
      </c>
      <c r="D606" s="6">
        <v>-8.384404281969182E-13</v>
      </c>
    </row>
    <row r="607" spans="1:4">
      <c r="A607" s="6">
        <v>87096.35899561147</v>
      </c>
      <c r="B607" s="7">
        <v>75.31994958060505</v>
      </c>
      <c r="C607" s="7">
        <v>75.3199495806051</v>
      </c>
      <c r="D607" s="6">
        <v>4.263256414560601E-14</v>
      </c>
    </row>
    <row r="608" spans="1:4">
      <c r="A608" s="6">
        <v>88104.88730080485</v>
      </c>
      <c r="B608" s="7">
        <v>74.90197428192185</v>
      </c>
      <c r="C608" s="7">
        <v>74.90197428192167</v>
      </c>
      <c r="D608" s="6">
        <v>-1.84741111297626E-13</v>
      </c>
    </row>
    <row r="609" spans="1:4">
      <c r="A609" s="6">
        <v>89125.09381337804</v>
      </c>
      <c r="B609" s="7">
        <v>74.48457147872021</v>
      </c>
      <c r="C609" s="7">
        <v>74.48457147871976</v>
      </c>
      <c r="D609" s="6">
        <v>-4.547473508864641E-13</v>
      </c>
    </row>
    <row r="610" spans="1:4">
      <c r="A610" s="6">
        <v>90157.11376059923</v>
      </c>
      <c r="B610" s="7">
        <v>74.06771642825056</v>
      </c>
      <c r="C610" s="7">
        <v>74.06771642825031</v>
      </c>
      <c r="D610" s="6">
        <v>-2.557953848736361E-13</v>
      </c>
    </row>
    <row r="611" spans="1:4">
      <c r="A611" s="6">
        <v>91201.08393559456</v>
      </c>
      <c r="B611" s="7">
        <v>73.6513853869283</v>
      </c>
      <c r="C611" s="7">
        <v>73.65138538692803</v>
      </c>
      <c r="D611" s="6">
        <v>-2.700062395888381E-13</v>
      </c>
    </row>
    <row r="612" spans="1:4">
      <c r="A612" s="6">
        <v>92257.14271547995</v>
      </c>
      <c r="B612" s="7">
        <v>73.23555555933697</v>
      </c>
      <c r="C612" s="7">
        <v>73.235555559337</v>
      </c>
      <c r="D612" s="6">
        <v>2.842170943040401E-14</v>
      </c>
    </row>
    <row r="613" spans="1:4">
      <c r="A613" s="6">
        <v>93325.43007970278</v>
      </c>
      <c r="B613" s="7">
        <v>72.82020505062195</v>
      </c>
      <c r="C613" s="7">
        <v>72.82020505062162</v>
      </c>
      <c r="D613" s="6">
        <v>-3.268496584496461E-13</v>
      </c>
    </row>
    <row r="614" spans="1:4">
      <c r="A614" s="6">
        <v>94406.08762859607</v>
      </c>
      <c r="B614" s="7">
        <v>72.40531282193528</v>
      </c>
      <c r="C614" s="7">
        <v>72.40531282193534</v>
      </c>
      <c r="D614" s="6">
        <v>5.684341886080801E-14</v>
      </c>
    </row>
    <row r="615" spans="1:4">
      <c r="A615" s="6">
        <v>95499.25860214738</v>
      </c>
      <c r="B615" s="7">
        <v>71.99085864866105</v>
      </c>
      <c r="C615" s="7">
        <v>71.99085864866069</v>
      </c>
      <c r="D615" s="6">
        <v>-3.552713678800501E-13</v>
      </c>
    </row>
    <row r="616" spans="1:4">
      <c r="A616" s="6">
        <v>96605.08789898518</v>
      </c>
      <c r="B616" s="7">
        <v>71.57682308114934</v>
      </c>
      <c r="C616" s="7">
        <v>71.57682308114894</v>
      </c>
      <c r="D616" s="6">
        <v>-3.979039320256561E-13</v>
      </c>
    </row>
    <row r="617" spans="1:4">
      <c r="A617" s="6">
        <v>97723.72209558495</v>
      </c>
      <c r="B617" s="7">
        <v>71.16318740775714</v>
      </c>
      <c r="C617" s="7">
        <v>71.16318740775722</v>
      </c>
      <c r="D617" s="6">
        <v>8.526512829121202E-14</v>
      </c>
    </row>
    <row r="618" spans="1:4">
      <c r="A618" s="6">
        <v>98855.30946569782</v>
      </c>
      <c r="B618" s="7">
        <v>70.74993361998727</v>
      </c>
      <c r="C618" s="7">
        <v>70.74993361998754</v>
      </c>
      <c r="D618" s="6">
        <v>2.700062395888381E-13</v>
      </c>
    </row>
    <row r="619" spans="1:4">
      <c r="A619" s="6">
        <v>100000.000000004</v>
      </c>
      <c r="B619" s="7">
        <v>70.33704437955377</v>
      </c>
      <c r="C619" s="7">
        <v>70.33704437955365</v>
      </c>
      <c r="D619" s="6">
        <v>-1.27897692436818E-13</v>
      </c>
    </row>
    <row r="620" spans="1:4">
      <c r="A620" s="6">
        <v>101157.9454259939</v>
      </c>
      <c r="B620" s="7">
        <v>69.92450298722252</v>
      </c>
      <c r="C620" s="7">
        <v>69.92450298722187</v>
      </c>
      <c r="D620" s="6">
        <v>-6.536993168992922E-13</v>
      </c>
    </row>
    <row r="621" spans="1:4">
      <c r="A621" s="6">
        <v>102329.2992280795</v>
      </c>
      <c r="B621" s="7">
        <v>69.51229335328803</v>
      </c>
      <c r="C621" s="7">
        <v>69.51229335328799</v>
      </c>
      <c r="D621" s="6">
        <v>-4.263256414560601E-14</v>
      </c>
    </row>
    <row r="622" spans="1:4">
      <c r="A622" s="6">
        <v>103514.2166679385</v>
      </c>
      <c r="B622" s="7">
        <v>69.10039996956789</v>
      </c>
      <c r="C622" s="7">
        <v>69.10039996956768</v>
      </c>
      <c r="D622" s="6">
        <v>-2.131628207280301E-13</v>
      </c>
    </row>
    <row r="623" spans="1:4">
      <c r="A623" s="6">
        <v>104712.8548050942</v>
      </c>
      <c r="B623" s="7">
        <v>68.68880788278996</v>
      </c>
      <c r="C623" s="7">
        <v>68.68880788278986</v>
      </c>
      <c r="D623" s="6">
        <v>-9.947598300641403E-14</v>
      </c>
    </row>
    <row r="624" spans="1:4">
      <c r="A624" s="6">
        <v>105925.3725177332</v>
      </c>
      <c r="B624" s="7">
        <v>68.27750266929358</v>
      </c>
      <c r="C624" s="7">
        <v>68.27750266929397</v>
      </c>
      <c r="D624" s="6">
        <v>3.836930773104541E-13</v>
      </c>
    </row>
    <row r="625" spans="1:4">
      <c r="A625" s="6">
        <v>107151.930523765</v>
      </c>
      <c r="B625" s="7">
        <v>67.86647041094139</v>
      </c>
      <c r="C625" s="7">
        <v>67.86647041094187</v>
      </c>
      <c r="D625" s="6">
        <v>4.831690603168681E-13</v>
      </c>
    </row>
    <row r="626" spans="1:4">
      <c r="A626" s="6">
        <v>108392.6914021247</v>
      </c>
      <c r="B626" s="7">
        <v>67.45569767216398</v>
      </c>
      <c r="C626" s="7">
        <v>67.45569767216332</v>
      </c>
      <c r="D626" s="6">
        <v>-6.536993168992922E-13</v>
      </c>
    </row>
    <row r="627" spans="1:4">
      <c r="A627" s="6">
        <v>109647.8196143229</v>
      </c>
      <c r="B627" s="7">
        <v>67.04517147806121</v>
      </c>
      <c r="C627" s="7">
        <v>67.04517147806152</v>
      </c>
      <c r="D627" s="6">
        <v>3.126388037344441E-13</v>
      </c>
    </row>
    <row r="628" spans="1:4">
      <c r="A628" s="6">
        <v>110917.4815262446</v>
      </c>
      <c r="B628" s="7">
        <v>66.63487929351146</v>
      </c>
      <c r="C628" s="7">
        <v>66.63487929351191</v>
      </c>
      <c r="D628" s="6">
        <v>4.547473508864641E-13</v>
      </c>
    </row>
    <row r="629" spans="1:4">
      <c r="A629" s="6">
        <v>112201.8454302009</v>
      </c>
      <c r="B629" s="7">
        <v>66.22480900319397</v>
      </c>
      <c r="C629" s="7">
        <v>66.22480900319358</v>
      </c>
      <c r="D629" s="6">
        <v>-3.836930773104541E-13</v>
      </c>
    </row>
    <row r="630" spans="1:4">
      <c r="A630" s="6">
        <v>113501.0815672361</v>
      </c>
      <c r="B630" s="7">
        <v>65.81494889249646</v>
      </c>
      <c r="C630" s="7">
        <v>65.81494889249686</v>
      </c>
      <c r="D630" s="6">
        <v>3.979039320256561E-13</v>
      </c>
    </row>
    <row r="631" spans="1:4">
      <c r="A631" s="6">
        <v>114815.3621496929</v>
      </c>
      <c r="B631" s="7">
        <v>65.40528762925624</v>
      </c>
      <c r="C631" s="7">
        <v>65.40528762925626</v>
      </c>
      <c r="D631" s="6">
        <v>2.842170943040401E-14</v>
      </c>
    </row>
    <row r="632" spans="1:4">
      <c r="A632" s="6">
        <v>116144.861384039</v>
      </c>
      <c r="B632" s="7">
        <v>64.9958142462615</v>
      </c>
      <c r="C632" s="7">
        <v>64.99581424626166</v>
      </c>
      <c r="D632" s="6">
        <v>1.56319401867222E-13</v>
      </c>
    </row>
    <row r="633" spans="1:4">
      <c r="A633" s="6">
        <v>117489.7554939578</v>
      </c>
      <c r="B633" s="7">
        <v>64.5865181245038</v>
      </c>
      <c r="C633" s="7">
        <v>64.58651812450385</v>
      </c>
      <c r="D633" s="6">
        <v>5.684341886080801E-14</v>
      </c>
    </row>
    <row r="634" spans="1:4">
      <c r="A634" s="6">
        <v>118850.2227437067</v>
      </c>
      <c r="B634" s="7">
        <v>64.17738897711533</v>
      </c>
      <c r="C634" s="7">
        <v>64.17738897711473</v>
      </c>
      <c r="D634" s="6">
        <v>-5.968558980384842E-13</v>
      </c>
    </row>
    <row r="635" spans="1:4">
      <c r="A635" s="6">
        <v>120226.4434617462</v>
      </c>
      <c r="B635" s="7">
        <v>63.76841683396384</v>
      </c>
      <c r="C635" s="7">
        <v>63.76841683396428</v>
      </c>
      <c r="D635" s="6">
        <v>4.405364961712621E-13</v>
      </c>
    </row>
    <row r="636" spans="1:4">
      <c r="A636" s="6">
        <v>121618.6000646418</v>
      </c>
      <c r="B636" s="7">
        <v>63.35959202688053</v>
      </c>
      <c r="C636" s="7">
        <v>63.35959202688031</v>
      </c>
      <c r="D636" s="6">
        <v>-2.202682480856311E-13</v>
      </c>
    </row>
    <row r="637" spans="1:4">
      <c r="A637" s="6">
        <v>123026.8770812432</v>
      </c>
      <c r="B637" s="7">
        <v>62.95090517545823</v>
      </c>
      <c r="C637" s="7">
        <v>62.9509051754581</v>
      </c>
      <c r="D637" s="6">
        <v>-1.35003119794419E-13</v>
      </c>
    </row>
    <row r="638" spans="1:4">
      <c r="A638" s="6">
        <v>124451.4611771436</v>
      </c>
      <c r="B638" s="7">
        <v>62.54234717343029</v>
      </c>
      <c r="C638" s="7">
        <v>62.54234717343017</v>
      </c>
      <c r="D638" s="6">
        <v>-1.13686837721616E-13</v>
      </c>
    </row>
    <row r="639" spans="1:4">
      <c r="A639" s="6">
        <v>125892.5411794219</v>
      </c>
      <c r="B639" s="7">
        <v>62.13390917556812</v>
      </c>
      <c r="C639" s="7">
        <v>62.13390917556804</v>
      </c>
      <c r="D639" s="6">
        <v>-8.526512829121202E-14</v>
      </c>
    </row>
    <row r="640" spans="1:4">
      <c r="A640" s="6">
        <v>127350.3081016714</v>
      </c>
      <c r="B640" s="7">
        <v>61.72558258508946</v>
      </c>
      <c r="C640" s="7">
        <v>61.72558258508928</v>
      </c>
      <c r="D640" s="6">
        <v>-1.77635683940025E-13</v>
      </c>
    </row>
    <row r="641" spans="1:4">
      <c r="A641" s="6">
        <v>128824.9551693187</v>
      </c>
      <c r="B641" s="7">
        <v>61.31735904154542</v>
      </c>
      <c r="C641" s="7">
        <v>61.31735904154552</v>
      </c>
      <c r="D641" s="6">
        <v>9.237055564881302E-14</v>
      </c>
    </row>
    <row r="642" spans="1:4">
      <c r="A642" s="6">
        <v>130316.6778452353</v>
      </c>
      <c r="B642" s="7">
        <v>60.90923040916788</v>
      </c>
      <c r="C642" s="7">
        <v>60.90923040916767</v>
      </c>
      <c r="D642" s="6">
        <v>-2.131628207280301E-13</v>
      </c>
    </row>
    <row r="643" spans="1:4">
      <c r="A643" s="6">
        <v>131825.6738556462</v>
      </c>
      <c r="B643" s="7">
        <v>60.5011887656471</v>
      </c>
      <c r="C643" s="7">
        <v>60.50118876564697</v>
      </c>
      <c r="D643" s="6">
        <v>-1.35003119794419E-13</v>
      </c>
    </row>
    <row r="644" spans="1:4">
      <c r="A644" s="6">
        <v>133352.143216338</v>
      </c>
      <c r="B644" s="7">
        <v>60.09322639133046</v>
      </c>
      <c r="C644" s="7">
        <v>60.09322639133049</v>
      </c>
      <c r="D644" s="6">
        <v>2.842170943040401E-14</v>
      </c>
    </row>
    <row r="645" spans="1:4">
      <c r="A645" s="6">
        <v>134896.288259171</v>
      </c>
      <c r="B645" s="7">
        <v>59.68533575881231</v>
      </c>
      <c r="C645" s="7">
        <v>59.68533575881231</v>
      </c>
      <c r="D645" s="6">
        <v>0</v>
      </c>
    </row>
    <row r="646" spans="1:4">
      <c r="A646" s="6">
        <v>136458.3136588981</v>
      </c>
      <c r="B646" s="7">
        <v>59.2775095229014</v>
      </c>
      <c r="C646" s="7">
        <v>59.27750952290125</v>
      </c>
      <c r="D646" s="6">
        <v>-1.56319401867222E-13</v>
      </c>
    </row>
    <row r="647" spans="1:4">
      <c r="A647" s="6">
        <v>138038.4264602943</v>
      </c>
      <c r="B647" s="7">
        <v>58.86974051094852</v>
      </c>
      <c r="C647" s="7">
        <v>58.86974051094805</v>
      </c>
      <c r="D647" s="6">
        <v>-4.760636329592671E-13</v>
      </c>
    </row>
    <row r="648" spans="1:4">
      <c r="A648" s="6">
        <v>139636.8361055996</v>
      </c>
      <c r="B648" s="7">
        <v>58.46202171351544</v>
      </c>
      <c r="C648" s="7">
        <v>58.46202171351528</v>
      </c>
      <c r="D648" s="6">
        <v>-1.56319401867222E-13</v>
      </c>
    </row>
    <row r="649" spans="1:4">
      <c r="A649" s="6">
        <v>141253.7544622813</v>
      </c>
      <c r="B649" s="7">
        <v>58.05434627537412</v>
      </c>
      <c r="C649" s="7">
        <v>58.05434627537409</v>
      </c>
      <c r="D649" s="6">
        <v>-2.842170943040401E-14</v>
      </c>
    </row>
    <row r="650" spans="1:4">
      <c r="A650" s="6">
        <v>142889.3958511163</v>
      </c>
      <c r="B650" s="7">
        <v>57.64670748681317</v>
      </c>
      <c r="C650" s="7">
        <v>57.64670748681315</v>
      </c>
      <c r="D650" s="6">
        <v>-2.131628207280301E-14</v>
      </c>
    </row>
    <row r="651" spans="1:4">
      <c r="A651" s="6">
        <v>144543.9770745988</v>
      </c>
      <c r="B651" s="7">
        <v>57.23909877524495</v>
      </c>
      <c r="C651" s="7">
        <v>57.23909877524515</v>
      </c>
      <c r="D651" s="6">
        <v>1.989519660128281E-13</v>
      </c>
    </row>
    <row r="652" spans="1:4">
      <c r="A652" s="6">
        <v>146217.717445678</v>
      </c>
      <c r="B652" s="7">
        <v>56.83151369709773</v>
      </c>
      <c r="C652" s="7">
        <v>56.83151369709762</v>
      </c>
      <c r="D652" s="6">
        <v>-1.13686837721616E-13</v>
      </c>
    </row>
    <row r="653" spans="1:4">
      <c r="A653" s="6">
        <v>147910.838816827</v>
      </c>
      <c r="B653" s="7">
        <v>56.42394592997501</v>
      </c>
      <c r="C653" s="7">
        <v>56.42394592997501</v>
      </c>
      <c r="D653" s="6">
        <v>0</v>
      </c>
    </row>
    <row r="654" spans="1:4">
      <c r="A654" s="6">
        <v>149623.5656094497</v>
      </c>
      <c r="B654" s="7">
        <v>56.01638926507987</v>
      </c>
      <c r="C654" s="7">
        <v>56.01638926507967</v>
      </c>
      <c r="D654" s="6">
        <v>-2.060573933704291E-13</v>
      </c>
    </row>
    <row r="655" spans="1:4">
      <c r="A655" s="6">
        <v>151356.1248436272</v>
      </c>
      <c r="B655" s="7">
        <v>55.60883759987976</v>
      </c>
      <c r="C655" s="7">
        <v>55.60883759987998</v>
      </c>
      <c r="D655" s="6">
        <v>2.131628207280301E-13</v>
      </c>
    </row>
    <row r="656" spans="1:4">
      <c r="A656" s="6">
        <v>153108.7461682095</v>
      </c>
      <c r="B656" s="7">
        <v>55.20128493101442</v>
      </c>
      <c r="C656" s="7">
        <v>55.20128493101457</v>
      </c>
      <c r="D656" s="6">
        <v>1.49213974509621E-13</v>
      </c>
    </row>
    <row r="657" spans="1:4">
      <c r="A657" s="6">
        <v>154881.6618912547</v>
      </c>
      <c r="B657" s="7">
        <v>54.7937253474216</v>
      </c>
      <c r="C657" s="7">
        <v>54.79372534742168</v>
      </c>
      <c r="D657" s="6">
        <v>7.815970093361102E-14</v>
      </c>
    </row>
    <row r="658" spans="1:4">
      <c r="A658" s="6">
        <v>156675.1070108215</v>
      </c>
      <c r="B658" s="7">
        <v>54.38615302368309</v>
      </c>
      <c r="C658" s="7">
        <v>54.38615302368335</v>
      </c>
      <c r="D658" s="6">
        <v>2.557953848736361E-13</v>
      </c>
    </row>
    <row r="659" spans="1:4">
      <c r="A659" s="6">
        <v>158489.3192461181</v>
      </c>
      <c r="B659" s="7">
        <v>53.97856221357529</v>
      </c>
      <c r="C659" s="7">
        <v>53.97856221357499</v>
      </c>
      <c r="D659" s="6">
        <v>-3.055333763768431E-13</v>
      </c>
    </row>
    <row r="660" spans="1:4">
      <c r="A660" s="6">
        <v>160324.539069011</v>
      </c>
      <c r="B660" s="7">
        <v>53.57094724381051</v>
      </c>
      <c r="C660" s="7">
        <v>53.57094724381044</v>
      </c>
      <c r="D660" s="6">
        <v>-7.105427357601002E-14</v>
      </c>
    </row>
    <row r="661" spans="1:4">
      <c r="A661" s="6">
        <v>162181.0097358999</v>
      </c>
      <c r="B661" s="7">
        <v>53.16330250797397</v>
      </c>
      <c r="C661" s="7">
        <v>53.1633025079739</v>
      </c>
      <c r="D661" s="6">
        <v>-7.105427357601002E-14</v>
      </c>
    </row>
    <row r="662" spans="1:4">
      <c r="A662" s="6">
        <v>164058.9773199609</v>
      </c>
      <c r="B662" s="7">
        <v>52.75562246062977</v>
      </c>
      <c r="C662" s="7">
        <v>52.75562246062987</v>
      </c>
      <c r="D662" s="6">
        <v>9.947598300641403E-14</v>
      </c>
    </row>
    <row r="663" spans="1:4">
      <c r="A663" s="6">
        <v>165958.6907437632</v>
      </c>
      <c r="B663" s="7">
        <v>52.34790161160294</v>
      </c>
      <c r="C663" s="7">
        <v>52.34790161160299</v>
      </c>
      <c r="D663" s="6">
        <v>4.973799150320701E-14</v>
      </c>
    </row>
    <row r="664" spans="1:4">
      <c r="A664" s="6">
        <v>167880.4018122632</v>
      </c>
      <c r="B664" s="7">
        <v>51.94013452041975</v>
      </c>
      <c r="C664" s="7">
        <v>51.9401345204197</v>
      </c>
      <c r="D664" s="6">
        <v>-4.263256414560601E-14</v>
      </c>
    </row>
    <row r="665" spans="1:4">
      <c r="A665" s="6">
        <v>169824.3652461817</v>
      </c>
      <c r="B665" s="7">
        <v>51.53231579090411</v>
      </c>
      <c r="C665" s="7">
        <v>51.53231579090423</v>
      </c>
      <c r="D665" s="6">
        <v>1.20792265079217E-13</v>
      </c>
    </row>
    <row r="666" spans="1:4">
      <c r="A666" s="6">
        <v>171790.8387157662</v>
      </c>
      <c r="B666" s="7">
        <v>51.12444006592173</v>
      </c>
      <c r="C666" s="7">
        <v>51.12444006592164</v>
      </c>
      <c r="D666" s="6">
        <v>-9.237055564881302E-14</v>
      </c>
    </row>
    <row r="667" spans="1:4">
      <c r="A667" s="6">
        <v>173780.082874945</v>
      </c>
      <c r="B667" s="7">
        <v>50.7165020222606</v>
      </c>
      <c r="C667" s="7">
        <v>50.7165020222608</v>
      </c>
      <c r="D667" s="6">
        <v>1.989519660128281E-13</v>
      </c>
    </row>
    <row r="668" spans="1:4">
      <c r="A668" s="6">
        <v>175792.3613958768</v>
      </c>
      <c r="B668" s="7">
        <v>50.30849636565043</v>
      </c>
      <c r="C668" s="7">
        <v>50.30849636565057</v>
      </c>
      <c r="D668" s="6">
        <v>1.4210854715202E-13</v>
      </c>
    </row>
    <row r="669" spans="1:4">
      <c r="A669" s="6">
        <v>177827.9410039</v>
      </c>
      <c r="B669" s="7">
        <v>49.90041782590301</v>
      </c>
      <c r="C669" s="7">
        <v>49.90041782590298</v>
      </c>
      <c r="D669" s="6">
        <v>-2.842170943040401E-14</v>
      </c>
    </row>
    <row r="670" spans="1:4">
      <c r="A670" s="6">
        <v>179887.0915128865</v>
      </c>
      <c r="B670" s="7">
        <v>49.49226115217684</v>
      </c>
      <c r="C670" s="7">
        <v>49.49226115217697</v>
      </c>
      <c r="D670" s="6">
        <v>1.35003119794419E-13</v>
      </c>
    </row>
    <row r="671" spans="1:4">
      <c r="A671" s="6">
        <v>181970.0858610062</v>
      </c>
      <c r="B671" s="7">
        <v>49.08402110835678</v>
      </c>
      <c r="C671" s="7">
        <v>49.08402110835666</v>
      </c>
      <c r="D671" s="6">
        <v>-1.20792265079217E-13</v>
      </c>
    </row>
    <row r="672" spans="1:4">
      <c r="A672" s="6">
        <v>184077.2001469036</v>
      </c>
      <c r="B672" s="7">
        <v>48.67569246853875</v>
      </c>
      <c r="C672" s="7">
        <v>48.67569246853879</v>
      </c>
      <c r="D672" s="6">
        <v>4.263256414560601E-14</v>
      </c>
    </row>
    <row r="673" spans="1:4">
      <c r="A673" s="6">
        <v>186208.7136662948</v>
      </c>
      <c r="B673" s="7">
        <v>48.26727001262377</v>
      </c>
      <c r="C673" s="7">
        <v>48.26727001262356</v>
      </c>
      <c r="D673" s="6">
        <v>-2.131628207280301E-13</v>
      </c>
    </row>
    <row r="674" spans="1:4">
      <c r="A674" s="6">
        <v>188364.9089489882</v>
      </c>
      <c r="B674" s="7">
        <v>47.85874852200359</v>
      </c>
      <c r="C674" s="7">
        <v>47.85874852200351</v>
      </c>
      <c r="D674" s="6">
        <v>-8.526512829121202E-14</v>
      </c>
    </row>
    <row r="675" spans="1:4">
      <c r="A675" s="6">
        <v>190546.071796333</v>
      </c>
      <c r="B675" s="7">
        <v>47.4501227753457</v>
      </c>
      <c r="C675" s="7">
        <v>47.45012277534573</v>
      </c>
      <c r="D675" s="6">
        <v>2.842170943040401E-14</v>
      </c>
    </row>
    <row r="676" spans="1:4">
      <c r="A676" s="6">
        <v>192752.491319102</v>
      </c>
      <c r="B676" s="7">
        <v>47.04138754446214</v>
      </c>
      <c r="C676" s="7">
        <v>47.0413875444622</v>
      </c>
      <c r="D676" s="6">
        <v>5.684341886080801E-14</v>
      </c>
    </row>
    <row r="677" spans="1:4">
      <c r="A677" s="6">
        <v>194984.4599758131</v>
      </c>
      <c r="B677" s="7">
        <v>46.63253759026368</v>
      </c>
      <c r="C677" s="7">
        <v>46.6325375902636</v>
      </c>
      <c r="D677" s="6">
        <v>-7.815970093361102E-14</v>
      </c>
    </row>
    <row r="678" spans="1:4">
      <c r="A678" s="6">
        <v>197242.273611494</v>
      </c>
      <c r="B678" s="7">
        <v>46.22356765879235</v>
      </c>
      <c r="C678" s="7">
        <v>46.22356765879231</v>
      </c>
      <c r="D678" s="6">
        <v>-4.263256414560601E-14</v>
      </c>
    </row>
    <row r="679" spans="1:4">
      <c r="A679" s="6">
        <v>199526.2314968967</v>
      </c>
      <c r="B679" s="7">
        <v>45.81447247733004</v>
      </c>
      <c r="C679" s="7">
        <v>45.81447247732999</v>
      </c>
      <c r="D679" s="6">
        <v>-4.973799150320701E-14</v>
      </c>
    </row>
    <row r="680" spans="1:4">
      <c r="A680" s="6">
        <v>201836.636368165</v>
      </c>
      <c r="B680" s="7">
        <v>45.4052467505759</v>
      </c>
      <c r="C680" s="7">
        <v>45.40524675057586</v>
      </c>
      <c r="D680" s="6">
        <v>-4.263256414560601E-14</v>
      </c>
    </row>
    <row r="681" spans="1:4">
      <c r="A681" s="6">
        <v>204173.7944669619</v>
      </c>
      <c r="B681" s="7">
        <v>44.99588515689096</v>
      </c>
      <c r="C681" s="7">
        <v>44.99588515689126</v>
      </c>
      <c r="D681" s="6">
        <v>2.984279490192421E-13</v>
      </c>
    </row>
    <row r="682" spans="1:4">
      <c r="A682" s="6">
        <v>206538.015581062</v>
      </c>
      <c r="B682" s="7">
        <v>44.58638234460699</v>
      </c>
      <c r="C682" s="7">
        <v>44.58638234460722</v>
      </c>
      <c r="D682" s="6">
        <v>2.344791028008331E-13</v>
      </c>
    </row>
    <row r="683" spans="1:4">
      <c r="A683" s="6">
        <v>208929.6130854132</v>
      </c>
      <c r="B683" s="7">
        <v>44.1767329283907</v>
      </c>
      <c r="C683" s="7">
        <v>44.1767329283907</v>
      </c>
      <c r="D683" s="6">
        <v>0</v>
      </c>
    </row>
    <row r="684" spans="1:4">
      <c r="A684" s="6">
        <v>211348.903983674</v>
      </c>
      <c r="B684" s="7">
        <v>43.76693148566653</v>
      </c>
      <c r="C684" s="7">
        <v>43.7669314856665</v>
      </c>
      <c r="D684" s="6">
        <v>-2.131628207280301E-14</v>
      </c>
    </row>
    <row r="685" spans="1:4">
      <c r="A685" s="6">
        <v>213796.2089502327</v>
      </c>
      <c r="B685" s="7">
        <v>43.35697255309105</v>
      </c>
      <c r="C685" s="7">
        <v>43.35697255309098</v>
      </c>
      <c r="D685" s="6">
        <v>-7.105427357601002E-14</v>
      </c>
    </row>
    <row r="686" spans="1:4">
      <c r="A686" s="6">
        <v>216271.8523727116</v>
      </c>
      <c r="B686" s="7">
        <v>42.94685062307465</v>
      </c>
      <c r="C686" s="7">
        <v>42.94685062307462</v>
      </c>
      <c r="D686" s="6">
        <v>-2.131628207280301E-14</v>
      </c>
    </row>
    <row r="687" spans="1:4">
      <c r="A687" s="6">
        <v>218776.162394965</v>
      </c>
      <c r="B687" s="7">
        <v>42.53656014035016</v>
      </c>
      <c r="C687" s="7">
        <v>42.53656014034995</v>
      </c>
      <c r="D687" s="6">
        <v>-2.131628207280301E-13</v>
      </c>
    </row>
    <row r="688" spans="1:4">
      <c r="A688" s="6">
        <v>221309.4709605736</v>
      </c>
      <c r="B688" s="7">
        <v>42.126095498582</v>
      </c>
      <c r="C688" s="7">
        <v>42.12609549858211</v>
      </c>
      <c r="D688" s="6">
        <v>1.13686837721616E-13</v>
      </c>
    </row>
    <row r="689" spans="1:4">
      <c r="A689" s="6">
        <v>223872.1138568439</v>
      </c>
      <c r="B689" s="7">
        <v>41.71545103701866</v>
      </c>
      <c r="C689" s="7">
        <v>41.71545103701882</v>
      </c>
      <c r="D689" s="6">
        <v>1.56319401867222E-13</v>
      </c>
    </row>
    <row r="690" spans="1:4">
      <c r="A690" s="6">
        <v>226464.4307593161</v>
      </c>
      <c r="B690" s="7">
        <v>41.30462103717719</v>
      </c>
      <c r="C690" s="7">
        <v>41.30462103717712</v>
      </c>
      <c r="D690" s="6">
        <v>-7.105427357601002E-14</v>
      </c>
    </row>
    <row r="691" spans="1:4">
      <c r="A691" s="6">
        <v>229086.7652767875</v>
      </c>
      <c r="B691" s="7">
        <v>40.89359971956422</v>
      </c>
      <c r="C691" s="7">
        <v>40.89359971956416</v>
      </c>
      <c r="D691" s="6">
        <v>-5.684341886080801E-14</v>
      </c>
    </row>
    <row r="692" spans="1:4">
      <c r="A692" s="6">
        <v>231739.4649968582</v>
      </c>
      <c r="B692" s="7">
        <v>40.48238124042928</v>
      </c>
      <c r="C692" s="7">
        <v>40.48238124042913</v>
      </c>
      <c r="D692" s="6">
        <v>-1.4210854715202E-13</v>
      </c>
    </row>
    <row r="693" spans="1:4">
      <c r="A693" s="6">
        <v>234422.8815320027</v>
      </c>
      <c r="B693" s="7">
        <v>40.07095968854436</v>
      </c>
      <c r="C693" s="7">
        <v>40.07095968854432</v>
      </c>
      <c r="D693" s="6">
        <v>-3.552713678800501E-14</v>
      </c>
    </row>
    <row r="694" spans="1:4">
      <c r="A694" s="6">
        <v>237137.3705661762</v>
      </c>
      <c r="B694" s="7">
        <v>39.65932908201222</v>
      </c>
      <c r="C694" s="7">
        <v>39.65932908201233</v>
      </c>
      <c r="D694" s="6">
        <v>1.06581410364015E-13</v>
      </c>
    </row>
    <row r="695" spans="1:4">
      <c r="A695" s="6">
        <v>239883.2919019598</v>
      </c>
      <c r="B695" s="7">
        <v>39.24748336509747</v>
      </c>
      <c r="C695" s="7">
        <v>39.24748336509753</v>
      </c>
      <c r="D695" s="6">
        <v>6.394884621840902E-14</v>
      </c>
    </row>
    <row r="696" spans="1:4">
      <c r="A696" s="6">
        <v>242661.0095082525</v>
      </c>
      <c r="B696" s="7">
        <v>38.83541640507907</v>
      </c>
      <c r="C696" s="7">
        <v>38.83541640507919</v>
      </c>
      <c r="D696" s="6">
        <v>1.20792265079217E-13</v>
      </c>
    </row>
    <row r="697" spans="1:4">
      <c r="A697" s="6">
        <v>245470.8915685141</v>
      </c>
      <c r="B697" s="7">
        <v>38.42312198912425</v>
      </c>
      <c r="C697" s="7">
        <v>38.42312198912423</v>
      </c>
      <c r="D697" s="6">
        <v>-2.842170943040401E-14</v>
      </c>
    </row>
    <row r="698" spans="1:4">
      <c r="A698" s="6">
        <v>248313.3105295683</v>
      </c>
      <c r="B698" s="7">
        <v>38.01059382117744</v>
      </c>
      <c r="C698" s="7">
        <v>38.01059382117752</v>
      </c>
      <c r="D698" s="6">
        <v>8.526512829121202E-14</v>
      </c>
    </row>
    <row r="699" spans="1:4">
      <c r="A699" s="6">
        <v>251188.6431509694</v>
      </c>
      <c r="B699" s="7">
        <v>37.59782551886772</v>
      </c>
      <c r="C699" s="7">
        <v>37.59782551886761</v>
      </c>
      <c r="D699" s="6">
        <v>-1.06581410364015E-13</v>
      </c>
    </row>
    <row r="700" spans="1:4">
      <c r="A700" s="6">
        <v>254097.270554942</v>
      </c>
      <c r="B700" s="7">
        <v>37.18481061042591</v>
      </c>
      <c r="C700" s="7">
        <v>37.1848106104258</v>
      </c>
      <c r="D700" s="6">
        <v>-1.13686837721616E-13</v>
      </c>
    </row>
    <row r="701" spans="1:4">
      <c r="A701" s="6">
        <v>257039.578276898</v>
      </c>
      <c r="B701" s="7">
        <v>36.77154253161694</v>
      </c>
      <c r="C701" s="7">
        <v>36.77154253161699</v>
      </c>
      <c r="D701" s="6">
        <v>4.973799150320701E-14</v>
      </c>
    </row>
    <row r="702" spans="1:4">
      <c r="A702" s="6">
        <v>260015.956316539</v>
      </c>
      <c r="B702" s="7">
        <v>36.35801462268005</v>
      </c>
      <c r="C702" s="7">
        <v>36.35801462268003</v>
      </c>
      <c r="D702" s="6">
        <v>-2.131628207280301E-14</v>
      </c>
    </row>
    <row r="703" spans="1:4">
      <c r="A703" s="6">
        <v>263026.7991895502</v>
      </c>
      <c r="B703" s="7">
        <v>35.94422012527607</v>
      </c>
      <c r="C703" s="7">
        <v>35.94422012527606</v>
      </c>
      <c r="D703" s="6">
        <v>-7.105427357601002E-15</v>
      </c>
    </row>
    <row r="704" spans="1:4">
      <c r="A704" s="6">
        <v>266072.5059798931</v>
      </c>
      <c r="B704" s="7">
        <v>35.53015217944285</v>
      </c>
      <c r="C704" s="7">
        <v>35.53015217944289</v>
      </c>
      <c r="D704" s="6">
        <v>4.263256414560601E-14</v>
      </c>
    </row>
    <row r="705" spans="1:4">
      <c r="A705" s="6">
        <v>269153.4803927038</v>
      </c>
      <c r="B705" s="7">
        <v>35.11580382055377</v>
      </c>
      <c r="C705" s="7">
        <v>35.11580382055385</v>
      </c>
      <c r="D705" s="6">
        <v>7.815970093361102E-14</v>
      </c>
    </row>
    <row r="706" spans="1:4">
      <c r="A706" s="6">
        <v>272270.1308078037</v>
      </c>
      <c r="B706" s="7">
        <v>34.70116797627934</v>
      </c>
      <c r="C706" s="7">
        <v>34.70116797627934</v>
      </c>
      <c r="D706" s="6">
        <v>-7.105427357601002E-15</v>
      </c>
    </row>
    <row r="707" spans="1:4">
      <c r="A707" s="6">
        <v>275422.8703338292</v>
      </c>
      <c r="B707" s="7">
        <v>34.28623746354957</v>
      </c>
      <c r="C707" s="7">
        <v>34.28623746354943</v>
      </c>
      <c r="D707" s="6">
        <v>-1.35003119794419E-13</v>
      </c>
    </row>
    <row r="708" spans="1:4">
      <c r="A708" s="6">
        <v>278612.1168629898</v>
      </c>
      <c r="B708" s="7">
        <v>33.87100498551598</v>
      </c>
      <c r="C708" s="7">
        <v>33.87100498551596</v>
      </c>
      <c r="D708" s="6">
        <v>-2.131628207280301E-14</v>
      </c>
    </row>
    <row r="709" spans="1:4">
      <c r="A709" s="6">
        <v>281838.2931264583</v>
      </c>
      <c r="B709" s="7">
        <v>33.45546312851254</v>
      </c>
      <c r="C709" s="7">
        <v>33.45546312851249</v>
      </c>
      <c r="D709" s="6">
        <v>-4.973799150320701E-14</v>
      </c>
    </row>
    <row r="710" spans="1:4">
      <c r="A710" s="6">
        <v>285101.826750404</v>
      </c>
      <c r="B710" s="7">
        <v>33.03960435901076</v>
      </c>
      <c r="C710" s="7">
        <v>33.03960435901055</v>
      </c>
      <c r="D710" s="6">
        <v>-2.131628207280301E-13</v>
      </c>
    </row>
    <row r="711" spans="1:4">
      <c r="A711" s="6">
        <v>288403.1503126739</v>
      </c>
      <c r="B711" s="7">
        <v>32.62342102057072</v>
      </c>
      <c r="C711" s="7">
        <v>32.62342102057054</v>
      </c>
      <c r="D711" s="6">
        <v>-1.77635683940025E-13</v>
      </c>
    </row>
    <row r="712" spans="1:4">
      <c r="A712" s="6">
        <v>291742.7014001301</v>
      </c>
      <c r="B712" s="7">
        <v>32.20690533078603</v>
      </c>
      <c r="C712" s="7">
        <v>32.20690533078604</v>
      </c>
      <c r="D712" s="6">
        <v>7.105427357601002E-15</v>
      </c>
    </row>
    <row r="713" spans="1:4">
      <c r="A713" s="6">
        <v>295120.9226666522</v>
      </c>
      <c r="B713" s="7">
        <v>31.79004937821917</v>
      </c>
      <c r="C713" s="7">
        <v>31.7900493782194</v>
      </c>
      <c r="D713" s="6">
        <v>2.273736754432321E-13</v>
      </c>
    </row>
    <row r="714" spans="1:4">
      <c r="A714" s="6">
        <v>298538.2618918098</v>
      </c>
      <c r="B714" s="7">
        <v>31.37284511932767</v>
      </c>
      <c r="C714" s="7">
        <v>31.37284511932774</v>
      </c>
      <c r="D714" s="6">
        <v>6.750155989720952E-14</v>
      </c>
    </row>
    <row r="715" spans="1:4">
      <c r="A715" s="6">
        <v>301995.1720402156</v>
      </c>
      <c r="B715" s="7">
        <v>30.95528437537732</v>
      </c>
      <c r="C715" s="7">
        <v>30.95528437537728</v>
      </c>
      <c r="D715" s="6">
        <v>-3.552713678800501E-14</v>
      </c>
    </row>
    <row r="716" spans="1:4">
      <c r="A716" s="6">
        <v>305492.1113215655</v>
      </c>
      <c r="B716" s="7">
        <v>30.53735882934464</v>
      </c>
      <c r="C716" s="7">
        <v>30.5373588293446</v>
      </c>
      <c r="D716" s="6">
        <v>-4.618527782440651E-14</v>
      </c>
    </row>
    <row r="717" spans="1:4">
      <c r="A717" s="6">
        <v>309029.5432513734</v>
      </c>
      <c r="B717" s="7">
        <v>30.11906002280318</v>
      </c>
      <c r="C717" s="7">
        <v>30.11906002280331</v>
      </c>
      <c r="D717" s="6">
        <v>1.314504061156185E-13</v>
      </c>
    </row>
    <row r="718" spans="1:4">
      <c r="A718" s="6">
        <v>312607.93671241</v>
      </c>
      <c r="B718" s="7">
        <v>29.70037935279453</v>
      </c>
      <c r="C718" s="7">
        <v>29.70037935279441</v>
      </c>
      <c r="D718" s="6">
        <v>-1.13686837721616E-13</v>
      </c>
    </row>
    <row r="719" spans="1:4">
      <c r="A719" s="6">
        <v>316227.7660168526</v>
      </c>
      <c r="B719" s="7">
        <v>29.28130806867864</v>
      </c>
      <c r="C719" s="7">
        <v>29.28130806867862</v>
      </c>
      <c r="D719" s="6">
        <v>-2.486899575160351E-14</v>
      </c>
    </row>
    <row r="720" spans="1:4">
      <c r="A720" s="6">
        <v>319889.5109691547</v>
      </c>
      <c r="B720" s="7">
        <v>28.86183726896907</v>
      </c>
      <c r="C720" s="7">
        <v>28.86183726896907</v>
      </c>
      <c r="D720" s="6">
        <v>0</v>
      </c>
    </row>
    <row r="721" spans="1:4">
      <c r="A721" s="6">
        <v>323593.6569296434</v>
      </c>
      <c r="B721" s="7">
        <v>28.44195789814261</v>
      </c>
      <c r="C721" s="7">
        <v>28.44195789814256</v>
      </c>
      <c r="D721" s="6">
        <v>-4.973799150320701E-14</v>
      </c>
    </row>
    <row r="722" spans="1:4">
      <c r="A722" s="6">
        <v>327340.6948788535</v>
      </c>
      <c r="B722" s="7">
        <v>28.02166074342757</v>
      </c>
      <c r="C722" s="7">
        <v>28.0216607434276</v>
      </c>
      <c r="D722" s="6">
        <v>3.197442310920451E-14</v>
      </c>
    </row>
    <row r="723" spans="1:4">
      <c r="A723" s="6">
        <v>331131.1214826066</v>
      </c>
      <c r="B723" s="7">
        <v>27.60093643156717</v>
      </c>
      <c r="C723" s="7">
        <v>27.60093643156713</v>
      </c>
      <c r="D723" s="6">
        <v>-4.263256414560601E-14</v>
      </c>
    </row>
    <row r="724" spans="1:4">
      <c r="A724" s="6">
        <v>334965.4391578434</v>
      </c>
      <c r="B724" s="7">
        <v>27.17977542555431</v>
      </c>
      <c r="C724" s="7">
        <v>27.17977542555431</v>
      </c>
      <c r="D724" s="6">
        <v>0</v>
      </c>
    </row>
    <row r="725" spans="1:4">
      <c r="A725" s="6">
        <v>338844.1561392185</v>
      </c>
      <c r="B725" s="7">
        <v>26.75816802133909</v>
      </c>
      <c r="C725" s="7">
        <v>26.75816802133908</v>
      </c>
      <c r="D725" s="6">
        <v>-7.105427357601002E-15</v>
      </c>
    </row>
    <row r="726" spans="1:4">
      <c r="A726" s="6">
        <v>342767.7865464665</v>
      </c>
      <c r="B726" s="7">
        <v>26.33610434450316</v>
      </c>
      <c r="C726" s="7">
        <v>26.33610434450327</v>
      </c>
      <c r="D726" s="6">
        <v>1.06581410364015E-13</v>
      </c>
    </row>
    <row r="727" spans="1:4">
      <c r="A727" s="6">
        <v>346736.850452548</v>
      </c>
      <c r="B727" s="7">
        <v>25.91357434690223</v>
      </c>
      <c r="C727" s="7">
        <v>25.91357434690218</v>
      </c>
      <c r="D727" s="6">
        <v>-4.973799150320701E-14</v>
      </c>
    </row>
    <row r="728" spans="1:4">
      <c r="A728" s="6">
        <v>350751.8739525845</v>
      </c>
      <c r="B728" s="7">
        <v>25.49056780327041</v>
      </c>
      <c r="C728" s="7">
        <v>25.4905678032704</v>
      </c>
      <c r="D728" s="6">
        <v>-7.105427357601002E-15</v>
      </c>
    </row>
    <row r="729" spans="1:4">
      <c r="A729" s="6">
        <v>354813.3892335922</v>
      </c>
      <c r="B729" s="7">
        <v>25.0670743077888</v>
      </c>
      <c r="C729" s="7">
        <v>25.06707430778878</v>
      </c>
      <c r="D729" s="6">
        <v>-1.77635683940025E-14</v>
      </c>
    </row>
    <row r="730" spans="1:4">
      <c r="A730" s="6">
        <v>358921.9346450221</v>
      </c>
      <c r="B730" s="7">
        <v>24.64308327061062</v>
      </c>
      <c r="C730" s="7">
        <v>24.64308327061054</v>
      </c>
      <c r="D730" s="6">
        <v>-7.460698725481052E-14</v>
      </c>
    </row>
    <row r="731" spans="1:4">
      <c r="A731" s="6">
        <v>363078.0547701185</v>
      </c>
      <c r="B731" s="7">
        <v>24.2185839143435</v>
      </c>
      <c r="C731" s="7">
        <v>24.21858391434348</v>
      </c>
      <c r="D731" s="6">
        <v>-2.131628207280301E-14</v>
      </c>
    </row>
    <row r="732" spans="1:4">
      <c r="A732" s="6">
        <v>367282.3004981021</v>
      </c>
      <c r="B732" s="7">
        <v>23.79356527048511</v>
      </c>
      <c r="C732" s="7">
        <v>23.79356527048507</v>
      </c>
      <c r="D732" s="6">
        <v>-4.263256414560601E-14</v>
      </c>
    </row>
    <row r="733" spans="1:4">
      <c r="A733" s="6">
        <v>371535.2290971902</v>
      </c>
      <c r="B733" s="7">
        <v>23.3680161758077</v>
      </c>
      <c r="C733" s="7">
        <v>23.36801617580782</v>
      </c>
      <c r="D733" s="6">
        <v>1.13686837721616E-13</v>
      </c>
    </row>
    <row r="734" spans="1:4">
      <c r="A734" s="6">
        <v>375837.404288462</v>
      </c>
      <c r="B734" s="7">
        <v>22.941925268691</v>
      </c>
      <c r="C734" s="7">
        <v>22.94192526869108</v>
      </c>
      <c r="D734" s="6">
        <v>7.815970093361102E-14</v>
      </c>
    </row>
    <row r="735" spans="1:4">
      <c r="A735" s="6">
        <v>380189.3963205793</v>
      </c>
      <c r="B735" s="7">
        <v>22.51528098539607</v>
      </c>
      <c r="C735" s="7">
        <v>22.51528098539595</v>
      </c>
      <c r="D735" s="6">
        <v>-1.172395514004165E-13</v>
      </c>
    </row>
    <row r="736" spans="1:4">
      <c r="A736" s="6">
        <v>384591.7820453719</v>
      </c>
      <c r="B736" s="7">
        <v>22.08807155627987</v>
      </c>
      <c r="C736" s="7">
        <v>22.08807155627972</v>
      </c>
      <c r="D736" s="6">
        <v>-1.456612608308205E-13</v>
      </c>
    </row>
    <row r="737" spans="1:4">
      <c r="A737" s="6">
        <v>389045.1449942992</v>
      </c>
      <c r="B737" s="7">
        <v>21.66028500194557</v>
      </c>
      <c r="C737" s="7">
        <v>21.66028500194533</v>
      </c>
      <c r="D737" s="6">
        <v>-2.451372438372346E-13</v>
      </c>
    </row>
    <row r="738" spans="1:4">
      <c r="A738" s="6">
        <v>393550.0754557963</v>
      </c>
      <c r="B738" s="7">
        <v>21.23190912932208</v>
      </c>
      <c r="C738" s="7">
        <v>21.23190912932214</v>
      </c>
      <c r="D738" s="6">
        <v>6.039613253960852E-14</v>
      </c>
    </row>
    <row r="739" spans="1:4">
      <c r="A739" s="6">
        <v>398107.1705535163</v>
      </c>
      <c r="B739" s="7">
        <v>20.80293152767306</v>
      </c>
      <c r="C739" s="7">
        <v>20.80293152767315</v>
      </c>
      <c r="D739" s="6">
        <v>9.237055564881302E-14</v>
      </c>
    </row>
    <row r="740" spans="1:4">
      <c r="A740" s="6">
        <v>402717.0343254784</v>
      </c>
      <c r="B740" s="7">
        <v>20.37333956452397</v>
      </c>
      <c r="C740" s="7">
        <v>20.37333956452389</v>
      </c>
      <c r="D740" s="6">
        <v>-7.815970093361102E-14</v>
      </c>
    </row>
    <row r="741" spans="1:4">
      <c r="A741" s="6">
        <v>407380.2778041323</v>
      </c>
      <c r="B741" s="7">
        <v>19.94312038150801</v>
      </c>
      <c r="C741" s="7">
        <v>19.94312038150795</v>
      </c>
      <c r="D741" s="6">
        <v>-5.684341886080801E-14</v>
      </c>
    </row>
    <row r="742" spans="1:4">
      <c r="A742" s="6">
        <v>412097.5190973501</v>
      </c>
      <c r="B742" s="7">
        <v>19.51226089012356</v>
      </c>
      <c r="C742" s="7">
        <v>19.51226089012355</v>
      </c>
      <c r="D742" s="6">
        <v>-7.105427357601002E-15</v>
      </c>
    </row>
    <row r="743" spans="1:4">
      <c r="A743" s="6">
        <v>416869.3834703555</v>
      </c>
      <c r="B743" s="7">
        <v>19.08074776739565</v>
      </c>
      <c r="C743" s="7">
        <v>19.08074776739552</v>
      </c>
      <c r="D743" s="6">
        <v>-1.314504061156185E-13</v>
      </c>
    </row>
    <row r="744" spans="1:4">
      <c r="A744" s="6">
        <v>421696.5034286026</v>
      </c>
      <c r="B744" s="7">
        <v>18.6485674514363</v>
      </c>
      <c r="C744" s="7">
        <v>18.6485674514362</v>
      </c>
      <c r="D744" s="6">
        <v>-1.06581410364015E-13</v>
      </c>
    </row>
    <row r="745" spans="1:4">
      <c r="A745" s="6">
        <v>426579.5188016132</v>
      </c>
      <c r="B745" s="7">
        <v>18.21570613689892</v>
      </c>
      <c r="C745" s="7">
        <v>18.21570613689906</v>
      </c>
      <c r="D745" s="6">
        <v>1.35003119794419E-13</v>
      </c>
    </row>
    <row r="746" spans="1:4">
      <c r="A746" s="6">
        <v>431519.0768277861</v>
      </c>
      <c r="B746" s="7">
        <v>17.78214977031757</v>
      </c>
      <c r="C746" s="7">
        <v>17.78214977031772</v>
      </c>
      <c r="D746" s="6">
        <v>1.527666881884215E-13</v>
      </c>
    </row>
    <row r="747" spans="1:4">
      <c r="A747" s="6">
        <v>436515.832240187</v>
      </c>
      <c r="B747" s="7">
        <v>17.34788404532295</v>
      </c>
      <c r="C747" s="7">
        <v>17.34788404532312</v>
      </c>
      <c r="D747" s="6">
        <v>1.63424829224823E-13</v>
      </c>
    </row>
    <row r="748" spans="1:4">
      <c r="A748" s="6">
        <v>441570.4473533339</v>
      </c>
      <c r="B748" s="7">
        <v>16.91289439773081</v>
      </c>
      <c r="C748" s="7">
        <v>16.91289439773074</v>
      </c>
      <c r="D748" s="6">
        <v>-7.105427357601002E-14</v>
      </c>
    </row>
    <row r="749" spans="1:4">
      <c r="A749" s="6">
        <v>446683.5921509848</v>
      </c>
      <c r="B749" s="7">
        <v>16.47716600048987</v>
      </c>
      <c r="C749" s="7">
        <v>16.47716600048982</v>
      </c>
      <c r="D749" s="6">
        <v>-4.263256414560601E-14</v>
      </c>
    </row>
    <row r="750" spans="1:4">
      <c r="A750" s="6">
        <v>451855.9443749443</v>
      </c>
      <c r="B750" s="7">
        <v>16.04068375848506</v>
      </c>
      <c r="C750" s="7">
        <v>16.04068375848516</v>
      </c>
      <c r="D750" s="6">
        <v>9.592326932761353E-14</v>
      </c>
    </row>
    <row r="751" spans="1:4">
      <c r="A751" s="6">
        <v>457088.1896148972</v>
      </c>
      <c r="B751" s="7">
        <v>15.60343230318228</v>
      </c>
      <c r="C751" s="7">
        <v>15.60343230318241</v>
      </c>
      <c r="D751" s="6">
        <v>1.20792265079217E-13</v>
      </c>
    </row>
    <row r="752" spans="1:4">
      <c r="A752" s="6">
        <v>462381.0213992828</v>
      </c>
      <c r="B752" s="7">
        <v>15.16539598710677</v>
      </c>
      <c r="C752" s="7">
        <v>15.16539598710669</v>
      </c>
      <c r="D752" s="6">
        <v>-7.993605777301127E-14</v>
      </c>
    </row>
    <row r="753" spans="1:4">
      <c r="A753" s="6">
        <v>467735.141287221</v>
      </c>
      <c r="B753" s="7">
        <v>14.72655887814373</v>
      </c>
      <c r="C753" s="7">
        <v>14.72655887814375</v>
      </c>
      <c r="D753" s="6">
        <v>2.664535259100376E-14</v>
      </c>
    </row>
    <row r="754" spans="1:4">
      <c r="A754" s="6">
        <v>473151.2589615036</v>
      </c>
      <c r="B754" s="7">
        <v>14.28690475365243</v>
      </c>
      <c r="C754" s="7">
        <v>14.28690475365246</v>
      </c>
      <c r="D754" s="6">
        <v>2.842170943040401E-14</v>
      </c>
    </row>
    <row r="755" spans="1:4">
      <c r="A755" s="6">
        <v>478630.0923226618</v>
      </c>
      <c r="B755" s="7">
        <v>13.84641709437686</v>
      </c>
      <c r="C755" s="7">
        <v>13.84641709437663</v>
      </c>
      <c r="D755" s="6">
        <v>-2.309263891220326E-13</v>
      </c>
    </row>
    <row r="756" spans="1:4">
      <c r="A756" s="6">
        <v>484172.3675841231</v>
      </c>
      <c r="B756" s="7">
        <v>13.40507907814392</v>
      </c>
      <c r="C756" s="7">
        <v>13.40507907814345</v>
      </c>
      <c r="D756" s="6">
        <v>-4.636291350834654E-13</v>
      </c>
    </row>
    <row r="757" spans="1:4">
      <c r="A757" s="6">
        <v>489778.8193684702</v>
      </c>
      <c r="B757" s="7">
        <v>12.96287357333506</v>
      </c>
      <c r="C757" s="7">
        <v>12.96287357333491</v>
      </c>
      <c r="D757" s="6">
        <v>-1.456612608308205E-13</v>
      </c>
    </row>
    <row r="758" spans="1:4">
      <c r="A758" s="6">
        <v>495450.1908048145</v>
      </c>
      <c r="B758" s="7">
        <v>12.51978313211866</v>
      </c>
      <c r="C758" s="7">
        <v>12.51978313211825</v>
      </c>
      <c r="D758" s="6">
        <v>-4.156675004196586E-13</v>
      </c>
    </row>
    <row r="759" spans="1:4">
      <c r="A759" s="6">
        <v>501187.233627297</v>
      </c>
      <c r="B759" s="7">
        <v>12.0757899834201</v>
      </c>
      <c r="C759" s="7">
        <v>12.07578998341996</v>
      </c>
      <c r="D759" s="6">
        <v>-1.4210854715202E-13</v>
      </c>
    </row>
    <row r="760" spans="1:4">
      <c r="A760" s="6">
        <v>506990.7082747293</v>
      </c>
      <c r="B760" s="7">
        <v>11.63087602562785</v>
      </c>
      <c r="C760" s="7">
        <v>11.63087602562788</v>
      </c>
      <c r="D760" s="6">
        <v>2.664535259100376E-14</v>
      </c>
    </row>
    <row r="761" spans="1:4">
      <c r="A761" s="6">
        <v>512861.3839913902</v>
      </c>
      <c r="B761" s="7">
        <v>11.1850228190039</v>
      </c>
      <c r="C761" s="7">
        <v>11.18502281900375</v>
      </c>
      <c r="D761" s="6">
        <v>-1.438849039914203E-13</v>
      </c>
    </row>
    <row r="762" spans="1:4">
      <c r="A762" s="6">
        <v>518800.0389289868</v>
      </c>
      <c r="B762" s="7">
        <v>10.7382115777892</v>
      </c>
      <c r="C762" s="7">
        <v>10.73821157778918</v>
      </c>
      <c r="D762" s="6">
        <v>-1.953992523340276E-14</v>
      </c>
    </row>
    <row r="763" spans="1:4">
      <c r="A763" s="6">
        <v>524807.4602497985</v>
      </c>
      <c r="B763" s="7">
        <v>10.29042316198527</v>
      </c>
      <c r="C763" s="7">
        <v>10.29042316198539</v>
      </c>
      <c r="D763" s="6">
        <v>1.190159082398168E-13</v>
      </c>
    </row>
    <row r="764" spans="1:4">
      <c r="A764" s="6">
        <v>530884.4442310147</v>
      </c>
      <c r="B764" s="7">
        <v>9.841638068787793</v>
      </c>
      <c r="C764" s="7">
        <v>9.841638068787358</v>
      </c>
      <c r="D764" s="6">
        <v>-4.352074256530614E-13</v>
      </c>
    </row>
    <row r="765" spans="1:4">
      <c r="A765" s="6">
        <v>537031.7963702793</v>
      </c>
      <c r="B765" s="7">
        <v>9.391836423650936</v>
      </c>
      <c r="C765" s="7">
        <v>9.39183642365091</v>
      </c>
      <c r="D765" s="6">
        <v>-2.664535259100376E-14</v>
      </c>
    </row>
    <row r="766" spans="1:4">
      <c r="A766" s="6">
        <v>543250.3314924602</v>
      </c>
      <c r="B766" s="7">
        <v>8.940997970970685</v>
      </c>
      <c r="C766" s="7">
        <v>8.940997970970479</v>
      </c>
      <c r="D766" s="6">
        <v>-2.060573933704291E-13</v>
      </c>
    </row>
    <row r="767" spans="1:4">
      <c r="A767" s="6">
        <v>549540.8738576518</v>
      </c>
      <c r="B767" s="7">
        <v>8.489102064344719</v>
      </c>
      <c r="C767" s="7">
        <v>8.489102064344365</v>
      </c>
      <c r="D767" s="6">
        <v>-3.534950110406498E-13</v>
      </c>
    </row>
    <row r="768" spans="1:4">
      <c r="A768" s="6">
        <v>555904.2572704313</v>
      </c>
      <c r="B768" s="7">
        <v>8.036127656401904</v>
      </c>
      <c r="C768" s="7">
        <v>8.036127656402039</v>
      </c>
      <c r="D768" s="6">
        <v>1.35003119794419E-13</v>
      </c>
    </row>
    <row r="769" spans="1:4">
      <c r="A769" s="6">
        <v>562341.3251903771</v>
      </c>
      <c r="B769" s="7">
        <v>7.582053288168035</v>
      </c>
      <c r="C769" s="7">
        <v>7.582053288167854</v>
      </c>
      <c r="D769" s="6">
        <v>-1.811883976188255E-13</v>
      </c>
    </row>
    <row r="770" spans="1:4">
      <c r="A770" s="6">
        <v>568852.9308438698</v>
      </c>
      <c r="B770" s="7">
        <v>7.126857077933098</v>
      </c>
      <c r="C770" s="7">
        <v>7.12685707793304</v>
      </c>
      <c r="D770" s="6">
        <v>-5.861977570020827E-14</v>
      </c>
    </row>
    <row r="771" spans="1:4">
      <c r="A771" s="6">
        <v>575439.9373371857</v>
      </c>
      <c r="B771" s="7">
        <v>6.67051670960729</v>
      </c>
      <c r="C771" s="7">
        <v>6.670516709606998</v>
      </c>
      <c r="D771" s="6">
        <v>-2.922107000813412E-13</v>
      </c>
    </row>
    <row r="772" spans="1:4">
      <c r="A772" s="6">
        <v>582103.2177709006</v>
      </c>
      <c r="B772" s="7">
        <v>6.213009420517171</v>
      </c>
      <c r="C772" s="7">
        <v>6.213009420516906</v>
      </c>
      <c r="D772" s="6">
        <v>-2.646771690706373E-13</v>
      </c>
    </row>
    <row r="773" spans="1:4">
      <c r="A773" s="6">
        <v>588843.6553556185</v>
      </c>
      <c r="B773" s="7">
        <v>5.754311988623021</v>
      </c>
      <c r="C773" s="7">
        <v>5.754311988623041</v>
      </c>
      <c r="D773" s="6">
        <v>1.953992523340276E-14</v>
      </c>
    </row>
    <row r="774" spans="1:4">
      <c r="A774" s="6">
        <v>595662.1435290404</v>
      </c>
      <c r="B774" s="7">
        <v>5.294400719115418</v>
      </c>
      <c r="C774" s="7">
        <v>5.294400719115583</v>
      </c>
      <c r="D774" s="6">
        <v>1.643130076445232E-13</v>
      </c>
    </row>
    <row r="775" spans="1:4">
      <c r="A775" s="6">
        <v>602559.5860743881</v>
      </c>
      <c r="B775" s="7">
        <v>4.833251430356154</v>
      </c>
      <c r="C775" s="7">
        <v>4.833251430356486</v>
      </c>
      <c r="D775" s="6">
        <v>3.321787289678468E-13</v>
      </c>
    </row>
    <row r="776" spans="1:4">
      <c r="A776" s="6">
        <v>609536.8972401998</v>
      </c>
      <c r="B776" s="7">
        <v>4.370839439128613</v>
      </c>
      <c r="C776" s="7">
        <v>4.370839439128195</v>
      </c>
      <c r="D776" s="6">
        <v>-4.174438572590589E-13</v>
      </c>
    </row>
    <row r="777" spans="1:4">
      <c r="A777" s="6">
        <v>616595.0018615132</v>
      </c>
      <c r="B777" s="7">
        <v>3.907139545148241</v>
      </c>
      <c r="C777" s="7">
        <v>3.907139545148639</v>
      </c>
      <c r="D777" s="6">
        <v>3.983480212355062E-13</v>
      </c>
    </row>
    <row r="778" spans="1:4">
      <c r="A778" s="6">
        <v>623734.8354824507</v>
      </c>
      <c r="B778" s="7">
        <v>3.44212601480973</v>
      </c>
      <c r="C778" s="7">
        <v>3.442126014809999</v>
      </c>
      <c r="D778" s="6">
        <v>2.69562150378988E-13</v>
      </c>
    </row>
    <row r="779" spans="1:4">
      <c r="A779" s="6">
        <v>630957.3444802251</v>
      </c>
      <c r="B779" s="7">
        <v>2.975772564096162</v>
      </c>
      <c r="C779" s="7">
        <v>2.975772564095964</v>
      </c>
      <c r="D779" s="6">
        <v>-1.980637875931279E-13</v>
      </c>
    </row>
    <row r="780" spans="1:4">
      <c r="A780" s="6">
        <v>638263.486190581</v>
      </c>
      <c r="B780" s="7">
        <v>2.508052340630047</v>
      </c>
      <c r="C780" s="7">
        <v>2.508052340630026</v>
      </c>
      <c r="D780" s="6">
        <v>-2.176037128265307E-14</v>
      </c>
    </row>
    <row r="781" spans="1:4">
      <c r="A781" s="6">
        <v>645654.2290346882</v>
      </c>
      <c r="B781" s="7">
        <v>2.038937904804408</v>
      </c>
      <c r="C781" s="7">
        <v>2.038937904804275</v>
      </c>
      <c r="D781" s="6">
        <v>-1.327826737451687E-13</v>
      </c>
    </row>
    <row r="782" spans="1:4">
      <c r="A782" s="6">
        <v>653130.5526475054</v>
      </c>
      <c r="B782" s="7">
        <v>1.568401209935963</v>
      </c>
      <c r="C782" s="7">
        <v>1.568401209935683</v>
      </c>
      <c r="D782" s="6">
        <v>-2.802202914153895E-13</v>
      </c>
    </row>
    <row r="783" spans="1:4">
      <c r="A783" s="6">
        <v>660693.4480076296</v>
      </c>
      <c r="B783" s="7">
        <v>1.096413581393532</v>
      </c>
      <c r="C783" s="7">
        <v>1.096413581393554</v>
      </c>
      <c r="D783" s="6">
        <v>2.19824158875781E-14</v>
      </c>
    </row>
    <row r="784" spans="1:4">
      <c r="A784" s="6">
        <v>668343.9175686486</v>
      </c>
      <c r="B784" s="7">
        <v>0.6229456946388363</v>
      </c>
      <c r="C784" s="7">
        <v>0.622945694638664</v>
      </c>
      <c r="D784" s="6">
        <v>-1.723066134218243E-13</v>
      </c>
    </row>
    <row r="785" spans="1:4">
      <c r="A785" s="6">
        <v>676082.9753920162</v>
      </c>
      <c r="B785" s="7">
        <v>0.1479675521107493</v>
      </c>
      <c r="C785" s="7">
        <v>0.1479675521111266</v>
      </c>
      <c r="D785" s="6">
        <v>3.773370504944751E-13</v>
      </c>
    </row>
    <row r="786" spans="1:4">
      <c r="A786" s="6">
        <v>683911.6472814642</v>
      </c>
      <c r="B786" s="7">
        <v>-0.3285515410997206</v>
      </c>
      <c r="C786" s="7">
        <v>-0.3285515410996486</v>
      </c>
      <c r="D786" s="6">
        <v>7.205347429817266E-14</v>
      </c>
    </row>
    <row r="787" spans="1:4">
      <c r="A787" s="6">
        <v>691830.9709189718</v>
      </c>
      <c r="B787" s="7">
        <v>-0.8066430028731814</v>
      </c>
      <c r="C787" s="7">
        <v>-0.8066430028734152</v>
      </c>
      <c r="D787" s="6">
        <v>-2.33812968986058E-13</v>
      </c>
    </row>
    <row r="788" spans="1:4">
      <c r="A788" s="6">
        <v>699841.9960023093</v>
      </c>
      <c r="B788" s="7">
        <v>-1.286339001040747</v>
      </c>
      <c r="C788" s="7">
        <v>-1.286339001040858</v>
      </c>
      <c r="D788" s="6">
        <v>-1.105782132526656E-13</v>
      </c>
    </row>
    <row r="789" spans="1:4">
      <c r="A789" s="6">
        <v>707945.7843841742</v>
      </c>
      <c r="B789" s="7">
        <v>-1.767672481808032</v>
      </c>
      <c r="C789" s="7">
        <v>-1.767672481807907</v>
      </c>
      <c r="D789" s="6">
        <v>1.254552017826427E-13</v>
      </c>
    </row>
    <row r="790" spans="1:4">
      <c r="A790" s="6">
        <v>716143.4102129388</v>
      </c>
      <c r="B790" s="7">
        <v>-2.250677199707182</v>
      </c>
      <c r="C790" s="7">
        <v>-2.250677199706747</v>
      </c>
      <c r="D790" s="6">
        <v>4.347633364432113E-13</v>
      </c>
    </row>
    <row r="791" spans="1:4">
      <c r="A791" s="6">
        <v>724435.9600750272</v>
      </c>
      <c r="B791" s="7">
        <v>-2.735387749162802</v>
      </c>
      <c r="C791" s="7">
        <v>-2.735387749162889</v>
      </c>
      <c r="D791" s="6">
        <v>-8.704148513061227E-14</v>
      </c>
    </row>
    <row r="792" spans="1:4">
      <c r="A792" s="6">
        <v>732824.5331389417</v>
      </c>
      <c r="B792" s="7">
        <v>-3.221839597772598</v>
      </c>
      <c r="C792" s="7">
        <v>-3.221839597773059</v>
      </c>
      <c r="D792" s="6">
        <v>-4.614086890342151E-13</v>
      </c>
    </row>
    <row r="793" spans="1:4">
      <c r="A793" s="6">
        <v>741310.2413009556</v>
      </c>
      <c r="B793" s="7">
        <v>-3.710069121394858</v>
      </c>
      <c r="C793" s="7">
        <v>-3.710069121394905</v>
      </c>
      <c r="D793" s="6">
        <v>-4.618527782440651E-14</v>
      </c>
    </row>
    <row r="794" spans="1:4">
      <c r="A794" s="6">
        <v>749894.2093324945</v>
      </c>
      <c r="B794" s="7">
        <v>-4.200113641156377</v>
      </c>
      <c r="C794" s="7">
        <v>-4.200113641155829</v>
      </c>
      <c r="D794" s="6">
        <v>5.480060849549773E-13</v>
      </c>
    </row>
    <row r="795" spans="1:4">
      <c r="A795" s="6">
        <v>758577.5750292229</v>
      </c>
      <c r="B795" s="7">
        <v>-4.692011462494602</v>
      </c>
      <c r="C795" s="7">
        <v>-4.692011462494967</v>
      </c>
      <c r="D795" s="6">
        <v>-3.650413304967515E-13</v>
      </c>
    </row>
    <row r="796" spans="1:4">
      <c r="A796" s="6">
        <v>767361.4893618586</v>
      </c>
      <c r="B796" s="7">
        <v>-5.185801916360502</v>
      </c>
      <c r="C796" s="7">
        <v>-5.185801916360528</v>
      </c>
      <c r="D796" s="6">
        <v>-2.575717417130363E-14</v>
      </c>
    </row>
    <row r="797" spans="1:4">
      <c r="A797" s="6">
        <v>776247.1166287318</v>
      </c>
      <c r="B797" s="7">
        <v>-5.681525402691415</v>
      </c>
      <c r="C797" s="7">
        <v>-5.681525402691502</v>
      </c>
      <c r="D797" s="6">
        <v>-8.704148513061227E-14</v>
      </c>
    </row>
    <row r="798" spans="1:4">
      <c r="A798" s="6">
        <v>785235.6346101124</v>
      </c>
      <c r="B798" s="7">
        <v>-6.17922343632304</v>
      </c>
      <c r="C798" s="7">
        <v>-6.179223436323195</v>
      </c>
      <c r="D798" s="6">
        <v>-1.545430450278218E-13</v>
      </c>
    </row>
    <row r="799" spans="1:4">
      <c r="A799" s="6">
        <v>794328.2347243227</v>
      </c>
      <c r="B799" s="7">
        <v>-6.678938695463436</v>
      </c>
      <c r="C799" s="7">
        <v>-6.678938695463704</v>
      </c>
      <c r="D799" s="6">
        <v>-2.682298827494378E-13</v>
      </c>
    </row>
    <row r="800" spans="1:4">
      <c r="A800" s="6">
        <v>803526.122185659</v>
      </c>
      <c r="B800" s="7">
        <v>-7.180715072900164</v>
      </c>
      <c r="C800" s="7">
        <v>-7.180715072900067</v>
      </c>
      <c r="D800" s="6">
        <v>9.681144774731365E-14</v>
      </c>
    </row>
    <row r="801" spans="1:4">
      <c r="A801" s="6">
        <v>812830.5161641415</v>
      </c>
      <c r="B801" s="7">
        <v>-7.684597730102343</v>
      </c>
      <c r="C801" s="7">
        <v>-7.684597730102933</v>
      </c>
      <c r="D801" s="6">
        <v>-5.897504706808832E-13</v>
      </c>
    </row>
    <row r="802" spans="1:4">
      <c r="A802" s="6">
        <v>822242.6499471139</v>
      </c>
      <c r="B802" s="7">
        <v>-8.190633154411653</v>
      </c>
      <c r="C802" s="7">
        <v>-8.190633154411374</v>
      </c>
      <c r="D802" s="6">
        <v>2.788880237858393E-13</v>
      </c>
    </row>
    <row r="803" spans="1:4">
      <c r="A803" s="6">
        <v>831763.7711027145</v>
      </c>
      <c r="B803" s="7">
        <v>-8.698869219491588</v>
      </c>
      <c r="C803" s="7">
        <v>-8.698869219491669</v>
      </c>
      <c r="D803" s="6">
        <v>-8.171241461241152E-14</v>
      </c>
    </row>
    <row r="804" spans="1:4">
      <c r="A804" s="6">
        <v>841395.141645239</v>
      </c>
      <c r="B804" s="7">
        <v>-9.209355249279174</v>
      </c>
      <c r="C804" s="7">
        <v>-9.209355249278921</v>
      </c>
      <c r="D804" s="6">
        <v>2.522426711948356E-13</v>
      </c>
    </row>
    <row r="805" spans="1:4">
      <c r="A805" s="6">
        <v>851138.038202421</v>
      </c>
      <c r="B805" s="7">
        <v>-9.722142085625476</v>
      </c>
      <c r="C805" s="7">
        <v>-9.72214208562518</v>
      </c>
      <c r="D805" s="6">
        <v>2.966515921798418E-13</v>
      </c>
    </row>
    <row r="806" spans="1:4">
      <c r="A806" s="6">
        <v>860993.7521846457</v>
      </c>
      <c r="B806" s="7">
        <v>-10.23728215989477</v>
      </c>
      <c r="C806" s="7">
        <v>-10.2372821598946</v>
      </c>
      <c r="D806" s="6">
        <v>1.669775429036235E-13</v>
      </c>
    </row>
    <row r="807" spans="1:4">
      <c r="A807" s="6">
        <v>870963.5899561263</v>
      </c>
      <c r="B807" s="7">
        <v>-10.75482956876519</v>
      </c>
      <c r="C807" s="7">
        <v>-10.75482956876496</v>
      </c>
      <c r="D807" s="6">
        <v>2.273736754432321E-13</v>
      </c>
    </row>
    <row r="808" spans="1:4">
      <c r="A808" s="6">
        <v>881048.8730080603</v>
      </c>
      <c r="B808" s="7">
        <v>-11.27484015451353</v>
      </c>
      <c r="C808" s="7">
        <v>-11.27484015451398</v>
      </c>
      <c r="D808" s="6">
        <v>-4.529709940470639E-13</v>
      </c>
    </row>
    <row r="809" spans="1:4">
      <c r="A809" s="6">
        <v>891250.9381337923</v>
      </c>
      <c r="B809" s="7">
        <v>-11.79737159009139</v>
      </c>
      <c r="C809" s="7">
        <v>-11.79737159009156</v>
      </c>
      <c r="D809" s="6">
        <v>-1.758593271006248E-13</v>
      </c>
    </row>
    <row r="810" spans="1:4">
      <c r="A810" s="6">
        <v>901571.1376060043</v>
      </c>
      <c r="B810" s="7">
        <v>-12.32248346930186</v>
      </c>
      <c r="C810" s="7">
        <v>-12.3224834693022</v>
      </c>
      <c r="D810" s="6">
        <v>-3.392841563254478E-13</v>
      </c>
    </row>
    <row r="811" spans="1:4">
      <c r="A811" s="6">
        <v>912010.8393559578</v>
      </c>
      <c r="B811" s="7">
        <v>-12.85023740244846</v>
      </c>
      <c r="C811" s="7">
        <v>-12.85023740244836</v>
      </c>
      <c r="D811" s="6">
        <v>1.048050535246148E-13</v>
      </c>
    </row>
    <row r="812" spans="1:4">
      <c r="A812" s="6">
        <v>922571.4271548119</v>
      </c>
      <c r="B812" s="7">
        <v>-13.38069711781305</v>
      </c>
      <c r="C812" s="7">
        <v>-13.3806971178137</v>
      </c>
      <c r="D812" s="6">
        <v>-6.572520305780927E-13</v>
      </c>
    </row>
    <row r="813" spans="1:4">
      <c r="A813" s="6">
        <v>933254.3007970403</v>
      </c>
      <c r="B813" s="7">
        <v>-13.91392856939754</v>
      </c>
      <c r="C813" s="7">
        <v>-13.91392856939697</v>
      </c>
      <c r="D813" s="6">
        <v>5.773159728050814E-13</v>
      </c>
    </row>
    <row r="814" spans="1:4">
      <c r="A814" s="6">
        <v>944060.8762859732</v>
      </c>
      <c r="B814" s="7">
        <v>-14.45000005134063</v>
      </c>
      <c r="C814" s="7">
        <v>-14.45000005134091</v>
      </c>
      <c r="D814" s="6">
        <v>-2.895461648222408E-13</v>
      </c>
    </row>
    <row r="815" spans="1:4">
      <c r="A815" s="6">
        <v>954992.5860214864</v>
      </c>
      <c r="B815" s="7">
        <v>-14.98898231953876</v>
      </c>
      <c r="C815" s="7">
        <v>-14.98898231953885</v>
      </c>
      <c r="D815" s="6">
        <v>-8.881784197001252E-14</v>
      </c>
    </row>
    <row r="816" spans="1:4">
      <c r="A816" s="6">
        <v>966050.8789898646</v>
      </c>
      <c r="B816" s="7">
        <v>-15.530948720943</v>
      </c>
      <c r="C816" s="7">
        <v>-15.53094872094274</v>
      </c>
      <c r="D816" s="6">
        <v>2.557953848736361E-13</v>
      </c>
    </row>
    <row r="817" spans="1:4">
      <c r="A817" s="6">
        <v>977237.2209558625</v>
      </c>
      <c r="B817" s="7">
        <v>-16.07597533114241</v>
      </c>
      <c r="C817" s="7">
        <v>-16.07597533114237</v>
      </c>
      <c r="D817" s="6">
        <v>4.263256414560601E-14</v>
      </c>
    </row>
    <row r="818" spans="1:4">
      <c r="A818" s="6">
        <v>988553.0946569914</v>
      </c>
      <c r="B818" s="7">
        <v>-16.62414110083549</v>
      </c>
      <c r="C818" s="7">
        <v>-16.62414110083503</v>
      </c>
      <c r="D818" s="6">
        <v>4.618527782440651E-13</v>
      </c>
    </row>
    <row r="819" spans="1:4">
      <c r="A819" s="6">
        <v>1000000.000000053</v>
      </c>
      <c r="B819" s="7">
        <v>-17.1755280118614</v>
      </c>
      <c r="C819" s="7">
        <v>-17.17552801186118</v>
      </c>
      <c r="D819" s="6">
        <v>2.273736754432321E-13</v>
      </c>
    </row>
    <row r="820" spans="1:4">
      <c r="A820" s="6">
        <v>1011579.454259952</v>
      </c>
      <c r="B820" s="7">
        <v>-17.73022124354111</v>
      </c>
      <c r="C820" s="7">
        <v>-17.73022124354199</v>
      </c>
      <c r="D820" s="6">
        <v>-8.810729923425242E-13</v>
      </c>
    </row>
    <row r="821" spans="1:4">
      <c r="A821" s="6">
        <v>1023292.992280809</v>
      </c>
      <c r="B821" s="7">
        <v>-18.28830935012239</v>
      </c>
      <c r="C821" s="7">
        <v>-18.28830935012272</v>
      </c>
      <c r="D821" s="6">
        <v>-3.232969447708456E-13</v>
      </c>
    </row>
    <row r="822" spans="1:4">
      <c r="A822" s="6">
        <v>1035142.166679399</v>
      </c>
      <c r="B822" s="7">
        <v>-18.8498844501997</v>
      </c>
      <c r="C822" s="7">
        <v>-18.84988445020021</v>
      </c>
      <c r="D822" s="6">
        <v>-5.186961971048731E-13</v>
      </c>
    </row>
    <row r="823" spans="1:4">
      <c r="A823" s="6">
        <v>1047128.548050956</v>
      </c>
      <c r="B823" s="7">
        <v>-19.41504242909603</v>
      </c>
      <c r="C823" s="7">
        <v>-19.41504242909604</v>
      </c>
      <c r="D823" s="6">
        <v>-7.105427357601002E-15</v>
      </c>
    </row>
    <row r="824" spans="1:4">
      <c r="A824" s="6">
        <v>1059253.725177346</v>
      </c>
      <c r="B824" s="7">
        <v>-19.98388315522794</v>
      </c>
      <c r="C824" s="7">
        <v>-19.98388315522771</v>
      </c>
      <c r="D824" s="6">
        <v>2.309263891220326E-13</v>
      </c>
    </row>
    <row r="825" spans="1:4">
      <c r="A825" s="6">
        <v>1071519.305237664</v>
      </c>
      <c r="B825" s="7">
        <v>-20.5565107116335</v>
      </c>
      <c r="C825" s="7">
        <v>-20.55651071163311</v>
      </c>
      <c r="D825" s="6">
        <v>3.943512183468556E-13</v>
      </c>
    </row>
    <row r="826" spans="1:4">
      <c r="A826" s="6">
        <v>1083926.914021262</v>
      </c>
      <c r="B826" s="7">
        <v>-21.13303364391622</v>
      </c>
      <c r="C826" s="7">
        <v>-21.13303364391566</v>
      </c>
      <c r="D826" s="6">
        <v>5.684341886080801E-13</v>
      </c>
    </row>
    <row r="827" spans="1:4">
      <c r="A827" s="6">
        <v>1096478.196143244</v>
      </c>
      <c r="B827" s="7">
        <v>-21.7135652260038</v>
      </c>
      <c r="C827" s="7">
        <v>-21.71356522600395</v>
      </c>
      <c r="D827" s="6">
        <v>-1.49213974509621E-13</v>
      </c>
    </row>
    <row r="828" spans="1:4">
      <c r="A828" s="6">
        <v>1109174.815262461</v>
      </c>
      <c r="B828" s="7">
        <v>-22.29822374526089</v>
      </c>
      <c r="C828" s="7">
        <v>-22.29822374525952</v>
      </c>
      <c r="D828" s="6">
        <v>1.364242052659392E-12</v>
      </c>
    </row>
    <row r="829" spans="1:4">
      <c r="A829" s="6">
        <v>1122018.454302024</v>
      </c>
      <c r="B829" s="7">
        <v>-22.88713280862202</v>
      </c>
      <c r="C829" s="7">
        <v>-22.88713280862278</v>
      </c>
      <c r="D829" s="6">
        <v>-7.567280135845067E-13</v>
      </c>
    </row>
    <row r="830" spans="1:4">
      <c r="A830" s="6">
        <v>1135010.815672376</v>
      </c>
      <c r="B830" s="7">
        <v>-23.48042167166057</v>
      </c>
      <c r="C830" s="7">
        <v>-23.48042167166151</v>
      </c>
      <c r="D830" s="6">
        <v>-9.379164112033322E-13</v>
      </c>
    </row>
    <row r="831" spans="1:4">
      <c r="A831" s="6">
        <v>1148153.621496945</v>
      </c>
      <c r="B831" s="7">
        <v>-24.07822559258094</v>
      </c>
      <c r="C831" s="7">
        <v>-24.07822559258164</v>
      </c>
      <c r="D831" s="6">
        <v>-6.998845947236987E-13</v>
      </c>
    </row>
    <row r="832" spans="1:4">
      <c r="A832" s="6">
        <v>1161448.613840406</v>
      </c>
      <c r="B832" s="7">
        <v>-24.68068621347821</v>
      </c>
      <c r="C832" s="7">
        <v>-24.68068621347795</v>
      </c>
      <c r="D832" s="6">
        <v>2.664535259100376E-13</v>
      </c>
    </row>
    <row r="833" spans="1:4">
      <c r="A833" s="6">
        <v>1174897.554939593</v>
      </c>
      <c r="B833" s="7">
        <v>-25.28795197134798</v>
      </c>
      <c r="C833" s="7">
        <v>-25.28795197134725</v>
      </c>
      <c r="D833" s="6">
        <v>7.247535904753022E-13</v>
      </c>
    </row>
    <row r="834" spans="1:4">
      <c r="A834" s="6">
        <v>1188502.227437083</v>
      </c>
      <c r="B834" s="7">
        <v>-25.90017854166096</v>
      </c>
      <c r="C834" s="7">
        <v>-25.90017854166154</v>
      </c>
      <c r="D834" s="6">
        <v>-5.861977570020827E-13</v>
      </c>
    </row>
    <row r="835" spans="1:4">
      <c r="A835" s="6">
        <v>1202264.434617478</v>
      </c>
      <c r="B835" s="7">
        <v>-26.51752931760641</v>
      </c>
      <c r="C835" s="7">
        <v>-26.51752931760678</v>
      </c>
      <c r="D835" s="6">
        <v>-3.730349362740526E-13</v>
      </c>
    </row>
    <row r="836" spans="1:4">
      <c r="A836" s="6">
        <v>1216186.000646434</v>
      </c>
      <c r="B836" s="7">
        <v>-27.14017592844031</v>
      </c>
      <c r="C836" s="7">
        <v>-27.14017592844053</v>
      </c>
      <c r="D836" s="6">
        <v>-2.131628207280301E-13</v>
      </c>
    </row>
    <row r="837" spans="1:4">
      <c r="A837" s="6">
        <v>1230268.770812448</v>
      </c>
      <c r="B837" s="7">
        <v>-27.76829880081304</v>
      </c>
      <c r="C837" s="7">
        <v>-27.76829880081317</v>
      </c>
      <c r="D837" s="6">
        <v>-1.314504061156185E-13</v>
      </c>
    </row>
    <row r="838" spans="1:4">
      <c r="A838" s="6">
        <v>1244514.611771453</v>
      </c>
      <c r="B838" s="7">
        <v>-28.40208776733915</v>
      </c>
      <c r="C838" s="7">
        <v>-28.40208776733902</v>
      </c>
      <c r="D838" s="6">
        <v>1.27897692436818E-13</v>
      </c>
    </row>
    <row r="839" spans="1:4">
      <c r="A839" s="6">
        <v>1258925.411794236</v>
      </c>
      <c r="B839" s="7">
        <v>-29.04174272720221</v>
      </c>
      <c r="C839" s="7">
        <v>-29.04174272720233</v>
      </c>
      <c r="D839" s="6">
        <v>-1.20792265079217E-13</v>
      </c>
    </row>
    <row r="840" spans="1:4">
      <c r="A840" s="6">
        <v>1273503.081016731</v>
      </c>
      <c r="B840" s="7">
        <v>-29.68747436414828</v>
      </c>
      <c r="C840" s="7">
        <v>-29.68747436414843</v>
      </c>
      <c r="D840" s="6">
        <v>-1.456612608308205E-13</v>
      </c>
    </row>
    <row r="841" spans="1:4">
      <c r="A841" s="6">
        <v>1288249.551693204</v>
      </c>
      <c r="B841" s="7">
        <v>-30.33950492784998</v>
      </c>
      <c r="C841" s="7">
        <v>-30.33950492784941</v>
      </c>
      <c r="D841" s="6">
        <v>5.684341886080801E-13</v>
      </c>
    </row>
    <row r="842" spans="1:4">
      <c r="A842" s="6">
        <v>1303166.778452371</v>
      </c>
      <c r="B842" s="7">
        <v>-30.99806908535874</v>
      </c>
      <c r="C842" s="7">
        <v>-30.99806908535924</v>
      </c>
      <c r="D842" s="6">
        <v>-5.080380560684716E-13</v>
      </c>
    </row>
    <row r="843" spans="1:4">
      <c r="A843" s="6">
        <v>1318256.738556479</v>
      </c>
      <c r="B843" s="7">
        <v>-31.66341485019686</v>
      </c>
      <c r="C843" s="7">
        <v>-31.66341485019844</v>
      </c>
      <c r="D843" s="6">
        <v>-1.580957587066223E-12</v>
      </c>
    </row>
    <row r="844" spans="1:4">
      <c r="A844" s="6">
        <v>1333521.432163397</v>
      </c>
      <c r="B844" s="7">
        <v>-32.33580459754422</v>
      </c>
      <c r="C844" s="7">
        <v>-32.33580459754442</v>
      </c>
      <c r="D844" s="6">
        <v>-2.060573933704291E-13</v>
      </c>
    </row>
    <row r="845" spans="1:4">
      <c r="A845" s="6">
        <v>1348962.882591728</v>
      </c>
      <c r="B845" s="7">
        <v>-33.0155161750714</v>
      </c>
      <c r="C845" s="7">
        <v>-33.01551617507234</v>
      </c>
      <c r="D845" s="6">
        <v>-9.379164112033322E-13</v>
      </c>
    </row>
    <row r="846" spans="1:4">
      <c r="A846" s="6">
        <v>1364583.136589</v>
      </c>
      <c r="B846" s="7">
        <v>-33.70284412020676</v>
      </c>
      <c r="C846" s="7">
        <v>-33.70284412020694</v>
      </c>
      <c r="D846" s="6">
        <v>-1.77635683940025E-13</v>
      </c>
    </row>
    <row r="847" spans="1:4">
      <c r="A847" s="6">
        <v>1380384.264602961</v>
      </c>
      <c r="B847" s="7">
        <v>-34.39810099593446</v>
      </c>
      <c r="C847" s="7">
        <v>-34.39810099593462</v>
      </c>
      <c r="D847" s="6">
        <v>-1.56319401867222E-13</v>
      </c>
    </row>
    <row r="848" spans="1:4">
      <c r="A848" s="6">
        <v>1396368.361056014</v>
      </c>
      <c r="B848" s="7">
        <v>-35.10161885890965</v>
      </c>
      <c r="C848" s="7">
        <v>-35.10161885891001</v>
      </c>
      <c r="D848" s="6">
        <v>-3.623767952376511E-13</v>
      </c>
    </row>
    <row r="849" spans="1:4">
      <c r="A849" s="6">
        <v>1412537.544622832</v>
      </c>
      <c r="B849" s="7">
        <v>-35.8137508754027</v>
      </c>
      <c r="C849" s="7">
        <v>-35.81375087540275</v>
      </c>
      <c r="D849" s="6">
        <v>-4.973799150320701E-14</v>
      </c>
    </row>
    <row r="850" spans="1:4">
      <c r="A850" s="6">
        <v>1428893.958511182</v>
      </c>
      <c r="B850" s="7">
        <v>-36.53487310270104</v>
      </c>
      <c r="C850" s="7">
        <v>-36.53487310270078</v>
      </c>
      <c r="D850" s="6">
        <v>2.629008122312371E-13</v>
      </c>
    </row>
    <row r="851" spans="1:4">
      <c r="A851" s="6">
        <v>1445439.770746008</v>
      </c>
      <c r="B851" s="7">
        <v>-37.26538645595502</v>
      </c>
      <c r="C851" s="7">
        <v>-37.265386455955</v>
      </c>
      <c r="D851" s="6">
        <v>1.4210854715202E-14</v>
      </c>
    </row>
    <row r="852" spans="1:4">
      <c r="A852" s="6">
        <v>1462177.174456799</v>
      </c>
      <c r="B852" s="7">
        <v>-38.00571888315486</v>
      </c>
      <c r="C852" s="7">
        <v>-38.00571888315565</v>
      </c>
      <c r="D852" s="6">
        <v>-7.887024366937112E-13</v>
      </c>
    </row>
    <row r="853" spans="1:4">
      <c r="A853" s="6">
        <v>1479108.38816829</v>
      </c>
      <c r="B853" s="7">
        <v>-38.75632777402351</v>
      </c>
      <c r="C853" s="7">
        <v>-38.75632777402325</v>
      </c>
      <c r="D853" s="6">
        <v>2.629008122312371E-13</v>
      </c>
    </row>
    <row r="854" spans="1:4">
      <c r="A854" s="6">
        <v>1496235.656094517</v>
      </c>
      <c r="B854" s="7">
        <v>-39.51770263212389</v>
      </c>
      <c r="C854" s="7">
        <v>-39.51770263212329</v>
      </c>
      <c r="D854" s="6">
        <v>6.039613253960852E-13</v>
      </c>
    </row>
    <row r="855" spans="1:4">
      <c r="A855" s="6">
        <v>1513561.248436292</v>
      </c>
      <c r="B855" s="7">
        <v>-40.29036804352714</v>
      </c>
      <c r="C855" s="7">
        <v>-40.29036804352839</v>
      </c>
      <c r="D855" s="6">
        <v>-1.250555214937776E-12</v>
      </c>
    </row>
    <row r="856" spans="1:4">
      <c r="A856" s="6">
        <v>1531087.461682115</v>
      </c>
      <c r="B856" s="7">
        <v>-41.07488697990548</v>
      </c>
      <c r="C856" s="7">
        <v>-41.07488697990513</v>
      </c>
      <c r="D856" s="6">
        <v>3.481659405224491E-13</v>
      </c>
    </row>
    <row r="857" spans="1:4">
      <c r="A857" s="6">
        <v>1548816.618912568</v>
      </c>
      <c r="B857" s="7">
        <v>-41.871864479043</v>
      </c>
      <c r="C857" s="7">
        <v>-41.87186447904436</v>
      </c>
      <c r="D857" s="6">
        <v>-1.364242052659392E-12</v>
      </c>
    </row>
    <row r="858" spans="1:4">
      <c r="A858" s="6">
        <v>1566751.070108237</v>
      </c>
      <c r="B858" s="7">
        <v>-42.68195175161636</v>
      </c>
      <c r="C858" s="7">
        <v>-42.68195175161669</v>
      </c>
      <c r="D858" s="6">
        <v>-3.268496584496461E-13</v>
      </c>
    </row>
    <row r="859" spans="1:4">
      <c r="A859" s="6">
        <v>1584893.192461202</v>
      </c>
      <c r="B859" s="7">
        <v>-43.50585076933183</v>
      </c>
      <c r="C859" s="7">
        <v>-43.50585076933187</v>
      </c>
      <c r="D859" s="6">
        <v>-4.263256414560601E-14</v>
      </c>
    </row>
    <row r="860" spans="1:4">
      <c r="A860" s="6">
        <v>1603245.390690131</v>
      </c>
      <c r="B860" s="7">
        <v>-44.3443193966747</v>
      </c>
      <c r="C860" s="7">
        <v>-44.34431939667522</v>
      </c>
      <c r="D860" s="6">
        <v>-5.258016244624741E-13</v>
      </c>
    </row>
    <row r="861" spans="1:4">
      <c r="A861" s="6">
        <v>1621810.097359021</v>
      </c>
      <c r="B861" s="7">
        <v>-45.19817713587733</v>
      </c>
      <c r="C861" s="7">
        <v>-45.19817713587799</v>
      </c>
      <c r="D861" s="6">
        <v>-6.608047442568932E-13</v>
      </c>
    </row>
    <row r="862" spans="1:4">
      <c r="A862" s="6">
        <v>1640589.773199631</v>
      </c>
      <c r="B862" s="7">
        <v>-46.06831156251451</v>
      </c>
      <c r="C862" s="7">
        <v>-46.06831156251492</v>
      </c>
      <c r="D862" s="6">
        <v>-4.121147867408581E-13</v>
      </c>
    </row>
    <row r="863" spans="1:4">
      <c r="A863" s="6">
        <v>1659586.907437654</v>
      </c>
      <c r="B863" s="7">
        <v>-46.95568553667059</v>
      </c>
      <c r="C863" s="7">
        <v>-46.95568553667033</v>
      </c>
      <c r="D863" s="6">
        <v>2.629008122312371E-13</v>
      </c>
    </row>
    <row r="864" spans="1:4">
      <c r="A864" s="6">
        <v>1678804.018122654</v>
      </c>
      <c r="B864" s="7">
        <v>-47.86134528120922</v>
      </c>
      <c r="C864" s="7">
        <v>-47.86134528120854</v>
      </c>
      <c r="D864" s="6">
        <v>6.821210263296962E-13</v>
      </c>
    </row>
    <row r="865" spans="1:4">
      <c r="A865" s="6">
        <v>1698243.65246184</v>
      </c>
      <c r="B865" s="7">
        <v>-48.7864294230404</v>
      </c>
      <c r="C865" s="7">
        <v>-48.78642942304099</v>
      </c>
      <c r="D865" s="6">
        <v>-5.826450433232822E-13</v>
      </c>
    </row>
    <row r="866" spans="1:4">
      <c r="A866" s="6">
        <v>1717908.387157685</v>
      </c>
      <c r="B866" s="7">
        <v>-49.73217909329205</v>
      </c>
      <c r="C866" s="7">
        <v>-49.73217909329243</v>
      </c>
      <c r="D866" s="6">
        <v>-3.836930773104541E-13</v>
      </c>
    </row>
    <row r="867" spans="1:4">
      <c r="A867" s="6">
        <v>1737800.828749473</v>
      </c>
      <c r="B867" s="7">
        <v>-50.69994917453105</v>
      </c>
      <c r="C867" s="7">
        <v>-50.69994917453169</v>
      </c>
      <c r="D867" s="6">
        <v>-6.394884621840902E-13</v>
      </c>
    </row>
    <row r="868" spans="1:4">
      <c r="A868" s="6">
        <v>1757923.613958792</v>
      </c>
      <c r="B868" s="7">
        <v>-51.69122076228434</v>
      </c>
      <c r="C868" s="7">
        <v>-51.69122076228363</v>
      </c>
      <c r="D868" s="6">
        <v>7.034373084024992E-13</v>
      </c>
    </row>
    <row r="869" spans="1:4">
      <c r="A869" s="6">
        <v>1778279.410039023</v>
      </c>
      <c r="B869" s="7">
        <v>-52.70761486515668</v>
      </c>
      <c r="C869" s="7">
        <v>-52.70761486515675</v>
      </c>
      <c r="D869" s="6">
        <v>-7.105427357601002E-14</v>
      </c>
    </row>
    <row r="870" spans="1:4">
      <c r="A870" s="6">
        <v>1798870.915128889</v>
      </c>
      <c r="B870" s="7">
        <v>-53.75090728918135</v>
      </c>
      <c r="C870" s="7">
        <v>-53.75090728918165</v>
      </c>
      <c r="D870" s="6">
        <v>-3.055333763768431E-13</v>
      </c>
    </row>
    <row r="871" spans="1:4">
      <c r="A871" s="6">
        <v>1819700.858610087</v>
      </c>
      <c r="B871" s="7">
        <v>-54.82304451511004</v>
      </c>
      <c r="C871" s="7">
        <v>-54.82304451511002</v>
      </c>
      <c r="D871" s="6">
        <v>2.131628207280301E-14</v>
      </c>
    </row>
    <row r="872" spans="1:4">
      <c r="A872" s="6">
        <v>1840772.00146906</v>
      </c>
      <c r="B872" s="7">
        <v>-55.92616014683877</v>
      </c>
      <c r="C872" s="7">
        <v>-55.92616014683906</v>
      </c>
      <c r="D872" s="6">
        <v>-2.913225216616411E-13</v>
      </c>
    </row>
    <row r="873" spans="1:4">
      <c r="A873" s="6">
        <v>1862087.136662973</v>
      </c>
      <c r="B873" s="7">
        <v>-57.06259112749456</v>
      </c>
      <c r="C873" s="7">
        <v>-57.06259112749403</v>
      </c>
      <c r="D873" s="6">
        <v>5.329070518200751E-13</v>
      </c>
    </row>
    <row r="874" spans="1:4">
      <c r="A874" s="6">
        <v>1883649.089489907</v>
      </c>
      <c r="B874" s="7">
        <v>-58.23489229445597</v>
      </c>
      <c r="C874" s="7">
        <v>-58.2348922944566</v>
      </c>
      <c r="D874" s="6">
        <v>-6.252776074688882E-13</v>
      </c>
    </row>
    <row r="875" spans="1:4">
      <c r="A875" s="6">
        <v>1905460.717963356</v>
      </c>
      <c r="B875" s="7">
        <v>-59.44584682554652</v>
      </c>
      <c r="C875" s="7">
        <v>-59.44584682554652</v>
      </c>
      <c r="D875" s="6">
        <v>0</v>
      </c>
    </row>
    <row r="876" spans="1:4">
      <c r="A876" s="6">
        <v>1927524.913191046</v>
      </c>
      <c r="B876" s="7">
        <v>-60.69846847076914</v>
      </c>
      <c r="C876" s="7">
        <v>-60.69846847076843</v>
      </c>
      <c r="D876" s="6">
        <v>7.105427357601002E-13</v>
      </c>
    </row>
    <row r="877" spans="1:4">
      <c r="A877" s="6">
        <v>1949844.599758157</v>
      </c>
      <c r="B877" s="7">
        <v>-61.9959887670305</v>
      </c>
      <c r="C877" s="7">
        <v>-61.99598876702976</v>
      </c>
      <c r="D877" s="6">
        <v>7.389644451905042E-13</v>
      </c>
    </row>
    <row r="878" spans="1:4">
      <c r="A878" s="6">
        <v>1972422.736114966</v>
      </c>
      <c r="B878" s="7">
        <v>-63.34181804137995</v>
      </c>
      <c r="C878" s="7">
        <v>-63.34181804137963</v>
      </c>
      <c r="D878" s="6">
        <v>3.268496584496461E-13</v>
      </c>
    </row>
    <row r="879" spans="1:4">
      <c r="A879" s="6">
        <v>1995262.314968994</v>
      </c>
      <c r="B879" s="7">
        <v>-64.73946185167974</v>
      </c>
      <c r="C879" s="7">
        <v>-64.73946185168138</v>
      </c>
      <c r="D879" s="6">
        <v>-1.648459146963432E-12</v>
      </c>
    </row>
    <row r="880" spans="1:4">
      <c r="A880" s="6">
        <v>2018366.363681676</v>
      </c>
      <c r="B880" s="7">
        <v>-66.19236286476294</v>
      </c>
      <c r="C880" s="7">
        <v>-66.19236286476414</v>
      </c>
      <c r="D880" s="6">
        <v>-1.193711796076968E-12</v>
      </c>
    </row>
    <row r="881" spans="1:4">
      <c r="A881" s="6">
        <v>2041737.944669646</v>
      </c>
      <c r="B881" s="7">
        <v>-67.70361930911366</v>
      </c>
      <c r="C881" s="7">
        <v>-67.70361930911287</v>
      </c>
      <c r="D881" s="6">
        <v>7.958078640513122E-13</v>
      </c>
    </row>
    <row r="882" spans="1:4">
      <c r="A882" s="6">
        <v>2065380.155810648</v>
      </c>
      <c r="B882" s="7">
        <v>-69.2755009890631</v>
      </c>
      <c r="C882" s="7">
        <v>-69.27550098906379</v>
      </c>
      <c r="D882" s="6">
        <v>-6.821210263296962E-13</v>
      </c>
    </row>
    <row r="883" spans="1:4">
      <c r="A883" s="6">
        <v>2089296.13085416</v>
      </c>
      <c r="B883" s="7">
        <v>-70.90863698073854</v>
      </c>
      <c r="C883" s="7">
        <v>-70.90863698073862</v>
      </c>
      <c r="D883" s="6">
        <v>-8.526512829121202E-14</v>
      </c>
    </row>
    <row r="884" spans="1:4">
      <c r="A884" s="6">
        <v>2113489.039836768</v>
      </c>
      <c r="B884" s="7">
        <v>-72.60068037192616</v>
      </c>
      <c r="C884" s="7">
        <v>-72.60068037192706</v>
      </c>
      <c r="D884" s="6">
        <v>-8.952838470577262E-13</v>
      </c>
    </row>
    <row r="885" spans="1:4">
      <c r="A885" s="6">
        <v>2137962.089502355</v>
      </c>
      <c r="B885" s="7">
        <v>-74.34416671695335</v>
      </c>
      <c r="C885" s="7">
        <v>-74.34416671695375</v>
      </c>
      <c r="D885" s="6">
        <v>-3.979039320256561E-13</v>
      </c>
    </row>
    <row r="886" spans="1:4">
      <c r="A886" s="6">
        <v>2162718.523727145</v>
      </c>
      <c r="B886" s="7">
        <v>-76.12320455531524</v>
      </c>
      <c r="C886" s="7">
        <v>-76.12320455531605</v>
      </c>
      <c r="D886" s="6">
        <v>-8.100187187665142E-13</v>
      </c>
    </row>
    <row r="887" spans="1:4">
      <c r="A887" s="6">
        <v>2187761.623949679</v>
      </c>
      <c r="B887" s="7">
        <v>-77.9086803471865</v>
      </c>
      <c r="C887" s="7">
        <v>-77.90868034718673</v>
      </c>
      <c r="D887" s="6">
        <v>-2.273736754432321E-13</v>
      </c>
    </row>
    <row r="888" spans="1:4">
      <c r="A888" s="6">
        <v>2213094.709605766</v>
      </c>
      <c r="B888" s="7">
        <v>-79.65212178194582</v>
      </c>
      <c r="C888" s="7">
        <v>-79.65212178194554</v>
      </c>
      <c r="D888" s="6">
        <v>2.842170943040401E-13</v>
      </c>
    </row>
    <row r="889" spans="1:4">
      <c r="A889" s="6">
        <v>2238721.138568469</v>
      </c>
      <c r="B889" s="7">
        <v>-81.27980581274667</v>
      </c>
      <c r="C889" s="7">
        <v>-81.27980581274726</v>
      </c>
      <c r="D889" s="6">
        <v>-5.826450433232822E-13</v>
      </c>
    </row>
    <row r="890" spans="1:4">
      <c r="A890" s="6">
        <v>2264644.307593191</v>
      </c>
      <c r="B890" s="7">
        <v>-82.69161804424778</v>
      </c>
      <c r="C890" s="7">
        <v>-82.69161804424841</v>
      </c>
      <c r="D890" s="6">
        <v>-6.394884621840902E-13</v>
      </c>
    </row>
    <row r="891" spans="1:4">
      <c r="A891" s="6">
        <v>2290867.652767906</v>
      </c>
      <c r="B891" s="7">
        <v>-83.77232729680426</v>
      </c>
      <c r="C891" s="7">
        <v>-83.77232729680379</v>
      </c>
      <c r="D891" s="6">
        <v>4.689582056016661E-13</v>
      </c>
    </row>
    <row r="892" spans="1:4">
      <c r="A892" s="6">
        <v>2317394.649968613</v>
      </c>
      <c r="B892" s="7">
        <v>-84.42074561193118</v>
      </c>
      <c r="C892" s="7">
        <v>-84.42074561193145</v>
      </c>
      <c r="D892" s="6">
        <v>-2.700062395888381E-13</v>
      </c>
    </row>
    <row r="893" spans="1:4">
      <c r="A893" s="6">
        <v>2344228.815320058</v>
      </c>
      <c r="B893" s="7">
        <v>-84.58824071958992</v>
      </c>
      <c r="C893" s="7">
        <v>-84.58824071958988</v>
      </c>
      <c r="D893" s="6">
        <v>4.263256414560601E-14</v>
      </c>
    </row>
    <row r="894" spans="1:4">
      <c r="A894" s="6">
        <v>2371373.705661793</v>
      </c>
      <c r="B894" s="7">
        <v>-84.30123510252601</v>
      </c>
      <c r="C894" s="7">
        <v>-84.30123510252658</v>
      </c>
      <c r="D894" s="6">
        <v>-5.684341886080801E-13</v>
      </c>
    </row>
    <row r="895" spans="1:4">
      <c r="A895" s="6">
        <v>2398832.91901963</v>
      </c>
      <c r="B895" s="7">
        <v>-83.64868252934697</v>
      </c>
      <c r="C895" s="7">
        <v>-83.64868252934673</v>
      </c>
      <c r="D895" s="6">
        <v>2.415845301584341E-13</v>
      </c>
    </row>
    <row r="896" spans="1:4">
      <c r="A896" s="6">
        <v>2426610.095082557</v>
      </c>
      <c r="B896" s="7">
        <v>-82.74541365597415</v>
      </c>
      <c r="C896" s="7">
        <v>-82.74541365597285</v>
      </c>
      <c r="D896" s="6">
        <v>1.293187779083382E-12</v>
      </c>
    </row>
    <row r="897" spans="1:4">
      <c r="A897" s="6">
        <v>2454708.915685174</v>
      </c>
      <c r="B897" s="7">
        <v>-81.69823849033153</v>
      </c>
      <c r="C897" s="7">
        <v>-81.69823849033178</v>
      </c>
      <c r="D897" s="6">
        <v>-2.415845301584341E-13</v>
      </c>
    </row>
    <row r="898" spans="1:4">
      <c r="A898" s="6">
        <v>2483133.105295715</v>
      </c>
      <c r="B898" s="7">
        <v>-80.58934027688437</v>
      </c>
      <c r="C898" s="7">
        <v>-80.58934027688503</v>
      </c>
      <c r="D898" s="6">
        <v>-6.536993168992922E-13</v>
      </c>
    </row>
    <row r="899" spans="1:4">
      <c r="A899" s="6">
        <v>2511886.431509727</v>
      </c>
      <c r="B899" s="7">
        <v>-79.47448297034171</v>
      </c>
      <c r="C899" s="7">
        <v>-79.47448297034379</v>
      </c>
      <c r="D899" s="6">
        <v>-2.074784788419493E-12</v>
      </c>
    </row>
    <row r="900" spans="1:4">
      <c r="A900" s="6">
        <v>2540972.705549454</v>
      </c>
      <c r="B900" s="7">
        <v>-78.38808953795196</v>
      </c>
      <c r="C900" s="7">
        <v>-78.3880895379522</v>
      </c>
      <c r="D900" s="6">
        <v>-2.415845301584341E-13</v>
      </c>
    </row>
    <row r="901" spans="1:4">
      <c r="A901" s="6">
        <v>2570395.782769015</v>
      </c>
      <c r="B901" s="7">
        <v>-77.34957810615855</v>
      </c>
      <c r="C901" s="7">
        <v>-77.34957810615761</v>
      </c>
      <c r="D901" s="6">
        <v>9.379164112033322E-13</v>
      </c>
    </row>
    <row r="902" spans="1:4">
      <c r="A902" s="6">
        <v>2600159.563165424</v>
      </c>
      <c r="B902" s="7">
        <v>-76.36862773959378</v>
      </c>
      <c r="C902" s="7">
        <v>-76.36862773959396</v>
      </c>
      <c r="D902" s="6">
        <v>-1.84741111297626E-13</v>
      </c>
    </row>
    <row r="903" spans="1:4">
      <c r="A903" s="6">
        <v>2630267.991895536</v>
      </c>
      <c r="B903" s="7">
        <v>-75.44892160552534</v>
      </c>
      <c r="C903" s="7">
        <v>-75.44892160552514</v>
      </c>
      <c r="D903" s="6">
        <v>1.989519660128281E-13</v>
      </c>
    </row>
    <row r="904" spans="1:4">
      <c r="A904" s="6">
        <v>2660725.059798966</v>
      </c>
      <c r="B904" s="7">
        <v>-74.59060821072062</v>
      </c>
      <c r="C904" s="7">
        <v>-74.59060821071959</v>
      </c>
      <c r="D904" s="6">
        <v>1.023181539494544E-12</v>
      </c>
    </row>
    <row r="905" spans="1:4">
      <c r="A905" s="6">
        <v>2691534.803927074</v>
      </c>
      <c r="B905" s="7">
        <v>-73.79185081261011</v>
      </c>
      <c r="C905" s="7">
        <v>-73.79185081261068</v>
      </c>
      <c r="D905" s="6">
        <v>-5.684341886080801E-13</v>
      </c>
    </row>
    <row r="906" spans="1:4">
      <c r="A906" s="6">
        <v>2722701.308078073</v>
      </c>
      <c r="B906" s="7">
        <v>-73.04977648576093</v>
      </c>
      <c r="C906" s="7">
        <v>-73.04977648576138</v>
      </c>
      <c r="D906" s="6">
        <v>-4.547473508864641E-13</v>
      </c>
    </row>
    <row r="907" spans="1:4">
      <c r="A907" s="6">
        <v>2754228.703338329</v>
      </c>
      <c r="B907" s="7">
        <v>-72.36104525752383</v>
      </c>
      <c r="C907" s="7">
        <v>-72.36104525752462</v>
      </c>
      <c r="D907" s="6">
        <v>-7.958078640513122E-13</v>
      </c>
    </row>
    <row r="908" spans="1:4">
      <c r="A908" s="6">
        <v>2786121.168629935</v>
      </c>
      <c r="B908" s="7">
        <v>-71.72218391050367</v>
      </c>
      <c r="C908" s="7">
        <v>-71.72218391050335</v>
      </c>
      <c r="D908" s="6">
        <v>3.268496584496461E-13</v>
      </c>
    </row>
    <row r="909" spans="1:4">
      <c r="A909" s="6">
        <v>2818382.93126462</v>
      </c>
      <c r="B909" s="7">
        <v>-71.12977586362072</v>
      </c>
      <c r="C909" s="7">
        <v>-71.12977586362109</v>
      </c>
      <c r="D909" s="6">
        <v>-3.694822225952521E-13</v>
      </c>
    </row>
    <row r="910" spans="1:4">
      <c r="A910" s="6">
        <v>2851018.267504078</v>
      </c>
      <c r="B910" s="7">
        <v>-70.5805638617185</v>
      </c>
      <c r="C910" s="7">
        <v>-70.5805638617181</v>
      </c>
      <c r="D910" s="6">
        <v>3.979039320256561E-13</v>
      </c>
    </row>
    <row r="911" spans="1:4">
      <c r="A911" s="6">
        <v>2884031.503126777</v>
      </c>
      <c r="B911" s="7">
        <v>-70.07150036297506</v>
      </c>
      <c r="C911" s="7">
        <v>-70.07150036297463</v>
      </c>
      <c r="D911" s="6">
        <v>4.263256414560601E-13</v>
      </c>
    </row>
    <row r="912" spans="1:4">
      <c r="A912" s="6">
        <v>2917427.01400134</v>
      </c>
      <c r="B912" s="7">
        <v>-69.59976698606761</v>
      </c>
      <c r="C912" s="7">
        <v>-69.59976698606818</v>
      </c>
      <c r="D912" s="6">
        <v>-5.684341886080801E-13</v>
      </c>
    </row>
    <row r="913" spans="1:4">
      <c r="A913" s="6">
        <v>2951209.226666561</v>
      </c>
      <c r="B913" s="7">
        <v>-69.16277605968924</v>
      </c>
      <c r="C913" s="7">
        <v>-69.16277605968963</v>
      </c>
      <c r="D913" s="6">
        <v>-3.979039320256561E-13</v>
      </c>
    </row>
    <row r="914" spans="1:4">
      <c r="A914" s="6">
        <v>2985382.618918137</v>
      </c>
      <c r="B914" s="7">
        <v>-68.7581622113559</v>
      </c>
      <c r="C914" s="7">
        <v>-68.75816221135459</v>
      </c>
      <c r="D914" s="6">
        <v>1.307398633798584E-12</v>
      </c>
    </row>
    <row r="915" spans="1:4">
      <c r="A915" s="6">
        <v>3019951.720402196</v>
      </c>
      <c r="B915" s="7">
        <v>-68.38376879802607</v>
      </c>
      <c r="C915" s="7">
        <v>-68.3837687980254</v>
      </c>
      <c r="D915" s="6">
        <v>6.679101716144942E-13</v>
      </c>
    </row>
    <row r="916" spans="1:4">
      <c r="A916" s="6">
        <v>3054921.113215695</v>
      </c>
      <c r="B916" s="7">
        <v>-68.03763205488083</v>
      </c>
      <c r="C916" s="7">
        <v>-68.03763205487944</v>
      </c>
      <c r="D916" s="6">
        <v>1.392663762089796E-12</v>
      </c>
    </row>
    <row r="917" spans="1:4">
      <c r="A917" s="6">
        <v>3090295.432513775</v>
      </c>
      <c r="B917" s="7">
        <v>-67.71796465433445</v>
      </c>
      <c r="C917" s="7">
        <v>-67.71796465433432</v>
      </c>
      <c r="D917" s="6">
        <v>1.27897692436818E-13</v>
      </c>
    </row>
    <row r="918" spans="1:4">
      <c r="A918" s="6">
        <v>3126079.367124142</v>
      </c>
      <c r="B918" s="7">
        <v>-67.42313964024139</v>
      </c>
      <c r="C918" s="7">
        <v>-67.42313964024207</v>
      </c>
      <c r="D918" s="6">
        <v>-6.821210263296962E-13</v>
      </c>
    </row>
    <row r="919" spans="1:4">
      <c r="A919" s="6">
        <v>3162277.660168569</v>
      </c>
      <c r="B919" s="7">
        <v>-67.15167525740246</v>
      </c>
      <c r="C919" s="7">
        <v>-67.15167525740216</v>
      </c>
      <c r="D919" s="6">
        <v>2.984279490192421E-13</v>
      </c>
    </row>
    <row r="920" spans="1:4">
      <c r="A920" s="6">
        <v>3198895.10969159</v>
      </c>
      <c r="B920" s="7">
        <v>-66.90222092679453</v>
      </c>
      <c r="C920" s="7">
        <v>-66.90222092679618</v>
      </c>
      <c r="D920" s="6">
        <v>-1.648459146963432E-12</v>
      </c>
    </row>
    <row r="921" spans="1:4">
      <c r="A921" s="6">
        <v>3235936.569296476</v>
      </c>
      <c r="B921" s="7">
        <v>-66.67354445580435</v>
      </c>
      <c r="C921" s="7">
        <v>-66.6735444558043</v>
      </c>
      <c r="D921" s="6">
        <v>4.263256414560601E-14</v>
      </c>
    </row>
    <row r="922" spans="1:4">
      <c r="A922" s="6">
        <v>3273406.948788578</v>
      </c>
      <c r="B922" s="7">
        <v>-66.46452047888667</v>
      </c>
      <c r="C922" s="7">
        <v>-66.46452047888621</v>
      </c>
      <c r="D922" s="6">
        <v>4.547473508864641E-13</v>
      </c>
    </row>
    <row r="923" spans="1:4">
      <c r="A923" s="6">
        <v>3311311.21482611</v>
      </c>
      <c r="B923" s="7">
        <v>-66.27412007207447</v>
      </c>
      <c r="C923" s="7">
        <v>-66.27412007207492</v>
      </c>
      <c r="D923" s="6">
        <v>-4.547473508864641E-13</v>
      </c>
    </row>
    <row r="924" spans="1:4">
      <c r="A924" s="6">
        <v>3349654.391578478</v>
      </c>
      <c r="B924" s="7">
        <v>-66.10140145805859</v>
      </c>
      <c r="C924" s="7">
        <v>-66.1014014580586</v>
      </c>
      <c r="D924" s="6">
        <v>-1.4210854715202E-14</v>
      </c>
    </row>
    <row r="925" spans="1:4">
      <c r="A925" s="6">
        <v>3388441.56139223</v>
      </c>
      <c r="B925" s="7">
        <v>-65.9455017075349</v>
      </c>
      <c r="C925" s="7">
        <v>-65.94550170753473</v>
      </c>
      <c r="D925" s="6">
        <v>1.70530256582424E-13</v>
      </c>
    </row>
    <row r="926" spans="1:4">
      <c r="A926" s="6">
        <v>3427677.86546471</v>
      </c>
      <c r="B926" s="7">
        <v>-65.80562934059876</v>
      </c>
      <c r="C926" s="7">
        <v>-65.80562934059876</v>
      </c>
      <c r="D926" s="6">
        <v>0</v>
      </c>
    </row>
    <row r="927" spans="1:4">
      <c r="A927" s="6">
        <v>3467368.504525525</v>
      </c>
      <c r="B927" s="7">
        <v>-65.6810577352403</v>
      </c>
      <c r="C927" s="7">
        <v>-65.68105773523999</v>
      </c>
      <c r="D927" s="6">
        <v>3.126388037344441E-13</v>
      </c>
    </row>
    <row r="928" spans="1:4">
      <c r="A928" s="6">
        <v>3507518.739525892</v>
      </c>
      <c r="B928" s="7">
        <v>-65.57111925610955</v>
      </c>
      <c r="C928" s="7">
        <v>-65.57111925611014</v>
      </c>
      <c r="D928" s="6">
        <v>-5.826450433232822E-13</v>
      </c>
    </row>
    <row r="929" spans="1:4">
      <c r="A929" s="6">
        <v>3548133.892335969</v>
      </c>
      <c r="B929" s="7">
        <v>-65.47520002410997</v>
      </c>
      <c r="C929" s="7">
        <v>-65.47520002411045</v>
      </c>
      <c r="D929" s="6">
        <v>-4.831690603168681E-13</v>
      </c>
    </row>
    <row r="930" spans="1:4">
      <c r="A930" s="6">
        <v>3589219.346450269</v>
      </c>
      <c r="B930" s="7">
        <v>-65.39273525510664</v>
      </c>
      <c r="C930" s="7">
        <v>-65.39273525510639</v>
      </c>
      <c r="D930" s="6">
        <v>2.557953848736361E-13</v>
      </c>
    </row>
    <row r="931" spans="1:4">
      <c r="A931" s="6">
        <v>3630780.547701234</v>
      </c>
      <c r="B931" s="7">
        <v>-65.32320510370349</v>
      </c>
      <c r="C931" s="7">
        <v>-65.32320510370386</v>
      </c>
      <c r="D931" s="6">
        <v>-3.694822225952521E-13</v>
      </c>
    </row>
    <row r="932" spans="1:4">
      <c r="A932" s="6">
        <v>3672823.004981069</v>
      </c>
      <c r="B932" s="7">
        <v>-65.26613095521496</v>
      </c>
      <c r="C932" s="7">
        <v>-65.26613095521466</v>
      </c>
      <c r="D932" s="6">
        <v>2.984279490192421E-13</v>
      </c>
    </row>
    <row r="933" spans="1:4">
      <c r="A933" s="6">
        <v>3715352.290971951</v>
      </c>
      <c r="B933" s="7">
        <v>-65.22107211556315</v>
      </c>
      <c r="C933" s="7">
        <v>-65.22107211556354</v>
      </c>
      <c r="D933" s="6">
        <v>-3.979039320256561E-13</v>
      </c>
    </row>
    <row r="934" spans="1:4">
      <c r="A934" s="6">
        <v>3758374.04288467</v>
      </c>
      <c r="B934" s="7">
        <v>-65.18762285488592</v>
      </c>
      <c r="C934" s="7">
        <v>-65.18762285488781</v>
      </c>
      <c r="D934" s="6">
        <v>-1.890043677121866E-12</v>
      </c>
    </row>
    <row r="935" spans="1:4">
      <c r="A935" s="6">
        <v>3801893.963205843</v>
      </c>
      <c r="B935" s="7">
        <v>-65.16540976595732</v>
      </c>
      <c r="C935" s="7">
        <v>-65.1654097659564</v>
      </c>
      <c r="D935" s="6">
        <v>9.237055564881302E-13</v>
      </c>
    </row>
    <row r="936" spans="1:4">
      <c r="A936" s="6">
        <v>3845917.82045377</v>
      </c>
      <c r="B936" s="7">
        <v>-65.1540894033143</v>
      </c>
      <c r="C936" s="7">
        <v>-65.15408940331447</v>
      </c>
      <c r="D936" s="6">
        <v>-1.70530256582424E-13</v>
      </c>
    </row>
    <row r="937" spans="1:4">
      <c r="A937" s="6">
        <v>3890451.449943044</v>
      </c>
      <c r="B937" s="7">
        <v>-65.15334617329155</v>
      </c>
      <c r="C937" s="7">
        <v>-65.15334617329115</v>
      </c>
      <c r="D937" s="6">
        <v>3.979039320256561E-13</v>
      </c>
    </row>
    <row r="938" spans="1:4">
      <c r="A938" s="6">
        <v>3935500.754558015</v>
      </c>
      <c r="B938" s="7">
        <v>-65.16289044874162</v>
      </c>
      <c r="C938" s="7">
        <v>-65.16289044874108</v>
      </c>
      <c r="D938" s="6">
        <v>5.400124791776761E-13</v>
      </c>
    </row>
    <row r="939" spans="1:4">
      <c r="A939" s="6">
        <v>3981071.705535216</v>
      </c>
      <c r="B939" s="7">
        <v>-65.18245688568028</v>
      </c>
      <c r="C939" s="7">
        <v>-65.18245688568035</v>
      </c>
      <c r="D939" s="6">
        <v>-7.105427357601002E-14</v>
      </c>
    </row>
    <row r="940" spans="1:4">
      <c r="A940" s="6">
        <v>4027170.343254838</v>
      </c>
      <c r="B940" s="7">
        <v>-65.21180292187522</v>
      </c>
      <c r="C940" s="7">
        <v>-65.2118029218751</v>
      </c>
      <c r="D940" s="6">
        <v>1.13686837721616E-13</v>
      </c>
    </row>
    <row r="941" spans="1:4">
      <c r="A941" s="6">
        <v>4073802.778041377</v>
      </c>
      <c r="B941" s="7">
        <v>-65.2507074399945</v>
      </c>
      <c r="C941" s="7">
        <v>-65.25070743999555</v>
      </c>
      <c r="D941" s="6">
        <v>-1.051603248924948E-12</v>
      </c>
    </row>
    <row r="942" spans="1:4">
      <c r="A942" s="6">
        <v>4120975.190973555</v>
      </c>
      <c r="B942" s="7">
        <v>-65.29896958020495</v>
      </c>
      <c r="C942" s="7">
        <v>-65.29896958020397</v>
      </c>
      <c r="D942" s="6">
        <v>9.805489753489383E-13</v>
      </c>
    </row>
    <row r="943" spans="1:4">
      <c r="A943" s="6">
        <v>4168693.83470361</v>
      </c>
      <c r="B943" s="7">
        <v>-65.35640768904395</v>
      </c>
      <c r="C943" s="7">
        <v>-65.35640768904304</v>
      </c>
      <c r="D943" s="6">
        <v>9.094947017729282E-13</v>
      </c>
    </row>
    <row r="944" spans="1:4">
      <c r="A944" s="6">
        <v>4216965.034286082</v>
      </c>
      <c r="B944" s="7">
        <v>-65.42285839326675</v>
      </c>
      <c r="C944" s="7">
        <v>-65.42285839326566</v>
      </c>
      <c r="D944" s="6">
        <v>1.094235813070554E-12</v>
      </c>
    </row>
    <row r="945" spans="1:4">
      <c r="A945" s="6">
        <v>4265795.188016189</v>
      </c>
      <c r="B945" s="7">
        <v>-65.4981757888327</v>
      </c>
      <c r="C945" s="7">
        <v>-65.49817578883366</v>
      </c>
      <c r="D945" s="6">
        <v>-9.663381206337363E-13</v>
      </c>
    </row>
    <row r="946" spans="1:4">
      <c r="A946" s="6">
        <v>4315190.768277918</v>
      </c>
      <c r="B946" s="7">
        <v>-65.58223073673722</v>
      </c>
      <c r="C946" s="7">
        <v>-65.58223073673722</v>
      </c>
      <c r="D946" s="6">
        <v>0</v>
      </c>
    </row>
    <row r="947" spans="1:4">
      <c r="A947" s="6">
        <v>4365158.322401929</v>
      </c>
      <c r="B947" s="7">
        <v>-65.67491025857693</v>
      </c>
      <c r="C947" s="7">
        <v>-65.67491025857679</v>
      </c>
      <c r="D947" s="6">
        <v>1.4210854715202E-13</v>
      </c>
    </row>
    <row r="948" spans="1:4">
      <c r="A948" s="6">
        <v>4415704.473533398</v>
      </c>
      <c r="B948" s="7">
        <v>-65.77611702602709</v>
      </c>
      <c r="C948" s="7">
        <v>-65.77611702602832</v>
      </c>
      <c r="D948" s="6">
        <v>-1.222133505507372E-12</v>
      </c>
    </row>
    <row r="949" spans="1:4">
      <c r="A949" s="6">
        <v>4466835.921509908</v>
      </c>
      <c r="B949" s="7">
        <v>-65.8857689394014</v>
      </c>
      <c r="C949" s="7">
        <v>-65.88576893939978</v>
      </c>
      <c r="D949" s="6">
        <v>1.620037437533028E-12</v>
      </c>
    </row>
    <row r="950" spans="1:4">
      <c r="A950" s="6">
        <v>4518559.443749503</v>
      </c>
      <c r="B950" s="7">
        <v>-66.00379879150641</v>
      </c>
      <c r="C950" s="7">
        <v>-66.00379879150603</v>
      </c>
      <c r="D950" s="6">
        <v>3.836930773104541E-13</v>
      </c>
    </row>
    <row r="951" spans="1:4">
      <c r="A951" s="6">
        <v>4570881.896149033</v>
      </c>
      <c r="B951" s="7">
        <v>-66.13015401405366</v>
      </c>
      <c r="C951" s="7">
        <v>-66.13015401405301</v>
      </c>
      <c r="D951" s="6">
        <v>6.536993168992922E-13</v>
      </c>
    </row>
    <row r="952" spans="1:4">
      <c r="A952" s="6">
        <v>4623810.213992889</v>
      </c>
      <c r="B952" s="7">
        <v>-66.26479650465392</v>
      </c>
      <c r="C952" s="7">
        <v>-66.26479650465383</v>
      </c>
      <c r="D952" s="6">
        <v>8.526512829121202E-14</v>
      </c>
    </row>
    <row r="953" spans="1:4">
      <c r="A953" s="6">
        <v>4677351.412872273</v>
      </c>
      <c r="B953" s="7">
        <v>-66.40770253351187</v>
      </c>
      <c r="C953" s="7">
        <v>-66.40770253351194</v>
      </c>
      <c r="D953" s="6">
        <v>-7.105427357601002E-14</v>
      </c>
    </row>
    <row r="954" spans="1:4">
      <c r="A954" s="6">
        <v>4731512.589615099</v>
      </c>
      <c r="B954" s="7">
        <v>-66.55886272972039</v>
      </c>
      <c r="C954" s="7">
        <v>-66.55886272971914</v>
      </c>
      <c r="D954" s="6">
        <v>1.250555214937776E-12</v>
      </c>
    </row>
    <row r="955" spans="1:4">
      <c r="A955" s="6">
        <v>4786300.923226682</v>
      </c>
      <c r="B955" s="7">
        <v>-66.7182821480455</v>
      </c>
      <c r="C955" s="7">
        <v>-66.71828214804609</v>
      </c>
      <c r="D955" s="6">
        <v>-5.826450433232822E-13</v>
      </c>
    </row>
    <row r="956" spans="1:4">
      <c r="A956" s="6">
        <v>4841723.675841294</v>
      </c>
      <c r="B956" s="7">
        <v>-66.88598041806773</v>
      </c>
      <c r="C956" s="7">
        <v>-66.88598041806895</v>
      </c>
      <c r="D956" s="6">
        <v>-1.222133505507372E-12</v>
      </c>
    </row>
    <row r="957" spans="1:4">
      <c r="A957" s="6">
        <v>4897788.193684768</v>
      </c>
      <c r="B957" s="7">
        <v>-67.06199197849661</v>
      </c>
      <c r="C957" s="7">
        <v>-67.06199197849757</v>
      </c>
      <c r="D957" s="6">
        <v>-9.663381206337363E-13</v>
      </c>
    </row>
    <row r="958" spans="1:4">
      <c r="A958" s="6">
        <v>4954501.908048211</v>
      </c>
      <c r="B958" s="7">
        <v>-67.24636640067162</v>
      </c>
      <c r="C958" s="7">
        <v>-67.24636640067268</v>
      </c>
      <c r="D958" s="6">
        <v>-1.06581410364015E-12</v>
      </c>
    </row>
    <row r="959" spans="1:4">
      <c r="A959" s="6">
        <v>5011872.336273036</v>
      </c>
      <c r="B959" s="7">
        <v>-67.43916880640471</v>
      </c>
      <c r="C959" s="7">
        <v>-67.43916880640455</v>
      </c>
      <c r="D959" s="6">
        <v>1.56319401867222E-13</v>
      </c>
    </row>
    <row r="960" spans="1:4">
      <c r="A960" s="6">
        <v>5069907.082747361</v>
      </c>
      <c r="B960" s="7">
        <v>-67.64048038666589</v>
      </c>
      <c r="C960" s="7">
        <v>-67.64048038666647</v>
      </c>
      <c r="D960" s="6">
        <v>-5.826450433232822E-13</v>
      </c>
    </row>
    <row r="961" spans="1:4">
      <c r="A961" s="6">
        <v>5128613.83991397</v>
      </c>
      <c r="B961" s="7">
        <v>-67.85039902916525</v>
      </c>
      <c r="C961" s="7">
        <v>-67.85039902916591</v>
      </c>
      <c r="D961" s="6">
        <v>-6.679101716144942E-13</v>
      </c>
    </row>
    <row r="962" spans="1:4">
      <c r="A962" s="6">
        <v>5188000.389289936</v>
      </c>
      <c r="B962" s="7">
        <v>-68.06904006453779</v>
      </c>
      <c r="C962" s="7">
        <v>-68.06904006453696</v>
      </c>
      <c r="D962" s="6">
        <v>8.242295734817162E-13</v>
      </c>
    </row>
    <row r="963" spans="1:4">
      <c r="A963" s="6">
        <v>5248074.602498055</v>
      </c>
      <c r="B963" s="7">
        <v>-68.29653714287861</v>
      </c>
      <c r="C963" s="7">
        <v>-68.29653714287934</v>
      </c>
      <c r="D963" s="6">
        <v>-7.389644451905042E-13</v>
      </c>
    </row>
    <row r="964" spans="1:4">
      <c r="A964" s="6">
        <v>5308844.442310217</v>
      </c>
      <c r="B964" s="7">
        <v>-68.53304325467204</v>
      </c>
      <c r="C964" s="7">
        <v>-68.5330432546728</v>
      </c>
      <c r="D964" s="6">
        <v>-7.673861546209082E-13</v>
      </c>
    </row>
    <row r="965" spans="1:4">
      <c r="A965" s="6">
        <v>5370317.963702865</v>
      </c>
      <c r="B965" s="7">
        <v>-68.77873191279747</v>
      </c>
      <c r="C965" s="7">
        <v>-68.77873191279673</v>
      </c>
      <c r="D965" s="6">
        <v>7.389644451905042E-13</v>
      </c>
    </row>
    <row r="966" spans="1:4">
      <c r="A966" s="6">
        <v>5432503.314924674</v>
      </c>
      <c r="B966" s="7">
        <v>-69.03379851557345</v>
      </c>
      <c r="C966" s="7">
        <v>-69.03379851557344</v>
      </c>
      <c r="D966" s="6">
        <v>1.4210854715202E-14</v>
      </c>
    </row>
    <row r="967" spans="1:4">
      <c r="A967" s="6">
        <v>5495408.738576592</v>
      </c>
      <c r="B967" s="7">
        <v>-69.29846191454791</v>
      </c>
      <c r="C967" s="7">
        <v>-69.2984619145477</v>
      </c>
      <c r="D967" s="6">
        <v>2.131628207280301E-13</v>
      </c>
    </row>
    <row r="968" spans="1:4">
      <c r="A968" s="6">
        <v>5559042.572704386</v>
      </c>
      <c r="B968" s="7">
        <v>-69.5729662152563</v>
      </c>
      <c r="C968" s="7">
        <v>-69.57296621525627</v>
      </c>
      <c r="D968" s="6">
        <v>2.842170943040401E-14</v>
      </c>
    </row>
    <row r="969" spans="1:4">
      <c r="A969" s="6">
        <v>5623413.251903846</v>
      </c>
      <c r="B969" s="7">
        <v>-69.85758284471133</v>
      </c>
      <c r="C969" s="7">
        <v>-69.85758284471186</v>
      </c>
      <c r="D969" s="6">
        <v>-5.258016244624741E-13</v>
      </c>
    </row>
    <row r="970" spans="1:4">
      <c r="A970" s="6">
        <v>5688529.308438774</v>
      </c>
      <c r="B970" s="7">
        <v>-70.1526129259579</v>
      </c>
      <c r="C970" s="7">
        <v>-70.15261292595778</v>
      </c>
      <c r="D970" s="6">
        <v>1.13686837721616E-13</v>
      </c>
    </row>
    <row r="971" spans="1:4">
      <c r="A971" s="6">
        <v>5754399.373371934</v>
      </c>
      <c r="B971" s="7">
        <v>-70.45839000813518</v>
      </c>
      <c r="C971" s="7">
        <v>-70.45839000813604</v>
      </c>
      <c r="D971" s="6">
        <v>-8.526512829121202E-13</v>
      </c>
    </row>
    <row r="972" spans="1:4">
      <c r="A972" s="6">
        <v>5821032.177709083</v>
      </c>
      <c r="B972" s="7">
        <v>-70.77528321043053</v>
      </c>
      <c r="C972" s="7">
        <v>-70.77528321043121</v>
      </c>
      <c r="D972" s="6">
        <v>-6.821210263296962E-13</v>
      </c>
    </row>
    <row r="973" spans="1:4">
      <c r="A973" s="6">
        <v>5888436.553556263</v>
      </c>
      <c r="B973" s="7">
        <v>-71.10370085050074</v>
      </c>
      <c r="C973" s="7">
        <v>-71.10370085050035</v>
      </c>
      <c r="D973" s="6">
        <v>3.979039320256561E-13</v>
      </c>
    </row>
    <row r="974" spans="1:4">
      <c r="A974" s="6">
        <v>5956621.435290483</v>
      </c>
      <c r="B974" s="7">
        <v>-71.44409464321082</v>
      </c>
      <c r="C974" s="7">
        <v>-71.44409464321149</v>
      </c>
      <c r="D974" s="6">
        <v>-6.679101716144942E-13</v>
      </c>
    </row>
    <row r="975" spans="1:4">
      <c r="A975" s="6">
        <v>6025595.86074396</v>
      </c>
      <c r="B975" s="7">
        <v>-71.79696457453623</v>
      </c>
      <c r="C975" s="7">
        <v>-71.79696457453676</v>
      </c>
      <c r="D975" s="6">
        <v>-5.258016244624741E-13</v>
      </c>
    </row>
    <row r="976" spans="1:4">
      <c r="A976" s="6">
        <v>6095368.972402079</v>
      </c>
      <c r="B976" s="7">
        <v>-72.16286457939715</v>
      </c>
      <c r="C976" s="7">
        <v>-72.16286457939717</v>
      </c>
      <c r="D976" s="6">
        <v>-1.4210854715202E-14</v>
      </c>
    </row>
    <row r="977" spans="1:4">
      <c r="A977" s="6">
        <v>6165950.018615214</v>
      </c>
      <c r="B977" s="7">
        <v>-72.54240918262775</v>
      </c>
      <c r="C977" s="7">
        <v>-72.54240918262674</v>
      </c>
      <c r="D977" s="6">
        <v>1.008970684779342E-12</v>
      </c>
    </row>
    <row r="978" spans="1:4">
      <c r="A978" s="6">
        <v>6237348.35482459</v>
      </c>
      <c r="B978" s="7">
        <v>-72.93628130102842</v>
      </c>
      <c r="C978" s="7">
        <v>-72.93628130102887</v>
      </c>
      <c r="D978" s="6">
        <v>-4.547473508864641E-13</v>
      </c>
    </row>
    <row r="979" spans="1:4">
      <c r="A979" s="6">
        <v>6309573.444802335</v>
      </c>
      <c r="B979" s="7">
        <v>-73.34524145447448</v>
      </c>
      <c r="C979" s="7">
        <v>-73.34524145447473</v>
      </c>
      <c r="D979" s="6">
        <v>-2.557953848736361E-13</v>
      </c>
    </row>
    <row r="980" spans="1:4">
      <c r="A980" s="6">
        <v>6382634.861905894</v>
      </c>
      <c r="B980" s="7">
        <v>-73.77013869890958</v>
      </c>
      <c r="C980" s="7">
        <v>-73.77013869890999</v>
      </c>
      <c r="D980" s="6">
        <v>-4.121147867408581E-13</v>
      </c>
    </row>
    <row r="981" spans="1:4">
      <c r="A981" s="6">
        <v>6456542.290346968</v>
      </c>
      <c r="B981" s="7">
        <v>-74.21192367921898</v>
      </c>
      <c r="C981" s="7">
        <v>-74.21192367921991</v>
      </c>
      <c r="D981" s="6">
        <v>-9.237055564881302E-13</v>
      </c>
    </row>
    <row r="982" spans="1:4">
      <c r="A982" s="6">
        <v>6531305.526475141</v>
      </c>
      <c r="B982" s="7">
        <v>-74.67166431250391</v>
      </c>
      <c r="C982" s="7">
        <v>-74.67166431250409</v>
      </c>
      <c r="D982" s="6">
        <v>-1.84741111297626E-13</v>
      </c>
    </row>
    <row r="983" spans="1:4">
      <c r="A983" s="6">
        <v>6606934.480076384</v>
      </c>
      <c r="B983" s="7">
        <v>-75.15056476287855</v>
      </c>
      <c r="C983" s="7">
        <v>-75.15056476287897</v>
      </c>
      <c r="D983" s="6">
        <v>-4.263256414560601E-13</v>
      </c>
    </row>
    <row r="984" spans="1:4">
      <c r="A984" s="6">
        <v>6683439.175686575</v>
      </c>
      <c r="B984" s="7">
        <v>-75.64998857251399</v>
      </c>
      <c r="C984" s="7">
        <v>-75.64998857251402</v>
      </c>
      <c r="D984" s="6">
        <v>-2.842170943040401E-14</v>
      </c>
    </row>
    <row r="985" spans="1:4">
      <c r="A985" s="6">
        <v>6760829.753920252</v>
      </c>
      <c r="B985" s="7">
        <v>-76.17148709221284</v>
      </c>
      <c r="C985" s="7">
        <v>-76.1714870922131</v>
      </c>
      <c r="D985" s="6">
        <v>-2.557953848736361E-13</v>
      </c>
    </row>
    <row r="986" spans="1:4">
      <c r="A986" s="6">
        <v>6839116.472814733</v>
      </c>
      <c r="B986" s="7">
        <v>-76.71683474110648</v>
      </c>
      <c r="C986" s="7">
        <v>-76.71683474110665</v>
      </c>
      <c r="D986" s="6">
        <v>-1.70530256582424E-13</v>
      </c>
    </row>
    <row r="987" spans="1:4">
      <c r="A987" s="6">
        <v>6918309.709189811</v>
      </c>
      <c r="B987" s="7">
        <v>-77.28807316813317</v>
      </c>
      <c r="C987" s="7">
        <v>-77.2880731681331</v>
      </c>
      <c r="D987" s="6">
        <v>7.105427357601002E-14</v>
      </c>
    </row>
    <row r="988" spans="1:4">
      <c r="A988" s="6">
        <v>6998419.960023186</v>
      </c>
      <c r="B988" s="7">
        <v>-77.88756716351466</v>
      </c>
      <c r="C988" s="7">
        <v>-77.88756716351588</v>
      </c>
      <c r="D988" s="6">
        <v>-1.222133505507372E-12</v>
      </c>
    </row>
    <row r="989" spans="1:4">
      <c r="A989" s="6">
        <v>7079457.843841835</v>
      </c>
      <c r="B989" s="7">
        <v>-78.51807629468107</v>
      </c>
      <c r="C989" s="7">
        <v>-78.51807629468033</v>
      </c>
      <c r="D989" s="6">
        <v>7.389644451905042E-13</v>
      </c>
    </row>
    <row r="990" spans="1:4">
      <c r="A990" s="6">
        <v>7161434.102129482</v>
      </c>
      <c r="B990" s="7">
        <v>-79.18284790724501</v>
      </c>
      <c r="C990" s="7">
        <v>-79.18284790724546</v>
      </c>
      <c r="D990" s="6">
        <v>-4.547473508864641E-13</v>
      </c>
    </row>
    <row r="991" spans="1:4">
      <c r="A991" s="6">
        <v>7244359.600750368</v>
      </c>
      <c r="B991" s="7">
        <v>-79.88573964786144</v>
      </c>
      <c r="C991" s="7">
        <v>-79.88573964786315</v>
      </c>
      <c r="D991" s="6">
        <v>-1.70530256582424E-12</v>
      </c>
    </row>
    <row r="992" spans="1:4">
      <c r="A992" s="6">
        <v>7328245.331389515</v>
      </c>
      <c r="B992" s="7">
        <v>-80.63138355307295</v>
      </c>
      <c r="C992" s="7">
        <v>-80.63138355307225</v>
      </c>
      <c r="D992" s="6">
        <v>6.963318810448982E-13</v>
      </c>
    </row>
    <row r="993" spans="1:4">
      <c r="A993" s="6">
        <v>7413102.413009656</v>
      </c>
      <c r="B993" s="7">
        <v>-81.42540990976144</v>
      </c>
      <c r="C993" s="7">
        <v>-81.42540990976124</v>
      </c>
      <c r="D993" s="6">
        <v>1.989519660128281E-13</v>
      </c>
    </row>
    <row r="994" spans="1:4">
      <c r="A994" s="6">
        <v>7498942.093325044</v>
      </c>
      <c r="B994" s="7">
        <v>-82.2747591439628</v>
      </c>
      <c r="C994" s="7">
        <v>-82.2747591439613</v>
      </c>
      <c r="D994" s="6">
        <v>1.49213974509621E-12</v>
      </c>
    </row>
    <row r="995" spans="1:4">
      <c r="A995" s="6">
        <v>7585775.75029233</v>
      </c>
      <c r="B995" s="7">
        <v>-83.18812693688312</v>
      </c>
      <c r="C995" s="7">
        <v>-83.18812693688422</v>
      </c>
      <c r="D995" s="6">
        <v>-1.094235813070554E-12</v>
      </c>
    </row>
    <row r="996" spans="1:4">
      <c r="A996" s="6">
        <v>7673614.893618687</v>
      </c>
      <c r="B996" s="7">
        <v>-84.17661741837422</v>
      </c>
      <c r="C996" s="7">
        <v>-84.17661741837422</v>
      </c>
      <c r="D996" s="6">
        <v>0</v>
      </c>
    </row>
    <row r="997" spans="1:4">
      <c r="A997" s="6">
        <v>7762471.166287422</v>
      </c>
      <c r="B997" s="7">
        <v>-85.25473349446261</v>
      </c>
      <c r="C997" s="7">
        <v>-85.25473349446328</v>
      </c>
      <c r="D997" s="6">
        <v>-6.679101716144942E-13</v>
      </c>
    </row>
    <row r="998" spans="1:4">
      <c r="A998" s="6">
        <v>7852356.346101229</v>
      </c>
      <c r="B998" s="7">
        <v>-86.4419376749629</v>
      </c>
      <c r="C998" s="7">
        <v>-86.4419376749633</v>
      </c>
      <c r="D998" s="6">
        <v>-3.979039320256561E-13</v>
      </c>
    </row>
    <row r="999" spans="1:4">
      <c r="A999" s="6">
        <v>7943282.347243333</v>
      </c>
      <c r="B999" s="7">
        <v>-87.76523016603768</v>
      </c>
      <c r="C999" s="7">
        <v>-87.7652301660377</v>
      </c>
      <c r="D999" s="6">
        <v>-1.4210854715202E-14</v>
      </c>
    </row>
    <row r="1000" spans="1:4">
      <c r="A1000" s="6">
        <v>8035261.221856697</v>
      </c>
      <c r="B1000" s="7">
        <v>-89.26366140567127</v>
      </c>
      <c r="C1000" s="7">
        <v>-89.26366140567174</v>
      </c>
      <c r="D1000" s="6">
        <v>-4.689582056016661E-13</v>
      </c>
    </row>
    <row r="1001" spans="1:4">
      <c r="A1001" s="6">
        <v>8128305.161641523</v>
      </c>
      <c r="B1001" s="7">
        <v>-90.99683462973006</v>
      </c>
      <c r="C1001" s="7">
        <v>-90.9968346297288</v>
      </c>
      <c r="D1001" s="6">
        <v>1.264766069652978E-12</v>
      </c>
    </row>
    <row r="1002" spans="1:4">
      <c r="A1002" s="6">
        <v>8222426.499471249</v>
      </c>
      <c r="B1002" s="7">
        <v>-93.06256265703598</v>
      </c>
      <c r="C1002" s="7">
        <v>-93.06256265703649</v>
      </c>
      <c r="D1002" s="6">
        <v>-5.115907697472721E-13</v>
      </c>
    </row>
    <row r="1003" spans="1:4">
      <c r="A1003" s="6">
        <v>8317637.711027254</v>
      </c>
      <c r="B1003" s="7">
        <v>-95.63884546724381</v>
      </c>
      <c r="C1003" s="7">
        <v>-95.63884546724465</v>
      </c>
      <c r="D1003" s="6">
        <v>-8.384404281969182E-13</v>
      </c>
    </row>
    <row r="1004" spans="1:4">
      <c r="A1004" s="6">
        <v>8413951.416452501</v>
      </c>
      <c r="B1004" s="7">
        <v>-99.10628831564347</v>
      </c>
      <c r="C1004" s="7">
        <v>-99.10628831564381</v>
      </c>
      <c r="D1004" s="6">
        <v>-3.410605131648481E-13</v>
      </c>
    </row>
    <row r="1005" spans="1:4">
      <c r="A1005" s="6">
        <v>8511380.382024322</v>
      </c>
      <c r="B1005" s="7">
        <v>-104.5596652776648</v>
      </c>
      <c r="C1005" s="7">
        <v>-104.559665277664</v>
      </c>
      <c r="D1005" s="6">
        <v>7.247535904753022E-13</v>
      </c>
    </row>
    <row r="1006" spans="1:4">
      <c r="A1006" s="6">
        <v>8609937.52184657</v>
      </c>
      <c r="B1006" s="7">
        <v>-119.8147422042359</v>
      </c>
      <c r="C1006" s="7">
        <v>-119.8147422042362</v>
      </c>
      <c r="D1006" s="6">
        <v>-3.552713678800501E-13</v>
      </c>
    </row>
    <row r="1007" spans="1:4">
      <c r="A1007" s="6">
        <v>8709635.899561379</v>
      </c>
      <c r="B1007" s="7">
        <v>-108.883675255562</v>
      </c>
      <c r="C1007" s="7">
        <v>-108.8836752555628</v>
      </c>
      <c r="D1007" s="6">
        <v>-8.242295734817162E-13</v>
      </c>
    </row>
    <row r="1008" spans="1:4">
      <c r="A1008" s="6">
        <v>8810488.73008072</v>
      </c>
      <c r="B1008" s="7">
        <v>-102.0104070853782</v>
      </c>
      <c r="C1008" s="7">
        <v>-102.0104070853776</v>
      </c>
      <c r="D1008" s="6">
        <v>6.252776074688882E-13</v>
      </c>
    </row>
    <row r="1009" spans="1:4">
      <c r="A1009" s="6">
        <v>8912509.381338041</v>
      </c>
      <c r="B1009" s="7">
        <v>-98.42429394979888</v>
      </c>
      <c r="C1009" s="7">
        <v>-98.42429394979975</v>
      </c>
      <c r="D1009" s="6">
        <v>-8.668621376273222E-13</v>
      </c>
    </row>
    <row r="1010" spans="1:4">
      <c r="A1010" s="6">
        <v>9015711.376060164</v>
      </c>
      <c r="B1010" s="7">
        <v>-96.0492803453198</v>
      </c>
      <c r="C1010" s="7">
        <v>-96.04928034531987</v>
      </c>
      <c r="D1010" s="6">
        <v>-7.105427357601002E-14</v>
      </c>
    </row>
    <row r="1011" spans="1:4">
      <c r="A1011" s="6">
        <v>9120108.393559698</v>
      </c>
      <c r="B1011" s="7">
        <v>-94.31500876108102</v>
      </c>
      <c r="C1011" s="7">
        <v>-94.31500876108161</v>
      </c>
      <c r="D1011" s="6">
        <v>-5.968558980384842E-13</v>
      </c>
    </row>
    <row r="1012" spans="1:4">
      <c r="A1012" s="6">
        <v>9225714.271548241</v>
      </c>
      <c r="B1012" s="7">
        <v>-92.98149505597786</v>
      </c>
      <c r="C1012" s="7">
        <v>-92.98149505597804</v>
      </c>
      <c r="D1012" s="6">
        <v>-1.84741111297626E-13</v>
      </c>
    </row>
    <row r="1013" spans="1:4">
      <c r="A1013" s="6">
        <v>9332543.007970527</v>
      </c>
      <c r="B1013" s="7">
        <v>-91.92517889834322</v>
      </c>
      <c r="C1013" s="7">
        <v>-91.9251788983447</v>
      </c>
      <c r="D1013" s="6">
        <v>-1.477928890381008E-12</v>
      </c>
    </row>
    <row r="1014" spans="1:4">
      <c r="A1014" s="6">
        <v>9440608.762859859</v>
      </c>
      <c r="B1014" s="7">
        <v>-91.07430726540656</v>
      </c>
      <c r="C1014" s="7">
        <v>-91.07430726540635</v>
      </c>
      <c r="D1014" s="6">
        <v>2.131628207280301E-13</v>
      </c>
    </row>
    <row r="1015" spans="1:4">
      <c r="A1015" s="6">
        <v>9549925.860214991</v>
      </c>
      <c r="B1015" s="7">
        <v>-90.38378170822561</v>
      </c>
      <c r="C1015" s="7">
        <v>-90.38378170822563</v>
      </c>
      <c r="D1015" s="6">
        <v>-1.4210854715202E-14</v>
      </c>
    </row>
    <row r="1016" spans="1:4">
      <c r="A1016" s="6">
        <v>9660508.789898774</v>
      </c>
      <c r="B1016" s="7">
        <v>-89.8236823506884</v>
      </c>
      <c r="C1016" s="7">
        <v>-89.82368235068891</v>
      </c>
      <c r="D1016" s="6">
        <v>-5.115907697472721E-13</v>
      </c>
    </row>
    <row r="1017" spans="1:4">
      <c r="A1017" s="6">
        <v>9772372.209558755</v>
      </c>
      <c r="B1017" s="7">
        <v>-89.37342554002649</v>
      </c>
      <c r="C1017" s="7">
        <v>-89.3734255400271</v>
      </c>
      <c r="D1017" s="6">
        <v>-6.110667527536862E-13</v>
      </c>
    </row>
    <row r="1018" spans="1:4">
      <c r="A1018" s="6">
        <v>9885530.946570044</v>
      </c>
      <c r="B1018" s="7">
        <v>-89.01854437386064</v>
      </c>
      <c r="C1018" s="7">
        <v>-89.01854437386061</v>
      </c>
      <c r="D1018" s="6">
        <v>2.842170943040401E-14</v>
      </c>
    </row>
    <row r="1019" spans="1:4">
      <c r="A1019" s="6">
        <v>10000000.00000066</v>
      </c>
      <c r="B1019" s="7">
        <v>-88.74880998500075</v>
      </c>
      <c r="C1019" s="7">
        <v>-88.74880998500223</v>
      </c>
      <c r="D1019" s="6">
        <v>-1.477928890381008E-12</v>
      </c>
    </row>
    <row r="1020" spans="1:4">
      <c r="A1020" s="6">
        <v>10115794.54259966</v>
      </c>
      <c r="B1020" s="7">
        <v>-88.55709285600835</v>
      </c>
      <c r="C1020" s="7">
        <v>-88.55709285600733</v>
      </c>
      <c r="D1020" s="6">
        <v>1.023181539494544E-12</v>
      </c>
    </row>
    <row r="1021" spans="1:4">
      <c r="A1021" s="6">
        <v>10232929.92280822</v>
      </c>
      <c r="B1021" s="7">
        <v>-88.43866204035484</v>
      </c>
      <c r="C1021" s="7">
        <v>-88.43866204035493</v>
      </c>
      <c r="D1021" s="6">
        <v>-8.526512829121202E-14</v>
      </c>
    </row>
    <row r="1022" spans="1:4">
      <c r="A1022" s="6">
        <v>10351421.66679413</v>
      </c>
      <c r="B1022" s="7">
        <v>-88.39076309868565</v>
      </c>
      <c r="C1022" s="7">
        <v>-88.39076309868561</v>
      </c>
      <c r="D1022" s="6">
        <v>4.263256414560601E-14</v>
      </c>
    </row>
    <row r="1023" spans="1:4">
      <c r="A1023" s="6">
        <v>10471285.48050969</v>
      </c>
      <c r="B1023" s="7">
        <v>-88.41239000764446</v>
      </c>
      <c r="C1023" s="7">
        <v>-88.41239000764418</v>
      </c>
      <c r="D1023" s="6">
        <v>2.842170943040401E-13</v>
      </c>
    </row>
    <row r="1024" spans="1:4">
      <c r="A1024" s="6">
        <v>10592537.2517736</v>
      </c>
      <c r="B1024" s="7">
        <v>-88.50420928603371</v>
      </c>
      <c r="C1024" s="7">
        <v>-88.50420928603427</v>
      </c>
      <c r="D1024" s="6">
        <v>-5.542233338928781E-13</v>
      </c>
    </row>
    <row r="1025" spans="1:4">
      <c r="A1025" s="6">
        <v>10715193.05237678</v>
      </c>
      <c r="B1025" s="7">
        <v>-88.66862368825707</v>
      </c>
      <c r="C1025" s="7">
        <v>-88.66862368825686</v>
      </c>
      <c r="D1025" s="6">
        <v>2.131628207280301E-13</v>
      </c>
    </row>
    <row r="1026" spans="1:4">
      <c r="A1026" s="6">
        <v>10839269.14021276</v>
      </c>
      <c r="B1026" s="7">
        <v>-88.90998808547218</v>
      </c>
      <c r="C1026" s="7">
        <v>-88.90998808547336</v>
      </c>
      <c r="D1026" s="6">
        <v>-1.179500941361766E-12</v>
      </c>
    </row>
    <row r="1027" spans="1:4">
      <c r="A1027" s="6">
        <v>10964781.96143259</v>
      </c>
      <c r="B1027" s="7">
        <v>-89.23501974469917</v>
      </c>
      <c r="C1027" s="7">
        <v>-89.23501974469917</v>
      </c>
      <c r="D1027" s="6">
        <v>0</v>
      </c>
    </row>
    <row r="1028" spans="1:4">
      <c r="A1028" s="6">
        <v>11091748.15262475</v>
      </c>
      <c r="B1028" s="7">
        <v>-89.65348960321717</v>
      </c>
      <c r="C1028" s="7">
        <v>-89.65348960321825</v>
      </c>
      <c r="D1028" s="6">
        <v>-1.080024958355352E-12</v>
      </c>
    </row>
    <row r="1029" spans="1:4">
      <c r="A1029" s="6">
        <v>11220184.54302039</v>
      </c>
      <c r="B1029" s="7">
        <v>-90.17935919883087</v>
      </c>
      <c r="C1029" s="7">
        <v>-90.17935919883038</v>
      </c>
      <c r="D1029" s="6">
        <v>4.831690603168681E-13</v>
      </c>
    </row>
    <row r="1030" spans="1:4">
      <c r="A1030" s="6">
        <v>11350108.15672391</v>
      </c>
      <c r="B1030" s="7">
        <v>-90.83268029126602</v>
      </c>
      <c r="C1030" s="7">
        <v>-90.83268029126577</v>
      </c>
      <c r="D1030" s="6">
        <v>2.415845301584341E-13</v>
      </c>
    </row>
    <row r="1031" spans="1:4">
      <c r="A1031" s="6">
        <v>11481536.2149696</v>
      </c>
      <c r="B1031" s="7">
        <v>-91.6428986645555</v>
      </c>
      <c r="C1031" s="7">
        <v>-91.64289866455502</v>
      </c>
      <c r="D1031" s="6">
        <v>4.831690603168681E-13</v>
      </c>
    </row>
    <row r="1032" spans="1:4">
      <c r="A1032" s="6">
        <v>11614486.13840421</v>
      </c>
      <c r="B1032" s="7">
        <v>-92.65496099752369</v>
      </c>
      <c r="C1032" s="7">
        <v>-92.65496099752369</v>
      </c>
      <c r="D1032" s="6">
        <v>0</v>
      </c>
    </row>
    <row r="1033" spans="1:4">
      <c r="A1033" s="6">
        <v>11748975.54939609</v>
      </c>
      <c r="B1033" s="7">
        <v>-93.94159968068169</v>
      </c>
      <c r="C1033" s="7">
        <v>-93.94159968068202</v>
      </c>
      <c r="D1033" s="6">
        <v>-3.268496584496461E-13</v>
      </c>
    </row>
    <row r="1034" spans="1:4">
      <c r="A1034" s="6">
        <v>11885022.27437099</v>
      </c>
      <c r="B1034" s="7">
        <v>-95.63113236692911</v>
      </c>
      <c r="C1034" s="7">
        <v>-95.63113236692928</v>
      </c>
      <c r="D1034" s="6">
        <v>-1.70530256582424E-13</v>
      </c>
    </row>
    <row r="1035" spans="1:4">
      <c r="A1035" s="6">
        <v>12022644.34617494</v>
      </c>
      <c r="B1035" s="7">
        <v>-97.98218645311131</v>
      </c>
      <c r="C1035" s="7">
        <v>-97.98218645311087</v>
      </c>
      <c r="D1035" s="6">
        <v>4.405364961712621E-13</v>
      </c>
    </row>
    <row r="1036" spans="1:4">
      <c r="A1036" s="6">
        <v>12161860.0064645</v>
      </c>
      <c r="B1036" s="7">
        <v>-101.6496017984386</v>
      </c>
      <c r="C1036" s="7">
        <v>-101.6496017984394</v>
      </c>
      <c r="D1036" s="6">
        <v>-7.531752999057062E-13</v>
      </c>
    </row>
    <row r="1037" spans="1:4">
      <c r="A1037" s="6">
        <v>12302687.70812465</v>
      </c>
      <c r="B1037" s="7">
        <v>-109.4036987351828</v>
      </c>
      <c r="C1037" s="7">
        <v>-109.4036987351824</v>
      </c>
      <c r="D1037" s="6">
        <v>4.121147867408581E-13</v>
      </c>
    </row>
    <row r="1038" spans="1:4">
      <c r="A1038" s="6">
        <v>12445146.11771469</v>
      </c>
      <c r="B1038" s="7">
        <v>-112.6343253438851</v>
      </c>
      <c r="C1038" s="7">
        <v>-112.6343253438831</v>
      </c>
      <c r="D1038" s="6">
        <v>1.989519660128281E-12</v>
      </c>
    </row>
    <row r="1039" spans="1:4">
      <c r="A1039" s="6">
        <v>12589254.11794253</v>
      </c>
      <c r="B1039" s="7">
        <v>-100.0145126171989</v>
      </c>
      <c r="C1039" s="7">
        <v>-100.0145126171973</v>
      </c>
      <c r="D1039" s="6">
        <v>1.548983163957018E-12</v>
      </c>
    </row>
    <row r="1040" spans="1:4">
      <c r="A1040" s="6">
        <v>12735030.81016748</v>
      </c>
      <c r="B1040" s="7">
        <v>-90.83727511294362</v>
      </c>
      <c r="C1040" s="7">
        <v>-90.83727511294055</v>
      </c>
      <c r="D1040" s="6">
        <v>3.069544618483633E-12</v>
      </c>
    </row>
    <row r="1041" spans="1:4">
      <c r="A1041" s="6">
        <v>12882495.51693221</v>
      </c>
      <c r="B1041" s="7">
        <v>-98.40042766062837</v>
      </c>
      <c r="C1041" s="7">
        <v>-98.40042766062984</v>
      </c>
      <c r="D1041" s="6">
        <v>-1.477928890381008E-12</v>
      </c>
    </row>
    <row r="1042" spans="1:4">
      <c r="A1042" s="6">
        <v>13031667.78452388</v>
      </c>
      <c r="B1042" s="7">
        <v>-99.55112609824434</v>
      </c>
      <c r="C1042" s="7">
        <v>-99.55112609823777</v>
      </c>
      <c r="D1042" s="6">
        <v>6.565414878423326E-12</v>
      </c>
    </row>
    <row r="1043" spans="1:4">
      <c r="A1043" s="6">
        <v>13182567.38556497</v>
      </c>
      <c r="B1043" s="7">
        <v>-94.20050425674208</v>
      </c>
      <c r="C1043" s="7">
        <v>-94.20050425674182</v>
      </c>
      <c r="D1043" s="6">
        <v>2.557953848736361E-13</v>
      </c>
    </row>
    <row r="1044" spans="1:4">
      <c r="A1044" s="6">
        <v>13335214.32163415</v>
      </c>
      <c r="B1044" s="7">
        <v>-91.41055923189225</v>
      </c>
      <c r="C1044" s="7">
        <v>-91.41055923189165</v>
      </c>
      <c r="D1044" s="6">
        <v>5.968558980384842E-13</v>
      </c>
    </row>
    <row r="1045" spans="1:4">
      <c r="A1045" s="6">
        <v>13489628.82591746</v>
      </c>
      <c r="B1045" s="7">
        <v>-89.39198677948045</v>
      </c>
      <c r="C1045" s="7">
        <v>-89.39198677948002</v>
      </c>
      <c r="D1045" s="6">
        <v>4.263256414560601E-13</v>
      </c>
    </row>
    <row r="1046" spans="1:4">
      <c r="A1046" s="6">
        <v>13645831.36589018</v>
      </c>
      <c r="B1046" s="7">
        <v>-87.76096897431081</v>
      </c>
      <c r="C1046" s="7">
        <v>-87.76096897431161</v>
      </c>
      <c r="D1046" s="6">
        <v>-7.958078640513122E-13</v>
      </c>
    </row>
    <row r="1047" spans="1:4">
      <c r="A1047" s="6">
        <v>13803842.64602979</v>
      </c>
      <c r="B1047" s="7">
        <v>-86.37152624519388</v>
      </c>
      <c r="C1047" s="7">
        <v>-86.37152624519337</v>
      </c>
      <c r="D1047" s="6">
        <v>5.115907697472721E-13</v>
      </c>
    </row>
    <row r="1048" spans="1:4">
      <c r="A1048" s="6">
        <v>13963683.61056033</v>
      </c>
      <c r="B1048" s="7">
        <v>-85.15116731376298</v>
      </c>
      <c r="C1048" s="7">
        <v>-85.15116731376337</v>
      </c>
      <c r="D1048" s="6">
        <v>-3.836930773104541E-13</v>
      </c>
    </row>
    <row r="1049" spans="1:4">
      <c r="A1049" s="6">
        <v>14125375.44622851</v>
      </c>
      <c r="B1049" s="7">
        <v>-84.05784306751775</v>
      </c>
      <c r="C1049" s="7">
        <v>-84.05784306751974</v>
      </c>
      <c r="D1049" s="6">
        <v>-1.989519660128281E-12</v>
      </c>
    </row>
    <row r="1050" spans="1:4">
      <c r="A1050" s="6">
        <v>14288939.58511201</v>
      </c>
      <c r="B1050" s="7">
        <v>-83.06459218720072</v>
      </c>
      <c r="C1050" s="7">
        <v>-83.06459218720096</v>
      </c>
      <c r="D1050" s="6">
        <v>-2.415845301584341E-13</v>
      </c>
    </row>
    <row r="1051" spans="1:4">
      <c r="A1051" s="6">
        <v>14454397.70746027</v>
      </c>
      <c r="B1051" s="7">
        <v>-82.15289138740579</v>
      </c>
      <c r="C1051" s="7">
        <v>-82.15289138740799</v>
      </c>
      <c r="D1051" s="6">
        <v>-2.202682480856311E-12</v>
      </c>
    </row>
    <row r="1052" spans="1:4">
      <c r="A1052" s="6">
        <v>14621771.74456819</v>
      </c>
      <c r="B1052" s="7">
        <v>-81.30936140909722</v>
      </c>
      <c r="C1052" s="7">
        <v>-81.30936140909722</v>
      </c>
      <c r="D1052" s="6">
        <v>0</v>
      </c>
    </row>
    <row r="1053" spans="1:4">
      <c r="A1053" s="6">
        <v>14791083.88168309</v>
      </c>
      <c r="B1053" s="7">
        <v>-80.52396678577441</v>
      </c>
      <c r="C1053" s="7">
        <v>-80.5239667857745</v>
      </c>
      <c r="D1053" s="6">
        <v>-9.947598300641403E-14</v>
      </c>
    </row>
    <row r="1054" spans="1:4">
      <c r="A1054" s="6">
        <v>14962356.56094536</v>
      </c>
      <c r="B1054" s="7">
        <v>-79.78895571791494</v>
      </c>
      <c r="C1054" s="7">
        <v>-79.78895571791465</v>
      </c>
      <c r="D1054" s="6">
        <v>2.984279490192421E-13</v>
      </c>
    </row>
    <row r="1055" spans="1:4">
      <c r="A1055" s="6">
        <v>15135612.48436312</v>
      </c>
      <c r="B1055" s="7">
        <v>-79.09819826851147</v>
      </c>
      <c r="C1055" s="7">
        <v>-79.09819826851226</v>
      </c>
      <c r="D1055" s="6">
        <v>-7.958078640513122E-13</v>
      </c>
    </row>
    <row r="1056" spans="1:4">
      <c r="A1056" s="6">
        <v>15310874.61682136</v>
      </c>
      <c r="B1056" s="7">
        <v>-78.44675347179378</v>
      </c>
      <c r="C1056" s="7">
        <v>-78.44675347179506</v>
      </c>
      <c r="D1056" s="6">
        <v>-1.27897692436818E-12</v>
      </c>
    </row>
    <row r="1057" spans="1:4">
      <c r="A1057" s="6">
        <v>15488166.18912588</v>
      </c>
      <c r="B1057" s="7">
        <v>-77.83057518064771</v>
      </c>
      <c r="C1057" s="7">
        <v>-77.83057518064763</v>
      </c>
      <c r="D1057" s="6">
        <v>8.526512829121202E-14</v>
      </c>
    </row>
    <row r="1058" spans="1:4">
      <c r="A1058" s="6">
        <v>15667510.70108257</v>
      </c>
      <c r="B1058" s="7">
        <v>-77.24630576861669</v>
      </c>
      <c r="C1058" s="7">
        <v>-77.24630576861627</v>
      </c>
      <c r="D1058" s="6">
        <v>4.263256414560601E-13</v>
      </c>
    </row>
    <row r="1059" spans="1:4">
      <c r="A1059" s="6">
        <v>15848931.92461223</v>
      </c>
      <c r="B1059" s="7">
        <v>-76.69112754486807</v>
      </c>
      <c r="C1059" s="7">
        <v>-76.69112754486763</v>
      </c>
      <c r="D1059" s="6">
        <v>4.405364961712621E-13</v>
      </c>
    </row>
    <row r="1060" spans="1:4">
      <c r="A1060" s="6">
        <v>16032453.90690152</v>
      </c>
      <c r="B1060" s="7">
        <v>-76.16265328132108</v>
      </c>
      <c r="C1060" s="7">
        <v>-76.16265328132098</v>
      </c>
      <c r="D1060" s="6">
        <v>9.947598300641403E-14</v>
      </c>
    </row>
    <row r="1061" spans="1:4">
      <c r="A1061" s="6">
        <v>16218100.97359042</v>
      </c>
      <c r="B1061" s="7">
        <v>-75.65884396509739</v>
      </c>
      <c r="C1061" s="7">
        <v>-75.6588439650981</v>
      </c>
      <c r="D1061" s="6">
        <v>-7.105427357601002E-13</v>
      </c>
    </row>
    <row r="1062" spans="1:4">
      <c r="A1062" s="6">
        <v>16405897.73199653</v>
      </c>
      <c r="B1062" s="7">
        <v>-75.17794594769693</v>
      </c>
      <c r="C1062" s="7">
        <v>-75.17794594769757</v>
      </c>
      <c r="D1062" s="6">
        <v>-6.394884621840902E-13</v>
      </c>
    </row>
    <row r="1063" spans="1:4">
      <c r="A1063" s="6">
        <v>16595869.07437676</v>
      </c>
      <c r="B1063" s="7">
        <v>-74.71844219812735</v>
      </c>
      <c r="C1063" s="7">
        <v>-74.71844219812765</v>
      </c>
      <c r="D1063" s="6">
        <v>-2.984279490192421E-13</v>
      </c>
    </row>
    <row r="1064" spans="1:4">
      <c r="A1064" s="6">
        <v>16788040.18122677</v>
      </c>
      <c r="B1064" s="7">
        <v>-74.2790139984286</v>
      </c>
      <c r="C1064" s="7">
        <v>-74.2790139984302</v>
      </c>
      <c r="D1064" s="6">
        <v>-1.605826582817826E-12</v>
      </c>
    </row>
    <row r="1065" spans="1:4">
      <c r="A1065" s="6">
        <v>16982436.52461862</v>
      </c>
      <c r="B1065" s="7">
        <v>-73.85851049652493</v>
      </c>
      <c r="C1065" s="7">
        <v>-73.85851049652524</v>
      </c>
      <c r="D1065" s="6">
        <v>-3.126388037344441E-13</v>
      </c>
    </row>
    <row r="1066" spans="1:4">
      <c r="A1066" s="6">
        <v>17179083.87157708</v>
      </c>
      <c r="B1066" s="7">
        <v>-73.45592425806925</v>
      </c>
      <c r="C1066" s="7">
        <v>-73.45592425806905</v>
      </c>
      <c r="D1066" s="6">
        <v>1.989519660128281E-13</v>
      </c>
    </row>
    <row r="1067" spans="1:4">
      <c r="A1067" s="6">
        <v>17378008.28749496</v>
      </c>
      <c r="B1067" s="7">
        <v>-73.07037145975143</v>
      </c>
      <c r="C1067" s="7">
        <v>-73.07037145975247</v>
      </c>
      <c r="D1067" s="6">
        <v>-1.037392394209746E-12</v>
      </c>
    </row>
    <row r="1068" spans="1:4">
      <c r="A1068" s="6">
        <v>17579236.13958815</v>
      </c>
      <c r="B1068" s="7">
        <v>-72.70107571784597</v>
      </c>
      <c r="C1068" s="7">
        <v>-72.70107571784781</v>
      </c>
      <c r="D1068" s="6">
        <v>-1.84741111297626E-12</v>
      </c>
    </row>
    <row r="1069" spans="1:4">
      <c r="A1069" s="6">
        <v>17782794.10039047</v>
      </c>
      <c r="B1069" s="7">
        <v>-72.34735479651833</v>
      </c>
      <c r="C1069" s="7">
        <v>-72.34735479651731</v>
      </c>
      <c r="D1069" s="6">
        <v>1.023181539494544E-12</v>
      </c>
    </row>
    <row r="1070" spans="1:4">
      <c r="A1070" s="6">
        <v>17988709.15128914</v>
      </c>
      <c r="B1070" s="7">
        <v>-72.00860962200905</v>
      </c>
      <c r="C1070" s="7">
        <v>-72.00860962200798</v>
      </c>
      <c r="D1070" s="6">
        <v>1.06581410364015E-12</v>
      </c>
    </row>
    <row r="1071" spans="1:4">
      <c r="A1071" s="6">
        <v>18197008.58610111</v>
      </c>
      <c r="B1071" s="7">
        <v>-71.68431516226853</v>
      </c>
      <c r="C1071" s="7">
        <v>-71.68431516226843</v>
      </c>
      <c r="D1071" s="6">
        <v>9.947598300641403E-14</v>
      </c>
    </row>
    <row r="1072" spans="1:4">
      <c r="A1072" s="6">
        <v>18407720.01469085</v>
      </c>
      <c r="B1072" s="7">
        <v>-71.3740128308107</v>
      </c>
      <c r="C1072" s="7">
        <v>-71.37401283081103</v>
      </c>
      <c r="D1072" s="6">
        <v>-3.268496584496461E-13</v>
      </c>
    </row>
    <row r="1073" spans="1:4">
      <c r="A1073" s="6">
        <v>18620871.36662998</v>
      </c>
      <c r="B1073" s="7">
        <v>-71.07730414844292</v>
      </c>
      <c r="C1073" s="7">
        <v>-71.07730414844333</v>
      </c>
      <c r="D1073" s="6">
        <v>-4.121147867408581E-13</v>
      </c>
    </row>
    <row r="1074" spans="1:4">
      <c r="A1074" s="6">
        <v>18836490.89489932</v>
      </c>
      <c r="B1074" s="7">
        <v>-70.79384545351525</v>
      </c>
      <c r="C1074" s="7">
        <v>-70.79384545351415</v>
      </c>
      <c r="D1074" s="6">
        <v>1.094235813070554E-12</v>
      </c>
    </row>
    <row r="1075" spans="1:4">
      <c r="A1075" s="6">
        <v>19054607.17963381</v>
      </c>
      <c r="B1075" s="7">
        <v>-70.52334349528361</v>
      </c>
      <c r="C1075" s="7">
        <v>-70.52334349528351</v>
      </c>
      <c r="D1075" s="6">
        <v>9.947598300641403E-14</v>
      </c>
    </row>
    <row r="1076" spans="1:4">
      <c r="A1076" s="6">
        <v>19275249.13191072</v>
      </c>
      <c r="B1076" s="7">
        <v>-70.26555177931775</v>
      </c>
      <c r="C1076" s="7">
        <v>-70.26555177931871</v>
      </c>
      <c r="D1076" s="6">
        <v>-9.663381206337363E-13</v>
      </c>
    </row>
    <row r="1077" spans="1:4">
      <c r="A1077" s="6">
        <v>19498445.99758182</v>
      </c>
      <c r="B1077" s="7">
        <v>-70.02026756088343</v>
      </c>
      <c r="C1077" s="7">
        <v>-70.02026756088418</v>
      </c>
      <c r="D1077" s="6">
        <v>-7.531752999057062E-13</v>
      </c>
    </row>
    <row r="1078" spans="1:4">
      <c r="A1078" s="6">
        <v>19724227.36114993</v>
      </c>
      <c r="B1078" s="7">
        <v>-69.78732940393184</v>
      </c>
      <c r="C1078" s="7">
        <v>-69.78732940393144</v>
      </c>
      <c r="D1078" s="6">
        <v>3.979039320256561E-13</v>
      </c>
    </row>
    <row r="1079" spans="1:4">
      <c r="A1079" s="6">
        <v>19952623.1496902</v>
      </c>
      <c r="B1079" s="7">
        <v>-69.56661524084015</v>
      </c>
      <c r="C1079" s="7">
        <v>-69.56661524084046</v>
      </c>
      <c r="D1079" s="6">
        <v>-3.126388037344441E-13</v>
      </c>
    </row>
    <row r="1080" spans="1:4">
      <c r="A1080" s="6">
        <v>20183663.63681703</v>
      </c>
      <c r="B1080" s="7">
        <v>-69.35804088252738</v>
      </c>
      <c r="C1080" s="7">
        <v>-69.35804088252611</v>
      </c>
      <c r="D1080" s="6">
        <v>1.264766069652978E-12</v>
      </c>
    </row>
    <row r="1081" spans="1:4">
      <c r="A1081" s="6">
        <v>20417379.44669674</v>
      </c>
      <c r="B1081" s="7">
        <v>-69.16155894067167</v>
      </c>
      <c r="C1081" s="7">
        <v>-69.16155894067315</v>
      </c>
      <c r="D1081" s="6">
        <v>-1.477928890381008E-12</v>
      </c>
    </row>
    <row r="1082" spans="1:4">
      <c r="A1082" s="6">
        <v>20653801.55810675</v>
      </c>
      <c r="B1082" s="7">
        <v>-68.97715813431022</v>
      </c>
      <c r="C1082" s="7">
        <v>-68.9771581343106</v>
      </c>
      <c r="D1082" s="6">
        <v>-3.836930773104541E-13</v>
      </c>
    </row>
    <row r="1083" spans="1:4">
      <c r="A1083" s="6">
        <v>20892961.30854188</v>
      </c>
      <c r="B1083" s="7">
        <v>-68.80486296216283</v>
      </c>
      <c r="C1083" s="7">
        <v>-68.80486296216179</v>
      </c>
      <c r="D1083" s="6">
        <v>1.037392394209746E-12</v>
      </c>
    </row>
    <row r="1084" spans="1:4">
      <c r="A1084" s="6">
        <v>21134890.39836796</v>
      </c>
      <c r="B1084" s="7">
        <v>-68.64473373061885</v>
      </c>
      <c r="C1084" s="7">
        <v>-68.64473373061833</v>
      </c>
      <c r="D1084" s="6">
        <v>5.258016244624741E-13</v>
      </c>
    </row>
    <row r="1085" spans="1:4">
      <c r="A1085" s="6">
        <v>21379620.89502384</v>
      </c>
      <c r="B1085" s="7">
        <v>-68.49686693512787</v>
      </c>
      <c r="C1085" s="7">
        <v>-68.49686693512916</v>
      </c>
      <c r="D1085" s="6">
        <v>-1.293187779083382E-12</v>
      </c>
    </row>
    <row r="1086" spans="1:4">
      <c r="A1086" s="6">
        <v>21627185.23727174</v>
      </c>
      <c r="B1086" s="7">
        <v>-68.36139600058954</v>
      </c>
      <c r="C1086" s="7">
        <v>-68.36139600059062</v>
      </c>
      <c r="D1086" s="6">
        <v>-1.080024958355352E-12</v>
      </c>
    </row>
    <row r="1087" spans="1:4">
      <c r="A1087" s="6">
        <v>21877616.23949708</v>
      </c>
      <c r="B1087" s="7">
        <v>-68.23849239426872</v>
      </c>
      <c r="C1087" s="7">
        <v>-68.23849239426876</v>
      </c>
      <c r="D1087" s="6">
        <v>-4.263256414560601E-14</v>
      </c>
    </row>
    <row r="1088" spans="1:4">
      <c r="A1088" s="6">
        <v>22130947.09605795</v>
      </c>
      <c r="B1088" s="7">
        <v>-68.12836713320209</v>
      </c>
      <c r="C1088" s="7">
        <v>-68.12836713320222</v>
      </c>
      <c r="D1088" s="6">
        <v>-1.27897692436818E-13</v>
      </c>
    </row>
    <row r="1089" spans="1:4">
      <c r="A1089" s="6">
        <v>22387211.38568499</v>
      </c>
      <c r="B1089" s="7">
        <v>-68.03127271724838</v>
      </c>
      <c r="C1089" s="7">
        <v>-68.03127271724991</v>
      </c>
      <c r="D1089" s="6">
        <v>-1.520561454526614E-12</v>
      </c>
    </row>
    <row r="1090" spans="1:4">
      <c r="A1090" s="6">
        <v>22646443.07593221</v>
      </c>
      <c r="B1090" s="7">
        <v>-67.94750552935731</v>
      </c>
      <c r="C1090" s="7">
        <v>-67.94750552935747</v>
      </c>
      <c r="D1090" s="6">
        <v>-1.56319401867222E-13</v>
      </c>
    </row>
    <row r="1091" spans="1:4">
      <c r="A1091" s="6">
        <v>22908676.52767936</v>
      </c>
      <c r="B1091" s="7">
        <v>-67.87740875667129</v>
      </c>
      <c r="C1091" s="7">
        <v>-67.87740875667122</v>
      </c>
      <c r="D1091" s="6">
        <v>7.105427357601002E-14</v>
      </c>
    </row>
    <row r="1092" spans="1:4">
      <c r="A1092" s="6">
        <v>23173946.49968644</v>
      </c>
      <c r="B1092" s="7">
        <v>-67.82137590039389</v>
      </c>
      <c r="C1092" s="7">
        <v>-67.82137590039298</v>
      </c>
      <c r="D1092" s="6">
        <v>9.094947017729282E-13</v>
      </c>
    </row>
    <row r="1093" spans="1:4">
      <c r="A1093" s="6">
        <v>23442288.15320089</v>
      </c>
      <c r="B1093" s="7">
        <v>-67.77985495945323</v>
      </c>
      <c r="C1093" s="7">
        <v>-67.77985495945256</v>
      </c>
      <c r="D1093" s="6">
        <v>6.679101716144942E-13</v>
      </c>
    </row>
    <row r="1094" spans="1:4">
      <c r="A1094" s="6">
        <v>23713737.05661825</v>
      </c>
      <c r="B1094" s="7">
        <v>-67.75335339408427</v>
      </c>
      <c r="C1094" s="7">
        <v>-67.75335339408383</v>
      </c>
      <c r="D1094" s="6">
        <v>4.405364961712621E-13</v>
      </c>
    </row>
    <row r="1095" spans="1:4">
      <c r="A1095" s="6">
        <v>23988329.19019662</v>
      </c>
      <c r="B1095" s="7">
        <v>-67.74244400141748</v>
      </c>
      <c r="C1095" s="7">
        <v>-67.74244400141633</v>
      </c>
      <c r="D1095" s="6">
        <v>1.151079231931362E-12</v>
      </c>
    </row>
    <row r="1096" spans="1:4">
      <c r="A1096" s="6">
        <v>24266100.95082589</v>
      </c>
      <c r="B1096" s="7">
        <v>-67.74777186780553</v>
      </c>
      <c r="C1096" s="7">
        <v>-67.7477718678049</v>
      </c>
      <c r="D1096" s="6">
        <v>6.252776074688882E-13</v>
      </c>
    </row>
    <row r="1097" spans="1:4">
      <c r="A1097" s="6">
        <v>24547089.15685206</v>
      </c>
      <c r="B1097" s="7">
        <v>-67.77006260392155</v>
      </c>
      <c r="C1097" s="7">
        <v>-67.77006260392136</v>
      </c>
      <c r="D1097" s="6">
        <v>1.84741111297626E-13</v>
      </c>
    </row>
    <row r="1098" spans="1:4">
      <c r="A1098" s="6">
        <v>24831331.05295748</v>
      </c>
      <c r="B1098" s="7">
        <v>-67.81013212147604</v>
      </c>
      <c r="C1098" s="7">
        <v>-67.81013212147575</v>
      </c>
      <c r="D1098" s="6">
        <v>2.984279490192421E-13</v>
      </c>
    </row>
    <row r="1099" spans="1:4">
      <c r="A1099" s="6">
        <v>25118864.3150976</v>
      </c>
      <c r="B1099" s="7">
        <v>-67.86889827872527</v>
      </c>
      <c r="C1099" s="7">
        <v>-67.86889827872405</v>
      </c>
      <c r="D1099" s="6">
        <v>1.222133505507372E-12</v>
      </c>
    </row>
    <row r="1100" spans="1:4">
      <c r="A1100" s="6">
        <v>25409727.05549487</v>
      </c>
      <c r="B1100" s="7">
        <v>-67.9473948110717</v>
      </c>
      <c r="C1100" s="7">
        <v>-67.94739481107078</v>
      </c>
      <c r="D1100" s="6">
        <v>9.237055564881302E-13</v>
      </c>
    </row>
    <row r="1101" spans="1:4">
      <c r="A1101" s="6">
        <v>25703957.82769049</v>
      </c>
      <c r="B1101" s="7">
        <v>-68.04678808067987</v>
      </c>
      <c r="C1101" s="7">
        <v>-68.0467880806802</v>
      </c>
      <c r="D1101" s="6">
        <v>-3.268496584496461E-13</v>
      </c>
    </row>
    <row r="1102" spans="1:4">
      <c r="A1102" s="6">
        <v>26001595.63165459</v>
      </c>
      <c r="B1102" s="7">
        <v>-68.16839733585464</v>
      </c>
      <c r="C1102" s="7">
        <v>-68.16839733585434</v>
      </c>
      <c r="D1102" s="6">
        <v>2.984279490192421E-13</v>
      </c>
    </row>
    <row r="1103" spans="1:4">
      <c r="A1103" s="6">
        <v>26302679.91895571</v>
      </c>
      <c r="B1103" s="7">
        <v>-68.31371938253702</v>
      </c>
      <c r="C1103" s="7">
        <v>-68.31371938253787</v>
      </c>
      <c r="D1103" s="6">
        <v>-8.526512829121202E-13</v>
      </c>
    </row>
    <row r="1104" spans="1:4">
      <c r="A1104" s="6">
        <v>26607250.59799001</v>
      </c>
      <c r="B1104" s="7">
        <v>-68.48445885933239</v>
      </c>
      <c r="C1104" s="7">
        <v>-68.48445885933302</v>
      </c>
      <c r="D1104" s="6">
        <v>-6.252776074688882E-13</v>
      </c>
    </row>
    <row r="1105" spans="1:4">
      <c r="A1105" s="6">
        <v>26915348.0392711</v>
      </c>
      <c r="B1105" s="7">
        <v>-68.68256570743382</v>
      </c>
      <c r="C1105" s="7">
        <v>-68.68256570743404</v>
      </c>
      <c r="D1105" s="6">
        <v>-2.131628207280301E-13</v>
      </c>
    </row>
    <row r="1106" spans="1:4">
      <c r="A1106" s="6">
        <v>27227013.08078109</v>
      </c>
      <c r="B1106" s="7">
        <v>-68.91028198854954</v>
      </c>
      <c r="C1106" s="7">
        <v>-68.91028198855112</v>
      </c>
      <c r="D1106" s="6">
        <v>-1.577404873387422E-12</v>
      </c>
    </row>
    <row r="1107" spans="1:4">
      <c r="A1107" s="6">
        <v>27542287.03338366</v>
      </c>
      <c r="B1107" s="7">
        <v>-69.1702010048659</v>
      </c>
      <c r="C1107" s="7">
        <v>-69.17020100486636</v>
      </c>
      <c r="D1107" s="6">
        <v>-4.547473508864641E-13</v>
      </c>
    </row>
    <row r="1108" spans="1:4">
      <c r="A1108" s="6">
        <v>27861211.68629972</v>
      </c>
      <c r="B1108" s="7">
        <v>-69.4653428369158</v>
      </c>
      <c r="C1108" s="7">
        <v>-69.46534283691891</v>
      </c>
      <c r="D1108" s="6">
        <v>-3.112177182629239E-12</v>
      </c>
    </row>
    <row r="1109" spans="1:4">
      <c r="A1109" s="6">
        <v>28183829.31264658</v>
      </c>
      <c r="B1109" s="7">
        <v>-69.79925213243216</v>
      </c>
      <c r="C1109" s="7">
        <v>-69.79925213243217</v>
      </c>
      <c r="D1109" s="6">
        <v>-1.4210854715202E-14</v>
      </c>
    </row>
    <row r="1110" spans="1:4">
      <c r="A1110" s="6">
        <v>28510182.67504116</v>
      </c>
      <c r="B1110" s="7">
        <v>-70.17612656972136</v>
      </c>
      <c r="C1110" s="7">
        <v>-70.17612656972051</v>
      </c>
      <c r="D1110" s="6">
        <v>8.526512829121202E-13</v>
      </c>
    </row>
    <row r="1111" spans="1:4">
      <c r="A1111" s="6">
        <v>28840315.03126815</v>
      </c>
      <c r="B1111" s="7">
        <v>-70.60098841834271</v>
      </c>
      <c r="C1111" s="7">
        <v>-70.60098841834444</v>
      </c>
      <c r="D1111" s="6">
        <v>-1.733724275254644E-12</v>
      </c>
    </row>
    <row r="1112" spans="1:4">
      <c r="A1112" s="6">
        <v>29174270.14001378</v>
      </c>
      <c r="B1112" s="7">
        <v>-71.07991795277189</v>
      </c>
      <c r="C1112" s="7">
        <v>-71.07991795277512</v>
      </c>
      <c r="D1112" s="6">
        <v>-3.225864020350855E-12</v>
      </c>
    </row>
    <row r="1113" spans="1:4">
      <c r="A1113" s="6">
        <v>29512092.266666</v>
      </c>
      <c r="B1113" s="7">
        <v>-71.62037779715799</v>
      </c>
      <c r="C1113" s="7">
        <v>-71.62037779716131</v>
      </c>
      <c r="D1113" s="6">
        <v>-3.325340003357269E-12</v>
      </c>
    </row>
    <row r="1114" spans="1:4">
      <c r="A1114" s="6">
        <v>29853826.18918177</v>
      </c>
      <c r="B1114" s="7">
        <v>-72.2316746619238</v>
      </c>
      <c r="C1114" s="7">
        <v>-72.23167466192106</v>
      </c>
      <c r="D1114" s="6">
        <v>2.742694960033987E-12</v>
      </c>
    </row>
    <row r="1115" spans="1:4">
      <c r="A1115" s="6">
        <v>30199517.20402236</v>
      </c>
      <c r="B1115" s="7">
        <v>-72.92563531895289</v>
      </c>
      <c r="C1115" s="7">
        <v>-72.92563531895237</v>
      </c>
      <c r="D1115" s="6">
        <v>5.115907697472721E-13</v>
      </c>
    </row>
    <row r="1116" spans="1:4">
      <c r="A1116" s="6">
        <v>30549211.13215736</v>
      </c>
      <c r="B1116" s="7">
        <v>-73.71762912368615</v>
      </c>
      <c r="C1116" s="7">
        <v>-73.71762912368736</v>
      </c>
      <c r="D1116" s="6">
        <v>-1.20792265079217E-12</v>
      </c>
    </row>
    <row r="1117" spans="1:4">
      <c r="A1117" s="6">
        <v>30902954.32513816</v>
      </c>
      <c r="B1117" s="7">
        <v>-74.62817587163228</v>
      </c>
      <c r="C1117" s="7">
        <v>-74.62817587163559</v>
      </c>
      <c r="D1117" s="6">
        <v>-3.311129148642067E-12</v>
      </c>
    </row>
    <row r="1118" spans="1:4">
      <c r="A1118" s="6">
        <v>31260793.67124183</v>
      </c>
      <c r="B1118" s="7">
        <v>-75.68559485881538</v>
      </c>
      <c r="C1118" s="7">
        <v>-75.68559485881079</v>
      </c>
      <c r="D1118" s="6">
        <v>4.590106073010247E-12</v>
      </c>
    </row>
    <row r="1119" spans="1:4">
      <c r="A1119" s="6">
        <v>31622776.60168611</v>
      </c>
      <c r="B1119" s="7">
        <v>-76.93062691498993</v>
      </c>
      <c r="C1119" s="7">
        <v>-76.93062691499028</v>
      </c>
      <c r="D1119" s="6">
        <v>-3.552713678800501E-13</v>
      </c>
    </row>
    <row r="1120" spans="1:4">
      <c r="A1120" s="6">
        <v>31988951.09691632</v>
      </c>
      <c r="B1120" s="7">
        <v>-78.42510239271196</v>
      </c>
      <c r="C1120" s="7">
        <v>-78.42510239271225</v>
      </c>
      <c r="D1120" s="6">
        <v>-2.842170943040401E-13</v>
      </c>
    </row>
    <row r="1121" spans="1:4">
      <c r="A1121" s="6">
        <v>32359365.6929652</v>
      </c>
      <c r="B1121" s="7">
        <v>-80.2697947515077</v>
      </c>
      <c r="C1121" s="7">
        <v>-80.26979475150809</v>
      </c>
      <c r="D1121" s="6">
        <v>-3.836930773104541E-13</v>
      </c>
    </row>
    <row r="1122" spans="1:4">
      <c r="A1122" s="6">
        <v>32734069.48788622</v>
      </c>
      <c r="B1122" s="7">
        <v>-82.64616725204596</v>
      </c>
      <c r="C1122" s="7">
        <v>-82.64616725204533</v>
      </c>
      <c r="D1122" s="6">
        <v>6.252776074688882E-13</v>
      </c>
    </row>
    <row r="1123" spans="1:4">
      <c r="A1123" s="6">
        <v>33113112.14826154</v>
      </c>
      <c r="B1123" s="7">
        <v>-85.93326323613796</v>
      </c>
      <c r="C1123" s="7">
        <v>-85.93326323613985</v>
      </c>
      <c r="D1123" s="6">
        <v>-1.890043677121866E-12</v>
      </c>
    </row>
    <row r="1124" spans="1:4">
      <c r="A1124" s="6">
        <v>33496543.91578523</v>
      </c>
      <c r="B1124" s="7">
        <v>-91.13076754179446</v>
      </c>
      <c r="C1124" s="7">
        <v>-91.13076754179018</v>
      </c>
      <c r="D1124" s="6">
        <v>4.277467269275803E-12</v>
      </c>
    </row>
    <row r="1125" spans="1:4">
      <c r="A1125" s="6">
        <v>33884415.61392274</v>
      </c>
      <c r="B1125" s="7">
        <v>-100.1655144732573</v>
      </c>
      <c r="C1125" s="7">
        <v>-100.1655144732598</v>
      </c>
      <c r="D1125" s="6">
        <v>-2.458477865729947E-12</v>
      </c>
    </row>
    <row r="1126" spans="1:4">
      <c r="A1126" s="6">
        <v>34276778.65464756</v>
      </c>
      <c r="B1126" s="7">
        <v>-93.12134147579943</v>
      </c>
      <c r="C1126" s="7">
        <v>-93.12134147580088</v>
      </c>
      <c r="D1126" s="6">
        <v>-1.449507180950604E-12</v>
      </c>
    </row>
    <row r="1127" spans="1:4">
      <c r="A1127" s="6">
        <v>34673685.04525571</v>
      </c>
      <c r="B1127" s="7">
        <v>-87.30357295752</v>
      </c>
      <c r="C1127" s="7">
        <v>-87.30357295752468</v>
      </c>
      <c r="D1127" s="6">
        <v>-4.675371201301459E-12</v>
      </c>
    </row>
    <row r="1128" spans="1:4">
      <c r="A1128" s="6">
        <v>35075187.39525938</v>
      </c>
      <c r="B1128" s="7">
        <v>-83.8884076027734</v>
      </c>
      <c r="C1128" s="7">
        <v>-83.88840760277402</v>
      </c>
      <c r="D1128" s="6">
        <v>-6.252776074688882E-13</v>
      </c>
    </row>
    <row r="1129" spans="1:4">
      <c r="A1129" s="6">
        <v>35481338.92336016</v>
      </c>
      <c r="B1129" s="7">
        <v>-81.56222133696913</v>
      </c>
      <c r="C1129" s="7">
        <v>-81.56222133697547</v>
      </c>
      <c r="D1129" s="6">
        <v>-6.338041202980094E-12</v>
      </c>
    </row>
    <row r="1130" spans="1:4">
      <c r="A1130" s="6">
        <v>35892193.46450317</v>
      </c>
      <c r="B1130" s="7">
        <v>-79.86674568709705</v>
      </c>
      <c r="C1130" s="7">
        <v>-79.86674568709437</v>
      </c>
      <c r="D1130" s="6">
        <v>2.685851541173179E-12</v>
      </c>
    </row>
    <row r="1131" spans="1:4">
      <c r="A1131" s="6">
        <v>36307805.47701281</v>
      </c>
      <c r="B1131" s="7">
        <v>-78.59969927090529</v>
      </c>
      <c r="C1131" s="7">
        <v>-78.59969927090125</v>
      </c>
      <c r="D1131" s="6">
        <v>4.035882739117369E-12</v>
      </c>
    </row>
    <row r="1132" spans="1:4">
      <c r="A1132" s="6">
        <v>36728230.04981118</v>
      </c>
      <c r="B1132" s="7">
        <v>-77.65991382007302</v>
      </c>
      <c r="C1132" s="7">
        <v>-77.65991382007809</v>
      </c>
      <c r="D1132" s="6">
        <v>-5.073275133327115E-12</v>
      </c>
    </row>
    <row r="1133" spans="1:4">
      <c r="A1133" s="6">
        <v>37153522.90972</v>
      </c>
      <c r="B1133" s="7">
        <v>-76.99596799464162</v>
      </c>
      <c r="C1133" s="7">
        <v>-76.99596799464118</v>
      </c>
      <c r="D1133" s="6">
        <v>4.405364961712621E-13</v>
      </c>
    </row>
    <row r="1134" spans="1:4">
      <c r="A1134" s="6">
        <v>37583740.4288472</v>
      </c>
      <c r="B1134" s="7">
        <v>-76.58650687489028</v>
      </c>
      <c r="C1134" s="7">
        <v>-76.58650687489248</v>
      </c>
      <c r="D1134" s="6">
        <v>-2.202682480856311E-12</v>
      </c>
    </row>
    <row r="1135" spans="1:4">
      <c r="A1135" s="6">
        <v>38018939.63205894</v>
      </c>
      <c r="B1135" s="7">
        <v>-76.43334116617396</v>
      </c>
      <c r="C1135" s="7">
        <v>-76.43334116618342</v>
      </c>
      <c r="D1135" s="6">
        <v>-9.464429240324534E-12</v>
      </c>
    </row>
    <row r="1136" spans="1:4">
      <c r="A1136" s="6">
        <v>38459178.20453821</v>
      </c>
      <c r="B1136" s="7">
        <v>-76.56210079420947</v>
      </c>
      <c r="C1136" s="7">
        <v>-76.56210079421805</v>
      </c>
      <c r="D1136" s="6">
        <v>-8.58335624798201E-12</v>
      </c>
    </row>
    <row r="1137" spans="1:4">
      <c r="A1137" s="6">
        <v>38904514.49943095</v>
      </c>
      <c r="B1137" s="7">
        <v>-77.0309795633183</v>
      </c>
      <c r="C1137" s="7">
        <v>-77.03097956332778</v>
      </c>
      <c r="D1137" s="6">
        <v>-9.478640095039736E-12</v>
      </c>
    </row>
    <row r="1138" spans="1:4">
      <c r="A1138" s="6">
        <v>39355007.54558068</v>
      </c>
      <c r="B1138" s="7">
        <v>-77.9547453540342</v>
      </c>
      <c r="C1138" s="7">
        <v>-77.95474535403351</v>
      </c>
      <c r="D1138" s="6">
        <v>6.963318810448982E-13</v>
      </c>
    </row>
    <row r="1139" spans="1:4">
      <c r="A1139" s="6">
        <v>39810717.05535269</v>
      </c>
      <c r="B1139" s="7">
        <v>-79.57024456135305</v>
      </c>
      <c r="C1139" s="7">
        <v>-79.5702445613571</v>
      </c>
      <c r="D1139" s="6">
        <v>-4.050093593832571E-12</v>
      </c>
    </row>
    <row r="1140" spans="1:4">
      <c r="A1140" s="6">
        <v>40271703.43254891</v>
      </c>
      <c r="B1140" s="7">
        <v>-82.45839755934318</v>
      </c>
      <c r="C1140" s="7">
        <v>-82.45839755932509</v>
      </c>
      <c r="D1140" s="6">
        <v>1.809041805245215E-11</v>
      </c>
    </row>
    <row r="1141" spans="1:4">
      <c r="A1141" s="6">
        <v>40738027.78041431</v>
      </c>
      <c r="B1141" s="7">
        <v>-88.79614673136906</v>
      </c>
      <c r="C1141" s="7">
        <v>-88.79614673134456</v>
      </c>
      <c r="D1141" s="6">
        <v>2.449951352900825E-11</v>
      </c>
    </row>
    <row r="1142" spans="1:4">
      <c r="A1142" s="6">
        <v>41209751.9097361</v>
      </c>
      <c r="B1142" s="7">
        <v>-97.61051814958805</v>
      </c>
      <c r="C1142" s="7">
        <v>-97.61051814956014</v>
      </c>
      <c r="D1142" s="6">
        <v>2.791011866065674E-11</v>
      </c>
    </row>
    <row r="1143" spans="1:4">
      <c r="A1143" s="6">
        <v>41686938.34703665</v>
      </c>
      <c r="B1143" s="7">
        <v>-82.57172896005085</v>
      </c>
      <c r="C1143" s="7">
        <v>-82.57172896005331</v>
      </c>
      <c r="D1143" s="6">
        <v>-2.458477865729947E-12</v>
      </c>
    </row>
    <row r="1144" spans="1:4">
      <c r="A1144" s="6">
        <v>42169650.34286138</v>
      </c>
      <c r="B1144" s="7">
        <v>-76.55488136445213</v>
      </c>
      <c r="C1144" s="7">
        <v>-76.55488136444237</v>
      </c>
      <c r="D1144" s="6">
        <v>9.762857189343777E-12</v>
      </c>
    </row>
    <row r="1145" spans="1:4">
      <c r="A1145" s="6">
        <v>42657951.88016246</v>
      </c>
      <c r="B1145" s="7">
        <v>-72.48341577752502</v>
      </c>
      <c r="C1145" s="7">
        <v>-72.48341577752156</v>
      </c>
      <c r="D1145" s="6">
        <v>3.467448550509289E-12</v>
      </c>
    </row>
    <row r="1146" spans="1:4">
      <c r="A1146" s="6">
        <v>43151907.68277976</v>
      </c>
      <c r="B1146" s="7">
        <v>-69.3008348000685</v>
      </c>
      <c r="C1146" s="7">
        <v>-69.30083480006815</v>
      </c>
      <c r="D1146" s="6">
        <v>3.552713678800501E-13</v>
      </c>
    </row>
    <row r="1147" spans="1:4">
      <c r="A1147" s="6">
        <v>43651583.22401987</v>
      </c>
      <c r="B1147" s="7">
        <v>-66.63430409463983</v>
      </c>
      <c r="C1147" s="7">
        <v>-66.6343040946476</v>
      </c>
      <c r="D1147" s="6">
        <v>-7.773337529215496E-12</v>
      </c>
    </row>
    <row r="1148" spans="1:4">
      <c r="A1148" s="6">
        <v>44157044.73533456</v>
      </c>
      <c r="B1148" s="7">
        <v>-64.30775683478238</v>
      </c>
      <c r="C1148" s="7">
        <v>-64.30775683478315</v>
      </c>
      <c r="D1148" s="6">
        <v>-7.673861546209082E-13</v>
      </c>
    </row>
    <row r="1149" spans="1:4">
      <c r="A1149" s="6">
        <v>44668359.21509967</v>
      </c>
      <c r="B1149" s="7">
        <v>-62.22363773319597</v>
      </c>
      <c r="C1149" s="7">
        <v>-62.22363773319194</v>
      </c>
      <c r="D1149" s="6">
        <v>4.035882739117369E-12</v>
      </c>
    </row>
    <row r="1150" spans="1:4">
      <c r="A1150" s="6">
        <v>45185594.43749563</v>
      </c>
      <c r="B1150" s="7">
        <v>-60.32203045865888</v>
      </c>
      <c r="C1150" s="7">
        <v>-60.32203045865815</v>
      </c>
      <c r="D1150" s="6">
        <v>7.318590178329032E-13</v>
      </c>
    </row>
    <row r="1151" spans="1:4">
      <c r="A1151" s="6">
        <v>45708818.96149094</v>
      </c>
      <c r="B1151" s="7">
        <v>-58.56337202132448</v>
      </c>
      <c r="C1151" s="7">
        <v>-58.56337202132707</v>
      </c>
      <c r="D1151" s="6">
        <v>-2.586375558166765E-12</v>
      </c>
    </row>
    <row r="1152" spans="1:4">
      <c r="A1152" s="6">
        <v>46238102.13992951</v>
      </c>
      <c r="B1152" s="7">
        <v>-56.92009286083249</v>
      </c>
      <c r="C1152" s="7">
        <v>-56.92009286083123</v>
      </c>
      <c r="D1152" s="6">
        <v>1.257660642295377E-12</v>
      </c>
    </row>
    <row r="1153" spans="1:4">
      <c r="A1153" s="6">
        <v>46773514.12872335</v>
      </c>
      <c r="B1153" s="7">
        <v>-55.37216304900273</v>
      </c>
      <c r="C1153" s="7">
        <v>-55.37216304900071</v>
      </c>
      <c r="D1153" s="6">
        <v>2.017941369558685E-12</v>
      </c>
    </row>
    <row r="1154" spans="1:4">
      <c r="A1154" s="6">
        <v>47315125.89615162</v>
      </c>
      <c r="B1154" s="7">
        <v>-53.904538544854</v>
      </c>
      <c r="C1154" s="7">
        <v>-53.90453854485342</v>
      </c>
      <c r="D1154" s="6">
        <v>5.755396159656812E-13</v>
      </c>
    </row>
    <row r="1155" spans="1:4">
      <c r="A1155" s="6">
        <v>47863009.23226745</v>
      </c>
      <c r="B1155" s="7">
        <v>-52.50560957325494</v>
      </c>
      <c r="C1155" s="7">
        <v>-52.50560957325345</v>
      </c>
      <c r="D1155" s="6">
        <v>1.49213974509621E-12</v>
      </c>
    </row>
    <row r="1156" spans="1:4">
      <c r="A1156" s="6">
        <v>48417236.75841359</v>
      </c>
      <c r="B1156" s="7">
        <v>-51.16621256418583</v>
      </c>
      <c r="C1156" s="7">
        <v>-51.16621256418785</v>
      </c>
      <c r="D1156" s="6">
        <v>-2.017941369558685E-12</v>
      </c>
    </row>
    <row r="1157" spans="1:4">
      <c r="A1157" s="6">
        <v>48977881.93684833</v>
      </c>
      <c r="B1157" s="7">
        <v>-49.87897602303357</v>
      </c>
      <c r="C1157" s="7">
        <v>-49.87897602303335</v>
      </c>
      <c r="D1157" s="6">
        <v>2.202682480856311E-13</v>
      </c>
    </row>
    <row r="1158" spans="1:4">
      <c r="A1158" s="6">
        <v>49545019.08048277</v>
      </c>
      <c r="B1158" s="7">
        <v>-48.63787305846303</v>
      </c>
      <c r="C1158" s="7">
        <v>-48.63787305846208</v>
      </c>
      <c r="D1158" s="6">
        <v>9.521272659185342E-13</v>
      </c>
    </row>
    <row r="1159" spans="1:4">
      <c r="A1159" s="6">
        <v>50118723.36273102</v>
      </c>
      <c r="B1159" s="7">
        <v>-47.43790659334547</v>
      </c>
      <c r="C1159" s="7">
        <v>-47.4379065933466</v>
      </c>
      <c r="D1159" s="6">
        <v>-1.13686837721616E-12</v>
      </c>
    </row>
    <row r="1160" spans="1:4">
      <c r="A1160" s="6">
        <v>50699070.82747428</v>
      </c>
      <c r="B1160" s="7">
        <v>-46.27488249314915</v>
      </c>
      <c r="C1160" s="7">
        <v>-46.27488249315004</v>
      </c>
      <c r="D1160" s="6">
        <v>-8.881784197001252E-13</v>
      </c>
    </row>
    <row r="1161" spans="1:4">
      <c r="A1161" s="6">
        <v>51286138.39914038</v>
      </c>
      <c r="B1161" s="7">
        <v>-45.14524256565594</v>
      </c>
      <c r="C1161" s="7">
        <v>-45.14524256565655</v>
      </c>
      <c r="D1161" s="6">
        <v>-6.039613253960852E-13</v>
      </c>
    </row>
    <row r="1162" spans="1:4">
      <c r="A1162" s="6">
        <v>51880003.89290006</v>
      </c>
      <c r="B1162" s="7">
        <v>-44.04593932220651</v>
      </c>
      <c r="C1162" s="7">
        <v>-44.04593932220774</v>
      </c>
      <c r="D1162" s="6">
        <v>-1.229238932864973E-12</v>
      </c>
    </row>
    <row r="1163" spans="1:4">
      <c r="A1163" s="6">
        <v>52480746.02498125</v>
      </c>
      <c r="B1163" s="7">
        <v>-42.97434049231028</v>
      </c>
      <c r="C1163" s="7">
        <v>-42.97434049231033</v>
      </c>
      <c r="D1163" s="6">
        <v>-4.973799150320701E-14</v>
      </c>
    </row>
    <row r="1164" spans="1:4">
      <c r="A1164" s="6">
        <v>53088444.42310288</v>
      </c>
      <c r="B1164" s="7">
        <v>-41.92815514002848</v>
      </c>
      <c r="C1164" s="7">
        <v>-41.92815514003037</v>
      </c>
      <c r="D1164" s="6">
        <v>-1.890043677121866E-12</v>
      </c>
    </row>
    <row r="1165" spans="1:4">
      <c r="A1165" s="6">
        <v>53703179.63702936</v>
      </c>
      <c r="B1165" s="7">
        <v>-40.90537573129821</v>
      </c>
      <c r="C1165" s="7">
        <v>-40.90537573129716</v>
      </c>
      <c r="D1165" s="6">
        <v>1.058708676282549E-12</v>
      </c>
    </row>
    <row r="1166" spans="1:4">
      <c r="A1166" s="6">
        <v>54325033.14924747</v>
      </c>
      <c r="B1166" s="7">
        <v>-39.90423216031281</v>
      </c>
      <c r="C1166" s="7">
        <v>-39.90423216031446</v>
      </c>
      <c r="D1166" s="6">
        <v>-1.648459146963432E-12</v>
      </c>
    </row>
    <row r="1167" spans="1:4">
      <c r="A1167" s="6">
        <v>54954087.38576665</v>
      </c>
      <c r="B1167" s="7">
        <v>-38.92315486687946</v>
      </c>
      <c r="C1167" s="7">
        <v>-38.92315486687944</v>
      </c>
      <c r="D1167" s="6">
        <v>1.4210854715202E-14</v>
      </c>
    </row>
    <row r="1168" spans="1:4">
      <c r="A1168" s="6">
        <v>55590425.7270446</v>
      </c>
      <c r="B1168" s="7">
        <v>-37.96074495166989</v>
      </c>
      <c r="C1168" s="7">
        <v>-37.960744951669</v>
      </c>
      <c r="D1168" s="6">
        <v>8.952838470577262E-13</v>
      </c>
    </row>
    <row r="1169" spans="1:4">
      <c r="A1169" s="6">
        <v>56234132.51903921</v>
      </c>
      <c r="B1169" s="7">
        <v>-37.01574974061042</v>
      </c>
      <c r="C1169" s="7">
        <v>-37.01574974060905</v>
      </c>
      <c r="D1169" s="6">
        <v>1.364242052659392E-12</v>
      </c>
    </row>
    <row r="1170" spans="1:4">
      <c r="A1170" s="6">
        <v>56885293.08438849</v>
      </c>
      <c r="B1170" s="7">
        <v>-36.08704263719423</v>
      </c>
      <c r="C1170" s="7">
        <v>-36.08704263719306</v>
      </c>
      <c r="D1170" s="6">
        <v>1.172395514004165E-12</v>
      </c>
    </row>
    <row r="1171" spans="1:4">
      <c r="A1171" s="6">
        <v>57543993.73372009</v>
      </c>
      <c r="B1171" s="7">
        <v>-35.17360638192132</v>
      </c>
      <c r="C1171" s="7">
        <v>-35.17360638192154</v>
      </c>
      <c r="D1171" s="6">
        <v>-2.202682480856311E-13</v>
      </c>
    </row>
    <row r="1172" spans="1:4">
      <c r="A1172" s="6">
        <v>58210321.77709161</v>
      </c>
      <c r="B1172" s="7">
        <v>-34.27451904332702</v>
      </c>
      <c r="C1172" s="7">
        <v>-34.27451904332717</v>
      </c>
      <c r="D1172" s="6">
        <v>-1.56319401867222E-13</v>
      </c>
    </row>
    <row r="1173" spans="1:4">
      <c r="A1173" s="6">
        <v>58884365.53556342</v>
      </c>
      <c r="B1173" s="7">
        <v>-33.38894221723173</v>
      </c>
      <c r="C1173" s="7">
        <v>-33.38894221723238</v>
      </c>
      <c r="D1173" s="6">
        <v>-6.465938895416912E-13</v>
      </c>
    </row>
    <row r="1174" spans="1:4">
      <c r="A1174" s="6">
        <v>59566214.35290562</v>
      </c>
      <c r="B1174" s="7">
        <v>-32.51611102496409</v>
      </c>
      <c r="C1174" s="7">
        <v>-32.5161110249629</v>
      </c>
      <c r="D1174" s="6">
        <v>1.186606368719367E-12</v>
      </c>
    </row>
    <row r="1175" spans="1:4">
      <c r="A1175" s="6">
        <v>60255958.6074404</v>
      </c>
      <c r="B1175" s="7">
        <v>-31.65532558764699</v>
      </c>
      <c r="C1175" s="7">
        <v>-31.65532558764826</v>
      </c>
      <c r="D1175" s="6">
        <v>-1.271871497010579E-12</v>
      </c>
    </row>
    <row r="1176" spans="1:4">
      <c r="A1176" s="6">
        <v>60953689.72402161</v>
      </c>
      <c r="B1176" s="7">
        <v>-30.8059437198232</v>
      </c>
      <c r="C1176" s="7">
        <v>-30.80594371982251</v>
      </c>
      <c r="D1176" s="6">
        <v>6.892264536872972E-13</v>
      </c>
    </row>
    <row r="1177" spans="1:4">
      <c r="A1177" s="6">
        <v>61659500.18615296</v>
      </c>
      <c r="B1177" s="7">
        <v>-29.96737463653778</v>
      </c>
      <c r="C1177" s="7">
        <v>-29.96737463653781</v>
      </c>
      <c r="D1177" s="6">
        <v>-2.486899575160351E-14</v>
      </c>
    </row>
    <row r="1178" spans="1:4">
      <c r="A1178" s="6">
        <v>62373483.54824673</v>
      </c>
      <c r="B1178" s="7">
        <v>-29.13907350789384</v>
      </c>
      <c r="C1178" s="7">
        <v>-29.1390735078948</v>
      </c>
      <c r="D1178" s="6">
        <v>-9.627854069549358E-13</v>
      </c>
    </row>
    <row r="1179" spans="1:4">
      <c r="A1179" s="6">
        <v>63095734.44802419</v>
      </c>
      <c r="B1179" s="7">
        <v>-28.32053672603099</v>
      </c>
      <c r="C1179" s="7">
        <v>-28.32053672603012</v>
      </c>
      <c r="D1179" s="6">
        <v>8.668621376273222E-13</v>
      </c>
    </row>
    <row r="1180" spans="1:4">
      <c r="A1180" s="6">
        <v>63826348.61905979</v>
      </c>
      <c r="B1180" s="7">
        <v>-27.51129777421106</v>
      </c>
      <c r="C1180" s="7">
        <v>-27.51129777421034</v>
      </c>
      <c r="D1180" s="6">
        <v>7.212008767965017E-13</v>
      </c>
    </row>
    <row r="1181" spans="1:4">
      <c r="A1181" s="6">
        <v>64565422.90347055</v>
      </c>
      <c r="B1181" s="7">
        <v>-26.71092360726619</v>
      </c>
      <c r="C1181" s="7">
        <v>-26.71092360726693</v>
      </c>
      <c r="D1181" s="6">
        <v>-7.460698725481052E-13</v>
      </c>
    </row>
    <row r="1182" spans="1:4">
      <c r="A1182" s="6">
        <v>65313055.26475229</v>
      </c>
      <c r="B1182" s="7">
        <v>-25.91901146829842</v>
      </c>
      <c r="C1182" s="7">
        <v>-25.91901146829922</v>
      </c>
      <c r="D1182" s="6">
        <v>-8.029132914089132E-13</v>
      </c>
    </row>
    <row r="1183" spans="1:4">
      <c r="A1183" s="6">
        <v>66069344.80076471</v>
      </c>
      <c r="B1183" s="7">
        <v>-25.13518607922267</v>
      </c>
      <c r="C1183" s="7">
        <v>-25.13518607922129</v>
      </c>
      <c r="D1183" s="6">
        <v>1.378452907374594E-12</v>
      </c>
    </row>
    <row r="1184" spans="1:4">
      <c r="A1184" s="6">
        <v>66834391.75686664</v>
      </c>
      <c r="B1184" s="7">
        <v>-24.35909715298861</v>
      </c>
      <c r="C1184" s="7">
        <v>-24.35909715298952</v>
      </c>
      <c r="D1184" s="6">
        <v>-9.094947017729282E-13</v>
      </c>
    </row>
    <row r="1185" spans="1:4">
      <c r="A1185" s="6">
        <v>67608297.53920342</v>
      </c>
      <c r="B1185" s="7">
        <v>-23.59041718371294</v>
      </c>
      <c r="C1185" s="7">
        <v>-23.5904171837127</v>
      </c>
      <c r="D1185" s="6">
        <v>2.344791028008331E-13</v>
      </c>
    </row>
    <row r="1186" spans="1:4">
      <c r="A1186" s="6">
        <v>68391164.72814824</v>
      </c>
      <c r="B1186" s="7">
        <v>-22.82883947770478</v>
      </c>
      <c r="C1186" s="7">
        <v>-22.82883947770628</v>
      </c>
      <c r="D1186" s="6">
        <v>-1.495692458775011E-12</v>
      </c>
    </row>
    <row r="1187" spans="1:4">
      <c r="A1187" s="6">
        <v>69183097.09189902</v>
      </c>
      <c r="B1187" s="7">
        <v>-22.07407639420487</v>
      </c>
      <c r="C1187" s="7">
        <v>-22.07407639420438</v>
      </c>
      <c r="D1187" s="6">
        <v>4.867217739956686E-13</v>
      </c>
    </row>
    <row r="1188" spans="1:4">
      <c r="A1188" s="6">
        <v>69984199.60023279</v>
      </c>
      <c r="B1188" s="7">
        <v>-21.32585776912396</v>
      </c>
      <c r="C1188" s="7">
        <v>-21.32585776912313</v>
      </c>
      <c r="D1188" s="6">
        <v>8.348877145181177E-13</v>
      </c>
    </row>
    <row r="1189" spans="1:4">
      <c r="A1189" s="6">
        <v>70794578.4384193</v>
      </c>
      <c r="B1189" s="7">
        <v>-20.58392949916047</v>
      </c>
      <c r="C1189" s="7">
        <v>-20.58392949916068</v>
      </c>
      <c r="D1189" s="6">
        <v>-2.096101070492296E-13</v>
      </c>
    </row>
    <row r="1190" spans="1:4">
      <c r="A1190" s="6">
        <v>71614341.02129577</v>
      </c>
      <c r="B1190" s="7">
        <v>-19.84805226677201</v>
      </c>
      <c r="C1190" s="7">
        <v>-19.84805226677146</v>
      </c>
      <c r="D1190" s="6">
        <v>5.435651928564766E-13</v>
      </c>
    </row>
    <row r="1191" spans="1:4">
      <c r="A1191" s="6">
        <v>72443596.00750466</v>
      </c>
      <c r="B1191" s="7">
        <v>-19.11800038928067</v>
      </c>
      <c r="C1191" s="7">
        <v>-19.11800038927972</v>
      </c>
      <c r="D1191" s="6">
        <v>9.485745522397337E-13</v>
      </c>
    </row>
    <row r="1192" spans="1:4">
      <c r="A1192" s="6">
        <v>73282453.31389612</v>
      </c>
      <c r="B1192" s="7">
        <v>-18.39356077769561</v>
      </c>
      <c r="C1192" s="7">
        <v>-18.3935607776944</v>
      </c>
      <c r="D1192" s="6">
        <v>1.215028078149771E-12</v>
      </c>
    </row>
    <row r="1193" spans="1:4">
      <c r="A1193" s="6">
        <v>74131024.13009754</v>
      </c>
      <c r="B1193" s="7">
        <v>-17.67453199273102</v>
      </c>
      <c r="C1193" s="7">
        <v>-17.67453199272981</v>
      </c>
      <c r="D1193" s="6">
        <v>1.200817223434569E-12</v>
      </c>
    </row>
    <row r="1194" spans="1:4">
      <c r="A1194" s="6">
        <v>74989420.93325144</v>
      </c>
      <c r="B1194" s="7">
        <v>-16.96072338718535</v>
      </c>
      <c r="C1194" s="7">
        <v>-16.9607233871845</v>
      </c>
      <c r="D1194" s="6">
        <v>8.455458555545192E-13</v>
      </c>
    </row>
    <row r="1195" spans="1:4">
      <c r="A1195" s="6">
        <v>75857757.50292431</v>
      </c>
      <c r="B1195" s="7">
        <v>-16.251954325232</v>
      </c>
      <c r="C1195" s="7">
        <v>-16.25195432523319</v>
      </c>
      <c r="D1195" s="6">
        <v>-1.186606368719367E-12</v>
      </c>
    </row>
    <row r="1196" spans="1:4">
      <c r="A1196" s="6">
        <v>76736148.93618789</v>
      </c>
      <c r="B1196" s="7">
        <v>-15.5480534703855</v>
      </c>
      <c r="C1196" s="7">
        <v>-15.54805347038601</v>
      </c>
      <c r="D1196" s="6">
        <v>-5.062616992290714E-13</v>
      </c>
    </row>
    <row r="1197" spans="1:4">
      <c r="A1197" s="6">
        <v>77624711.66287525</v>
      </c>
      <c r="B1197" s="7">
        <v>-14.8488581348951</v>
      </c>
      <c r="C1197" s="7">
        <v>-14.8488581348961</v>
      </c>
      <c r="D1197" s="6">
        <v>-1.008970684779342E-12</v>
      </c>
    </row>
    <row r="1198" spans="1:4">
      <c r="A1198" s="6">
        <v>78523563.46101333</v>
      </c>
      <c r="B1198" s="7">
        <v>-14.15421368427914</v>
      </c>
      <c r="C1198" s="7">
        <v>-14.15421368427957</v>
      </c>
      <c r="D1198" s="6">
        <v>-4.316547119742609E-13</v>
      </c>
    </row>
    <row r="1199" spans="1:4">
      <c r="A1199" s="6">
        <v>79432823.47243437</v>
      </c>
      <c r="B1199" s="7">
        <v>-13.46397299137413</v>
      </c>
      <c r="C1199" s="7">
        <v>-13.46397299137376</v>
      </c>
      <c r="D1199" s="6">
        <v>3.659295089164516E-13</v>
      </c>
    </row>
    <row r="1200" spans="1:4">
      <c r="A1200" s="6">
        <v>80352612.21856803</v>
      </c>
      <c r="B1200" s="7">
        <v>-12.77799593501874</v>
      </c>
      <c r="C1200" s="7">
        <v>-12.77799593501757</v>
      </c>
      <c r="D1200" s="6">
        <v>1.165290086646564E-12</v>
      </c>
    </row>
    <row r="1201" spans="1:4">
      <c r="A1201" s="6">
        <v>81283051.61641631</v>
      </c>
      <c r="B1201" s="7">
        <v>-12.09614893900805</v>
      </c>
      <c r="C1201" s="7">
        <v>-12.09614893900899</v>
      </c>
      <c r="D1201" s="6">
        <v>-9.379164112033322E-13</v>
      </c>
    </row>
    <row r="1202" spans="1:4">
      <c r="A1202" s="6">
        <v>82224264.99471359</v>
      </c>
      <c r="B1202" s="7">
        <v>-11.41830454748942</v>
      </c>
      <c r="C1202" s="7">
        <v>-11.41830454749051</v>
      </c>
      <c r="D1202" s="6">
        <v>-1.083577672034153E-12</v>
      </c>
    </row>
    <row r="1203" spans="1:4">
      <c r="A1203" s="6">
        <v>83176377.11027364</v>
      </c>
      <c r="B1203" s="7">
        <v>-10.74434103334537</v>
      </c>
      <c r="C1203" s="7">
        <v>-10.74434103334634</v>
      </c>
      <c r="D1203" s="6">
        <v>-9.681144774731365E-13</v>
      </c>
    </row>
    <row r="1204" spans="1:4">
      <c r="A1204" s="6">
        <v>84139514.16452613</v>
      </c>
      <c r="B1204" s="7">
        <v>-10.07414203657098</v>
      </c>
      <c r="C1204" s="7">
        <v>-10.07414203657247</v>
      </c>
      <c r="D1204" s="6">
        <v>-1.48681067457801E-12</v>
      </c>
    </row>
    <row r="1205" spans="1:4">
      <c r="A1205" s="6">
        <v>85113803.82024436</v>
      </c>
      <c r="B1205" s="7">
        <v>-9.407596229911732</v>
      </c>
      <c r="C1205" s="7">
        <v>-9.407596229911782</v>
      </c>
      <c r="D1205" s="6">
        <v>-4.973799150320701E-14</v>
      </c>
    </row>
    <row r="1206" spans="1:4">
      <c r="A1206" s="6">
        <v>86099375.21846685</v>
      </c>
      <c r="B1206" s="7">
        <v>-8.74459700933587</v>
      </c>
      <c r="C1206" s="7">
        <v>-8.744597009336871</v>
      </c>
      <c r="D1206" s="6">
        <v>-1.001865257421741E-12</v>
      </c>
    </row>
    <row r="1207" spans="1:4">
      <c r="A1207" s="6">
        <v>87096358.99561495</v>
      </c>
      <c r="B1207" s="7">
        <v>-8.085042207218278</v>
      </c>
      <c r="C1207" s="7">
        <v>-8.085042207218013</v>
      </c>
      <c r="D1207" s="6">
        <v>2.646771690706373E-13</v>
      </c>
    </row>
    <row r="1208" spans="1:4">
      <c r="A1208" s="6">
        <v>88104887.30080837</v>
      </c>
      <c r="B1208" s="7">
        <v>-7.42883382623906</v>
      </c>
      <c r="C1208" s="7">
        <v>-7.428833826239483</v>
      </c>
      <c r="D1208" s="6">
        <v>-4.227729277772596E-13</v>
      </c>
    </row>
    <row r="1209" spans="1:4">
      <c r="A1209" s="6">
        <v>89125093.8133816</v>
      </c>
      <c r="B1209" s="7">
        <v>-6.775877792325148</v>
      </c>
      <c r="C1209" s="7">
        <v>-6.77587779232518</v>
      </c>
      <c r="D1209" s="6">
        <v>-3.197442310920451E-14</v>
      </c>
    </row>
    <row r="1210" spans="1:4">
      <c r="A1210" s="6">
        <v>90157113.76060282</v>
      </c>
      <c r="B1210" s="7">
        <v>-6.126083725012044</v>
      </c>
      <c r="C1210" s="7">
        <v>-6.126083725011073</v>
      </c>
      <c r="D1210" s="6">
        <v>9.707790127322369E-13</v>
      </c>
    </row>
    <row r="1211" spans="1:4">
      <c r="A1211" s="6">
        <v>91201083.93559821</v>
      </c>
      <c r="B1211" s="7">
        <v>-5.479364723857524</v>
      </c>
      <c r="C1211" s="7">
        <v>-5.479364723856851</v>
      </c>
      <c r="D1211" s="6">
        <v>6.723510637129948E-13</v>
      </c>
    </row>
    <row r="1212" spans="1:4">
      <c r="A1212" s="6">
        <v>92257142.71548364</v>
      </c>
      <c r="B1212" s="7">
        <v>-4.835637169627859</v>
      </c>
      <c r="C1212" s="7">
        <v>-4.835637169627677</v>
      </c>
      <c r="D1212" s="6">
        <v>1.820765760385257E-13</v>
      </c>
    </row>
    <row r="1213" spans="1:4">
      <c r="A1213" s="6">
        <v>93325430.07970652</v>
      </c>
      <c r="B1213" s="7">
        <v>-4.194820539099586</v>
      </c>
      <c r="C1213" s="7">
        <v>-4.194820539099055</v>
      </c>
      <c r="D1213" s="6">
        <v>5.311306949806749E-13</v>
      </c>
    </row>
    <row r="1214" spans="1:4">
      <c r="A1214" s="6">
        <v>94406087.62859984</v>
      </c>
      <c r="B1214" s="7">
        <v>-3.556837232448537</v>
      </c>
      <c r="C1214" s="7">
        <v>-3.556837232447018</v>
      </c>
      <c r="D1214" s="6">
        <v>1.519229186897064E-12</v>
      </c>
    </row>
    <row r="1215" spans="1:4">
      <c r="A1215" s="6">
        <v>95499258.60215119</v>
      </c>
      <c r="B1215" s="7">
        <v>-2.921612412280894</v>
      </c>
      <c r="C1215" s="7">
        <v>-2.921612412282026</v>
      </c>
      <c r="D1215" s="6">
        <v>-1.13242748511766E-12</v>
      </c>
    </row>
    <row r="1216" spans="1:4">
      <c r="A1216" s="6">
        <v>96605087.89898902</v>
      </c>
      <c r="B1216" s="7">
        <v>-2.289073853470811</v>
      </c>
      <c r="C1216" s="7">
        <v>-2.289073853471228</v>
      </c>
      <c r="D1216" s="6">
        <v>-4.178879464689089E-13</v>
      </c>
    </row>
    <row r="1217" spans="1:4">
      <c r="A1217" s="6">
        <v>97723722.09558885</v>
      </c>
      <c r="B1217" s="7">
        <v>-1.659151802969517</v>
      </c>
      <c r="C1217" s="7">
        <v>-1.659151802968739</v>
      </c>
      <c r="D1217" s="6">
        <v>7.776002064474596E-13</v>
      </c>
    </row>
    <row r="1218" spans="1:4">
      <c r="A1218" s="6">
        <v>98855309.46570176</v>
      </c>
      <c r="B1218" s="7">
        <v>-1.0317788489385</v>
      </c>
      <c r="C1218" s="7">
        <v>-1.031778848940984</v>
      </c>
      <c r="D1218" s="6">
        <v>-2.4846791291111E-12</v>
      </c>
    </row>
    <row r="1219" spans="1:4">
      <c r="A1219" s="6">
        <v>100000000</v>
      </c>
      <c r="B1219" s="7">
        <v>-0.4068897985353321</v>
      </c>
      <c r="C1219" s="7">
        <v>-0.4068897985355271</v>
      </c>
      <c r="D1219" s="6">
        <v>-1.9506618542664E-13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44</vt:i4>
      </vt:variant>
    </vt:vector>
  </HeadingPairs>
  <TitlesOfParts>
    <vt:vector size="50" baseType="lpstr">
      <vt:lpstr>Summary</vt:lpstr>
      <vt:lpstr>Parameters</vt:lpstr>
      <vt:lpstr>Calc_Formulas</vt:lpstr>
      <vt:lpstr>Results</vt:lpstr>
      <vt:lpstr>Python_Reference</vt:lpstr>
      <vt:lpstr>LTspice_Compare</vt:lpstr>
      <vt:lpstr>C_THROUGH_C</vt:lpstr>
      <vt:lpstr>C_THROUGH_ESL</vt:lpstr>
      <vt:lpstr>C_THROUGH_ESR</vt:lpstr>
      <vt:lpstr>CMC_CLINE</vt:lpstr>
      <vt:lpstr>CMC_CPA</vt:lpstr>
      <vt:lpstr>CMC_DCR</vt:lpstr>
      <vt:lpstr>CMC_K</vt:lpstr>
      <vt:lpstr>CMC_L</vt:lpstr>
      <vt:lpstr>CX1_C</vt:lpstr>
      <vt:lpstr>CX1_ESL</vt:lpstr>
      <vt:lpstr>CX1_ESR</vt:lpstr>
      <vt:lpstr>CX2_C</vt:lpstr>
      <vt:lpstr>CX2_ESL</vt:lpstr>
      <vt:lpstr>CX2_ESR</vt:lpstr>
      <vt:lpstr>CY_C</vt:lpstr>
      <vt:lpstr>CY_ESL</vt:lpstr>
      <vt:lpstr>CY_ESR</vt:lpstr>
      <vt:lpstr>DUMMY_R</vt:lpstr>
      <vt:lpstr>DUMP1_C</vt:lpstr>
      <vt:lpstr>DUMP1_ESL</vt:lpstr>
      <vt:lpstr>DUMP1_ESR</vt:lpstr>
      <vt:lpstr>DUMP1_R</vt:lpstr>
      <vt:lpstr>DUMP2_C</vt:lpstr>
      <vt:lpstr>DUMP2_ESL</vt:lpstr>
      <vt:lpstr>DUMP2_ESR</vt:lpstr>
      <vt:lpstr>DUMP2_R</vt:lpstr>
      <vt:lpstr>F_START</vt:lpstr>
      <vt:lpstr>F_STOP</vt:lpstr>
      <vt:lpstr>I_DM_SOURCE</vt:lpstr>
      <vt:lpstr>LDM1_CPA</vt:lpstr>
      <vt:lpstr>LDM1_DCR</vt:lpstr>
      <vt:lpstr>LDM1_L</vt:lpstr>
      <vt:lpstr>LDM2_CPA</vt:lpstr>
      <vt:lpstr>LDM2_DCR</vt:lpstr>
      <vt:lpstr>LDM2_L</vt:lpstr>
      <vt:lpstr>LINE_INPUT_CCHA</vt:lpstr>
      <vt:lpstr>LINE_INPUT_CLINE</vt:lpstr>
      <vt:lpstr>LINE_INPUT_DCR</vt:lpstr>
      <vt:lpstr>LINE_INPUT_L</vt:lpstr>
      <vt:lpstr>LINE_PS_CCHA</vt:lpstr>
      <vt:lpstr>LINE_PS_CLINE</vt:lpstr>
      <vt:lpstr>LINE_PS_DCR</vt:lpstr>
      <vt:lpstr>LINE_PS_L</vt:lpstr>
      <vt:lpstr>N_POINTS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2026-05-31T01:29:24Z</dcterms:created>
  <dcterms:modified xsi:type="dcterms:W3CDTF">2026-05-31T01:29:24Z</dcterms:modified>
</cp:coreProperties>
</file>