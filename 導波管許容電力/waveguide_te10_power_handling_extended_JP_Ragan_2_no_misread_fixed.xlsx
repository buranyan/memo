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puts" sheetId="2" state="visible" r:id="rId4"/>
    <sheet name="Components" sheetId="3" state="visible" r:id="rId5"/>
    <sheet name="Power_Sweep" sheetId="4" state="visible" r:id="rId6"/>
    <sheet name="Derivation" sheetId="5" state="visible" r:id="rId7"/>
    <sheet name="Sources_Assumptions" sheetId="6" state="visible" r:id="rId8"/>
    <sheet name="Ragan_Pulse" sheetId="7" state="visible" r:id="rId9"/>
    <sheet name="Altitude_Pressure" sheetId="8" state="visible" r:id="rId10"/>
    <sheet name="誤読防止_使い方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7" authorId="0">
      <text>
        <r>
          <rPr>
            <sz val="10"/>
            <rFont val="Noto Sans CJK SC"/>
            <family val="2"/>
          </rPr>
          <t xml:space="preserve">高度モード</t>
        </r>
        <r>
          <rPr>
            <sz val="10"/>
            <rFont val="Arial"/>
            <family val="2"/>
          </rPr>
          <t xml:space="preserve">ON</t>
        </r>
        <r>
          <rPr>
            <sz val="10"/>
            <rFont val="Noto Sans CJK SC"/>
            <family val="2"/>
          </rPr>
          <t xml:space="preserve">で </t>
        </r>
        <r>
          <rPr>
            <sz val="10"/>
            <rFont val="Arial"/>
            <family val="2"/>
          </rPr>
          <t xml:space="preserve">B95(</t>
        </r>
        <r>
          <rPr>
            <sz val="10"/>
            <rFont val="Noto Sans CJK SC"/>
            <family val="2"/>
          </rPr>
          <t xml:space="preserve">適用外気温度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を使用。</t>
        </r>
        <r>
          <rPr>
            <sz val="10"/>
            <rFont val="Arial"/>
            <family val="2"/>
          </rPr>
          <t xml:space="preserve">OFF</t>
        </r>
        <r>
          <rPr>
            <sz val="10"/>
            <rFont val="Noto Sans CJK SC"/>
            <family val="2"/>
          </rPr>
          <t xml:space="preserve">で従来の </t>
        </r>
        <r>
          <rPr>
            <sz val="10"/>
            <rFont val="Arial"/>
            <family val="2"/>
          </rPr>
          <t xml:space="preserve">50 degC</t>
        </r>
        <r>
          <rPr>
            <sz val="10"/>
            <rFont val="Noto Sans CJK SC"/>
            <family val="2"/>
          </rPr>
          <t xml:space="preserve">。</t>
        </r>
      </text>
    </comment>
    <comment ref="B34" authorId="0">
      <text>
        <r>
          <rPr>
            <sz val="10"/>
            <rFont val="Noto Sans CJK SC"/>
            <family val="2"/>
          </rPr>
          <t xml:space="preserve">高度モード</t>
        </r>
        <r>
          <rPr>
            <sz val="10"/>
            <rFont val="Arial"/>
            <family val="2"/>
          </rPr>
          <t xml:space="preserve">ON</t>
        </r>
        <r>
          <rPr>
            <sz val="10"/>
            <rFont val="Noto Sans CJK SC"/>
            <family val="2"/>
          </rPr>
          <t xml:space="preserve">で </t>
        </r>
        <r>
          <rPr>
            <sz val="10"/>
            <rFont val="Arial"/>
            <family val="2"/>
          </rPr>
          <t xml:space="preserve">B99(</t>
        </r>
        <r>
          <rPr>
            <sz val="10"/>
            <rFont val="Noto Sans CJK SC"/>
            <family val="2"/>
          </rPr>
          <t xml:space="preserve">高度補正後 </t>
        </r>
        <r>
          <rPr>
            <sz val="10"/>
            <rFont val="Arial"/>
            <family val="2"/>
          </rPr>
          <t xml:space="preserve">h_conv)+</t>
        </r>
        <r>
          <rPr>
            <sz val="10"/>
            <rFont val="Noto Sans CJK SC"/>
            <family val="2"/>
          </rPr>
          <t xml:space="preserve">放射。
</t>
        </r>
        <r>
          <rPr>
            <sz val="10"/>
            <rFont val="Arial"/>
            <family val="2"/>
          </rPr>
          <t xml:space="preserve">OFF</t>
        </r>
        <r>
          <rPr>
            <sz val="10"/>
            <rFont val="Noto Sans CJK SC"/>
            <family val="2"/>
          </rPr>
          <t xml:space="preserve">で従来の </t>
        </r>
        <r>
          <rPr>
            <sz val="10"/>
            <rFont val="Arial"/>
            <family val="2"/>
          </rPr>
          <t xml:space="preserve">B29+B33</t>
        </r>
        <r>
          <rPr>
            <sz val="10"/>
            <rFont val="Noto Sans CJK SC"/>
            <family val="2"/>
          </rPr>
          <t xml:space="preserve">。</t>
        </r>
      </text>
    </comment>
    <comment ref="B51" authorId="0">
      <text>
        <r>
          <rPr>
            <sz val="10"/>
            <rFont val="Noto Sans CJK SC"/>
            <family val="2"/>
          </rPr>
          <t xml:space="preserve">高度モード</t>
        </r>
        <r>
          <rPr>
            <sz val="10"/>
            <rFont val="Arial"/>
            <family val="2"/>
          </rPr>
          <t xml:space="preserve">ON</t>
        </r>
        <r>
          <rPr>
            <sz val="10"/>
            <rFont val="Noto Sans CJK SC"/>
            <family val="2"/>
          </rPr>
          <t xml:space="preserve">で </t>
        </r>
        <r>
          <rPr>
            <sz val="10"/>
            <rFont val="Arial"/>
            <family val="2"/>
          </rPr>
          <t xml:space="preserve">B89(</t>
        </r>
        <r>
          <rPr>
            <sz val="10"/>
            <rFont val="Noto Sans CJK SC"/>
            <family val="2"/>
          </rPr>
          <t xml:space="preserve">高度 </t>
        </r>
        <r>
          <rPr>
            <sz val="10"/>
            <rFont val="Arial"/>
            <family val="2"/>
          </rPr>
          <t xml:space="preserve">m)</t>
        </r>
        <r>
          <rPr>
            <sz val="10"/>
            <rFont val="Noto Sans CJK SC"/>
            <family val="2"/>
          </rPr>
          <t xml:space="preserve">。</t>
        </r>
        <r>
          <rPr>
            <sz val="10"/>
            <rFont val="Arial"/>
            <family val="2"/>
          </rPr>
          <t xml:space="preserve">OFF</t>
        </r>
        <r>
          <rPr>
            <sz val="10"/>
            <rFont val="Noto Sans CJK SC"/>
            <family val="2"/>
          </rPr>
          <t xml:space="preserve">で </t>
        </r>
        <r>
          <rPr>
            <sz val="10"/>
            <rFont val="Arial"/>
            <family val="2"/>
          </rPr>
          <t xml:space="preserve">0 m</t>
        </r>
        <r>
          <rPr>
            <sz val="10"/>
            <rFont val="Noto Sans CJK SC"/>
            <family val="2"/>
          </rPr>
          <t xml:space="preserve">（海面）。</t>
        </r>
      </text>
    </comment>
    <comment ref="B53" authorId="0">
      <text>
        <r>
          <rPr>
            <sz val="10"/>
            <rFont val="Noto Sans CJK SC"/>
            <family val="2"/>
          </rPr>
          <t xml:space="preserve">高度モード</t>
        </r>
        <r>
          <rPr>
            <sz val="10"/>
            <rFont val="Arial"/>
            <family val="2"/>
          </rPr>
          <t xml:space="preserve">ON</t>
        </r>
        <r>
          <rPr>
            <sz val="10"/>
            <rFont val="Noto Sans CJK SC"/>
            <family val="2"/>
          </rPr>
          <t xml:space="preserve">で </t>
        </r>
        <r>
          <rPr>
            <sz val="10"/>
            <rFont val="Arial"/>
            <family val="2"/>
          </rPr>
          <t xml:space="preserve">B95(</t>
        </r>
        <r>
          <rPr>
            <sz val="10"/>
            <rFont val="Noto Sans CJK SC"/>
            <family val="2"/>
          </rPr>
          <t xml:space="preserve">適用外気温度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。</t>
        </r>
        <r>
          <rPr>
            <sz val="10"/>
            <rFont val="Arial"/>
            <family val="2"/>
          </rPr>
          <t xml:space="preserve">OFF</t>
        </r>
        <r>
          <rPr>
            <sz val="10"/>
            <rFont val="Noto Sans CJK SC"/>
            <family val="2"/>
          </rPr>
          <t xml:space="preserve">で </t>
        </r>
        <r>
          <rPr>
            <sz val="10"/>
            <rFont val="Arial"/>
            <family val="2"/>
          </rPr>
          <t xml:space="preserve">50 degC</t>
        </r>
        <r>
          <rPr>
            <sz val="10"/>
            <rFont val="Noto Sans CJK SC"/>
            <family val="2"/>
          </rPr>
          <t xml:space="preserve">。</t>
        </r>
      </text>
    </comment>
    <comment ref="B55" authorId="0">
      <text>
        <r>
          <rPr>
            <sz val="10"/>
            <rFont val="Noto Sans CJK SC"/>
            <family val="2"/>
          </rPr>
          <t xml:space="preserve">高度モード</t>
        </r>
        <r>
          <rPr>
            <sz val="10"/>
            <rFont val="Arial"/>
            <family val="2"/>
          </rPr>
          <t xml:space="preserve">ON</t>
        </r>
        <r>
          <rPr>
            <sz val="10"/>
            <rFont val="Noto Sans CJK SC"/>
            <family val="2"/>
          </rPr>
          <t xml:space="preserve">で </t>
        </r>
        <r>
          <rPr>
            <sz val="10"/>
            <rFont val="Arial"/>
            <family val="2"/>
          </rPr>
          <t xml:space="preserve">B97(</t>
        </r>
        <r>
          <rPr>
            <sz val="10"/>
            <rFont val="Noto Sans CJK SC"/>
            <family val="2"/>
          </rPr>
          <t xml:space="preserve">内部絶対圧</t>
        </r>
        <r>
          <rPr>
            <sz val="10"/>
            <rFont val="Arial"/>
            <family val="2"/>
          </rPr>
          <t xml:space="preserve">:</t>
        </r>
        <r>
          <rPr>
            <sz val="10"/>
            <rFont val="Noto Sans CJK SC"/>
            <family val="2"/>
          </rPr>
          <t xml:space="preserve">圧力モード依存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。
</t>
        </r>
        <r>
          <rPr>
            <sz val="10"/>
            <rFont val="Arial"/>
            <family val="2"/>
          </rPr>
          <t xml:space="preserve">OFF</t>
        </r>
        <r>
          <rPr>
            <sz val="10"/>
            <rFont val="Noto Sans CJK SC"/>
            <family val="2"/>
          </rPr>
          <t xml:space="preserve">で従来の 周囲圧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Noto Sans CJK SC"/>
            <family val="2"/>
          </rPr>
          <t xml:space="preserve">ゲージ圧。</t>
        </r>
      </text>
    </comment>
    <comment ref="B81" authorId="0">
      <text>
        <r>
          <rPr>
            <sz val="10"/>
            <rFont val="Noto Sans CJK SC"/>
            <family val="2"/>
          </rPr>
          <t xml:space="preserve">注意</t>
        </r>
        <r>
          <rPr>
            <sz val="10"/>
            <rFont val="Arial"/>
            <family val="2"/>
          </rPr>
          <t xml:space="preserve">: B53(</t>
        </r>
        <r>
          <rPr>
            <sz val="10"/>
            <rFont val="Noto Sans CJK SC"/>
            <family val="2"/>
          </rPr>
          <t xml:space="preserve">内部ガス温度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が低温のとき </t>
        </r>
        <r>
          <rPr>
            <sz val="10"/>
            <rFont val="Arial"/>
            <family val="2"/>
          </rPr>
          <t xml:space="preserve">p=p0*273/(273+T) </t>
        </r>
        <r>
          <rPr>
            <sz val="10"/>
            <rFont val="Noto Sans CJK SC"/>
            <family val="2"/>
          </rPr>
          <t xml:space="preserve">が増加し、</t>
        </r>
        <r>
          <rPr>
            <sz val="10"/>
            <rFont val="Arial"/>
            <family val="2"/>
          </rPr>
          <t xml:space="preserve">Ragan</t>
        </r>
        <r>
          <rPr>
            <sz val="10"/>
            <rFont val="Noto Sans CJK SC"/>
            <family val="2"/>
          </rPr>
          <t xml:space="preserve">半解析式 </t>
        </r>
        <r>
          <rPr>
            <sz val="10"/>
            <rFont val="Arial"/>
            <family val="2"/>
          </rPr>
          <t xml:space="preserve">Ep(B82/B83)</t>
        </r>
        <r>
          <rPr>
            <sz val="10"/>
            <rFont val="Noto Sans CJK SC"/>
            <family val="2"/>
          </rPr>
          <t xml:space="preserve">の参考値が大きく出ます。これは表示用の参考値で、</t>
        </r>
        <r>
          <rPr>
            <sz val="10"/>
            <rFont val="Arial"/>
            <family val="2"/>
          </rPr>
          <t xml:space="preserve">Dashboard</t>
        </r>
        <r>
          <rPr>
            <sz val="10"/>
            <rFont val="Noto Sans CJK SC"/>
            <family val="2"/>
          </rPr>
          <t xml:space="preserve">最終判定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絶縁破壊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熱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には使われません。</t>
        </r>
      </text>
    </comment>
    <comment ref="B87" authorId="0">
      <text>
        <r>
          <rPr>
            <sz val="10"/>
            <rFont val="Arial"/>
            <family val="2"/>
          </rPr>
          <t xml:space="preserve">1: </t>
        </r>
        <r>
          <rPr>
            <sz val="10"/>
            <rFont val="Noto Sans CJK SC"/>
            <family val="2"/>
          </rPr>
          <t xml:space="preserve">このブロックの高度値で </t>
        </r>
        <r>
          <rPr>
            <sz val="10"/>
            <rFont val="Arial"/>
            <family val="2"/>
          </rPr>
          <t xml:space="preserve">B51/B53/B27/B29 </t>
        </r>
        <r>
          <rPr>
            <sz val="10"/>
            <rFont val="Noto Sans CJK SC"/>
            <family val="2"/>
          </rPr>
          <t xml:space="preserve">を驅動。
</t>
        </r>
        <r>
          <rPr>
            <sz val="10"/>
            <rFont val="Arial"/>
            <family val="2"/>
          </rPr>
          <t xml:space="preserve">0: </t>
        </r>
        <r>
          <rPr>
            <sz val="10"/>
            <rFont val="Noto Sans CJK SC"/>
            <family val="2"/>
          </rPr>
          <t xml:space="preserve">従来の手入力値を使用し海面ベースラインに戻す。</t>
        </r>
      </text>
    </comment>
    <comment ref="B88" authorId="0">
      <text>
        <r>
          <rPr>
            <sz val="10"/>
            <rFont val="Noto Sans CJK SC"/>
            <family val="2"/>
          </rPr>
          <t xml:space="preserve">想定運用高度。標準大気で周囲圧・気温を算出。</t>
        </r>
      </text>
    </comment>
    <comment ref="B89" authorId="0">
      <text>
        <r>
          <rPr>
            <sz val="10"/>
            <rFont val="Arial"/>
            <family val="2"/>
          </rPr>
          <t xml:space="preserve">ft </t>
        </r>
        <r>
          <rPr>
            <sz val="10"/>
            <rFont val="Noto Sans CJK SC"/>
            <family val="2"/>
          </rPr>
          <t xml:space="preserve">から </t>
        </r>
        <r>
          <rPr>
            <sz val="10"/>
            <rFont val="Arial"/>
            <family val="2"/>
          </rPr>
          <t xml:space="preserve">m </t>
        </r>
        <r>
          <rPr>
            <sz val="10"/>
            <rFont val="Noto Sans CJK SC"/>
            <family val="2"/>
          </rPr>
          <t xml:space="preserve">へ換算。</t>
        </r>
        <r>
          <rPr>
            <sz val="10"/>
            <rFont val="Arial"/>
            <family val="2"/>
          </rPr>
          <t xml:space="preserve">B51 </t>
        </r>
        <r>
          <rPr>
            <sz val="10"/>
            <rFont val="Noto Sans CJK SC"/>
            <family val="2"/>
          </rPr>
          <t xml:space="preserve">へ反映される。</t>
        </r>
      </text>
    </comment>
    <comment ref="B90" authorId="0">
      <text>
        <r>
          <rPr>
            <sz val="10"/>
            <rFont val="Arial"/>
            <family val="2"/>
          </rPr>
          <t xml:space="preserve">0=</t>
        </r>
        <r>
          <rPr>
            <sz val="10"/>
            <rFont val="Noto Sans CJK SC"/>
            <family val="2"/>
          </rPr>
          <t xml:space="preserve">非加圧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通気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外気圧</t>
        </r>
        <r>
          <rPr>
            <sz val="10"/>
            <rFont val="Arial"/>
            <family val="2"/>
          </rPr>
          <t xml:space="preserve">) 1=</t>
        </r>
        <r>
          <rPr>
            <sz val="10"/>
            <rFont val="Noto Sans CJK SC"/>
            <family val="2"/>
          </rPr>
          <t xml:space="preserve">海面で密封 </t>
        </r>
        <r>
          <rPr>
            <sz val="10"/>
            <rFont val="Arial"/>
            <family val="2"/>
          </rPr>
          <t xml:space="preserve">2=</t>
        </r>
        <r>
          <rPr>
            <sz val="10"/>
            <rFont val="Noto Sans CJK SC"/>
            <family val="2"/>
          </rPr>
          <t xml:space="preserve">一定加圧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地上からガス供給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。
今回は地上から加圧供給なので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。</t>
        </r>
      </text>
    </comment>
    <comment ref="B91" authorId="0">
      <text>
        <r>
          <rPr>
            <sz val="10"/>
            <rFont val="Noto Sans CJK SC"/>
            <family val="2"/>
          </rPr>
          <t xml:space="preserve">モード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のとき内部に維持される絶対圧。地上供給圧を入力。
例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海面大気相当なら </t>
        </r>
        <r>
          <rPr>
            <sz val="10"/>
            <rFont val="Arial"/>
            <family val="2"/>
          </rPr>
          <t xml:space="preserve">101325 Pa</t>
        </r>
        <r>
          <rPr>
            <sz val="10"/>
            <rFont val="Noto Sans CJK SC"/>
            <family val="2"/>
          </rPr>
          <t xml:space="preserve">、加圧ドライエアならその値。</t>
        </r>
      </text>
    </comment>
    <comment ref="B92" authorId="0">
      <text>
        <r>
          <rPr>
            <sz val="10"/>
            <rFont val="Noto Sans CJK SC"/>
            <family val="2"/>
          </rPr>
          <t xml:space="preserve">標準大気からのずれ。寒候日に備えるなら負値。
任意の低温を使う場合は </t>
        </r>
        <r>
          <rPr>
            <sz val="10"/>
            <rFont val="Arial"/>
            <family val="2"/>
          </rPr>
          <t xml:space="preserve">B94 </t>
        </r>
        <r>
          <rPr>
            <sz val="10"/>
            <rFont val="Noto Sans CJK SC"/>
            <family val="2"/>
          </rPr>
          <t xml:space="preserve">を使用。</t>
        </r>
      </text>
    </comment>
    <comment ref="B93" authorId="0">
      <text>
        <r>
          <rPr>
            <sz val="10"/>
            <rFont val="Arial"/>
            <family val="2"/>
          </rPr>
          <t xml:space="preserve">ISA: </t>
        </r>
        <r>
          <rPr>
            <sz val="10"/>
            <rFont val="Noto Sans CJK SC"/>
            <family val="2"/>
          </rPr>
          <t xml:space="preserve">海面</t>
        </r>
        <r>
          <rPr>
            <sz val="10"/>
            <rFont val="Arial"/>
            <family val="2"/>
          </rPr>
          <t xml:space="preserve">15degC</t>
        </r>
        <r>
          <rPr>
            <sz val="10"/>
            <rFont val="Noto Sans CJK SC"/>
            <family val="2"/>
          </rPr>
          <t xml:space="preserve">、</t>
        </r>
        <r>
          <rPr>
            <sz val="10"/>
            <rFont val="Arial"/>
            <family val="2"/>
          </rPr>
          <t xml:space="preserve">-1.98degC/1000ft</t>
        </r>
        <r>
          <rPr>
            <sz val="10"/>
            <rFont val="Noto Sans CJK SC"/>
            <family val="2"/>
          </rPr>
          <t xml:space="preserve">。</t>
        </r>
        <r>
          <rPr>
            <sz val="10"/>
            <rFont val="Arial"/>
            <family val="2"/>
          </rPr>
          <t xml:space="preserve">35kft</t>
        </r>
        <r>
          <rPr>
            <sz val="10"/>
            <rFont val="Noto Sans CJK SC"/>
            <family val="2"/>
          </rPr>
          <t xml:space="preserve">で約</t>
        </r>
        <r>
          <rPr>
            <sz val="10"/>
            <rFont val="Arial"/>
            <family val="2"/>
          </rPr>
          <t xml:space="preserve">-54degC</t>
        </r>
        <r>
          <rPr>
            <sz val="10"/>
            <rFont val="Noto Sans CJK SC"/>
            <family val="2"/>
          </rPr>
          <t xml:space="preserve">。</t>
        </r>
      </text>
    </comment>
    <comment ref="B94" authorId="0">
      <text>
        <r>
          <rPr>
            <sz val="10"/>
            <rFont val="Noto Sans CJK SC"/>
            <family val="2"/>
          </rPr>
          <t xml:space="preserve">任意の低温を直接指定したい場合はここに温度を入力。
空欄なら </t>
        </r>
        <r>
          <rPr>
            <sz val="10"/>
            <rFont val="Arial"/>
            <family val="2"/>
          </rPr>
          <t xml:space="preserve">ISA+dISA </t>
        </r>
        <r>
          <rPr>
            <sz val="10"/>
            <rFont val="Noto Sans CJK SC"/>
            <family val="2"/>
          </rPr>
          <t xml:space="preserve">を使用。例</t>
        </r>
        <r>
          <rPr>
            <sz val="10"/>
            <rFont val="Arial"/>
            <family val="2"/>
          </rPr>
          <t xml:space="preserve">: -65 </t>
        </r>
        <r>
          <rPr>
            <sz val="10"/>
            <rFont val="Noto Sans CJK SC"/>
            <family val="2"/>
          </rPr>
          <t xml:space="preserve">と入力すればその温度を強制適用。</t>
        </r>
      </text>
    </comment>
    <comment ref="B95" authorId="0">
      <text>
        <r>
          <rPr>
            <sz val="10"/>
            <rFont val="Noto Sans CJK SC"/>
            <family val="2"/>
          </rPr>
          <t xml:space="preserve">オーバーライドがあればその値、なければ </t>
        </r>
        <r>
          <rPr>
            <sz val="10"/>
            <rFont val="Arial"/>
            <family val="2"/>
          </rPr>
          <t xml:space="preserve">ISA+dISA</t>
        </r>
        <r>
          <rPr>
            <sz val="10"/>
            <rFont val="Noto Sans CJK SC"/>
            <family val="2"/>
          </rPr>
          <t xml:space="preserve">。
</t>
        </r>
        <r>
          <rPr>
            <sz val="10"/>
            <rFont val="Arial"/>
            <family val="2"/>
          </rPr>
          <t xml:space="preserve">B27(</t>
        </r>
        <r>
          <rPr>
            <sz val="10"/>
            <rFont val="Noto Sans CJK SC"/>
            <family val="2"/>
          </rPr>
          <t xml:space="preserve">周囲温度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と </t>
        </r>
        <r>
          <rPr>
            <sz val="10"/>
            <rFont val="Arial"/>
            <family val="2"/>
          </rPr>
          <t xml:space="preserve">B53(</t>
        </r>
        <r>
          <rPr>
            <sz val="10"/>
            <rFont val="Noto Sans CJK SC"/>
            <family val="2"/>
          </rPr>
          <t xml:space="preserve">ガス温度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に反映される。</t>
        </r>
      </text>
    </comment>
    <comment ref="B96" authorId="0">
      <text>
        <r>
          <rPr>
            <sz val="10"/>
            <rFont val="Noto Sans CJK SC"/>
            <family val="2"/>
          </rPr>
          <t xml:space="preserve">対流圏標準大気式。</t>
        </r>
        <r>
          <rPr>
            <sz val="10"/>
            <rFont val="Arial"/>
            <family val="2"/>
          </rPr>
          <t xml:space="preserve">35kft</t>
        </r>
        <r>
          <rPr>
            <sz val="10"/>
            <rFont val="Noto Sans CJK SC"/>
            <family val="2"/>
          </rPr>
          <t xml:space="preserve">で約</t>
        </r>
        <r>
          <rPr>
            <sz val="10"/>
            <rFont val="Arial"/>
            <family val="2"/>
          </rPr>
          <t xml:space="preserve">23.8 kPa</t>
        </r>
        <r>
          <rPr>
            <sz val="10"/>
            <rFont val="Noto Sans CJK SC"/>
            <family val="2"/>
          </rPr>
          <t xml:space="preserve">。
非加圧モードと対流補正に使用。</t>
        </r>
      </text>
    </comment>
    <comment ref="B97" authorId="0">
      <text>
        <r>
          <rPr>
            <sz val="10"/>
            <rFont val="Noto Sans CJK SC"/>
            <family val="2"/>
          </rPr>
          <t xml:space="preserve">モード</t>
        </r>
        <r>
          <rPr>
            <sz val="10"/>
            <rFont val="Arial"/>
            <family val="2"/>
          </rPr>
          <t xml:space="preserve">0=</t>
        </r>
        <r>
          <rPr>
            <sz val="10"/>
            <rFont val="Noto Sans CJK SC"/>
            <family val="2"/>
          </rPr>
          <t xml:space="preserve">外気圧 </t>
        </r>
        <r>
          <rPr>
            <sz val="10"/>
            <rFont val="Arial"/>
            <family val="2"/>
          </rPr>
          <t xml:space="preserve">/ 1=</t>
        </r>
        <r>
          <rPr>
            <sz val="10"/>
            <rFont val="Noto Sans CJK SC"/>
            <family val="2"/>
          </rPr>
          <t xml:space="preserve">海面圧 </t>
        </r>
        <r>
          <rPr>
            <sz val="10"/>
            <rFont val="Arial"/>
            <family val="2"/>
          </rPr>
          <t xml:space="preserve">/ 2=</t>
        </r>
        <r>
          <rPr>
            <sz val="10"/>
            <rFont val="Noto Sans CJK SC"/>
            <family val="2"/>
          </rPr>
          <t xml:space="preserve">封入圧。
</t>
        </r>
        <r>
          <rPr>
            <sz val="10"/>
            <rFont val="Arial"/>
            <family val="2"/>
          </rPr>
          <t xml:space="preserve">B55(</t>
        </r>
        <r>
          <rPr>
            <sz val="10"/>
            <rFont val="Noto Sans CJK SC"/>
            <family val="2"/>
          </rPr>
          <t xml:space="preserve">導波管内絶対圧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へ反映される。</t>
        </r>
      </text>
    </comment>
    <comment ref="B98" authorId="0">
      <text>
        <r>
          <rPr>
            <sz val="10"/>
            <rFont val="Arial"/>
            <family val="2"/>
          </rPr>
          <t xml:space="preserve">h_conv </t>
        </r>
        <r>
          <rPr>
            <sz val="10"/>
            <rFont val="Noto Sans CJK SC"/>
            <family val="2"/>
          </rPr>
          <t xml:space="preserve">は </t>
        </r>
        <r>
          <rPr>
            <sz val="10"/>
            <rFont val="Arial"/>
            <family val="2"/>
          </rPr>
          <t xml:space="preserve">(p_amb/p0)^n </t>
        </r>
        <r>
          <rPr>
            <sz val="10"/>
            <rFont val="Noto Sans CJK SC"/>
            <family val="2"/>
          </rPr>
          <t xml:space="preserve">に比例。自然対流の概算で </t>
        </r>
        <r>
          <rPr>
            <sz val="10"/>
            <rFont val="Arial"/>
            <family val="2"/>
          </rPr>
          <t xml:space="preserve">n≈0.5</t>
        </r>
        <r>
          <rPr>
            <sz val="10"/>
            <rFont val="Noto Sans CJK SC"/>
            <family val="2"/>
          </rPr>
          <t xml:space="preserve">。
強制空冷やコールプレート伝導が主なら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に近い値を入力。</t>
        </r>
      </text>
    </comment>
    <comment ref="B99" authorId="0">
      <text>
        <r>
          <rPr>
            <sz val="10"/>
            <rFont val="Noto Sans CJK SC"/>
            <family val="2"/>
          </rPr>
          <t xml:space="preserve">低圧で自然対流が弱まる効果。</t>
        </r>
        <r>
          <rPr>
            <sz val="10"/>
            <rFont val="Arial"/>
            <family val="2"/>
          </rPr>
          <t xml:space="preserve">B34(h_eff)</t>
        </r>
        <r>
          <rPr>
            <sz val="10"/>
            <rFont val="Noto Sans CJK SC"/>
            <family val="2"/>
          </rPr>
          <t xml:space="preserve">へ反映される。</t>
        </r>
      </text>
    </comment>
  </commentList>
</comments>
</file>

<file path=xl/sharedStrings.xml><?xml version="1.0" encoding="utf-8"?>
<sst xmlns="http://schemas.openxmlformats.org/spreadsheetml/2006/main" count="848" uniqueCount="659">
  <si>
    <r>
      <rPr>
        <b val="true"/>
        <sz val="14"/>
        <color rgb="FFFFFFFF"/>
        <rFont val="Calibri"/>
        <family val="0"/>
        <charset val="1"/>
      </rPr>
      <t xml:space="preserve">WR90 TE10 </t>
    </r>
    <r>
      <rPr>
        <b val="true"/>
        <sz val="14"/>
        <color rgb="FFFFFFFF"/>
        <rFont val="Noto Sans CJK SC"/>
        <family val="2"/>
      </rPr>
      <t xml:space="preserve">許容電力ダッシュボード </t>
    </r>
    <r>
      <rPr>
        <b val="true"/>
        <sz val="14"/>
        <color rgb="FFFFFFFF"/>
        <rFont val="Calibri"/>
        <family val="0"/>
        <charset val="1"/>
      </rPr>
      <t xml:space="preserve">- Ragan</t>
    </r>
    <r>
      <rPr>
        <b val="true"/>
        <sz val="14"/>
        <color rgb="FFFFFFFF"/>
        <rFont val="Noto Sans CJK SC"/>
        <family val="2"/>
      </rPr>
      <t xml:space="preserve">短パルス式 </t>
    </r>
    <r>
      <rPr>
        <b val="true"/>
        <sz val="14"/>
        <color rgb="FFFFFFFF"/>
        <rFont val="Calibri"/>
        <family val="0"/>
        <charset val="1"/>
      </rPr>
      <t xml:space="preserve">/ VSWR / </t>
    </r>
    <r>
      <rPr>
        <b val="true"/>
        <sz val="14"/>
        <color rgb="FFFFFFFF"/>
        <rFont val="Noto Sans CJK SC"/>
        <family val="2"/>
      </rPr>
      <t xml:space="preserve">熱 拡張モデル  ※</t>
    </r>
    <r>
      <rPr>
        <b val="true"/>
        <sz val="14"/>
        <color rgb="FFFFFFFF"/>
        <rFont val="Calibri"/>
        <family val="0"/>
        <charset val="1"/>
      </rPr>
      <t xml:space="preserve">Inputs!B87=1 </t>
    </r>
    <r>
      <rPr>
        <b val="true"/>
        <sz val="14"/>
        <color rgb="FFFFFFFF"/>
        <rFont val="Noto Sans CJK SC"/>
        <family val="2"/>
      </rPr>
      <t xml:space="preserve">で</t>
    </r>
    <r>
      <rPr>
        <b val="true"/>
        <sz val="14"/>
        <color rgb="FFFFFFFF"/>
        <rFont val="Calibri"/>
        <family val="0"/>
        <charset val="1"/>
      </rPr>
      <t xml:space="preserve">35,000ft</t>
    </r>
    <r>
      <rPr>
        <b val="true"/>
        <sz val="14"/>
        <color rgb="FFFFFFFF"/>
        <rFont val="Noto Sans CJK SC"/>
        <family val="2"/>
      </rPr>
      <t xml:space="preserve">高度ケース</t>
    </r>
  </si>
  <si>
    <t xml:space="preserve">※誤読防止：このDashboardは現在の入力条件1ケースの判定です。絶縁破壊評価と熱評価の最悪ケースは分けて確認してください。詳細は「誤読防止_使い方」シート参照。</t>
  </si>
  <si>
    <t xml:space="preserve">指標</t>
  </si>
  <si>
    <t xml:space="preserve">Value</t>
  </si>
  <si>
    <t xml:space="preserve">単位</t>
  </si>
  <si>
    <t xml:space="preserve">コメント</t>
  </si>
  <si>
    <t xml:space="preserve">ダッシュボード用ピーク進行波電力</t>
  </si>
  <si>
    <t xml:space="preserve">kW</t>
  </si>
  <si>
    <t xml:space="preserve">ユーザー試算値</t>
  </si>
  <si>
    <t xml:space="preserve">デューティ比</t>
  </si>
  <si>
    <t xml:space="preserve">-</t>
  </si>
  <si>
    <t xml:space="preserve">パルス幅 × PRF</t>
  </si>
  <si>
    <t xml:space="preserve">平均進行波電力</t>
  </si>
  <si>
    <t xml:space="preserve">熱計算の入力基準</t>
  </si>
  <si>
    <r>
      <rPr>
        <sz val="11"/>
        <rFont val="Calibri"/>
        <family val="0"/>
        <charset val="1"/>
      </rPr>
      <t xml:space="preserve">VSWR</t>
    </r>
    <r>
      <rPr>
        <sz val="11"/>
        <rFont val="Noto Sans CJK SC"/>
        <family val="2"/>
      </rPr>
      <t xml:space="preserve">を正味電力基準で見る場合の供給ピーク電力</t>
    </r>
  </si>
  <si>
    <t xml:space="preserve">進行波 × (1-|Γ|^2)</t>
  </si>
  <si>
    <r>
      <rPr>
        <sz val="11"/>
        <rFont val="Calibri"/>
        <family val="0"/>
        <charset val="1"/>
      </rPr>
      <t xml:space="preserve">TE10 </t>
    </r>
    <r>
      <rPr>
        <sz val="11"/>
        <rFont val="Noto Sans CJK SC"/>
        <family val="2"/>
      </rPr>
      <t xml:space="preserve">カットオフ周波数</t>
    </r>
  </si>
  <si>
    <t xml:space="preserve">GHz</t>
  </si>
  <si>
    <t xml:space="preserve">動作周波数より低い必要あり</t>
  </si>
  <si>
    <r>
      <rPr>
        <sz val="11"/>
        <rFont val="Calibri"/>
        <family val="0"/>
        <charset val="1"/>
      </rPr>
      <t xml:space="preserve">TE10 </t>
    </r>
    <r>
      <rPr>
        <sz val="11"/>
        <rFont val="Noto Sans CJK SC"/>
        <family val="2"/>
      </rPr>
      <t xml:space="preserve">波動インピーダンス </t>
    </r>
    <r>
      <rPr>
        <sz val="11"/>
        <rFont val="Calibri"/>
        <family val="0"/>
        <charset val="1"/>
      </rPr>
      <t xml:space="preserve">Z_TE</t>
    </r>
  </si>
  <si>
    <t xml:space="preserve">Ω</t>
  </si>
  <si>
    <r>
      <rPr>
        <sz val="11"/>
        <rFont val="Calibri"/>
        <family val="0"/>
        <charset val="1"/>
      </rPr>
      <t xml:space="preserve">TE10</t>
    </r>
    <r>
      <rPr>
        <sz val="11"/>
        <rFont val="Noto Sans CJK SC"/>
        <family val="2"/>
      </rPr>
      <t xml:space="preserve">モードの波動インピーダンス</t>
    </r>
  </si>
  <si>
    <t xml:space="preserve">合計挿入損失</t>
  </si>
  <si>
    <t xml:space="preserve">dB</t>
  </si>
  <si>
    <t xml:space="preserve">有効化した部品を含む</t>
  </si>
  <si>
    <t xml:space="preserve">ダッシュボード電力での合計RF損失</t>
  </si>
  <si>
    <t xml:space="preserve">W</t>
  </si>
  <si>
    <t xml:space="preserve">平均損失。ピークではない</t>
  </si>
  <si>
    <t xml:space="preserve">最大部品電界係数 K_E</t>
  </si>
  <si>
    <t xml:space="preserve">有効化した部品の局所電界係数の最大値</t>
  </si>
  <si>
    <t xml:space="preserve">反射係数 |Γ|</t>
  </si>
  <si>
    <r>
      <rPr>
        <sz val="11"/>
        <rFont val="Calibri"/>
        <family val="0"/>
        <charset val="1"/>
      </rPr>
      <t xml:space="preserve">VSWR</t>
    </r>
    <r>
      <rPr>
        <sz val="11"/>
        <rFont val="Noto Sans CJK SC"/>
        <family val="2"/>
      </rPr>
      <t xml:space="preserve">から算出</t>
    </r>
  </si>
  <si>
    <t xml:space="preserve">進行波ピーク電界 E_peak</t>
  </si>
  <si>
    <t xml:space="preserve">kV/m</t>
  </si>
  <si>
    <t xml:space="preserve">進行波ピーク電力に対する値</t>
  </si>
  <si>
    <t xml:space="preserve">定在波ピーク電界 E_peak</t>
  </si>
  <si>
    <r>
      <rPr>
        <sz val="11"/>
        <rFont val="Calibri"/>
        <family val="0"/>
        <charset val="1"/>
      </rPr>
      <t xml:space="preserve">VSWR</t>
    </r>
    <r>
      <rPr>
        <sz val="11"/>
        <rFont val="Noto Sans CJK SC"/>
        <family val="2"/>
      </rPr>
      <t xml:space="preserve">による最大電界</t>
    </r>
  </si>
  <si>
    <t xml:space="preserve">部品K_E反映後の局所ピーク電界</t>
  </si>
  <si>
    <t xml:space="preserve">絶縁破壊判定で比較する値</t>
  </si>
  <si>
    <t xml:space="preserve">補正後絶縁破壊電界</t>
  </si>
  <si>
    <t xml:space="preserve">安全率を掛ける前</t>
  </si>
  <si>
    <t xml:space="preserve">設計許容電界</t>
  </si>
  <si>
    <t xml:space="preserve">電界安全率適用後</t>
  </si>
  <si>
    <t xml:space="preserve">電界利用率</t>
  </si>
  <si>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未満なら許容</t>
    </r>
  </si>
  <si>
    <t xml:space="preserve">絶縁破壊で制限されるピーク進行波電力</t>
  </si>
  <si>
    <t xml:space="preserve">進行波ピーク電力基準</t>
  </si>
  <si>
    <t xml:space="preserve">熱で制限されるピーク進行波電力</t>
  </si>
  <si>
    <t xml:space="preserve">部品ごとの熱制限の最小値</t>
  </si>
  <si>
    <t xml:space="preserve">最終許容ピーク進行波電力</t>
  </si>
  <si>
    <t xml:space="preserve">絶縁破壊制限と熱制限の小さい方</t>
  </si>
  <si>
    <t xml:space="preserve">支配要因</t>
  </si>
  <si>
    <t xml:space="preserve">現在の入力条件での判定</t>
  </si>
  <si>
    <t xml:space="preserve">ダッシュボード総合判定</t>
  </si>
  <si>
    <t xml:space="preserve">ダッシュボード用ピーク進行波電力に対する判定</t>
  </si>
  <si>
    <t xml:space="preserve">臨界パルス幅 τc</t>
  </si>
  <si>
    <t xml:space="preserve">µs</t>
  </si>
  <si>
    <t xml:space="preserve">スクリーニング用</t>
  </si>
  <si>
    <t xml:space="preserve">パルス幅 / τc</t>
  </si>
  <si>
    <r>
      <rPr>
        <sz val="11"/>
        <rFont val="Calibri"/>
        <family val="0"/>
        <charset val="1"/>
      </rPr>
      <t xml:space="preserve">&gt;&gt;1</t>
    </r>
    <r>
      <rPr>
        <sz val="11"/>
        <rFont val="Noto Sans CJK SC"/>
        <family val="2"/>
      </rPr>
      <t xml:space="preserve">なら</t>
    </r>
    <r>
      <rPr>
        <sz val="11"/>
        <rFont val="Calibri"/>
        <family val="0"/>
        <charset val="1"/>
      </rPr>
      <t xml:space="preserve">CW/</t>
    </r>
    <r>
      <rPr>
        <sz val="11"/>
        <rFont val="Noto Sans CJK SC"/>
        <family val="2"/>
      </rPr>
      <t xml:space="preserve">マルチパルス相当</t>
    </r>
  </si>
  <si>
    <t xml:space="preserve">パルス領域スクリーニング</t>
  </si>
  <si>
    <t xml:space="preserve">検証なしではパルスによる許容電界上昇を見込まない</t>
  </si>
  <si>
    <r>
      <rPr>
        <sz val="11"/>
        <rFont val="Calibri"/>
        <family val="0"/>
        <charset val="1"/>
      </rPr>
      <t xml:space="preserve">Ragan</t>
    </r>
    <r>
      <rPr>
        <sz val="11"/>
        <rFont val="Noto Sans CJK SC"/>
        <family val="2"/>
      </rPr>
      <t xml:space="preserve">単発破壊電界 </t>
    </r>
    <r>
      <rPr>
        <sz val="11"/>
        <rFont val="Calibri"/>
        <family val="0"/>
        <charset val="1"/>
      </rPr>
      <t xml:space="preserve">Eb</t>
    </r>
  </si>
  <si>
    <r>
      <rPr>
        <sz val="11"/>
        <rFont val="Calibri"/>
        <family val="0"/>
        <charset val="1"/>
      </rPr>
      <t xml:space="preserve">Ragan</t>
    </r>
    <r>
      <rPr>
        <sz val="11"/>
        <rFont val="Noto Sans CJK SC"/>
        <family val="2"/>
      </rPr>
      <t xml:space="preserve">電圧改善係数 </t>
    </r>
    <r>
      <rPr>
        <sz val="11"/>
        <rFont val="Calibri"/>
        <family val="0"/>
        <charset val="1"/>
      </rPr>
      <t xml:space="preserve">Fv</t>
    </r>
  </si>
  <si>
    <t xml:space="preserve">短パルス時のみ1以上。tau&gt;=tau_cではKtau=1に戻す</t>
  </si>
  <si>
    <t xml:space="preserve">使用Ktau</t>
  </si>
  <si>
    <r>
      <rPr>
        <sz val="11"/>
        <rFont val="Calibri"/>
        <family val="0"/>
        <charset val="1"/>
      </rPr>
      <t xml:space="preserve">Inputs!B60</t>
    </r>
    <r>
      <rPr>
        <sz val="11"/>
        <rFont val="Noto Sans CJK SC"/>
        <family val="2"/>
      </rPr>
      <t xml:space="preserve">。補正後絶縁破壊電界に反映</t>
    </r>
  </si>
  <si>
    <r>
      <rPr>
        <sz val="11"/>
        <rFont val="Calibri"/>
        <family val="0"/>
        <charset val="1"/>
      </rPr>
      <t xml:space="preserve">PRF</t>
    </r>
    <r>
      <rPr>
        <sz val="11"/>
        <rFont val="Noto Sans CJK SC"/>
        <family val="2"/>
      </rPr>
      <t xml:space="preserve">パルス間隔</t>
    </r>
  </si>
  <si>
    <t xml:space="preserve">ms</t>
  </si>
  <si>
    <t xml:space="preserve">1/PRF</t>
  </si>
  <si>
    <t xml:space="preserve">パルス間隔/tau_c</t>
  </si>
  <si>
    <t xml:space="preserve">大きいほど単発近似に近い</t>
  </si>
  <si>
    <r>
      <rPr>
        <sz val="11"/>
        <rFont val="Calibri"/>
        <family val="0"/>
        <charset val="1"/>
      </rPr>
      <t xml:space="preserve">PRF/multipulse</t>
    </r>
    <r>
      <rPr>
        <sz val="11"/>
        <rFont val="Noto Sans CJK SC"/>
        <family val="2"/>
      </rPr>
      <t xml:space="preserve">判定</t>
    </r>
  </si>
  <si>
    <t xml:space="preserve">残留電離・履歴効果の確認用</t>
  </si>
  <si>
    <t xml:space="preserve">半解析式 Ep peak換算</t>
  </si>
  <si>
    <r>
      <rPr>
        <sz val="11"/>
        <rFont val="Calibri"/>
        <family val="0"/>
        <charset val="1"/>
      </rPr>
      <t xml:space="preserve">Anderson/Yu</t>
    </r>
    <r>
      <rPr>
        <sz val="11"/>
        <rFont val="Noto Sans CJK SC"/>
        <family val="2"/>
      </rPr>
      <t xml:space="preserve">系式による参考値。</t>
    </r>
    <r>
      <rPr>
        <sz val="11"/>
        <rFont val="Calibri"/>
        <family val="0"/>
        <charset val="1"/>
      </rPr>
      <t xml:space="preserve">RMS</t>
    </r>
    <r>
      <rPr>
        <sz val="11"/>
        <rFont val="Noto Sans CJK SC"/>
        <family val="2"/>
      </rPr>
      <t xml:space="preserve">から</t>
    </r>
    <r>
      <rPr>
        <sz val="11"/>
        <rFont val="Calibri"/>
        <family val="0"/>
        <charset val="1"/>
      </rPr>
      <t xml:space="preserve">peak</t>
    </r>
    <r>
      <rPr>
        <sz val="11"/>
        <rFont val="Noto Sans CJK SC"/>
        <family val="2"/>
      </rPr>
      <t xml:space="preserve">換算。最終判定には直接使用しない</t>
    </r>
  </si>
  <si>
    <t xml:space="preserve">重要</t>
  </si>
  <si>
    <t xml:space="preserve">本版ではRagan短パルス式をKtauへ組み込みました。ただしtau&gt;=tau_cでは自動的にKtau=1とし、PRFの厳密効果はB61の保守係数で扱います。</t>
  </si>
  <si>
    <t xml:space="preserve">高度・加圧モデル確認</t>
  </si>
  <si>
    <t xml:space="preserve">高度モード</t>
  </si>
  <si>
    <t xml:space="preserve">1/0</t>
  </si>
  <si>
    <t xml:space="preserve">Inputs!B87</t>
  </si>
  <si>
    <t xml:space="preserve">圧力モード</t>
  </si>
  <si>
    <t xml:space="preserve">0/1/2/3</t>
  </si>
  <si>
    <r>
      <rPr>
        <sz val="11"/>
        <rFont val="Calibri"/>
        <family val="0"/>
        <charset val="1"/>
      </rPr>
      <t xml:space="preserve">0:</t>
    </r>
    <r>
      <rPr>
        <sz val="11"/>
        <rFont val="Noto Sans CJK SC"/>
        <family val="2"/>
      </rPr>
      <t xml:space="preserve">外気圧</t>
    </r>
    <r>
      <rPr>
        <sz val="11"/>
        <rFont val="Calibri"/>
        <family val="0"/>
        <charset val="1"/>
      </rPr>
      <t xml:space="preserve">, 1:</t>
    </r>
    <r>
      <rPr>
        <sz val="11"/>
        <rFont val="Noto Sans CJK SC"/>
        <family val="2"/>
      </rPr>
      <t xml:space="preserve">海面</t>
    </r>
    <r>
      <rPr>
        <sz val="11"/>
        <rFont val="Calibri"/>
        <family val="0"/>
        <charset val="1"/>
      </rPr>
      <t xml:space="preserve">1atm, 2:</t>
    </r>
    <r>
      <rPr>
        <sz val="11"/>
        <rFont val="Noto Sans CJK SC"/>
        <family val="2"/>
      </rPr>
      <t xml:space="preserve">指定絶対圧</t>
    </r>
    <r>
      <rPr>
        <sz val="11"/>
        <rFont val="Calibri"/>
        <family val="0"/>
        <charset val="1"/>
      </rPr>
      <t xml:space="preserve">, 3:</t>
    </r>
    <r>
      <rPr>
        <sz val="11"/>
        <rFont val="Noto Sans CJK SC"/>
        <family val="2"/>
      </rPr>
      <t xml:space="preserve">外気圧</t>
    </r>
    <r>
      <rPr>
        <sz val="11"/>
        <rFont val="Calibri"/>
        <family val="0"/>
        <charset val="1"/>
      </rPr>
      <t xml:space="preserve">+</t>
    </r>
    <r>
      <rPr>
        <sz val="11"/>
        <rFont val="Noto Sans CJK SC"/>
        <family val="2"/>
      </rPr>
      <t xml:space="preserve">ゲージ</t>
    </r>
  </si>
  <si>
    <t xml:space="preserve">運用高度</t>
  </si>
  <si>
    <t xml:space="preserve">ft</t>
  </si>
  <si>
    <t xml:space="preserve">高度周囲圧</t>
  </si>
  <si>
    <t xml:space="preserve">kPa</t>
  </si>
  <si>
    <t xml:space="preserve">導波管内部絶対圧</t>
  </si>
  <si>
    <t xml:space="preserve">導波管内部ガス温度</t>
  </si>
  <si>
    <t xml:space="preserve">degC</t>
  </si>
  <si>
    <t xml:space="preserve">ガス密度比 δ</t>
  </si>
  <si>
    <r>
      <rPr>
        <sz val="11"/>
        <rFont val="Calibri"/>
        <family val="0"/>
        <charset val="1"/>
      </rPr>
      <t xml:space="preserve">(p/p0)*(T0/T)  T0=293.15K</t>
    </r>
    <r>
      <rPr>
        <sz val="11"/>
        <rFont val="Noto Sans CJK SC"/>
        <family val="2"/>
      </rPr>
      <t xml:space="preserve">。</t>
    </r>
    <r>
      <rPr>
        <sz val="11"/>
        <rFont val="Calibri"/>
        <family val="0"/>
        <charset val="1"/>
      </rPr>
      <t xml:space="preserve">Inputs!B56</t>
    </r>
    <r>
      <rPr>
        <sz val="11"/>
        <rFont val="Noto Sans CJK SC"/>
        <family val="2"/>
      </rPr>
      <t xml:space="preserve">と同一式</t>
    </r>
  </si>
  <si>
    <t xml:space="preserve">高度補正後 h_conv</t>
  </si>
  <si>
    <t xml:space="preserve">W/m2/K</t>
  </si>
  <si>
    <t xml:space="preserve">B90=2は指定絶対圧を維持する前提。密閉固定質量やゲージ加圧の場合は入力を変える。熱評価は地上高温ケースも別途確認</t>
  </si>
  <si>
    <r>
      <rPr>
        <sz val="11"/>
        <rFont val="Calibri"/>
        <family val="0"/>
        <charset val="1"/>
      </rPr>
      <t xml:space="preserve">B90=2</t>
    </r>
    <r>
      <rPr>
        <sz val="11"/>
        <rFont val="Noto Sans CJK SC"/>
        <family val="2"/>
      </rPr>
      <t xml:space="preserve">は指定絶対圧を維持する前提。密閉固定質量やゲージ加圧の場合は入力を変えてください</t>
    </r>
  </si>
  <si>
    <t xml:space="preserve">誤読防止チェック</t>
  </si>
  <si>
    <t xml:space="preserve">状態</t>
  </si>
  <si>
    <t xml:space="preserve">確認先</t>
  </si>
  <si>
    <t xml:space="preserve">最終判定の適用範囲</t>
  </si>
  <si>
    <t xml:space="preserve">現在入力の1ケースのみ</t>
  </si>
  <si>
    <t xml:space="preserve">誤読防止_使い方</t>
  </si>
  <si>
    <t xml:space="preserve">運用包絡線の保証値ではありません</t>
  </si>
  <si>
    <r>
      <rPr>
        <sz val="11"/>
        <color rgb="FF333333"/>
        <rFont val="Calibri"/>
        <family val="0"/>
        <charset val="1"/>
      </rPr>
      <t xml:space="preserve">Ragan</t>
    </r>
    <r>
      <rPr>
        <sz val="11"/>
        <color rgb="FF333333"/>
        <rFont val="Noto Sans CJK SC"/>
        <family val="2"/>
      </rPr>
      <t xml:space="preserve">半解析式 </t>
    </r>
    <r>
      <rPr>
        <sz val="11"/>
        <color rgb="FF333333"/>
        <rFont val="Calibri"/>
        <family val="0"/>
        <charset val="1"/>
      </rPr>
      <t xml:space="preserve">Ep</t>
    </r>
  </si>
  <si>
    <t xml:space="preserve">参考表示</t>
  </si>
  <si>
    <t xml:space="preserve">Inputs!B81:B83 / Dashboard!B35</t>
  </si>
  <si>
    <t xml:space="preserve">最終判定に直接使用しません</t>
  </si>
  <si>
    <t xml:space="preserve">Inputs!B90:B97</t>
  </si>
  <si>
    <t xml:space="preserve">実機の加圧方式と一致させてください</t>
  </si>
  <si>
    <t xml:space="preserve">熱評価ケース</t>
  </si>
  <si>
    <t xml:space="preserve">別途確認推奨</t>
  </si>
  <si>
    <t xml:space="preserve">Inputs!B94/B100</t>
  </si>
  <si>
    <t xml:space="preserve">低温高度ケースでは熱制限が緩く見えるため、地上高温条件を確認</t>
  </si>
  <si>
    <t xml:space="preserve">パルス幅判定</t>
  </si>
  <si>
    <t xml:space="preserve">Inputs!B65:B66</t>
  </si>
  <si>
    <r>
      <rPr>
        <sz val="11"/>
        <color rgb="FF333333"/>
        <rFont val="Calibri"/>
        <family val="0"/>
        <charset val="1"/>
      </rPr>
      <t xml:space="preserve">τ&gt;=τc</t>
    </r>
    <r>
      <rPr>
        <sz val="11"/>
        <color rgb="FF333333"/>
        <rFont val="Noto Sans CJK SC"/>
        <family val="2"/>
      </rPr>
      <t xml:space="preserve">では短パルス上昇を見込まない</t>
    </r>
  </si>
  <si>
    <r>
      <rPr>
        <sz val="11"/>
        <color rgb="FF333333"/>
        <rFont val="Calibri"/>
        <family val="0"/>
        <charset val="1"/>
      </rPr>
      <t xml:space="preserve">DUTY</t>
    </r>
    <r>
      <rPr>
        <sz val="11"/>
        <color rgb="FF333333"/>
        <rFont val="Noto Sans CJK SC"/>
        <family val="2"/>
      </rPr>
      <t xml:space="preserve">の意味</t>
    </r>
  </si>
  <si>
    <t xml:space="preserve">平均電力/発熱に使用</t>
  </si>
  <si>
    <t xml:space="preserve">Dashboard!B4:B6</t>
  </si>
  <si>
    <t xml:space="preserve">ピーク電力入力時の瞬時電界はDUTYで下げません</t>
  </si>
  <si>
    <r>
      <rPr>
        <b val="true"/>
        <sz val="14"/>
        <color rgb="FFFFFFFF"/>
        <rFont val="Calibri"/>
        <family val="0"/>
        <charset val="1"/>
      </rPr>
      <t xml:space="preserve">WR90 TE10 </t>
    </r>
    <r>
      <rPr>
        <b val="true"/>
        <sz val="14"/>
        <color rgb="FFFFFFFF"/>
        <rFont val="Noto Sans CJK SC"/>
        <family val="2"/>
      </rPr>
      <t xml:space="preserve">許容電力入力 </t>
    </r>
    <r>
      <rPr>
        <b val="true"/>
        <sz val="14"/>
        <color rgb="FFFFFFFF"/>
        <rFont val="Calibri"/>
        <family val="0"/>
        <charset val="1"/>
      </rPr>
      <t xml:space="preserve">- </t>
    </r>
    <r>
      <rPr>
        <b val="true"/>
        <sz val="14"/>
        <color rgb="FFFFFFFF"/>
        <rFont val="Noto Sans CJK SC"/>
        <family val="2"/>
      </rPr>
      <t xml:space="preserve">パルス </t>
    </r>
    <r>
      <rPr>
        <b val="true"/>
        <sz val="14"/>
        <color rgb="FFFFFFFF"/>
        <rFont val="Calibri"/>
        <family val="0"/>
        <charset val="1"/>
      </rPr>
      <t xml:space="preserve">/ VSWR / </t>
    </r>
    <r>
      <rPr>
        <b val="true"/>
        <sz val="14"/>
        <color rgb="FFFFFFFF"/>
        <rFont val="Noto Sans CJK SC"/>
        <family val="2"/>
      </rPr>
      <t xml:space="preserve">熱 拡張版</t>
    </r>
  </si>
  <si>
    <t xml:space="preserve">パラメータ</t>
  </si>
  <si>
    <t xml:space="preserve">注記</t>
  </si>
  <si>
    <t xml:space="preserve">物理定数</t>
  </si>
  <si>
    <t xml:space="preserve">光速 c0</t>
  </si>
  <si>
    <t xml:space="preserve">m/s</t>
  </si>
  <si>
    <t xml:space="preserve">真空中の光速</t>
  </si>
  <si>
    <t xml:space="preserve">自由空間波インピーダンス eta0</t>
  </si>
  <si>
    <t xml:space="preserve">自由空間の波動インピーダンス</t>
  </si>
  <si>
    <t xml:space="preserve">真空の透磁率 mu0</t>
  </si>
  <si>
    <t xml:space="preserve">H/m</t>
  </si>
  <si>
    <t xml:space="preserve">真空の透磁率</t>
  </si>
  <si>
    <t xml:space="preserve">ステファン・ボルツマン定数 sigma_SB</t>
  </si>
  <si>
    <t xml:space="preserve">W/m2/K4</t>
  </si>
  <si>
    <t xml:space="preserve">放射熱伝達の定数</t>
  </si>
  <si>
    <t xml:space="preserve">導波管 / TE10</t>
  </si>
  <si>
    <t xml:space="preserve">内側幅 a_inner</t>
  </si>
  <si>
    <t xml:space="preserve">m</t>
  </si>
  <si>
    <r>
      <rPr>
        <sz val="11"/>
        <rFont val="Calibri"/>
        <family val="0"/>
        <charset val="1"/>
      </rPr>
      <t xml:space="preserve">WR90 </t>
    </r>
    <r>
      <rPr>
        <sz val="11"/>
        <rFont val="Noto Sans CJK SC"/>
        <family val="2"/>
      </rPr>
      <t xml:space="preserve">広壁側の内寸</t>
    </r>
  </si>
  <si>
    <t xml:space="preserve">内側高さ b_inner</t>
  </si>
  <si>
    <r>
      <rPr>
        <sz val="11"/>
        <rFont val="Calibri"/>
        <family val="0"/>
        <charset val="1"/>
      </rPr>
      <t xml:space="preserve">WR90 </t>
    </r>
    <r>
      <rPr>
        <sz val="11"/>
        <rFont val="Noto Sans CJK SC"/>
        <family val="2"/>
      </rPr>
      <t xml:space="preserve">狭壁側の内寸</t>
    </r>
  </si>
  <si>
    <t xml:space="preserve">肉厚 wall_thickness</t>
  </si>
  <si>
    <r>
      <rPr>
        <sz val="11"/>
        <rFont val="Calibri"/>
        <family val="0"/>
        <charset val="1"/>
      </rPr>
      <t xml:space="preserve">WR90</t>
    </r>
    <r>
      <rPr>
        <sz val="11"/>
        <rFont val="Noto Sans CJK SC"/>
        <family val="2"/>
      </rPr>
      <t xml:space="preserve">の代表的肉厚。実部品に合わせて変更</t>
    </r>
  </si>
  <si>
    <t xml:space="preserve">直管長 straight_waveguide_length</t>
  </si>
  <si>
    <t xml:space="preserve">直管部の導体損と放熱面積に使用</t>
  </si>
  <si>
    <t xml:space="preserve">周波数 frequency</t>
  </si>
  <si>
    <t xml:space="preserve">Hz</t>
  </si>
  <si>
    <t xml:space="preserve">動作周波数</t>
  </si>
  <si>
    <t xml:space="preserve">比誘電率 relative_permittivity</t>
  </si>
  <si>
    <t xml:space="preserve">空気/窒素では概ね1.0</t>
  </si>
  <si>
    <t xml:space="preserve">導電率 conductivity</t>
  </si>
  <si>
    <t xml:space="preserve">S/m</t>
  </si>
  <si>
    <t xml:space="preserve">銅を基準。めっき・表面状態に応じて有効値を変更</t>
  </si>
  <si>
    <t xml:space="preserve">表面損失倍率 surface_loss_multiplier</t>
  </si>
  <si>
    <t xml:space="preserve">粗さ、めっき、継手、経年劣化を見込む場合は1より大</t>
  </si>
  <si>
    <t xml:space="preserve">外周長 outer_perimeter</t>
  </si>
  <si>
    <t xml:space="preserve">外形寸法から計算</t>
  </si>
  <si>
    <r>
      <rPr>
        <sz val="11"/>
        <rFont val="Calibri"/>
        <family val="0"/>
        <charset val="1"/>
      </rPr>
      <t xml:space="preserve">TE10</t>
    </r>
    <r>
      <rPr>
        <sz val="11"/>
        <rFont val="Noto Sans CJK SC"/>
        <family val="2"/>
      </rPr>
      <t xml:space="preserve">カットオフ周波数</t>
    </r>
  </si>
  <si>
    <t xml:space="preserve">fc = c/(2a√eps_r)</t>
  </si>
  <si>
    <t xml:space="preserve">伝搬係数 chi</t>
  </si>
  <si>
    <t xml:space="preserve">sqrt(1-(fc/f)^2)</t>
  </si>
  <si>
    <r>
      <rPr>
        <sz val="11"/>
        <rFont val="Calibri"/>
        <family val="0"/>
        <charset val="1"/>
      </rPr>
      <t xml:space="preserve">TE10</t>
    </r>
    <r>
      <rPr>
        <sz val="11"/>
        <rFont val="Noto Sans CJK SC"/>
        <family val="2"/>
      </rPr>
      <t xml:space="preserve">波動インピーダンス </t>
    </r>
    <r>
      <rPr>
        <sz val="11"/>
        <rFont val="Calibri"/>
        <family val="0"/>
        <charset val="1"/>
      </rPr>
      <t xml:space="preserve">Z_TE</t>
    </r>
  </si>
  <si>
    <t xml:space="preserve">eta/sqrt(1-(fc/f)^2)</t>
  </si>
  <si>
    <t xml:space="preserve">表面抵抗 Rs</t>
  </si>
  <si>
    <t xml:space="preserve">Ω/sq</t>
  </si>
  <si>
    <t xml:space="preserve">Rs = sqrt(pi*f*mu0/sigma)</t>
  </si>
  <si>
    <r>
      <rPr>
        <sz val="11"/>
        <rFont val="Calibri"/>
        <family val="0"/>
        <charset val="1"/>
      </rPr>
      <t xml:space="preserve">TE10</t>
    </r>
    <r>
      <rPr>
        <sz val="11"/>
        <rFont val="Noto Sans CJK SC"/>
        <family val="2"/>
      </rPr>
      <t xml:space="preserve">導体損</t>
    </r>
  </si>
  <si>
    <t xml:space="preserve">Np/m</t>
  </si>
  <si>
    <r>
      <rPr>
        <sz val="11"/>
        <rFont val="Calibri"/>
        <family val="0"/>
        <charset val="1"/>
      </rPr>
      <t xml:space="preserve">TE10</t>
    </r>
    <r>
      <rPr>
        <sz val="11"/>
        <rFont val="Noto Sans CJK SC"/>
        <family val="2"/>
      </rPr>
      <t xml:space="preserve">の壁面電流から算出</t>
    </r>
  </si>
  <si>
    <t xml:space="preserve">dB/m</t>
  </si>
  <si>
    <r>
      <rPr>
        <sz val="11"/>
        <rFont val="Calibri"/>
        <family val="0"/>
        <charset val="1"/>
      </rPr>
      <t xml:space="preserve">Components</t>
    </r>
    <r>
      <rPr>
        <sz val="11"/>
        <rFont val="Noto Sans CJK SC"/>
        <family val="2"/>
      </rPr>
      <t xml:space="preserve">の直管行で使用</t>
    </r>
  </si>
  <si>
    <t xml:space="preserve">熱 / 環境</t>
  </si>
  <si>
    <t xml:space="preserve">周囲温度 ambient_temperature</t>
  </si>
  <si>
    <t xml:space="preserve">周囲空気温度</t>
  </si>
  <si>
    <t xml:space="preserve">ホットスポット許容温度</t>
  </si>
  <si>
    <t xml:space="preserve">局所部品/ホットスポットの許容温度</t>
  </si>
  <si>
    <t xml:space="preserve">自然対流熱伝達率 h</t>
  </si>
  <si>
    <t xml:space="preserve">ユーザー入力。静止空気の概算値</t>
  </si>
  <si>
    <t xml:space="preserve">放射率 emissivity</t>
  </si>
  <si>
    <t xml:space="preserve">表面状態に依存するユーザー入力</t>
  </si>
  <si>
    <t xml:space="preserve">平均表面温度</t>
  </si>
  <si>
    <t xml:space="preserve">線形化放射熱伝達率 h_rad の計算に使用</t>
  </si>
  <si>
    <t xml:space="preserve">追加接触・熱拡がり熱抵抗</t>
  </si>
  <si>
    <t xml:space="preserve">degC/W</t>
  </si>
  <si>
    <t xml:space="preserve">フランジ/接触/熱拡がり分を加算</t>
  </si>
  <si>
    <t xml:space="preserve">線形化放射熱伝達率 h_rad</t>
  </si>
  <si>
    <t xml:space="preserve">4*eps*sigma*Tmean^3</t>
  </si>
  <si>
    <t xml:space="preserve">有効熱伝達率 h_eff</t>
  </si>
  <si>
    <r>
      <rPr>
        <sz val="11"/>
        <rFont val="Calibri"/>
        <family val="0"/>
        <charset val="1"/>
      </rPr>
      <t xml:space="preserve">h_conv + h_rad</t>
    </r>
    <r>
      <rPr>
        <sz val="11"/>
        <rFont val="Noto Sans CJK SC"/>
        <family val="2"/>
      </rPr>
      <t xml:space="preserve">。高度モード時は低圧補正した </t>
    </r>
    <r>
      <rPr>
        <sz val="11"/>
        <rFont val="Calibri"/>
        <family val="0"/>
        <charset val="1"/>
      </rPr>
      <t xml:space="preserve">h_conv </t>
    </r>
    <r>
      <rPr>
        <sz val="11"/>
        <rFont val="Noto Sans CJK SC"/>
        <family val="2"/>
      </rPr>
      <t xml:space="preserve">を使用</t>
    </r>
  </si>
  <si>
    <t xml:space="preserve">直管WR90熱抵抗推定</t>
  </si>
  <si>
    <r>
      <rPr>
        <sz val="11"/>
        <rFont val="Calibri"/>
        <family val="0"/>
        <charset val="1"/>
      </rPr>
      <t xml:space="preserve">1/(h_eff*</t>
    </r>
    <r>
      <rPr>
        <sz val="11"/>
        <rFont val="Noto Sans CJK SC"/>
        <family val="2"/>
      </rPr>
      <t xml:space="preserve">外周長</t>
    </r>
    <r>
      <rPr>
        <sz val="11"/>
        <rFont val="Calibri"/>
        <family val="0"/>
        <charset val="1"/>
      </rPr>
      <t xml:space="preserve">*</t>
    </r>
    <r>
      <rPr>
        <sz val="11"/>
        <rFont val="Noto Sans CJK SC"/>
        <family val="2"/>
      </rPr>
      <t xml:space="preserve">長さ</t>
    </r>
    <r>
      <rPr>
        <sz val="11"/>
        <rFont val="Calibri"/>
        <family val="0"/>
        <charset val="1"/>
      </rPr>
      <t xml:space="preserve">)+</t>
    </r>
    <r>
      <rPr>
        <sz val="11"/>
        <rFont val="Noto Sans CJK SC"/>
        <family val="2"/>
      </rPr>
      <t xml:space="preserve">追加分</t>
    </r>
  </si>
  <si>
    <t xml:space="preserve">パルス / 電力 / 不整合</t>
  </si>
  <si>
    <t xml:space="preserve">パルス幅 pulse_width</t>
  </si>
  <si>
    <t xml:space="preserve">s</t>
  </si>
  <si>
    <r>
      <rPr>
        <sz val="11"/>
        <rFont val="Calibri"/>
        <family val="0"/>
        <charset val="1"/>
      </rPr>
      <t xml:space="preserve">RF</t>
    </r>
    <r>
      <rPr>
        <sz val="11"/>
        <rFont val="Noto Sans CJK SC"/>
        <family val="2"/>
      </rPr>
      <t xml:space="preserve">パルス幅</t>
    </r>
  </si>
  <si>
    <t xml:space="preserve">パルス繰返し周波数 PRF</t>
  </si>
  <si>
    <t xml:space="preserve">PRF</t>
  </si>
  <si>
    <t xml:space="preserve">デューティ比 duty</t>
  </si>
  <si>
    <t xml:space="preserve">pulse_width * PRF</t>
  </si>
  <si>
    <r>
      <rPr>
        <sz val="11"/>
        <rFont val="Calibri"/>
        <family val="0"/>
        <charset val="1"/>
      </rPr>
      <t xml:space="preserve">Dashboard</t>
    </r>
    <r>
      <rPr>
        <sz val="11"/>
        <rFont val="Noto Sans CJK SC"/>
        <family val="2"/>
      </rPr>
      <t xml:space="preserve">用の試算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入力値</t>
    </r>
  </si>
  <si>
    <t xml:space="preserve">VSWR</t>
  </si>
  <si>
    <t xml:space="preserve">定在波電界増加に使用</t>
  </si>
  <si>
    <t xml:space="preserve">反射係数絶対値 |Γ|</t>
  </si>
  <si>
    <t xml:space="preserve">(VSWR-1)/(VSWR+1)</t>
  </si>
  <si>
    <t xml:space="preserve">供給電力比</t>
  </si>
  <si>
    <t xml:space="preserve">正味供給電力を見る場合: 1-|Gamma|^2</t>
  </si>
  <si>
    <t xml:space="preserve">絶縁破壊 / 圧力 / パルス係数</t>
  </si>
  <si>
    <t xml:space="preserve">電界安全率</t>
  </si>
  <si>
    <t xml:space="preserve">設計許容電界 = 補正後破壊電界 / 安全率</t>
  </si>
  <si>
    <t xml:space="preserve">温度上昇安全率</t>
  </si>
  <si>
    <t xml:space="preserve">許容ΔT=(Tlim-Tamb)/安全率</t>
  </si>
  <si>
    <t xml:space="preserve">基準CW絶縁破壊電界</t>
  </si>
  <si>
    <t xml:space="preserve">V/m</t>
  </si>
  <si>
    <t xml:space="preserve">ユーザー入力。検証済みのマイクロ波/ガスデータで置換</t>
  </si>
  <si>
    <t xml:space="preserve">基準圧力</t>
  </si>
  <si>
    <t xml:space="preserve">Pa</t>
  </si>
  <si>
    <t xml:space="preserve">高度</t>
  </si>
  <si>
    <t xml:space="preserve">周囲圧力の概算に使用</t>
  </si>
  <si>
    <t xml:space="preserve">導波管ゲージ圧</t>
  </si>
  <si>
    <t xml:space="preserve">B90=3（外気圧+ゲージ加圧）のとき使用。高度モードoffでは旧計算にも使用</t>
  </si>
  <si>
    <t xml:space="preserve">ガス温度</t>
  </si>
  <si>
    <t xml:space="preserve">導波管内ガス温度。B100が空欄なら高度外気温/既定値を使用。絶縁破壊評価では内部ガス温度、熱評価では外気/放熱条件を分けて確認</t>
  </si>
  <si>
    <t xml:space="preserve">高度からの周囲圧力</t>
  </si>
  <si>
    <t xml:space="preserve">対流圏近似</t>
  </si>
  <si>
    <t xml:space="preserve">導波管内絶対圧</t>
  </si>
  <si>
    <t xml:space="preserve">高度モード時はB97、非高度モード時はB54+B52</t>
  </si>
  <si>
    <t xml:space="preserve">ガス密度比 delta</t>
  </si>
  <si>
    <r>
      <rPr>
        <sz val="11"/>
        <rFont val="Calibri"/>
        <family val="0"/>
        <charset val="1"/>
      </rPr>
      <t xml:space="preserve">(p/p0)*(T0/T) </t>
    </r>
    <r>
      <rPr>
        <sz val="11"/>
        <rFont val="Noto Sans CJK SC"/>
        <family val="2"/>
      </rPr>
      <t xml:space="preserve">一次近似の電界スケーリング</t>
    </r>
  </si>
  <si>
    <t xml:space="preserve">ガス係数</t>
  </si>
  <si>
    <t xml:space="preserve">乾燥空気/窒素/SF6などのデータがあれば入力</t>
  </si>
  <si>
    <t xml:space="preserve">湿度係数</t>
  </si>
  <si>
    <t xml:space="preserve">設計ルール/試験データに基づくディレーティング</t>
  </si>
  <si>
    <t xml:space="preserve">汚損・表面係数</t>
  </si>
  <si>
    <t xml:space="preserve">汚損・粗さに対するディレーティング</t>
  </si>
  <si>
    <t xml:space="preserve">パルス幅係数 Ktau</t>
  </si>
  <si>
    <t xml:space="preserve">行68以降のRagan/短パルスモデルで自動計算。安全側でtau&gt;=tau_cなら1。1を超える値を使う場合は試験/メーカー根拠が必要</t>
  </si>
  <si>
    <t xml:space="preserve">マルチパルス/PRF係数</t>
  </si>
  <si>
    <r>
      <rPr>
        <sz val="11"/>
        <rFont val="Calibri"/>
        <family val="0"/>
        <charset val="1"/>
      </rPr>
      <t xml:space="preserve">PRF</t>
    </r>
    <r>
      <rPr>
        <sz val="11"/>
        <rFont val="Noto Sans CJK SC"/>
        <family val="2"/>
      </rPr>
      <t xml:space="preserve">による残留電離・マルチパルス効果は閉形式だけでは不確か。必要に応じて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未満を入力。安全側では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を超えない</t>
    </r>
  </si>
  <si>
    <r>
      <rPr>
        <sz val="11"/>
        <rFont val="Calibri"/>
        <family val="0"/>
        <charset val="1"/>
      </rPr>
      <t xml:space="preserve">Ebd_ref * </t>
    </r>
    <r>
      <rPr>
        <sz val="11"/>
        <rFont val="Noto Sans CJK SC"/>
        <family val="2"/>
      </rPr>
      <t xml:space="preserve">各係数</t>
    </r>
  </si>
  <si>
    <t xml:space="preserve">補正後絶縁破壊電界 / 電界安全率</t>
  </si>
  <si>
    <t xml:space="preserve">絶対圧力</t>
  </si>
  <si>
    <t xml:space="preserve">torr</t>
  </si>
  <si>
    <t xml:space="preserve">臨界パルス幅スクリーニング用</t>
  </si>
  <si>
    <t xml:space="preserve">臨界パルス幅 tau_c</t>
  </si>
  <si>
    <t xml:space="preserve">tau_c = 1e-3 / pressure[torr]</t>
  </si>
  <si>
    <r>
      <rPr>
        <sz val="11"/>
        <rFont val="Calibri"/>
        <family val="0"/>
        <charset val="1"/>
      </rPr>
      <t xml:space="preserve">CW/</t>
    </r>
    <r>
      <rPr>
        <sz val="11"/>
        <rFont val="Noto Sans CJK SC"/>
        <family val="2"/>
      </rPr>
      <t xml:space="preserve">マルチパルス相当 または 短パルス領域</t>
    </r>
  </si>
  <si>
    <r>
      <rPr>
        <b val="true"/>
        <sz val="11"/>
        <color rgb="FFFFFFFF"/>
        <rFont val="Calibri"/>
        <family val="0"/>
        <charset val="1"/>
      </rPr>
      <t xml:space="preserve">Ragan / Anderson </t>
    </r>
    <r>
      <rPr>
        <b val="true"/>
        <sz val="11"/>
        <color rgb="FFFFFFFF"/>
        <rFont val="Noto Sans CJK SC"/>
        <family val="2"/>
      </rPr>
      <t xml:space="preserve">短パルス絶縁破壊モデル</t>
    </r>
  </si>
  <si>
    <r>
      <rPr>
        <sz val="11"/>
        <rFont val="Calibri"/>
        <family val="0"/>
        <charset val="1"/>
      </rPr>
      <t xml:space="preserve">Ragan/</t>
    </r>
    <r>
      <rPr>
        <sz val="11"/>
        <rFont val="Noto Sans CJK SC"/>
        <family val="2"/>
      </rPr>
      <t xml:space="preserve">短パルス</t>
    </r>
    <r>
      <rPr>
        <sz val="11"/>
        <rFont val="Calibri"/>
        <family val="0"/>
        <charset val="1"/>
      </rPr>
      <t xml:space="preserve">Ktau</t>
    </r>
    <r>
      <rPr>
        <sz val="11"/>
        <rFont val="Noto Sans CJK SC"/>
        <family val="2"/>
      </rPr>
      <t xml:space="preserve">を自動適用</t>
    </r>
  </si>
  <si>
    <r>
      <rPr>
        <sz val="11"/>
        <rFont val="Calibri"/>
        <family val="0"/>
        <charset val="1"/>
      </rPr>
      <t xml:space="preserve">1: </t>
    </r>
    <r>
      <rPr>
        <sz val="11"/>
        <rFont val="Noto Sans CJK SC"/>
        <family val="2"/>
      </rPr>
      <t xml:space="preserve">行</t>
    </r>
    <r>
      <rPr>
        <sz val="11"/>
        <rFont val="Calibri"/>
        <family val="0"/>
        <charset val="1"/>
      </rPr>
      <t xml:space="preserve">75</t>
    </r>
    <r>
      <rPr>
        <sz val="11"/>
        <rFont val="Noto Sans CJK SC"/>
        <family val="2"/>
      </rPr>
      <t xml:space="preserve">の</t>
    </r>
    <r>
      <rPr>
        <sz val="11"/>
        <rFont val="Calibri"/>
        <family val="0"/>
        <charset val="1"/>
      </rPr>
      <t xml:space="preserve">Ktau</t>
    </r>
    <r>
      <rPr>
        <sz val="11"/>
        <rFont val="Noto Sans CJK SC"/>
        <family val="2"/>
      </rPr>
      <t xml:space="preserve">候補を</t>
    </r>
    <r>
      <rPr>
        <sz val="11"/>
        <rFont val="Calibri"/>
        <family val="0"/>
        <charset val="1"/>
      </rPr>
      <t xml:space="preserve">B60</t>
    </r>
    <r>
      <rPr>
        <sz val="11"/>
        <rFont val="Noto Sans CJK SC"/>
        <family val="2"/>
      </rPr>
      <t xml:space="preserve">へ反映。</t>
    </r>
    <r>
      <rPr>
        <sz val="11"/>
        <rFont val="Calibri"/>
        <family val="0"/>
        <charset val="1"/>
      </rPr>
      <t xml:space="preserve">0: </t>
    </r>
    <r>
      <rPr>
        <sz val="11"/>
        <rFont val="Noto Sans CJK SC"/>
        <family val="2"/>
      </rPr>
      <t xml:space="preserve">手入力</t>
    </r>
    <r>
      <rPr>
        <sz val="11"/>
        <rFont val="Calibri"/>
        <family val="0"/>
        <charset val="1"/>
      </rPr>
      <t xml:space="preserve">Ktau</t>
    </r>
    <r>
      <rPr>
        <sz val="11"/>
        <rFont val="Noto Sans CJK SC"/>
        <family val="2"/>
      </rPr>
      <t xml:space="preserve">を使用</t>
    </r>
  </si>
  <si>
    <t xml:space="preserve">手入力Ktau</t>
  </si>
  <si>
    <t xml:space="preserve">自動適用=0の場合に使用</t>
  </si>
  <si>
    <t xml:space="preserve">kV/cm</t>
  </si>
  <si>
    <r>
      <rPr>
        <sz val="11"/>
        <rFont val="Calibri"/>
        <family val="0"/>
        <charset val="1"/>
      </rPr>
      <t xml:space="preserve">Eb=22.22+87.24/(1+(tau/2.47e-9)^0.648)</t>
    </r>
    <r>
      <rPr>
        <sz val="11"/>
        <rFont val="Noto Sans CJK SC"/>
        <family val="2"/>
      </rPr>
      <t xml:space="preserve">。海面高度・単発パルス近似</t>
    </r>
  </si>
  <si>
    <r>
      <rPr>
        <sz val="11"/>
        <rFont val="Calibri"/>
        <family val="0"/>
        <charset val="1"/>
      </rPr>
      <t xml:space="preserve">Ragan CW</t>
    </r>
    <r>
      <rPr>
        <sz val="11"/>
        <rFont val="Noto Sans CJK SC"/>
        <family val="2"/>
      </rPr>
      <t xml:space="preserve">相当破壊電界</t>
    </r>
  </si>
  <si>
    <t xml:space="preserve">海面高度近傍のマイクロ波空気破壊電界の代表値</t>
  </si>
  <si>
    <r>
      <rPr>
        <sz val="11"/>
        <rFont val="Calibri"/>
        <family val="0"/>
        <charset val="1"/>
      </rPr>
      <t xml:space="preserve">Fv=Eb/22.8</t>
    </r>
    <r>
      <rPr>
        <sz val="11"/>
        <rFont val="Noto Sans CJK SC"/>
        <family val="2"/>
      </rPr>
      <t xml:space="preserve">。ただし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未満にはしない</t>
    </r>
  </si>
  <si>
    <r>
      <rPr>
        <sz val="11"/>
        <rFont val="Calibri"/>
        <family val="0"/>
        <charset val="1"/>
      </rPr>
      <t xml:space="preserve">Ragan Ktau</t>
    </r>
    <r>
      <rPr>
        <sz val="11"/>
        <rFont val="Noto Sans CJK SC"/>
        <family val="2"/>
      </rPr>
      <t xml:space="preserve">候補</t>
    </r>
  </si>
  <si>
    <r>
      <rPr>
        <sz val="11"/>
        <rFont val="Calibri"/>
        <family val="0"/>
        <charset val="1"/>
      </rPr>
      <t xml:space="preserve">tau &lt; tau_c </t>
    </r>
    <r>
      <rPr>
        <sz val="11"/>
        <rFont val="Noto Sans CJK SC"/>
        <family val="2"/>
      </rPr>
      <t xml:space="preserve">の場合だけ短パルス上昇を使用。それ以外は</t>
    </r>
    <r>
      <rPr>
        <sz val="11"/>
        <rFont val="Calibri"/>
        <family val="0"/>
        <charset val="1"/>
      </rPr>
      <t xml:space="preserve">1</t>
    </r>
  </si>
  <si>
    <r>
      <rPr>
        <sz val="11"/>
        <rFont val="Calibri"/>
        <family val="0"/>
        <charset val="1"/>
      </rPr>
      <t xml:space="preserve">B60</t>
    </r>
    <r>
      <rPr>
        <sz val="11"/>
        <rFont val="Noto Sans CJK SC"/>
        <family val="2"/>
      </rPr>
      <t xml:space="preserve">に実際使用される</t>
    </r>
    <r>
      <rPr>
        <sz val="11"/>
        <rFont val="Calibri"/>
        <family val="0"/>
        <charset val="1"/>
      </rPr>
      <t xml:space="preserve">Ktau</t>
    </r>
  </si>
  <si>
    <r>
      <rPr>
        <sz val="11"/>
        <rFont val="Calibri"/>
        <family val="0"/>
        <charset val="1"/>
      </rPr>
      <t xml:space="preserve">B60</t>
    </r>
    <r>
      <rPr>
        <sz val="11"/>
        <rFont val="Noto Sans CJK SC"/>
        <family val="2"/>
      </rPr>
      <t xml:space="preserve">と同じ値。絶縁破壊電界補正式へ反映</t>
    </r>
  </si>
  <si>
    <t xml:space="preserve">パルス間隔 1/PRF</t>
  </si>
  <si>
    <r>
      <rPr>
        <sz val="11"/>
        <rFont val="Calibri"/>
        <family val="0"/>
        <charset val="1"/>
      </rPr>
      <t xml:space="preserve">PRF</t>
    </r>
    <r>
      <rPr>
        <sz val="11"/>
        <rFont val="Noto Sans CJK SC"/>
        <family val="2"/>
      </rPr>
      <t xml:space="preserve">から計算</t>
    </r>
  </si>
  <si>
    <t xml:space="preserve">パルス間隔 / tau_c</t>
  </si>
  <si>
    <t xml:space="preserve">大きいほど単発近似に近い。小さい場合はマルチパルス注意</t>
  </si>
  <si>
    <r>
      <rPr>
        <sz val="11"/>
        <rFont val="Calibri"/>
        <family val="0"/>
        <charset val="1"/>
      </rPr>
      <t xml:space="preserve">PRF / multipulse</t>
    </r>
    <r>
      <rPr>
        <sz val="11"/>
        <rFont val="Noto Sans CJK SC"/>
        <family val="2"/>
      </rPr>
      <t xml:space="preserve">スクリーニング</t>
    </r>
  </si>
  <si>
    <r>
      <rPr>
        <sz val="11"/>
        <rFont val="Calibri"/>
        <family val="0"/>
        <charset val="1"/>
      </rPr>
      <t xml:space="preserve">PRF</t>
    </r>
    <r>
      <rPr>
        <sz val="11"/>
        <rFont val="Noto Sans CJK SC"/>
        <family val="2"/>
      </rPr>
      <t xml:space="preserve">による残留電離・履歴効果の注意喚起</t>
    </r>
  </si>
  <si>
    <t xml:space="preserve">有効拡散長 Leff</t>
  </si>
  <si>
    <t xml:space="preserve">cm</t>
  </si>
  <si>
    <t xml:space="preserve">暫定: WR90狭壁高さ b の半分。部品最小ギャップに応じて変更</t>
  </si>
  <si>
    <t xml:space="preserve">温度補正後圧力 p</t>
  </si>
  <si>
    <r>
      <rPr>
        <sz val="11"/>
        <rFont val="Calibri"/>
        <family val="0"/>
        <charset val="1"/>
      </rPr>
      <t xml:space="preserve">p = p0*273/(273+Tgas)</t>
    </r>
    <r>
      <rPr>
        <sz val="11"/>
        <rFont val="Noto Sans CJK SC"/>
        <family val="2"/>
      </rPr>
      <t xml:space="preserve">。低温では密度換算で大きくなる。</t>
    </r>
    <r>
      <rPr>
        <sz val="11"/>
        <rFont val="Calibri"/>
        <family val="0"/>
        <charset val="1"/>
      </rPr>
      <t xml:space="preserve">B82/B83</t>
    </r>
    <r>
      <rPr>
        <sz val="11"/>
        <rFont val="Noto Sans CJK SC"/>
        <family val="2"/>
      </rPr>
      <t xml:space="preserve">の参考計算用で、</t>
    </r>
    <r>
      <rPr>
        <sz val="11"/>
        <rFont val="Calibri"/>
        <family val="0"/>
        <charset val="1"/>
      </rPr>
      <t xml:space="preserve">Dashboard</t>
    </r>
    <r>
      <rPr>
        <sz val="11"/>
        <rFont val="Noto Sans CJK SC"/>
        <family val="2"/>
      </rPr>
      <t xml:space="preserve">最終判定には直接使わない</t>
    </r>
  </si>
  <si>
    <t xml:space="preserve">半解析式 Ep</t>
  </si>
  <si>
    <t xml:space="preserve">V/cm rms</t>
  </si>
  <si>
    <r>
      <rPr>
        <sz val="11"/>
        <rFont val="Calibri"/>
        <family val="0"/>
        <charset val="1"/>
      </rPr>
      <t xml:space="preserve">Anderson/Yu</t>
    </r>
    <r>
      <rPr>
        <sz val="11"/>
        <rFont val="Noto Sans CJK SC"/>
        <family val="2"/>
      </rPr>
      <t xml:space="preserve">系の</t>
    </r>
    <r>
      <rPr>
        <sz val="11"/>
        <rFont val="Calibri"/>
        <family val="0"/>
        <charset val="1"/>
      </rPr>
      <t xml:space="preserve">RMS</t>
    </r>
    <r>
      <rPr>
        <sz val="11"/>
        <rFont val="Noto Sans CJK SC"/>
        <family val="2"/>
      </rPr>
      <t xml:space="preserve">電界。参考値。最終判定は</t>
    </r>
    <r>
      <rPr>
        <sz val="11"/>
        <rFont val="Calibri"/>
        <family val="0"/>
        <charset val="1"/>
      </rPr>
      <t xml:space="preserve">B62/B63</t>
    </r>
    <r>
      <rPr>
        <sz val="11"/>
        <rFont val="Noto Sans CJK SC"/>
        <family val="2"/>
      </rPr>
      <t xml:space="preserve">と</t>
    </r>
    <r>
      <rPr>
        <sz val="11"/>
        <rFont val="Calibri"/>
        <family val="0"/>
        <charset val="1"/>
      </rPr>
      <t xml:space="preserve">Dashboard</t>
    </r>
    <r>
      <rPr>
        <sz val="11"/>
        <rFont val="Noto Sans CJK SC"/>
        <family val="2"/>
      </rPr>
      <t xml:space="preserve">の局所ピーク電界比較で行う</t>
    </r>
  </si>
  <si>
    <t xml:space="preserve">V/m peak</t>
  </si>
  <si>
    <r>
      <rPr>
        <sz val="11"/>
        <rFont val="Calibri"/>
        <family val="0"/>
        <charset val="1"/>
      </rPr>
      <t xml:space="preserve">Ep[rms V/cm]×100×sqrt(2)</t>
    </r>
    <r>
      <rPr>
        <sz val="11"/>
        <rFont val="Noto Sans CJK SC"/>
        <family val="2"/>
      </rPr>
      <t xml:space="preserve">。</t>
    </r>
    <r>
      <rPr>
        <sz val="11"/>
        <rFont val="Calibri"/>
        <family val="0"/>
        <charset val="1"/>
      </rPr>
      <t xml:space="preserve">TE10</t>
    </r>
    <r>
      <rPr>
        <sz val="11"/>
        <rFont val="Noto Sans CJK SC"/>
        <family val="2"/>
      </rPr>
      <t xml:space="preserve">の</t>
    </r>
    <r>
      <rPr>
        <sz val="11"/>
        <rFont val="Calibri"/>
        <family val="0"/>
        <charset val="1"/>
      </rPr>
      <t xml:space="preserve">peak</t>
    </r>
    <r>
      <rPr>
        <sz val="11"/>
        <rFont val="Noto Sans CJK SC"/>
        <family val="2"/>
      </rPr>
      <t xml:space="preserve">電界比較用の参考値。最終判定には直接使わない</t>
    </r>
  </si>
  <si>
    <t xml:space="preserve">注意</t>
  </si>
  <si>
    <r>
      <rPr>
        <sz val="11"/>
        <rFont val="Calibri"/>
        <family val="0"/>
        <charset val="1"/>
      </rPr>
      <t xml:space="preserve">Ragan</t>
    </r>
    <r>
      <rPr>
        <sz val="11"/>
        <rFont val="Noto Sans CJK SC"/>
        <family val="2"/>
      </rPr>
      <t xml:space="preserve">単発式は短パルス・海面高度近傍の経験式です。</t>
    </r>
    <r>
      <rPr>
        <sz val="11"/>
        <rFont val="Calibri"/>
        <family val="0"/>
        <charset val="1"/>
      </rPr>
      <t xml:space="preserve">44 µs</t>
    </r>
    <r>
      <rPr>
        <sz val="11"/>
        <rFont val="Noto Sans CJK SC"/>
        <family val="2"/>
      </rPr>
      <t xml:space="preserve">のように </t>
    </r>
    <r>
      <rPr>
        <sz val="11"/>
        <rFont val="Calibri"/>
        <family val="0"/>
        <charset val="1"/>
      </rPr>
      <t xml:space="preserve">tau &gt;&gt; tau_c </t>
    </r>
    <r>
      <rPr>
        <sz val="11"/>
        <rFont val="Noto Sans CJK SC"/>
        <family val="2"/>
      </rPr>
      <t xml:space="preserve">の場合は</t>
    </r>
    <r>
      <rPr>
        <sz val="11"/>
        <rFont val="Calibri"/>
        <family val="0"/>
        <charset val="1"/>
      </rPr>
      <t xml:space="preserve">Ktau=1</t>
    </r>
    <r>
      <rPr>
        <sz val="11"/>
        <rFont val="Noto Sans CJK SC"/>
        <family val="2"/>
      </rPr>
      <t xml:space="preserve">に戻します。</t>
    </r>
    <r>
      <rPr>
        <sz val="11"/>
        <rFont val="Calibri"/>
        <family val="0"/>
        <charset val="1"/>
      </rPr>
      <t xml:space="preserve">PRF</t>
    </r>
    <r>
      <rPr>
        <sz val="11"/>
        <rFont val="Noto Sans CJK SC"/>
        <family val="2"/>
      </rPr>
      <t xml:space="preserve">の厳密補正式は形状・ガス・残留電離に依存するため、</t>
    </r>
    <r>
      <rPr>
        <sz val="11"/>
        <rFont val="Calibri"/>
        <family val="0"/>
        <charset val="1"/>
      </rPr>
      <t xml:space="preserve">B61</t>
    </r>
    <r>
      <rPr>
        <sz val="11"/>
        <rFont val="Noto Sans CJK SC"/>
        <family val="2"/>
      </rPr>
      <t xml:space="preserve">で保守係数を入力してください。</t>
    </r>
  </si>
  <si>
    <r>
      <rPr>
        <sz val="11"/>
        <rFont val="Calibri"/>
        <family val="0"/>
        <charset val="1"/>
      </rPr>
      <t xml:space="preserve">Ragan</t>
    </r>
    <r>
      <rPr>
        <sz val="11"/>
        <rFont val="Noto Sans CJK SC"/>
        <family val="2"/>
      </rPr>
      <t xml:space="preserve">単発式は短パルス・海面高度近傍の経験式です。</t>
    </r>
    <r>
      <rPr>
        <sz val="11"/>
        <rFont val="Calibri"/>
        <family val="0"/>
        <charset val="1"/>
      </rPr>
      <t xml:space="preserve">tau &gt;&gt; tau_c </t>
    </r>
    <r>
      <rPr>
        <sz val="11"/>
        <rFont val="Noto Sans CJK SC"/>
        <family val="2"/>
      </rPr>
      <t xml:space="preserve">では</t>
    </r>
    <r>
      <rPr>
        <sz val="11"/>
        <rFont val="Calibri"/>
        <family val="0"/>
        <charset val="1"/>
      </rPr>
      <t xml:space="preserve">Ktau=1</t>
    </r>
    <r>
      <rPr>
        <sz val="11"/>
        <rFont val="Noto Sans CJK SC"/>
        <family val="2"/>
      </rPr>
      <t xml:space="preserve">。</t>
    </r>
    <r>
      <rPr>
        <sz val="11"/>
        <rFont val="Calibri"/>
        <family val="0"/>
        <charset val="1"/>
      </rPr>
      <t xml:space="preserve">B81/B83</t>
    </r>
    <r>
      <rPr>
        <sz val="11"/>
        <rFont val="Noto Sans CJK SC"/>
        <family val="2"/>
      </rPr>
      <t xml:space="preserve">は参考表示で、最終判定は</t>
    </r>
    <r>
      <rPr>
        <sz val="11"/>
        <rFont val="Calibri"/>
        <family val="0"/>
        <charset val="1"/>
      </rPr>
      <t xml:space="preserve">B62/B63</t>
    </r>
    <r>
      <rPr>
        <sz val="11"/>
        <rFont val="Noto Sans CJK SC"/>
        <family val="2"/>
      </rPr>
      <t xml:space="preserve">を使用します。</t>
    </r>
  </si>
  <si>
    <t xml:space="preserve">高度 / 環境ケース (35,000 ft 対応)</t>
  </si>
  <si>
    <t xml:space="preserve">高度モードを使用</t>
  </si>
  <si>
    <t xml:space="preserve">高度 (m)</t>
  </si>
  <si>
    <t xml:space="preserve">導波管内部圧力モード</t>
  </si>
  <si>
    <r>
      <rPr>
        <sz val="11"/>
        <rFont val="Calibri"/>
        <family val="0"/>
        <charset val="1"/>
      </rPr>
      <t xml:space="preserve">0:</t>
    </r>
    <r>
      <rPr>
        <sz val="11"/>
        <rFont val="Noto Sans CJK SC"/>
        <family val="2"/>
      </rPr>
      <t xml:space="preserve">外気圧</t>
    </r>
    <r>
      <rPr>
        <sz val="11"/>
        <rFont val="Calibri"/>
        <family val="0"/>
        <charset val="1"/>
      </rPr>
      <t xml:space="preserve">, 1:</t>
    </r>
    <r>
      <rPr>
        <sz val="11"/>
        <rFont val="Noto Sans CJK SC"/>
        <family val="2"/>
      </rPr>
      <t xml:space="preserve">海面</t>
    </r>
    <r>
      <rPr>
        <sz val="11"/>
        <rFont val="Calibri"/>
        <family val="0"/>
        <charset val="1"/>
      </rPr>
      <t xml:space="preserve">1atm, 2:</t>
    </r>
    <r>
      <rPr>
        <sz val="11"/>
        <rFont val="Noto Sans CJK SC"/>
        <family val="2"/>
      </rPr>
      <t xml:space="preserve">指定絶対圧を維持</t>
    </r>
    <r>
      <rPr>
        <sz val="11"/>
        <rFont val="Calibri"/>
        <family val="0"/>
        <charset val="1"/>
      </rPr>
      <t xml:space="preserve">, 3:</t>
    </r>
    <r>
      <rPr>
        <sz val="11"/>
        <rFont val="Noto Sans CJK SC"/>
        <family val="2"/>
      </rPr>
      <t xml:space="preserve">外気圧</t>
    </r>
    <r>
      <rPr>
        <sz val="11"/>
        <rFont val="Calibri"/>
        <family val="0"/>
        <charset val="1"/>
      </rPr>
      <t xml:space="preserve">+</t>
    </r>
    <r>
      <rPr>
        <sz val="11"/>
        <rFont val="Noto Sans CJK SC"/>
        <family val="2"/>
      </rPr>
      <t xml:space="preserve">ゲージ圧。密閉固定質量は別途内部圧を計算して指定</t>
    </r>
  </si>
  <si>
    <t xml:space="preserve">指定絶対圧</t>
  </si>
  <si>
    <r>
      <rPr>
        <sz val="10"/>
        <rFont val="Arial"/>
        <family val="0"/>
        <charset val="1"/>
      </rPr>
      <t xml:space="preserve">B90=2</t>
    </r>
    <r>
      <rPr>
        <sz val="10"/>
        <rFont val="Noto Sans CJK SC"/>
        <family val="2"/>
      </rPr>
      <t xml:space="preserve">のとき使用。供給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レギュレータで絶対圧が維持される場合</t>
    </r>
  </si>
  <si>
    <r>
      <rPr>
        <sz val="11"/>
        <rFont val="Calibri"/>
        <family val="0"/>
        <charset val="1"/>
      </rPr>
      <t xml:space="preserve">ISA</t>
    </r>
    <r>
      <rPr>
        <sz val="11"/>
        <rFont val="Noto Sans CJK SC"/>
        <family val="2"/>
      </rPr>
      <t xml:space="preserve">温度オフセット </t>
    </r>
    <r>
      <rPr>
        <sz val="11"/>
        <rFont val="Calibri"/>
        <family val="0"/>
        <charset val="1"/>
      </rPr>
      <t xml:space="preserve">dISA</t>
    </r>
  </si>
  <si>
    <t xml:space="preserve">標準大気温度 (ISA)</t>
  </si>
  <si>
    <t xml:space="preserve">外気温度オーバーライド</t>
  </si>
  <si>
    <t xml:space="preserve">熱評価の高温ケース確認用。外気温度を上書きしたい場合に入力</t>
  </si>
  <si>
    <t xml:space="preserve">適用外気温度</t>
  </si>
  <si>
    <t xml:space="preserve">高度の周囲絶対圧</t>
  </si>
  <si>
    <t xml:space="preserve">対流の圧力スケール指数 n</t>
  </si>
  <si>
    <t xml:space="preserve">高度補正後の対流 h_conv</t>
  </si>
  <si>
    <t xml:space="preserve">導波管内部ガス温度オーバーライド</t>
  </si>
  <si>
    <t xml:space="preserve">空欄ならB95（高度外気温）または既定50℃。絶縁破壊評価用の導波管内部ガス温度。高温地上ケースでは最高内部温度を入力</t>
  </si>
  <si>
    <t xml:space="preserve">加圧・高度モデル注意</t>
  </si>
  <si>
    <t xml:space="preserve">密閉固定質量・レギュレータ加圧・外気圧+ゲージ加圧を区別してください</t>
  </si>
  <si>
    <t xml:space="preserve">密閉固定質量の参考</t>
  </si>
  <si>
    <t xml:space="preserve">同じガス質量で温度だけ変わる場合、絶縁破壊の密度比は初期封入条件でほぼ決まります</t>
  </si>
  <si>
    <t xml:space="preserve">ゲージ加圧時の参考絶対圧</t>
  </si>
  <si>
    <t xml:space="preserve">高度周囲圧 + B52</t>
  </si>
  <si>
    <r>
      <rPr>
        <sz val="10"/>
        <rFont val="Arial"/>
        <family val="0"/>
        <charset val="1"/>
      </rPr>
      <t xml:space="preserve">35,000ft</t>
    </r>
    <r>
      <rPr>
        <sz val="10"/>
        <rFont val="Noto Sans CJK SC"/>
        <family val="2"/>
      </rPr>
      <t xml:space="preserve">コメント</t>
    </r>
  </si>
  <si>
    <t xml:space="preserve">標準大気の対流圏式は約11kmまでの近似。35,000ft=10.668kmはほぼ適用範囲内</t>
  </si>
  <si>
    <t xml:space="preserve">部品ディレーティングおよび熱ホットスポット表</t>
  </si>
  <si>
    <t xml:space="preserve">部品</t>
  </si>
  <si>
    <t xml:space="preserve">使用
1/0</t>
  </si>
  <si>
    <t xml:space="preserve">根拠</t>
  </si>
  <si>
    <t xml:space="preserve">長さ
m</t>
  </si>
  <si>
    <t xml:space="preserve">単位長さIL
dB/m</t>
  </si>
  <si>
    <r>
      <rPr>
        <b val="true"/>
        <sz val="11"/>
        <color rgb="FFFFFFFF"/>
        <rFont val="Calibri"/>
        <family val="0"/>
        <charset val="1"/>
      </rPr>
      <t xml:space="preserve">IL</t>
    </r>
    <r>
      <rPr>
        <b val="true"/>
        <sz val="11"/>
        <color rgb="FFFFFFFF"/>
        <rFont val="Noto Sans CJK SC"/>
        <family val="2"/>
      </rPr>
      <t xml:space="preserve">合計
</t>
    </r>
    <r>
      <rPr>
        <b val="true"/>
        <sz val="11"/>
        <color rgb="FFFFFFFF"/>
        <rFont val="Calibri"/>
        <family val="0"/>
        <charset val="1"/>
      </rPr>
      <t xml:space="preserve">dB</t>
    </r>
  </si>
  <si>
    <t xml:space="preserve">電界係数
K_E</t>
  </si>
  <si>
    <t xml:space="preserve">有効Rθ
degC/W</t>
  </si>
  <si>
    <t xml:space="preserve">温度上限
degC</t>
  </si>
  <si>
    <t xml:space="preserve">損失率</t>
  </si>
  <si>
    <r>
      <rPr>
        <b val="true"/>
        <sz val="11"/>
        <color rgb="FFFFFFFF"/>
        <rFont val="Calibri"/>
        <family val="0"/>
        <charset val="1"/>
      </rPr>
      <t xml:space="preserve">Dashboard</t>
    </r>
    <r>
      <rPr>
        <b val="true"/>
        <sz val="11"/>
        <color rgb="FFFFFFFF"/>
        <rFont val="Noto Sans CJK SC"/>
        <family val="2"/>
      </rPr>
      <t xml:space="preserve">時</t>
    </r>
    <r>
      <rPr>
        <b val="true"/>
        <sz val="11"/>
        <color rgb="FFFFFFFF"/>
        <rFont val="Calibri"/>
        <family val="0"/>
        <charset val="1"/>
      </rPr>
      <t xml:space="preserve">P_loss
W</t>
    </r>
  </si>
  <si>
    <r>
      <rPr>
        <b val="true"/>
        <sz val="11"/>
        <color rgb="FFFFFFFF"/>
        <rFont val="Calibri"/>
        <family val="0"/>
        <charset val="1"/>
      </rPr>
      <t xml:space="preserve">Dashboard</t>
    </r>
    <r>
      <rPr>
        <b val="true"/>
        <sz val="11"/>
        <color rgb="FFFFFFFF"/>
        <rFont val="Noto Sans CJK SC"/>
        <family val="2"/>
      </rPr>
      <t xml:space="preserve">時</t>
    </r>
    <r>
      <rPr>
        <b val="true"/>
        <sz val="11"/>
        <color rgb="FFFFFFFF"/>
        <rFont val="Calibri"/>
        <family val="0"/>
        <charset val="1"/>
      </rPr>
      <t xml:space="preserve">ΔT
degC</t>
    </r>
  </si>
  <si>
    <t xml:space="preserve">ホットスポット温度
degC</t>
  </si>
  <si>
    <t xml:space="preserve">熱制限ピーク
kW</t>
  </si>
  <si>
    <r>
      <rPr>
        <sz val="11"/>
        <rFont val="Calibri"/>
        <family val="0"/>
        <charset val="1"/>
      </rPr>
      <t xml:space="preserve">WR90</t>
    </r>
    <r>
      <rPr>
        <sz val="11"/>
        <rFont val="Noto Sans CJK SC"/>
        <family val="2"/>
      </rPr>
      <t xml:space="preserve">直管部</t>
    </r>
  </si>
  <si>
    <r>
      <rPr>
        <sz val="11"/>
        <rFont val="Calibri"/>
        <family val="0"/>
        <charset val="1"/>
      </rPr>
      <t xml:space="preserve">TE10</t>
    </r>
    <r>
      <rPr>
        <sz val="11"/>
        <rFont val="Noto Sans CJK SC"/>
        <family val="2"/>
      </rPr>
      <t xml:space="preserve">導体損から自動計算</t>
    </r>
  </si>
  <si>
    <t xml:space="preserve">銅直管部。長さはInputsから参照</t>
  </si>
  <si>
    <t xml:space="preserve">フランジ対 / 接触部</t>
  </si>
  <si>
    <t xml:space="preserve">ユーザー入力</t>
  </si>
  <si>
    <t xml:space="preserve">仮値。試験値またはメーカー値に置換</t>
  </si>
  <si>
    <r>
      <rPr>
        <sz val="11"/>
        <rFont val="Calibri"/>
        <family val="0"/>
        <charset val="1"/>
      </rPr>
      <t xml:space="preserve">E/H</t>
    </r>
    <r>
      <rPr>
        <sz val="11"/>
        <rFont val="Noto Sans CJK SC"/>
        <family val="2"/>
      </rPr>
      <t xml:space="preserve">面ベンド</t>
    </r>
  </si>
  <si>
    <t xml:space="preserve">仮値。局所電界と損失は形状に依存</t>
  </si>
  <si>
    <t xml:space="preserve">トップウォールカップラー</t>
  </si>
  <si>
    <t xml:space="preserve">仮値。プローブ/スロット部が電界支配になる場合あり</t>
  </si>
  <si>
    <t xml:space="preserve">ロータリージョイント</t>
  </si>
  <si>
    <t xml:space="preserve">仮値。可能ならメーカーの高電力定格を使用</t>
  </si>
  <si>
    <t xml:space="preserve">窓 / 加圧シール</t>
  </si>
  <si>
    <t xml:space="preserve">仮値。誘電体表面フラッシオーバが支配的な場合あり</t>
  </si>
  <si>
    <t xml:space="preserve">合計 / 制限値</t>
  </si>
  <si>
    <r>
      <rPr>
        <b val="true"/>
        <sz val="11"/>
        <color rgb="FF1F4E79"/>
        <rFont val="Calibri"/>
        <family val="0"/>
        <charset val="1"/>
      </rPr>
      <t xml:space="preserve">F10:</t>
    </r>
    <r>
      <rPr>
        <b val="true"/>
        <sz val="11"/>
        <color rgb="FF1F4E79"/>
        <rFont val="Noto Sans CJK SC"/>
        <family val="2"/>
      </rPr>
      <t xml:space="preserve">合計</t>
    </r>
    <r>
      <rPr>
        <b val="true"/>
        <sz val="11"/>
        <color rgb="FF1F4E79"/>
        <rFont val="Calibri"/>
        <family val="0"/>
        <charset val="1"/>
      </rPr>
      <t xml:space="preserve">IL</t>
    </r>
    <r>
      <rPr>
        <b val="true"/>
        <sz val="11"/>
        <color rgb="FF1F4E79"/>
        <rFont val="Noto Sans CJK SC"/>
        <family val="2"/>
      </rPr>
      <t xml:space="preserve">、</t>
    </r>
    <r>
      <rPr>
        <b val="true"/>
        <sz val="11"/>
        <color rgb="FF1F4E79"/>
        <rFont val="Calibri"/>
        <family val="0"/>
        <charset val="1"/>
      </rPr>
      <t xml:space="preserve">G10:</t>
    </r>
    <r>
      <rPr>
        <b val="true"/>
        <sz val="11"/>
        <color rgb="FF1F4E79"/>
        <rFont val="Noto Sans CJK SC"/>
        <family val="2"/>
      </rPr>
      <t xml:space="preserve">最大</t>
    </r>
    <r>
      <rPr>
        <b val="true"/>
        <sz val="11"/>
        <color rgb="FF1F4E79"/>
        <rFont val="Calibri"/>
        <family val="0"/>
        <charset val="1"/>
      </rPr>
      <t xml:space="preserve">K_E</t>
    </r>
    <r>
      <rPr>
        <b val="true"/>
        <sz val="11"/>
        <color rgb="FF1F4E79"/>
        <rFont val="Noto Sans CJK SC"/>
        <family val="2"/>
      </rPr>
      <t xml:space="preserve">、</t>
    </r>
    <r>
      <rPr>
        <b val="true"/>
        <sz val="11"/>
        <color rgb="FF1F4E79"/>
        <rFont val="Calibri"/>
        <family val="0"/>
        <charset val="1"/>
      </rPr>
      <t xml:space="preserve">N10:</t>
    </r>
    <r>
      <rPr>
        <b val="true"/>
        <sz val="11"/>
        <color rgb="FF1F4E79"/>
        <rFont val="Noto Sans CJK SC"/>
        <family val="2"/>
      </rPr>
      <t xml:space="preserve">熱制限ピーク</t>
    </r>
  </si>
  <si>
    <t xml:space="preserve">ピーク電力スイープ - 絶縁破壊・熱判定 (Inputs!B87 のモードに連動)</t>
  </si>
  <si>
    <t xml:space="preserve">ピーク進行波電力
kW</t>
  </si>
  <si>
    <t xml:space="preserve">供給ピーク電力
kW</t>
  </si>
  <si>
    <t xml:space="preserve">進行波E
kV/m</t>
  </si>
  <si>
    <t xml:space="preserve">定在波E
kV/m</t>
  </si>
  <si>
    <t xml:space="preserve">局所E
kV/m</t>
  </si>
  <si>
    <t xml:space="preserve">設計許容E
kV/m</t>
  </si>
  <si>
    <t xml:space="preserve">平均電力
kW</t>
  </si>
  <si>
    <t xml:space="preserve">合計RF損失
W</t>
  </si>
  <si>
    <t xml:space="preserve">熱制限
kW</t>
  </si>
  <si>
    <t xml:space="preserve">熱利用率</t>
  </si>
  <si>
    <t xml:space="preserve">絶縁破壊判定</t>
  </si>
  <si>
    <t xml:space="preserve">熱判定</t>
  </si>
  <si>
    <t xml:space="preserve">総合判定</t>
  </si>
  <si>
    <t xml:space="preserve">主要式と判定フロー</t>
  </si>
  <si>
    <t xml:space="preserve">項目</t>
  </si>
  <si>
    <t xml:space="preserve">式 / ロジック</t>
  </si>
  <si>
    <r>
      <rPr>
        <sz val="11"/>
        <rFont val="Calibri"/>
        <family val="0"/>
        <charset val="1"/>
      </rPr>
      <t xml:space="preserve">TE10</t>
    </r>
    <r>
      <rPr>
        <sz val="11"/>
        <rFont val="Noto Sans CJK SC"/>
        <family val="2"/>
      </rPr>
      <t xml:space="preserve">カットオフ</t>
    </r>
  </si>
  <si>
    <t xml:space="preserve">fc = c0/(2 a sqrt(eps_r))</t>
  </si>
  <si>
    <r>
      <rPr>
        <sz val="11"/>
        <rFont val="Calibri"/>
        <family val="0"/>
        <charset val="1"/>
      </rPr>
      <t xml:space="preserve">a</t>
    </r>
    <r>
      <rPr>
        <sz val="11"/>
        <rFont val="Noto Sans CJK SC"/>
        <family val="2"/>
      </rPr>
      <t xml:space="preserve">は広壁側の内寸。</t>
    </r>
  </si>
  <si>
    <r>
      <rPr>
        <sz val="11"/>
        <rFont val="Calibri"/>
        <family val="0"/>
        <charset val="1"/>
      </rPr>
      <t xml:space="preserve">TE</t>
    </r>
    <r>
      <rPr>
        <sz val="11"/>
        <rFont val="Noto Sans CJK SC"/>
        <family val="2"/>
      </rPr>
      <t xml:space="preserve">インピーダンス</t>
    </r>
  </si>
  <si>
    <t xml:space="preserve">Z_TE = eta/sqrt(1-(fc/f)^2)</t>
  </si>
  <si>
    <r>
      <rPr>
        <sz val="11"/>
        <rFont val="Calibri"/>
        <family val="0"/>
        <charset val="1"/>
      </rPr>
      <t xml:space="preserve">eta = eta0/sqrt(eps_r)</t>
    </r>
    <r>
      <rPr>
        <sz val="11"/>
        <rFont val="Noto Sans CJK SC"/>
        <family val="2"/>
      </rPr>
      <t xml:space="preserve">。</t>
    </r>
  </si>
  <si>
    <r>
      <rPr>
        <sz val="11"/>
        <rFont val="Calibri"/>
        <family val="0"/>
        <charset val="1"/>
      </rPr>
      <t xml:space="preserve">TE10</t>
    </r>
    <r>
      <rPr>
        <sz val="11"/>
        <rFont val="Noto Sans CJK SC"/>
        <family val="2"/>
      </rPr>
      <t xml:space="preserve">進行波ピーク電力</t>
    </r>
  </si>
  <si>
    <t xml:space="preserve">P_peak = a b E_peak^2/(4 Z_TE)</t>
  </si>
  <si>
    <r>
      <rPr>
        <sz val="11"/>
        <rFont val="Calibri"/>
        <family val="0"/>
        <charset val="1"/>
      </rPr>
      <t xml:space="preserve">E_peak</t>
    </r>
    <r>
      <rPr>
        <sz val="11"/>
        <rFont val="Noto Sans CJK SC"/>
        <family val="2"/>
      </rPr>
      <t xml:space="preserve">は正弦波のピーク電界振幅。</t>
    </r>
    <r>
      <rPr>
        <sz val="11"/>
        <rFont val="Calibri"/>
        <family val="0"/>
        <charset val="1"/>
      </rPr>
      <t xml:space="preserve">RMS</t>
    </r>
    <r>
      <rPr>
        <sz val="11"/>
        <rFont val="Noto Sans CJK SC"/>
        <family val="2"/>
      </rPr>
      <t xml:space="preserve">ではない。</t>
    </r>
  </si>
  <si>
    <r>
      <rPr>
        <sz val="11"/>
        <rFont val="Calibri"/>
        <family val="0"/>
        <charset val="1"/>
      </rPr>
      <t xml:space="preserve">VSWR</t>
    </r>
    <r>
      <rPr>
        <sz val="11"/>
        <rFont val="Noto Sans CJK SC"/>
        <family val="2"/>
      </rPr>
      <t xml:space="preserve">電界係数</t>
    </r>
  </si>
  <si>
    <t xml:space="preserve">|Γ|=(VSWR-1)/(VSWR+1), E_max = E_travel(1+|Γ|)</t>
  </si>
  <si>
    <t xml:space="preserve">最大定在波電界の評価に使用。</t>
  </si>
  <si>
    <t xml:space="preserve">部品局所電界</t>
  </si>
  <si>
    <t xml:space="preserve">E_local = K_E E_max</t>
  </si>
  <si>
    <r>
      <rPr>
        <sz val="11"/>
        <rFont val="Calibri"/>
        <family val="0"/>
        <charset val="1"/>
      </rPr>
      <t xml:space="preserve">K_E</t>
    </r>
    <r>
      <rPr>
        <sz val="11"/>
        <rFont val="Noto Sans CJK SC"/>
        <family val="2"/>
      </rPr>
      <t xml:space="preserve">は有効化した部品の最大局所電界集中係数。</t>
    </r>
  </si>
  <si>
    <t xml:space="preserve">E_local &lt; E_bd_corrected / SF_E</t>
  </si>
  <si>
    <t xml:space="preserve">補正後破壊電界には圧力、ガス、湿度、汚損、パルス、マルチパルス係数を含める。</t>
  </si>
  <si>
    <t xml:space="preserve">D = pulse_width × PRF</t>
  </si>
  <si>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以下であること。</t>
    </r>
  </si>
  <si>
    <t xml:space="preserve">平均電力</t>
  </si>
  <si>
    <t xml:space="preserve">P_avg = D × P_peak</t>
  </si>
  <si>
    <r>
      <rPr>
        <sz val="11"/>
        <rFont val="Calibri"/>
        <family val="0"/>
        <charset val="1"/>
      </rPr>
      <t xml:space="preserve">P_peak</t>
    </r>
    <r>
      <rPr>
        <sz val="11"/>
        <rFont val="Noto Sans CJK SC"/>
        <family val="2"/>
      </rPr>
      <t xml:space="preserve">を指定した場合、</t>
    </r>
    <r>
      <rPr>
        <sz val="11"/>
        <rFont val="Calibri"/>
        <family val="0"/>
        <charset val="1"/>
      </rPr>
      <t xml:space="preserve">D</t>
    </r>
    <r>
      <rPr>
        <sz val="11"/>
        <rFont val="Noto Sans CJK SC"/>
        <family val="2"/>
      </rPr>
      <t xml:space="preserve">は瞬時電界を下げない。</t>
    </r>
  </si>
  <si>
    <r>
      <rPr>
        <sz val="11"/>
        <rFont val="Calibri"/>
        <family val="0"/>
        <charset val="1"/>
      </rPr>
      <t xml:space="preserve">RF</t>
    </r>
    <r>
      <rPr>
        <sz val="11"/>
        <rFont val="Noto Sans CJK SC"/>
        <family val="2"/>
      </rPr>
      <t xml:space="preserve">損失による発熱</t>
    </r>
  </si>
  <si>
    <t xml:space="preserve">P_loss_avg = P_avg × (1 - 10^(-IL/10))</t>
  </si>
  <si>
    <r>
      <rPr>
        <sz val="11"/>
        <rFont val="Calibri"/>
        <family val="0"/>
        <charset val="1"/>
      </rPr>
      <t xml:space="preserve">IL</t>
    </r>
    <r>
      <rPr>
        <sz val="11"/>
        <rFont val="Noto Sans CJK SC"/>
        <family val="2"/>
      </rPr>
      <t xml:space="preserve">は部品または経路全体の挿入損失</t>
    </r>
    <r>
      <rPr>
        <sz val="11"/>
        <rFont val="Calibri"/>
        <family val="0"/>
        <charset val="1"/>
      </rPr>
      <t xml:space="preserve">[dB]</t>
    </r>
    <r>
      <rPr>
        <sz val="11"/>
        <rFont val="Noto Sans CJK SC"/>
        <family val="2"/>
      </rPr>
      <t xml:space="preserve">。</t>
    </r>
  </si>
  <si>
    <t xml:space="preserve">T_hotspot = T_ambient + P_loss_avg Rθ &lt; T_limit</t>
  </si>
  <si>
    <t xml:space="preserve">熱制限は平均損失に基づく。</t>
  </si>
  <si>
    <t xml:space="preserve">熱制限ピーク電力</t>
  </si>
  <si>
    <t xml:space="preserve">P_peak_allow = (T_limit-T_ambient)/(SF_T × D × loss_fraction × Rθ)</t>
  </si>
  <si>
    <t xml:space="preserve">部品ごとに計算し、有効部品の最小値が経路を制限。</t>
  </si>
  <si>
    <t xml:space="preserve">臨界パルス幅スクリーニング</t>
  </si>
  <si>
    <t xml:space="preserve">τc = 1e-3 / p[torr]</t>
  </si>
  <si>
    <t xml:space="preserve">スクリーニング専用。pulse_width &gt;&gt; τcならCW/マルチパルス相当として扱う。</t>
  </si>
  <si>
    <t xml:space="preserve">パルス補正方針</t>
  </si>
  <si>
    <t xml:space="preserve">初期値 Ktau=1, multipulse係数=1</t>
  </si>
  <si>
    <t xml:space="preserve">実ガス・圧力・周波数・形状で検証されない限り、短パルスによる許容上昇は見込まない。</t>
  </si>
  <si>
    <t xml:space="preserve">最終許容ピーク電力</t>
  </si>
  <si>
    <t xml:space="preserve">P_allow = MIN(P_breakdown_allow, P_thermal_allow)</t>
  </si>
  <si>
    <t xml:space="preserve">進行波ピーク電力基準。</t>
  </si>
  <si>
    <r>
      <rPr>
        <sz val="11"/>
        <rFont val="Calibri"/>
        <family val="0"/>
        <charset val="1"/>
      </rPr>
      <t xml:space="preserve">Ragan / </t>
    </r>
    <r>
      <rPr>
        <sz val="11"/>
        <rFont val="Noto Sans CJK SC"/>
        <family val="2"/>
      </rPr>
      <t xml:space="preserve">短パルス補正</t>
    </r>
  </si>
  <si>
    <t xml:space="preserve">臨界パルス幅</t>
  </si>
  <si>
    <t xml:space="preserve">tau_c = 1e-3 / p[torr]</t>
  </si>
  <si>
    <r>
      <rPr>
        <sz val="11"/>
        <rFont val="Calibri"/>
        <family val="0"/>
        <charset val="1"/>
      </rPr>
      <t xml:space="preserve">tau &gt; tau_c </t>
    </r>
    <r>
      <rPr>
        <sz val="11"/>
        <rFont val="Noto Sans CJK SC"/>
        <family val="2"/>
      </rPr>
      <t xml:space="preserve">では</t>
    </r>
    <r>
      <rPr>
        <sz val="11"/>
        <rFont val="Calibri"/>
        <family val="0"/>
        <charset val="1"/>
      </rPr>
      <t xml:space="preserve">CW</t>
    </r>
    <r>
      <rPr>
        <sz val="11"/>
        <rFont val="Noto Sans CJK SC"/>
        <family val="2"/>
      </rPr>
      <t xml:space="preserve">相当として扱う</t>
    </r>
  </si>
  <si>
    <t xml:space="preserve">単発短パルス破壊電界</t>
  </si>
  <si>
    <t xml:space="preserve">Eb[kV/cm] = 22.22 + 87.24/(1+(tau/2.47e-9)^0.648)</t>
  </si>
  <si>
    <r>
      <rPr>
        <sz val="11"/>
        <rFont val="Calibri"/>
        <family val="0"/>
        <charset val="1"/>
      </rPr>
      <t xml:space="preserve">Ragan</t>
    </r>
    <r>
      <rPr>
        <sz val="11"/>
        <rFont val="Noto Sans CJK SC"/>
        <family val="2"/>
      </rPr>
      <t xml:space="preserve">曲線近似式として</t>
    </r>
    <r>
      <rPr>
        <sz val="11"/>
        <rFont val="Calibri"/>
        <family val="0"/>
        <charset val="1"/>
      </rPr>
      <t xml:space="preserve">Inputs/Ragan_Pulse</t>
    </r>
    <r>
      <rPr>
        <sz val="11"/>
        <rFont val="Noto Sans CJK SC"/>
        <family val="2"/>
      </rPr>
      <t xml:space="preserve">へ実装</t>
    </r>
  </si>
  <si>
    <t xml:space="preserve">電圧改善係数</t>
  </si>
  <si>
    <t xml:space="preserve">Fv = Eb/22.8</t>
  </si>
  <si>
    <t xml:space="preserve">本ブックでは1未満にせず、tau &lt; tau_cの場合だけKtauへ適用</t>
  </si>
  <si>
    <t xml:space="preserve">Duty=tau*PRF, pulse interval=1/PRF</t>
  </si>
  <si>
    <r>
      <rPr>
        <sz val="11"/>
        <rFont val="Calibri"/>
        <family val="0"/>
        <charset val="1"/>
      </rPr>
      <t xml:space="preserve">Duty</t>
    </r>
    <r>
      <rPr>
        <sz val="11"/>
        <rFont val="Noto Sans CJK SC"/>
        <family val="2"/>
      </rPr>
      <t xml:space="preserve">は熱、</t>
    </r>
    <r>
      <rPr>
        <sz val="11"/>
        <rFont val="Calibri"/>
        <family val="0"/>
        <charset val="1"/>
      </rPr>
      <t xml:space="preserve">pulse interval</t>
    </r>
    <r>
      <rPr>
        <sz val="11"/>
        <rFont val="Noto Sans CJK SC"/>
        <family val="2"/>
      </rPr>
      <t xml:space="preserve">は</t>
    </r>
    <r>
      <rPr>
        <sz val="11"/>
        <rFont val="Calibri"/>
        <family val="0"/>
        <charset val="1"/>
      </rPr>
      <t xml:space="preserve">multipulse</t>
    </r>
    <r>
      <rPr>
        <sz val="11"/>
        <rFont val="Noto Sans CJK SC"/>
        <family val="2"/>
      </rPr>
      <t xml:space="preserve">スクリーニングに使用</t>
    </r>
  </si>
  <si>
    <t xml:space="preserve">マルチパルス</t>
  </si>
  <si>
    <t xml:space="preserve">Ebd_used = Ebd_ref*density*gas*humidity*pollution*Ktau*Kmulti</t>
  </si>
  <si>
    <r>
      <rPr>
        <sz val="11"/>
        <rFont val="Calibri"/>
        <family val="0"/>
        <charset val="1"/>
      </rPr>
      <t xml:space="preserve">Kmulti</t>
    </r>
    <r>
      <rPr>
        <sz val="11"/>
        <rFont val="Noto Sans CJK SC"/>
        <family val="2"/>
      </rPr>
      <t xml:space="preserve">は</t>
    </r>
    <r>
      <rPr>
        <sz val="11"/>
        <rFont val="Calibri"/>
        <family val="0"/>
        <charset val="1"/>
      </rPr>
      <t xml:space="preserve">Inputs!B61</t>
    </r>
    <r>
      <rPr>
        <sz val="11"/>
        <rFont val="Noto Sans CJK SC"/>
        <family val="2"/>
      </rPr>
      <t xml:space="preserve">でユーザー入力。残留電離リスクがあれば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未満</t>
    </r>
  </si>
  <si>
    <t xml:space="preserve">半解析式</t>
  </si>
  <si>
    <t xml:space="preserve">Ep=3.75p sqrt(1+w^2/(25e18p^2))(... )^(3/16)</t>
  </si>
  <si>
    <r>
      <rPr>
        <sz val="11"/>
        <rFont val="Calibri"/>
        <family val="0"/>
        <charset val="1"/>
      </rPr>
      <t xml:space="preserve">Ragan_Pulse</t>
    </r>
    <r>
      <rPr>
        <sz val="11"/>
        <rFont val="Noto Sans CJK SC"/>
        <family val="2"/>
      </rPr>
      <t xml:space="preserve">に参考値として実装。</t>
    </r>
    <r>
      <rPr>
        <sz val="11"/>
        <rFont val="Calibri"/>
        <family val="0"/>
        <charset val="1"/>
      </rPr>
      <t xml:space="preserve">RMS V/cm</t>
    </r>
    <r>
      <rPr>
        <sz val="11"/>
        <rFont val="Noto Sans CJK SC"/>
        <family val="2"/>
      </rPr>
      <t xml:space="preserve">から</t>
    </r>
    <r>
      <rPr>
        <sz val="11"/>
        <rFont val="Calibri"/>
        <family val="0"/>
        <charset val="1"/>
      </rPr>
      <t xml:space="preserve">peak V/m</t>
    </r>
    <r>
      <rPr>
        <sz val="11"/>
        <rFont val="Noto Sans CJK SC"/>
        <family val="2"/>
      </rPr>
      <t xml:space="preserve">に換算</t>
    </r>
  </si>
  <si>
    <r>
      <rPr>
        <sz val="11"/>
        <rFont val="Calibri"/>
        <family val="0"/>
        <charset val="1"/>
      </rPr>
      <t xml:space="preserve">Ragan</t>
    </r>
    <r>
      <rPr>
        <sz val="11"/>
        <rFont val="Noto Sans CJK SC"/>
        <family val="2"/>
      </rPr>
      <t xml:space="preserve">式は短パルス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単発の上昇を見込む式であり、</t>
    </r>
    <r>
      <rPr>
        <sz val="11"/>
        <rFont val="Calibri"/>
        <family val="0"/>
        <charset val="1"/>
      </rPr>
      <t xml:space="preserve">44 us</t>
    </r>
    <r>
      <rPr>
        <sz val="11"/>
        <rFont val="Noto Sans CJK SC"/>
        <family val="2"/>
      </rPr>
      <t xml:space="preserve">など長いパルスでは</t>
    </r>
    <r>
      <rPr>
        <sz val="11"/>
        <rFont val="Calibri"/>
        <family val="0"/>
        <charset val="1"/>
      </rPr>
      <t xml:space="preserve">Ktau=1</t>
    </r>
    <r>
      <rPr>
        <sz val="11"/>
        <rFont val="Noto Sans CJK SC"/>
        <family val="2"/>
      </rPr>
      <t xml:space="preserve">に戻す</t>
    </r>
  </si>
  <si>
    <t xml:space="preserve">最終設計ではメーカー定格・高電力試験で確認</t>
  </si>
  <si>
    <t xml:space="preserve">参考資料・仮定・ユーザー置換可能な入力値</t>
  </si>
  <si>
    <t xml:space="preserve">分類</t>
  </si>
  <si>
    <t xml:space="preserve">仮定 / 出典</t>
  </si>
  <si>
    <r>
      <rPr>
        <b val="true"/>
        <sz val="11"/>
        <color rgb="FFFFFFFF"/>
        <rFont val="Calibri"/>
        <family val="0"/>
        <charset val="1"/>
      </rPr>
      <t xml:space="preserve">URL / </t>
    </r>
    <r>
      <rPr>
        <b val="true"/>
        <sz val="11"/>
        <color rgb="FFFFFFFF"/>
        <rFont val="Noto Sans CJK SC"/>
        <family val="2"/>
      </rPr>
      <t xml:space="preserve">場所</t>
    </r>
  </si>
  <si>
    <t xml:space="preserve">使用方法</t>
  </si>
  <si>
    <t xml:space="preserve">導波管寸法</t>
  </si>
  <si>
    <r>
      <rPr>
        <sz val="11"/>
        <rFont val="Calibri"/>
        <family val="0"/>
        <charset val="1"/>
      </rPr>
      <t xml:space="preserve">WR90 a=22.86 mm, b=10.16 mm </t>
    </r>
    <r>
      <rPr>
        <sz val="11"/>
        <rFont val="Noto Sans CJK SC"/>
        <family val="2"/>
      </rPr>
      <t xml:space="preserve">を初期値に使用</t>
    </r>
  </si>
  <si>
    <t xml:space="preserve">https://www.nikoha.co.jp/technology/pdf/02_waveguide.pdf</t>
  </si>
  <si>
    <r>
      <rPr>
        <sz val="11"/>
        <rFont val="Calibri"/>
        <family val="0"/>
        <charset val="1"/>
      </rPr>
      <t xml:space="preserve">Inputs</t>
    </r>
    <r>
      <rPr>
        <sz val="11"/>
        <rFont val="Noto Sans CJK SC"/>
        <family val="2"/>
      </rPr>
      <t xml:space="preserve">の初期ジオメトリ</t>
    </r>
  </si>
  <si>
    <t xml:space="preserve">実部品の寸法・肉厚を確認すること。</t>
  </si>
  <si>
    <t xml:space="preserve">許容電力の考え方</t>
  </si>
  <si>
    <t xml:space="preserve">導波管の許容電力は電圧破壊と発熱で制限される</t>
  </si>
  <si>
    <t xml:space="preserve">https://www.microwaves101.com/encyclopedias/power-handling-in-waveguide</t>
  </si>
  <si>
    <t xml:space="preserve">二系統制限の判定フロー</t>
  </si>
  <si>
    <t xml:space="preserve">最終設計ではメーカー値を使用すること。</t>
  </si>
  <si>
    <t xml:space="preserve">矩形導波管理論</t>
  </si>
  <si>
    <r>
      <rPr>
        <sz val="11"/>
        <rFont val="Calibri"/>
        <family val="0"/>
        <charset val="1"/>
      </rPr>
      <t xml:space="preserve">TE/TM</t>
    </r>
    <r>
      <rPr>
        <sz val="11"/>
        <rFont val="Noto Sans CJK SC"/>
        <family val="2"/>
      </rPr>
      <t xml:space="preserve">矩形導波管の電磁界関係</t>
    </r>
  </si>
  <si>
    <t xml:space="preserve">https://eng.libretexts.org/Bookshelves/Electrical_Engineering/Electro-Optics/Electromagnetic_Field_Theory%3A_A_Problem_Solving_Approach_%28Zahn%29/08%3A_Guided_Electromagnetic_Waves/8.06%3A_The_Rectangular_Waveguide</t>
  </si>
  <si>
    <r>
      <rPr>
        <sz val="11"/>
        <rFont val="Calibri"/>
        <family val="0"/>
        <charset val="1"/>
      </rPr>
      <t xml:space="preserve">TE10</t>
    </r>
    <r>
      <rPr>
        <sz val="11"/>
        <rFont val="Noto Sans CJK SC"/>
        <family val="2"/>
      </rPr>
      <t xml:space="preserve">式とカットオフの基礎</t>
    </r>
  </si>
  <si>
    <t xml:space="preserve">ピーク値/RMS値の規約に注意。</t>
  </si>
  <si>
    <t xml:space="preserve">マイクロ波絶縁破壊</t>
  </si>
  <si>
    <t xml:space="preserve">Gould &amp; Roberts, Breakdown of Air at Microwave Frequencies</t>
  </si>
  <si>
    <t xml:space="preserve">https://pubs.aip.org/aip/jap/article-pdf/27/10/1162/7922849/1162_1_online.pdf</t>
  </si>
  <si>
    <r>
      <rPr>
        <sz val="11"/>
        <rFont val="Calibri"/>
        <family val="0"/>
        <charset val="1"/>
      </rPr>
      <t xml:space="preserve">CW / </t>
    </r>
    <r>
      <rPr>
        <sz val="11"/>
        <rFont val="Noto Sans CJK SC"/>
        <family val="2"/>
      </rPr>
      <t xml:space="preserve">単発パルス </t>
    </r>
    <r>
      <rPr>
        <sz val="11"/>
        <rFont val="Calibri"/>
        <family val="0"/>
        <charset val="1"/>
      </rPr>
      <t xml:space="preserve">/ </t>
    </r>
    <r>
      <rPr>
        <sz val="11"/>
        <rFont val="Noto Sans CJK SC"/>
        <family val="2"/>
      </rPr>
      <t xml:space="preserve">マルチパルスの考え方</t>
    </r>
  </si>
  <si>
    <t xml:space="preserve">スプレッドシートには形状固有の破壊式は埋め込んでいない。</t>
  </si>
  <si>
    <r>
      <rPr>
        <sz val="11"/>
        <rFont val="Calibri"/>
        <family val="0"/>
        <charset val="1"/>
      </rPr>
      <t xml:space="preserve">Ragan</t>
    </r>
    <r>
      <rPr>
        <sz val="11"/>
        <rFont val="Noto Sans CJK SC"/>
        <family val="2"/>
      </rPr>
      <t xml:space="preserve">文献</t>
    </r>
  </si>
  <si>
    <t xml:space="preserve">G. L. Ragan, Microwave Transmission Circuits, MIT Radiation Laboratory Series Vol. 9</t>
  </si>
  <si>
    <t xml:space="preserve">https://books.google.com/books/about/Microwave_Transmission_Circuits.html?id=B7Y8AAAAIAAJ</t>
  </si>
  <si>
    <t xml:space="preserve">導波管伝送・許容電力の古典的参考文献</t>
  </si>
  <si>
    <t xml:space="preserve">具体的な式/表を提示いただければKtau/multipulse係数に反映可能。</t>
  </si>
  <si>
    <r>
      <rPr>
        <sz val="11"/>
        <rFont val="Calibri"/>
        <family val="0"/>
        <charset val="1"/>
      </rPr>
      <t xml:space="preserve">tau_c = 1e-3/p[torr] </t>
    </r>
    <r>
      <rPr>
        <sz val="11"/>
        <rFont val="Noto Sans CJK SC"/>
        <family val="2"/>
      </rPr>
      <t xml:space="preserve">をスクリーニング規則として使用</t>
    </r>
  </si>
  <si>
    <t xml:space="preserve">https://www.dielectric.com/wp-content/uploads/2018/04/Schadler-ATSC-3-Voltage.pdf</t>
  </si>
  <si>
    <r>
      <rPr>
        <sz val="11"/>
        <rFont val="Calibri"/>
        <family val="0"/>
        <charset val="1"/>
      </rPr>
      <t xml:space="preserve">Inputs!B65</t>
    </r>
    <r>
      <rPr>
        <sz val="11"/>
        <rFont val="Noto Sans CJK SC"/>
        <family val="2"/>
      </rPr>
      <t xml:space="preserve">のパルス領域判定</t>
    </r>
  </si>
  <si>
    <t xml:space="preserve">これはスクリーニング指標であり、最終認定ではない。</t>
  </si>
  <si>
    <t xml:space="preserve">熱対流</t>
  </si>
  <si>
    <t xml:space="preserve">自然対流hはユーザー入力。初期値7 W/m2/K</t>
  </si>
  <si>
    <t xml:space="preserve">https://www.qats.com/Qpedia-Article/Qpedia_May09_Estimating_the_inside_temp_of_natural_convection_sealed_enclosure</t>
  </si>
  <si>
    <t xml:space="preserve">直管部Rθの推定</t>
  </si>
  <si>
    <t xml:space="preserve">姿勢、筐体、風速に強く依存。</t>
  </si>
  <si>
    <t xml:space="preserve">放射熱伝達</t>
  </si>
  <si>
    <t xml:space="preserve">線形化放射 h_rad ≈ 4 eps sigma T^3</t>
  </si>
  <si>
    <t xml:space="preserve">https://www.engineeringtoolbox.com/radiation-heat-transfer-d_431.html</t>
  </si>
  <si>
    <t xml:space="preserve">Inputs!B33</t>
  </si>
  <si>
    <t xml:space="preserve">小さい温度差に対する近似。</t>
  </si>
  <si>
    <t xml:space="preserve">部品係数</t>
  </si>
  <si>
    <t xml:space="preserve">ベンド/カップラー/ロータリージョイントのK_E、挿入損失、Rθは仮値</t>
  </si>
  <si>
    <t xml:space="preserve">Components sheet</t>
  </si>
  <si>
    <t xml:space="preserve">初期設計用ディレーティング</t>
  </si>
  <si>
    <t xml:space="preserve">メーカー高電力定格または実測値に置換。</t>
  </si>
  <si>
    <t xml:space="preserve">追加出典 / Raganパルス式</t>
  </si>
  <si>
    <t xml:space="preserve">Schadler, ATSC 3.0 Ready – Designing Antennas for Higher OFDM PAPR</t>
  </si>
  <si>
    <r>
      <rPr>
        <sz val="11"/>
        <rFont val="Calibri"/>
        <family val="0"/>
        <charset val="1"/>
      </rPr>
      <t xml:space="preserve">Ragan pp.239</t>
    </r>
    <r>
      <rPr>
        <sz val="11"/>
        <rFont val="Noto Sans CJK SC"/>
        <family val="2"/>
      </rPr>
      <t xml:space="preserve">、</t>
    </r>
    <r>
      <rPr>
        <sz val="11"/>
        <rFont val="Calibri"/>
        <family val="0"/>
        <charset val="1"/>
      </rPr>
      <t xml:space="preserve">Anderson/Lisak</t>
    </r>
    <r>
      <rPr>
        <sz val="11"/>
        <rFont val="Noto Sans CJK SC"/>
        <family val="2"/>
      </rPr>
      <t xml:space="preserve">、</t>
    </r>
    <r>
      <rPr>
        <sz val="11"/>
        <rFont val="Calibri"/>
        <family val="0"/>
        <charset val="1"/>
      </rPr>
      <t xml:space="preserve">Anderson/Yu</t>
    </r>
    <r>
      <rPr>
        <sz val="11"/>
        <rFont val="Noto Sans CJK SC"/>
        <family val="2"/>
      </rPr>
      <t xml:space="preserve">等を参照し、</t>
    </r>
    <r>
      <rPr>
        <sz val="11"/>
        <rFont val="Calibri"/>
        <family val="0"/>
        <charset val="1"/>
      </rPr>
      <t xml:space="preserve">tau_c</t>
    </r>
    <r>
      <rPr>
        <sz val="11"/>
        <rFont val="Noto Sans CJK SC"/>
        <family val="2"/>
      </rPr>
      <t xml:space="preserve">、</t>
    </r>
    <r>
      <rPr>
        <sz val="11"/>
        <rFont val="Calibri"/>
        <family val="0"/>
        <charset val="1"/>
      </rPr>
      <t xml:space="preserve">Ragan</t>
    </r>
    <r>
      <rPr>
        <sz val="11"/>
        <rFont val="Noto Sans CJK SC"/>
        <family val="2"/>
      </rPr>
      <t xml:space="preserve">単発式、</t>
    </r>
    <r>
      <rPr>
        <sz val="11"/>
        <rFont val="Calibri"/>
        <family val="0"/>
        <charset val="1"/>
      </rPr>
      <t xml:space="preserve">VSWR</t>
    </r>
    <r>
      <rPr>
        <sz val="11"/>
        <rFont val="Noto Sans CJK SC"/>
        <family val="2"/>
      </rPr>
      <t xml:space="preserve">補正、半解析式を掲載</t>
    </r>
  </si>
  <si>
    <t xml:space="preserve">G. L. Ragan, Microwave Transmission Circuits, MIT Radiation Laboratory Series Vol.9</t>
  </si>
  <si>
    <t xml:space="preserve">書誌情報。原典の式は公開資料の引用式として本ブックに反映</t>
  </si>
  <si>
    <t xml:space="preserve">Microwaves101, Power Handling in Waveguide</t>
  </si>
  <si>
    <t xml:space="preserve">導波管許容電力は平均発熱とピーク絶縁破壊の両制限で決まること、矩形導波管の概算式</t>
  </si>
  <si>
    <r>
      <rPr>
        <sz val="11"/>
        <rFont val="Calibri"/>
        <family val="0"/>
        <charset val="1"/>
      </rPr>
      <t xml:space="preserve">Ragan/</t>
    </r>
    <r>
      <rPr>
        <sz val="11"/>
        <rFont val="Noto Sans CJK SC"/>
        <family val="2"/>
      </rPr>
      <t xml:space="preserve">短パルス式の適用範囲は空気・短パルス・単発近似が基本。</t>
    </r>
    <r>
      <rPr>
        <sz val="11"/>
        <rFont val="Calibri"/>
        <family val="0"/>
        <charset val="1"/>
      </rPr>
      <t xml:space="preserve">PRF/multipulse</t>
    </r>
    <r>
      <rPr>
        <sz val="11"/>
        <rFont val="Noto Sans CJK SC"/>
        <family val="2"/>
      </rPr>
      <t xml:space="preserve">は入力係数</t>
    </r>
    <r>
      <rPr>
        <sz val="11"/>
        <rFont val="Calibri"/>
        <family val="0"/>
        <charset val="1"/>
      </rPr>
      <t xml:space="preserve">B61</t>
    </r>
    <r>
      <rPr>
        <sz val="11"/>
        <rFont val="Noto Sans CJK SC"/>
        <family val="2"/>
      </rPr>
      <t xml:space="preserve">で安全側に扱う。</t>
    </r>
  </si>
  <si>
    <r>
      <rPr>
        <b val="true"/>
        <sz val="11"/>
        <color rgb="FFFFFFFF"/>
        <rFont val="Calibri"/>
        <family val="0"/>
        <charset val="1"/>
      </rPr>
      <t xml:space="preserve">Ragan / Anderson </t>
    </r>
    <r>
      <rPr>
        <b val="true"/>
        <sz val="11"/>
        <color rgb="FFFFFFFF"/>
        <rFont val="Noto Sans CJK SC"/>
        <family val="2"/>
      </rPr>
      <t xml:space="preserve">短パルス・</t>
    </r>
    <r>
      <rPr>
        <b val="true"/>
        <sz val="11"/>
        <color rgb="FFFFFFFF"/>
        <rFont val="Calibri"/>
        <family val="0"/>
        <charset val="1"/>
      </rPr>
      <t xml:space="preserve">PRF </t>
    </r>
    <r>
      <rPr>
        <b val="true"/>
        <sz val="11"/>
        <color rgb="FFFFFFFF"/>
        <rFont val="Noto Sans CJK SC"/>
        <family val="2"/>
      </rPr>
      <t xml:space="preserve">絶縁破壊モデル</t>
    </r>
  </si>
  <si>
    <t xml:space="preserve">値</t>
  </si>
  <si>
    <t xml:space="preserve">説明</t>
  </si>
  <si>
    <t xml:space="preserve">パルス幅 tau</t>
  </si>
  <si>
    <r>
      <rPr>
        <sz val="11"/>
        <rFont val="Calibri"/>
        <family val="0"/>
        <charset val="1"/>
      </rPr>
      <t xml:space="preserve">Inputs</t>
    </r>
    <r>
      <rPr>
        <sz val="11"/>
        <rFont val="Noto Sans CJK SC"/>
        <family val="2"/>
      </rPr>
      <t xml:space="preserve">から参照</t>
    </r>
  </si>
  <si>
    <t xml:space="preserve">Duty</t>
  </si>
  <si>
    <t xml:space="preserve">tau×PRF</t>
  </si>
  <si>
    <t xml:space="preserve">絶対圧 p0</t>
  </si>
  <si>
    <t xml:space="preserve">p=p0×273/(273+Tgas)</t>
  </si>
  <si>
    <t xml:space="preserve">tau_c=1e-3/p0[torr]</t>
  </si>
  <si>
    <r>
      <rPr>
        <sz val="11"/>
        <rFont val="Calibri"/>
        <family val="0"/>
        <charset val="1"/>
      </rPr>
      <t xml:space="preserve">Ragan</t>
    </r>
    <r>
      <rPr>
        <sz val="11"/>
        <rFont val="Noto Sans CJK SC"/>
        <family val="2"/>
      </rPr>
      <t xml:space="preserve">単発</t>
    </r>
    <r>
      <rPr>
        <sz val="11"/>
        <rFont val="Calibri"/>
        <family val="0"/>
        <charset val="1"/>
      </rPr>
      <t xml:space="preserve">Eb</t>
    </r>
  </si>
  <si>
    <t xml:space="preserve">Eb=22.22+87.24/(1+(tau/2.47e-9)^0.648)</t>
  </si>
  <si>
    <r>
      <rPr>
        <sz val="11"/>
        <rFont val="Calibri"/>
        <family val="0"/>
        <charset val="1"/>
      </rPr>
      <t xml:space="preserve">CW</t>
    </r>
    <r>
      <rPr>
        <sz val="11"/>
        <rFont val="Noto Sans CJK SC"/>
        <family val="2"/>
      </rPr>
      <t xml:space="preserve">相当</t>
    </r>
    <r>
      <rPr>
        <sz val="11"/>
        <rFont val="Calibri"/>
        <family val="0"/>
        <charset val="1"/>
      </rPr>
      <t xml:space="preserve">Eb</t>
    </r>
  </si>
  <si>
    <t xml:space="preserve">代表値</t>
  </si>
  <si>
    <t xml:space="preserve">電圧改善係数 Fv</t>
  </si>
  <si>
    <t xml:space="preserve">MAX(1,Eb/22.8)</t>
  </si>
  <si>
    <r>
      <rPr>
        <sz val="11"/>
        <rFont val="Calibri"/>
        <family val="0"/>
        <charset val="1"/>
      </rPr>
      <t xml:space="preserve">tau&lt;tau_c</t>
    </r>
    <r>
      <rPr>
        <sz val="11"/>
        <rFont val="Noto Sans CJK SC"/>
        <family val="2"/>
      </rPr>
      <t xml:space="preserve">なら</t>
    </r>
    <r>
      <rPr>
        <sz val="11"/>
        <rFont val="Calibri"/>
        <family val="0"/>
        <charset val="1"/>
      </rPr>
      <t xml:space="preserve">Fv</t>
    </r>
    <r>
      <rPr>
        <sz val="11"/>
        <rFont val="Noto Sans CJK SC"/>
        <family val="2"/>
      </rPr>
      <t xml:space="preserve">、それ以外は</t>
    </r>
    <r>
      <rPr>
        <sz val="11"/>
        <rFont val="Calibri"/>
        <family val="0"/>
        <charset val="1"/>
      </rPr>
      <t xml:space="preserve">1</t>
    </r>
  </si>
  <si>
    <t xml:space="preserve">パルス間隔</t>
  </si>
  <si>
    <r>
      <rPr>
        <sz val="11"/>
        <rFont val="Calibri"/>
        <family val="0"/>
        <charset val="1"/>
      </rPr>
      <t xml:space="preserve">PRF/multipulse</t>
    </r>
    <r>
      <rPr>
        <sz val="11"/>
        <rFont val="Noto Sans CJK SC"/>
        <family val="2"/>
      </rPr>
      <t xml:space="preserve">の一次スクリーニング</t>
    </r>
  </si>
  <si>
    <t xml:space="preserve">係数入力はInputs!B61</t>
  </si>
  <si>
    <t xml:space="preserve">半解析式 Ep peak</t>
  </si>
  <si>
    <r>
      <rPr>
        <sz val="11"/>
        <rFont val="Calibri"/>
        <family val="0"/>
        <charset val="1"/>
      </rPr>
      <t xml:space="preserve">Eq.(10)</t>
    </r>
    <r>
      <rPr>
        <sz val="11"/>
        <rFont val="Noto Sans CJK SC"/>
        <family val="2"/>
      </rPr>
      <t xml:space="preserve">参考値</t>
    </r>
  </si>
  <si>
    <t xml:space="preserve">計算式</t>
  </si>
  <si>
    <t xml:space="preserve">この値より長いパルスではCW相当として扱う</t>
  </si>
  <si>
    <r>
      <rPr>
        <sz val="11"/>
        <rFont val="Calibri"/>
        <family val="0"/>
        <charset val="1"/>
      </rPr>
      <t xml:space="preserve">Ragan</t>
    </r>
    <r>
      <rPr>
        <sz val="11"/>
        <rFont val="Noto Sans CJK SC"/>
        <family val="2"/>
      </rPr>
      <t xml:space="preserve">単発式</t>
    </r>
  </si>
  <si>
    <t xml:space="preserve">海面高度近傍・単発パルスの近似</t>
  </si>
  <si>
    <t xml:space="preserve">短パルス係数</t>
  </si>
  <si>
    <t xml:space="preserve">Fv = Eb / 22.8</t>
  </si>
  <si>
    <t xml:space="preserve">本ブックでは MAX(1,Fv) とし、tau&lt;tau_c の場合だけKtauに反映</t>
  </si>
  <si>
    <r>
      <rPr>
        <sz val="11"/>
        <rFont val="Calibri"/>
        <family val="0"/>
        <charset val="1"/>
      </rPr>
      <t xml:space="preserve">VSWR</t>
    </r>
    <r>
      <rPr>
        <sz val="11"/>
        <rFont val="Noto Sans CJK SC"/>
        <family val="2"/>
      </rPr>
      <t xml:space="preserve">電界倍率</t>
    </r>
  </si>
  <si>
    <t xml:space="preserve">Cvswr = 1+|Gamma| = 2*VSWR/(VSWR+1)</t>
  </si>
  <si>
    <r>
      <rPr>
        <sz val="11"/>
        <rFont val="Calibri"/>
        <family val="0"/>
        <charset val="1"/>
      </rPr>
      <t xml:space="preserve">Dashboard/Power_Sweep</t>
    </r>
    <r>
      <rPr>
        <sz val="11"/>
        <rFont val="Noto Sans CJK SC"/>
        <family val="2"/>
      </rPr>
      <t xml:space="preserve">の定在波電界で反映済み</t>
    </r>
  </si>
  <si>
    <r>
      <rPr>
        <sz val="11"/>
        <rFont val="Calibri"/>
        <family val="0"/>
        <charset val="1"/>
      </rPr>
      <t xml:space="preserve">Duty=tau*PRF </t>
    </r>
    <r>
      <rPr>
        <sz val="11"/>
        <rFont val="Noto Sans CJK SC"/>
        <family val="2"/>
      </rPr>
      <t xml:space="preserve">は熱へ反映。</t>
    </r>
    <r>
      <rPr>
        <sz val="11"/>
        <rFont val="Calibri"/>
        <family val="0"/>
        <charset val="1"/>
      </rPr>
      <t xml:space="preserve">1/PRF </t>
    </r>
    <r>
      <rPr>
        <sz val="11"/>
        <rFont val="Noto Sans CJK SC"/>
        <family val="2"/>
      </rPr>
      <t xml:space="preserve">は</t>
    </r>
    <r>
      <rPr>
        <sz val="11"/>
        <rFont val="Calibri"/>
        <family val="0"/>
        <charset val="1"/>
      </rPr>
      <t xml:space="preserve">multipulse</t>
    </r>
    <r>
      <rPr>
        <sz val="11"/>
        <rFont val="Noto Sans CJK SC"/>
        <family val="2"/>
      </rPr>
      <t xml:space="preserve">判定へ使用。</t>
    </r>
  </si>
  <si>
    <t xml:space="preserve">厳密なPRF補正は実験条件・残留電離・ガス・形状依存</t>
  </si>
  <si>
    <t xml:space="preserve">運用上の推奨</t>
  </si>
  <si>
    <r>
      <rPr>
        <sz val="11"/>
        <rFont val="Calibri"/>
        <family val="0"/>
        <charset val="1"/>
      </rPr>
      <t xml:space="preserve">tau&gt;=tau_c </t>
    </r>
    <r>
      <rPr>
        <sz val="11"/>
        <rFont val="Noto Sans CJK SC"/>
        <family val="2"/>
      </rPr>
      <t xml:space="preserve">では</t>
    </r>
    <r>
      <rPr>
        <sz val="11"/>
        <rFont val="Calibri"/>
        <family val="0"/>
        <charset val="1"/>
      </rPr>
      <t xml:space="preserve">Ktau=1</t>
    </r>
    <r>
      <rPr>
        <sz val="11"/>
        <rFont val="Noto Sans CJK SC"/>
        <family val="2"/>
      </rPr>
      <t xml:space="preserve">、</t>
    </r>
    <r>
      <rPr>
        <sz val="11"/>
        <rFont val="Calibri"/>
        <family val="0"/>
        <charset val="1"/>
      </rPr>
      <t xml:space="preserve">PRF</t>
    </r>
    <r>
      <rPr>
        <sz val="11"/>
        <rFont val="Noto Sans CJK SC"/>
        <family val="2"/>
      </rPr>
      <t xml:space="preserve">が高い場合は</t>
    </r>
    <r>
      <rPr>
        <sz val="11"/>
        <rFont val="Calibri"/>
        <family val="0"/>
        <charset val="1"/>
      </rPr>
      <t xml:space="preserve">Inputs!B61</t>
    </r>
    <r>
      <rPr>
        <sz val="11"/>
        <rFont val="Noto Sans CJK SC"/>
        <family val="2"/>
      </rPr>
      <t xml:space="preserve">を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未満にするか試験値で置換</t>
    </r>
  </si>
  <si>
    <t xml:space="preserve">安全側の一次設計</t>
  </si>
  <si>
    <t xml:space="preserve">出典URL</t>
  </si>
  <si>
    <r>
      <rPr>
        <sz val="11"/>
        <rFont val="Calibri"/>
        <family val="0"/>
        <charset val="1"/>
      </rPr>
      <t xml:space="preserve">Ragan, Anderson/Lisak, Anderson/Yu</t>
    </r>
    <r>
      <rPr>
        <sz val="11"/>
        <rFont val="Noto Sans CJK SC"/>
        <family val="2"/>
      </rPr>
      <t xml:space="preserve">系式を参照している公開資料</t>
    </r>
  </si>
  <si>
    <t xml:space="preserve">高度・加圧モデル チェックシート</t>
  </si>
  <si>
    <t xml:space="preserve">参照</t>
  </si>
  <si>
    <t xml:space="preserve">判定/コメント</t>
  </si>
  <si>
    <t xml:space="preserve">備考</t>
  </si>
  <si>
    <t xml:space="preserve">Inputs!B88</t>
  </si>
  <si>
    <r>
      <rPr>
        <sz val="10"/>
        <rFont val="Arial"/>
        <family val="0"/>
        <charset val="1"/>
      </rPr>
      <t xml:space="preserve">35,000 ft</t>
    </r>
    <r>
      <rPr>
        <sz val="10"/>
        <rFont val="Noto Sans CJK SC"/>
        <family val="2"/>
      </rPr>
      <t xml:space="preserve">は約</t>
    </r>
    <r>
      <rPr>
        <sz val="10"/>
        <rFont val="Arial"/>
        <family val="0"/>
        <charset val="1"/>
      </rPr>
      <t xml:space="preserve">10.668 km</t>
    </r>
  </si>
  <si>
    <t xml:space="preserve">Inputs!B89</t>
  </si>
  <si>
    <t xml:space="preserve">標準大気温度</t>
  </si>
  <si>
    <t xml:space="preserve">Inputs!B93</t>
  </si>
  <si>
    <r>
      <rPr>
        <sz val="10"/>
        <rFont val="Arial"/>
        <family val="0"/>
        <charset val="1"/>
      </rPr>
      <t xml:space="preserve">ISA</t>
    </r>
    <r>
      <rPr>
        <sz val="10"/>
        <rFont val="Noto Sans CJK SC"/>
        <family val="2"/>
      </rPr>
      <t xml:space="preserve">対流圏式</t>
    </r>
  </si>
  <si>
    <t xml:space="preserve">Inputs!B95</t>
  </si>
  <si>
    <t xml:space="preserve">外気温度オーバーライド可</t>
  </si>
  <si>
    <t xml:space="preserve">Inputs!B96</t>
  </si>
  <si>
    <t xml:space="preserve">内部圧力モード</t>
  </si>
  <si>
    <t xml:space="preserve">Inputs!B90</t>
  </si>
  <si>
    <r>
      <rPr>
        <sz val="10"/>
        <rFont val="Arial"/>
        <family val="0"/>
        <charset val="1"/>
      </rPr>
      <t xml:space="preserve">0:</t>
    </r>
    <r>
      <rPr>
        <sz val="10"/>
        <rFont val="Noto Sans CJK SC"/>
        <family val="2"/>
      </rPr>
      <t xml:space="preserve">外気圧</t>
    </r>
    <r>
      <rPr>
        <sz val="10"/>
        <rFont val="Arial"/>
        <family val="0"/>
        <charset val="1"/>
      </rPr>
      <t xml:space="preserve">,1:</t>
    </r>
    <r>
      <rPr>
        <sz val="10"/>
        <rFont val="Noto Sans CJK SC"/>
        <family val="2"/>
      </rPr>
      <t xml:space="preserve">海面</t>
    </r>
    <r>
      <rPr>
        <sz val="10"/>
        <rFont val="Arial"/>
        <family val="0"/>
        <charset val="1"/>
      </rPr>
      <t xml:space="preserve">1atm,2:</t>
    </r>
    <r>
      <rPr>
        <sz val="10"/>
        <rFont val="Noto Sans CJK SC"/>
        <family val="2"/>
      </rPr>
      <t xml:space="preserve">指定絶対圧</t>
    </r>
    <r>
      <rPr>
        <sz val="10"/>
        <rFont val="Arial"/>
        <family val="0"/>
        <charset val="1"/>
      </rPr>
      <t xml:space="preserve">,3:</t>
    </r>
    <r>
      <rPr>
        <sz val="10"/>
        <rFont val="Noto Sans CJK SC"/>
        <family val="2"/>
      </rPr>
      <t xml:space="preserve">外気圧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ゲージ</t>
    </r>
  </si>
  <si>
    <t xml:space="preserve">Inputs!B91</t>
  </si>
  <si>
    <t xml:space="preserve">モード2で使用</t>
  </si>
  <si>
    <t xml:space="preserve">ゲージ加圧</t>
  </si>
  <si>
    <t xml:space="preserve">Inputs!B52</t>
  </si>
  <si>
    <t xml:space="preserve">モード3で使用</t>
  </si>
  <si>
    <t xml:space="preserve">Inputs!B97</t>
  </si>
  <si>
    <t xml:space="preserve">Inputs!B53</t>
  </si>
  <si>
    <r>
      <rPr>
        <sz val="10"/>
        <rFont val="Arial"/>
        <family val="0"/>
        <charset val="1"/>
      </rPr>
      <t xml:space="preserve">B100</t>
    </r>
    <r>
      <rPr>
        <sz val="10"/>
        <rFont val="Noto Sans CJK SC"/>
        <family val="2"/>
      </rPr>
      <t xml:space="preserve">でオーバーライド可</t>
    </r>
  </si>
  <si>
    <t xml:space="preserve">Inputs!B56</t>
  </si>
  <si>
    <t xml:space="preserve">絶縁破壊電界の一次スケーリング</t>
  </si>
  <si>
    <t xml:space="preserve">Inputs!B63</t>
  </si>
  <si>
    <t xml:space="preserve">安全率込み</t>
  </si>
  <si>
    <t xml:space="preserve">Inputs!B99</t>
  </si>
  <si>
    <t xml:space="preserve">自然対流は低圧で低下</t>
  </si>
  <si>
    <r>
      <rPr>
        <sz val="10"/>
        <rFont val="Arial"/>
        <family val="0"/>
        <charset val="1"/>
      </rPr>
      <t xml:space="preserve">WR90</t>
    </r>
    <r>
      <rPr>
        <sz val="10"/>
        <rFont val="Noto Sans CJK SC"/>
        <family val="2"/>
      </rPr>
      <t xml:space="preserve">直管熱抵抗</t>
    </r>
  </si>
  <si>
    <t xml:space="preserve">Inputs!B35</t>
  </si>
  <si>
    <t xml:space="preserve">放射+対流で概算</t>
  </si>
  <si>
    <t xml:space="preserve">設計上の注意</t>
  </si>
  <si>
    <t xml:space="preserve">1</t>
  </si>
  <si>
    <r>
      <rPr>
        <sz val="10"/>
        <rFont val="Arial"/>
        <family val="0"/>
        <charset val="1"/>
      </rPr>
      <t xml:space="preserve">B90=2 </t>
    </r>
    <r>
      <rPr>
        <sz val="10"/>
        <rFont val="Noto Sans CJK SC"/>
        <family val="2"/>
      </rPr>
      <t xml:space="preserve">は導波管内部の絶対圧が指定値に維持される前提です。</t>
    </r>
  </si>
  <si>
    <t xml:space="preserve">2</t>
  </si>
  <si>
    <t xml:space="preserve">密閉固定質量の場合、温度低下で圧力も下がるため、B90=2で低温だけ反映すると楽観側になる場合があります。</t>
  </si>
  <si>
    <t xml:space="preserve">3</t>
  </si>
  <si>
    <t xml:space="preserve">ゲージ加圧で管理する場合は B90=3 とし、B52にゲージ圧を入力してください。</t>
  </si>
  <si>
    <t xml:space="preserve">4</t>
  </si>
  <si>
    <t xml:space="preserve">絶縁破壊は導波管内部ガス温度、熱は外気温度/放熱条件で評価するため、必要に応じて分離してください。</t>
  </si>
  <si>
    <t xml:space="preserve">5</t>
  </si>
  <si>
    <r>
      <rPr>
        <sz val="10"/>
        <rFont val="Arial"/>
        <family val="0"/>
        <charset val="1"/>
      </rPr>
      <t xml:space="preserve">35,000 ft</t>
    </r>
    <r>
      <rPr>
        <sz val="10"/>
        <rFont val="Noto Sans CJK SC"/>
        <family val="2"/>
      </rPr>
      <t xml:space="preserve">は標準大気の対流圏式の上限</t>
    </r>
    <r>
      <rPr>
        <sz val="10"/>
        <rFont val="Arial"/>
        <family val="0"/>
        <charset val="1"/>
      </rPr>
      <t xml:space="preserve">11 km</t>
    </r>
    <r>
      <rPr>
        <sz val="10"/>
        <rFont val="Noto Sans CJK SC"/>
        <family val="2"/>
      </rPr>
      <t xml:space="preserve">に近いので、高度余裕がある場合は式の適用範囲を確認してください。</t>
    </r>
  </si>
  <si>
    <t xml:space="preserve">6</t>
  </si>
  <si>
    <t xml:space="preserve">最終値は部品の高電力定格、加圧保持試験、温度試験、アーク検出試験で確認してください。</t>
  </si>
  <si>
    <t xml:space="preserve">参考</t>
  </si>
  <si>
    <t xml:space="preserve">このシートはRagan短パルス式に加え、高度・加圧モードの入力整合を確認するための補助シートです。</t>
  </si>
  <si>
    <t xml:space="preserve">誤読防止メモ</t>
  </si>
  <si>
    <t xml:space="preserve">7</t>
  </si>
  <si>
    <r>
      <rPr>
        <sz val="10"/>
        <color rgb="FF333333"/>
        <rFont val="Arial"/>
        <family val="0"/>
        <charset val="1"/>
      </rPr>
      <t xml:space="preserve">Dashboard</t>
    </r>
    <r>
      <rPr>
        <sz val="10"/>
        <color rgb="FF333333"/>
        <rFont val="Noto Sans CJK SC"/>
        <family val="2"/>
      </rPr>
      <t xml:space="preserve">の最終許容ピーク電力は、この時点の入力条件</t>
    </r>
    <r>
      <rPr>
        <sz val="10"/>
        <color rgb="FF333333"/>
        <rFont val="Arial"/>
        <family val="0"/>
        <charset val="1"/>
      </rPr>
      <t xml:space="preserve">1</t>
    </r>
    <r>
      <rPr>
        <sz val="10"/>
        <color rgb="FF333333"/>
        <rFont val="Noto Sans CJK SC"/>
        <family val="2"/>
      </rPr>
      <t xml:space="preserve">ケースに対する値です。高度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低圧ケースと地上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高温ケースを分けて評価してください。</t>
    </r>
  </si>
  <si>
    <t xml:space="preserve">8</t>
  </si>
  <si>
    <r>
      <rPr>
        <sz val="10"/>
        <color rgb="FF333333"/>
        <rFont val="Arial"/>
        <family val="0"/>
        <charset val="1"/>
      </rPr>
      <t xml:space="preserve">Inputs!B81:B83</t>
    </r>
    <r>
      <rPr>
        <sz val="10"/>
        <color rgb="FF333333"/>
        <rFont val="Noto Sans CJK SC"/>
        <family val="2"/>
      </rPr>
      <t xml:space="preserve">の半解析式</t>
    </r>
    <r>
      <rPr>
        <sz val="10"/>
        <color rgb="FF333333"/>
        <rFont val="Arial"/>
        <family val="0"/>
        <charset val="1"/>
      </rPr>
      <t xml:space="preserve">Ep</t>
    </r>
    <r>
      <rPr>
        <sz val="10"/>
        <color rgb="FF333333"/>
        <rFont val="Noto Sans CJK SC"/>
        <family val="2"/>
      </rPr>
      <t xml:space="preserve">は参考表示です。低温で大きく出ても、</t>
    </r>
    <r>
      <rPr>
        <sz val="10"/>
        <color rgb="FF333333"/>
        <rFont val="Arial"/>
        <family val="0"/>
        <charset val="1"/>
      </rPr>
      <t xml:space="preserve">Dashboard</t>
    </r>
    <r>
      <rPr>
        <sz val="10"/>
        <color rgb="FF333333"/>
        <rFont val="Noto Sans CJK SC"/>
        <family val="2"/>
      </rPr>
      <t xml:space="preserve">の最終判定に直接使っていません。</t>
    </r>
  </si>
  <si>
    <t xml:space="preserve">9</t>
  </si>
  <si>
    <r>
      <rPr>
        <sz val="10"/>
        <color rgb="FF333333"/>
        <rFont val="Arial"/>
        <family val="0"/>
        <charset val="1"/>
      </rPr>
      <t xml:space="preserve">B90=2</t>
    </r>
    <r>
      <rPr>
        <sz val="10"/>
        <color rgb="FF333333"/>
        <rFont val="Noto Sans CJK SC"/>
        <family val="2"/>
      </rPr>
      <t xml:space="preserve">は指定絶対圧を維持する供給系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レギュレータ前提です。密閉固定質量では、温度変化後の内部圧力を別途計算して入力してください。</t>
    </r>
  </si>
  <si>
    <t xml:space="preserve">10</t>
  </si>
  <si>
    <t xml:space="preserve">ホットスポット温度が氷点下でも数式エラーではありません。ただし熱設計の最悪ケースは高温周囲条件で別途確認してください。</t>
  </si>
  <si>
    <t xml:space="preserve">11</t>
  </si>
  <si>
    <t xml:space="preserve">最終設計では、部品ごとの挿入損失・局所電界係数・熱抵抗をメーカー値または実測値で置き換えてください。</t>
  </si>
  <si>
    <r>
      <rPr>
        <b val="true"/>
        <sz val="13"/>
        <color rgb="FFFFFFFF"/>
        <rFont val="Arial"/>
        <family val="0"/>
        <charset val="1"/>
      </rPr>
      <t xml:space="preserve">WR90 TE10 </t>
    </r>
    <r>
      <rPr>
        <b val="true"/>
        <sz val="13"/>
        <color rgb="FFFFFFFF"/>
        <rFont val="Noto Sans CJK SC"/>
        <family val="2"/>
      </rPr>
      <t xml:space="preserve">許容電力計算シート：誤読防止・運用ガイド</t>
    </r>
  </si>
  <si>
    <t xml:space="preserve">最重要：このブックの判定は「現在入力されている1ケース」に対する結果です。絶縁破壊の最悪条件と熱の最悪条件は一致しないことが多いため、少なくとも高度/低圧ケースと地上/高温ケースを分けて確認してください。</t>
  </si>
  <si>
    <t xml:space="preserve">誤読しやすい点</t>
  </si>
  <si>
    <t xml:space="preserve">正しい読み方</t>
  </si>
  <si>
    <t xml:space="preserve">確認セル</t>
  </si>
  <si>
    <t xml:space="preserve">推奨操作</t>
  </si>
  <si>
    <t xml:space="preserve">全運用条件の保証値に見える</t>
  </si>
  <si>
    <r>
      <rPr>
        <sz val="10"/>
        <rFont val="Arial"/>
        <family val="0"/>
        <charset val="1"/>
      </rPr>
      <t xml:space="preserve">Dashboard</t>
    </r>
    <r>
      <rPr>
        <sz val="10"/>
        <rFont val="Noto Sans CJK SC"/>
        <family val="2"/>
      </rPr>
      <t xml:space="preserve">は現在の入力条件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点での判定。運用包絡線全体の保証値ではない</t>
    </r>
  </si>
  <si>
    <t xml:space="preserve">Dashboard!B22</t>
  </si>
  <si>
    <t xml:space="preserve">複数ケースを保存/比較する</t>
  </si>
  <si>
    <t xml:space="preserve">例：高度低温、地上高温、最大VSWR、最大部品損失</t>
  </si>
  <si>
    <r>
      <rPr>
        <sz val="10"/>
        <rFont val="Arial"/>
        <family val="0"/>
        <charset val="1"/>
      </rPr>
      <t xml:space="preserve">Ragan</t>
    </r>
    <r>
      <rPr>
        <sz val="10"/>
        <rFont val="Noto Sans CJK SC"/>
        <family val="2"/>
      </rPr>
      <t xml:space="preserve">短パルス補正 </t>
    </r>
    <r>
      <rPr>
        <sz val="10"/>
        <rFont val="Arial"/>
        <family val="0"/>
        <charset val="1"/>
      </rPr>
      <t xml:space="preserve">Ktau</t>
    </r>
  </si>
  <si>
    <t xml:space="preserve">パルス運用なので必ず許容電界が上がると解釈する</t>
  </si>
  <si>
    <r>
      <rPr>
        <sz val="10"/>
        <rFont val="Arial"/>
        <family val="0"/>
        <charset val="1"/>
      </rPr>
      <t xml:space="preserve">τ &gt;= τc </t>
    </r>
    <r>
      <rPr>
        <sz val="10"/>
        <rFont val="Noto Sans CJK SC"/>
        <family val="2"/>
      </rPr>
      <t xml:space="preserve">では自動的に </t>
    </r>
    <r>
      <rPr>
        <sz val="10"/>
        <rFont val="Arial"/>
        <family val="0"/>
        <charset val="1"/>
      </rPr>
      <t xml:space="preserve">Ktau=1</t>
    </r>
    <r>
      <rPr>
        <sz val="10"/>
        <rFont val="Noto Sans CJK SC"/>
        <family val="2"/>
      </rPr>
      <t xml:space="preserve">。短パルス上昇は見込まない</t>
    </r>
  </si>
  <si>
    <t xml:space="preserve">Inputs!B60, B65:B66</t>
  </si>
  <si>
    <r>
      <rPr>
        <sz val="10"/>
        <rFont val="Arial"/>
        <family val="0"/>
        <charset val="1"/>
      </rPr>
      <t xml:space="preserve">44 µs</t>
    </r>
    <r>
      <rPr>
        <sz val="10"/>
        <rFont val="Noto Sans CJK SC"/>
        <family val="2"/>
      </rPr>
      <t xml:space="preserve">など </t>
    </r>
    <r>
      <rPr>
        <sz val="10"/>
        <rFont val="Arial"/>
        <family val="0"/>
        <charset val="1"/>
      </rPr>
      <t xml:space="preserve">τ&gt;&gt;τc </t>
    </r>
    <r>
      <rPr>
        <sz val="10"/>
        <rFont val="Noto Sans CJK SC"/>
        <family val="2"/>
      </rPr>
      <t xml:space="preserve">では</t>
    </r>
    <r>
      <rPr>
        <sz val="10"/>
        <rFont val="Arial"/>
        <family val="0"/>
        <charset val="1"/>
      </rPr>
      <t xml:space="preserve">CW/</t>
    </r>
    <r>
      <rPr>
        <sz val="10"/>
        <rFont val="Noto Sans CJK SC"/>
        <family val="2"/>
      </rPr>
      <t xml:space="preserve">マルチパルス相当として扱う</t>
    </r>
  </si>
  <si>
    <t xml:space="preserve">実測/メーカー定格がある場合のみ補正を許可</t>
  </si>
  <si>
    <r>
      <rPr>
        <sz val="10"/>
        <rFont val="Arial"/>
        <family val="0"/>
        <charset val="1"/>
      </rPr>
      <t xml:space="preserve">B81/B83 </t>
    </r>
    <r>
      <rPr>
        <sz val="10"/>
        <rFont val="Noto Sans CJK SC"/>
        <family val="2"/>
      </rPr>
      <t xml:space="preserve">半解析式 </t>
    </r>
    <r>
      <rPr>
        <sz val="10"/>
        <rFont val="Arial"/>
        <family val="0"/>
        <charset val="1"/>
      </rPr>
      <t xml:space="preserve">Ep</t>
    </r>
  </si>
  <si>
    <r>
      <rPr>
        <sz val="10"/>
        <rFont val="Arial"/>
        <family val="0"/>
        <charset val="1"/>
      </rPr>
      <t xml:space="preserve">Dashboard</t>
    </r>
    <r>
      <rPr>
        <sz val="10"/>
        <rFont val="Noto Sans CJK SC"/>
        <family val="2"/>
      </rPr>
      <t xml:space="preserve">の最終判定に使われていると誤解する</t>
    </r>
  </si>
  <si>
    <t xml:space="preserve">表示用の参考値。最終判定のEbd補正はInputs!B62/B63を使用</t>
  </si>
  <si>
    <t xml:space="preserve">Inputs!B81:B83, Dashboard!B35</t>
  </si>
  <si>
    <r>
      <rPr>
        <sz val="10"/>
        <rFont val="Arial"/>
        <family val="0"/>
        <charset val="1"/>
      </rPr>
      <t xml:space="preserve">B83</t>
    </r>
    <r>
      <rPr>
        <sz val="10"/>
        <rFont val="Noto Sans CJK SC"/>
        <family val="2"/>
      </rPr>
      <t xml:space="preserve">は参考として読み、合否判断は</t>
    </r>
    <r>
      <rPr>
        <sz val="10"/>
        <rFont val="Arial"/>
        <family val="0"/>
        <charset val="1"/>
      </rPr>
      <t xml:space="preserve">Dashboard!B18:B24</t>
    </r>
    <r>
      <rPr>
        <sz val="10"/>
        <rFont val="Noto Sans CJK SC"/>
        <family val="2"/>
      </rPr>
      <t xml:space="preserve">を確認</t>
    </r>
  </si>
  <si>
    <t xml:space="preserve">低温では密度効果で大きく見えることがある</t>
  </si>
  <si>
    <t xml:space="preserve">圧力モード B90=2</t>
  </si>
  <si>
    <t xml:space="preserve">密閉封入でも絶対圧101.325kPaが維持されると思い込む</t>
  </si>
  <si>
    <r>
      <rPr>
        <sz val="10"/>
        <rFont val="Arial"/>
        <family val="0"/>
        <charset val="1"/>
      </rPr>
      <t xml:space="preserve">B90=2</t>
    </r>
    <r>
      <rPr>
        <sz val="10"/>
        <rFont val="Noto Sans CJK SC"/>
        <family val="2"/>
      </rPr>
      <t xml:space="preserve">は供給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レギュレータで指定絶対圧を維持する前提</t>
    </r>
  </si>
  <si>
    <t xml:space="preserve">密閉固定質量なら、運用温度での内部絶対圧を別途算出して指定する</t>
  </si>
  <si>
    <t xml:space="preserve">外気圧+ゲージ管理ならB90=3</t>
  </si>
  <si>
    <t xml:space="preserve">低温時のホットスポット温度</t>
  </si>
  <si>
    <r>
      <rPr>
        <sz val="10"/>
        <rFont val="Arial"/>
        <family val="0"/>
        <charset val="1"/>
      </rPr>
      <t xml:space="preserve">−40℃</t>
    </r>
    <r>
      <rPr>
        <sz val="10"/>
        <rFont val="Noto Sans CJK SC"/>
        <family val="2"/>
      </rPr>
      <t xml:space="preserve">などの表示を熱的に常に安全と解釈する</t>
    </r>
  </si>
  <si>
    <t xml:space="preserve">低温高度ケースでは熱制限が緩く見える。熱の最悪条件は地上高温側で別途評価</t>
  </si>
  <si>
    <t xml:space="preserve">Dashboard!B10:B21, Components</t>
  </si>
  <si>
    <r>
      <rPr>
        <sz val="10"/>
        <rFont val="Arial"/>
        <family val="0"/>
        <charset val="1"/>
      </rPr>
      <t xml:space="preserve">B94</t>
    </r>
    <r>
      <rPr>
        <sz val="10"/>
        <rFont val="Noto Sans CJK SC"/>
        <family val="2"/>
      </rPr>
      <t xml:space="preserve">に高温周囲条件、</t>
    </r>
    <r>
      <rPr>
        <sz val="10"/>
        <rFont val="Arial"/>
        <family val="0"/>
        <charset val="1"/>
      </rPr>
      <t xml:space="preserve">B100</t>
    </r>
    <r>
      <rPr>
        <sz val="10"/>
        <rFont val="Noto Sans CJK SC"/>
        <family val="2"/>
      </rPr>
      <t xml:space="preserve">に内部ガス温度を入力して再評価</t>
    </r>
  </si>
  <si>
    <t xml:space="preserve">高温待機/地上運用が熱的に厳しい場合が多い</t>
  </si>
  <si>
    <r>
      <rPr>
        <sz val="10"/>
        <rFont val="Arial"/>
        <family val="0"/>
        <charset val="1"/>
      </rPr>
      <t xml:space="preserve">DUTY</t>
    </r>
    <r>
      <rPr>
        <sz val="10"/>
        <rFont val="Noto Sans CJK SC"/>
        <family val="2"/>
      </rPr>
      <t xml:space="preserve">の扱い</t>
    </r>
  </si>
  <si>
    <t xml:space="preserve">電界もDUTYで下がると誤解する</t>
  </si>
  <si>
    <t xml:space="preserve">ピーク電力入力時、瞬時電界はピーク電力で決まる。DUTYは平均電力/発熱に効く</t>
  </si>
  <si>
    <t xml:space="preserve">Dashboard!B4:B6, B14:B16</t>
  </si>
  <si>
    <t xml:space="preserve">平均電力仕様から逆算する場合だけ Ppeak=Pavg/D を使う</t>
  </si>
  <si>
    <t xml:space="preserve">絶縁破壊はピーク電界、発熱は平均損失</t>
  </si>
  <si>
    <r>
      <rPr>
        <sz val="10"/>
        <rFont val="Arial"/>
        <family val="0"/>
        <charset val="1"/>
      </rPr>
      <t xml:space="preserve">VSWR</t>
    </r>
    <r>
      <rPr>
        <sz val="10"/>
        <rFont val="Noto Sans CJK SC"/>
        <family val="2"/>
      </rPr>
      <t xml:space="preserve">補正</t>
    </r>
  </si>
  <si>
    <t xml:space="preserve">正味電力基準と進行波電力基準を混同する</t>
  </si>
  <si>
    <t xml:space="preserve">電界判定は進行波ピーク電力に対する定在波最大電界で比較</t>
  </si>
  <si>
    <t xml:space="preserve">Dashboard!B12:B16</t>
  </si>
  <si>
    <t xml:space="preserve">入力電力の定義を明確にしてから比較する</t>
  </si>
  <si>
    <t xml:space="preserve">正味電力基準の供給電力もDashboardに表示</t>
  </si>
  <si>
    <t xml:space="preserve">推奨するケース分け</t>
  </si>
  <si>
    <t xml:space="preserve">ケース</t>
  </si>
  <si>
    <t xml:space="preserve">主目的</t>
  </si>
  <si>
    <t xml:space="preserve">代表的な入力</t>
  </si>
  <si>
    <t xml:space="preserve">主に見る結果</t>
  </si>
  <si>
    <r>
      <rPr>
        <b val="true"/>
        <sz val="10"/>
        <color rgb="FFFFFFFF"/>
        <rFont val="Arial"/>
        <family val="0"/>
        <charset val="1"/>
      </rPr>
      <t xml:space="preserve">NG</t>
    </r>
    <r>
      <rPr>
        <b val="true"/>
        <sz val="10"/>
        <color rgb="FFFFFFFF"/>
        <rFont val="Noto Sans CJK SC"/>
        <family val="2"/>
      </rPr>
      <t xml:space="preserve">時の対策</t>
    </r>
  </si>
  <si>
    <r>
      <rPr>
        <sz val="10"/>
        <rFont val="Arial"/>
        <family val="0"/>
        <charset val="1"/>
      </rPr>
      <t xml:space="preserve">A. </t>
    </r>
    <r>
      <rPr>
        <sz val="10"/>
        <rFont val="Noto Sans CJK SC"/>
        <family val="2"/>
      </rPr>
      <t xml:space="preserve">高度・低圧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加圧ケース</t>
    </r>
  </si>
  <si>
    <t xml:space="preserve">絶縁破壊余裕</t>
  </si>
  <si>
    <r>
      <rPr>
        <sz val="10"/>
        <rFont val="Arial"/>
        <family val="0"/>
        <charset val="1"/>
      </rPr>
      <t xml:space="preserve">B87=1, B88=</t>
    </r>
    <r>
      <rPr>
        <sz val="10"/>
        <rFont val="Noto Sans CJK SC"/>
        <family val="2"/>
      </rPr>
      <t xml:space="preserve">高度</t>
    </r>
    <r>
      <rPr>
        <sz val="10"/>
        <rFont val="Arial"/>
        <family val="0"/>
        <charset val="1"/>
      </rPr>
      <t xml:space="preserve">, B90=</t>
    </r>
    <r>
      <rPr>
        <sz val="10"/>
        <rFont val="Noto Sans CJK SC"/>
        <family val="2"/>
      </rPr>
      <t xml:space="preserve">実機の加圧方式</t>
    </r>
    <r>
      <rPr>
        <sz val="10"/>
        <rFont val="Arial"/>
        <family val="0"/>
        <charset val="1"/>
      </rPr>
      <t xml:space="preserve">, B100=</t>
    </r>
    <r>
      <rPr>
        <sz val="10"/>
        <rFont val="Noto Sans CJK SC"/>
        <family val="2"/>
      </rPr>
      <t xml:space="preserve">導波管内ガス温度</t>
    </r>
  </si>
  <si>
    <t xml:space="preserve">Dashboard!B16:B24, Altitude_Pressure</t>
  </si>
  <si>
    <t xml:space="preserve">加圧、乾燥、VSWR改善、部品K_E低減、安全率見直し</t>
  </si>
  <si>
    <t xml:space="preserve">熱の最悪ケースとは限らない</t>
  </si>
  <si>
    <r>
      <rPr>
        <sz val="10"/>
        <rFont val="Arial"/>
        <family val="0"/>
        <charset val="1"/>
      </rPr>
      <t xml:space="preserve">B. </t>
    </r>
    <r>
      <rPr>
        <sz val="10"/>
        <rFont val="Noto Sans CJK SC"/>
        <family val="2"/>
      </rPr>
      <t xml:space="preserve">地上・高温ケース</t>
    </r>
  </si>
  <si>
    <t xml:space="preserve">平均発熱/温度上昇</t>
  </si>
  <si>
    <r>
      <rPr>
        <sz val="10"/>
        <rFont val="Arial"/>
        <family val="0"/>
        <charset val="1"/>
      </rPr>
      <t xml:space="preserve">B87=1</t>
    </r>
    <r>
      <rPr>
        <sz val="10"/>
        <rFont val="Noto Sans CJK SC"/>
        <family val="2"/>
      </rPr>
      <t xml:space="preserve">のまま</t>
    </r>
    <r>
      <rPr>
        <sz val="10"/>
        <rFont val="Arial"/>
        <family val="0"/>
        <charset val="1"/>
      </rPr>
      <t xml:space="preserve">B88=0(ft), B94=</t>
    </r>
    <r>
      <rPr>
        <sz val="10"/>
        <rFont val="Noto Sans CJK SC"/>
        <family val="2"/>
      </rPr>
      <t xml:space="preserve">最高周囲温度</t>
    </r>
    <r>
      <rPr>
        <sz val="10"/>
        <rFont val="Arial"/>
        <family val="0"/>
        <charset val="1"/>
      </rPr>
      <t xml:space="preserve">, B100=</t>
    </r>
    <r>
      <rPr>
        <sz val="10"/>
        <rFont val="Noto Sans CJK SC"/>
        <family val="2"/>
      </rPr>
      <t xml:space="preserve">内部ガス最高温度</t>
    </r>
    <r>
      <rPr>
        <sz val="10"/>
        <rFont val="Arial"/>
        <family val="0"/>
        <charset val="1"/>
      </rPr>
      <t xml:space="preserve">, B90=</t>
    </r>
    <r>
      <rPr>
        <sz val="10"/>
        <rFont val="Noto Sans CJK SC"/>
        <family val="2"/>
      </rPr>
      <t xml:space="preserve">実機の加圧方式</t>
    </r>
  </si>
  <si>
    <t xml:space="preserve">Dashboard!B10:B21, Power_Sweep</t>
  </si>
  <si>
    <t xml:space="preserve">挿入損失低減、放熱改善、DUTY低減、冷却追加</t>
  </si>
  <si>
    <t xml:space="preserve">低温高度ケースだけでは熱評価不足。B87=0では B94 が無効(B27が固定50℃)になるため B87=1+B88=0 とする</t>
  </si>
  <si>
    <r>
      <rPr>
        <sz val="10"/>
        <rFont val="Arial"/>
        <family val="0"/>
        <charset val="1"/>
      </rPr>
      <t xml:space="preserve">C. </t>
    </r>
    <r>
      <rPr>
        <sz val="10"/>
        <rFont val="Noto Sans CJK SC"/>
        <family val="2"/>
      </rPr>
      <t xml:space="preserve">最大ミスマッチケース</t>
    </r>
  </si>
  <si>
    <t xml:space="preserve">定在波最大電界</t>
  </si>
  <si>
    <r>
      <rPr>
        <sz val="10"/>
        <rFont val="Arial"/>
        <family val="0"/>
        <charset val="1"/>
      </rPr>
      <t xml:space="preserve">VSWR</t>
    </r>
    <r>
      <rPr>
        <sz val="10"/>
        <rFont val="Noto Sans CJK SC"/>
        <family val="2"/>
      </rPr>
      <t xml:space="preserve">をワースト値に設定</t>
    </r>
  </si>
  <si>
    <t xml:space="preserve">Dashboard!B12:B19</t>
  </si>
  <si>
    <t xml:space="preserve">マッチング改善、保護回路、電力低減</t>
  </si>
  <si>
    <t xml:space="preserve">電界は(1+|Γ|)で増加</t>
  </si>
  <si>
    <r>
      <rPr>
        <sz val="10"/>
        <rFont val="Arial"/>
        <family val="0"/>
        <charset val="1"/>
      </rPr>
      <t xml:space="preserve">D. </t>
    </r>
    <r>
      <rPr>
        <sz val="10"/>
        <rFont val="Noto Sans CJK SC"/>
        <family val="2"/>
      </rPr>
      <t xml:space="preserve">部品ワーストケース</t>
    </r>
  </si>
  <si>
    <t xml:space="preserve">局所電界/局所発熱</t>
  </si>
  <si>
    <r>
      <rPr>
        <sz val="10"/>
        <rFont val="Arial"/>
        <family val="0"/>
        <charset val="1"/>
      </rPr>
      <t xml:space="preserve">Components</t>
    </r>
    <r>
      <rPr>
        <sz val="10"/>
        <rFont val="Noto Sans CJK SC"/>
        <family val="2"/>
      </rPr>
      <t xml:space="preserve">でベンド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カップラー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ロータリーを有効化</t>
    </r>
  </si>
  <si>
    <t xml:space="preserve">Dashboard!B11:B21, Components</t>
  </si>
  <si>
    <t xml:space="preserve">部品定格確認、K_E/IL/Rθの実測反映</t>
  </si>
  <si>
    <t xml:space="preserve">部品定格を優先</t>
  </si>
  <si>
    <r>
      <rPr>
        <sz val="10"/>
        <rFont val="Arial"/>
        <family val="0"/>
        <charset val="1"/>
      </rPr>
      <t xml:space="preserve">E. </t>
    </r>
    <r>
      <rPr>
        <sz val="10"/>
        <rFont val="Noto Sans CJK SC"/>
        <family val="2"/>
      </rPr>
      <t xml:space="preserve">密閉固定質量ケース</t>
    </r>
  </si>
  <si>
    <t xml:space="preserve">温度変化時の内部圧確認</t>
  </si>
  <si>
    <t xml:space="preserve">運用温度での内部絶対圧を計算し、B90=2/B91に入力</t>
  </si>
  <si>
    <t xml:space="preserve">Altitude_Pressure, Dashboard!B16:B19</t>
  </si>
  <si>
    <t xml:space="preserve">封入圧見直し、レギュレータ化、圧力監視</t>
  </si>
  <si>
    <r>
      <rPr>
        <sz val="10"/>
        <rFont val="Arial"/>
        <family val="0"/>
        <charset val="1"/>
      </rPr>
      <t xml:space="preserve">B90=2</t>
    </r>
    <r>
      <rPr>
        <sz val="10"/>
        <rFont val="Noto Sans CJK SC"/>
        <family val="2"/>
      </rPr>
      <t xml:space="preserve">は「維持」前提。密閉封入とは別</t>
    </r>
  </si>
  <si>
    <t xml:space="preserve">合否判定前チェックリスト</t>
  </si>
  <si>
    <t xml:space="preserve">□ 入力電力は進行波ピーク電力か、正味電力かを確認した</t>
  </si>
  <si>
    <t xml:space="preserve">□ パルス幅 τ と臨界パルス幅 τc の関係を確認した</t>
  </si>
  <si>
    <r>
      <rPr>
        <sz val="10"/>
        <color rgb="FF333333"/>
        <rFont val="Arial"/>
        <family val="0"/>
        <charset val="1"/>
      </rPr>
      <t xml:space="preserve">□ Ktau</t>
    </r>
    <r>
      <rPr>
        <sz val="10"/>
        <color rgb="FF333333"/>
        <rFont val="Noto Sans CJK SC"/>
        <family val="2"/>
      </rPr>
      <t xml:space="preserve">が</t>
    </r>
    <r>
      <rPr>
        <sz val="10"/>
        <color rgb="FF333333"/>
        <rFont val="Arial"/>
        <family val="0"/>
        <charset val="1"/>
      </rPr>
      <t xml:space="preserve">1</t>
    </r>
    <r>
      <rPr>
        <sz val="10"/>
        <color rgb="FF333333"/>
        <rFont val="Noto Sans CJK SC"/>
        <family val="2"/>
      </rPr>
      <t xml:space="preserve">を超える場合、根拠データ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試験データがあるか確認した</t>
    </r>
  </si>
  <si>
    <t xml:space="preserve">□ 圧力モードB90が実機の加圧方式と一致しているか確認した</t>
  </si>
  <si>
    <t xml:space="preserve">□ 導波管内ガス温度B100を必要に応じて設定した</t>
  </si>
  <si>
    <t xml:space="preserve">□ 高度低温ケースとは別に地上高温ケースを確認した</t>
  </si>
  <si>
    <t xml:space="preserve">□ ベンド、カップラー、ロータリージョイントのIL/K_E/Rθを部品実測値またはメーカー値に置き換えた</t>
  </si>
  <si>
    <t xml:space="preserve">□ 最終設計では高電力試験、加圧保持試験、温度試験、アーク検出で確認する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</si>
</sst>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  <numFmt numFmtId="170" formatCode="0.000E+00"/>
    <numFmt numFmtId="171" formatCode="0.000"/>
    <numFmt numFmtId="172" formatCode="0"/>
    <numFmt numFmtId="173" formatCode="#,##0"/>
    <numFmt numFmtId="174" formatCode="0.0"/>
    <numFmt numFmtId="175" formatCode="@"/>
    <numFmt numFmtId="176" formatCode="0.0%"/>
  </numFmts>
  <fonts count="4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4"/>
      <color rgb="FFFFFFFF"/>
      <name val="Noto Sans CJK SC"/>
      <family val="2"/>
    </font>
    <font>
      <b val="true"/>
      <sz val="11"/>
      <color rgb="FF9C0006"/>
      <name val="Noto Sans CJK SC"/>
      <family val="2"/>
      <charset val="1"/>
    </font>
    <font>
      <b val="true"/>
      <sz val="11"/>
      <color rgb="FFFFFFFF"/>
      <name val="Noto Sans CJK SC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Noto Sans CJK SC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0"/>
      <charset val="1"/>
    </font>
    <font>
      <sz val="11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1"/>
      <color rgb="FF333333"/>
      <name val="Noto Sans CJK SC"/>
      <family val="2"/>
      <charset val="1"/>
    </font>
    <font>
      <sz val="11"/>
      <color rgb="FF333333"/>
      <name val="Calibri"/>
      <family val="0"/>
      <charset val="1"/>
    </font>
    <font>
      <sz val="11"/>
      <color rgb="FF333333"/>
      <name val="Noto Sans CJK SC"/>
      <family val="2"/>
    </font>
    <font>
      <b val="true"/>
      <sz val="11"/>
      <color rgb="FF1F4E79"/>
      <name val="Noto Sans CJK SC"/>
      <family val="0"/>
      <charset val="1"/>
    </font>
    <font>
      <b val="true"/>
      <sz val="11"/>
      <color rgb="FF1F4E79"/>
      <name val="Calibri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name val="Calibri"/>
      <family val="0"/>
      <charset val="1"/>
    </font>
    <font>
      <sz val="10"/>
      <name val="Noto Sans CJK SC"/>
      <family val="2"/>
    </font>
    <font>
      <sz val="10"/>
      <name val="Noto Sans CJK SC"/>
      <family val="2"/>
      <charset val="1"/>
    </font>
    <font>
      <sz val="10"/>
      <name val="Noto Sans CJK SC"/>
      <family val="0"/>
      <charset val="1"/>
    </font>
    <font>
      <sz val="10"/>
      <name val="Arial"/>
      <family val="2"/>
    </font>
    <font>
      <b val="true"/>
      <sz val="14"/>
      <color rgb="FFFFFFFF"/>
      <name val="Noto Sans CJK SC"/>
      <family val="0"/>
      <charset val="1"/>
    </font>
    <font>
      <b val="true"/>
      <sz val="11"/>
      <color rgb="FF1F4E79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Noto Sans CJK SC"/>
      <family val="0"/>
      <charset val="1"/>
    </font>
    <font>
      <b val="true"/>
      <sz val="10"/>
      <name val="Noto Sans CJK SC"/>
      <family val="0"/>
      <charset val="1"/>
    </font>
    <font>
      <b val="true"/>
      <sz val="10"/>
      <name val="Noto Sans CJK SC"/>
      <family val="2"/>
      <charset val="1"/>
    </font>
    <font>
      <b val="true"/>
      <sz val="10"/>
      <color rgb="FF1F4E78"/>
      <name val="Noto Sans CJK SC"/>
      <family val="2"/>
      <charset val="1"/>
    </font>
    <font>
      <sz val="10"/>
      <color rgb="FF333333"/>
      <name val="Arial"/>
      <family val="0"/>
      <charset val="1"/>
    </font>
    <font>
      <sz val="10"/>
      <color rgb="FF333333"/>
      <name val="Noto Sans CJK SC"/>
      <family val="2"/>
    </font>
    <font>
      <sz val="10"/>
      <color rgb="FF333333"/>
      <name val="Noto Sans CJK SC"/>
      <family val="2"/>
      <charset val="1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Noto Sans CJK SC"/>
      <family val="2"/>
    </font>
    <font>
      <b val="true"/>
      <sz val="10"/>
      <color rgb="FF9C0006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FCE4D6"/>
        <bgColor rgb="FFFFF2CC"/>
      </patternFill>
    </fill>
    <fill>
      <patternFill patternType="solid">
        <fgColor rgb="FF4472C4"/>
        <bgColor rgb="FF5B9BD5"/>
      </patternFill>
    </fill>
    <fill>
      <patternFill patternType="solid">
        <fgColor rgb="FFF2F2F2"/>
        <bgColor rgb="FFF8FBFD"/>
      </patternFill>
    </fill>
    <fill>
      <patternFill patternType="solid">
        <fgColor rgb="FF5B9BD5"/>
        <bgColor rgb="FF889AAA"/>
      </patternFill>
    </fill>
    <fill>
      <patternFill patternType="solid">
        <fgColor rgb="FFF8FBFD"/>
        <bgColor rgb="FFFFFFFF"/>
      </patternFill>
    </fill>
    <fill>
      <patternFill patternType="solid">
        <fgColor rgb="FFD9EAF7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2F0D9"/>
        <bgColor rgb="FFDDEBF7"/>
      </patternFill>
    </fill>
    <fill>
      <patternFill patternType="solid">
        <fgColor rgb="FFDDEBF7"/>
        <bgColor rgb="FFD9EAF7"/>
      </patternFill>
    </fill>
    <fill>
      <patternFill patternType="solid">
        <fgColor rgb="FF1F4E78"/>
        <bgColor rgb="FF1F4E79"/>
      </patternFill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5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6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8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0" fontId="5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20" fillId="9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0" fontId="5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9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4" fontId="5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5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5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5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5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5" fontId="5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11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2" fillId="11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2" fontId="5" fillId="9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5" fillId="9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71" fontId="5" fillId="1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4" fontId="5" fillId="9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74" fontId="5" fillId="1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5" fillId="1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25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4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2" fontId="5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20" fillId="8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0" fontId="20" fillId="1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0" fillId="8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6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2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3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2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4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7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1" fillId="6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4" fillId="8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2" fillId="6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1" xfId="20"/>
    <cellStyle name="Comma [0] 2" xfId="21"/>
    <cellStyle name="Currency 3" xfId="22"/>
    <cellStyle name="Currency [0] 4" xfId="23"/>
    <cellStyle name="Normal 5" xfId="24"/>
    <cellStyle name="Percent 6" xfId="25"/>
  </cellStyles>
  <dxfs count="5">
    <dxf>
      <font>
        <b val="1"/>
        <color rgb="FF9C0006"/>
      </font>
      <fill>
        <patternFill>
          <bgColor rgb="FFFCE4D6"/>
        </patternFill>
      </fill>
    </dxf>
    <dxf>
      <font>
        <b val="1"/>
        <color rgb="FF006100"/>
      </font>
      <fill>
        <patternFill>
          <bgColor rgb="FFE2F0D9"/>
        </patternFill>
      </fill>
    </dxf>
    <dxf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4EA72E"/>
      <rgbColor rgb="FF800080"/>
      <rgbColor rgb="FF0D8CBD"/>
      <rgbColor rgb="FFCCCCCC"/>
      <rgbColor rgb="FF8B8B8B"/>
      <rgbColor rgb="FF5B9BD5"/>
      <rgbColor rgb="FF8E2682"/>
      <rgbColor rgb="FFFFF2CC"/>
      <rgbColor rgb="FFD9EAF7"/>
      <rgbColor rgb="FF660066"/>
      <rgbColor rgb="FFCF642C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F9ED5"/>
      <rgbColor rgb="FFDDEBF7"/>
      <rgbColor rgb="FFE2F0D9"/>
      <rgbColor rgb="FFF2F2F2"/>
      <rgbColor rgb="FF87BADF"/>
      <rgbColor rgb="FFEEA18B"/>
      <rgbColor rgb="FFF8FBFD"/>
      <rgbColor rgb="FFFCE4D6"/>
      <rgbColor rgb="FF4472C4"/>
      <rgbColor rgb="FF33CCCC"/>
      <rgbColor rgb="FF99CC00"/>
      <rgbColor rgb="FFFFCC00"/>
      <rgbColor rgb="FFFF9900"/>
      <rgbColor rgb="FFE97132"/>
      <rgbColor rgb="FF889E89"/>
      <rgbColor rgb="FF889AAA"/>
      <rgbColor rgb="FF1F4E78"/>
      <rgbColor rgb="FF459428"/>
      <rgbColor rgb="FF165F20"/>
      <rgbColor rgb="FF196B24"/>
      <rgbColor rgb="FF993300"/>
      <rgbColor rgb="FFA02B93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Electric-field utilization vs peak power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"P_delivered
kW"</c:f>
              <c:strCache>
                <c:ptCount val="1"/>
                <c:pt idx="0">
                  <c:v>P_delivered
kW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Power_Sweep!$A$4:$A$83</c:f>
              <c:strCache>
                <c:ptCount val="80"/>
                <c:pt idx="0">
                  <c:v>1.000</c:v>
                </c:pt>
                <c:pt idx="1">
                  <c:v>2.000</c:v>
                </c:pt>
                <c:pt idx="2">
                  <c:v>3.000</c:v>
                </c:pt>
                <c:pt idx="3">
                  <c:v>4.000</c:v>
                </c:pt>
                <c:pt idx="4">
                  <c:v>5.000</c:v>
                </c:pt>
                <c:pt idx="5">
                  <c:v>6.000</c:v>
                </c:pt>
                <c:pt idx="6">
                  <c:v>7.000</c:v>
                </c:pt>
                <c:pt idx="7">
                  <c:v>8.000</c:v>
                </c:pt>
                <c:pt idx="8">
                  <c:v>9.000</c:v>
                </c:pt>
                <c:pt idx="9">
                  <c:v>10.000</c:v>
                </c:pt>
                <c:pt idx="10">
                  <c:v>11.000</c:v>
                </c:pt>
                <c:pt idx="11">
                  <c:v>12.000</c:v>
                </c:pt>
                <c:pt idx="12">
                  <c:v>13.000</c:v>
                </c:pt>
                <c:pt idx="13">
                  <c:v>14.000</c:v>
                </c:pt>
                <c:pt idx="14">
                  <c:v>15.000</c:v>
                </c:pt>
                <c:pt idx="15">
                  <c:v>16.000</c:v>
                </c:pt>
                <c:pt idx="16">
                  <c:v>17.000</c:v>
                </c:pt>
                <c:pt idx="17">
                  <c:v>18.000</c:v>
                </c:pt>
                <c:pt idx="18">
                  <c:v>19.000</c:v>
                </c:pt>
                <c:pt idx="19">
                  <c:v>20.000</c:v>
                </c:pt>
                <c:pt idx="20">
                  <c:v>21.000</c:v>
                </c:pt>
                <c:pt idx="21">
                  <c:v>22.000</c:v>
                </c:pt>
                <c:pt idx="22">
                  <c:v>23.000</c:v>
                </c:pt>
                <c:pt idx="23">
                  <c:v>24.000</c:v>
                </c:pt>
                <c:pt idx="24">
                  <c:v>25.000</c:v>
                </c:pt>
                <c:pt idx="25">
                  <c:v>26.000</c:v>
                </c:pt>
                <c:pt idx="26">
                  <c:v>27.000</c:v>
                </c:pt>
                <c:pt idx="27">
                  <c:v>28.000</c:v>
                </c:pt>
                <c:pt idx="28">
                  <c:v>29.000</c:v>
                </c:pt>
                <c:pt idx="29">
                  <c:v>30.000</c:v>
                </c:pt>
                <c:pt idx="30">
                  <c:v>31.000</c:v>
                </c:pt>
                <c:pt idx="31">
                  <c:v>32.000</c:v>
                </c:pt>
                <c:pt idx="32">
                  <c:v>33.000</c:v>
                </c:pt>
                <c:pt idx="33">
                  <c:v>34.000</c:v>
                </c:pt>
                <c:pt idx="34">
                  <c:v>35.000</c:v>
                </c:pt>
                <c:pt idx="35">
                  <c:v>36.000</c:v>
                </c:pt>
                <c:pt idx="36">
                  <c:v>37.000</c:v>
                </c:pt>
                <c:pt idx="37">
                  <c:v>38.000</c:v>
                </c:pt>
                <c:pt idx="38">
                  <c:v>39.000</c:v>
                </c:pt>
                <c:pt idx="39">
                  <c:v>40.000</c:v>
                </c:pt>
                <c:pt idx="40">
                  <c:v>41.000</c:v>
                </c:pt>
                <c:pt idx="41">
                  <c:v>42.000</c:v>
                </c:pt>
                <c:pt idx="42">
                  <c:v>43.000</c:v>
                </c:pt>
                <c:pt idx="43">
                  <c:v>44.000</c:v>
                </c:pt>
                <c:pt idx="44">
                  <c:v>45.000</c:v>
                </c:pt>
                <c:pt idx="45">
                  <c:v>46.000</c:v>
                </c:pt>
                <c:pt idx="46">
                  <c:v>47.000</c:v>
                </c:pt>
                <c:pt idx="47">
                  <c:v>48.000</c:v>
                </c:pt>
                <c:pt idx="48">
                  <c:v>49.000</c:v>
                </c:pt>
                <c:pt idx="49">
                  <c:v>50.000</c:v>
                </c:pt>
                <c:pt idx="50">
                  <c:v>51.000</c:v>
                </c:pt>
                <c:pt idx="51">
                  <c:v>52.000</c:v>
                </c:pt>
                <c:pt idx="52">
                  <c:v>53.000</c:v>
                </c:pt>
                <c:pt idx="53">
                  <c:v>54.000</c:v>
                </c:pt>
                <c:pt idx="54">
                  <c:v>55.000</c:v>
                </c:pt>
                <c:pt idx="55">
                  <c:v>56.000</c:v>
                </c:pt>
                <c:pt idx="56">
                  <c:v>57.000</c:v>
                </c:pt>
                <c:pt idx="57">
                  <c:v>58.000</c:v>
                </c:pt>
                <c:pt idx="58">
                  <c:v>59.000</c:v>
                </c:pt>
                <c:pt idx="59">
                  <c:v>60.000</c:v>
                </c:pt>
                <c:pt idx="60">
                  <c:v>61.000</c:v>
                </c:pt>
                <c:pt idx="61">
                  <c:v>62.000</c:v>
                </c:pt>
                <c:pt idx="62">
                  <c:v>63.000</c:v>
                </c:pt>
                <c:pt idx="63">
                  <c:v>64.000</c:v>
                </c:pt>
                <c:pt idx="64">
                  <c:v>65.000</c:v>
                </c:pt>
                <c:pt idx="65">
                  <c:v>66.000</c:v>
                </c:pt>
                <c:pt idx="66">
                  <c:v>67.000</c:v>
                </c:pt>
                <c:pt idx="67">
                  <c:v>68.000</c:v>
                </c:pt>
                <c:pt idx="68">
                  <c:v>69.000</c:v>
                </c:pt>
                <c:pt idx="69">
                  <c:v>70.000</c:v>
                </c:pt>
                <c:pt idx="70">
                  <c:v>71.000</c:v>
                </c:pt>
                <c:pt idx="71">
                  <c:v>72.000</c:v>
                </c:pt>
                <c:pt idx="72">
                  <c:v>73.000</c:v>
                </c:pt>
                <c:pt idx="73">
                  <c:v>74.000</c:v>
                </c:pt>
                <c:pt idx="74">
                  <c:v>75.000</c:v>
                </c:pt>
                <c:pt idx="75">
                  <c:v>76.000</c:v>
                </c:pt>
                <c:pt idx="76">
                  <c:v>77.000</c:v>
                </c:pt>
                <c:pt idx="77">
                  <c:v>78.000</c:v>
                </c:pt>
                <c:pt idx="78">
                  <c:v>79.000</c:v>
                </c:pt>
                <c:pt idx="79">
                  <c:v>80.000</c:v>
                </c:pt>
              </c:strCache>
            </c:strRef>
          </c:cat>
          <c:val>
            <c:numRef>
              <c:f>Power_Sweep!$B$4:$B$83</c:f>
              <c:numCache>
                <c:formatCode>0.000</c:formatCode>
                <c:ptCount val="80"/>
                <c:pt idx="0">
                  <c:v>0.96</c:v>
                </c:pt>
                <c:pt idx="1">
                  <c:v>1.92</c:v>
                </c:pt>
                <c:pt idx="2">
                  <c:v>2.88</c:v>
                </c:pt>
                <c:pt idx="3">
                  <c:v>3.84</c:v>
                </c:pt>
                <c:pt idx="4">
                  <c:v>4.8</c:v>
                </c:pt>
                <c:pt idx="5">
                  <c:v>5.76</c:v>
                </c:pt>
                <c:pt idx="6">
                  <c:v>6.72</c:v>
                </c:pt>
                <c:pt idx="7">
                  <c:v>7.68</c:v>
                </c:pt>
                <c:pt idx="8">
                  <c:v>8.64</c:v>
                </c:pt>
                <c:pt idx="9">
                  <c:v>9.6</c:v>
                </c:pt>
                <c:pt idx="10">
                  <c:v>10.56</c:v>
                </c:pt>
                <c:pt idx="11">
                  <c:v>11.52</c:v>
                </c:pt>
                <c:pt idx="12">
                  <c:v>12.48</c:v>
                </c:pt>
                <c:pt idx="13">
                  <c:v>13.44</c:v>
                </c:pt>
                <c:pt idx="14">
                  <c:v>14.4</c:v>
                </c:pt>
                <c:pt idx="15">
                  <c:v>15.36</c:v>
                </c:pt>
                <c:pt idx="16">
                  <c:v>16.32</c:v>
                </c:pt>
                <c:pt idx="17">
                  <c:v>17.28</c:v>
                </c:pt>
                <c:pt idx="18">
                  <c:v>18.24</c:v>
                </c:pt>
                <c:pt idx="19">
                  <c:v>19.2</c:v>
                </c:pt>
                <c:pt idx="20">
                  <c:v>20.16</c:v>
                </c:pt>
                <c:pt idx="21">
                  <c:v>21.12</c:v>
                </c:pt>
                <c:pt idx="22">
                  <c:v>22.08</c:v>
                </c:pt>
                <c:pt idx="23">
                  <c:v>23.04</c:v>
                </c:pt>
                <c:pt idx="24">
                  <c:v>24</c:v>
                </c:pt>
                <c:pt idx="25">
                  <c:v>24.96</c:v>
                </c:pt>
                <c:pt idx="26">
                  <c:v>25.92</c:v>
                </c:pt>
                <c:pt idx="27">
                  <c:v>26.88</c:v>
                </c:pt>
                <c:pt idx="28">
                  <c:v>27.84</c:v>
                </c:pt>
                <c:pt idx="29">
                  <c:v>28.8</c:v>
                </c:pt>
                <c:pt idx="30">
                  <c:v>29.76</c:v>
                </c:pt>
                <c:pt idx="31">
                  <c:v>30.72</c:v>
                </c:pt>
                <c:pt idx="32">
                  <c:v>31.68</c:v>
                </c:pt>
                <c:pt idx="33">
                  <c:v>32.64</c:v>
                </c:pt>
                <c:pt idx="34">
                  <c:v>33.6</c:v>
                </c:pt>
                <c:pt idx="35">
                  <c:v>34.56</c:v>
                </c:pt>
                <c:pt idx="36">
                  <c:v>35.52</c:v>
                </c:pt>
                <c:pt idx="37">
                  <c:v>36.48</c:v>
                </c:pt>
                <c:pt idx="38">
                  <c:v>37.44</c:v>
                </c:pt>
                <c:pt idx="39">
                  <c:v>38.4</c:v>
                </c:pt>
                <c:pt idx="40">
                  <c:v>39.36</c:v>
                </c:pt>
                <c:pt idx="41">
                  <c:v>40.32</c:v>
                </c:pt>
                <c:pt idx="42">
                  <c:v>41.28</c:v>
                </c:pt>
                <c:pt idx="43">
                  <c:v>42.24</c:v>
                </c:pt>
                <c:pt idx="44">
                  <c:v>43.2</c:v>
                </c:pt>
                <c:pt idx="45">
                  <c:v>44.16</c:v>
                </c:pt>
                <c:pt idx="46">
                  <c:v>45.12</c:v>
                </c:pt>
                <c:pt idx="47">
                  <c:v>46.08</c:v>
                </c:pt>
                <c:pt idx="48">
                  <c:v>47.04</c:v>
                </c:pt>
                <c:pt idx="49">
                  <c:v>48</c:v>
                </c:pt>
                <c:pt idx="50">
                  <c:v>48.96</c:v>
                </c:pt>
                <c:pt idx="51">
                  <c:v>49.92</c:v>
                </c:pt>
                <c:pt idx="52">
                  <c:v>50.88</c:v>
                </c:pt>
                <c:pt idx="53">
                  <c:v>51.84</c:v>
                </c:pt>
                <c:pt idx="54">
                  <c:v>52.8</c:v>
                </c:pt>
                <c:pt idx="55">
                  <c:v>53.76</c:v>
                </c:pt>
                <c:pt idx="56">
                  <c:v>54.72</c:v>
                </c:pt>
                <c:pt idx="57">
                  <c:v>55.68</c:v>
                </c:pt>
                <c:pt idx="58">
                  <c:v>56.64</c:v>
                </c:pt>
                <c:pt idx="59">
                  <c:v>57.6</c:v>
                </c:pt>
                <c:pt idx="60">
                  <c:v>58.56</c:v>
                </c:pt>
                <c:pt idx="61">
                  <c:v>59.52</c:v>
                </c:pt>
                <c:pt idx="62">
                  <c:v>60.48</c:v>
                </c:pt>
                <c:pt idx="63">
                  <c:v>61.44</c:v>
                </c:pt>
                <c:pt idx="64">
                  <c:v>62.4</c:v>
                </c:pt>
                <c:pt idx="65">
                  <c:v>63.36</c:v>
                </c:pt>
                <c:pt idx="66">
                  <c:v>64.32</c:v>
                </c:pt>
                <c:pt idx="67">
                  <c:v>65.28</c:v>
                </c:pt>
                <c:pt idx="68">
                  <c:v>66.24</c:v>
                </c:pt>
                <c:pt idx="69">
                  <c:v>67.2</c:v>
                </c:pt>
                <c:pt idx="70">
                  <c:v>68.16</c:v>
                </c:pt>
                <c:pt idx="71">
                  <c:v>69.12</c:v>
                </c:pt>
                <c:pt idx="72">
                  <c:v>70.08</c:v>
                </c:pt>
                <c:pt idx="73">
                  <c:v>71.04</c:v>
                </c:pt>
                <c:pt idx="74">
                  <c:v>72</c:v>
                </c:pt>
                <c:pt idx="75">
                  <c:v>72.96</c:v>
                </c:pt>
                <c:pt idx="76">
                  <c:v>73.92</c:v>
                </c:pt>
                <c:pt idx="77">
                  <c:v>74.88</c:v>
                </c:pt>
                <c:pt idx="78">
                  <c:v>75.84</c:v>
                </c:pt>
                <c:pt idx="79">
                  <c:v>76.8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"E_travel
kV/m"</c:f>
              <c:strCache>
                <c:ptCount val="1"/>
                <c:pt idx="0">
                  <c:v>E_travel
kV/m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Power_Sweep!$A$4:$A$83</c:f>
              <c:strCache>
                <c:ptCount val="80"/>
                <c:pt idx="0">
                  <c:v>1.000</c:v>
                </c:pt>
                <c:pt idx="1">
                  <c:v>2.000</c:v>
                </c:pt>
                <c:pt idx="2">
                  <c:v>3.000</c:v>
                </c:pt>
                <c:pt idx="3">
                  <c:v>4.000</c:v>
                </c:pt>
                <c:pt idx="4">
                  <c:v>5.000</c:v>
                </c:pt>
                <c:pt idx="5">
                  <c:v>6.000</c:v>
                </c:pt>
                <c:pt idx="6">
                  <c:v>7.000</c:v>
                </c:pt>
                <c:pt idx="7">
                  <c:v>8.000</c:v>
                </c:pt>
                <c:pt idx="8">
                  <c:v>9.000</c:v>
                </c:pt>
                <c:pt idx="9">
                  <c:v>10.000</c:v>
                </c:pt>
                <c:pt idx="10">
                  <c:v>11.000</c:v>
                </c:pt>
                <c:pt idx="11">
                  <c:v>12.000</c:v>
                </c:pt>
                <c:pt idx="12">
                  <c:v>13.000</c:v>
                </c:pt>
                <c:pt idx="13">
                  <c:v>14.000</c:v>
                </c:pt>
                <c:pt idx="14">
                  <c:v>15.000</c:v>
                </c:pt>
                <c:pt idx="15">
                  <c:v>16.000</c:v>
                </c:pt>
                <c:pt idx="16">
                  <c:v>17.000</c:v>
                </c:pt>
                <c:pt idx="17">
                  <c:v>18.000</c:v>
                </c:pt>
                <c:pt idx="18">
                  <c:v>19.000</c:v>
                </c:pt>
                <c:pt idx="19">
                  <c:v>20.000</c:v>
                </c:pt>
                <c:pt idx="20">
                  <c:v>21.000</c:v>
                </c:pt>
                <c:pt idx="21">
                  <c:v>22.000</c:v>
                </c:pt>
                <c:pt idx="22">
                  <c:v>23.000</c:v>
                </c:pt>
                <c:pt idx="23">
                  <c:v>24.000</c:v>
                </c:pt>
                <c:pt idx="24">
                  <c:v>25.000</c:v>
                </c:pt>
                <c:pt idx="25">
                  <c:v>26.000</c:v>
                </c:pt>
                <c:pt idx="26">
                  <c:v>27.000</c:v>
                </c:pt>
                <c:pt idx="27">
                  <c:v>28.000</c:v>
                </c:pt>
                <c:pt idx="28">
                  <c:v>29.000</c:v>
                </c:pt>
                <c:pt idx="29">
                  <c:v>30.000</c:v>
                </c:pt>
                <c:pt idx="30">
                  <c:v>31.000</c:v>
                </c:pt>
                <c:pt idx="31">
                  <c:v>32.000</c:v>
                </c:pt>
                <c:pt idx="32">
                  <c:v>33.000</c:v>
                </c:pt>
                <c:pt idx="33">
                  <c:v>34.000</c:v>
                </c:pt>
                <c:pt idx="34">
                  <c:v>35.000</c:v>
                </c:pt>
                <c:pt idx="35">
                  <c:v>36.000</c:v>
                </c:pt>
                <c:pt idx="36">
                  <c:v>37.000</c:v>
                </c:pt>
                <c:pt idx="37">
                  <c:v>38.000</c:v>
                </c:pt>
                <c:pt idx="38">
                  <c:v>39.000</c:v>
                </c:pt>
                <c:pt idx="39">
                  <c:v>40.000</c:v>
                </c:pt>
                <c:pt idx="40">
                  <c:v>41.000</c:v>
                </c:pt>
                <c:pt idx="41">
                  <c:v>42.000</c:v>
                </c:pt>
                <c:pt idx="42">
                  <c:v>43.000</c:v>
                </c:pt>
                <c:pt idx="43">
                  <c:v>44.000</c:v>
                </c:pt>
                <c:pt idx="44">
                  <c:v>45.000</c:v>
                </c:pt>
                <c:pt idx="45">
                  <c:v>46.000</c:v>
                </c:pt>
                <c:pt idx="46">
                  <c:v>47.000</c:v>
                </c:pt>
                <c:pt idx="47">
                  <c:v>48.000</c:v>
                </c:pt>
                <c:pt idx="48">
                  <c:v>49.000</c:v>
                </c:pt>
                <c:pt idx="49">
                  <c:v>50.000</c:v>
                </c:pt>
                <c:pt idx="50">
                  <c:v>51.000</c:v>
                </c:pt>
                <c:pt idx="51">
                  <c:v>52.000</c:v>
                </c:pt>
                <c:pt idx="52">
                  <c:v>53.000</c:v>
                </c:pt>
                <c:pt idx="53">
                  <c:v>54.000</c:v>
                </c:pt>
                <c:pt idx="54">
                  <c:v>55.000</c:v>
                </c:pt>
                <c:pt idx="55">
                  <c:v>56.000</c:v>
                </c:pt>
                <c:pt idx="56">
                  <c:v>57.000</c:v>
                </c:pt>
                <c:pt idx="57">
                  <c:v>58.000</c:v>
                </c:pt>
                <c:pt idx="58">
                  <c:v>59.000</c:v>
                </c:pt>
                <c:pt idx="59">
                  <c:v>60.000</c:v>
                </c:pt>
                <c:pt idx="60">
                  <c:v>61.000</c:v>
                </c:pt>
                <c:pt idx="61">
                  <c:v>62.000</c:v>
                </c:pt>
                <c:pt idx="62">
                  <c:v>63.000</c:v>
                </c:pt>
                <c:pt idx="63">
                  <c:v>64.000</c:v>
                </c:pt>
                <c:pt idx="64">
                  <c:v>65.000</c:v>
                </c:pt>
                <c:pt idx="65">
                  <c:v>66.000</c:v>
                </c:pt>
                <c:pt idx="66">
                  <c:v>67.000</c:v>
                </c:pt>
                <c:pt idx="67">
                  <c:v>68.000</c:v>
                </c:pt>
                <c:pt idx="68">
                  <c:v>69.000</c:v>
                </c:pt>
                <c:pt idx="69">
                  <c:v>70.000</c:v>
                </c:pt>
                <c:pt idx="70">
                  <c:v>71.000</c:v>
                </c:pt>
                <c:pt idx="71">
                  <c:v>72.000</c:v>
                </c:pt>
                <c:pt idx="72">
                  <c:v>73.000</c:v>
                </c:pt>
                <c:pt idx="73">
                  <c:v>74.000</c:v>
                </c:pt>
                <c:pt idx="74">
                  <c:v>75.000</c:v>
                </c:pt>
                <c:pt idx="75">
                  <c:v>76.000</c:v>
                </c:pt>
                <c:pt idx="76">
                  <c:v>77.000</c:v>
                </c:pt>
                <c:pt idx="77">
                  <c:v>78.000</c:v>
                </c:pt>
                <c:pt idx="78">
                  <c:v>79.000</c:v>
                </c:pt>
                <c:pt idx="79">
                  <c:v>80.000</c:v>
                </c:pt>
              </c:strCache>
            </c:strRef>
          </c:cat>
          <c:val>
            <c:numRef>
              <c:f>Power_Sweep!$C$4:$C$83</c:f>
              <c:numCache>
                <c:formatCode>0.000</c:formatCode>
                <c:ptCount val="80"/>
                <c:pt idx="0">
                  <c:v>96.4499100135902</c:v>
                </c:pt>
                <c:pt idx="1">
                  <c:v>136.400770830884</c:v>
                </c:pt>
                <c:pt idx="2">
                  <c:v>167.056144528984</c:v>
                </c:pt>
                <c:pt idx="3">
                  <c:v>192.89982002718</c:v>
                </c:pt>
                <c:pt idx="4">
                  <c:v>215.668555214125</c:v>
                </c:pt>
                <c:pt idx="5">
                  <c:v>236.25306527065</c:v>
                </c:pt>
                <c:pt idx="6">
                  <c:v>255.182475870518</c:v>
                </c:pt>
                <c:pt idx="7">
                  <c:v>272.801541661768</c:v>
                </c:pt>
                <c:pt idx="8">
                  <c:v>289.349730040771</c:v>
                </c:pt>
                <c:pt idx="9">
                  <c:v>305.001395761227</c:v>
                </c:pt>
                <c:pt idx="10">
                  <c:v>319.888162578621</c:v>
                </c:pt>
                <c:pt idx="11">
                  <c:v>334.112289057969</c:v>
                </c:pt>
                <c:pt idx="12">
                  <c:v>347.755096067887</c:v>
                </c:pt>
                <c:pt idx="13">
                  <c:v>360.882518256032</c:v>
                </c:pt>
                <c:pt idx="14">
                  <c:v>373.548895225839</c:v>
                </c:pt>
                <c:pt idx="15">
                  <c:v>385.799640054361</c:v>
                </c:pt>
                <c:pt idx="16">
                  <c:v>397.673166567351</c:v>
                </c:pt>
                <c:pt idx="17">
                  <c:v>409.202312492651</c:v>
                </c:pt>
                <c:pt idx="18">
                  <c:v>420.415410862831</c:v>
                </c:pt>
                <c:pt idx="19">
                  <c:v>431.337110428251</c:v>
                </c:pt>
                <c:pt idx="20">
                  <c:v>441.989013408956</c:v>
                </c:pt>
                <c:pt idx="21">
                  <c:v>452.390177961295</c:v>
                </c:pt>
                <c:pt idx="22">
                  <c:v>462.557518863851</c:v>
                </c:pt>
                <c:pt idx="23">
                  <c:v>472.506130541299</c:v>
                </c:pt>
                <c:pt idx="24">
                  <c:v>482.249550067951</c:v>
                </c:pt>
                <c:pt idx="25">
                  <c:v>491.799973243564</c:v>
                </c:pt>
                <c:pt idx="26">
                  <c:v>501.168433586953</c:v>
                </c:pt>
                <c:pt idx="27">
                  <c:v>510.364951741036</c:v>
                </c:pt>
                <c:pt idx="28">
                  <c:v>519.398661056476</c:v>
                </c:pt>
                <c:pt idx="29">
                  <c:v>528.277913837868</c:v>
                </c:pt>
                <c:pt idx="30">
                  <c:v>537.01037177183</c:v>
                </c:pt>
                <c:pt idx="31">
                  <c:v>545.603083323535</c:v>
                </c:pt>
                <c:pt idx="32">
                  <c:v>554.062550326024</c:v>
                </c:pt>
                <c:pt idx="33">
                  <c:v>562.394785551402</c:v>
                </c:pt>
                <c:pt idx="34">
                  <c:v>570.605362713178</c:v>
                </c:pt>
                <c:pt idx="35">
                  <c:v>578.699460081541</c:v>
                </c:pt>
                <c:pt idx="36">
                  <c:v>586.681898681301</c:v>
                </c:pt>
                <c:pt idx="37">
                  <c:v>594.557175872873</c:v>
                </c:pt>
                <c:pt idx="38">
                  <c:v>602.329494980576</c:v>
                </c:pt>
                <c:pt idx="39">
                  <c:v>610.002791522453</c:v>
                </c:pt>
                <c:pt idx="40">
                  <c:v>617.580756506236</c:v>
                </c:pt>
                <c:pt idx="41">
                  <c:v>625.06685718285</c:v>
                </c:pt>
                <c:pt idx="42">
                  <c:v>632.464355588577</c:v>
                </c:pt>
                <c:pt idx="43">
                  <c:v>639.776325157241</c:v>
                </c:pt>
                <c:pt idx="44">
                  <c:v>647.005665642376</c:v>
                </c:pt>
                <c:pt idx="45">
                  <c:v>654.155116554907</c:v>
                </c:pt>
                <c:pt idx="46">
                  <c:v>661.227269292936</c:v>
                </c:pt>
                <c:pt idx="47">
                  <c:v>668.224578115938</c:v>
                </c:pt>
                <c:pt idx="48">
                  <c:v>675.149370095131</c:v>
                </c:pt>
                <c:pt idx="49">
                  <c:v>682.003854154419</c:v>
                </c:pt>
                <c:pt idx="50">
                  <c:v>688.790129301453</c:v>
                </c:pt>
                <c:pt idx="51">
                  <c:v>695.510192135774</c:v>
                </c:pt>
                <c:pt idx="52">
                  <c:v>702.165943710154</c:v>
                </c:pt>
                <c:pt idx="53">
                  <c:v>708.759195811949</c:v>
                </c:pt>
                <c:pt idx="54">
                  <c:v>715.2916767233</c:v>
                </c:pt>
                <c:pt idx="55">
                  <c:v>721.765036512063</c:v>
                </c:pt>
                <c:pt idx="56">
                  <c:v>728.180851899368</c:v>
                </c:pt>
                <c:pt idx="57">
                  <c:v>734.540630744494</c:v>
                </c:pt>
                <c:pt idx="58">
                  <c:v>740.845816183198</c:v>
                </c:pt>
                <c:pt idx="59">
                  <c:v>747.097790451678</c:v>
                </c:pt>
                <c:pt idx="60">
                  <c:v>753.297878424869</c:v>
                </c:pt>
                <c:pt idx="61">
                  <c:v>759.44735089474</c:v>
                </c:pt>
                <c:pt idx="62">
                  <c:v>765.547427611554</c:v>
                </c:pt>
                <c:pt idx="63">
                  <c:v>771.599280108721</c:v>
                </c:pt>
                <c:pt idx="64">
                  <c:v>777.604034329765</c:v>
                </c:pt>
                <c:pt idx="65">
                  <c:v>783.562773074089</c:v>
                </c:pt>
                <c:pt idx="66">
                  <c:v>789.476538276589</c:v>
                </c:pt>
                <c:pt idx="67">
                  <c:v>795.346333134702</c:v>
                </c:pt>
                <c:pt idx="68">
                  <c:v>801.173124095189</c:v>
                </c:pt>
                <c:pt idx="69">
                  <c:v>806.957842711796</c:v>
                </c:pt>
                <c:pt idx="70">
                  <c:v>812.701387383893</c:v>
                </c:pt>
                <c:pt idx="71">
                  <c:v>818.404624985303</c:v>
                </c:pt>
                <c:pt idx="72">
                  <c:v>824.068392391653</c:v>
                </c:pt>
                <c:pt idx="73">
                  <c:v>829.693497913894</c:v>
                </c:pt>
                <c:pt idx="74">
                  <c:v>835.280722644922</c:v>
                </c:pt>
                <c:pt idx="75">
                  <c:v>840.830821725662</c:v>
                </c:pt>
                <c:pt idx="76">
                  <c:v>846.344525536429</c:v>
                </c:pt>
                <c:pt idx="77">
                  <c:v>851.822540818868</c:v>
                </c:pt>
                <c:pt idx="78">
                  <c:v>857.265551733383</c:v>
                </c:pt>
                <c:pt idx="79">
                  <c:v>862.674220856501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"E_standing
kV/m"</c:f>
              <c:strCache>
                <c:ptCount val="1"/>
                <c:pt idx="0">
                  <c:v>E_standing
kV/m</c:v>
                </c:pt>
              </c:strCache>
            </c:strRef>
          </c:tx>
          <c:spPr>
            <a:solidFill>
              <a:srgbClr val="196b24"/>
            </a:solidFill>
            <a:ln w="3816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Power_Sweep!$A$4:$A$83</c:f>
              <c:strCache>
                <c:ptCount val="80"/>
                <c:pt idx="0">
                  <c:v>1.000</c:v>
                </c:pt>
                <c:pt idx="1">
                  <c:v>2.000</c:v>
                </c:pt>
                <c:pt idx="2">
                  <c:v>3.000</c:v>
                </c:pt>
                <c:pt idx="3">
                  <c:v>4.000</c:v>
                </c:pt>
                <c:pt idx="4">
                  <c:v>5.000</c:v>
                </c:pt>
                <c:pt idx="5">
                  <c:v>6.000</c:v>
                </c:pt>
                <c:pt idx="6">
                  <c:v>7.000</c:v>
                </c:pt>
                <c:pt idx="7">
                  <c:v>8.000</c:v>
                </c:pt>
                <c:pt idx="8">
                  <c:v>9.000</c:v>
                </c:pt>
                <c:pt idx="9">
                  <c:v>10.000</c:v>
                </c:pt>
                <c:pt idx="10">
                  <c:v>11.000</c:v>
                </c:pt>
                <c:pt idx="11">
                  <c:v>12.000</c:v>
                </c:pt>
                <c:pt idx="12">
                  <c:v>13.000</c:v>
                </c:pt>
                <c:pt idx="13">
                  <c:v>14.000</c:v>
                </c:pt>
                <c:pt idx="14">
                  <c:v>15.000</c:v>
                </c:pt>
                <c:pt idx="15">
                  <c:v>16.000</c:v>
                </c:pt>
                <c:pt idx="16">
                  <c:v>17.000</c:v>
                </c:pt>
                <c:pt idx="17">
                  <c:v>18.000</c:v>
                </c:pt>
                <c:pt idx="18">
                  <c:v>19.000</c:v>
                </c:pt>
                <c:pt idx="19">
                  <c:v>20.000</c:v>
                </c:pt>
                <c:pt idx="20">
                  <c:v>21.000</c:v>
                </c:pt>
                <c:pt idx="21">
                  <c:v>22.000</c:v>
                </c:pt>
                <c:pt idx="22">
                  <c:v>23.000</c:v>
                </c:pt>
                <c:pt idx="23">
                  <c:v>24.000</c:v>
                </c:pt>
                <c:pt idx="24">
                  <c:v>25.000</c:v>
                </c:pt>
                <c:pt idx="25">
                  <c:v>26.000</c:v>
                </c:pt>
                <c:pt idx="26">
                  <c:v>27.000</c:v>
                </c:pt>
                <c:pt idx="27">
                  <c:v>28.000</c:v>
                </c:pt>
                <c:pt idx="28">
                  <c:v>29.000</c:v>
                </c:pt>
                <c:pt idx="29">
                  <c:v>30.000</c:v>
                </c:pt>
                <c:pt idx="30">
                  <c:v>31.000</c:v>
                </c:pt>
                <c:pt idx="31">
                  <c:v>32.000</c:v>
                </c:pt>
                <c:pt idx="32">
                  <c:v>33.000</c:v>
                </c:pt>
                <c:pt idx="33">
                  <c:v>34.000</c:v>
                </c:pt>
                <c:pt idx="34">
                  <c:v>35.000</c:v>
                </c:pt>
                <c:pt idx="35">
                  <c:v>36.000</c:v>
                </c:pt>
                <c:pt idx="36">
                  <c:v>37.000</c:v>
                </c:pt>
                <c:pt idx="37">
                  <c:v>38.000</c:v>
                </c:pt>
                <c:pt idx="38">
                  <c:v>39.000</c:v>
                </c:pt>
                <c:pt idx="39">
                  <c:v>40.000</c:v>
                </c:pt>
                <c:pt idx="40">
                  <c:v>41.000</c:v>
                </c:pt>
                <c:pt idx="41">
                  <c:v>42.000</c:v>
                </c:pt>
                <c:pt idx="42">
                  <c:v>43.000</c:v>
                </c:pt>
                <c:pt idx="43">
                  <c:v>44.000</c:v>
                </c:pt>
                <c:pt idx="44">
                  <c:v>45.000</c:v>
                </c:pt>
                <c:pt idx="45">
                  <c:v>46.000</c:v>
                </c:pt>
                <c:pt idx="46">
                  <c:v>47.000</c:v>
                </c:pt>
                <c:pt idx="47">
                  <c:v>48.000</c:v>
                </c:pt>
                <c:pt idx="48">
                  <c:v>49.000</c:v>
                </c:pt>
                <c:pt idx="49">
                  <c:v>50.000</c:v>
                </c:pt>
                <c:pt idx="50">
                  <c:v>51.000</c:v>
                </c:pt>
                <c:pt idx="51">
                  <c:v>52.000</c:v>
                </c:pt>
                <c:pt idx="52">
                  <c:v>53.000</c:v>
                </c:pt>
                <c:pt idx="53">
                  <c:v>54.000</c:v>
                </c:pt>
                <c:pt idx="54">
                  <c:v>55.000</c:v>
                </c:pt>
                <c:pt idx="55">
                  <c:v>56.000</c:v>
                </c:pt>
                <c:pt idx="56">
                  <c:v>57.000</c:v>
                </c:pt>
                <c:pt idx="57">
                  <c:v>58.000</c:v>
                </c:pt>
                <c:pt idx="58">
                  <c:v>59.000</c:v>
                </c:pt>
                <c:pt idx="59">
                  <c:v>60.000</c:v>
                </c:pt>
                <c:pt idx="60">
                  <c:v>61.000</c:v>
                </c:pt>
                <c:pt idx="61">
                  <c:v>62.000</c:v>
                </c:pt>
                <c:pt idx="62">
                  <c:v>63.000</c:v>
                </c:pt>
                <c:pt idx="63">
                  <c:v>64.000</c:v>
                </c:pt>
                <c:pt idx="64">
                  <c:v>65.000</c:v>
                </c:pt>
                <c:pt idx="65">
                  <c:v>66.000</c:v>
                </c:pt>
                <c:pt idx="66">
                  <c:v>67.000</c:v>
                </c:pt>
                <c:pt idx="67">
                  <c:v>68.000</c:v>
                </c:pt>
                <c:pt idx="68">
                  <c:v>69.000</c:v>
                </c:pt>
                <c:pt idx="69">
                  <c:v>70.000</c:v>
                </c:pt>
                <c:pt idx="70">
                  <c:v>71.000</c:v>
                </c:pt>
                <c:pt idx="71">
                  <c:v>72.000</c:v>
                </c:pt>
                <c:pt idx="72">
                  <c:v>73.000</c:v>
                </c:pt>
                <c:pt idx="73">
                  <c:v>74.000</c:v>
                </c:pt>
                <c:pt idx="74">
                  <c:v>75.000</c:v>
                </c:pt>
                <c:pt idx="75">
                  <c:v>76.000</c:v>
                </c:pt>
                <c:pt idx="76">
                  <c:v>77.000</c:v>
                </c:pt>
                <c:pt idx="77">
                  <c:v>78.000</c:v>
                </c:pt>
                <c:pt idx="78">
                  <c:v>79.000</c:v>
                </c:pt>
                <c:pt idx="79">
                  <c:v>80.000</c:v>
                </c:pt>
              </c:strCache>
            </c:strRef>
          </c:cat>
          <c:val>
            <c:numRef>
              <c:f>Power_Sweep!$D$4:$D$83</c:f>
              <c:numCache>
                <c:formatCode>0.000</c:formatCode>
                <c:ptCount val="80"/>
                <c:pt idx="0">
                  <c:v>115.739892016308</c:v>
                </c:pt>
                <c:pt idx="1">
                  <c:v>163.680924997061</c:v>
                </c:pt>
                <c:pt idx="2">
                  <c:v>200.467373434781</c:v>
                </c:pt>
                <c:pt idx="3">
                  <c:v>231.479784032616</c:v>
                </c:pt>
                <c:pt idx="4">
                  <c:v>258.80226625695</c:v>
                </c:pt>
                <c:pt idx="5">
                  <c:v>283.50367832478</c:v>
                </c:pt>
                <c:pt idx="6">
                  <c:v>306.218971044622</c:v>
                </c:pt>
                <c:pt idx="7">
                  <c:v>327.361849994121</c:v>
                </c:pt>
                <c:pt idx="8">
                  <c:v>347.219676048925</c:v>
                </c:pt>
                <c:pt idx="9">
                  <c:v>366.001674913472</c:v>
                </c:pt>
                <c:pt idx="10">
                  <c:v>383.865795094345</c:v>
                </c:pt>
                <c:pt idx="11">
                  <c:v>400.934746869563</c:v>
                </c:pt>
                <c:pt idx="12">
                  <c:v>417.306115281464</c:v>
                </c:pt>
                <c:pt idx="13">
                  <c:v>433.059021907238</c:v>
                </c:pt>
                <c:pt idx="14">
                  <c:v>448.258674271007</c:v>
                </c:pt>
                <c:pt idx="15">
                  <c:v>462.959568065233</c:v>
                </c:pt>
                <c:pt idx="16">
                  <c:v>477.207799880821</c:v>
                </c:pt>
                <c:pt idx="17">
                  <c:v>491.042774991182</c:v>
                </c:pt>
                <c:pt idx="18">
                  <c:v>504.498493035397</c:v>
                </c:pt>
                <c:pt idx="19">
                  <c:v>517.604532513901</c:v>
                </c:pt>
                <c:pt idx="20">
                  <c:v>530.386816090747</c:v>
                </c:pt>
                <c:pt idx="21">
                  <c:v>542.868213553554</c:v>
                </c:pt>
                <c:pt idx="22">
                  <c:v>555.069022636621</c:v>
                </c:pt>
                <c:pt idx="23">
                  <c:v>567.007356649559</c:v>
                </c:pt>
                <c:pt idx="24">
                  <c:v>578.699460081541</c:v>
                </c:pt>
                <c:pt idx="25">
                  <c:v>590.159967892277</c:v>
                </c:pt>
                <c:pt idx="26">
                  <c:v>601.402120304344</c:v>
                </c:pt>
                <c:pt idx="27">
                  <c:v>612.437942089243</c:v>
                </c:pt>
                <c:pt idx="28">
                  <c:v>623.278393267771</c:v>
                </c:pt>
                <c:pt idx="29">
                  <c:v>633.933496605441</c:v>
                </c:pt>
                <c:pt idx="30">
                  <c:v>644.412446126196</c:v>
                </c:pt>
                <c:pt idx="31">
                  <c:v>654.723699988242</c:v>
                </c:pt>
                <c:pt idx="32">
                  <c:v>664.875060391229</c:v>
                </c:pt>
                <c:pt idx="33">
                  <c:v>674.873742661683</c:v>
                </c:pt>
                <c:pt idx="34">
                  <c:v>684.726435255814</c:v>
                </c:pt>
                <c:pt idx="35">
                  <c:v>694.439352097849</c:v>
                </c:pt>
                <c:pt idx="36">
                  <c:v>704.018278417562</c:v>
                </c:pt>
                <c:pt idx="37">
                  <c:v>713.468611047447</c:v>
                </c:pt>
                <c:pt idx="38">
                  <c:v>722.795393976692</c:v>
                </c:pt>
                <c:pt idx="39">
                  <c:v>732.003349826944</c:v>
                </c:pt>
                <c:pt idx="40">
                  <c:v>741.096907807484</c:v>
                </c:pt>
                <c:pt idx="41">
                  <c:v>750.08022861942</c:v>
                </c:pt>
                <c:pt idx="42">
                  <c:v>758.957226706293</c:v>
                </c:pt>
                <c:pt idx="43">
                  <c:v>767.73159018869</c:v>
                </c:pt>
                <c:pt idx="44">
                  <c:v>776.406798770851</c:v>
                </c:pt>
                <c:pt idx="45">
                  <c:v>784.986139865888</c:v>
                </c:pt>
                <c:pt idx="46">
                  <c:v>793.472723151523</c:v>
                </c:pt>
                <c:pt idx="47">
                  <c:v>801.869493739125</c:v>
                </c:pt>
                <c:pt idx="48">
                  <c:v>810.179244114157</c:v>
                </c:pt>
                <c:pt idx="49">
                  <c:v>818.404624985303</c:v>
                </c:pt>
                <c:pt idx="50">
                  <c:v>826.548155161743</c:v>
                </c:pt>
                <c:pt idx="51">
                  <c:v>834.612230562929</c:v>
                </c:pt>
                <c:pt idx="52">
                  <c:v>842.599132452185</c:v>
                </c:pt>
                <c:pt idx="53">
                  <c:v>850.511034974339</c:v>
                </c:pt>
                <c:pt idx="54">
                  <c:v>858.35001206796</c:v>
                </c:pt>
                <c:pt idx="55">
                  <c:v>866.118043814476</c:v>
                </c:pt>
                <c:pt idx="56">
                  <c:v>873.817022279242</c:v>
                </c:pt>
                <c:pt idx="57">
                  <c:v>881.448756893393</c:v>
                </c:pt>
                <c:pt idx="58">
                  <c:v>889.014979419838</c:v>
                </c:pt>
                <c:pt idx="59">
                  <c:v>896.517348542013</c:v>
                </c:pt>
                <c:pt idx="60">
                  <c:v>903.957454109842</c:v>
                </c:pt>
                <c:pt idx="61">
                  <c:v>911.336821073688</c:v>
                </c:pt>
                <c:pt idx="62">
                  <c:v>918.656913133865</c:v>
                </c:pt>
                <c:pt idx="63">
                  <c:v>925.919136130466</c:v>
                </c:pt>
                <c:pt idx="64">
                  <c:v>933.124841195718</c:v>
                </c:pt>
                <c:pt idx="65">
                  <c:v>940.275327688907</c:v>
                </c:pt>
                <c:pt idx="66">
                  <c:v>947.371845931906</c:v>
                </c:pt>
                <c:pt idx="67">
                  <c:v>954.415599761642</c:v>
                </c:pt>
                <c:pt idx="68">
                  <c:v>961.407748914227</c:v>
                </c:pt>
                <c:pt idx="69">
                  <c:v>968.349411254155</c:v>
                </c:pt>
                <c:pt idx="70">
                  <c:v>975.241664860672</c:v>
                </c:pt>
                <c:pt idx="71">
                  <c:v>982.085549982363</c:v>
                </c:pt>
                <c:pt idx="72">
                  <c:v>988.882070869984</c:v>
                </c:pt>
                <c:pt idx="73">
                  <c:v>995.632197496673</c:v>
                </c:pt>
                <c:pt idx="74">
                  <c:v>1002.33686717391</c:v>
                </c:pt>
                <c:pt idx="75">
                  <c:v>1008.99698607079</c:v>
                </c:pt>
                <c:pt idx="76">
                  <c:v>1015.61343064371</c:v>
                </c:pt>
                <c:pt idx="77">
                  <c:v>1022.18704898264</c:v>
                </c:pt>
                <c:pt idx="78">
                  <c:v>1028.71866208006</c:v>
                </c:pt>
                <c:pt idx="79">
                  <c:v>1035.2090650278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"E_local
kV/m"</c:f>
              <c:strCache>
                <c:ptCount val="1"/>
                <c:pt idx="0">
                  <c:v>E_local
kV/m</c:v>
                </c:pt>
              </c:strCache>
            </c:strRef>
          </c:tx>
          <c:spPr>
            <a:solidFill>
              <a:srgbClr val="0f9ed5"/>
            </a:solidFill>
            <a:ln w="38160">
              <a:solidFill>
                <a:srgbClr val="0f9e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Power_Sweep!$A$4:$A$83</c:f>
              <c:strCache>
                <c:ptCount val="80"/>
                <c:pt idx="0">
                  <c:v>1.000</c:v>
                </c:pt>
                <c:pt idx="1">
                  <c:v>2.000</c:v>
                </c:pt>
                <c:pt idx="2">
                  <c:v>3.000</c:v>
                </c:pt>
                <c:pt idx="3">
                  <c:v>4.000</c:v>
                </c:pt>
                <c:pt idx="4">
                  <c:v>5.000</c:v>
                </c:pt>
                <c:pt idx="5">
                  <c:v>6.000</c:v>
                </c:pt>
                <c:pt idx="6">
                  <c:v>7.000</c:v>
                </c:pt>
                <c:pt idx="7">
                  <c:v>8.000</c:v>
                </c:pt>
                <c:pt idx="8">
                  <c:v>9.000</c:v>
                </c:pt>
                <c:pt idx="9">
                  <c:v>10.000</c:v>
                </c:pt>
                <c:pt idx="10">
                  <c:v>11.000</c:v>
                </c:pt>
                <c:pt idx="11">
                  <c:v>12.000</c:v>
                </c:pt>
                <c:pt idx="12">
                  <c:v>13.000</c:v>
                </c:pt>
                <c:pt idx="13">
                  <c:v>14.000</c:v>
                </c:pt>
                <c:pt idx="14">
                  <c:v>15.000</c:v>
                </c:pt>
                <c:pt idx="15">
                  <c:v>16.000</c:v>
                </c:pt>
                <c:pt idx="16">
                  <c:v>17.000</c:v>
                </c:pt>
                <c:pt idx="17">
                  <c:v>18.000</c:v>
                </c:pt>
                <c:pt idx="18">
                  <c:v>19.000</c:v>
                </c:pt>
                <c:pt idx="19">
                  <c:v>20.000</c:v>
                </c:pt>
                <c:pt idx="20">
                  <c:v>21.000</c:v>
                </c:pt>
                <c:pt idx="21">
                  <c:v>22.000</c:v>
                </c:pt>
                <c:pt idx="22">
                  <c:v>23.000</c:v>
                </c:pt>
                <c:pt idx="23">
                  <c:v>24.000</c:v>
                </c:pt>
                <c:pt idx="24">
                  <c:v>25.000</c:v>
                </c:pt>
                <c:pt idx="25">
                  <c:v>26.000</c:v>
                </c:pt>
                <c:pt idx="26">
                  <c:v>27.000</c:v>
                </c:pt>
                <c:pt idx="27">
                  <c:v>28.000</c:v>
                </c:pt>
                <c:pt idx="28">
                  <c:v>29.000</c:v>
                </c:pt>
                <c:pt idx="29">
                  <c:v>30.000</c:v>
                </c:pt>
                <c:pt idx="30">
                  <c:v>31.000</c:v>
                </c:pt>
                <c:pt idx="31">
                  <c:v>32.000</c:v>
                </c:pt>
                <c:pt idx="32">
                  <c:v>33.000</c:v>
                </c:pt>
                <c:pt idx="33">
                  <c:v>34.000</c:v>
                </c:pt>
                <c:pt idx="34">
                  <c:v>35.000</c:v>
                </c:pt>
                <c:pt idx="35">
                  <c:v>36.000</c:v>
                </c:pt>
                <c:pt idx="36">
                  <c:v>37.000</c:v>
                </c:pt>
                <c:pt idx="37">
                  <c:v>38.000</c:v>
                </c:pt>
                <c:pt idx="38">
                  <c:v>39.000</c:v>
                </c:pt>
                <c:pt idx="39">
                  <c:v>40.000</c:v>
                </c:pt>
                <c:pt idx="40">
                  <c:v>41.000</c:v>
                </c:pt>
                <c:pt idx="41">
                  <c:v>42.000</c:v>
                </c:pt>
                <c:pt idx="42">
                  <c:v>43.000</c:v>
                </c:pt>
                <c:pt idx="43">
                  <c:v>44.000</c:v>
                </c:pt>
                <c:pt idx="44">
                  <c:v>45.000</c:v>
                </c:pt>
                <c:pt idx="45">
                  <c:v>46.000</c:v>
                </c:pt>
                <c:pt idx="46">
                  <c:v>47.000</c:v>
                </c:pt>
                <c:pt idx="47">
                  <c:v>48.000</c:v>
                </c:pt>
                <c:pt idx="48">
                  <c:v>49.000</c:v>
                </c:pt>
                <c:pt idx="49">
                  <c:v>50.000</c:v>
                </c:pt>
                <c:pt idx="50">
                  <c:v>51.000</c:v>
                </c:pt>
                <c:pt idx="51">
                  <c:v>52.000</c:v>
                </c:pt>
                <c:pt idx="52">
                  <c:v>53.000</c:v>
                </c:pt>
                <c:pt idx="53">
                  <c:v>54.000</c:v>
                </c:pt>
                <c:pt idx="54">
                  <c:v>55.000</c:v>
                </c:pt>
                <c:pt idx="55">
                  <c:v>56.000</c:v>
                </c:pt>
                <c:pt idx="56">
                  <c:v>57.000</c:v>
                </c:pt>
                <c:pt idx="57">
                  <c:v>58.000</c:v>
                </c:pt>
                <c:pt idx="58">
                  <c:v>59.000</c:v>
                </c:pt>
                <c:pt idx="59">
                  <c:v>60.000</c:v>
                </c:pt>
                <c:pt idx="60">
                  <c:v>61.000</c:v>
                </c:pt>
                <c:pt idx="61">
                  <c:v>62.000</c:v>
                </c:pt>
                <c:pt idx="62">
                  <c:v>63.000</c:v>
                </c:pt>
                <c:pt idx="63">
                  <c:v>64.000</c:v>
                </c:pt>
                <c:pt idx="64">
                  <c:v>65.000</c:v>
                </c:pt>
                <c:pt idx="65">
                  <c:v>66.000</c:v>
                </c:pt>
                <c:pt idx="66">
                  <c:v>67.000</c:v>
                </c:pt>
                <c:pt idx="67">
                  <c:v>68.000</c:v>
                </c:pt>
                <c:pt idx="68">
                  <c:v>69.000</c:v>
                </c:pt>
                <c:pt idx="69">
                  <c:v>70.000</c:v>
                </c:pt>
                <c:pt idx="70">
                  <c:v>71.000</c:v>
                </c:pt>
                <c:pt idx="71">
                  <c:v>72.000</c:v>
                </c:pt>
                <c:pt idx="72">
                  <c:v>73.000</c:v>
                </c:pt>
                <c:pt idx="73">
                  <c:v>74.000</c:v>
                </c:pt>
                <c:pt idx="74">
                  <c:v>75.000</c:v>
                </c:pt>
                <c:pt idx="75">
                  <c:v>76.000</c:v>
                </c:pt>
                <c:pt idx="76">
                  <c:v>77.000</c:v>
                </c:pt>
                <c:pt idx="77">
                  <c:v>78.000</c:v>
                </c:pt>
                <c:pt idx="78">
                  <c:v>79.000</c:v>
                </c:pt>
                <c:pt idx="79">
                  <c:v>80.000</c:v>
                </c:pt>
              </c:strCache>
            </c:strRef>
          </c:cat>
          <c:val>
            <c:numRef>
              <c:f>Power_Sweep!$E$4:$E$83</c:f>
              <c:numCache>
                <c:formatCode>0.000</c:formatCode>
                <c:ptCount val="80"/>
                <c:pt idx="0">
                  <c:v>115.739892016308</c:v>
                </c:pt>
                <c:pt idx="1">
                  <c:v>163.680924997061</c:v>
                </c:pt>
                <c:pt idx="2">
                  <c:v>200.467373434781</c:v>
                </c:pt>
                <c:pt idx="3">
                  <c:v>231.479784032616</c:v>
                </c:pt>
                <c:pt idx="4">
                  <c:v>258.80226625695</c:v>
                </c:pt>
                <c:pt idx="5">
                  <c:v>283.50367832478</c:v>
                </c:pt>
                <c:pt idx="6">
                  <c:v>306.218971044622</c:v>
                </c:pt>
                <c:pt idx="7">
                  <c:v>327.361849994121</c:v>
                </c:pt>
                <c:pt idx="8">
                  <c:v>347.219676048925</c:v>
                </c:pt>
                <c:pt idx="9">
                  <c:v>366.001674913472</c:v>
                </c:pt>
                <c:pt idx="10">
                  <c:v>383.865795094345</c:v>
                </c:pt>
                <c:pt idx="11">
                  <c:v>400.934746869563</c:v>
                </c:pt>
                <c:pt idx="12">
                  <c:v>417.306115281464</c:v>
                </c:pt>
                <c:pt idx="13">
                  <c:v>433.059021907238</c:v>
                </c:pt>
                <c:pt idx="14">
                  <c:v>448.258674271007</c:v>
                </c:pt>
                <c:pt idx="15">
                  <c:v>462.959568065233</c:v>
                </c:pt>
                <c:pt idx="16">
                  <c:v>477.207799880821</c:v>
                </c:pt>
                <c:pt idx="17">
                  <c:v>491.042774991182</c:v>
                </c:pt>
                <c:pt idx="18">
                  <c:v>504.498493035397</c:v>
                </c:pt>
                <c:pt idx="19">
                  <c:v>517.604532513901</c:v>
                </c:pt>
                <c:pt idx="20">
                  <c:v>530.386816090747</c:v>
                </c:pt>
                <c:pt idx="21">
                  <c:v>542.868213553554</c:v>
                </c:pt>
                <c:pt idx="22">
                  <c:v>555.069022636621</c:v>
                </c:pt>
                <c:pt idx="23">
                  <c:v>567.007356649559</c:v>
                </c:pt>
                <c:pt idx="24">
                  <c:v>578.699460081541</c:v>
                </c:pt>
                <c:pt idx="25">
                  <c:v>590.159967892277</c:v>
                </c:pt>
                <c:pt idx="26">
                  <c:v>601.402120304344</c:v>
                </c:pt>
                <c:pt idx="27">
                  <c:v>612.437942089243</c:v>
                </c:pt>
                <c:pt idx="28">
                  <c:v>623.278393267771</c:v>
                </c:pt>
                <c:pt idx="29">
                  <c:v>633.933496605441</c:v>
                </c:pt>
                <c:pt idx="30">
                  <c:v>644.412446126196</c:v>
                </c:pt>
                <c:pt idx="31">
                  <c:v>654.723699988242</c:v>
                </c:pt>
                <c:pt idx="32">
                  <c:v>664.875060391229</c:v>
                </c:pt>
                <c:pt idx="33">
                  <c:v>674.873742661683</c:v>
                </c:pt>
                <c:pt idx="34">
                  <c:v>684.726435255814</c:v>
                </c:pt>
                <c:pt idx="35">
                  <c:v>694.439352097849</c:v>
                </c:pt>
                <c:pt idx="36">
                  <c:v>704.018278417562</c:v>
                </c:pt>
                <c:pt idx="37">
                  <c:v>713.468611047447</c:v>
                </c:pt>
                <c:pt idx="38">
                  <c:v>722.795393976692</c:v>
                </c:pt>
                <c:pt idx="39">
                  <c:v>732.003349826944</c:v>
                </c:pt>
                <c:pt idx="40">
                  <c:v>741.096907807484</c:v>
                </c:pt>
                <c:pt idx="41">
                  <c:v>750.08022861942</c:v>
                </c:pt>
                <c:pt idx="42">
                  <c:v>758.957226706293</c:v>
                </c:pt>
                <c:pt idx="43">
                  <c:v>767.73159018869</c:v>
                </c:pt>
                <c:pt idx="44">
                  <c:v>776.406798770851</c:v>
                </c:pt>
                <c:pt idx="45">
                  <c:v>784.986139865888</c:v>
                </c:pt>
                <c:pt idx="46">
                  <c:v>793.472723151523</c:v>
                </c:pt>
                <c:pt idx="47">
                  <c:v>801.869493739125</c:v>
                </c:pt>
                <c:pt idx="48">
                  <c:v>810.179244114157</c:v>
                </c:pt>
                <c:pt idx="49">
                  <c:v>818.404624985303</c:v>
                </c:pt>
                <c:pt idx="50">
                  <c:v>826.548155161743</c:v>
                </c:pt>
                <c:pt idx="51">
                  <c:v>834.612230562929</c:v>
                </c:pt>
                <c:pt idx="52">
                  <c:v>842.599132452185</c:v>
                </c:pt>
                <c:pt idx="53">
                  <c:v>850.511034974339</c:v>
                </c:pt>
                <c:pt idx="54">
                  <c:v>858.35001206796</c:v>
                </c:pt>
                <c:pt idx="55">
                  <c:v>866.118043814476</c:v>
                </c:pt>
                <c:pt idx="56">
                  <c:v>873.817022279242</c:v>
                </c:pt>
                <c:pt idx="57">
                  <c:v>881.448756893393</c:v>
                </c:pt>
                <c:pt idx="58">
                  <c:v>889.014979419838</c:v>
                </c:pt>
                <c:pt idx="59">
                  <c:v>896.517348542013</c:v>
                </c:pt>
                <c:pt idx="60">
                  <c:v>903.957454109842</c:v>
                </c:pt>
                <c:pt idx="61">
                  <c:v>911.336821073688</c:v>
                </c:pt>
                <c:pt idx="62">
                  <c:v>918.656913133865</c:v>
                </c:pt>
                <c:pt idx="63">
                  <c:v>925.919136130466</c:v>
                </c:pt>
                <c:pt idx="64">
                  <c:v>933.124841195718</c:v>
                </c:pt>
                <c:pt idx="65">
                  <c:v>940.275327688907</c:v>
                </c:pt>
                <c:pt idx="66">
                  <c:v>947.371845931906</c:v>
                </c:pt>
                <c:pt idx="67">
                  <c:v>954.415599761642</c:v>
                </c:pt>
                <c:pt idx="68">
                  <c:v>961.407748914227</c:v>
                </c:pt>
                <c:pt idx="69">
                  <c:v>968.349411254155</c:v>
                </c:pt>
                <c:pt idx="70">
                  <c:v>975.241664860672</c:v>
                </c:pt>
                <c:pt idx="71">
                  <c:v>982.085549982363</c:v>
                </c:pt>
                <c:pt idx="72">
                  <c:v>988.882070869984</c:v>
                </c:pt>
                <c:pt idx="73">
                  <c:v>995.632197496673</c:v>
                </c:pt>
                <c:pt idx="74">
                  <c:v>1002.33686717391</c:v>
                </c:pt>
                <c:pt idx="75">
                  <c:v>1008.99698607079</c:v>
                </c:pt>
                <c:pt idx="76">
                  <c:v>1015.61343064371</c:v>
                </c:pt>
                <c:pt idx="77">
                  <c:v>1022.18704898264</c:v>
                </c:pt>
                <c:pt idx="78">
                  <c:v>1028.71866208006</c:v>
                </c:pt>
                <c:pt idx="79">
                  <c:v>1035.2090650278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"E_design_limit
kV/m"</c:f>
              <c:strCache>
                <c:ptCount val="1"/>
                <c:pt idx="0">
                  <c:v>E_design_limit
kV/m</c:v>
                </c:pt>
              </c:strCache>
            </c:strRef>
          </c:tx>
          <c:spPr>
            <a:solidFill>
              <a:srgbClr val="a02b93"/>
            </a:solidFill>
            <a:ln w="38160">
              <a:solidFill>
                <a:srgbClr val="a02b9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Power_Sweep!$A$4:$A$83</c:f>
              <c:strCache>
                <c:ptCount val="80"/>
                <c:pt idx="0">
                  <c:v>1.000</c:v>
                </c:pt>
                <c:pt idx="1">
                  <c:v>2.000</c:v>
                </c:pt>
                <c:pt idx="2">
                  <c:v>3.000</c:v>
                </c:pt>
                <c:pt idx="3">
                  <c:v>4.000</c:v>
                </c:pt>
                <c:pt idx="4">
                  <c:v>5.000</c:v>
                </c:pt>
                <c:pt idx="5">
                  <c:v>6.000</c:v>
                </c:pt>
                <c:pt idx="6">
                  <c:v>7.000</c:v>
                </c:pt>
                <c:pt idx="7">
                  <c:v>8.000</c:v>
                </c:pt>
                <c:pt idx="8">
                  <c:v>9.000</c:v>
                </c:pt>
                <c:pt idx="9">
                  <c:v>10.000</c:v>
                </c:pt>
                <c:pt idx="10">
                  <c:v>11.000</c:v>
                </c:pt>
                <c:pt idx="11">
                  <c:v>12.000</c:v>
                </c:pt>
                <c:pt idx="12">
                  <c:v>13.000</c:v>
                </c:pt>
                <c:pt idx="13">
                  <c:v>14.000</c:v>
                </c:pt>
                <c:pt idx="14">
                  <c:v>15.000</c:v>
                </c:pt>
                <c:pt idx="15">
                  <c:v>16.000</c:v>
                </c:pt>
                <c:pt idx="16">
                  <c:v>17.000</c:v>
                </c:pt>
                <c:pt idx="17">
                  <c:v>18.000</c:v>
                </c:pt>
                <c:pt idx="18">
                  <c:v>19.000</c:v>
                </c:pt>
                <c:pt idx="19">
                  <c:v>20.000</c:v>
                </c:pt>
                <c:pt idx="20">
                  <c:v>21.000</c:v>
                </c:pt>
                <c:pt idx="21">
                  <c:v>22.000</c:v>
                </c:pt>
                <c:pt idx="22">
                  <c:v>23.000</c:v>
                </c:pt>
                <c:pt idx="23">
                  <c:v>24.000</c:v>
                </c:pt>
                <c:pt idx="24">
                  <c:v>25.000</c:v>
                </c:pt>
                <c:pt idx="25">
                  <c:v>26.000</c:v>
                </c:pt>
                <c:pt idx="26">
                  <c:v>27.000</c:v>
                </c:pt>
                <c:pt idx="27">
                  <c:v>28.000</c:v>
                </c:pt>
                <c:pt idx="28">
                  <c:v>29.000</c:v>
                </c:pt>
                <c:pt idx="29">
                  <c:v>30.000</c:v>
                </c:pt>
                <c:pt idx="30">
                  <c:v>31.000</c:v>
                </c:pt>
                <c:pt idx="31">
                  <c:v>32.000</c:v>
                </c:pt>
                <c:pt idx="32">
                  <c:v>33.000</c:v>
                </c:pt>
                <c:pt idx="33">
                  <c:v>34.000</c:v>
                </c:pt>
                <c:pt idx="34">
                  <c:v>35.000</c:v>
                </c:pt>
                <c:pt idx="35">
                  <c:v>36.000</c:v>
                </c:pt>
                <c:pt idx="36">
                  <c:v>37.000</c:v>
                </c:pt>
                <c:pt idx="37">
                  <c:v>38.000</c:v>
                </c:pt>
                <c:pt idx="38">
                  <c:v>39.000</c:v>
                </c:pt>
                <c:pt idx="39">
                  <c:v>40.000</c:v>
                </c:pt>
                <c:pt idx="40">
                  <c:v>41.000</c:v>
                </c:pt>
                <c:pt idx="41">
                  <c:v>42.000</c:v>
                </c:pt>
                <c:pt idx="42">
                  <c:v>43.000</c:v>
                </c:pt>
                <c:pt idx="43">
                  <c:v>44.000</c:v>
                </c:pt>
                <c:pt idx="44">
                  <c:v>45.000</c:v>
                </c:pt>
                <c:pt idx="45">
                  <c:v>46.000</c:v>
                </c:pt>
                <c:pt idx="46">
                  <c:v>47.000</c:v>
                </c:pt>
                <c:pt idx="47">
                  <c:v>48.000</c:v>
                </c:pt>
                <c:pt idx="48">
                  <c:v>49.000</c:v>
                </c:pt>
                <c:pt idx="49">
                  <c:v>50.000</c:v>
                </c:pt>
                <c:pt idx="50">
                  <c:v>51.000</c:v>
                </c:pt>
                <c:pt idx="51">
                  <c:v>52.000</c:v>
                </c:pt>
                <c:pt idx="52">
                  <c:v>53.000</c:v>
                </c:pt>
                <c:pt idx="53">
                  <c:v>54.000</c:v>
                </c:pt>
                <c:pt idx="54">
                  <c:v>55.000</c:v>
                </c:pt>
                <c:pt idx="55">
                  <c:v>56.000</c:v>
                </c:pt>
                <c:pt idx="56">
                  <c:v>57.000</c:v>
                </c:pt>
                <c:pt idx="57">
                  <c:v>58.000</c:v>
                </c:pt>
                <c:pt idx="58">
                  <c:v>59.000</c:v>
                </c:pt>
                <c:pt idx="59">
                  <c:v>60.000</c:v>
                </c:pt>
                <c:pt idx="60">
                  <c:v>61.000</c:v>
                </c:pt>
                <c:pt idx="61">
                  <c:v>62.000</c:v>
                </c:pt>
                <c:pt idx="62">
                  <c:v>63.000</c:v>
                </c:pt>
                <c:pt idx="63">
                  <c:v>64.000</c:v>
                </c:pt>
                <c:pt idx="64">
                  <c:v>65.000</c:v>
                </c:pt>
                <c:pt idx="65">
                  <c:v>66.000</c:v>
                </c:pt>
                <c:pt idx="66">
                  <c:v>67.000</c:v>
                </c:pt>
                <c:pt idx="67">
                  <c:v>68.000</c:v>
                </c:pt>
                <c:pt idx="68">
                  <c:v>69.000</c:v>
                </c:pt>
                <c:pt idx="69">
                  <c:v>70.000</c:v>
                </c:pt>
                <c:pt idx="70">
                  <c:v>71.000</c:v>
                </c:pt>
                <c:pt idx="71">
                  <c:v>72.000</c:v>
                </c:pt>
                <c:pt idx="72">
                  <c:v>73.000</c:v>
                </c:pt>
                <c:pt idx="73">
                  <c:v>74.000</c:v>
                </c:pt>
                <c:pt idx="74">
                  <c:v>75.000</c:v>
                </c:pt>
                <c:pt idx="75">
                  <c:v>76.000</c:v>
                </c:pt>
                <c:pt idx="76">
                  <c:v>77.000</c:v>
                </c:pt>
                <c:pt idx="77">
                  <c:v>78.000</c:v>
                </c:pt>
                <c:pt idx="78">
                  <c:v>79.000</c:v>
                </c:pt>
                <c:pt idx="79">
                  <c:v>80.000</c:v>
                </c:pt>
              </c:strCache>
            </c:strRef>
          </c:cat>
          <c:val>
            <c:numRef>
              <c:f>Power_Sweep!$F$4:$F$83</c:f>
              <c:numCache>
                <c:formatCode>0.000</c:formatCode>
                <c:ptCount val="80"/>
                <c:pt idx="0">
                  <c:v>1446.66209732694</c:v>
                </c:pt>
                <c:pt idx="1">
                  <c:v>1446.66209732694</c:v>
                </c:pt>
                <c:pt idx="2">
                  <c:v>1446.66209732694</c:v>
                </c:pt>
                <c:pt idx="3">
                  <c:v>1446.66209732694</c:v>
                </c:pt>
                <c:pt idx="4">
                  <c:v>1446.66209732694</c:v>
                </c:pt>
                <c:pt idx="5">
                  <c:v>1446.66209732694</c:v>
                </c:pt>
                <c:pt idx="6">
                  <c:v>1446.66209732694</c:v>
                </c:pt>
                <c:pt idx="7">
                  <c:v>1446.66209732694</c:v>
                </c:pt>
                <c:pt idx="8">
                  <c:v>1446.66209732694</c:v>
                </c:pt>
                <c:pt idx="9">
                  <c:v>1446.66209732694</c:v>
                </c:pt>
                <c:pt idx="10">
                  <c:v>1446.66209732694</c:v>
                </c:pt>
                <c:pt idx="11">
                  <c:v>1446.66209732694</c:v>
                </c:pt>
                <c:pt idx="12">
                  <c:v>1446.66209732694</c:v>
                </c:pt>
                <c:pt idx="13">
                  <c:v>1446.66209732694</c:v>
                </c:pt>
                <c:pt idx="14">
                  <c:v>1446.66209732694</c:v>
                </c:pt>
                <c:pt idx="15">
                  <c:v>1446.66209732694</c:v>
                </c:pt>
                <c:pt idx="16">
                  <c:v>1446.66209732694</c:v>
                </c:pt>
                <c:pt idx="17">
                  <c:v>1446.66209732694</c:v>
                </c:pt>
                <c:pt idx="18">
                  <c:v>1446.66209732694</c:v>
                </c:pt>
                <c:pt idx="19">
                  <c:v>1446.66209732694</c:v>
                </c:pt>
                <c:pt idx="20">
                  <c:v>1446.66209732694</c:v>
                </c:pt>
                <c:pt idx="21">
                  <c:v>1446.66209732694</c:v>
                </c:pt>
                <c:pt idx="22">
                  <c:v>1446.66209732694</c:v>
                </c:pt>
                <c:pt idx="23">
                  <c:v>1446.66209732694</c:v>
                </c:pt>
                <c:pt idx="24">
                  <c:v>1446.66209732694</c:v>
                </c:pt>
                <c:pt idx="25">
                  <c:v>1446.66209732694</c:v>
                </c:pt>
                <c:pt idx="26">
                  <c:v>1446.66209732694</c:v>
                </c:pt>
                <c:pt idx="27">
                  <c:v>1446.66209732694</c:v>
                </c:pt>
                <c:pt idx="28">
                  <c:v>1446.66209732694</c:v>
                </c:pt>
                <c:pt idx="29">
                  <c:v>1446.66209732694</c:v>
                </c:pt>
                <c:pt idx="30">
                  <c:v>1446.66209732694</c:v>
                </c:pt>
                <c:pt idx="31">
                  <c:v>1446.66209732694</c:v>
                </c:pt>
                <c:pt idx="32">
                  <c:v>1446.66209732694</c:v>
                </c:pt>
                <c:pt idx="33">
                  <c:v>1446.66209732694</c:v>
                </c:pt>
                <c:pt idx="34">
                  <c:v>1446.66209732694</c:v>
                </c:pt>
                <c:pt idx="35">
                  <c:v>1446.66209732694</c:v>
                </c:pt>
                <c:pt idx="36">
                  <c:v>1446.66209732694</c:v>
                </c:pt>
                <c:pt idx="37">
                  <c:v>1446.66209732694</c:v>
                </c:pt>
                <c:pt idx="38">
                  <c:v>1446.66209732694</c:v>
                </c:pt>
                <c:pt idx="39">
                  <c:v>1446.66209732694</c:v>
                </c:pt>
                <c:pt idx="40">
                  <c:v>1446.66209732694</c:v>
                </c:pt>
                <c:pt idx="41">
                  <c:v>1446.66209732694</c:v>
                </c:pt>
                <c:pt idx="42">
                  <c:v>1446.66209732694</c:v>
                </c:pt>
                <c:pt idx="43">
                  <c:v>1446.66209732694</c:v>
                </c:pt>
                <c:pt idx="44">
                  <c:v>1446.66209732694</c:v>
                </c:pt>
                <c:pt idx="45">
                  <c:v>1446.66209732694</c:v>
                </c:pt>
                <c:pt idx="46">
                  <c:v>1446.66209732694</c:v>
                </c:pt>
                <c:pt idx="47">
                  <c:v>1446.66209732694</c:v>
                </c:pt>
                <c:pt idx="48">
                  <c:v>1446.66209732694</c:v>
                </c:pt>
                <c:pt idx="49">
                  <c:v>1446.66209732694</c:v>
                </c:pt>
                <c:pt idx="50">
                  <c:v>1446.66209732694</c:v>
                </c:pt>
                <c:pt idx="51">
                  <c:v>1446.66209732694</c:v>
                </c:pt>
                <c:pt idx="52">
                  <c:v>1446.66209732694</c:v>
                </c:pt>
                <c:pt idx="53">
                  <c:v>1446.66209732694</c:v>
                </c:pt>
                <c:pt idx="54">
                  <c:v>1446.66209732694</c:v>
                </c:pt>
                <c:pt idx="55">
                  <c:v>1446.66209732694</c:v>
                </c:pt>
                <c:pt idx="56">
                  <c:v>1446.66209732694</c:v>
                </c:pt>
                <c:pt idx="57">
                  <c:v>1446.66209732694</c:v>
                </c:pt>
                <c:pt idx="58">
                  <c:v>1446.66209732694</c:v>
                </c:pt>
                <c:pt idx="59">
                  <c:v>1446.66209732694</c:v>
                </c:pt>
                <c:pt idx="60">
                  <c:v>1446.66209732694</c:v>
                </c:pt>
                <c:pt idx="61">
                  <c:v>1446.66209732694</c:v>
                </c:pt>
                <c:pt idx="62">
                  <c:v>1446.66209732694</c:v>
                </c:pt>
                <c:pt idx="63">
                  <c:v>1446.66209732694</c:v>
                </c:pt>
                <c:pt idx="64">
                  <c:v>1446.66209732694</c:v>
                </c:pt>
                <c:pt idx="65">
                  <c:v>1446.66209732694</c:v>
                </c:pt>
                <c:pt idx="66">
                  <c:v>1446.66209732694</c:v>
                </c:pt>
                <c:pt idx="67">
                  <c:v>1446.66209732694</c:v>
                </c:pt>
                <c:pt idx="68">
                  <c:v>1446.66209732694</c:v>
                </c:pt>
                <c:pt idx="69">
                  <c:v>1446.66209732694</c:v>
                </c:pt>
                <c:pt idx="70">
                  <c:v>1446.66209732694</c:v>
                </c:pt>
                <c:pt idx="71">
                  <c:v>1446.66209732694</c:v>
                </c:pt>
                <c:pt idx="72">
                  <c:v>1446.66209732694</c:v>
                </c:pt>
                <c:pt idx="73">
                  <c:v>1446.66209732694</c:v>
                </c:pt>
                <c:pt idx="74">
                  <c:v>1446.66209732694</c:v>
                </c:pt>
                <c:pt idx="75">
                  <c:v>1446.66209732694</c:v>
                </c:pt>
                <c:pt idx="76">
                  <c:v>1446.66209732694</c:v>
                </c:pt>
                <c:pt idx="77">
                  <c:v>1446.66209732694</c:v>
                </c:pt>
                <c:pt idx="78">
                  <c:v>1446.66209732694</c:v>
                </c:pt>
                <c:pt idx="79">
                  <c:v>1446.66209732694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"E_util"</c:f>
              <c:strCache>
                <c:ptCount val="1"/>
                <c:pt idx="0">
                  <c:v>E_util</c:v>
                </c:pt>
              </c:strCache>
            </c:strRef>
          </c:tx>
          <c:spPr>
            <a:solidFill>
              <a:srgbClr val="4ea72e"/>
            </a:solidFill>
            <a:ln w="38160">
              <a:solidFill>
                <a:srgbClr val="4ea72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Power_Sweep!$A$4:$A$83</c:f>
              <c:strCache>
                <c:ptCount val="80"/>
                <c:pt idx="0">
                  <c:v>1.000</c:v>
                </c:pt>
                <c:pt idx="1">
                  <c:v>2.000</c:v>
                </c:pt>
                <c:pt idx="2">
                  <c:v>3.000</c:v>
                </c:pt>
                <c:pt idx="3">
                  <c:v>4.000</c:v>
                </c:pt>
                <c:pt idx="4">
                  <c:v>5.000</c:v>
                </c:pt>
                <c:pt idx="5">
                  <c:v>6.000</c:v>
                </c:pt>
                <c:pt idx="6">
                  <c:v>7.000</c:v>
                </c:pt>
                <c:pt idx="7">
                  <c:v>8.000</c:v>
                </c:pt>
                <c:pt idx="8">
                  <c:v>9.000</c:v>
                </c:pt>
                <c:pt idx="9">
                  <c:v>10.000</c:v>
                </c:pt>
                <c:pt idx="10">
                  <c:v>11.000</c:v>
                </c:pt>
                <c:pt idx="11">
                  <c:v>12.000</c:v>
                </c:pt>
                <c:pt idx="12">
                  <c:v>13.000</c:v>
                </c:pt>
                <c:pt idx="13">
                  <c:v>14.000</c:v>
                </c:pt>
                <c:pt idx="14">
                  <c:v>15.000</c:v>
                </c:pt>
                <c:pt idx="15">
                  <c:v>16.000</c:v>
                </c:pt>
                <c:pt idx="16">
                  <c:v>17.000</c:v>
                </c:pt>
                <c:pt idx="17">
                  <c:v>18.000</c:v>
                </c:pt>
                <c:pt idx="18">
                  <c:v>19.000</c:v>
                </c:pt>
                <c:pt idx="19">
                  <c:v>20.000</c:v>
                </c:pt>
                <c:pt idx="20">
                  <c:v>21.000</c:v>
                </c:pt>
                <c:pt idx="21">
                  <c:v>22.000</c:v>
                </c:pt>
                <c:pt idx="22">
                  <c:v>23.000</c:v>
                </c:pt>
                <c:pt idx="23">
                  <c:v>24.000</c:v>
                </c:pt>
                <c:pt idx="24">
                  <c:v>25.000</c:v>
                </c:pt>
                <c:pt idx="25">
                  <c:v>26.000</c:v>
                </c:pt>
                <c:pt idx="26">
                  <c:v>27.000</c:v>
                </c:pt>
                <c:pt idx="27">
                  <c:v>28.000</c:v>
                </c:pt>
                <c:pt idx="28">
                  <c:v>29.000</c:v>
                </c:pt>
                <c:pt idx="29">
                  <c:v>30.000</c:v>
                </c:pt>
                <c:pt idx="30">
                  <c:v>31.000</c:v>
                </c:pt>
                <c:pt idx="31">
                  <c:v>32.000</c:v>
                </c:pt>
                <c:pt idx="32">
                  <c:v>33.000</c:v>
                </c:pt>
                <c:pt idx="33">
                  <c:v>34.000</c:v>
                </c:pt>
                <c:pt idx="34">
                  <c:v>35.000</c:v>
                </c:pt>
                <c:pt idx="35">
                  <c:v>36.000</c:v>
                </c:pt>
                <c:pt idx="36">
                  <c:v>37.000</c:v>
                </c:pt>
                <c:pt idx="37">
                  <c:v>38.000</c:v>
                </c:pt>
                <c:pt idx="38">
                  <c:v>39.000</c:v>
                </c:pt>
                <c:pt idx="39">
                  <c:v>40.000</c:v>
                </c:pt>
                <c:pt idx="40">
                  <c:v>41.000</c:v>
                </c:pt>
                <c:pt idx="41">
                  <c:v>42.000</c:v>
                </c:pt>
                <c:pt idx="42">
                  <c:v>43.000</c:v>
                </c:pt>
                <c:pt idx="43">
                  <c:v>44.000</c:v>
                </c:pt>
                <c:pt idx="44">
                  <c:v>45.000</c:v>
                </c:pt>
                <c:pt idx="45">
                  <c:v>46.000</c:v>
                </c:pt>
                <c:pt idx="46">
                  <c:v>47.000</c:v>
                </c:pt>
                <c:pt idx="47">
                  <c:v>48.000</c:v>
                </c:pt>
                <c:pt idx="48">
                  <c:v>49.000</c:v>
                </c:pt>
                <c:pt idx="49">
                  <c:v>50.000</c:v>
                </c:pt>
                <c:pt idx="50">
                  <c:v>51.000</c:v>
                </c:pt>
                <c:pt idx="51">
                  <c:v>52.000</c:v>
                </c:pt>
                <c:pt idx="52">
                  <c:v>53.000</c:v>
                </c:pt>
                <c:pt idx="53">
                  <c:v>54.000</c:v>
                </c:pt>
                <c:pt idx="54">
                  <c:v>55.000</c:v>
                </c:pt>
                <c:pt idx="55">
                  <c:v>56.000</c:v>
                </c:pt>
                <c:pt idx="56">
                  <c:v>57.000</c:v>
                </c:pt>
                <c:pt idx="57">
                  <c:v>58.000</c:v>
                </c:pt>
                <c:pt idx="58">
                  <c:v>59.000</c:v>
                </c:pt>
                <c:pt idx="59">
                  <c:v>60.000</c:v>
                </c:pt>
                <c:pt idx="60">
                  <c:v>61.000</c:v>
                </c:pt>
                <c:pt idx="61">
                  <c:v>62.000</c:v>
                </c:pt>
                <c:pt idx="62">
                  <c:v>63.000</c:v>
                </c:pt>
                <c:pt idx="63">
                  <c:v>64.000</c:v>
                </c:pt>
                <c:pt idx="64">
                  <c:v>65.000</c:v>
                </c:pt>
                <c:pt idx="65">
                  <c:v>66.000</c:v>
                </c:pt>
                <c:pt idx="66">
                  <c:v>67.000</c:v>
                </c:pt>
                <c:pt idx="67">
                  <c:v>68.000</c:v>
                </c:pt>
                <c:pt idx="68">
                  <c:v>69.000</c:v>
                </c:pt>
                <c:pt idx="69">
                  <c:v>70.000</c:v>
                </c:pt>
                <c:pt idx="70">
                  <c:v>71.000</c:v>
                </c:pt>
                <c:pt idx="71">
                  <c:v>72.000</c:v>
                </c:pt>
                <c:pt idx="72">
                  <c:v>73.000</c:v>
                </c:pt>
                <c:pt idx="73">
                  <c:v>74.000</c:v>
                </c:pt>
                <c:pt idx="74">
                  <c:v>75.000</c:v>
                </c:pt>
                <c:pt idx="75">
                  <c:v>76.000</c:v>
                </c:pt>
                <c:pt idx="76">
                  <c:v>77.000</c:v>
                </c:pt>
                <c:pt idx="77">
                  <c:v>78.000</c:v>
                </c:pt>
                <c:pt idx="78">
                  <c:v>79.000</c:v>
                </c:pt>
                <c:pt idx="79">
                  <c:v>80.000</c:v>
                </c:pt>
              </c:strCache>
            </c:strRef>
          </c:cat>
          <c:val>
            <c:numRef>
              <c:f>Power_Sweep!$G$4:$G$83</c:f>
              <c:numCache>
                <c:formatCode>0.0%</c:formatCode>
                <c:ptCount val="80"/>
                <c:pt idx="0">
                  <c:v>0.0800047863493252</c:v>
                </c:pt>
                <c:pt idx="1">
                  <c:v>0.113143853909978</c:v>
                </c:pt>
                <c:pt idx="2">
                  <c:v>0.138572354805724</c:v>
                </c:pt>
                <c:pt idx="3">
                  <c:v>0.16000957269865</c:v>
                </c:pt>
                <c:pt idx="4">
                  <c:v>0.178896140802438</c:v>
                </c:pt>
                <c:pt idx="5">
                  <c:v>0.195970903536232</c:v>
                </c:pt>
                <c:pt idx="6">
                  <c:v>0.21167276837517</c:v>
                </c:pt>
                <c:pt idx="7">
                  <c:v>0.226287707819955</c:v>
                </c:pt>
                <c:pt idx="8">
                  <c:v>0.240014359047976</c:v>
                </c:pt>
                <c:pt idx="9">
                  <c:v>0.252997348579015</c:v>
                </c:pt>
                <c:pt idx="10">
                  <c:v>0.265345857753259</c:v>
                </c:pt>
                <c:pt idx="11">
                  <c:v>0.277144709611448</c:v>
                </c:pt>
                <c:pt idx="12">
                  <c:v>0.288461359465033</c:v>
                </c:pt>
                <c:pt idx="13">
                  <c:v>0.299350499821224</c:v>
                </c:pt>
                <c:pt idx="14">
                  <c:v>0.309857205147819</c:v>
                </c:pt>
                <c:pt idx="15">
                  <c:v>0.320019145397301</c:v>
                </c:pt>
                <c:pt idx="16">
                  <c:v>0.329868184673242</c:v>
                </c:pt>
                <c:pt idx="17">
                  <c:v>0.339431561729933</c:v>
                </c:pt>
                <c:pt idx="18">
                  <c:v>0.348732778696271</c:v>
                </c:pt>
                <c:pt idx="19">
                  <c:v>0.357792281604877</c:v>
                </c:pt>
                <c:pt idx="20">
                  <c:v>0.366627989404552</c:v>
                </c:pt>
                <c:pt idx="21">
                  <c:v>0.375255710754181</c:v>
                </c:pt>
                <c:pt idx="22">
                  <c:v>0.383689476389993</c:v>
                </c:pt>
                <c:pt idx="23">
                  <c:v>0.391941807072463</c:v>
                </c:pt>
                <c:pt idx="24">
                  <c:v>0.400023931746626</c:v>
                </c:pt>
                <c:pt idx="25">
                  <c:v>0.407945966776031</c:v>
                </c:pt>
                <c:pt idx="26">
                  <c:v>0.415717064417172</c:v>
                </c:pt>
                <c:pt idx="27">
                  <c:v>0.423345536750339</c:v>
                </c:pt>
                <c:pt idx="28">
                  <c:v>0.430838959850701</c:v>
                </c:pt>
                <c:pt idx="29">
                  <c:v>0.438204261919068</c:v>
                </c:pt>
                <c:pt idx="30">
                  <c:v>0.445447798291603</c:v>
                </c:pt>
                <c:pt idx="31">
                  <c:v>0.45257541563991</c:v>
                </c:pt>
                <c:pt idx="32">
                  <c:v>0.459592507206589</c:v>
                </c:pt>
                <c:pt idx="33">
                  <c:v>0.466504060560291</c:v>
                </c:pt>
                <c:pt idx="34">
                  <c:v>0.473314699072447</c:v>
                </c:pt>
                <c:pt idx="35">
                  <c:v>0.480028718095951</c:v>
                </c:pt>
                <c:pt idx="36">
                  <c:v>0.48665011665019</c:v>
                </c:pt>
                <c:pt idx="37">
                  <c:v>0.493182625276321</c:v>
                </c:pt>
                <c:pt idx="38">
                  <c:v>0.499629730613827</c:v>
                </c:pt>
                <c:pt idx="39">
                  <c:v>0.50599469715803</c:v>
                </c:pt>
                <c:pt idx="40">
                  <c:v>0.512280586584001</c:v>
                </c:pt>
                <c:pt idx="41">
                  <c:v>0.518490274961497</c:v>
                </c:pt>
                <c:pt idx="42">
                  <c:v>0.524626468135616</c:v>
                </c:pt>
                <c:pt idx="43">
                  <c:v>0.530691715506518</c:v>
                </c:pt>
                <c:pt idx="44">
                  <c:v>0.536688422407315</c:v>
                </c:pt>
                <c:pt idx="45">
                  <c:v>0.542618861250559</c:v>
                </c:pt>
                <c:pt idx="46">
                  <c:v>0.548485181589854</c:v>
                </c:pt>
                <c:pt idx="47">
                  <c:v>0.554289419222897</c:v>
                </c:pt>
                <c:pt idx="48">
                  <c:v>0.560033504445276</c:v>
                </c:pt>
                <c:pt idx="49">
                  <c:v>0.565719269549888</c:v>
                </c:pt>
                <c:pt idx="50">
                  <c:v>0.571348455654568</c:v>
                </c:pt>
                <c:pt idx="51">
                  <c:v>0.576922718930067</c:v>
                </c:pt>
                <c:pt idx="52">
                  <c:v>0.582443636291497</c:v>
                </c:pt>
                <c:pt idx="53">
                  <c:v>0.587912710608695</c:v>
                </c:pt>
                <c:pt idx="54">
                  <c:v>0.593331375484277</c:v>
                </c:pt>
                <c:pt idx="55">
                  <c:v>0.598700999642447</c:v>
                </c:pt>
                <c:pt idx="56">
                  <c:v>0.604022890966615</c:v>
                </c:pt>
                <c:pt idx="57">
                  <c:v>0.609298300219579</c:v>
                </c:pt>
                <c:pt idx="58">
                  <c:v>0.614528424476256</c:v>
                </c:pt>
                <c:pt idx="59">
                  <c:v>0.619714410295638</c:v>
                </c:pt>
                <c:pt idx="60">
                  <c:v>0.624857356655798</c:v>
                </c:pt>
                <c:pt idx="61">
                  <c:v>0.629958317673219</c:v>
                </c:pt>
                <c:pt idx="62">
                  <c:v>0.635018305125509</c:v>
                </c:pt>
                <c:pt idx="63">
                  <c:v>0.640038290794602</c:v>
                </c:pt>
                <c:pt idx="64">
                  <c:v>0.645019208645817</c:v>
                </c:pt>
                <c:pt idx="65">
                  <c:v>0.649961956856613</c:v>
                </c:pt>
                <c:pt idx="66">
                  <c:v>0.654867399707512</c:v>
                </c:pt>
                <c:pt idx="67">
                  <c:v>0.659736369346483</c:v>
                </c:pt>
                <c:pt idx="68">
                  <c:v>0.664569667436967</c:v>
                </c:pt>
                <c:pt idx="69">
                  <c:v>0.669368066698795</c:v>
                </c:pt>
                <c:pt idx="70">
                  <c:v>0.674132312350389</c:v>
                </c:pt>
                <c:pt idx="71">
                  <c:v>0.678863123459865</c:v>
                </c:pt>
                <c:pt idx="72">
                  <c:v>0.683561194211963</c:v>
                </c:pt>
                <c:pt idx="73">
                  <c:v>0.688227195097147</c:v>
                </c:pt>
                <c:pt idx="74">
                  <c:v>0.692861774028621</c:v>
                </c:pt>
                <c:pt idx="75">
                  <c:v>0.697465557392542</c:v>
                </c:pt>
                <c:pt idx="76">
                  <c:v>0.702039151036244</c:v>
                </c:pt>
                <c:pt idx="77">
                  <c:v>0.70658314119889</c:v>
                </c:pt>
                <c:pt idx="78">
                  <c:v>0.711098095388598</c:v>
                </c:pt>
                <c:pt idx="79">
                  <c:v>0.715584563209753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482470"/>
        <c:axId val="1193401"/>
      </c:lineChart>
      <c:catAx>
        <c:axId val="4648247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193401"/>
        <c:crosses val="autoZero"/>
        <c:auto val="1"/>
        <c:lblAlgn val="ctr"/>
        <c:lblOffset val="100"/>
        <c:noMultiLvlLbl val="0"/>
      </c:catAx>
      <c:valAx>
        <c:axId val="119340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64824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Thermal utilization vs peak power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"P_delivered
kW"</c:f>
              <c:strCache>
                <c:ptCount val="1"/>
                <c:pt idx="0">
                  <c:v>P_delivered
kW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Power_Sweep!$A$4:$A$83</c:f>
              <c:strCache>
                <c:ptCount val="80"/>
                <c:pt idx="0">
                  <c:v>1.000</c:v>
                </c:pt>
                <c:pt idx="1">
                  <c:v>2.000</c:v>
                </c:pt>
                <c:pt idx="2">
                  <c:v>3.000</c:v>
                </c:pt>
                <c:pt idx="3">
                  <c:v>4.000</c:v>
                </c:pt>
                <c:pt idx="4">
                  <c:v>5.000</c:v>
                </c:pt>
                <c:pt idx="5">
                  <c:v>6.000</c:v>
                </c:pt>
                <c:pt idx="6">
                  <c:v>7.000</c:v>
                </c:pt>
                <c:pt idx="7">
                  <c:v>8.000</c:v>
                </c:pt>
                <c:pt idx="8">
                  <c:v>9.000</c:v>
                </c:pt>
                <c:pt idx="9">
                  <c:v>10.000</c:v>
                </c:pt>
                <c:pt idx="10">
                  <c:v>11.000</c:v>
                </c:pt>
                <c:pt idx="11">
                  <c:v>12.000</c:v>
                </c:pt>
                <c:pt idx="12">
                  <c:v>13.000</c:v>
                </c:pt>
                <c:pt idx="13">
                  <c:v>14.000</c:v>
                </c:pt>
                <c:pt idx="14">
                  <c:v>15.000</c:v>
                </c:pt>
                <c:pt idx="15">
                  <c:v>16.000</c:v>
                </c:pt>
                <c:pt idx="16">
                  <c:v>17.000</c:v>
                </c:pt>
                <c:pt idx="17">
                  <c:v>18.000</c:v>
                </c:pt>
                <c:pt idx="18">
                  <c:v>19.000</c:v>
                </c:pt>
                <c:pt idx="19">
                  <c:v>20.000</c:v>
                </c:pt>
                <c:pt idx="20">
                  <c:v>21.000</c:v>
                </c:pt>
                <c:pt idx="21">
                  <c:v>22.000</c:v>
                </c:pt>
                <c:pt idx="22">
                  <c:v>23.000</c:v>
                </c:pt>
                <c:pt idx="23">
                  <c:v>24.000</c:v>
                </c:pt>
                <c:pt idx="24">
                  <c:v>25.000</c:v>
                </c:pt>
                <c:pt idx="25">
                  <c:v>26.000</c:v>
                </c:pt>
                <c:pt idx="26">
                  <c:v>27.000</c:v>
                </c:pt>
                <c:pt idx="27">
                  <c:v>28.000</c:v>
                </c:pt>
                <c:pt idx="28">
                  <c:v>29.000</c:v>
                </c:pt>
                <c:pt idx="29">
                  <c:v>30.000</c:v>
                </c:pt>
                <c:pt idx="30">
                  <c:v>31.000</c:v>
                </c:pt>
                <c:pt idx="31">
                  <c:v>32.000</c:v>
                </c:pt>
                <c:pt idx="32">
                  <c:v>33.000</c:v>
                </c:pt>
                <c:pt idx="33">
                  <c:v>34.000</c:v>
                </c:pt>
                <c:pt idx="34">
                  <c:v>35.000</c:v>
                </c:pt>
                <c:pt idx="35">
                  <c:v>36.000</c:v>
                </c:pt>
                <c:pt idx="36">
                  <c:v>37.000</c:v>
                </c:pt>
                <c:pt idx="37">
                  <c:v>38.000</c:v>
                </c:pt>
                <c:pt idx="38">
                  <c:v>39.000</c:v>
                </c:pt>
                <c:pt idx="39">
                  <c:v>40.000</c:v>
                </c:pt>
                <c:pt idx="40">
                  <c:v>41.000</c:v>
                </c:pt>
                <c:pt idx="41">
                  <c:v>42.000</c:v>
                </c:pt>
                <c:pt idx="42">
                  <c:v>43.000</c:v>
                </c:pt>
                <c:pt idx="43">
                  <c:v>44.000</c:v>
                </c:pt>
                <c:pt idx="44">
                  <c:v>45.000</c:v>
                </c:pt>
                <c:pt idx="45">
                  <c:v>46.000</c:v>
                </c:pt>
                <c:pt idx="46">
                  <c:v>47.000</c:v>
                </c:pt>
                <c:pt idx="47">
                  <c:v>48.000</c:v>
                </c:pt>
                <c:pt idx="48">
                  <c:v>49.000</c:v>
                </c:pt>
                <c:pt idx="49">
                  <c:v>50.000</c:v>
                </c:pt>
                <c:pt idx="50">
                  <c:v>51.000</c:v>
                </c:pt>
                <c:pt idx="51">
                  <c:v>52.000</c:v>
                </c:pt>
                <c:pt idx="52">
                  <c:v>53.000</c:v>
                </c:pt>
                <c:pt idx="53">
                  <c:v>54.000</c:v>
                </c:pt>
                <c:pt idx="54">
                  <c:v>55.000</c:v>
                </c:pt>
                <c:pt idx="55">
                  <c:v>56.000</c:v>
                </c:pt>
                <c:pt idx="56">
                  <c:v>57.000</c:v>
                </c:pt>
                <c:pt idx="57">
                  <c:v>58.000</c:v>
                </c:pt>
                <c:pt idx="58">
                  <c:v>59.000</c:v>
                </c:pt>
                <c:pt idx="59">
                  <c:v>60.000</c:v>
                </c:pt>
                <c:pt idx="60">
                  <c:v>61.000</c:v>
                </c:pt>
                <c:pt idx="61">
                  <c:v>62.000</c:v>
                </c:pt>
                <c:pt idx="62">
                  <c:v>63.000</c:v>
                </c:pt>
                <c:pt idx="63">
                  <c:v>64.000</c:v>
                </c:pt>
                <c:pt idx="64">
                  <c:v>65.000</c:v>
                </c:pt>
                <c:pt idx="65">
                  <c:v>66.000</c:v>
                </c:pt>
                <c:pt idx="66">
                  <c:v>67.000</c:v>
                </c:pt>
                <c:pt idx="67">
                  <c:v>68.000</c:v>
                </c:pt>
                <c:pt idx="68">
                  <c:v>69.000</c:v>
                </c:pt>
                <c:pt idx="69">
                  <c:v>70.000</c:v>
                </c:pt>
                <c:pt idx="70">
                  <c:v>71.000</c:v>
                </c:pt>
                <c:pt idx="71">
                  <c:v>72.000</c:v>
                </c:pt>
                <c:pt idx="72">
                  <c:v>73.000</c:v>
                </c:pt>
                <c:pt idx="73">
                  <c:v>74.000</c:v>
                </c:pt>
                <c:pt idx="74">
                  <c:v>75.000</c:v>
                </c:pt>
                <c:pt idx="75">
                  <c:v>76.000</c:v>
                </c:pt>
                <c:pt idx="76">
                  <c:v>77.000</c:v>
                </c:pt>
                <c:pt idx="77">
                  <c:v>78.000</c:v>
                </c:pt>
                <c:pt idx="78">
                  <c:v>79.000</c:v>
                </c:pt>
                <c:pt idx="79">
                  <c:v>80.000</c:v>
                </c:pt>
              </c:strCache>
            </c:strRef>
          </c:cat>
          <c:val>
            <c:numRef>
              <c:f>Power_Sweep!$B$4:$B$83</c:f>
              <c:numCache>
                <c:formatCode>0.000</c:formatCode>
                <c:ptCount val="80"/>
                <c:pt idx="0">
                  <c:v>0.96</c:v>
                </c:pt>
                <c:pt idx="1">
                  <c:v>1.92</c:v>
                </c:pt>
                <c:pt idx="2">
                  <c:v>2.88</c:v>
                </c:pt>
                <c:pt idx="3">
                  <c:v>3.84</c:v>
                </c:pt>
                <c:pt idx="4">
                  <c:v>4.8</c:v>
                </c:pt>
                <c:pt idx="5">
                  <c:v>5.76</c:v>
                </c:pt>
                <c:pt idx="6">
                  <c:v>6.72</c:v>
                </c:pt>
                <c:pt idx="7">
                  <c:v>7.68</c:v>
                </c:pt>
                <c:pt idx="8">
                  <c:v>8.64</c:v>
                </c:pt>
                <c:pt idx="9">
                  <c:v>9.6</c:v>
                </c:pt>
                <c:pt idx="10">
                  <c:v>10.56</c:v>
                </c:pt>
                <c:pt idx="11">
                  <c:v>11.52</c:v>
                </c:pt>
                <c:pt idx="12">
                  <c:v>12.48</c:v>
                </c:pt>
                <c:pt idx="13">
                  <c:v>13.44</c:v>
                </c:pt>
                <c:pt idx="14">
                  <c:v>14.4</c:v>
                </c:pt>
                <c:pt idx="15">
                  <c:v>15.36</c:v>
                </c:pt>
                <c:pt idx="16">
                  <c:v>16.32</c:v>
                </c:pt>
                <c:pt idx="17">
                  <c:v>17.28</c:v>
                </c:pt>
                <c:pt idx="18">
                  <c:v>18.24</c:v>
                </c:pt>
                <c:pt idx="19">
                  <c:v>19.2</c:v>
                </c:pt>
                <c:pt idx="20">
                  <c:v>20.16</c:v>
                </c:pt>
                <c:pt idx="21">
                  <c:v>21.12</c:v>
                </c:pt>
                <c:pt idx="22">
                  <c:v>22.08</c:v>
                </c:pt>
                <c:pt idx="23">
                  <c:v>23.04</c:v>
                </c:pt>
                <c:pt idx="24">
                  <c:v>24</c:v>
                </c:pt>
                <c:pt idx="25">
                  <c:v>24.96</c:v>
                </c:pt>
                <c:pt idx="26">
                  <c:v>25.92</c:v>
                </c:pt>
                <c:pt idx="27">
                  <c:v>26.88</c:v>
                </c:pt>
                <c:pt idx="28">
                  <c:v>27.84</c:v>
                </c:pt>
                <c:pt idx="29">
                  <c:v>28.8</c:v>
                </c:pt>
                <c:pt idx="30">
                  <c:v>29.76</c:v>
                </c:pt>
                <c:pt idx="31">
                  <c:v>30.72</c:v>
                </c:pt>
                <c:pt idx="32">
                  <c:v>31.68</c:v>
                </c:pt>
                <c:pt idx="33">
                  <c:v>32.64</c:v>
                </c:pt>
                <c:pt idx="34">
                  <c:v>33.6</c:v>
                </c:pt>
                <c:pt idx="35">
                  <c:v>34.56</c:v>
                </c:pt>
                <c:pt idx="36">
                  <c:v>35.52</c:v>
                </c:pt>
                <c:pt idx="37">
                  <c:v>36.48</c:v>
                </c:pt>
                <c:pt idx="38">
                  <c:v>37.44</c:v>
                </c:pt>
                <c:pt idx="39">
                  <c:v>38.4</c:v>
                </c:pt>
                <c:pt idx="40">
                  <c:v>39.36</c:v>
                </c:pt>
                <c:pt idx="41">
                  <c:v>40.32</c:v>
                </c:pt>
                <c:pt idx="42">
                  <c:v>41.28</c:v>
                </c:pt>
                <c:pt idx="43">
                  <c:v>42.24</c:v>
                </c:pt>
                <c:pt idx="44">
                  <c:v>43.2</c:v>
                </c:pt>
                <c:pt idx="45">
                  <c:v>44.16</c:v>
                </c:pt>
                <c:pt idx="46">
                  <c:v>45.12</c:v>
                </c:pt>
                <c:pt idx="47">
                  <c:v>46.08</c:v>
                </c:pt>
                <c:pt idx="48">
                  <c:v>47.04</c:v>
                </c:pt>
                <c:pt idx="49">
                  <c:v>48</c:v>
                </c:pt>
                <c:pt idx="50">
                  <c:v>48.96</c:v>
                </c:pt>
                <c:pt idx="51">
                  <c:v>49.92</c:v>
                </c:pt>
                <c:pt idx="52">
                  <c:v>50.88</c:v>
                </c:pt>
                <c:pt idx="53">
                  <c:v>51.84</c:v>
                </c:pt>
                <c:pt idx="54">
                  <c:v>52.8</c:v>
                </c:pt>
                <c:pt idx="55">
                  <c:v>53.76</c:v>
                </c:pt>
                <c:pt idx="56">
                  <c:v>54.72</c:v>
                </c:pt>
                <c:pt idx="57">
                  <c:v>55.68</c:v>
                </c:pt>
                <c:pt idx="58">
                  <c:v>56.64</c:v>
                </c:pt>
                <c:pt idx="59">
                  <c:v>57.6</c:v>
                </c:pt>
                <c:pt idx="60">
                  <c:v>58.56</c:v>
                </c:pt>
                <c:pt idx="61">
                  <c:v>59.52</c:v>
                </c:pt>
                <c:pt idx="62">
                  <c:v>60.48</c:v>
                </c:pt>
                <c:pt idx="63">
                  <c:v>61.44</c:v>
                </c:pt>
                <c:pt idx="64">
                  <c:v>62.4</c:v>
                </c:pt>
                <c:pt idx="65">
                  <c:v>63.36</c:v>
                </c:pt>
                <c:pt idx="66">
                  <c:v>64.32</c:v>
                </c:pt>
                <c:pt idx="67">
                  <c:v>65.28</c:v>
                </c:pt>
                <c:pt idx="68">
                  <c:v>66.24</c:v>
                </c:pt>
                <c:pt idx="69">
                  <c:v>67.2</c:v>
                </c:pt>
                <c:pt idx="70">
                  <c:v>68.16</c:v>
                </c:pt>
                <c:pt idx="71">
                  <c:v>69.12</c:v>
                </c:pt>
                <c:pt idx="72">
                  <c:v>70.08</c:v>
                </c:pt>
                <c:pt idx="73">
                  <c:v>71.04</c:v>
                </c:pt>
                <c:pt idx="74">
                  <c:v>72</c:v>
                </c:pt>
                <c:pt idx="75">
                  <c:v>72.96</c:v>
                </c:pt>
                <c:pt idx="76">
                  <c:v>73.92</c:v>
                </c:pt>
                <c:pt idx="77">
                  <c:v>74.88</c:v>
                </c:pt>
                <c:pt idx="78">
                  <c:v>75.84</c:v>
                </c:pt>
                <c:pt idx="79">
                  <c:v>76.8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"E_travel
kV/m"</c:f>
              <c:strCache>
                <c:ptCount val="1"/>
                <c:pt idx="0">
                  <c:v>E_travel
kV/m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Power_Sweep!$A$4:$A$83</c:f>
              <c:strCache>
                <c:ptCount val="80"/>
                <c:pt idx="0">
                  <c:v>1.000</c:v>
                </c:pt>
                <c:pt idx="1">
                  <c:v>2.000</c:v>
                </c:pt>
                <c:pt idx="2">
                  <c:v>3.000</c:v>
                </c:pt>
                <c:pt idx="3">
                  <c:v>4.000</c:v>
                </c:pt>
                <c:pt idx="4">
                  <c:v>5.000</c:v>
                </c:pt>
                <c:pt idx="5">
                  <c:v>6.000</c:v>
                </c:pt>
                <c:pt idx="6">
                  <c:v>7.000</c:v>
                </c:pt>
                <c:pt idx="7">
                  <c:v>8.000</c:v>
                </c:pt>
                <c:pt idx="8">
                  <c:v>9.000</c:v>
                </c:pt>
                <c:pt idx="9">
                  <c:v>10.000</c:v>
                </c:pt>
                <c:pt idx="10">
                  <c:v>11.000</c:v>
                </c:pt>
                <c:pt idx="11">
                  <c:v>12.000</c:v>
                </c:pt>
                <c:pt idx="12">
                  <c:v>13.000</c:v>
                </c:pt>
                <c:pt idx="13">
                  <c:v>14.000</c:v>
                </c:pt>
                <c:pt idx="14">
                  <c:v>15.000</c:v>
                </c:pt>
                <c:pt idx="15">
                  <c:v>16.000</c:v>
                </c:pt>
                <c:pt idx="16">
                  <c:v>17.000</c:v>
                </c:pt>
                <c:pt idx="17">
                  <c:v>18.000</c:v>
                </c:pt>
                <c:pt idx="18">
                  <c:v>19.000</c:v>
                </c:pt>
                <c:pt idx="19">
                  <c:v>20.000</c:v>
                </c:pt>
                <c:pt idx="20">
                  <c:v>21.000</c:v>
                </c:pt>
                <c:pt idx="21">
                  <c:v>22.000</c:v>
                </c:pt>
                <c:pt idx="22">
                  <c:v>23.000</c:v>
                </c:pt>
                <c:pt idx="23">
                  <c:v>24.000</c:v>
                </c:pt>
                <c:pt idx="24">
                  <c:v>25.000</c:v>
                </c:pt>
                <c:pt idx="25">
                  <c:v>26.000</c:v>
                </c:pt>
                <c:pt idx="26">
                  <c:v>27.000</c:v>
                </c:pt>
                <c:pt idx="27">
                  <c:v>28.000</c:v>
                </c:pt>
                <c:pt idx="28">
                  <c:v>29.000</c:v>
                </c:pt>
                <c:pt idx="29">
                  <c:v>30.000</c:v>
                </c:pt>
                <c:pt idx="30">
                  <c:v>31.000</c:v>
                </c:pt>
                <c:pt idx="31">
                  <c:v>32.000</c:v>
                </c:pt>
                <c:pt idx="32">
                  <c:v>33.000</c:v>
                </c:pt>
                <c:pt idx="33">
                  <c:v>34.000</c:v>
                </c:pt>
                <c:pt idx="34">
                  <c:v>35.000</c:v>
                </c:pt>
                <c:pt idx="35">
                  <c:v>36.000</c:v>
                </c:pt>
                <c:pt idx="36">
                  <c:v>37.000</c:v>
                </c:pt>
                <c:pt idx="37">
                  <c:v>38.000</c:v>
                </c:pt>
                <c:pt idx="38">
                  <c:v>39.000</c:v>
                </c:pt>
                <c:pt idx="39">
                  <c:v>40.000</c:v>
                </c:pt>
                <c:pt idx="40">
                  <c:v>41.000</c:v>
                </c:pt>
                <c:pt idx="41">
                  <c:v>42.000</c:v>
                </c:pt>
                <c:pt idx="42">
                  <c:v>43.000</c:v>
                </c:pt>
                <c:pt idx="43">
                  <c:v>44.000</c:v>
                </c:pt>
                <c:pt idx="44">
                  <c:v>45.000</c:v>
                </c:pt>
                <c:pt idx="45">
                  <c:v>46.000</c:v>
                </c:pt>
                <c:pt idx="46">
                  <c:v>47.000</c:v>
                </c:pt>
                <c:pt idx="47">
                  <c:v>48.000</c:v>
                </c:pt>
                <c:pt idx="48">
                  <c:v>49.000</c:v>
                </c:pt>
                <c:pt idx="49">
                  <c:v>50.000</c:v>
                </c:pt>
                <c:pt idx="50">
                  <c:v>51.000</c:v>
                </c:pt>
                <c:pt idx="51">
                  <c:v>52.000</c:v>
                </c:pt>
                <c:pt idx="52">
                  <c:v>53.000</c:v>
                </c:pt>
                <c:pt idx="53">
                  <c:v>54.000</c:v>
                </c:pt>
                <c:pt idx="54">
                  <c:v>55.000</c:v>
                </c:pt>
                <c:pt idx="55">
                  <c:v>56.000</c:v>
                </c:pt>
                <c:pt idx="56">
                  <c:v>57.000</c:v>
                </c:pt>
                <c:pt idx="57">
                  <c:v>58.000</c:v>
                </c:pt>
                <c:pt idx="58">
                  <c:v>59.000</c:v>
                </c:pt>
                <c:pt idx="59">
                  <c:v>60.000</c:v>
                </c:pt>
                <c:pt idx="60">
                  <c:v>61.000</c:v>
                </c:pt>
                <c:pt idx="61">
                  <c:v>62.000</c:v>
                </c:pt>
                <c:pt idx="62">
                  <c:v>63.000</c:v>
                </c:pt>
                <c:pt idx="63">
                  <c:v>64.000</c:v>
                </c:pt>
                <c:pt idx="64">
                  <c:v>65.000</c:v>
                </c:pt>
                <c:pt idx="65">
                  <c:v>66.000</c:v>
                </c:pt>
                <c:pt idx="66">
                  <c:v>67.000</c:v>
                </c:pt>
                <c:pt idx="67">
                  <c:v>68.000</c:v>
                </c:pt>
                <c:pt idx="68">
                  <c:v>69.000</c:v>
                </c:pt>
                <c:pt idx="69">
                  <c:v>70.000</c:v>
                </c:pt>
                <c:pt idx="70">
                  <c:v>71.000</c:v>
                </c:pt>
                <c:pt idx="71">
                  <c:v>72.000</c:v>
                </c:pt>
                <c:pt idx="72">
                  <c:v>73.000</c:v>
                </c:pt>
                <c:pt idx="73">
                  <c:v>74.000</c:v>
                </c:pt>
                <c:pt idx="74">
                  <c:v>75.000</c:v>
                </c:pt>
                <c:pt idx="75">
                  <c:v>76.000</c:v>
                </c:pt>
                <c:pt idx="76">
                  <c:v>77.000</c:v>
                </c:pt>
                <c:pt idx="77">
                  <c:v>78.000</c:v>
                </c:pt>
                <c:pt idx="78">
                  <c:v>79.000</c:v>
                </c:pt>
                <c:pt idx="79">
                  <c:v>80.000</c:v>
                </c:pt>
              </c:strCache>
            </c:strRef>
          </c:cat>
          <c:val>
            <c:numRef>
              <c:f>Power_Sweep!$C$4:$C$83</c:f>
              <c:numCache>
                <c:formatCode>0.000</c:formatCode>
                <c:ptCount val="80"/>
                <c:pt idx="0">
                  <c:v>96.4499100135902</c:v>
                </c:pt>
                <c:pt idx="1">
                  <c:v>136.400770830884</c:v>
                </c:pt>
                <c:pt idx="2">
                  <c:v>167.056144528984</c:v>
                </c:pt>
                <c:pt idx="3">
                  <c:v>192.89982002718</c:v>
                </c:pt>
                <c:pt idx="4">
                  <c:v>215.668555214125</c:v>
                </c:pt>
                <c:pt idx="5">
                  <c:v>236.25306527065</c:v>
                </c:pt>
                <c:pt idx="6">
                  <c:v>255.182475870518</c:v>
                </c:pt>
                <c:pt idx="7">
                  <c:v>272.801541661768</c:v>
                </c:pt>
                <c:pt idx="8">
                  <c:v>289.349730040771</c:v>
                </c:pt>
                <c:pt idx="9">
                  <c:v>305.001395761227</c:v>
                </c:pt>
                <c:pt idx="10">
                  <c:v>319.888162578621</c:v>
                </c:pt>
                <c:pt idx="11">
                  <c:v>334.112289057969</c:v>
                </c:pt>
                <c:pt idx="12">
                  <c:v>347.755096067887</c:v>
                </c:pt>
                <c:pt idx="13">
                  <c:v>360.882518256032</c:v>
                </c:pt>
                <c:pt idx="14">
                  <c:v>373.548895225839</c:v>
                </c:pt>
                <c:pt idx="15">
                  <c:v>385.799640054361</c:v>
                </c:pt>
                <c:pt idx="16">
                  <c:v>397.673166567351</c:v>
                </c:pt>
                <c:pt idx="17">
                  <c:v>409.202312492651</c:v>
                </c:pt>
                <c:pt idx="18">
                  <c:v>420.415410862831</c:v>
                </c:pt>
                <c:pt idx="19">
                  <c:v>431.337110428251</c:v>
                </c:pt>
                <c:pt idx="20">
                  <c:v>441.989013408956</c:v>
                </c:pt>
                <c:pt idx="21">
                  <c:v>452.390177961295</c:v>
                </c:pt>
                <c:pt idx="22">
                  <c:v>462.557518863851</c:v>
                </c:pt>
                <c:pt idx="23">
                  <c:v>472.506130541299</c:v>
                </c:pt>
                <c:pt idx="24">
                  <c:v>482.249550067951</c:v>
                </c:pt>
                <c:pt idx="25">
                  <c:v>491.799973243564</c:v>
                </c:pt>
                <c:pt idx="26">
                  <c:v>501.168433586953</c:v>
                </c:pt>
                <c:pt idx="27">
                  <c:v>510.364951741036</c:v>
                </c:pt>
                <c:pt idx="28">
                  <c:v>519.398661056476</c:v>
                </c:pt>
                <c:pt idx="29">
                  <c:v>528.277913837868</c:v>
                </c:pt>
                <c:pt idx="30">
                  <c:v>537.01037177183</c:v>
                </c:pt>
                <c:pt idx="31">
                  <c:v>545.603083323535</c:v>
                </c:pt>
                <c:pt idx="32">
                  <c:v>554.062550326024</c:v>
                </c:pt>
                <c:pt idx="33">
                  <c:v>562.394785551402</c:v>
                </c:pt>
                <c:pt idx="34">
                  <c:v>570.605362713178</c:v>
                </c:pt>
                <c:pt idx="35">
                  <c:v>578.699460081541</c:v>
                </c:pt>
                <c:pt idx="36">
                  <c:v>586.681898681301</c:v>
                </c:pt>
                <c:pt idx="37">
                  <c:v>594.557175872873</c:v>
                </c:pt>
                <c:pt idx="38">
                  <c:v>602.329494980576</c:v>
                </c:pt>
                <c:pt idx="39">
                  <c:v>610.002791522453</c:v>
                </c:pt>
                <c:pt idx="40">
                  <c:v>617.580756506236</c:v>
                </c:pt>
                <c:pt idx="41">
                  <c:v>625.06685718285</c:v>
                </c:pt>
                <c:pt idx="42">
                  <c:v>632.464355588577</c:v>
                </c:pt>
                <c:pt idx="43">
                  <c:v>639.776325157241</c:v>
                </c:pt>
                <c:pt idx="44">
                  <c:v>647.005665642376</c:v>
                </c:pt>
                <c:pt idx="45">
                  <c:v>654.155116554907</c:v>
                </c:pt>
                <c:pt idx="46">
                  <c:v>661.227269292936</c:v>
                </c:pt>
                <c:pt idx="47">
                  <c:v>668.224578115938</c:v>
                </c:pt>
                <c:pt idx="48">
                  <c:v>675.149370095131</c:v>
                </c:pt>
                <c:pt idx="49">
                  <c:v>682.003854154419</c:v>
                </c:pt>
                <c:pt idx="50">
                  <c:v>688.790129301453</c:v>
                </c:pt>
                <c:pt idx="51">
                  <c:v>695.510192135774</c:v>
                </c:pt>
                <c:pt idx="52">
                  <c:v>702.165943710154</c:v>
                </c:pt>
                <c:pt idx="53">
                  <c:v>708.759195811949</c:v>
                </c:pt>
                <c:pt idx="54">
                  <c:v>715.2916767233</c:v>
                </c:pt>
                <c:pt idx="55">
                  <c:v>721.765036512063</c:v>
                </c:pt>
                <c:pt idx="56">
                  <c:v>728.180851899368</c:v>
                </c:pt>
                <c:pt idx="57">
                  <c:v>734.540630744494</c:v>
                </c:pt>
                <c:pt idx="58">
                  <c:v>740.845816183198</c:v>
                </c:pt>
                <c:pt idx="59">
                  <c:v>747.097790451678</c:v>
                </c:pt>
                <c:pt idx="60">
                  <c:v>753.297878424869</c:v>
                </c:pt>
                <c:pt idx="61">
                  <c:v>759.44735089474</c:v>
                </c:pt>
                <c:pt idx="62">
                  <c:v>765.547427611554</c:v>
                </c:pt>
                <c:pt idx="63">
                  <c:v>771.599280108721</c:v>
                </c:pt>
                <c:pt idx="64">
                  <c:v>777.604034329765</c:v>
                </c:pt>
                <c:pt idx="65">
                  <c:v>783.562773074089</c:v>
                </c:pt>
                <c:pt idx="66">
                  <c:v>789.476538276589</c:v>
                </c:pt>
                <c:pt idx="67">
                  <c:v>795.346333134702</c:v>
                </c:pt>
                <c:pt idx="68">
                  <c:v>801.173124095189</c:v>
                </c:pt>
                <c:pt idx="69">
                  <c:v>806.957842711796</c:v>
                </c:pt>
                <c:pt idx="70">
                  <c:v>812.701387383893</c:v>
                </c:pt>
                <c:pt idx="71">
                  <c:v>818.404624985303</c:v>
                </c:pt>
                <c:pt idx="72">
                  <c:v>824.068392391653</c:v>
                </c:pt>
                <c:pt idx="73">
                  <c:v>829.693497913894</c:v>
                </c:pt>
                <c:pt idx="74">
                  <c:v>835.280722644922</c:v>
                </c:pt>
                <c:pt idx="75">
                  <c:v>840.830821725662</c:v>
                </c:pt>
                <c:pt idx="76">
                  <c:v>846.344525536429</c:v>
                </c:pt>
                <c:pt idx="77">
                  <c:v>851.822540818868</c:v>
                </c:pt>
                <c:pt idx="78">
                  <c:v>857.265551733383</c:v>
                </c:pt>
                <c:pt idx="79">
                  <c:v>862.674220856501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"E_standing
kV/m"</c:f>
              <c:strCache>
                <c:ptCount val="1"/>
                <c:pt idx="0">
                  <c:v>E_standing
kV/m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Power_Sweep!$A$4:$A$83</c:f>
              <c:strCache>
                <c:ptCount val="80"/>
                <c:pt idx="0">
                  <c:v>1.000</c:v>
                </c:pt>
                <c:pt idx="1">
                  <c:v>2.000</c:v>
                </c:pt>
                <c:pt idx="2">
                  <c:v>3.000</c:v>
                </c:pt>
                <c:pt idx="3">
                  <c:v>4.000</c:v>
                </c:pt>
                <c:pt idx="4">
                  <c:v>5.000</c:v>
                </c:pt>
                <c:pt idx="5">
                  <c:v>6.000</c:v>
                </c:pt>
                <c:pt idx="6">
                  <c:v>7.000</c:v>
                </c:pt>
                <c:pt idx="7">
                  <c:v>8.000</c:v>
                </c:pt>
                <c:pt idx="8">
                  <c:v>9.000</c:v>
                </c:pt>
                <c:pt idx="9">
                  <c:v>10.000</c:v>
                </c:pt>
                <c:pt idx="10">
                  <c:v>11.000</c:v>
                </c:pt>
                <c:pt idx="11">
                  <c:v>12.000</c:v>
                </c:pt>
                <c:pt idx="12">
                  <c:v>13.000</c:v>
                </c:pt>
                <c:pt idx="13">
                  <c:v>14.000</c:v>
                </c:pt>
                <c:pt idx="14">
                  <c:v>15.000</c:v>
                </c:pt>
                <c:pt idx="15">
                  <c:v>16.000</c:v>
                </c:pt>
                <c:pt idx="16">
                  <c:v>17.000</c:v>
                </c:pt>
                <c:pt idx="17">
                  <c:v>18.000</c:v>
                </c:pt>
                <c:pt idx="18">
                  <c:v>19.000</c:v>
                </c:pt>
                <c:pt idx="19">
                  <c:v>20.000</c:v>
                </c:pt>
                <c:pt idx="20">
                  <c:v>21.000</c:v>
                </c:pt>
                <c:pt idx="21">
                  <c:v>22.000</c:v>
                </c:pt>
                <c:pt idx="22">
                  <c:v>23.000</c:v>
                </c:pt>
                <c:pt idx="23">
                  <c:v>24.000</c:v>
                </c:pt>
                <c:pt idx="24">
                  <c:v>25.000</c:v>
                </c:pt>
                <c:pt idx="25">
                  <c:v>26.000</c:v>
                </c:pt>
                <c:pt idx="26">
                  <c:v>27.000</c:v>
                </c:pt>
                <c:pt idx="27">
                  <c:v>28.000</c:v>
                </c:pt>
                <c:pt idx="28">
                  <c:v>29.000</c:v>
                </c:pt>
                <c:pt idx="29">
                  <c:v>30.000</c:v>
                </c:pt>
                <c:pt idx="30">
                  <c:v>31.000</c:v>
                </c:pt>
                <c:pt idx="31">
                  <c:v>32.000</c:v>
                </c:pt>
                <c:pt idx="32">
                  <c:v>33.000</c:v>
                </c:pt>
                <c:pt idx="33">
                  <c:v>34.000</c:v>
                </c:pt>
                <c:pt idx="34">
                  <c:v>35.000</c:v>
                </c:pt>
                <c:pt idx="35">
                  <c:v>36.000</c:v>
                </c:pt>
                <c:pt idx="36">
                  <c:v>37.000</c:v>
                </c:pt>
                <c:pt idx="37">
                  <c:v>38.000</c:v>
                </c:pt>
                <c:pt idx="38">
                  <c:v>39.000</c:v>
                </c:pt>
                <c:pt idx="39">
                  <c:v>40.000</c:v>
                </c:pt>
                <c:pt idx="40">
                  <c:v>41.000</c:v>
                </c:pt>
                <c:pt idx="41">
                  <c:v>42.000</c:v>
                </c:pt>
                <c:pt idx="42">
                  <c:v>43.000</c:v>
                </c:pt>
                <c:pt idx="43">
                  <c:v>44.000</c:v>
                </c:pt>
                <c:pt idx="44">
                  <c:v>45.000</c:v>
                </c:pt>
                <c:pt idx="45">
                  <c:v>46.000</c:v>
                </c:pt>
                <c:pt idx="46">
                  <c:v>47.000</c:v>
                </c:pt>
                <c:pt idx="47">
                  <c:v>48.000</c:v>
                </c:pt>
                <c:pt idx="48">
                  <c:v>49.000</c:v>
                </c:pt>
                <c:pt idx="49">
                  <c:v>50.000</c:v>
                </c:pt>
                <c:pt idx="50">
                  <c:v>51.000</c:v>
                </c:pt>
                <c:pt idx="51">
                  <c:v>52.000</c:v>
                </c:pt>
                <c:pt idx="52">
                  <c:v>53.000</c:v>
                </c:pt>
                <c:pt idx="53">
                  <c:v>54.000</c:v>
                </c:pt>
                <c:pt idx="54">
                  <c:v>55.000</c:v>
                </c:pt>
                <c:pt idx="55">
                  <c:v>56.000</c:v>
                </c:pt>
                <c:pt idx="56">
                  <c:v>57.000</c:v>
                </c:pt>
                <c:pt idx="57">
                  <c:v>58.000</c:v>
                </c:pt>
                <c:pt idx="58">
                  <c:v>59.000</c:v>
                </c:pt>
                <c:pt idx="59">
                  <c:v>60.000</c:v>
                </c:pt>
                <c:pt idx="60">
                  <c:v>61.000</c:v>
                </c:pt>
                <c:pt idx="61">
                  <c:v>62.000</c:v>
                </c:pt>
                <c:pt idx="62">
                  <c:v>63.000</c:v>
                </c:pt>
                <c:pt idx="63">
                  <c:v>64.000</c:v>
                </c:pt>
                <c:pt idx="64">
                  <c:v>65.000</c:v>
                </c:pt>
                <c:pt idx="65">
                  <c:v>66.000</c:v>
                </c:pt>
                <c:pt idx="66">
                  <c:v>67.000</c:v>
                </c:pt>
                <c:pt idx="67">
                  <c:v>68.000</c:v>
                </c:pt>
                <c:pt idx="68">
                  <c:v>69.000</c:v>
                </c:pt>
                <c:pt idx="69">
                  <c:v>70.000</c:v>
                </c:pt>
                <c:pt idx="70">
                  <c:v>71.000</c:v>
                </c:pt>
                <c:pt idx="71">
                  <c:v>72.000</c:v>
                </c:pt>
                <c:pt idx="72">
                  <c:v>73.000</c:v>
                </c:pt>
                <c:pt idx="73">
                  <c:v>74.000</c:v>
                </c:pt>
                <c:pt idx="74">
                  <c:v>75.000</c:v>
                </c:pt>
                <c:pt idx="75">
                  <c:v>76.000</c:v>
                </c:pt>
                <c:pt idx="76">
                  <c:v>77.000</c:v>
                </c:pt>
                <c:pt idx="77">
                  <c:v>78.000</c:v>
                </c:pt>
                <c:pt idx="78">
                  <c:v>79.000</c:v>
                </c:pt>
                <c:pt idx="79">
                  <c:v>80.000</c:v>
                </c:pt>
              </c:strCache>
            </c:strRef>
          </c:cat>
          <c:val>
            <c:numRef>
              <c:f>Power_Sweep!$D$4:$D$83</c:f>
              <c:numCache>
                <c:formatCode>0.000</c:formatCode>
                <c:ptCount val="80"/>
                <c:pt idx="0">
                  <c:v>115.739892016308</c:v>
                </c:pt>
                <c:pt idx="1">
                  <c:v>163.680924997061</c:v>
                </c:pt>
                <c:pt idx="2">
                  <c:v>200.467373434781</c:v>
                </c:pt>
                <c:pt idx="3">
                  <c:v>231.479784032616</c:v>
                </c:pt>
                <c:pt idx="4">
                  <c:v>258.80226625695</c:v>
                </c:pt>
                <c:pt idx="5">
                  <c:v>283.50367832478</c:v>
                </c:pt>
                <c:pt idx="6">
                  <c:v>306.218971044622</c:v>
                </c:pt>
                <c:pt idx="7">
                  <c:v>327.361849994121</c:v>
                </c:pt>
                <c:pt idx="8">
                  <c:v>347.219676048925</c:v>
                </c:pt>
                <c:pt idx="9">
                  <c:v>366.001674913472</c:v>
                </c:pt>
                <c:pt idx="10">
                  <c:v>383.865795094345</c:v>
                </c:pt>
                <c:pt idx="11">
                  <c:v>400.934746869563</c:v>
                </c:pt>
                <c:pt idx="12">
                  <c:v>417.306115281464</c:v>
                </c:pt>
                <c:pt idx="13">
                  <c:v>433.059021907238</c:v>
                </c:pt>
                <c:pt idx="14">
                  <c:v>448.258674271007</c:v>
                </c:pt>
                <c:pt idx="15">
                  <c:v>462.959568065233</c:v>
                </c:pt>
                <c:pt idx="16">
                  <c:v>477.207799880821</c:v>
                </c:pt>
                <c:pt idx="17">
                  <c:v>491.042774991182</c:v>
                </c:pt>
                <c:pt idx="18">
                  <c:v>504.498493035397</c:v>
                </c:pt>
                <c:pt idx="19">
                  <c:v>517.604532513901</c:v>
                </c:pt>
                <c:pt idx="20">
                  <c:v>530.386816090747</c:v>
                </c:pt>
                <c:pt idx="21">
                  <c:v>542.868213553554</c:v>
                </c:pt>
                <c:pt idx="22">
                  <c:v>555.069022636621</c:v>
                </c:pt>
                <c:pt idx="23">
                  <c:v>567.007356649559</c:v>
                </c:pt>
                <c:pt idx="24">
                  <c:v>578.699460081541</c:v>
                </c:pt>
                <c:pt idx="25">
                  <c:v>590.159967892277</c:v>
                </c:pt>
                <c:pt idx="26">
                  <c:v>601.402120304344</c:v>
                </c:pt>
                <c:pt idx="27">
                  <c:v>612.437942089243</c:v>
                </c:pt>
                <c:pt idx="28">
                  <c:v>623.278393267771</c:v>
                </c:pt>
                <c:pt idx="29">
                  <c:v>633.933496605441</c:v>
                </c:pt>
                <c:pt idx="30">
                  <c:v>644.412446126196</c:v>
                </c:pt>
                <c:pt idx="31">
                  <c:v>654.723699988242</c:v>
                </c:pt>
                <c:pt idx="32">
                  <c:v>664.875060391229</c:v>
                </c:pt>
                <c:pt idx="33">
                  <c:v>674.873742661683</c:v>
                </c:pt>
                <c:pt idx="34">
                  <c:v>684.726435255814</c:v>
                </c:pt>
                <c:pt idx="35">
                  <c:v>694.439352097849</c:v>
                </c:pt>
                <c:pt idx="36">
                  <c:v>704.018278417562</c:v>
                </c:pt>
                <c:pt idx="37">
                  <c:v>713.468611047447</c:v>
                </c:pt>
                <c:pt idx="38">
                  <c:v>722.795393976692</c:v>
                </c:pt>
                <c:pt idx="39">
                  <c:v>732.003349826944</c:v>
                </c:pt>
                <c:pt idx="40">
                  <c:v>741.096907807484</c:v>
                </c:pt>
                <c:pt idx="41">
                  <c:v>750.08022861942</c:v>
                </c:pt>
                <c:pt idx="42">
                  <c:v>758.957226706293</c:v>
                </c:pt>
                <c:pt idx="43">
                  <c:v>767.73159018869</c:v>
                </c:pt>
                <c:pt idx="44">
                  <c:v>776.406798770851</c:v>
                </c:pt>
                <c:pt idx="45">
                  <c:v>784.986139865888</c:v>
                </c:pt>
                <c:pt idx="46">
                  <c:v>793.472723151523</c:v>
                </c:pt>
                <c:pt idx="47">
                  <c:v>801.869493739125</c:v>
                </c:pt>
                <c:pt idx="48">
                  <c:v>810.179244114157</c:v>
                </c:pt>
                <c:pt idx="49">
                  <c:v>818.404624985303</c:v>
                </c:pt>
                <c:pt idx="50">
                  <c:v>826.548155161743</c:v>
                </c:pt>
                <c:pt idx="51">
                  <c:v>834.612230562929</c:v>
                </c:pt>
                <c:pt idx="52">
                  <c:v>842.599132452185</c:v>
                </c:pt>
                <c:pt idx="53">
                  <c:v>850.511034974339</c:v>
                </c:pt>
                <c:pt idx="54">
                  <c:v>858.35001206796</c:v>
                </c:pt>
                <c:pt idx="55">
                  <c:v>866.118043814476</c:v>
                </c:pt>
                <c:pt idx="56">
                  <c:v>873.817022279242</c:v>
                </c:pt>
                <c:pt idx="57">
                  <c:v>881.448756893393</c:v>
                </c:pt>
                <c:pt idx="58">
                  <c:v>889.014979419838</c:v>
                </c:pt>
                <c:pt idx="59">
                  <c:v>896.517348542013</c:v>
                </c:pt>
                <c:pt idx="60">
                  <c:v>903.957454109842</c:v>
                </c:pt>
                <c:pt idx="61">
                  <c:v>911.336821073688</c:v>
                </c:pt>
                <c:pt idx="62">
                  <c:v>918.656913133865</c:v>
                </c:pt>
                <c:pt idx="63">
                  <c:v>925.919136130466</c:v>
                </c:pt>
                <c:pt idx="64">
                  <c:v>933.124841195718</c:v>
                </c:pt>
                <c:pt idx="65">
                  <c:v>940.275327688907</c:v>
                </c:pt>
                <c:pt idx="66">
                  <c:v>947.371845931906</c:v>
                </c:pt>
                <c:pt idx="67">
                  <c:v>954.415599761642</c:v>
                </c:pt>
                <c:pt idx="68">
                  <c:v>961.407748914227</c:v>
                </c:pt>
                <c:pt idx="69">
                  <c:v>968.349411254155</c:v>
                </c:pt>
                <c:pt idx="70">
                  <c:v>975.241664860672</c:v>
                </c:pt>
                <c:pt idx="71">
                  <c:v>982.085549982363</c:v>
                </c:pt>
                <c:pt idx="72">
                  <c:v>988.882070869984</c:v>
                </c:pt>
                <c:pt idx="73">
                  <c:v>995.632197496673</c:v>
                </c:pt>
                <c:pt idx="74">
                  <c:v>1002.33686717391</c:v>
                </c:pt>
                <c:pt idx="75">
                  <c:v>1008.99698607079</c:v>
                </c:pt>
                <c:pt idx="76">
                  <c:v>1015.61343064371</c:v>
                </c:pt>
                <c:pt idx="77">
                  <c:v>1022.18704898264</c:v>
                </c:pt>
                <c:pt idx="78">
                  <c:v>1028.71866208006</c:v>
                </c:pt>
                <c:pt idx="79">
                  <c:v>1035.2090650278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"E_local
kV/m"</c:f>
              <c:strCache>
                <c:ptCount val="1"/>
                <c:pt idx="0">
                  <c:v>E_local
kV/m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Power_Sweep!$A$4:$A$83</c:f>
              <c:strCache>
                <c:ptCount val="80"/>
                <c:pt idx="0">
                  <c:v>1.000</c:v>
                </c:pt>
                <c:pt idx="1">
                  <c:v>2.000</c:v>
                </c:pt>
                <c:pt idx="2">
                  <c:v>3.000</c:v>
                </c:pt>
                <c:pt idx="3">
                  <c:v>4.000</c:v>
                </c:pt>
                <c:pt idx="4">
                  <c:v>5.000</c:v>
                </c:pt>
                <c:pt idx="5">
                  <c:v>6.000</c:v>
                </c:pt>
                <c:pt idx="6">
                  <c:v>7.000</c:v>
                </c:pt>
                <c:pt idx="7">
                  <c:v>8.000</c:v>
                </c:pt>
                <c:pt idx="8">
                  <c:v>9.000</c:v>
                </c:pt>
                <c:pt idx="9">
                  <c:v>10.000</c:v>
                </c:pt>
                <c:pt idx="10">
                  <c:v>11.000</c:v>
                </c:pt>
                <c:pt idx="11">
                  <c:v>12.000</c:v>
                </c:pt>
                <c:pt idx="12">
                  <c:v>13.000</c:v>
                </c:pt>
                <c:pt idx="13">
                  <c:v>14.000</c:v>
                </c:pt>
                <c:pt idx="14">
                  <c:v>15.000</c:v>
                </c:pt>
                <c:pt idx="15">
                  <c:v>16.000</c:v>
                </c:pt>
                <c:pt idx="16">
                  <c:v>17.000</c:v>
                </c:pt>
                <c:pt idx="17">
                  <c:v>18.000</c:v>
                </c:pt>
                <c:pt idx="18">
                  <c:v>19.000</c:v>
                </c:pt>
                <c:pt idx="19">
                  <c:v>20.000</c:v>
                </c:pt>
                <c:pt idx="20">
                  <c:v>21.000</c:v>
                </c:pt>
                <c:pt idx="21">
                  <c:v>22.000</c:v>
                </c:pt>
                <c:pt idx="22">
                  <c:v>23.000</c:v>
                </c:pt>
                <c:pt idx="23">
                  <c:v>24.000</c:v>
                </c:pt>
                <c:pt idx="24">
                  <c:v>25.000</c:v>
                </c:pt>
                <c:pt idx="25">
                  <c:v>26.000</c:v>
                </c:pt>
                <c:pt idx="26">
                  <c:v>27.000</c:v>
                </c:pt>
                <c:pt idx="27">
                  <c:v>28.000</c:v>
                </c:pt>
                <c:pt idx="28">
                  <c:v>29.000</c:v>
                </c:pt>
                <c:pt idx="29">
                  <c:v>30.000</c:v>
                </c:pt>
                <c:pt idx="30">
                  <c:v>31.000</c:v>
                </c:pt>
                <c:pt idx="31">
                  <c:v>32.000</c:v>
                </c:pt>
                <c:pt idx="32">
                  <c:v>33.000</c:v>
                </c:pt>
                <c:pt idx="33">
                  <c:v>34.000</c:v>
                </c:pt>
                <c:pt idx="34">
                  <c:v>35.000</c:v>
                </c:pt>
                <c:pt idx="35">
                  <c:v>36.000</c:v>
                </c:pt>
                <c:pt idx="36">
                  <c:v>37.000</c:v>
                </c:pt>
                <c:pt idx="37">
                  <c:v>38.000</c:v>
                </c:pt>
                <c:pt idx="38">
                  <c:v>39.000</c:v>
                </c:pt>
                <c:pt idx="39">
                  <c:v>40.000</c:v>
                </c:pt>
                <c:pt idx="40">
                  <c:v>41.000</c:v>
                </c:pt>
                <c:pt idx="41">
                  <c:v>42.000</c:v>
                </c:pt>
                <c:pt idx="42">
                  <c:v>43.000</c:v>
                </c:pt>
                <c:pt idx="43">
                  <c:v>44.000</c:v>
                </c:pt>
                <c:pt idx="44">
                  <c:v>45.000</c:v>
                </c:pt>
                <c:pt idx="45">
                  <c:v>46.000</c:v>
                </c:pt>
                <c:pt idx="46">
                  <c:v>47.000</c:v>
                </c:pt>
                <c:pt idx="47">
                  <c:v>48.000</c:v>
                </c:pt>
                <c:pt idx="48">
                  <c:v>49.000</c:v>
                </c:pt>
                <c:pt idx="49">
                  <c:v>50.000</c:v>
                </c:pt>
                <c:pt idx="50">
                  <c:v>51.000</c:v>
                </c:pt>
                <c:pt idx="51">
                  <c:v>52.000</c:v>
                </c:pt>
                <c:pt idx="52">
                  <c:v>53.000</c:v>
                </c:pt>
                <c:pt idx="53">
                  <c:v>54.000</c:v>
                </c:pt>
                <c:pt idx="54">
                  <c:v>55.000</c:v>
                </c:pt>
                <c:pt idx="55">
                  <c:v>56.000</c:v>
                </c:pt>
                <c:pt idx="56">
                  <c:v>57.000</c:v>
                </c:pt>
                <c:pt idx="57">
                  <c:v>58.000</c:v>
                </c:pt>
                <c:pt idx="58">
                  <c:v>59.000</c:v>
                </c:pt>
                <c:pt idx="59">
                  <c:v>60.000</c:v>
                </c:pt>
                <c:pt idx="60">
                  <c:v>61.000</c:v>
                </c:pt>
                <c:pt idx="61">
                  <c:v>62.000</c:v>
                </c:pt>
                <c:pt idx="62">
                  <c:v>63.000</c:v>
                </c:pt>
                <c:pt idx="63">
                  <c:v>64.000</c:v>
                </c:pt>
                <c:pt idx="64">
                  <c:v>65.000</c:v>
                </c:pt>
                <c:pt idx="65">
                  <c:v>66.000</c:v>
                </c:pt>
                <c:pt idx="66">
                  <c:v>67.000</c:v>
                </c:pt>
                <c:pt idx="67">
                  <c:v>68.000</c:v>
                </c:pt>
                <c:pt idx="68">
                  <c:v>69.000</c:v>
                </c:pt>
                <c:pt idx="69">
                  <c:v>70.000</c:v>
                </c:pt>
                <c:pt idx="70">
                  <c:v>71.000</c:v>
                </c:pt>
                <c:pt idx="71">
                  <c:v>72.000</c:v>
                </c:pt>
                <c:pt idx="72">
                  <c:v>73.000</c:v>
                </c:pt>
                <c:pt idx="73">
                  <c:v>74.000</c:v>
                </c:pt>
                <c:pt idx="74">
                  <c:v>75.000</c:v>
                </c:pt>
                <c:pt idx="75">
                  <c:v>76.000</c:v>
                </c:pt>
                <c:pt idx="76">
                  <c:v>77.000</c:v>
                </c:pt>
                <c:pt idx="77">
                  <c:v>78.000</c:v>
                </c:pt>
                <c:pt idx="78">
                  <c:v>79.000</c:v>
                </c:pt>
                <c:pt idx="79">
                  <c:v>80.000</c:v>
                </c:pt>
              </c:strCache>
            </c:strRef>
          </c:cat>
          <c:val>
            <c:numRef>
              <c:f>Power_Sweep!$E$4:$E$83</c:f>
              <c:numCache>
                <c:formatCode>0.000</c:formatCode>
                <c:ptCount val="80"/>
                <c:pt idx="0">
                  <c:v>115.739892016308</c:v>
                </c:pt>
                <c:pt idx="1">
                  <c:v>163.680924997061</c:v>
                </c:pt>
                <c:pt idx="2">
                  <c:v>200.467373434781</c:v>
                </c:pt>
                <c:pt idx="3">
                  <c:v>231.479784032616</c:v>
                </c:pt>
                <c:pt idx="4">
                  <c:v>258.80226625695</c:v>
                </c:pt>
                <c:pt idx="5">
                  <c:v>283.50367832478</c:v>
                </c:pt>
                <c:pt idx="6">
                  <c:v>306.218971044622</c:v>
                </c:pt>
                <c:pt idx="7">
                  <c:v>327.361849994121</c:v>
                </c:pt>
                <c:pt idx="8">
                  <c:v>347.219676048925</c:v>
                </c:pt>
                <c:pt idx="9">
                  <c:v>366.001674913472</c:v>
                </c:pt>
                <c:pt idx="10">
                  <c:v>383.865795094345</c:v>
                </c:pt>
                <c:pt idx="11">
                  <c:v>400.934746869563</c:v>
                </c:pt>
                <c:pt idx="12">
                  <c:v>417.306115281464</c:v>
                </c:pt>
                <c:pt idx="13">
                  <c:v>433.059021907238</c:v>
                </c:pt>
                <c:pt idx="14">
                  <c:v>448.258674271007</c:v>
                </c:pt>
                <c:pt idx="15">
                  <c:v>462.959568065233</c:v>
                </c:pt>
                <c:pt idx="16">
                  <c:v>477.207799880821</c:v>
                </c:pt>
                <c:pt idx="17">
                  <c:v>491.042774991182</c:v>
                </c:pt>
                <c:pt idx="18">
                  <c:v>504.498493035397</c:v>
                </c:pt>
                <c:pt idx="19">
                  <c:v>517.604532513901</c:v>
                </c:pt>
                <c:pt idx="20">
                  <c:v>530.386816090747</c:v>
                </c:pt>
                <c:pt idx="21">
                  <c:v>542.868213553554</c:v>
                </c:pt>
                <c:pt idx="22">
                  <c:v>555.069022636621</c:v>
                </c:pt>
                <c:pt idx="23">
                  <c:v>567.007356649559</c:v>
                </c:pt>
                <c:pt idx="24">
                  <c:v>578.699460081541</c:v>
                </c:pt>
                <c:pt idx="25">
                  <c:v>590.159967892277</c:v>
                </c:pt>
                <c:pt idx="26">
                  <c:v>601.402120304344</c:v>
                </c:pt>
                <c:pt idx="27">
                  <c:v>612.437942089243</c:v>
                </c:pt>
                <c:pt idx="28">
                  <c:v>623.278393267771</c:v>
                </c:pt>
                <c:pt idx="29">
                  <c:v>633.933496605441</c:v>
                </c:pt>
                <c:pt idx="30">
                  <c:v>644.412446126196</c:v>
                </c:pt>
                <c:pt idx="31">
                  <c:v>654.723699988242</c:v>
                </c:pt>
                <c:pt idx="32">
                  <c:v>664.875060391229</c:v>
                </c:pt>
                <c:pt idx="33">
                  <c:v>674.873742661683</c:v>
                </c:pt>
                <c:pt idx="34">
                  <c:v>684.726435255814</c:v>
                </c:pt>
                <c:pt idx="35">
                  <c:v>694.439352097849</c:v>
                </c:pt>
                <c:pt idx="36">
                  <c:v>704.018278417562</c:v>
                </c:pt>
                <c:pt idx="37">
                  <c:v>713.468611047447</c:v>
                </c:pt>
                <c:pt idx="38">
                  <c:v>722.795393976692</c:v>
                </c:pt>
                <c:pt idx="39">
                  <c:v>732.003349826944</c:v>
                </c:pt>
                <c:pt idx="40">
                  <c:v>741.096907807484</c:v>
                </c:pt>
                <c:pt idx="41">
                  <c:v>750.08022861942</c:v>
                </c:pt>
                <c:pt idx="42">
                  <c:v>758.957226706293</c:v>
                </c:pt>
                <c:pt idx="43">
                  <c:v>767.73159018869</c:v>
                </c:pt>
                <c:pt idx="44">
                  <c:v>776.406798770851</c:v>
                </c:pt>
                <c:pt idx="45">
                  <c:v>784.986139865888</c:v>
                </c:pt>
                <c:pt idx="46">
                  <c:v>793.472723151523</c:v>
                </c:pt>
                <c:pt idx="47">
                  <c:v>801.869493739125</c:v>
                </c:pt>
                <c:pt idx="48">
                  <c:v>810.179244114157</c:v>
                </c:pt>
                <c:pt idx="49">
                  <c:v>818.404624985303</c:v>
                </c:pt>
                <c:pt idx="50">
                  <c:v>826.548155161743</c:v>
                </c:pt>
                <c:pt idx="51">
                  <c:v>834.612230562929</c:v>
                </c:pt>
                <c:pt idx="52">
                  <c:v>842.599132452185</c:v>
                </c:pt>
                <c:pt idx="53">
                  <c:v>850.511034974339</c:v>
                </c:pt>
                <c:pt idx="54">
                  <c:v>858.35001206796</c:v>
                </c:pt>
                <c:pt idx="55">
                  <c:v>866.118043814476</c:v>
                </c:pt>
                <c:pt idx="56">
                  <c:v>873.817022279242</c:v>
                </c:pt>
                <c:pt idx="57">
                  <c:v>881.448756893393</c:v>
                </c:pt>
                <c:pt idx="58">
                  <c:v>889.014979419838</c:v>
                </c:pt>
                <c:pt idx="59">
                  <c:v>896.517348542013</c:v>
                </c:pt>
                <c:pt idx="60">
                  <c:v>903.957454109842</c:v>
                </c:pt>
                <c:pt idx="61">
                  <c:v>911.336821073688</c:v>
                </c:pt>
                <c:pt idx="62">
                  <c:v>918.656913133865</c:v>
                </c:pt>
                <c:pt idx="63">
                  <c:v>925.919136130466</c:v>
                </c:pt>
                <c:pt idx="64">
                  <c:v>933.124841195718</c:v>
                </c:pt>
                <c:pt idx="65">
                  <c:v>940.275327688907</c:v>
                </c:pt>
                <c:pt idx="66">
                  <c:v>947.371845931906</c:v>
                </c:pt>
                <c:pt idx="67">
                  <c:v>954.415599761642</c:v>
                </c:pt>
                <c:pt idx="68">
                  <c:v>961.407748914227</c:v>
                </c:pt>
                <c:pt idx="69">
                  <c:v>968.349411254155</c:v>
                </c:pt>
                <c:pt idx="70">
                  <c:v>975.241664860672</c:v>
                </c:pt>
                <c:pt idx="71">
                  <c:v>982.085549982363</c:v>
                </c:pt>
                <c:pt idx="72">
                  <c:v>988.882070869984</c:v>
                </c:pt>
                <c:pt idx="73">
                  <c:v>995.632197496673</c:v>
                </c:pt>
                <c:pt idx="74">
                  <c:v>1002.33686717391</c:v>
                </c:pt>
                <c:pt idx="75">
                  <c:v>1008.99698607079</c:v>
                </c:pt>
                <c:pt idx="76">
                  <c:v>1015.61343064371</c:v>
                </c:pt>
                <c:pt idx="77">
                  <c:v>1022.18704898264</c:v>
                </c:pt>
                <c:pt idx="78">
                  <c:v>1028.71866208006</c:v>
                </c:pt>
                <c:pt idx="79">
                  <c:v>1035.2090650278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"E_design_limit
kV/m"</c:f>
              <c:strCache>
                <c:ptCount val="1"/>
                <c:pt idx="0">
                  <c:v>E_design_limit
kV/m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Power_Sweep!$A$4:$A$83</c:f>
              <c:strCache>
                <c:ptCount val="80"/>
                <c:pt idx="0">
                  <c:v>1.000</c:v>
                </c:pt>
                <c:pt idx="1">
                  <c:v>2.000</c:v>
                </c:pt>
                <c:pt idx="2">
                  <c:v>3.000</c:v>
                </c:pt>
                <c:pt idx="3">
                  <c:v>4.000</c:v>
                </c:pt>
                <c:pt idx="4">
                  <c:v>5.000</c:v>
                </c:pt>
                <c:pt idx="5">
                  <c:v>6.000</c:v>
                </c:pt>
                <c:pt idx="6">
                  <c:v>7.000</c:v>
                </c:pt>
                <c:pt idx="7">
                  <c:v>8.000</c:v>
                </c:pt>
                <c:pt idx="8">
                  <c:v>9.000</c:v>
                </c:pt>
                <c:pt idx="9">
                  <c:v>10.000</c:v>
                </c:pt>
                <c:pt idx="10">
                  <c:v>11.000</c:v>
                </c:pt>
                <c:pt idx="11">
                  <c:v>12.000</c:v>
                </c:pt>
                <c:pt idx="12">
                  <c:v>13.000</c:v>
                </c:pt>
                <c:pt idx="13">
                  <c:v>14.000</c:v>
                </c:pt>
                <c:pt idx="14">
                  <c:v>15.000</c:v>
                </c:pt>
                <c:pt idx="15">
                  <c:v>16.000</c:v>
                </c:pt>
                <c:pt idx="16">
                  <c:v>17.000</c:v>
                </c:pt>
                <c:pt idx="17">
                  <c:v>18.000</c:v>
                </c:pt>
                <c:pt idx="18">
                  <c:v>19.000</c:v>
                </c:pt>
                <c:pt idx="19">
                  <c:v>20.000</c:v>
                </c:pt>
                <c:pt idx="20">
                  <c:v>21.000</c:v>
                </c:pt>
                <c:pt idx="21">
                  <c:v>22.000</c:v>
                </c:pt>
                <c:pt idx="22">
                  <c:v>23.000</c:v>
                </c:pt>
                <c:pt idx="23">
                  <c:v>24.000</c:v>
                </c:pt>
                <c:pt idx="24">
                  <c:v>25.000</c:v>
                </c:pt>
                <c:pt idx="25">
                  <c:v>26.000</c:v>
                </c:pt>
                <c:pt idx="26">
                  <c:v>27.000</c:v>
                </c:pt>
                <c:pt idx="27">
                  <c:v>28.000</c:v>
                </c:pt>
                <c:pt idx="28">
                  <c:v>29.000</c:v>
                </c:pt>
                <c:pt idx="29">
                  <c:v>30.000</c:v>
                </c:pt>
                <c:pt idx="30">
                  <c:v>31.000</c:v>
                </c:pt>
                <c:pt idx="31">
                  <c:v>32.000</c:v>
                </c:pt>
                <c:pt idx="32">
                  <c:v>33.000</c:v>
                </c:pt>
                <c:pt idx="33">
                  <c:v>34.000</c:v>
                </c:pt>
                <c:pt idx="34">
                  <c:v>35.000</c:v>
                </c:pt>
                <c:pt idx="35">
                  <c:v>36.000</c:v>
                </c:pt>
                <c:pt idx="36">
                  <c:v>37.000</c:v>
                </c:pt>
                <c:pt idx="37">
                  <c:v>38.000</c:v>
                </c:pt>
                <c:pt idx="38">
                  <c:v>39.000</c:v>
                </c:pt>
                <c:pt idx="39">
                  <c:v>40.000</c:v>
                </c:pt>
                <c:pt idx="40">
                  <c:v>41.000</c:v>
                </c:pt>
                <c:pt idx="41">
                  <c:v>42.000</c:v>
                </c:pt>
                <c:pt idx="42">
                  <c:v>43.000</c:v>
                </c:pt>
                <c:pt idx="43">
                  <c:v>44.000</c:v>
                </c:pt>
                <c:pt idx="44">
                  <c:v>45.000</c:v>
                </c:pt>
                <c:pt idx="45">
                  <c:v>46.000</c:v>
                </c:pt>
                <c:pt idx="46">
                  <c:v>47.000</c:v>
                </c:pt>
                <c:pt idx="47">
                  <c:v>48.000</c:v>
                </c:pt>
                <c:pt idx="48">
                  <c:v>49.000</c:v>
                </c:pt>
                <c:pt idx="49">
                  <c:v>50.000</c:v>
                </c:pt>
                <c:pt idx="50">
                  <c:v>51.000</c:v>
                </c:pt>
                <c:pt idx="51">
                  <c:v>52.000</c:v>
                </c:pt>
                <c:pt idx="52">
                  <c:v>53.000</c:v>
                </c:pt>
                <c:pt idx="53">
                  <c:v>54.000</c:v>
                </c:pt>
                <c:pt idx="54">
                  <c:v>55.000</c:v>
                </c:pt>
                <c:pt idx="55">
                  <c:v>56.000</c:v>
                </c:pt>
                <c:pt idx="56">
                  <c:v>57.000</c:v>
                </c:pt>
                <c:pt idx="57">
                  <c:v>58.000</c:v>
                </c:pt>
                <c:pt idx="58">
                  <c:v>59.000</c:v>
                </c:pt>
                <c:pt idx="59">
                  <c:v>60.000</c:v>
                </c:pt>
                <c:pt idx="60">
                  <c:v>61.000</c:v>
                </c:pt>
                <c:pt idx="61">
                  <c:v>62.000</c:v>
                </c:pt>
                <c:pt idx="62">
                  <c:v>63.000</c:v>
                </c:pt>
                <c:pt idx="63">
                  <c:v>64.000</c:v>
                </c:pt>
                <c:pt idx="64">
                  <c:v>65.000</c:v>
                </c:pt>
                <c:pt idx="65">
                  <c:v>66.000</c:v>
                </c:pt>
                <c:pt idx="66">
                  <c:v>67.000</c:v>
                </c:pt>
                <c:pt idx="67">
                  <c:v>68.000</c:v>
                </c:pt>
                <c:pt idx="68">
                  <c:v>69.000</c:v>
                </c:pt>
                <c:pt idx="69">
                  <c:v>70.000</c:v>
                </c:pt>
                <c:pt idx="70">
                  <c:v>71.000</c:v>
                </c:pt>
                <c:pt idx="71">
                  <c:v>72.000</c:v>
                </c:pt>
                <c:pt idx="72">
                  <c:v>73.000</c:v>
                </c:pt>
                <c:pt idx="73">
                  <c:v>74.000</c:v>
                </c:pt>
                <c:pt idx="74">
                  <c:v>75.000</c:v>
                </c:pt>
                <c:pt idx="75">
                  <c:v>76.000</c:v>
                </c:pt>
                <c:pt idx="76">
                  <c:v>77.000</c:v>
                </c:pt>
                <c:pt idx="77">
                  <c:v>78.000</c:v>
                </c:pt>
                <c:pt idx="78">
                  <c:v>79.000</c:v>
                </c:pt>
                <c:pt idx="79">
                  <c:v>80.000</c:v>
                </c:pt>
              </c:strCache>
            </c:strRef>
          </c:cat>
          <c:val>
            <c:numRef>
              <c:f>Power_Sweep!$F$4:$F$83</c:f>
              <c:numCache>
                <c:formatCode>0.000</c:formatCode>
                <c:ptCount val="80"/>
                <c:pt idx="0">
                  <c:v>1446.66209732694</c:v>
                </c:pt>
                <c:pt idx="1">
                  <c:v>1446.66209732694</c:v>
                </c:pt>
                <c:pt idx="2">
                  <c:v>1446.66209732694</c:v>
                </c:pt>
                <c:pt idx="3">
                  <c:v>1446.66209732694</c:v>
                </c:pt>
                <c:pt idx="4">
                  <c:v>1446.66209732694</c:v>
                </c:pt>
                <c:pt idx="5">
                  <c:v>1446.66209732694</c:v>
                </c:pt>
                <c:pt idx="6">
                  <c:v>1446.66209732694</c:v>
                </c:pt>
                <c:pt idx="7">
                  <c:v>1446.66209732694</c:v>
                </c:pt>
                <c:pt idx="8">
                  <c:v>1446.66209732694</c:v>
                </c:pt>
                <c:pt idx="9">
                  <c:v>1446.66209732694</c:v>
                </c:pt>
                <c:pt idx="10">
                  <c:v>1446.66209732694</c:v>
                </c:pt>
                <c:pt idx="11">
                  <c:v>1446.66209732694</c:v>
                </c:pt>
                <c:pt idx="12">
                  <c:v>1446.66209732694</c:v>
                </c:pt>
                <c:pt idx="13">
                  <c:v>1446.66209732694</c:v>
                </c:pt>
                <c:pt idx="14">
                  <c:v>1446.66209732694</c:v>
                </c:pt>
                <c:pt idx="15">
                  <c:v>1446.66209732694</c:v>
                </c:pt>
                <c:pt idx="16">
                  <c:v>1446.66209732694</c:v>
                </c:pt>
                <c:pt idx="17">
                  <c:v>1446.66209732694</c:v>
                </c:pt>
                <c:pt idx="18">
                  <c:v>1446.66209732694</c:v>
                </c:pt>
                <c:pt idx="19">
                  <c:v>1446.66209732694</c:v>
                </c:pt>
                <c:pt idx="20">
                  <c:v>1446.66209732694</c:v>
                </c:pt>
                <c:pt idx="21">
                  <c:v>1446.66209732694</c:v>
                </c:pt>
                <c:pt idx="22">
                  <c:v>1446.66209732694</c:v>
                </c:pt>
                <c:pt idx="23">
                  <c:v>1446.66209732694</c:v>
                </c:pt>
                <c:pt idx="24">
                  <c:v>1446.66209732694</c:v>
                </c:pt>
                <c:pt idx="25">
                  <c:v>1446.66209732694</c:v>
                </c:pt>
                <c:pt idx="26">
                  <c:v>1446.66209732694</c:v>
                </c:pt>
                <c:pt idx="27">
                  <c:v>1446.66209732694</c:v>
                </c:pt>
                <c:pt idx="28">
                  <c:v>1446.66209732694</c:v>
                </c:pt>
                <c:pt idx="29">
                  <c:v>1446.66209732694</c:v>
                </c:pt>
                <c:pt idx="30">
                  <c:v>1446.66209732694</c:v>
                </c:pt>
                <c:pt idx="31">
                  <c:v>1446.66209732694</c:v>
                </c:pt>
                <c:pt idx="32">
                  <c:v>1446.66209732694</c:v>
                </c:pt>
                <c:pt idx="33">
                  <c:v>1446.66209732694</c:v>
                </c:pt>
                <c:pt idx="34">
                  <c:v>1446.66209732694</c:v>
                </c:pt>
                <c:pt idx="35">
                  <c:v>1446.66209732694</c:v>
                </c:pt>
                <c:pt idx="36">
                  <c:v>1446.66209732694</c:v>
                </c:pt>
                <c:pt idx="37">
                  <c:v>1446.66209732694</c:v>
                </c:pt>
                <c:pt idx="38">
                  <c:v>1446.66209732694</c:v>
                </c:pt>
                <c:pt idx="39">
                  <c:v>1446.66209732694</c:v>
                </c:pt>
                <c:pt idx="40">
                  <c:v>1446.66209732694</c:v>
                </c:pt>
                <c:pt idx="41">
                  <c:v>1446.66209732694</c:v>
                </c:pt>
                <c:pt idx="42">
                  <c:v>1446.66209732694</c:v>
                </c:pt>
                <c:pt idx="43">
                  <c:v>1446.66209732694</c:v>
                </c:pt>
                <c:pt idx="44">
                  <c:v>1446.66209732694</c:v>
                </c:pt>
                <c:pt idx="45">
                  <c:v>1446.66209732694</c:v>
                </c:pt>
                <c:pt idx="46">
                  <c:v>1446.66209732694</c:v>
                </c:pt>
                <c:pt idx="47">
                  <c:v>1446.66209732694</c:v>
                </c:pt>
                <c:pt idx="48">
                  <c:v>1446.66209732694</c:v>
                </c:pt>
                <c:pt idx="49">
                  <c:v>1446.66209732694</c:v>
                </c:pt>
                <c:pt idx="50">
                  <c:v>1446.66209732694</c:v>
                </c:pt>
                <c:pt idx="51">
                  <c:v>1446.66209732694</c:v>
                </c:pt>
                <c:pt idx="52">
                  <c:v>1446.66209732694</c:v>
                </c:pt>
                <c:pt idx="53">
                  <c:v>1446.66209732694</c:v>
                </c:pt>
                <c:pt idx="54">
                  <c:v>1446.66209732694</c:v>
                </c:pt>
                <c:pt idx="55">
                  <c:v>1446.66209732694</c:v>
                </c:pt>
                <c:pt idx="56">
                  <c:v>1446.66209732694</c:v>
                </c:pt>
                <c:pt idx="57">
                  <c:v>1446.66209732694</c:v>
                </c:pt>
                <c:pt idx="58">
                  <c:v>1446.66209732694</c:v>
                </c:pt>
                <c:pt idx="59">
                  <c:v>1446.66209732694</c:v>
                </c:pt>
                <c:pt idx="60">
                  <c:v>1446.66209732694</c:v>
                </c:pt>
                <c:pt idx="61">
                  <c:v>1446.66209732694</c:v>
                </c:pt>
                <c:pt idx="62">
                  <c:v>1446.66209732694</c:v>
                </c:pt>
                <c:pt idx="63">
                  <c:v>1446.66209732694</c:v>
                </c:pt>
                <c:pt idx="64">
                  <c:v>1446.66209732694</c:v>
                </c:pt>
                <c:pt idx="65">
                  <c:v>1446.66209732694</c:v>
                </c:pt>
                <c:pt idx="66">
                  <c:v>1446.66209732694</c:v>
                </c:pt>
                <c:pt idx="67">
                  <c:v>1446.66209732694</c:v>
                </c:pt>
                <c:pt idx="68">
                  <c:v>1446.66209732694</c:v>
                </c:pt>
                <c:pt idx="69">
                  <c:v>1446.66209732694</c:v>
                </c:pt>
                <c:pt idx="70">
                  <c:v>1446.66209732694</c:v>
                </c:pt>
                <c:pt idx="71">
                  <c:v>1446.66209732694</c:v>
                </c:pt>
                <c:pt idx="72">
                  <c:v>1446.66209732694</c:v>
                </c:pt>
                <c:pt idx="73">
                  <c:v>1446.66209732694</c:v>
                </c:pt>
                <c:pt idx="74">
                  <c:v>1446.66209732694</c:v>
                </c:pt>
                <c:pt idx="75">
                  <c:v>1446.66209732694</c:v>
                </c:pt>
                <c:pt idx="76">
                  <c:v>1446.66209732694</c:v>
                </c:pt>
                <c:pt idx="77">
                  <c:v>1446.66209732694</c:v>
                </c:pt>
                <c:pt idx="78">
                  <c:v>1446.66209732694</c:v>
                </c:pt>
                <c:pt idx="79">
                  <c:v>1446.66209732694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"E_util"</c:f>
              <c:strCache>
                <c:ptCount val="1"/>
                <c:pt idx="0">
                  <c:v>E_util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Power_Sweep!$A$4:$A$83</c:f>
              <c:strCache>
                <c:ptCount val="80"/>
                <c:pt idx="0">
                  <c:v>1.000</c:v>
                </c:pt>
                <c:pt idx="1">
                  <c:v>2.000</c:v>
                </c:pt>
                <c:pt idx="2">
                  <c:v>3.000</c:v>
                </c:pt>
                <c:pt idx="3">
                  <c:v>4.000</c:v>
                </c:pt>
                <c:pt idx="4">
                  <c:v>5.000</c:v>
                </c:pt>
                <c:pt idx="5">
                  <c:v>6.000</c:v>
                </c:pt>
                <c:pt idx="6">
                  <c:v>7.000</c:v>
                </c:pt>
                <c:pt idx="7">
                  <c:v>8.000</c:v>
                </c:pt>
                <c:pt idx="8">
                  <c:v>9.000</c:v>
                </c:pt>
                <c:pt idx="9">
                  <c:v>10.000</c:v>
                </c:pt>
                <c:pt idx="10">
                  <c:v>11.000</c:v>
                </c:pt>
                <c:pt idx="11">
                  <c:v>12.000</c:v>
                </c:pt>
                <c:pt idx="12">
                  <c:v>13.000</c:v>
                </c:pt>
                <c:pt idx="13">
                  <c:v>14.000</c:v>
                </c:pt>
                <c:pt idx="14">
                  <c:v>15.000</c:v>
                </c:pt>
                <c:pt idx="15">
                  <c:v>16.000</c:v>
                </c:pt>
                <c:pt idx="16">
                  <c:v>17.000</c:v>
                </c:pt>
                <c:pt idx="17">
                  <c:v>18.000</c:v>
                </c:pt>
                <c:pt idx="18">
                  <c:v>19.000</c:v>
                </c:pt>
                <c:pt idx="19">
                  <c:v>20.000</c:v>
                </c:pt>
                <c:pt idx="20">
                  <c:v>21.000</c:v>
                </c:pt>
                <c:pt idx="21">
                  <c:v>22.000</c:v>
                </c:pt>
                <c:pt idx="22">
                  <c:v>23.000</c:v>
                </c:pt>
                <c:pt idx="23">
                  <c:v>24.000</c:v>
                </c:pt>
                <c:pt idx="24">
                  <c:v>25.000</c:v>
                </c:pt>
                <c:pt idx="25">
                  <c:v>26.000</c:v>
                </c:pt>
                <c:pt idx="26">
                  <c:v>27.000</c:v>
                </c:pt>
                <c:pt idx="27">
                  <c:v>28.000</c:v>
                </c:pt>
                <c:pt idx="28">
                  <c:v>29.000</c:v>
                </c:pt>
                <c:pt idx="29">
                  <c:v>30.000</c:v>
                </c:pt>
                <c:pt idx="30">
                  <c:v>31.000</c:v>
                </c:pt>
                <c:pt idx="31">
                  <c:v>32.000</c:v>
                </c:pt>
                <c:pt idx="32">
                  <c:v>33.000</c:v>
                </c:pt>
                <c:pt idx="33">
                  <c:v>34.000</c:v>
                </c:pt>
                <c:pt idx="34">
                  <c:v>35.000</c:v>
                </c:pt>
                <c:pt idx="35">
                  <c:v>36.000</c:v>
                </c:pt>
                <c:pt idx="36">
                  <c:v>37.000</c:v>
                </c:pt>
                <c:pt idx="37">
                  <c:v>38.000</c:v>
                </c:pt>
                <c:pt idx="38">
                  <c:v>39.000</c:v>
                </c:pt>
                <c:pt idx="39">
                  <c:v>40.000</c:v>
                </c:pt>
                <c:pt idx="40">
                  <c:v>41.000</c:v>
                </c:pt>
                <c:pt idx="41">
                  <c:v>42.000</c:v>
                </c:pt>
                <c:pt idx="42">
                  <c:v>43.000</c:v>
                </c:pt>
                <c:pt idx="43">
                  <c:v>44.000</c:v>
                </c:pt>
                <c:pt idx="44">
                  <c:v>45.000</c:v>
                </c:pt>
                <c:pt idx="45">
                  <c:v>46.000</c:v>
                </c:pt>
                <c:pt idx="46">
                  <c:v>47.000</c:v>
                </c:pt>
                <c:pt idx="47">
                  <c:v>48.000</c:v>
                </c:pt>
                <c:pt idx="48">
                  <c:v>49.000</c:v>
                </c:pt>
                <c:pt idx="49">
                  <c:v>50.000</c:v>
                </c:pt>
                <c:pt idx="50">
                  <c:v>51.000</c:v>
                </c:pt>
                <c:pt idx="51">
                  <c:v>52.000</c:v>
                </c:pt>
                <c:pt idx="52">
                  <c:v>53.000</c:v>
                </c:pt>
                <c:pt idx="53">
                  <c:v>54.000</c:v>
                </c:pt>
                <c:pt idx="54">
                  <c:v>55.000</c:v>
                </c:pt>
                <c:pt idx="55">
                  <c:v>56.000</c:v>
                </c:pt>
                <c:pt idx="56">
                  <c:v>57.000</c:v>
                </c:pt>
                <c:pt idx="57">
                  <c:v>58.000</c:v>
                </c:pt>
                <c:pt idx="58">
                  <c:v>59.000</c:v>
                </c:pt>
                <c:pt idx="59">
                  <c:v>60.000</c:v>
                </c:pt>
                <c:pt idx="60">
                  <c:v>61.000</c:v>
                </c:pt>
                <c:pt idx="61">
                  <c:v>62.000</c:v>
                </c:pt>
                <c:pt idx="62">
                  <c:v>63.000</c:v>
                </c:pt>
                <c:pt idx="63">
                  <c:v>64.000</c:v>
                </c:pt>
                <c:pt idx="64">
                  <c:v>65.000</c:v>
                </c:pt>
                <c:pt idx="65">
                  <c:v>66.000</c:v>
                </c:pt>
                <c:pt idx="66">
                  <c:v>67.000</c:v>
                </c:pt>
                <c:pt idx="67">
                  <c:v>68.000</c:v>
                </c:pt>
                <c:pt idx="68">
                  <c:v>69.000</c:v>
                </c:pt>
                <c:pt idx="69">
                  <c:v>70.000</c:v>
                </c:pt>
                <c:pt idx="70">
                  <c:v>71.000</c:v>
                </c:pt>
                <c:pt idx="71">
                  <c:v>72.000</c:v>
                </c:pt>
                <c:pt idx="72">
                  <c:v>73.000</c:v>
                </c:pt>
                <c:pt idx="73">
                  <c:v>74.000</c:v>
                </c:pt>
                <c:pt idx="74">
                  <c:v>75.000</c:v>
                </c:pt>
                <c:pt idx="75">
                  <c:v>76.000</c:v>
                </c:pt>
                <c:pt idx="76">
                  <c:v>77.000</c:v>
                </c:pt>
                <c:pt idx="77">
                  <c:v>78.000</c:v>
                </c:pt>
                <c:pt idx="78">
                  <c:v>79.000</c:v>
                </c:pt>
                <c:pt idx="79">
                  <c:v>80.000</c:v>
                </c:pt>
              </c:strCache>
            </c:strRef>
          </c:cat>
          <c:val>
            <c:numRef>
              <c:f>Power_Sweep!$G$4:$G$83</c:f>
              <c:numCache>
                <c:formatCode>0.0%</c:formatCode>
                <c:ptCount val="80"/>
                <c:pt idx="0">
                  <c:v>0.0800047863493252</c:v>
                </c:pt>
                <c:pt idx="1">
                  <c:v>0.113143853909978</c:v>
                </c:pt>
                <c:pt idx="2">
                  <c:v>0.138572354805724</c:v>
                </c:pt>
                <c:pt idx="3">
                  <c:v>0.16000957269865</c:v>
                </c:pt>
                <c:pt idx="4">
                  <c:v>0.178896140802438</c:v>
                </c:pt>
                <c:pt idx="5">
                  <c:v>0.195970903536232</c:v>
                </c:pt>
                <c:pt idx="6">
                  <c:v>0.21167276837517</c:v>
                </c:pt>
                <c:pt idx="7">
                  <c:v>0.226287707819955</c:v>
                </c:pt>
                <c:pt idx="8">
                  <c:v>0.240014359047976</c:v>
                </c:pt>
                <c:pt idx="9">
                  <c:v>0.252997348579015</c:v>
                </c:pt>
                <c:pt idx="10">
                  <c:v>0.265345857753259</c:v>
                </c:pt>
                <c:pt idx="11">
                  <c:v>0.277144709611448</c:v>
                </c:pt>
                <c:pt idx="12">
                  <c:v>0.288461359465033</c:v>
                </c:pt>
                <c:pt idx="13">
                  <c:v>0.299350499821224</c:v>
                </c:pt>
                <c:pt idx="14">
                  <c:v>0.309857205147819</c:v>
                </c:pt>
                <c:pt idx="15">
                  <c:v>0.320019145397301</c:v>
                </c:pt>
                <c:pt idx="16">
                  <c:v>0.329868184673242</c:v>
                </c:pt>
                <c:pt idx="17">
                  <c:v>0.339431561729933</c:v>
                </c:pt>
                <c:pt idx="18">
                  <c:v>0.348732778696271</c:v>
                </c:pt>
                <c:pt idx="19">
                  <c:v>0.357792281604877</c:v>
                </c:pt>
                <c:pt idx="20">
                  <c:v>0.366627989404552</c:v>
                </c:pt>
                <c:pt idx="21">
                  <c:v>0.375255710754181</c:v>
                </c:pt>
                <c:pt idx="22">
                  <c:v>0.383689476389993</c:v>
                </c:pt>
                <c:pt idx="23">
                  <c:v>0.391941807072463</c:v>
                </c:pt>
                <c:pt idx="24">
                  <c:v>0.400023931746626</c:v>
                </c:pt>
                <c:pt idx="25">
                  <c:v>0.407945966776031</c:v>
                </c:pt>
                <c:pt idx="26">
                  <c:v>0.415717064417172</c:v>
                </c:pt>
                <c:pt idx="27">
                  <c:v>0.423345536750339</c:v>
                </c:pt>
                <c:pt idx="28">
                  <c:v>0.430838959850701</c:v>
                </c:pt>
                <c:pt idx="29">
                  <c:v>0.438204261919068</c:v>
                </c:pt>
                <c:pt idx="30">
                  <c:v>0.445447798291603</c:v>
                </c:pt>
                <c:pt idx="31">
                  <c:v>0.45257541563991</c:v>
                </c:pt>
                <c:pt idx="32">
                  <c:v>0.459592507206589</c:v>
                </c:pt>
                <c:pt idx="33">
                  <c:v>0.466504060560291</c:v>
                </c:pt>
                <c:pt idx="34">
                  <c:v>0.473314699072447</c:v>
                </c:pt>
                <c:pt idx="35">
                  <c:v>0.480028718095951</c:v>
                </c:pt>
                <c:pt idx="36">
                  <c:v>0.48665011665019</c:v>
                </c:pt>
                <c:pt idx="37">
                  <c:v>0.493182625276321</c:v>
                </c:pt>
                <c:pt idx="38">
                  <c:v>0.499629730613827</c:v>
                </c:pt>
                <c:pt idx="39">
                  <c:v>0.50599469715803</c:v>
                </c:pt>
                <c:pt idx="40">
                  <c:v>0.512280586584001</c:v>
                </c:pt>
                <c:pt idx="41">
                  <c:v>0.518490274961497</c:v>
                </c:pt>
                <c:pt idx="42">
                  <c:v>0.524626468135616</c:v>
                </c:pt>
                <c:pt idx="43">
                  <c:v>0.530691715506518</c:v>
                </c:pt>
                <c:pt idx="44">
                  <c:v>0.536688422407315</c:v>
                </c:pt>
                <c:pt idx="45">
                  <c:v>0.542618861250559</c:v>
                </c:pt>
                <c:pt idx="46">
                  <c:v>0.548485181589854</c:v>
                </c:pt>
                <c:pt idx="47">
                  <c:v>0.554289419222897</c:v>
                </c:pt>
                <c:pt idx="48">
                  <c:v>0.560033504445276</c:v>
                </c:pt>
                <c:pt idx="49">
                  <c:v>0.565719269549888</c:v>
                </c:pt>
                <c:pt idx="50">
                  <c:v>0.571348455654568</c:v>
                </c:pt>
                <c:pt idx="51">
                  <c:v>0.576922718930067</c:v>
                </c:pt>
                <c:pt idx="52">
                  <c:v>0.582443636291497</c:v>
                </c:pt>
                <c:pt idx="53">
                  <c:v>0.587912710608695</c:v>
                </c:pt>
                <c:pt idx="54">
                  <c:v>0.593331375484277</c:v>
                </c:pt>
                <c:pt idx="55">
                  <c:v>0.598700999642447</c:v>
                </c:pt>
                <c:pt idx="56">
                  <c:v>0.604022890966615</c:v>
                </c:pt>
                <c:pt idx="57">
                  <c:v>0.609298300219579</c:v>
                </c:pt>
                <c:pt idx="58">
                  <c:v>0.614528424476256</c:v>
                </c:pt>
                <c:pt idx="59">
                  <c:v>0.619714410295638</c:v>
                </c:pt>
                <c:pt idx="60">
                  <c:v>0.624857356655798</c:v>
                </c:pt>
                <c:pt idx="61">
                  <c:v>0.629958317673219</c:v>
                </c:pt>
                <c:pt idx="62">
                  <c:v>0.635018305125509</c:v>
                </c:pt>
                <c:pt idx="63">
                  <c:v>0.640038290794602</c:v>
                </c:pt>
                <c:pt idx="64">
                  <c:v>0.645019208645817</c:v>
                </c:pt>
                <c:pt idx="65">
                  <c:v>0.649961956856613</c:v>
                </c:pt>
                <c:pt idx="66">
                  <c:v>0.654867399707512</c:v>
                </c:pt>
                <c:pt idx="67">
                  <c:v>0.659736369346483</c:v>
                </c:pt>
                <c:pt idx="68">
                  <c:v>0.664569667436967</c:v>
                </c:pt>
                <c:pt idx="69">
                  <c:v>0.669368066698795</c:v>
                </c:pt>
                <c:pt idx="70">
                  <c:v>0.674132312350389</c:v>
                </c:pt>
                <c:pt idx="71">
                  <c:v>0.678863123459865</c:v>
                </c:pt>
                <c:pt idx="72">
                  <c:v>0.683561194211963</c:v>
                </c:pt>
                <c:pt idx="73">
                  <c:v>0.688227195097147</c:v>
                </c:pt>
                <c:pt idx="74">
                  <c:v>0.692861774028621</c:v>
                </c:pt>
                <c:pt idx="75">
                  <c:v>0.697465557392542</c:v>
                </c:pt>
                <c:pt idx="76">
                  <c:v>0.702039151036244</c:v>
                </c:pt>
                <c:pt idx="77">
                  <c:v>0.70658314119889</c:v>
                </c:pt>
                <c:pt idx="78">
                  <c:v>0.711098095388598</c:v>
                </c:pt>
                <c:pt idx="79">
                  <c:v>0.715584563209753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"P_avg
kW"</c:f>
              <c:strCache>
                <c:ptCount val="1"/>
                <c:pt idx="0">
                  <c:v>P_avg
kW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Power_Sweep!$A$4:$A$83</c:f>
              <c:strCache>
                <c:ptCount val="80"/>
                <c:pt idx="0">
                  <c:v>1.000</c:v>
                </c:pt>
                <c:pt idx="1">
                  <c:v>2.000</c:v>
                </c:pt>
                <c:pt idx="2">
                  <c:v>3.000</c:v>
                </c:pt>
                <c:pt idx="3">
                  <c:v>4.000</c:v>
                </c:pt>
                <c:pt idx="4">
                  <c:v>5.000</c:v>
                </c:pt>
                <c:pt idx="5">
                  <c:v>6.000</c:v>
                </c:pt>
                <c:pt idx="6">
                  <c:v>7.000</c:v>
                </c:pt>
                <c:pt idx="7">
                  <c:v>8.000</c:v>
                </c:pt>
                <c:pt idx="8">
                  <c:v>9.000</c:v>
                </c:pt>
                <c:pt idx="9">
                  <c:v>10.000</c:v>
                </c:pt>
                <c:pt idx="10">
                  <c:v>11.000</c:v>
                </c:pt>
                <c:pt idx="11">
                  <c:v>12.000</c:v>
                </c:pt>
                <c:pt idx="12">
                  <c:v>13.000</c:v>
                </c:pt>
                <c:pt idx="13">
                  <c:v>14.000</c:v>
                </c:pt>
                <c:pt idx="14">
                  <c:v>15.000</c:v>
                </c:pt>
                <c:pt idx="15">
                  <c:v>16.000</c:v>
                </c:pt>
                <c:pt idx="16">
                  <c:v>17.000</c:v>
                </c:pt>
                <c:pt idx="17">
                  <c:v>18.000</c:v>
                </c:pt>
                <c:pt idx="18">
                  <c:v>19.000</c:v>
                </c:pt>
                <c:pt idx="19">
                  <c:v>20.000</c:v>
                </c:pt>
                <c:pt idx="20">
                  <c:v>21.000</c:v>
                </c:pt>
                <c:pt idx="21">
                  <c:v>22.000</c:v>
                </c:pt>
                <c:pt idx="22">
                  <c:v>23.000</c:v>
                </c:pt>
                <c:pt idx="23">
                  <c:v>24.000</c:v>
                </c:pt>
                <c:pt idx="24">
                  <c:v>25.000</c:v>
                </c:pt>
                <c:pt idx="25">
                  <c:v>26.000</c:v>
                </c:pt>
                <c:pt idx="26">
                  <c:v>27.000</c:v>
                </c:pt>
                <c:pt idx="27">
                  <c:v>28.000</c:v>
                </c:pt>
                <c:pt idx="28">
                  <c:v>29.000</c:v>
                </c:pt>
                <c:pt idx="29">
                  <c:v>30.000</c:v>
                </c:pt>
                <c:pt idx="30">
                  <c:v>31.000</c:v>
                </c:pt>
                <c:pt idx="31">
                  <c:v>32.000</c:v>
                </c:pt>
                <c:pt idx="32">
                  <c:v>33.000</c:v>
                </c:pt>
                <c:pt idx="33">
                  <c:v>34.000</c:v>
                </c:pt>
                <c:pt idx="34">
                  <c:v>35.000</c:v>
                </c:pt>
                <c:pt idx="35">
                  <c:v>36.000</c:v>
                </c:pt>
                <c:pt idx="36">
                  <c:v>37.000</c:v>
                </c:pt>
                <c:pt idx="37">
                  <c:v>38.000</c:v>
                </c:pt>
                <c:pt idx="38">
                  <c:v>39.000</c:v>
                </c:pt>
                <c:pt idx="39">
                  <c:v>40.000</c:v>
                </c:pt>
                <c:pt idx="40">
                  <c:v>41.000</c:v>
                </c:pt>
                <c:pt idx="41">
                  <c:v>42.000</c:v>
                </c:pt>
                <c:pt idx="42">
                  <c:v>43.000</c:v>
                </c:pt>
                <c:pt idx="43">
                  <c:v>44.000</c:v>
                </c:pt>
                <c:pt idx="44">
                  <c:v>45.000</c:v>
                </c:pt>
                <c:pt idx="45">
                  <c:v>46.000</c:v>
                </c:pt>
                <c:pt idx="46">
                  <c:v>47.000</c:v>
                </c:pt>
                <c:pt idx="47">
                  <c:v>48.000</c:v>
                </c:pt>
                <c:pt idx="48">
                  <c:v>49.000</c:v>
                </c:pt>
                <c:pt idx="49">
                  <c:v>50.000</c:v>
                </c:pt>
                <c:pt idx="50">
                  <c:v>51.000</c:v>
                </c:pt>
                <c:pt idx="51">
                  <c:v>52.000</c:v>
                </c:pt>
                <c:pt idx="52">
                  <c:v>53.000</c:v>
                </c:pt>
                <c:pt idx="53">
                  <c:v>54.000</c:v>
                </c:pt>
                <c:pt idx="54">
                  <c:v>55.000</c:v>
                </c:pt>
                <c:pt idx="55">
                  <c:v>56.000</c:v>
                </c:pt>
                <c:pt idx="56">
                  <c:v>57.000</c:v>
                </c:pt>
                <c:pt idx="57">
                  <c:v>58.000</c:v>
                </c:pt>
                <c:pt idx="58">
                  <c:v>59.000</c:v>
                </c:pt>
                <c:pt idx="59">
                  <c:v>60.000</c:v>
                </c:pt>
                <c:pt idx="60">
                  <c:v>61.000</c:v>
                </c:pt>
                <c:pt idx="61">
                  <c:v>62.000</c:v>
                </c:pt>
                <c:pt idx="62">
                  <c:v>63.000</c:v>
                </c:pt>
                <c:pt idx="63">
                  <c:v>64.000</c:v>
                </c:pt>
                <c:pt idx="64">
                  <c:v>65.000</c:v>
                </c:pt>
                <c:pt idx="65">
                  <c:v>66.000</c:v>
                </c:pt>
                <c:pt idx="66">
                  <c:v>67.000</c:v>
                </c:pt>
                <c:pt idx="67">
                  <c:v>68.000</c:v>
                </c:pt>
                <c:pt idx="68">
                  <c:v>69.000</c:v>
                </c:pt>
                <c:pt idx="69">
                  <c:v>70.000</c:v>
                </c:pt>
                <c:pt idx="70">
                  <c:v>71.000</c:v>
                </c:pt>
                <c:pt idx="71">
                  <c:v>72.000</c:v>
                </c:pt>
                <c:pt idx="72">
                  <c:v>73.000</c:v>
                </c:pt>
                <c:pt idx="73">
                  <c:v>74.000</c:v>
                </c:pt>
                <c:pt idx="74">
                  <c:v>75.000</c:v>
                </c:pt>
                <c:pt idx="75">
                  <c:v>76.000</c:v>
                </c:pt>
                <c:pt idx="76">
                  <c:v>77.000</c:v>
                </c:pt>
                <c:pt idx="77">
                  <c:v>78.000</c:v>
                </c:pt>
                <c:pt idx="78">
                  <c:v>79.000</c:v>
                </c:pt>
                <c:pt idx="79">
                  <c:v>80.000</c:v>
                </c:pt>
              </c:strCache>
            </c:strRef>
          </c:cat>
          <c:val>
            <c:numRef>
              <c:f>Power_Sweep!$H$4:$H$83</c:f>
              <c:numCache>
                <c:formatCode>0.000</c:formatCode>
                <c:ptCount val="80"/>
                <c:pt idx="0">
                  <c:v>0.0275</c:v>
                </c:pt>
                <c:pt idx="1">
                  <c:v>0.055</c:v>
                </c:pt>
                <c:pt idx="2">
                  <c:v>0.0825</c:v>
                </c:pt>
                <c:pt idx="3">
                  <c:v>0.11</c:v>
                </c:pt>
                <c:pt idx="4">
                  <c:v>0.1375</c:v>
                </c:pt>
                <c:pt idx="5">
                  <c:v>0.165</c:v>
                </c:pt>
                <c:pt idx="6">
                  <c:v>0.1925</c:v>
                </c:pt>
                <c:pt idx="7">
                  <c:v>0.22</c:v>
                </c:pt>
                <c:pt idx="8">
                  <c:v>0.2475</c:v>
                </c:pt>
                <c:pt idx="9">
                  <c:v>0.275</c:v>
                </c:pt>
                <c:pt idx="10">
                  <c:v>0.3025</c:v>
                </c:pt>
                <c:pt idx="11">
                  <c:v>0.33</c:v>
                </c:pt>
                <c:pt idx="12">
                  <c:v>0.3575</c:v>
                </c:pt>
                <c:pt idx="13">
                  <c:v>0.385</c:v>
                </c:pt>
                <c:pt idx="14">
                  <c:v>0.4125</c:v>
                </c:pt>
                <c:pt idx="15">
                  <c:v>0.44</c:v>
                </c:pt>
                <c:pt idx="16">
                  <c:v>0.4675</c:v>
                </c:pt>
                <c:pt idx="17">
                  <c:v>0.495</c:v>
                </c:pt>
                <c:pt idx="18">
                  <c:v>0.5225</c:v>
                </c:pt>
                <c:pt idx="19">
                  <c:v>0.55</c:v>
                </c:pt>
                <c:pt idx="20">
                  <c:v>0.5775</c:v>
                </c:pt>
                <c:pt idx="21">
                  <c:v>0.605</c:v>
                </c:pt>
                <c:pt idx="22">
                  <c:v>0.6325</c:v>
                </c:pt>
                <c:pt idx="23">
                  <c:v>0.66</c:v>
                </c:pt>
                <c:pt idx="24">
                  <c:v>0.6875</c:v>
                </c:pt>
                <c:pt idx="25">
                  <c:v>0.715</c:v>
                </c:pt>
                <c:pt idx="26">
                  <c:v>0.7425</c:v>
                </c:pt>
                <c:pt idx="27">
                  <c:v>0.77</c:v>
                </c:pt>
                <c:pt idx="28">
                  <c:v>0.7975</c:v>
                </c:pt>
                <c:pt idx="29">
                  <c:v>0.825</c:v>
                </c:pt>
                <c:pt idx="30">
                  <c:v>0.8525</c:v>
                </c:pt>
                <c:pt idx="31">
                  <c:v>0.88</c:v>
                </c:pt>
                <c:pt idx="32">
                  <c:v>0.9075</c:v>
                </c:pt>
                <c:pt idx="33">
                  <c:v>0.935</c:v>
                </c:pt>
                <c:pt idx="34">
                  <c:v>0.9625</c:v>
                </c:pt>
                <c:pt idx="35">
                  <c:v>0.99</c:v>
                </c:pt>
                <c:pt idx="36">
                  <c:v>1.0175</c:v>
                </c:pt>
                <c:pt idx="37">
                  <c:v>1.045</c:v>
                </c:pt>
                <c:pt idx="38">
                  <c:v>1.0725</c:v>
                </c:pt>
                <c:pt idx="39">
                  <c:v>1.1</c:v>
                </c:pt>
                <c:pt idx="40">
                  <c:v>1.1275</c:v>
                </c:pt>
                <c:pt idx="41">
                  <c:v>1.155</c:v>
                </c:pt>
                <c:pt idx="42">
                  <c:v>1.1825</c:v>
                </c:pt>
                <c:pt idx="43">
                  <c:v>1.21</c:v>
                </c:pt>
                <c:pt idx="44">
                  <c:v>1.2375</c:v>
                </c:pt>
                <c:pt idx="45">
                  <c:v>1.265</c:v>
                </c:pt>
                <c:pt idx="46">
                  <c:v>1.2925</c:v>
                </c:pt>
                <c:pt idx="47">
                  <c:v>1.32</c:v>
                </c:pt>
                <c:pt idx="48">
                  <c:v>1.3475</c:v>
                </c:pt>
                <c:pt idx="49">
                  <c:v>1.375</c:v>
                </c:pt>
                <c:pt idx="50">
                  <c:v>1.4025</c:v>
                </c:pt>
                <c:pt idx="51">
                  <c:v>1.43</c:v>
                </c:pt>
                <c:pt idx="52">
                  <c:v>1.4575</c:v>
                </c:pt>
                <c:pt idx="53">
                  <c:v>1.485</c:v>
                </c:pt>
                <c:pt idx="54">
                  <c:v>1.5125</c:v>
                </c:pt>
                <c:pt idx="55">
                  <c:v>1.54</c:v>
                </c:pt>
                <c:pt idx="56">
                  <c:v>1.5675</c:v>
                </c:pt>
                <c:pt idx="57">
                  <c:v>1.595</c:v>
                </c:pt>
                <c:pt idx="58">
                  <c:v>1.6225</c:v>
                </c:pt>
                <c:pt idx="59">
                  <c:v>1.65</c:v>
                </c:pt>
                <c:pt idx="60">
                  <c:v>1.6775</c:v>
                </c:pt>
                <c:pt idx="61">
                  <c:v>1.705</c:v>
                </c:pt>
                <c:pt idx="62">
                  <c:v>1.7325</c:v>
                </c:pt>
                <c:pt idx="63">
                  <c:v>1.76</c:v>
                </c:pt>
                <c:pt idx="64">
                  <c:v>1.7875</c:v>
                </c:pt>
                <c:pt idx="65">
                  <c:v>1.815</c:v>
                </c:pt>
                <c:pt idx="66">
                  <c:v>1.8425</c:v>
                </c:pt>
                <c:pt idx="67">
                  <c:v>1.87</c:v>
                </c:pt>
                <c:pt idx="68">
                  <c:v>1.8975</c:v>
                </c:pt>
                <c:pt idx="69">
                  <c:v>1.925</c:v>
                </c:pt>
                <c:pt idx="70">
                  <c:v>1.9525</c:v>
                </c:pt>
                <c:pt idx="71">
                  <c:v>1.98</c:v>
                </c:pt>
                <c:pt idx="72">
                  <c:v>2.0075</c:v>
                </c:pt>
                <c:pt idx="73">
                  <c:v>2.035</c:v>
                </c:pt>
                <c:pt idx="74">
                  <c:v>2.0625</c:v>
                </c:pt>
                <c:pt idx="75">
                  <c:v>2.09</c:v>
                </c:pt>
                <c:pt idx="76">
                  <c:v>2.1175</c:v>
                </c:pt>
                <c:pt idx="77">
                  <c:v>2.145</c:v>
                </c:pt>
                <c:pt idx="78">
                  <c:v>2.1725</c:v>
                </c:pt>
                <c:pt idx="79">
                  <c:v>2.2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"Total RF loss
W"</c:f>
              <c:strCache>
                <c:ptCount val="1"/>
                <c:pt idx="0">
                  <c:v>Total RF loss
W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Power_Sweep!$A$4:$A$83</c:f>
              <c:strCache>
                <c:ptCount val="80"/>
                <c:pt idx="0">
                  <c:v>1.000</c:v>
                </c:pt>
                <c:pt idx="1">
                  <c:v>2.000</c:v>
                </c:pt>
                <c:pt idx="2">
                  <c:v>3.000</c:v>
                </c:pt>
                <c:pt idx="3">
                  <c:v>4.000</c:v>
                </c:pt>
                <c:pt idx="4">
                  <c:v>5.000</c:v>
                </c:pt>
                <c:pt idx="5">
                  <c:v>6.000</c:v>
                </c:pt>
                <c:pt idx="6">
                  <c:v>7.000</c:v>
                </c:pt>
                <c:pt idx="7">
                  <c:v>8.000</c:v>
                </c:pt>
                <c:pt idx="8">
                  <c:v>9.000</c:v>
                </c:pt>
                <c:pt idx="9">
                  <c:v>10.000</c:v>
                </c:pt>
                <c:pt idx="10">
                  <c:v>11.000</c:v>
                </c:pt>
                <c:pt idx="11">
                  <c:v>12.000</c:v>
                </c:pt>
                <c:pt idx="12">
                  <c:v>13.000</c:v>
                </c:pt>
                <c:pt idx="13">
                  <c:v>14.000</c:v>
                </c:pt>
                <c:pt idx="14">
                  <c:v>15.000</c:v>
                </c:pt>
                <c:pt idx="15">
                  <c:v>16.000</c:v>
                </c:pt>
                <c:pt idx="16">
                  <c:v>17.000</c:v>
                </c:pt>
                <c:pt idx="17">
                  <c:v>18.000</c:v>
                </c:pt>
                <c:pt idx="18">
                  <c:v>19.000</c:v>
                </c:pt>
                <c:pt idx="19">
                  <c:v>20.000</c:v>
                </c:pt>
                <c:pt idx="20">
                  <c:v>21.000</c:v>
                </c:pt>
                <c:pt idx="21">
                  <c:v>22.000</c:v>
                </c:pt>
                <c:pt idx="22">
                  <c:v>23.000</c:v>
                </c:pt>
                <c:pt idx="23">
                  <c:v>24.000</c:v>
                </c:pt>
                <c:pt idx="24">
                  <c:v>25.000</c:v>
                </c:pt>
                <c:pt idx="25">
                  <c:v>26.000</c:v>
                </c:pt>
                <c:pt idx="26">
                  <c:v>27.000</c:v>
                </c:pt>
                <c:pt idx="27">
                  <c:v>28.000</c:v>
                </c:pt>
                <c:pt idx="28">
                  <c:v>29.000</c:v>
                </c:pt>
                <c:pt idx="29">
                  <c:v>30.000</c:v>
                </c:pt>
                <c:pt idx="30">
                  <c:v>31.000</c:v>
                </c:pt>
                <c:pt idx="31">
                  <c:v>32.000</c:v>
                </c:pt>
                <c:pt idx="32">
                  <c:v>33.000</c:v>
                </c:pt>
                <c:pt idx="33">
                  <c:v>34.000</c:v>
                </c:pt>
                <c:pt idx="34">
                  <c:v>35.000</c:v>
                </c:pt>
                <c:pt idx="35">
                  <c:v>36.000</c:v>
                </c:pt>
                <c:pt idx="36">
                  <c:v>37.000</c:v>
                </c:pt>
                <c:pt idx="37">
                  <c:v>38.000</c:v>
                </c:pt>
                <c:pt idx="38">
                  <c:v>39.000</c:v>
                </c:pt>
                <c:pt idx="39">
                  <c:v>40.000</c:v>
                </c:pt>
                <c:pt idx="40">
                  <c:v>41.000</c:v>
                </c:pt>
                <c:pt idx="41">
                  <c:v>42.000</c:v>
                </c:pt>
                <c:pt idx="42">
                  <c:v>43.000</c:v>
                </c:pt>
                <c:pt idx="43">
                  <c:v>44.000</c:v>
                </c:pt>
                <c:pt idx="44">
                  <c:v>45.000</c:v>
                </c:pt>
                <c:pt idx="45">
                  <c:v>46.000</c:v>
                </c:pt>
                <c:pt idx="46">
                  <c:v>47.000</c:v>
                </c:pt>
                <c:pt idx="47">
                  <c:v>48.000</c:v>
                </c:pt>
                <c:pt idx="48">
                  <c:v>49.000</c:v>
                </c:pt>
                <c:pt idx="49">
                  <c:v>50.000</c:v>
                </c:pt>
                <c:pt idx="50">
                  <c:v>51.000</c:v>
                </c:pt>
                <c:pt idx="51">
                  <c:v>52.000</c:v>
                </c:pt>
                <c:pt idx="52">
                  <c:v>53.000</c:v>
                </c:pt>
                <c:pt idx="53">
                  <c:v>54.000</c:v>
                </c:pt>
                <c:pt idx="54">
                  <c:v>55.000</c:v>
                </c:pt>
                <c:pt idx="55">
                  <c:v>56.000</c:v>
                </c:pt>
                <c:pt idx="56">
                  <c:v>57.000</c:v>
                </c:pt>
                <c:pt idx="57">
                  <c:v>58.000</c:v>
                </c:pt>
                <c:pt idx="58">
                  <c:v>59.000</c:v>
                </c:pt>
                <c:pt idx="59">
                  <c:v>60.000</c:v>
                </c:pt>
                <c:pt idx="60">
                  <c:v>61.000</c:v>
                </c:pt>
                <c:pt idx="61">
                  <c:v>62.000</c:v>
                </c:pt>
                <c:pt idx="62">
                  <c:v>63.000</c:v>
                </c:pt>
                <c:pt idx="63">
                  <c:v>64.000</c:v>
                </c:pt>
                <c:pt idx="64">
                  <c:v>65.000</c:v>
                </c:pt>
                <c:pt idx="65">
                  <c:v>66.000</c:v>
                </c:pt>
                <c:pt idx="66">
                  <c:v>67.000</c:v>
                </c:pt>
                <c:pt idx="67">
                  <c:v>68.000</c:v>
                </c:pt>
                <c:pt idx="68">
                  <c:v>69.000</c:v>
                </c:pt>
                <c:pt idx="69">
                  <c:v>70.000</c:v>
                </c:pt>
                <c:pt idx="70">
                  <c:v>71.000</c:v>
                </c:pt>
                <c:pt idx="71">
                  <c:v>72.000</c:v>
                </c:pt>
                <c:pt idx="72">
                  <c:v>73.000</c:v>
                </c:pt>
                <c:pt idx="73">
                  <c:v>74.000</c:v>
                </c:pt>
                <c:pt idx="74">
                  <c:v>75.000</c:v>
                </c:pt>
                <c:pt idx="75">
                  <c:v>76.000</c:v>
                </c:pt>
                <c:pt idx="76">
                  <c:v>77.000</c:v>
                </c:pt>
                <c:pt idx="77">
                  <c:v>78.000</c:v>
                </c:pt>
                <c:pt idx="78">
                  <c:v>79.000</c:v>
                </c:pt>
                <c:pt idx="79">
                  <c:v>80.000</c:v>
                </c:pt>
              </c:strCache>
            </c:strRef>
          </c:cat>
          <c:val>
            <c:numRef>
              <c:f>Power_Sweep!$I$4:$I$83</c:f>
              <c:numCache>
                <c:formatCode>0.000</c:formatCode>
                <c:ptCount val="80"/>
                <c:pt idx="0">
                  <c:v>0.0747860545740509</c:v>
                </c:pt>
                <c:pt idx="1">
                  <c:v>0.149572109148102</c:v>
                </c:pt>
                <c:pt idx="2">
                  <c:v>0.224358163722153</c:v>
                </c:pt>
                <c:pt idx="3">
                  <c:v>0.299144218296203</c:v>
                </c:pt>
                <c:pt idx="4">
                  <c:v>0.373930272870254</c:v>
                </c:pt>
                <c:pt idx="5">
                  <c:v>0.448716327444305</c:v>
                </c:pt>
                <c:pt idx="6">
                  <c:v>0.523502382018356</c:v>
                </c:pt>
                <c:pt idx="7">
                  <c:v>0.598288436592407</c:v>
                </c:pt>
                <c:pt idx="8">
                  <c:v>0.673074491166458</c:v>
                </c:pt>
                <c:pt idx="9">
                  <c:v>0.747860545740509</c:v>
                </c:pt>
                <c:pt idx="10">
                  <c:v>0.822646600314559</c:v>
                </c:pt>
                <c:pt idx="11">
                  <c:v>0.89743265488861</c:v>
                </c:pt>
                <c:pt idx="12">
                  <c:v>0.972218709462661</c:v>
                </c:pt>
                <c:pt idx="13">
                  <c:v>1.04700476403671</c:v>
                </c:pt>
                <c:pt idx="14">
                  <c:v>1.12179081861076</c:v>
                </c:pt>
                <c:pt idx="15">
                  <c:v>1.19657687318481</c:v>
                </c:pt>
                <c:pt idx="16">
                  <c:v>1.27136292775886</c:v>
                </c:pt>
                <c:pt idx="17">
                  <c:v>1.34614898233292</c:v>
                </c:pt>
                <c:pt idx="18">
                  <c:v>1.42093503690697</c:v>
                </c:pt>
                <c:pt idx="19">
                  <c:v>1.49572109148102</c:v>
                </c:pt>
                <c:pt idx="20">
                  <c:v>1.57050714605507</c:v>
                </c:pt>
                <c:pt idx="21">
                  <c:v>1.64529320062912</c:v>
                </c:pt>
                <c:pt idx="22">
                  <c:v>1.72007925520317</c:v>
                </c:pt>
                <c:pt idx="23">
                  <c:v>1.79486530977722</c:v>
                </c:pt>
                <c:pt idx="24">
                  <c:v>1.86965136435127</c:v>
                </c:pt>
                <c:pt idx="25">
                  <c:v>1.94443741892532</c:v>
                </c:pt>
                <c:pt idx="26">
                  <c:v>2.01922347349937</c:v>
                </c:pt>
                <c:pt idx="27">
                  <c:v>2.09400952807342</c:v>
                </c:pt>
                <c:pt idx="28">
                  <c:v>2.16879558264747</c:v>
                </c:pt>
                <c:pt idx="29">
                  <c:v>2.24358163722153</c:v>
                </c:pt>
                <c:pt idx="30">
                  <c:v>2.31836769179558</c:v>
                </c:pt>
                <c:pt idx="31">
                  <c:v>2.39315374636963</c:v>
                </c:pt>
                <c:pt idx="32">
                  <c:v>2.46793980094368</c:v>
                </c:pt>
                <c:pt idx="33">
                  <c:v>2.54272585551773</c:v>
                </c:pt>
                <c:pt idx="34">
                  <c:v>2.61751191009178</c:v>
                </c:pt>
                <c:pt idx="35">
                  <c:v>2.69229796466583</c:v>
                </c:pt>
                <c:pt idx="36">
                  <c:v>2.76708401923988</c:v>
                </c:pt>
                <c:pt idx="37">
                  <c:v>2.84187007381393</c:v>
                </c:pt>
                <c:pt idx="38">
                  <c:v>2.91665612838798</c:v>
                </c:pt>
                <c:pt idx="39">
                  <c:v>2.99144218296203</c:v>
                </c:pt>
                <c:pt idx="40">
                  <c:v>3.06622823753608</c:v>
                </c:pt>
                <c:pt idx="41">
                  <c:v>3.14101429211014</c:v>
                </c:pt>
                <c:pt idx="42">
                  <c:v>3.21580034668419</c:v>
                </c:pt>
                <c:pt idx="43">
                  <c:v>3.29058640125824</c:v>
                </c:pt>
                <c:pt idx="44">
                  <c:v>3.36537245583229</c:v>
                </c:pt>
                <c:pt idx="45">
                  <c:v>3.44015851040634</c:v>
                </c:pt>
                <c:pt idx="46">
                  <c:v>3.51494456498039</c:v>
                </c:pt>
                <c:pt idx="47">
                  <c:v>3.58973061955444</c:v>
                </c:pt>
                <c:pt idx="48">
                  <c:v>3.66451667412849</c:v>
                </c:pt>
                <c:pt idx="49">
                  <c:v>3.73930272870254</c:v>
                </c:pt>
                <c:pt idx="50">
                  <c:v>3.81408878327659</c:v>
                </c:pt>
                <c:pt idx="51">
                  <c:v>3.88887483785064</c:v>
                </c:pt>
                <c:pt idx="52">
                  <c:v>3.9636608924247</c:v>
                </c:pt>
                <c:pt idx="53">
                  <c:v>4.03844694699875</c:v>
                </c:pt>
                <c:pt idx="54">
                  <c:v>4.1132330015728</c:v>
                </c:pt>
                <c:pt idx="55">
                  <c:v>4.18801905614685</c:v>
                </c:pt>
                <c:pt idx="56">
                  <c:v>4.2628051107209</c:v>
                </c:pt>
                <c:pt idx="57">
                  <c:v>4.33759116529495</c:v>
                </c:pt>
                <c:pt idx="58">
                  <c:v>4.412377219869</c:v>
                </c:pt>
                <c:pt idx="59">
                  <c:v>4.48716327444305</c:v>
                </c:pt>
                <c:pt idx="60">
                  <c:v>4.5619493290171</c:v>
                </c:pt>
                <c:pt idx="61">
                  <c:v>4.63673538359115</c:v>
                </c:pt>
                <c:pt idx="62">
                  <c:v>4.7115214381652</c:v>
                </c:pt>
                <c:pt idx="63">
                  <c:v>4.78630749273926</c:v>
                </c:pt>
                <c:pt idx="64">
                  <c:v>4.86109354731331</c:v>
                </c:pt>
                <c:pt idx="65">
                  <c:v>4.93587960188736</c:v>
                </c:pt>
                <c:pt idx="66">
                  <c:v>5.01066565646141</c:v>
                </c:pt>
                <c:pt idx="67">
                  <c:v>5.08545171103546</c:v>
                </c:pt>
                <c:pt idx="68">
                  <c:v>5.16023776560951</c:v>
                </c:pt>
                <c:pt idx="69">
                  <c:v>5.23502382018356</c:v>
                </c:pt>
                <c:pt idx="70">
                  <c:v>5.30980987475761</c:v>
                </c:pt>
                <c:pt idx="71">
                  <c:v>5.38459592933166</c:v>
                </c:pt>
                <c:pt idx="72">
                  <c:v>5.45938198390571</c:v>
                </c:pt>
                <c:pt idx="73">
                  <c:v>5.53416803847976</c:v>
                </c:pt>
                <c:pt idx="74">
                  <c:v>5.60895409305381</c:v>
                </c:pt>
                <c:pt idx="75">
                  <c:v>5.68374014762787</c:v>
                </c:pt>
                <c:pt idx="76">
                  <c:v>5.75852620220192</c:v>
                </c:pt>
                <c:pt idx="77">
                  <c:v>5.83331225677597</c:v>
                </c:pt>
                <c:pt idx="78">
                  <c:v>5.90809831135002</c:v>
                </c:pt>
                <c:pt idx="79">
                  <c:v>5.98288436592407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"Thermal limit
kW"</c:f>
              <c:strCache>
                <c:ptCount val="1"/>
                <c:pt idx="0">
                  <c:v>Thermal limit
kW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Power_Sweep!$A$4:$A$83</c:f>
              <c:strCache>
                <c:ptCount val="80"/>
                <c:pt idx="0">
                  <c:v>1.000</c:v>
                </c:pt>
                <c:pt idx="1">
                  <c:v>2.000</c:v>
                </c:pt>
                <c:pt idx="2">
                  <c:v>3.000</c:v>
                </c:pt>
                <c:pt idx="3">
                  <c:v>4.000</c:v>
                </c:pt>
                <c:pt idx="4">
                  <c:v>5.000</c:v>
                </c:pt>
                <c:pt idx="5">
                  <c:v>6.000</c:v>
                </c:pt>
                <c:pt idx="6">
                  <c:v>7.000</c:v>
                </c:pt>
                <c:pt idx="7">
                  <c:v>8.000</c:v>
                </c:pt>
                <c:pt idx="8">
                  <c:v>9.000</c:v>
                </c:pt>
                <c:pt idx="9">
                  <c:v>10.000</c:v>
                </c:pt>
                <c:pt idx="10">
                  <c:v>11.000</c:v>
                </c:pt>
                <c:pt idx="11">
                  <c:v>12.000</c:v>
                </c:pt>
                <c:pt idx="12">
                  <c:v>13.000</c:v>
                </c:pt>
                <c:pt idx="13">
                  <c:v>14.000</c:v>
                </c:pt>
                <c:pt idx="14">
                  <c:v>15.000</c:v>
                </c:pt>
                <c:pt idx="15">
                  <c:v>16.000</c:v>
                </c:pt>
                <c:pt idx="16">
                  <c:v>17.000</c:v>
                </c:pt>
                <c:pt idx="17">
                  <c:v>18.000</c:v>
                </c:pt>
                <c:pt idx="18">
                  <c:v>19.000</c:v>
                </c:pt>
                <c:pt idx="19">
                  <c:v>20.000</c:v>
                </c:pt>
                <c:pt idx="20">
                  <c:v>21.000</c:v>
                </c:pt>
                <c:pt idx="21">
                  <c:v>22.000</c:v>
                </c:pt>
                <c:pt idx="22">
                  <c:v>23.000</c:v>
                </c:pt>
                <c:pt idx="23">
                  <c:v>24.000</c:v>
                </c:pt>
                <c:pt idx="24">
                  <c:v>25.000</c:v>
                </c:pt>
                <c:pt idx="25">
                  <c:v>26.000</c:v>
                </c:pt>
                <c:pt idx="26">
                  <c:v>27.000</c:v>
                </c:pt>
                <c:pt idx="27">
                  <c:v>28.000</c:v>
                </c:pt>
                <c:pt idx="28">
                  <c:v>29.000</c:v>
                </c:pt>
                <c:pt idx="29">
                  <c:v>30.000</c:v>
                </c:pt>
                <c:pt idx="30">
                  <c:v>31.000</c:v>
                </c:pt>
                <c:pt idx="31">
                  <c:v>32.000</c:v>
                </c:pt>
                <c:pt idx="32">
                  <c:v>33.000</c:v>
                </c:pt>
                <c:pt idx="33">
                  <c:v>34.000</c:v>
                </c:pt>
                <c:pt idx="34">
                  <c:v>35.000</c:v>
                </c:pt>
                <c:pt idx="35">
                  <c:v>36.000</c:v>
                </c:pt>
                <c:pt idx="36">
                  <c:v>37.000</c:v>
                </c:pt>
                <c:pt idx="37">
                  <c:v>38.000</c:v>
                </c:pt>
                <c:pt idx="38">
                  <c:v>39.000</c:v>
                </c:pt>
                <c:pt idx="39">
                  <c:v>40.000</c:v>
                </c:pt>
                <c:pt idx="40">
                  <c:v>41.000</c:v>
                </c:pt>
                <c:pt idx="41">
                  <c:v>42.000</c:v>
                </c:pt>
                <c:pt idx="42">
                  <c:v>43.000</c:v>
                </c:pt>
                <c:pt idx="43">
                  <c:v>44.000</c:v>
                </c:pt>
                <c:pt idx="44">
                  <c:v>45.000</c:v>
                </c:pt>
                <c:pt idx="45">
                  <c:v>46.000</c:v>
                </c:pt>
                <c:pt idx="46">
                  <c:v>47.000</c:v>
                </c:pt>
                <c:pt idx="47">
                  <c:v>48.000</c:v>
                </c:pt>
                <c:pt idx="48">
                  <c:v>49.000</c:v>
                </c:pt>
                <c:pt idx="49">
                  <c:v>50.000</c:v>
                </c:pt>
                <c:pt idx="50">
                  <c:v>51.000</c:v>
                </c:pt>
                <c:pt idx="51">
                  <c:v>52.000</c:v>
                </c:pt>
                <c:pt idx="52">
                  <c:v>53.000</c:v>
                </c:pt>
                <c:pt idx="53">
                  <c:v>54.000</c:v>
                </c:pt>
                <c:pt idx="54">
                  <c:v>55.000</c:v>
                </c:pt>
                <c:pt idx="55">
                  <c:v>56.000</c:v>
                </c:pt>
                <c:pt idx="56">
                  <c:v>57.000</c:v>
                </c:pt>
                <c:pt idx="57">
                  <c:v>58.000</c:v>
                </c:pt>
                <c:pt idx="58">
                  <c:v>59.000</c:v>
                </c:pt>
                <c:pt idx="59">
                  <c:v>60.000</c:v>
                </c:pt>
                <c:pt idx="60">
                  <c:v>61.000</c:v>
                </c:pt>
                <c:pt idx="61">
                  <c:v>62.000</c:v>
                </c:pt>
                <c:pt idx="62">
                  <c:v>63.000</c:v>
                </c:pt>
                <c:pt idx="63">
                  <c:v>64.000</c:v>
                </c:pt>
                <c:pt idx="64">
                  <c:v>65.000</c:v>
                </c:pt>
                <c:pt idx="65">
                  <c:v>66.000</c:v>
                </c:pt>
                <c:pt idx="66">
                  <c:v>67.000</c:v>
                </c:pt>
                <c:pt idx="67">
                  <c:v>68.000</c:v>
                </c:pt>
                <c:pt idx="68">
                  <c:v>69.000</c:v>
                </c:pt>
                <c:pt idx="69">
                  <c:v>70.000</c:v>
                </c:pt>
                <c:pt idx="70">
                  <c:v>71.000</c:v>
                </c:pt>
                <c:pt idx="71">
                  <c:v>72.000</c:v>
                </c:pt>
                <c:pt idx="72">
                  <c:v>73.000</c:v>
                </c:pt>
                <c:pt idx="73">
                  <c:v>74.000</c:v>
                </c:pt>
                <c:pt idx="74">
                  <c:v>75.000</c:v>
                </c:pt>
                <c:pt idx="75">
                  <c:v>76.000</c:v>
                </c:pt>
                <c:pt idx="76">
                  <c:v>77.000</c:v>
                </c:pt>
                <c:pt idx="77">
                  <c:v>78.000</c:v>
                </c:pt>
                <c:pt idx="78">
                  <c:v>79.000</c:v>
                </c:pt>
                <c:pt idx="79">
                  <c:v>80.000</c:v>
                </c:pt>
              </c:strCache>
            </c:strRef>
          </c:cat>
          <c:val>
            <c:numRef>
              <c:f>Power_Sweep!$J$4:$J$83</c:f>
              <c:numCache>
                <c:formatCode>0.000</c:formatCode>
                <c:ptCount val="80"/>
                <c:pt idx="0">
                  <c:v>173.766223643854</c:v>
                </c:pt>
                <c:pt idx="1">
                  <c:v>173.766223643854</c:v>
                </c:pt>
                <c:pt idx="2">
                  <c:v>173.766223643854</c:v>
                </c:pt>
                <c:pt idx="3">
                  <c:v>173.766223643854</c:v>
                </c:pt>
                <c:pt idx="4">
                  <c:v>173.766223643854</c:v>
                </c:pt>
                <c:pt idx="5">
                  <c:v>173.766223643854</c:v>
                </c:pt>
                <c:pt idx="6">
                  <c:v>173.766223643854</c:v>
                </c:pt>
                <c:pt idx="7">
                  <c:v>173.766223643854</c:v>
                </c:pt>
                <c:pt idx="8">
                  <c:v>173.766223643854</c:v>
                </c:pt>
                <c:pt idx="9">
                  <c:v>173.766223643854</c:v>
                </c:pt>
                <c:pt idx="10">
                  <c:v>173.766223643854</c:v>
                </c:pt>
                <c:pt idx="11">
                  <c:v>173.766223643854</c:v>
                </c:pt>
                <c:pt idx="12">
                  <c:v>173.766223643854</c:v>
                </c:pt>
                <c:pt idx="13">
                  <c:v>173.766223643854</c:v>
                </c:pt>
                <c:pt idx="14">
                  <c:v>173.766223643854</c:v>
                </c:pt>
                <c:pt idx="15">
                  <c:v>173.766223643854</c:v>
                </c:pt>
                <c:pt idx="16">
                  <c:v>173.766223643854</c:v>
                </c:pt>
                <c:pt idx="17">
                  <c:v>173.766223643854</c:v>
                </c:pt>
                <c:pt idx="18">
                  <c:v>173.766223643854</c:v>
                </c:pt>
                <c:pt idx="19">
                  <c:v>173.766223643854</c:v>
                </c:pt>
                <c:pt idx="20">
                  <c:v>173.766223643854</c:v>
                </c:pt>
                <c:pt idx="21">
                  <c:v>173.766223643854</c:v>
                </c:pt>
                <c:pt idx="22">
                  <c:v>173.766223643854</c:v>
                </c:pt>
                <c:pt idx="23">
                  <c:v>173.766223643854</c:v>
                </c:pt>
                <c:pt idx="24">
                  <c:v>173.766223643854</c:v>
                </c:pt>
                <c:pt idx="25">
                  <c:v>173.766223643854</c:v>
                </c:pt>
                <c:pt idx="26">
                  <c:v>173.766223643854</c:v>
                </c:pt>
                <c:pt idx="27">
                  <c:v>173.766223643854</c:v>
                </c:pt>
                <c:pt idx="28">
                  <c:v>173.766223643854</c:v>
                </c:pt>
                <c:pt idx="29">
                  <c:v>173.766223643854</c:v>
                </c:pt>
                <c:pt idx="30">
                  <c:v>173.766223643854</c:v>
                </c:pt>
                <c:pt idx="31">
                  <c:v>173.766223643854</c:v>
                </c:pt>
                <c:pt idx="32">
                  <c:v>173.766223643854</c:v>
                </c:pt>
                <c:pt idx="33">
                  <c:v>173.766223643854</c:v>
                </c:pt>
                <c:pt idx="34">
                  <c:v>173.766223643854</c:v>
                </c:pt>
                <c:pt idx="35">
                  <c:v>173.766223643854</c:v>
                </c:pt>
                <c:pt idx="36">
                  <c:v>173.766223643854</c:v>
                </c:pt>
                <c:pt idx="37">
                  <c:v>173.766223643854</c:v>
                </c:pt>
                <c:pt idx="38">
                  <c:v>173.766223643854</c:v>
                </c:pt>
                <c:pt idx="39">
                  <c:v>173.766223643854</c:v>
                </c:pt>
                <c:pt idx="40">
                  <c:v>173.766223643854</c:v>
                </c:pt>
                <c:pt idx="41">
                  <c:v>173.766223643854</c:v>
                </c:pt>
                <c:pt idx="42">
                  <c:v>173.766223643854</c:v>
                </c:pt>
                <c:pt idx="43">
                  <c:v>173.766223643854</c:v>
                </c:pt>
                <c:pt idx="44">
                  <c:v>173.766223643854</c:v>
                </c:pt>
                <c:pt idx="45">
                  <c:v>173.766223643854</c:v>
                </c:pt>
                <c:pt idx="46">
                  <c:v>173.766223643854</c:v>
                </c:pt>
                <c:pt idx="47">
                  <c:v>173.766223643854</c:v>
                </c:pt>
                <c:pt idx="48">
                  <c:v>173.766223643854</c:v>
                </c:pt>
                <c:pt idx="49">
                  <c:v>173.766223643854</c:v>
                </c:pt>
                <c:pt idx="50">
                  <c:v>173.766223643854</c:v>
                </c:pt>
                <c:pt idx="51">
                  <c:v>173.766223643854</c:v>
                </c:pt>
                <c:pt idx="52">
                  <c:v>173.766223643854</c:v>
                </c:pt>
                <c:pt idx="53">
                  <c:v>173.766223643854</c:v>
                </c:pt>
                <c:pt idx="54">
                  <c:v>173.766223643854</c:v>
                </c:pt>
                <c:pt idx="55">
                  <c:v>173.766223643854</c:v>
                </c:pt>
                <c:pt idx="56">
                  <c:v>173.766223643854</c:v>
                </c:pt>
                <c:pt idx="57">
                  <c:v>173.766223643854</c:v>
                </c:pt>
                <c:pt idx="58">
                  <c:v>173.766223643854</c:v>
                </c:pt>
                <c:pt idx="59">
                  <c:v>173.766223643854</c:v>
                </c:pt>
                <c:pt idx="60">
                  <c:v>173.766223643854</c:v>
                </c:pt>
                <c:pt idx="61">
                  <c:v>173.766223643854</c:v>
                </c:pt>
                <c:pt idx="62">
                  <c:v>173.766223643854</c:v>
                </c:pt>
                <c:pt idx="63">
                  <c:v>173.766223643854</c:v>
                </c:pt>
                <c:pt idx="64">
                  <c:v>173.766223643854</c:v>
                </c:pt>
                <c:pt idx="65">
                  <c:v>173.766223643854</c:v>
                </c:pt>
                <c:pt idx="66">
                  <c:v>173.766223643854</c:v>
                </c:pt>
                <c:pt idx="67">
                  <c:v>173.766223643854</c:v>
                </c:pt>
                <c:pt idx="68">
                  <c:v>173.766223643854</c:v>
                </c:pt>
                <c:pt idx="69">
                  <c:v>173.766223643854</c:v>
                </c:pt>
                <c:pt idx="70">
                  <c:v>173.766223643854</c:v>
                </c:pt>
                <c:pt idx="71">
                  <c:v>173.766223643854</c:v>
                </c:pt>
                <c:pt idx="72">
                  <c:v>173.766223643854</c:v>
                </c:pt>
                <c:pt idx="73">
                  <c:v>173.766223643854</c:v>
                </c:pt>
                <c:pt idx="74">
                  <c:v>173.766223643854</c:v>
                </c:pt>
                <c:pt idx="75">
                  <c:v>173.766223643854</c:v>
                </c:pt>
                <c:pt idx="76">
                  <c:v>173.766223643854</c:v>
                </c:pt>
                <c:pt idx="77">
                  <c:v>173.766223643854</c:v>
                </c:pt>
                <c:pt idx="78">
                  <c:v>173.766223643854</c:v>
                </c:pt>
                <c:pt idx="79">
                  <c:v>173.766223643854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"Thermal util"</c:f>
              <c:strCache>
                <c:ptCount val="1"/>
                <c:pt idx="0">
                  <c:v>Thermal util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Power_Sweep!$A$4:$A$83</c:f>
              <c:strCache>
                <c:ptCount val="80"/>
                <c:pt idx="0">
                  <c:v>1.000</c:v>
                </c:pt>
                <c:pt idx="1">
                  <c:v>2.000</c:v>
                </c:pt>
                <c:pt idx="2">
                  <c:v>3.000</c:v>
                </c:pt>
                <c:pt idx="3">
                  <c:v>4.000</c:v>
                </c:pt>
                <c:pt idx="4">
                  <c:v>5.000</c:v>
                </c:pt>
                <c:pt idx="5">
                  <c:v>6.000</c:v>
                </c:pt>
                <c:pt idx="6">
                  <c:v>7.000</c:v>
                </c:pt>
                <c:pt idx="7">
                  <c:v>8.000</c:v>
                </c:pt>
                <c:pt idx="8">
                  <c:v>9.000</c:v>
                </c:pt>
                <c:pt idx="9">
                  <c:v>10.000</c:v>
                </c:pt>
                <c:pt idx="10">
                  <c:v>11.000</c:v>
                </c:pt>
                <c:pt idx="11">
                  <c:v>12.000</c:v>
                </c:pt>
                <c:pt idx="12">
                  <c:v>13.000</c:v>
                </c:pt>
                <c:pt idx="13">
                  <c:v>14.000</c:v>
                </c:pt>
                <c:pt idx="14">
                  <c:v>15.000</c:v>
                </c:pt>
                <c:pt idx="15">
                  <c:v>16.000</c:v>
                </c:pt>
                <c:pt idx="16">
                  <c:v>17.000</c:v>
                </c:pt>
                <c:pt idx="17">
                  <c:v>18.000</c:v>
                </c:pt>
                <c:pt idx="18">
                  <c:v>19.000</c:v>
                </c:pt>
                <c:pt idx="19">
                  <c:v>20.000</c:v>
                </c:pt>
                <c:pt idx="20">
                  <c:v>21.000</c:v>
                </c:pt>
                <c:pt idx="21">
                  <c:v>22.000</c:v>
                </c:pt>
                <c:pt idx="22">
                  <c:v>23.000</c:v>
                </c:pt>
                <c:pt idx="23">
                  <c:v>24.000</c:v>
                </c:pt>
                <c:pt idx="24">
                  <c:v>25.000</c:v>
                </c:pt>
                <c:pt idx="25">
                  <c:v>26.000</c:v>
                </c:pt>
                <c:pt idx="26">
                  <c:v>27.000</c:v>
                </c:pt>
                <c:pt idx="27">
                  <c:v>28.000</c:v>
                </c:pt>
                <c:pt idx="28">
                  <c:v>29.000</c:v>
                </c:pt>
                <c:pt idx="29">
                  <c:v>30.000</c:v>
                </c:pt>
                <c:pt idx="30">
                  <c:v>31.000</c:v>
                </c:pt>
                <c:pt idx="31">
                  <c:v>32.000</c:v>
                </c:pt>
                <c:pt idx="32">
                  <c:v>33.000</c:v>
                </c:pt>
                <c:pt idx="33">
                  <c:v>34.000</c:v>
                </c:pt>
                <c:pt idx="34">
                  <c:v>35.000</c:v>
                </c:pt>
                <c:pt idx="35">
                  <c:v>36.000</c:v>
                </c:pt>
                <c:pt idx="36">
                  <c:v>37.000</c:v>
                </c:pt>
                <c:pt idx="37">
                  <c:v>38.000</c:v>
                </c:pt>
                <c:pt idx="38">
                  <c:v>39.000</c:v>
                </c:pt>
                <c:pt idx="39">
                  <c:v>40.000</c:v>
                </c:pt>
                <c:pt idx="40">
                  <c:v>41.000</c:v>
                </c:pt>
                <c:pt idx="41">
                  <c:v>42.000</c:v>
                </c:pt>
                <c:pt idx="42">
                  <c:v>43.000</c:v>
                </c:pt>
                <c:pt idx="43">
                  <c:v>44.000</c:v>
                </c:pt>
                <c:pt idx="44">
                  <c:v>45.000</c:v>
                </c:pt>
                <c:pt idx="45">
                  <c:v>46.000</c:v>
                </c:pt>
                <c:pt idx="46">
                  <c:v>47.000</c:v>
                </c:pt>
                <c:pt idx="47">
                  <c:v>48.000</c:v>
                </c:pt>
                <c:pt idx="48">
                  <c:v>49.000</c:v>
                </c:pt>
                <c:pt idx="49">
                  <c:v>50.000</c:v>
                </c:pt>
                <c:pt idx="50">
                  <c:v>51.000</c:v>
                </c:pt>
                <c:pt idx="51">
                  <c:v>52.000</c:v>
                </c:pt>
                <c:pt idx="52">
                  <c:v>53.000</c:v>
                </c:pt>
                <c:pt idx="53">
                  <c:v>54.000</c:v>
                </c:pt>
                <c:pt idx="54">
                  <c:v>55.000</c:v>
                </c:pt>
                <c:pt idx="55">
                  <c:v>56.000</c:v>
                </c:pt>
                <c:pt idx="56">
                  <c:v>57.000</c:v>
                </c:pt>
                <c:pt idx="57">
                  <c:v>58.000</c:v>
                </c:pt>
                <c:pt idx="58">
                  <c:v>59.000</c:v>
                </c:pt>
                <c:pt idx="59">
                  <c:v>60.000</c:v>
                </c:pt>
                <c:pt idx="60">
                  <c:v>61.000</c:v>
                </c:pt>
                <c:pt idx="61">
                  <c:v>62.000</c:v>
                </c:pt>
                <c:pt idx="62">
                  <c:v>63.000</c:v>
                </c:pt>
                <c:pt idx="63">
                  <c:v>64.000</c:v>
                </c:pt>
                <c:pt idx="64">
                  <c:v>65.000</c:v>
                </c:pt>
                <c:pt idx="65">
                  <c:v>66.000</c:v>
                </c:pt>
                <c:pt idx="66">
                  <c:v>67.000</c:v>
                </c:pt>
                <c:pt idx="67">
                  <c:v>68.000</c:v>
                </c:pt>
                <c:pt idx="68">
                  <c:v>69.000</c:v>
                </c:pt>
                <c:pt idx="69">
                  <c:v>70.000</c:v>
                </c:pt>
                <c:pt idx="70">
                  <c:v>71.000</c:v>
                </c:pt>
                <c:pt idx="71">
                  <c:v>72.000</c:v>
                </c:pt>
                <c:pt idx="72">
                  <c:v>73.000</c:v>
                </c:pt>
                <c:pt idx="73">
                  <c:v>74.000</c:v>
                </c:pt>
                <c:pt idx="74">
                  <c:v>75.000</c:v>
                </c:pt>
                <c:pt idx="75">
                  <c:v>76.000</c:v>
                </c:pt>
                <c:pt idx="76">
                  <c:v>77.000</c:v>
                </c:pt>
                <c:pt idx="77">
                  <c:v>78.000</c:v>
                </c:pt>
                <c:pt idx="78">
                  <c:v>79.000</c:v>
                </c:pt>
                <c:pt idx="79">
                  <c:v>80.000</c:v>
                </c:pt>
              </c:strCache>
            </c:strRef>
          </c:cat>
          <c:val>
            <c:numRef>
              <c:f>Power_Sweep!$K$4:$K$83</c:f>
              <c:numCache>
                <c:formatCode>0.0%</c:formatCode>
                <c:ptCount val="80"/>
                <c:pt idx="0">
                  <c:v>0.00575485833224741</c:v>
                </c:pt>
                <c:pt idx="1">
                  <c:v>0.0115097166644948</c:v>
                </c:pt>
                <c:pt idx="2">
                  <c:v>0.0172645749967422</c:v>
                </c:pt>
                <c:pt idx="3">
                  <c:v>0.0230194333289896</c:v>
                </c:pt>
                <c:pt idx="4">
                  <c:v>0.028774291661237</c:v>
                </c:pt>
                <c:pt idx="5">
                  <c:v>0.0345291499934844</c:v>
                </c:pt>
                <c:pt idx="6">
                  <c:v>0.0402840083257319</c:v>
                </c:pt>
                <c:pt idx="7">
                  <c:v>0.0460388666579793</c:v>
                </c:pt>
                <c:pt idx="8">
                  <c:v>0.0517937249902267</c:v>
                </c:pt>
                <c:pt idx="9">
                  <c:v>0.0575485833224741</c:v>
                </c:pt>
                <c:pt idx="10">
                  <c:v>0.0633034416547215</c:v>
                </c:pt>
                <c:pt idx="11">
                  <c:v>0.0690582999869689</c:v>
                </c:pt>
                <c:pt idx="12">
                  <c:v>0.0748131583192163</c:v>
                </c:pt>
                <c:pt idx="13">
                  <c:v>0.0805680166514637</c:v>
                </c:pt>
                <c:pt idx="14">
                  <c:v>0.0863228749837111</c:v>
                </c:pt>
                <c:pt idx="15">
                  <c:v>0.0920777333159585</c:v>
                </c:pt>
                <c:pt idx="16">
                  <c:v>0.0978325916482059</c:v>
                </c:pt>
                <c:pt idx="17">
                  <c:v>0.103587449980453</c:v>
                </c:pt>
                <c:pt idx="18">
                  <c:v>0.109342308312701</c:v>
                </c:pt>
                <c:pt idx="19">
                  <c:v>0.115097166644948</c:v>
                </c:pt>
                <c:pt idx="20">
                  <c:v>0.120852024977196</c:v>
                </c:pt>
                <c:pt idx="21">
                  <c:v>0.126606883309443</c:v>
                </c:pt>
                <c:pt idx="22">
                  <c:v>0.13236174164169</c:v>
                </c:pt>
                <c:pt idx="23">
                  <c:v>0.138116599973938</c:v>
                </c:pt>
                <c:pt idx="24">
                  <c:v>0.143871458306185</c:v>
                </c:pt>
                <c:pt idx="25">
                  <c:v>0.149626316638433</c:v>
                </c:pt>
                <c:pt idx="26">
                  <c:v>0.15538117497068</c:v>
                </c:pt>
                <c:pt idx="27">
                  <c:v>0.161136033302927</c:v>
                </c:pt>
                <c:pt idx="28">
                  <c:v>0.166890891635175</c:v>
                </c:pt>
                <c:pt idx="29">
                  <c:v>0.172645749967422</c:v>
                </c:pt>
                <c:pt idx="30">
                  <c:v>0.17840060829967</c:v>
                </c:pt>
                <c:pt idx="31">
                  <c:v>0.184155466631917</c:v>
                </c:pt>
                <c:pt idx="32">
                  <c:v>0.189910324964164</c:v>
                </c:pt>
                <c:pt idx="33">
                  <c:v>0.195665183296412</c:v>
                </c:pt>
                <c:pt idx="34">
                  <c:v>0.201420041628659</c:v>
                </c:pt>
                <c:pt idx="35">
                  <c:v>0.207174899960907</c:v>
                </c:pt>
                <c:pt idx="36">
                  <c:v>0.212929758293154</c:v>
                </c:pt>
                <c:pt idx="37">
                  <c:v>0.218684616625401</c:v>
                </c:pt>
                <c:pt idx="38">
                  <c:v>0.224439474957649</c:v>
                </c:pt>
                <c:pt idx="39">
                  <c:v>0.230194333289896</c:v>
                </c:pt>
                <c:pt idx="40">
                  <c:v>0.235949191622144</c:v>
                </c:pt>
                <c:pt idx="41">
                  <c:v>0.241704049954391</c:v>
                </c:pt>
                <c:pt idx="42">
                  <c:v>0.247458908286638</c:v>
                </c:pt>
                <c:pt idx="43">
                  <c:v>0.253213766618886</c:v>
                </c:pt>
                <c:pt idx="44">
                  <c:v>0.258968624951133</c:v>
                </c:pt>
                <c:pt idx="45">
                  <c:v>0.264723483283381</c:v>
                </c:pt>
                <c:pt idx="46">
                  <c:v>0.270478341615628</c:v>
                </c:pt>
                <c:pt idx="47">
                  <c:v>0.276233199947876</c:v>
                </c:pt>
                <c:pt idx="48">
                  <c:v>0.281988058280123</c:v>
                </c:pt>
                <c:pt idx="49">
                  <c:v>0.28774291661237</c:v>
                </c:pt>
                <c:pt idx="50">
                  <c:v>0.293497774944618</c:v>
                </c:pt>
                <c:pt idx="51">
                  <c:v>0.299252633276865</c:v>
                </c:pt>
                <c:pt idx="52">
                  <c:v>0.305007491609113</c:v>
                </c:pt>
                <c:pt idx="53">
                  <c:v>0.31076234994136</c:v>
                </c:pt>
                <c:pt idx="54">
                  <c:v>0.316517208273607</c:v>
                </c:pt>
                <c:pt idx="55">
                  <c:v>0.322272066605855</c:v>
                </c:pt>
                <c:pt idx="56">
                  <c:v>0.328026924938102</c:v>
                </c:pt>
                <c:pt idx="57">
                  <c:v>0.33378178327035</c:v>
                </c:pt>
                <c:pt idx="58">
                  <c:v>0.339536641602597</c:v>
                </c:pt>
                <c:pt idx="59">
                  <c:v>0.345291499934844</c:v>
                </c:pt>
                <c:pt idx="60">
                  <c:v>0.351046358267092</c:v>
                </c:pt>
                <c:pt idx="61">
                  <c:v>0.356801216599339</c:v>
                </c:pt>
                <c:pt idx="62">
                  <c:v>0.362556074931587</c:v>
                </c:pt>
                <c:pt idx="63">
                  <c:v>0.368310933263834</c:v>
                </c:pt>
                <c:pt idx="64">
                  <c:v>0.374065791596081</c:v>
                </c:pt>
                <c:pt idx="65">
                  <c:v>0.379820649928329</c:v>
                </c:pt>
                <c:pt idx="66">
                  <c:v>0.385575508260576</c:v>
                </c:pt>
                <c:pt idx="67">
                  <c:v>0.391330366592824</c:v>
                </c:pt>
                <c:pt idx="68">
                  <c:v>0.397085224925071</c:v>
                </c:pt>
                <c:pt idx="69">
                  <c:v>0.402840083257318</c:v>
                </c:pt>
                <c:pt idx="70">
                  <c:v>0.408594941589566</c:v>
                </c:pt>
                <c:pt idx="71">
                  <c:v>0.414349799921813</c:v>
                </c:pt>
                <c:pt idx="72">
                  <c:v>0.420104658254061</c:v>
                </c:pt>
                <c:pt idx="73">
                  <c:v>0.425859516586308</c:v>
                </c:pt>
                <c:pt idx="74">
                  <c:v>0.431614374918556</c:v>
                </c:pt>
                <c:pt idx="75">
                  <c:v>0.437369233250803</c:v>
                </c:pt>
                <c:pt idx="76">
                  <c:v>0.44312409158305</c:v>
                </c:pt>
                <c:pt idx="77">
                  <c:v>0.448878949915298</c:v>
                </c:pt>
                <c:pt idx="78">
                  <c:v>0.454633808247545</c:v>
                </c:pt>
                <c:pt idx="79">
                  <c:v>0.460388666579793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820610"/>
        <c:axId val="12978465"/>
      </c:lineChart>
      <c:catAx>
        <c:axId val="6982061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2978465"/>
        <c:crosses val="autoZero"/>
        <c:auto val="1"/>
        <c:lblAlgn val="ctr"/>
        <c:lblOffset val="100"/>
        <c:noMultiLvlLbl val="0"/>
      </c:catAx>
      <c:valAx>
        <c:axId val="1297846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982061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</xdr:row>
      <xdr:rowOff>0</xdr:rowOff>
    </xdr:from>
    <xdr:to>
      <xdr:col>23</xdr:col>
      <xdr:colOff>609480</xdr:colOff>
      <xdr:row>16</xdr:row>
      <xdr:rowOff>7920</xdr:rowOff>
    </xdr:to>
    <xdr:graphicFrame>
      <xdr:nvGraphicFramePr>
        <xdr:cNvPr id="0" name="Chart 1"/>
        <xdr:cNvGraphicFramePr/>
      </xdr:nvGraphicFramePr>
      <xdr:xfrm>
        <a:off x="15413400" y="495360"/>
        <a:ext cx="5501520" cy="3313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16</xdr:row>
      <xdr:rowOff>200520</xdr:rowOff>
    </xdr:from>
    <xdr:to>
      <xdr:col>23</xdr:col>
      <xdr:colOff>609480</xdr:colOff>
      <xdr:row>32</xdr:row>
      <xdr:rowOff>142560</xdr:rowOff>
    </xdr:to>
    <xdr:graphicFrame>
      <xdr:nvGraphicFramePr>
        <xdr:cNvPr id="1" name="Chart 2"/>
        <xdr:cNvGraphicFramePr/>
      </xdr:nvGraphicFramePr>
      <xdr:xfrm>
        <a:off x="15413400" y="4001040"/>
        <a:ext cx="5501520" cy="3294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0"/>
    <col collapsed="false" customWidth="true" hidden="false" outlineLevel="0" max="3" min="3" style="1" width="26"/>
    <col collapsed="false" customWidth="true" hidden="false" outlineLevel="0" max="4" min="4" style="1" width="52"/>
  </cols>
  <sheetData>
    <row r="1" customFormat="false" ht="16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</row>
    <row r="2" customFormat="false" ht="36" hidden="false" customHeight="true" outlineLevel="0" collapsed="false">
      <c r="A2" s="4" t="s">
        <v>1</v>
      </c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true" outlineLevel="0" collapsed="false">
      <c r="A3" s="5" t="s">
        <v>2</v>
      </c>
      <c r="B3" s="6" t="s">
        <v>3</v>
      </c>
      <c r="C3" s="5" t="s">
        <v>4</v>
      </c>
      <c r="D3" s="5" t="s">
        <v>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5" hidden="false" customHeight="true" outlineLevel="0" collapsed="false">
      <c r="A4" s="7" t="s">
        <v>6</v>
      </c>
      <c r="B4" s="8" t="n">
        <f aca="false">Inputs!B41</f>
        <v>16</v>
      </c>
      <c r="C4" s="3" t="s">
        <v>7</v>
      </c>
      <c r="D4" s="7" t="s">
        <v>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true" outlineLevel="0" collapsed="false">
      <c r="A5" s="7" t="s">
        <v>9</v>
      </c>
      <c r="B5" s="8" t="n">
        <f aca="false">Inputs!B40</f>
        <v>0.0275</v>
      </c>
      <c r="C5" s="3" t="s">
        <v>10</v>
      </c>
      <c r="D5" s="7" t="s">
        <v>11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15" hidden="false" customHeight="true" outlineLevel="0" collapsed="false">
      <c r="A6" s="7" t="s">
        <v>12</v>
      </c>
      <c r="B6" s="8" t="n">
        <f aca="false">B4*B5</f>
        <v>0.44</v>
      </c>
      <c r="C6" s="3" t="s">
        <v>7</v>
      </c>
      <c r="D6" s="7" t="s">
        <v>13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customFormat="false" ht="15" hidden="false" customHeight="true" outlineLevel="0" collapsed="false">
      <c r="A7" s="3" t="s">
        <v>14</v>
      </c>
      <c r="B7" s="8" t="n">
        <f aca="false">B4*Inputs!B44</f>
        <v>15.36</v>
      </c>
      <c r="C7" s="3" t="s">
        <v>7</v>
      </c>
      <c r="D7" s="7" t="s">
        <v>15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customFormat="false" ht="15" hidden="false" customHeight="true" outlineLevel="0" collapsed="false">
      <c r="A8" s="3" t="s">
        <v>16</v>
      </c>
      <c r="B8" s="8" t="n">
        <f aca="false">Inputs!B19/1000000000</f>
        <v>6.55714037620298</v>
      </c>
      <c r="C8" s="3" t="s">
        <v>17</v>
      </c>
      <c r="D8" s="7" t="s">
        <v>18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customFormat="false" ht="15" hidden="false" customHeight="true" outlineLevel="0" collapsed="false">
      <c r="A9" s="3" t="s">
        <v>19</v>
      </c>
      <c r="B9" s="8" t="n">
        <f aca="false">Inputs!B21</f>
        <v>540.14902469764</v>
      </c>
      <c r="C9" s="3" t="s">
        <v>20</v>
      </c>
      <c r="D9" s="3" t="s">
        <v>21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customFormat="false" ht="15" hidden="false" customHeight="true" outlineLevel="0" collapsed="false">
      <c r="A10" s="7" t="s">
        <v>22</v>
      </c>
      <c r="B10" s="8" t="n">
        <f aca="false">Components!F10</f>
        <v>0.0118266961795332</v>
      </c>
      <c r="C10" s="3" t="s">
        <v>23</v>
      </c>
      <c r="D10" s="7" t="s">
        <v>24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customFormat="false" ht="15" hidden="false" customHeight="true" outlineLevel="0" collapsed="false">
      <c r="A11" s="7" t="s">
        <v>25</v>
      </c>
      <c r="B11" s="8" t="n">
        <f aca="false">B6*1000*Components!J10</f>
        <v>1.19657687318481</v>
      </c>
      <c r="C11" s="3" t="s">
        <v>26</v>
      </c>
      <c r="D11" s="7" t="s">
        <v>27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customFormat="false" ht="15" hidden="false" customHeight="true" outlineLevel="0" collapsed="false">
      <c r="A12" s="7" t="s">
        <v>28</v>
      </c>
      <c r="B12" s="8" t="n">
        <f aca="false">Components!G10</f>
        <v>1</v>
      </c>
      <c r="C12" s="3" t="s">
        <v>10</v>
      </c>
      <c r="D12" s="7" t="s">
        <v>29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Format="false" ht="15" hidden="false" customHeight="true" outlineLevel="0" collapsed="false">
      <c r="A13" s="7" t="s">
        <v>30</v>
      </c>
      <c r="B13" s="8" t="n">
        <f aca="false">Inputs!B43</f>
        <v>0.2</v>
      </c>
      <c r="C13" s="3" t="s">
        <v>10</v>
      </c>
      <c r="D13" s="3" t="s">
        <v>31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customFormat="false" ht="15" hidden="false" customHeight="true" outlineLevel="0" collapsed="false">
      <c r="A14" s="7" t="s">
        <v>32</v>
      </c>
      <c r="B14" s="8" t="n">
        <f aca="false">SQRT(4*Inputs!B21*B4*1000/(Inputs!B10*Inputs!B11))/1000</f>
        <v>385.799640054361</v>
      </c>
      <c r="C14" s="3" t="s">
        <v>33</v>
      </c>
      <c r="D14" s="7" t="s">
        <v>34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customFormat="false" ht="15" hidden="false" customHeight="true" outlineLevel="0" collapsed="false">
      <c r="A15" s="7" t="s">
        <v>35</v>
      </c>
      <c r="B15" s="8" t="n">
        <f aca="false">B14*(1+Inputs!B43)</f>
        <v>462.959568065233</v>
      </c>
      <c r="C15" s="3" t="s">
        <v>33</v>
      </c>
      <c r="D15" s="3" t="s">
        <v>36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customFormat="false" ht="15" hidden="false" customHeight="true" outlineLevel="0" collapsed="false">
      <c r="A16" s="7" t="s">
        <v>37</v>
      </c>
      <c r="B16" s="8" t="n">
        <f aca="false">B15*B12</f>
        <v>462.959568065233</v>
      </c>
      <c r="C16" s="3" t="s">
        <v>33</v>
      </c>
      <c r="D16" s="7" t="s">
        <v>38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Format="false" ht="15" hidden="false" customHeight="true" outlineLevel="0" collapsed="false">
      <c r="A17" s="7" t="s">
        <v>39</v>
      </c>
      <c r="B17" s="8" t="n">
        <f aca="false">Inputs!B62/1000</f>
        <v>2893.32419465387</v>
      </c>
      <c r="C17" s="3" t="s">
        <v>33</v>
      </c>
      <c r="D17" s="7" t="s">
        <v>40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customFormat="false" ht="15" hidden="false" customHeight="true" outlineLevel="0" collapsed="false">
      <c r="A18" s="7" t="s">
        <v>41</v>
      </c>
      <c r="B18" s="8" t="n">
        <f aca="false">Inputs!B63/1000</f>
        <v>1446.66209732694</v>
      </c>
      <c r="C18" s="3" t="s">
        <v>33</v>
      </c>
      <c r="D18" s="7" t="s">
        <v>42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customFormat="false" ht="15" hidden="false" customHeight="true" outlineLevel="0" collapsed="false">
      <c r="A19" s="7" t="s">
        <v>43</v>
      </c>
      <c r="B19" s="8" t="n">
        <f aca="false">B16/B18</f>
        <v>0.320019145397301</v>
      </c>
      <c r="C19" s="3" t="s">
        <v>10</v>
      </c>
      <c r="D19" s="3" t="s">
        <v>44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customFormat="false" ht="15" hidden="false" customHeight="true" outlineLevel="0" collapsed="false">
      <c r="A20" s="7" t="s">
        <v>45</v>
      </c>
      <c r="B20" s="8" t="n">
        <f aca="false">(Inputs!B63/(Components!G10*(1+Inputs!B43)))^2*Inputs!B10*Inputs!B11/(4*Inputs!B21)/1000</f>
        <v>156.23130500073</v>
      </c>
      <c r="C20" s="3" t="s">
        <v>7</v>
      </c>
      <c r="D20" s="7" t="s">
        <v>46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customFormat="false" ht="15" hidden="false" customHeight="true" outlineLevel="0" collapsed="false">
      <c r="A21" s="7" t="s">
        <v>47</v>
      </c>
      <c r="B21" s="8" t="n">
        <f aca="false">Components!N10</f>
        <v>173.766223643854</v>
      </c>
      <c r="C21" s="3" t="s">
        <v>7</v>
      </c>
      <c r="D21" s="7" t="s">
        <v>48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customFormat="false" ht="15" hidden="false" customHeight="true" outlineLevel="0" collapsed="false">
      <c r="A22" s="7" t="s">
        <v>49</v>
      </c>
      <c r="B22" s="8" t="n">
        <f aca="false">MIN(B20,B21)</f>
        <v>156.23130500073</v>
      </c>
      <c r="C22" s="3" t="s">
        <v>7</v>
      </c>
      <c r="D22" s="7" t="s">
        <v>50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customFormat="false" ht="15" hidden="false" customHeight="true" outlineLevel="0" collapsed="false">
      <c r="A23" s="7" t="s">
        <v>51</v>
      </c>
      <c r="B23" s="8" t="str">
        <f aca="false">IF(B20&lt;B21,"電界 / 絶縁破壊","平均発熱")</f>
        <v>電界 / 絶縁破壊</v>
      </c>
      <c r="C23" s="3" t="s">
        <v>10</v>
      </c>
      <c r="D23" s="7" t="s">
        <v>52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customFormat="false" ht="15" hidden="false" customHeight="true" outlineLevel="0" collapsed="false">
      <c r="A24" s="7" t="s">
        <v>53</v>
      </c>
      <c r="B24" s="8" t="str">
        <f aca="false">IF(B4&lt;=B22,"合格","NG")</f>
        <v>合格</v>
      </c>
      <c r="C24" s="3" t="s">
        <v>10</v>
      </c>
      <c r="D24" s="7" t="s">
        <v>54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customFormat="false" ht="15" hidden="false" customHeight="true" outlineLevel="0" collapsed="false">
      <c r="A25" s="7" t="s">
        <v>55</v>
      </c>
      <c r="B25" s="8" t="n">
        <f aca="false">Inputs!B65*1000000</f>
        <v>1.31578583765112</v>
      </c>
      <c r="C25" s="3" t="s">
        <v>56</v>
      </c>
      <c r="D25" s="7" t="s">
        <v>57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customFormat="false" ht="15" hidden="false" customHeight="true" outlineLevel="0" collapsed="false">
      <c r="A26" s="7" t="s">
        <v>58</v>
      </c>
      <c r="B26" s="8" t="n">
        <f aca="false">Inputs!B38/Inputs!B65</f>
        <v>33.4400924078547</v>
      </c>
      <c r="C26" s="3" t="s">
        <v>10</v>
      </c>
      <c r="D26" s="3" t="s">
        <v>59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customFormat="false" ht="15" hidden="false" customHeight="true" outlineLevel="0" collapsed="false">
      <c r="A27" s="7" t="s">
        <v>60</v>
      </c>
      <c r="B27" s="8" t="str">
        <f aca="false">Inputs!B66</f>
        <v>CW/マルチパルス相当: パルスによる許容上昇は推奨しない</v>
      </c>
      <c r="C27" s="3" t="s">
        <v>10</v>
      </c>
      <c r="D27" s="7" t="s">
        <v>61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customFormat="false" ht="15" hidden="false" customHeight="true" outlineLevel="0" collapsed="false">
      <c r="A29" s="9" t="s">
        <v>62</v>
      </c>
      <c r="B29" s="10" t="n">
        <f aca="false">Inputs!B72</f>
        <v>22.3732718029193</v>
      </c>
      <c r="C29" s="10"/>
      <c r="D29" s="10"/>
      <c r="E29" s="10"/>
      <c r="F29" s="10"/>
      <c r="G29" s="10"/>
      <c r="H29" s="10"/>
      <c r="I29" s="3"/>
      <c r="J29" s="3"/>
      <c r="K29" s="3"/>
      <c r="L29" s="3"/>
      <c r="M29" s="3"/>
      <c r="N29" s="3"/>
      <c r="O29" s="3"/>
    </row>
    <row r="30" customFormat="false" ht="15" hidden="false" customHeight="true" outlineLevel="0" collapsed="false">
      <c r="A30" s="3" t="s">
        <v>63</v>
      </c>
      <c r="B30" s="11" t="n">
        <f aca="false">Inputs!B74</f>
        <v>1</v>
      </c>
      <c r="C30" s="3" t="s">
        <v>10</v>
      </c>
      <c r="D30" s="7" t="s">
        <v>64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customFormat="false" ht="15" hidden="false" customHeight="true" outlineLevel="0" collapsed="false">
      <c r="A31" s="7" t="s">
        <v>65</v>
      </c>
      <c r="B31" s="11" t="n">
        <f aca="false">Inputs!B60</f>
        <v>1</v>
      </c>
      <c r="C31" s="3" t="s">
        <v>10</v>
      </c>
      <c r="D31" s="3" t="s">
        <v>66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customFormat="false" ht="15" hidden="false" customHeight="true" outlineLevel="0" collapsed="false">
      <c r="A32" s="3" t="s">
        <v>67</v>
      </c>
      <c r="B32" s="11" t="n">
        <f aca="false">Inputs!B77*1000</f>
        <v>1.6</v>
      </c>
      <c r="C32" s="3" t="s">
        <v>68</v>
      </c>
      <c r="D32" s="3" t="s">
        <v>69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customFormat="false" ht="15" hidden="false" customHeight="true" outlineLevel="0" collapsed="false">
      <c r="A33" s="7" t="s">
        <v>70</v>
      </c>
      <c r="B33" s="11" t="n">
        <f aca="false">Inputs!B78</f>
        <v>1216.00336028562</v>
      </c>
      <c r="C33" s="3" t="s">
        <v>10</v>
      </c>
      <c r="D33" s="7" t="s">
        <v>71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customFormat="false" ht="15" hidden="false" customHeight="true" outlineLevel="0" collapsed="false">
      <c r="A34" s="3" t="s">
        <v>72</v>
      </c>
      <c r="B34" s="11" t="str">
        <f aca="false">Inputs!B79</f>
        <v>単発近似の余裕あり。ただし実機では残留電離を確認</v>
      </c>
      <c r="C34" s="3" t="s">
        <v>10</v>
      </c>
      <c r="D34" s="7" t="s">
        <v>73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customFormat="false" ht="15" hidden="false" customHeight="true" outlineLevel="0" collapsed="false">
      <c r="A35" s="7" t="s">
        <v>74</v>
      </c>
      <c r="B35" s="11" t="n">
        <f aca="false">Inputs!B83/1000</f>
        <v>4013.08484783773</v>
      </c>
      <c r="C35" s="3" t="s">
        <v>33</v>
      </c>
      <c r="D35" s="3" t="s">
        <v>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customFormat="false" ht="15" hidden="false" customHeight="true" outlineLevel="0" collapsed="false">
      <c r="A36" s="7" t="s">
        <v>76</v>
      </c>
      <c r="B36" s="7" t="s">
        <v>77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customFormat="false" ht="15" hidden="false" customHeight="true" outlineLevel="0" collapsed="false">
      <c r="A38" s="12" t="s">
        <v>78</v>
      </c>
      <c r="B38" s="12"/>
      <c r="C38" s="12"/>
      <c r="D38" s="1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customFormat="false" ht="15" hidden="false" customHeight="true" outlineLevel="0" collapsed="false">
      <c r="A39" s="7" t="s">
        <v>79</v>
      </c>
      <c r="B39" s="13" t="n">
        <f aca="false">Inputs!B87</f>
        <v>1</v>
      </c>
      <c r="C39" s="3" t="s">
        <v>80</v>
      </c>
      <c r="D39" s="3" t="s">
        <v>81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customFormat="false" ht="15" hidden="false" customHeight="true" outlineLevel="0" collapsed="false">
      <c r="A40" s="7" t="s">
        <v>82</v>
      </c>
      <c r="B40" s="13" t="n">
        <f aca="false">Inputs!B90</f>
        <v>2</v>
      </c>
      <c r="C40" s="3" t="s">
        <v>83</v>
      </c>
      <c r="D40" s="3" t="s">
        <v>84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customFormat="false" ht="15" hidden="false" customHeight="true" outlineLevel="0" collapsed="false">
      <c r="A41" s="7" t="s">
        <v>85</v>
      </c>
      <c r="B41" s="14" t="n">
        <f aca="false">Inputs!B88</f>
        <v>35000</v>
      </c>
      <c r="C41" s="3" t="s">
        <v>86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customFormat="false" ht="15" hidden="false" customHeight="true" outlineLevel="0" collapsed="false">
      <c r="A42" s="7" t="s">
        <v>87</v>
      </c>
      <c r="B42" s="3" t="n">
        <f aca="false">Inputs!B96/1000</f>
        <v>23.8422640241166</v>
      </c>
      <c r="C42" s="3" t="s">
        <v>88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customFormat="false" ht="15" hidden="false" customHeight="true" outlineLevel="0" collapsed="false">
      <c r="A43" s="7" t="s">
        <v>89</v>
      </c>
      <c r="B43" s="3" t="n">
        <f aca="false">Inputs!B97/1000</f>
        <v>101.325</v>
      </c>
      <c r="C43" s="3" t="s">
        <v>88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customFormat="false" ht="15" hidden="false" customHeight="true" outlineLevel="0" collapsed="false">
      <c r="A44" s="7" t="s">
        <v>90</v>
      </c>
      <c r="B44" s="15" t="n">
        <f aca="false">Inputs!B53</f>
        <v>-54.3</v>
      </c>
      <c r="C44" s="3" t="s">
        <v>91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customFormat="false" ht="15" hidden="false" customHeight="true" outlineLevel="0" collapsed="false">
      <c r="A45" s="16" t="s">
        <v>92</v>
      </c>
      <c r="B45" s="8" t="n">
        <f aca="false">Inputs!B56</f>
        <v>1.33950194196939</v>
      </c>
      <c r="C45" s="3" t="s">
        <v>10</v>
      </c>
      <c r="D45" s="3" t="s">
        <v>93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customFormat="false" ht="15" hidden="false" customHeight="true" outlineLevel="0" collapsed="false">
      <c r="A46" s="16" t="s">
        <v>94</v>
      </c>
      <c r="B46" s="11" t="n">
        <f aca="false">Inputs!B99</f>
        <v>3.39557619518802</v>
      </c>
      <c r="C46" s="3" t="s">
        <v>95</v>
      </c>
      <c r="D46" s="7" t="s">
        <v>96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customFormat="false" ht="15" hidden="false" customHeight="true" outlineLevel="0" collapsed="false">
      <c r="A47" s="7" t="s">
        <v>5</v>
      </c>
      <c r="B47" s="3" t="str">
        <f aca="false">"確認要"</f>
        <v>確認要</v>
      </c>
      <c r="C47" s="3"/>
      <c r="D47" s="3" t="s">
        <v>97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customFormat="false" ht="15" hidden="false" customHeight="true" outlineLevel="0" collapsed="false">
      <c r="A48" s="17" t="s">
        <v>98</v>
      </c>
      <c r="B48" s="18" t="s">
        <v>99</v>
      </c>
      <c r="C48" s="18" t="s">
        <v>100</v>
      </c>
      <c r="D48" s="18" t="s">
        <v>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customFormat="false" ht="15" hidden="false" customHeight="true" outlineLevel="0" collapsed="false">
      <c r="A49" s="19" t="s">
        <v>101</v>
      </c>
      <c r="B49" s="19" t="s">
        <v>102</v>
      </c>
      <c r="C49" s="19" t="s">
        <v>103</v>
      </c>
      <c r="D49" s="19" t="s">
        <v>104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customFormat="false" ht="15" hidden="false" customHeight="true" outlineLevel="0" collapsed="false">
      <c r="A50" s="20" t="s">
        <v>105</v>
      </c>
      <c r="B50" s="19" t="s">
        <v>106</v>
      </c>
      <c r="C50" s="20" t="s">
        <v>107</v>
      </c>
      <c r="D50" s="19" t="s">
        <v>108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customFormat="false" ht="15" hidden="false" customHeight="true" outlineLevel="0" collapsed="false">
      <c r="A51" s="19" t="s">
        <v>82</v>
      </c>
      <c r="B51" s="19" t="str">
        <f aca="false">IF(Inputs!B90=2,"指定絶対圧維持",IF(Inputs!B90=3,"外気圧+ゲージ",IF(Inputs!B90=1,"海面1atm",IF(Inputs!B90=0,"外気圧","確認要"))))</f>
        <v>指定絶対圧維持</v>
      </c>
      <c r="C51" s="20" t="s">
        <v>109</v>
      </c>
      <c r="D51" s="19" t="s">
        <v>110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customFormat="false" ht="15" hidden="false" customHeight="true" outlineLevel="0" collapsed="false">
      <c r="A52" s="19" t="s">
        <v>111</v>
      </c>
      <c r="B52" s="19" t="s">
        <v>112</v>
      </c>
      <c r="C52" s="20" t="s">
        <v>113</v>
      </c>
      <c r="D52" s="19" t="s">
        <v>114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customFormat="false" ht="15" hidden="false" customHeight="true" outlineLevel="0" collapsed="false">
      <c r="A53" s="19" t="s">
        <v>115</v>
      </c>
      <c r="B53" s="19" t="str">
        <f aca="false">Inputs!B66</f>
        <v>CW/マルチパルス相当: パルスによる許容上昇は推奨しない</v>
      </c>
      <c r="C53" s="20" t="s">
        <v>116</v>
      </c>
      <c r="D53" s="20" t="s">
        <v>117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customFormat="false" ht="15" hidden="false" customHeight="true" outlineLevel="0" collapsed="false">
      <c r="A54" s="20" t="s">
        <v>118</v>
      </c>
      <c r="B54" s="19" t="s">
        <v>119</v>
      </c>
      <c r="C54" s="20" t="s">
        <v>120</v>
      </c>
      <c r="D54" s="19" t="s">
        <v>121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</sheetData>
  <mergeCells count="3">
    <mergeCell ref="A1:H1"/>
    <mergeCell ref="A2:D2"/>
    <mergeCell ref="B29:H29"/>
  </mergeCells>
  <conditionalFormatting sqref="B19">
    <cfRule type="cellIs" priority="2" operator="greaterThan" aboveAverage="0" equalAverage="0" bottom="0" percent="0" rank="0" text="" dxfId="0">
      <formula>1</formula>
    </cfRule>
  </conditionalFormatting>
  <conditionalFormatting sqref="B24">
    <cfRule type="expression" priority="3" aboveAverage="0" equalAverage="0" bottom="0" percent="0" rank="0" text="" dxfId="0">
      <formula>B24="NG"</formula>
    </cfRule>
    <cfRule type="expression" priority="4" aboveAverage="0" equalAverage="0" bottom="0" percent="0" rank="0" text="" dxfId="1">
      <formula>B24="OK"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64"/>
  </cols>
  <sheetData>
    <row r="1" customFormat="false" ht="16.5" hidden="false" customHeight="true" outlineLevel="0" collapsed="false">
      <c r="A1" s="2" t="s">
        <v>122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5" hidden="false" customHeight="true" outlineLevel="0" collapsed="false">
      <c r="A2" s="5" t="s">
        <v>123</v>
      </c>
      <c r="B2" s="6" t="s">
        <v>3</v>
      </c>
      <c r="C2" s="5" t="s">
        <v>4</v>
      </c>
      <c r="D2" s="5" t="s">
        <v>124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true" outlineLevel="0" collapsed="false">
      <c r="A3" s="21" t="s">
        <v>125</v>
      </c>
      <c r="B3" s="21"/>
      <c r="C3" s="21"/>
      <c r="D3" s="21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5" hidden="false" customHeight="true" outlineLevel="0" collapsed="false">
      <c r="A4" s="7" t="s">
        <v>126</v>
      </c>
      <c r="B4" s="22" t="n">
        <v>299792458</v>
      </c>
      <c r="C4" s="3" t="s">
        <v>127</v>
      </c>
      <c r="D4" s="7" t="s">
        <v>128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true" outlineLevel="0" collapsed="false">
      <c r="A5" s="7" t="s">
        <v>129</v>
      </c>
      <c r="B5" s="22" t="n">
        <v>376.730313668</v>
      </c>
      <c r="C5" s="3" t="s">
        <v>20</v>
      </c>
      <c r="D5" s="7" t="s">
        <v>130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15" hidden="false" customHeight="true" outlineLevel="0" collapsed="false">
      <c r="A6" s="7" t="s">
        <v>131</v>
      </c>
      <c r="B6" s="22" t="n">
        <v>1.25663706143592E-006</v>
      </c>
      <c r="C6" s="3" t="s">
        <v>132</v>
      </c>
      <c r="D6" s="7" t="s">
        <v>133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customFormat="false" ht="15" hidden="false" customHeight="true" outlineLevel="0" collapsed="false">
      <c r="A7" s="7" t="s">
        <v>134</v>
      </c>
      <c r="B7" s="22" t="n">
        <v>5.670374419E-008</v>
      </c>
      <c r="C7" s="3" t="s">
        <v>135</v>
      </c>
      <c r="D7" s="7" t="s">
        <v>136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customFormat="false" ht="15" hidden="false" customHeight="true" outlineLevel="0" collapsed="false">
      <c r="A8" s="3"/>
      <c r="B8" s="2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customFormat="false" ht="15" hidden="false" customHeight="true" outlineLevel="0" collapsed="false">
      <c r="A9" s="21" t="s">
        <v>137</v>
      </c>
      <c r="B9" s="23"/>
      <c r="C9" s="21"/>
      <c r="D9" s="21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customFormat="false" ht="15" hidden="false" customHeight="true" outlineLevel="0" collapsed="false">
      <c r="A10" s="7" t="s">
        <v>138</v>
      </c>
      <c r="B10" s="22" t="n">
        <v>0.02286</v>
      </c>
      <c r="C10" s="3" t="s">
        <v>139</v>
      </c>
      <c r="D10" s="3" t="s">
        <v>140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customFormat="false" ht="15" hidden="false" customHeight="true" outlineLevel="0" collapsed="false">
      <c r="A11" s="7" t="s">
        <v>141</v>
      </c>
      <c r="B11" s="22" t="n">
        <v>0.01016</v>
      </c>
      <c r="C11" s="3" t="s">
        <v>139</v>
      </c>
      <c r="D11" s="3" t="s">
        <v>142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customFormat="false" ht="15" hidden="false" customHeight="true" outlineLevel="0" collapsed="false">
      <c r="A12" s="7" t="s">
        <v>143</v>
      </c>
      <c r="B12" s="22" t="n">
        <v>0.00127</v>
      </c>
      <c r="C12" s="3" t="s">
        <v>139</v>
      </c>
      <c r="D12" s="3" t="s">
        <v>144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Format="false" ht="15" hidden="false" customHeight="true" outlineLevel="0" collapsed="false">
      <c r="A13" s="7" t="s">
        <v>145</v>
      </c>
      <c r="B13" s="22" t="n">
        <v>0.1</v>
      </c>
      <c r="C13" s="3" t="s">
        <v>139</v>
      </c>
      <c r="D13" s="7" t="s">
        <v>146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customFormat="false" ht="15" hidden="false" customHeight="true" outlineLevel="0" collapsed="false">
      <c r="A14" s="7" t="s">
        <v>147</v>
      </c>
      <c r="B14" s="22" t="n">
        <v>9150000000</v>
      </c>
      <c r="C14" s="3" t="s">
        <v>148</v>
      </c>
      <c r="D14" s="7" t="s">
        <v>149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customFormat="false" ht="15" hidden="false" customHeight="true" outlineLevel="0" collapsed="false">
      <c r="A15" s="7" t="s">
        <v>150</v>
      </c>
      <c r="B15" s="22" t="n">
        <v>1</v>
      </c>
      <c r="C15" s="3" t="s">
        <v>10</v>
      </c>
      <c r="D15" s="7" t="s">
        <v>151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customFormat="false" ht="15" hidden="false" customHeight="true" outlineLevel="0" collapsed="false">
      <c r="A16" s="7" t="s">
        <v>152</v>
      </c>
      <c r="B16" s="22" t="n">
        <v>58000000</v>
      </c>
      <c r="C16" s="3" t="s">
        <v>153</v>
      </c>
      <c r="D16" s="7" t="s">
        <v>154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Format="false" ht="15" hidden="false" customHeight="true" outlineLevel="0" collapsed="false">
      <c r="A17" s="7" t="s">
        <v>155</v>
      </c>
      <c r="B17" s="22" t="n">
        <v>1</v>
      </c>
      <c r="C17" s="3" t="s">
        <v>10</v>
      </c>
      <c r="D17" s="7" t="s">
        <v>156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customFormat="false" ht="15" hidden="false" customHeight="true" outlineLevel="0" collapsed="false">
      <c r="A18" s="7" t="s">
        <v>157</v>
      </c>
      <c r="B18" s="24" t="n">
        <f aca="false">2*((B10+2*B12)+(B11+2*B12))</f>
        <v>0.0762</v>
      </c>
      <c r="C18" s="3" t="s">
        <v>139</v>
      </c>
      <c r="D18" s="7" t="s">
        <v>158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customFormat="false" ht="15" hidden="false" customHeight="true" outlineLevel="0" collapsed="false">
      <c r="A19" s="3" t="s">
        <v>159</v>
      </c>
      <c r="B19" s="24" t="n">
        <f aca="false">B4/(2*B10*SQRT(B15))</f>
        <v>6557140376.20298</v>
      </c>
      <c r="C19" s="3" t="s">
        <v>148</v>
      </c>
      <c r="D19" s="3" t="s">
        <v>160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customFormat="false" ht="15" hidden="false" customHeight="true" outlineLevel="0" collapsed="false">
      <c r="A20" s="7" t="s">
        <v>161</v>
      </c>
      <c r="B20" s="24" t="n">
        <f aca="false">SQRT(1-(B19/B14)^2)</f>
        <v>0.697456250853888</v>
      </c>
      <c r="C20" s="3" t="s">
        <v>10</v>
      </c>
      <c r="D20" s="3" t="s">
        <v>162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customFormat="false" ht="15" hidden="false" customHeight="true" outlineLevel="0" collapsed="false">
      <c r="A21" s="3" t="s">
        <v>163</v>
      </c>
      <c r="B21" s="24" t="n">
        <f aca="false">(B5/SQRT(B15))/B20</f>
        <v>540.14902469764</v>
      </c>
      <c r="C21" s="3" t="s">
        <v>20</v>
      </c>
      <c r="D21" s="3" t="s">
        <v>164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customFormat="false" ht="15" hidden="false" customHeight="true" outlineLevel="0" collapsed="false">
      <c r="A22" s="7" t="s">
        <v>165</v>
      </c>
      <c r="B22" s="24" t="n">
        <f aca="false">SQRT(PI()*B14*B6/B16)*B17</f>
        <v>0.0249560828422123</v>
      </c>
      <c r="C22" s="3" t="s">
        <v>166</v>
      </c>
      <c r="D22" s="3" t="s">
        <v>167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customFormat="false" ht="15" hidden="false" customHeight="true" outlineLevel="0" collapsed="false">
      <c r="A23" s="3" t="s">
        <v>168</v>
      </c>
      <c r="B23" s="24" t="n">
        <f aca="false">B22*B21/(B10*B11)*(B10*(1/B21^2+(PI()/(2*PI()*B14*B6*B10))^2)+2*B11*(PI()/(2*PI()*B14*B6*B10))^2)</f>
        <v>0.013615814160181</v>
      </c>
      <c r="C23" s="3" t="s">
        <v>169</v>
      </c>
      <c r="D23" s="3" t="s">
        <v>170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customFormat="false" ht="15" hidden="false" customHeight="true" outlineLevel="0" collapsed="false">
      <c r="A24" s="3" t="s">
        <v>168</v>
      </c>
      <c r="B24" s="24" t="n">
        <f aca="false">8.686*B23</f>
        <v>0.118266961795332</v>
      </c>
      <c r="C24" s="3" t="s">
        <v>171</v>
      </c>
      <c r="D24" s="3" t="s">
        <v>172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customFormat="false" ht="15" hidden="false" customHeight="true" outlineLevel="0" collapsed="false">
      <c r="A25" s="3"/>
      <c r="B25" s="2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customFormat="false" ht="15" hidden="false" customHeight="true" outlineLevel="0" collapsed="false">
      <c r="A26" s="21" t="s">
        <v>173</v>
      </c>
      <c r="B26" s="26"/>
      <c r="C26" s="21"/>
      <c r="D26" s="2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customFormat="false" ht="15" hidden="false" customHeight="true" outlineLevel="0" collapsed="false">
      <c r="A27" s="7" t="s">
        <v>174</v>
      </c>
      <c r="B27" s="27" t="n">
        <f aca="false">IF($B$87=1,B95,50)</f>
        <v>-54.3</v>
      </c>
      <c r="C27" s="3" t="s">
        <v>91</v>
      </c>
      <c r="D27" s="7" t="s">
        <v>175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customFormat="false" ht="15" hidden="false" customHeight="true" outlineLevel="0" collapsed="false">
      <c r="A28" s="7" t="s">
        <v>176</v>
      </c>
      <c r="B28" s="28" t="n">
        <v>100</v>
      </c>
      <c r="C28" s="3" t="s">
        <v>91</v>
      </c>
      <c r="D28" s="7" t="s">
        <v>177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customFormat="false" ht="15" hidden="false" customHeight="true" outlineLevel="0" collapsed="false">
      <c r="A29" s="7" t="s">
        <v>178</v>
      </c>
      <c r="B29" s="28" t="n">
        <v>7</v>
      </c>
      <c r="C29" s="3" t="s">
        <v>95</v>
      </c>
      <c r="D29" s="7" t="s">
        <v>179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customFormat="false" ht="15" hidden="false" customHeight="true" outlineLevel="0" collapsed="false">
      <c r="A30" s="7" t="s">
        <v>180</v>
      </c>
      <c r="B30" s="28" t="n">
        <v>0.8</v>
      </c>
      <c r="C30" s="3" t="s">
        <v>10</v>
      </c>
      <c r="D30" s="7" t="s">
        <v>181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customFormat="false" ht="15" hidden="false" customHeight="true" outlineLevel="0" collapsed="false">
      <c r="A31" s="7" t="s">
        <v>182</v>
      </c>
      <c r="B31" s="28" t="n">
        <v>75</v>
      </c>
      <c r="C31" s="3" t="s">
        <v>91</v>
      </c>
      <c r="D31" s="7" t="s">
        <v>183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customFormat="false" ht="15" hidden="false" customHeight="true" outlineLevel="0" collapsed="false">
      <c r="A32" s="7" t="s">
        <v>184</v>
      </c>
      <c r="B32" s="28" t="n">
        <v>0</v>
      </c>
      <c r="C32" s="3" t="s">
        <v>185</v>
      </c>
      <c r="D32" s="7" t="s">
        <v>186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customFormat="false" ht="15" hidden="false" customHeight="true" outlineLevel="0" collapsed="false">
      <c r="A33" s="7" t="s">
        <v>187</v>
      </c>
      <c r="B33" s="29" t="n">
        <f aca="false">4*B30*B7*(B31+273.15)^3</f>
        <v>7.65703995849902</v>
      </c>
      <c r="C33" s="3" t="s">
        <v>95</v>
      </c>
      <c r="D33" s="3" t="s">
        <v>188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customFormat="false" ht="15" hidden="false" customHeight="true" outlineLevel="0" collapsed="false">
      <c r="A34" s="7" t="s">
        <v>189</v>
      </c>
      <c r="B34" s="29" t="n">
        <f aca="false">IF($B$87=1,B99,B29)+B33</f>
        <v>11.052616153687</v>
      </c>
      <c r="C34" s="3" t="s">
        <v>95</v>
      </c>
      <c r="D34" s="3" t="s">
        <v>190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customFormat="false" ht="15" hidden="false" customHeight="true" outlineLevel="0" collapsed="false">
      <c r="A35" s="7" t="s">
        <v>191</v>
      </c>
      <c r="B35" s="29" t="n">
        <f aca="false">1/(B34*B18*B13)+B32</f>
        <v>11.8735323814486</v>
      </c>
      <c r="C35" s="3" t="s">
        <v>185</v>
      </c>
      <c r="D35" s="3" t="s">
        <v>192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customFormat="false" ht="15" hidden="false" customHeight="true" outlineLevel="0" collapsed="false">
      <c r="A36" s="3"/>
      <c r="B36" s="2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customFormat="false" ht="15" hidden="false" customHeight="true" outlineLevel="0" collapsed="false">
      <c r="A37" s="21" t="s">
        <v>193</v>
      </c>
      <c r="B37" s="26"/>
      <c r="C37" s="21"/>
      <c r="D37" s="21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customFormat="false" ht="15" hidden="false" customHeight="true" outlineLevel="0" collapsed="false">
      <c r="A38" s="7" t="s">
        <v>194</v>
      </c>
      <c r="B38" s="22" t="n">
        <v>4.4E-005</v>
      </c>
      <c r="C38" s="3" t="s">
        <v>195</v>
      </c>
      <c r="D38" s="3" t="s">
        <v>196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customFormat="false" ht="15" hidden="false" customHeight="true" outlineLevel="0" collapsed="false">
      <c r="A39" s="7" t="s">
        <v>197</v>
      </c>
      <c r="B39" s="22" t="n">
        <v>625</v>
      </c>
      <c r="C39" s="3" t="s">
        <v>148</v>
      </c>
      <c r="D39" s="3" t="s">
        <v>198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customFormat="false" ht="15" hidden="false" customHeight="true" outlineLevel="0" collapsed="false">
      <c r="A40" s="7" t="s">
        <v>199</v>
      </c>
      <c r="B40" s="24" t="n">
        <f aca="false">B38*B39</f>
        <v>0.0275</v>
      </c>
      <c r="C40" s="3" t="s">
        <v>10</v>
      </c>
      <c r="D40" s="3" t="s">
        <v>200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customFormat="false" ht="15" hidden="false" customHeight="true" outlineLevel="0" collapsed="false">
      <c r="A41" s="7" t="s">
        <v>6</v>
      </c>
      <c r="B41" s="24" t="n">
        <v>16</v>
      </c>
      <c r="C41" s="3" t="s">
        <v>7</v>
      </c>
      <c r="D41" s="3" t="s">
        <v>201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customFormat="false" ht="15" hidden="false" customHeight="true" outlineLevel="0" collapsed="false">
      <c r="A42" s="3" t="s">
        <v>202</v>
      </c>
      <c r="B42" s="24" t="n">
        <v>1.5</v>
      </c>
      <c r="C42" s="3" t="s">
        <v>10</v>
      </c>
      <c r="D42" s="7" t="s">
        <v>203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customFormat="false" ht="15" hidden="false" customHeight="true" outlineLevel="0" collapsed="false">
      <c r="A43" s="7" t="s">
        <v>204</v>
      </c>
      <c r="B43" s="24" t="n">
        <f aca="false">(B42-1)/(B42+1)</f>
        <v>0.2</v>
      </c>
      <c r="C43" s="3" t="s">
        <v>10</v>
      </c>
      <c r="D43" s="3" t="s">
        <v>205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customFormat="false" ht="15" hidden="false" customHeight="true" outlineLevel="0" collapsed="false">
      <c r="A44" s="7" t="s">
        <v>206</v>
      </c>
      <c r="B44" s="24" t="n">
        <f aca="false">1-B43^2</f>
        <v>0.96</v>
      </c>
      <c r="C44" s="3" t="s">
        <v>10</v>
      </c>
      <c r="D44" s="7" t="s">
        <v>207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customFormat="false" ht="15" hidden="false" customHeight="true" outlineLevel="0" collapsed="false">
      <c r="A45" s="3"/>
      <c r="B45" s="2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customFormat="false" ht="15" hidden="false" customHeight="true" outlineLevel="0" collapsed="false">
      <c r="A46" s="21" t="s">
        <v>208</v>
      </c>
      <c r="B46" s="26"/>
      <c r="C46" s="21"/>
      <c r="D46" s="21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customFormat="false" ht="15" hidden="false" customHeight="true" outlineLevel="0" collapsed="false">
      <c r="A47" s="7" t="s">
        <v>209</v>
      </c>
      <c r="B47" s="22" t="n">
        <v>2</v>
      </c>
      <c r="C47" s="3" t="s">
        <v>10</v>
      </c>
      <c r="D47" s="7" t="s">
        <v>210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customFormat="false" ht="15" hidden="false" customHeight="true" outlineLevel="0" collapsed="false">
      <c r="A48" s="7" t="s">
        <v>211</v>
      </c>
      <c r="B48" s="22" t="n">
        <v>1</v>
      </c>
      <c r="C48" s="3" t="s">
        <v>10</v>
      </c>
      <c r="D48" s="7" t="s">
        <v>212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customFormat="false" ht="15" hidden="false" customHeight="true" outlineLevel="0" collapsed="false">
      <c r="A49" s="7" t="s">
        <v>213</v>
      </c>
      <c r="B49" s="22" t="n">
        <v>3000000</v>
      </c>
      <c r="C49" s="3" t="s">
        <v>214</v>
      </c>
      <c r="D49" s="7" t="s">
        <v>215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customFormat="false" ht="15" hidden="false" customHeight="true" outlineLevel="0" collapsed="false">
      <c r="A50" s="7" t="s">
        <v>216</v>
      </c>
      <c r="B50" s="22" t="n">
        <v>101325</v>
      </c>
      <c r="C50" s="3" t="s">
        <v>217</v>
      </c>
      <c r="D50" s="7" t="s">
        <v>216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customFormat="false" ht="15" hidden="false" customHeight="true" outlineLevel="0" collapsed="false">
      <c r="A51" s="7" t="s">
        <v>218</v>
      </c>
      <c r="B51" s="30" t="n">
        <f aca="false">IF($B$87=1,B89,0)</f>
        <v>10668</v>
      </c>
      <c r="C51" s="3" t="s">
        <v>139</v>
      </c>
      <c r="D51" s="7" t="s">
        <v>219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customFormat="false" ht="15" hidden="false" customHeight="true" outlineLevel="0" collapsed="false">
      <c r="A52" s="7" t="s">
        <v>220</v>
      </c>
      <c r="B52" s="22" t="n">
        <v>0</v>
      </c>
      <c r="C52" s="3" t="s">
        <v>217</v>
      </c>
      <c r="D52" s="7" t="s">
        <v>221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customFormat="false" ht="15" hidden="false" customHeight="true" outlineLevel="0" collapsed="false">
      <c r="A53" s="7" t="s">
        <v>222</v>
      </c>
      <c r="B53" s="27" t="n">
        <f aca="false">IF($B$100="",IF($B$87=1,B95,50),$B$100)</f>
        <v>-54.3</v>
      </c>
      <c r="C53" s="3" t="s">
        <v>91</v>
      </c>
      <c r="D53" s="7" t="s">
        <v>223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customFormat="false" ht="15" hidden="false" customHeight="true" outlineLevel="0" collapsed="false">
      <c r="A54" s="7" t="s">
        <v>224</v>
      </c>
      <c r="B54" s="24" t="n">
        <f aca="false">B50*(1-0.0000225577*B51)^5.25588</f>
        <v>23842.2640241166</v>
      </c>
      <c r="C54" s="3" t="s">
        <v>217</v>
      </c>
      <c r="D54" s="7" t="s">
        <v>225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customFormat="false" ht="15" hidden="false" customHeight="true" outlineLevel="0" collapsed="false">
      <c r="A55" s="7" t="s">
        <v>226</v>
      </c>
      <c r="B55" s="31" t="n">
        <f aca="false">IF($B$87=1,B97,B54+B52)</f>
        <v>101325</v>
      </c>
      <c r="C55" s="3" t="s">
        <v>217</v>
      </c>
      <c r="D55" s="7" t="s">
        <v>227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customFormat="false" ht="15" hidden="false" customHeight="true" outlineLevel="0" collapsed="false">
      <c r="A56" s="7" t="s">
        <v>228</v>
      </c>
      <c r="B56" s="24" t="n">
        <f aca="false">(B55/B50)*(293.15/(B53+273.15))</f>
        <v>1.33950194196939</v>
      </c>
      <c r="C56" s="3" t="s">
        <v>10</v>
      </c>
      <c r="D56" s="3" t="s">
        <v>229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customFormat="false" ht="15" hidden="false" customHeight="true" outlineLevel="0" collapsed="false">
      <c r="A57" s="7" t="s">
        <v>230</v>
      </c>
      <c r="B57" s="24" t="n">
        <v>1</v>
      </c>
      <c r="C57" s="3" t="s">
        <v>10</v>
      </c>
      <c r="D57" s="7" t="s">
        <v>231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customFormat="false" ht="15" hidden="false" customHeight="true" outlineLevel="0" collapsed="false">
      <c r="A58" s="7" t="s">
        <v>232</v>
      </c>
      <c r="B58" s="24" t="n">
        <v>0.9</v>
      </c>
      <c r="C58" s="3" t="s">
        <v>10</v>
      </c>
      <c r="D58" s="7" t="s">
        <v>233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customFormat="false" ht="15" hidden="false" customHeight="true" outlineLevel="0" collapsed="false">
      <c r="A59" s="7" t="s">
        <v>234</v>
      </c>
      <c r="B59" s="24" t="n">
        <v>0.8</v>
      </c>
      <c r="C59" s="3" t="s">
        <v>10</v>
      </c>
      <c r="D59" s="7" t="s">
        <v>235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customFormat="false" ht="15" hidden="false" customHeight="true" outlineLevel="0" collapsed="false">
      <c r="A60" s="7" t="s">
        <v>236</v>
      </c>
      <c r="B60" s="24" t="n">
        <f aca="false">B76</f>
        <v>1</v>
      </c>
      <c r="C60" s="3" t="s">
        <v>10</v>
      </c>
      <c r="D60" s="7" t="s">
        <v>237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customFormat="false" ht="15" hidden="false" customHeight="true" outlineLevel="0" collapsed="false">
      <c r="A61" s="7" t="s">
        <v>238</v>
      </c>
      <c r="B61" s="24" t="n">
        <v>1</v>
      </c>
      <c r="C61" s="3" t="s">
        <v>10</v>
      </c>
      <c r="D61" s="3" t="s">
        <v>239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customFormat="false" ht="15" hidden="false" customHeight="true" outlineLevel="0" collapsed="false">
      <c r="A62" s="7" t="s">
        <v>39</v>
      </c>
      <c r="B62" s="24" t="n">
        <f aca="false">B49*B56*B57*B58*B59*B60*B61</f>
        <v>2893324.19465387</v>
      </c>
      <c r="C62" s="3" t="s">
        <v>214</v>
      </c>
      <c r="D62" s="3" t="s">
        <v>240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customFormat="false" ht="15" hidden="false" customHeight="true" outlineLevel="0" collapsed="false">
      <c r="A63" s="7" t="s">
        <v>41</v>
      </c>
      <c r="B63" s="24" t="n">
        <f aca="false">B62/B47</f>
        <v>1446662.09732694</v>
      </c>
      <c r="C63" s="3" t="s">
        <v>214</v>
      </c>
      <c r="D63" s="7" t="s">
        <v>241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customFormat="false" ht="15" hidden="false" customHeight="true" outlineLevel="0" collapsed="false">
      <c r="A64" s="7" t="s">
        <v>242</v>
      </c>
      <c r="B64" s="24" t="n">
        <f aca="false">B55/133.322</f>
        <v>760.002100178515</v>
      </c>
      <c r="C64" s="3" t="s">
        <v>243</v>
      </c>
      <c r="D64" s="7" t="s">
        <v>244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customFormat="false" ht="15" hidden="false" customHeight="true" outlineLevel="0" collapsed="false">
      <c r="A65" s="7" t="s">
        <v>245</v>
      </c>
      <c r="B65" s="24" t="n">
        <f aca="false">0.001/B64</f>
        <v>1.31578583765112E-006</v>
      </c>
      <c r="C65" s="3" t="s">
        <v>195</v>
      </c>
      <c r="D65" s="3" t="s">
        <v>246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customFormat="false" ht="15" hidden="false" customHeight="true" outlineLevel="0" collapsed="false">
      <c r="A66" s="7" t="s">
        <v>60</v>
      </c>
      <c r="B66" s="32" t="str">
        <f aca="false">IF(B38&gt;B65,"CW/マルチパルス相当: パルスによる許容上昇は推奨しない","短パルス領域: 許容上昇には検証データが必要")</f>
        <v>CW/マルチパルス相当: パルスによる許容上昇は推奨しない</v>
      </c>
      <c r="C66" s="3" t="s">
        <v>10</v>
      </c>
      <c r="D66" s="3" t="s">
        <v>247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customFormat="false" ht="15" hidden="false" customHeight="true" outlineLevel="0" collapsed="false">
      <c r="A68" s="33" t="s">
        <v>248</v>
      </c>
      <c r="B68" s="33"/>
      <c r="C68" s="33"/>
      <c r="D68" s="3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customFormat="false" ht="15" hidden="false" customHeight="true" outlineLevel="0" collapsed="false">
      <c r="A69" s="34" t="s">
        <v>123</v>
      </c>
      <c r="B69" s="35" t="s">
        <v>3</v>
      </c>
      <c r="C69" s="34" t="s">
        <v>4</v>
      </c>
      <c r="D69" s="34" t="s">
        <v>124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customFormat="false" ht="15" hidden="false" customHeight="true" outlineLevel="0" collapsed="false">
      <c r="A70" s="3" t="s">
        <v>249</v>
      </c>
      <c r="B70" s="25" t="n">
        <v>1</v>
      </c>
      <c r="C70" s="3" t="s">
        <v>80</v>
      </c>
      <c r="D70" s="3" t="s">
        <v>250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customFormat="false" ht="15" hidden="false" customHeight="true" outlineLevel="0" collapsed="false">
      <c r="A71" s="7" t="s">
        <v>251</v>
      </c>
      <c r="B71" s="25" t="n">
        <v>1</v>
      </c>
      <c r="C71" s="3" t="s">
        <v>10</v>
      </c>
      <c r="D71" s="7" t="s">
        <v>252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customFormat="false" ht="15" hidden="false" customHeight="true" outlineLevel="0" collapsed="false">
      <c r="A72" s="3" t="s">
        <v>62</v>
      </c>
      <c r="B72" s="11" t="n">
        <f aca="false">22.22+87.24/(1+(B38/0.00000000247)^0.648)</f>
        <v>22.3732718029193</v>
      </c>
      <c r="C72" s="3" t="s">
        <v>253</v>
      </c>
      <c r="D72" s="3" t="s">
        <v>254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customFormat="false" ht="15" hidden="false" customHeight="true" outlineLevel="0" collapsed="false">
      <c r="A73" s="3" t="s">
        <v>255</v>
      </c>
      <c r="B73" s="11" t="n">
        <v>22.8</v>
      </c>
      <c r="C73" s="3" t="s">
        <v>253</v>
      </c>
      <c r="D73" s="7" t="s">
        <v>256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customFormat="false" ht="15" hidden="false" customHeight="true" outlineLevel="0" collapsed="false">
      <c r="A74" s="3" t="s">
        <v>63</v>
      </c>
      <c r="B74" s="11" t="n">
        <f aca="false">MAX(1,B72/B73)</f>
        <v>1</v>
      </c>
      <c r="C74" s="3" t="s">
        <v>10</v>
      </c>
      <c r="D74" s="3" t="s">
        <v>257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customFormat="false" ht="15" hidden="false" customHeight="true" outlineLevel="0" collapsed="false">
      <c r="A75" s="3" t="s">
        <v>258</v>
      </c>
      <c r="B75" s="11" t="n">
        <f aca="false">IF(B38&lt;B65,B74,1)</f>
        <v>1</v>
      </c>
      <c r="C75" s="3" t="s">
        <v>10</v>
      </c>
      <c r="D75" s="3" t="s">
        <v>259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customFormat="false" ht="15" hidden="false" customHeight="true" outlineLevel="0" collapsed="false">
      <c r="A76" s="3" t="s">
        <v>260</v>
      </c>
      <c r="B76" s="11" t="n">
        <f aca="false">IF(B70=1,B75,B71)</f>
        <v>1</v>
      </c>
      <c r="C76" s="3" t="s">
        <v>10</v>
      </c>
      <c r="D76" s="3" t="s">
        <v>261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customFormat="false" ht="15" hidden="false" customHeight="true" outlineLevel="0" collapsed="false">
      <c r="A77" s="7" t="s">
        <v>262</v>
      </c>
      <c r="B77" s="8" t="n">
        <f aca="false">1/B39</f>
        <v>0.0016</v>
      </c>
      <c r="C77" s="3" t="s">
        <v>195</v>
      </c>
      <c r="D77" s="3" t="s">
        <v>263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customFormat="false" ht="15" hidden="false" customHeight="true" outlineLevel="0" collapsed="false">
      <c r="A78" s="7" t="s">
        <v>264</v>
      </c>
      <c r="B78" s="11" t="n">
        <f aca="false">B77/B65</f>
        <v>1216.00336028562</v>
      </c>
      <c r="C78" s="3" t="s">
        <v>10</v>
      </c>
      <c r="D78" s="7" t="s">
        <v>265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customFormat="false" ht="15" hidden="false" customHeight="true" outlineLevel="0" collapsed="false">
      <c r="A79" s="3" t="s">
        <v>266</v>
      </c>
      <c r="B79" s="3" t="str">
        <f aca="false">IF(B77&gt;10*B65,"単発近似の余裕あり。ただし実機では残留電離を確認","マルチパルス注意: B61を1未満にするか試験値で確認")</f>
        <v>単発近似の余裕あり。ただし実機では残留電離を確認</v>
      </c>
      <c r="C79" s="3" t="s">
        <v>10</v>
      </c>
      <c r="D79" s="3" t="s">
        <v>267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customFormat="false" ht="15" hidden="false" customHeight="true" outlineLevel="0" collapsed="false">
      <c r="A80" s="7" t="s">
        <v>268</v>
      </c>
      <c r="B80" s="3" t="n">
        <f aca="false">B11/2*100</f>
        <v>0.508</v>
      </c>
      <c r="C80" s="3" t="s">
        <v>269</v>
      </c>
      <c r="D80" s="7" t="s">
        <v>270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customFormat="false" ht="15" hidden="false" customHeight="true" outlineLevel="0" collapsed="false">
      <c r="A81" s="7" t="s">
        <v>271</v>
      </c>
      <c r="B81" s="3" t="n">
        <f aca="false">B64*273/(273+B53)</f>
        <v>948.699466615156</v>
      </c>
      <c r="C81" s="3" t="s">
        <v>243</v>
      </c>
      <c r="D81" s="3" t="s">
        <v>272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customFormat="false" ht="15" hidden="false" customHeight="true" outlineLevel="0" collapsed="false">
      <c r="A82" s="7" t="s">
        <v>273</v>
      </c>
      <c r="B82" s="11" t="n">
        <f aca="false">3.75*B81*SQRT(1+(2*PI()*B14)^2/(2.5E+019*B81^2))*(1000000/(B81^2*B80^2)+64000+20/(B81*B38))^(3/16)</f>
        <v>28376.7950938305</v>
      </c>
      <c r="C82" s="3" t="s">
        <v>274</v>
      </c>
      <c r="D82" s="3" t="s">
        <v>275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customFormat="false" ht="15" hidden="false" customHeight="true" outlineLevel="0" collapsed="false">
      <c r="A83" s="7" t="s">
        <v>74</v>
      </c>
      <c r="B83" s="11" t="n">
        <f aca="false">B82*100*SQRT(2)</f>
        <v>4013084.84783773</v>
      </c>
      <c r="C83" s="3" t="s">
        <v>276</v>
      </c>
      <c r="D83" s="3" t="s">
        <v>277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customFormat="false" ht="15" hidden="false" customHeight="true" outlineLevel="0" collapsed="false">
      <c r="A84" s="7" t="s">
        <v>278</v>
      </c>
      <c r="B84" s="3" t="s">
        <v>279</v>
      </c>
      <c r="C84" s="3"/>
      <c r="D84" s="3" t="s">
        <v>280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customFormat="false" ht="15" hidden="false" customHeight="true" outlineLevel="0" collapsed="false">
      <c r="A86" s="36" t="s">
        <v>281</v>
      </c>
      <c r="B86" s="36"/>
      <c r="C86" s="36"/>
      <c r="D86" s="3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customFormat="false" ht="15" hidden="false" customHeight="true" outlineLevel="0" collapsed="false">
      <c r="A87" s="7" t="s">
        <v>282</v>
      </c>
      <c r="B87" s="37" t="n">
        <v>1</v>
      </c>
      <c r="C87" s="38" t="s">
        <v>80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customFormat="false" ht="15" hidden="false" customHeight="true" outlineLevel="0" collapsed="false">
      <c r="A88" s="7" t="s">
        <v>85</v>
      </c>
      <c r="B88" s="39" t="n">
        <v>35000</v>
      </c>
      <c r="C88" s="38" t="s">
        <v>86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customFormat="false" ht="15" hidden="false" customHeight="true" outlineLevel="0" collapsed="false">
      <c r="A89" s="7" t="s">
        <v>283</v>
      </c>
      <c r="B89" s="40" t="n">
        <f aca="false">B88*0.3048</f>
        <v>10668</v>
      </c>
      <c r="C89" s="38" t="s">
        <v>139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customFormat="false" ht="15" hidden="false" customHeight="true" outlineLevel="0" collapsed="false">
      <c r="A90" s="7" t="s">
        <v>284</v>
      </c>
      <c r="B90" s="37" t="n">
        <v>2</v>
      </c>
      <c r="C90" s="38" t="s">
        <v>83</v>
      </c>
      <c r="D90" s="3" t="s">
        <v>285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customFormat="false" ht="16.5" hidden="false" customHeight="true" outlineLevel="0" collapsed="false">
      <c r="A91" s="7" t="s">
        <v>286</v>
      </c>
      <c r="B91" s="39" t="n">
        <v>101325</v>
      </c>
      <c r="C91" s="38" t="s">
        <v>217</v>
      </c>
      <c r="D91" s="41" t="s">
        <v>287</v>
      </c>
    </row>
    <row r="92" customFormat="false" ht="16.5" hidden="false" customHeight="true" outlineLevel="0" collapsed="false">
      <c r="A92" s="3" t="s">
        <v>288</v>
      </c>
      <c r="B92" s="42" t="n">
        <v>0</v>
      </c>
      <c r="C92" s="38" t="s">
        <v>91</v>
      </c>
      <c r="D92" s="41"/>
    </row>
    <row r="93" customFormat="false" ht="16.5" hidden="false" customHeight="true" outlineLevel="0" collapsed="false">
      <c r="A93" s="7" t="s">
        <v>289</v>
      </c>
      <c r="B93" s="43" t="n">
        <f aca="false">15-1.98*B88/1000</f>
        <v>-54.3</v>
      </c>
      <c r="C93" s="38" t="s">
        <v>91</v>
      </c>
      <c r="D93" s="41"/>
    </row>
    <row r="94" customFormat="false" ht="15" hidden="false" customHeight="true" outlineLevel="0" collapsed="false">
      <c r="A94" s="7" t="s">
        <v>290</v>
      </c>
      <c r="B94" s="42"/>
      <c r="C94" s="38" t="s">
        <v>91</v>
      </c>
      <c r="D94" s="44" t="s">
        <v>291</v>
      </c>
    </row>
    <row r="95" customFormat="false" ht="15" hidden="false" customHeight="true" outlineLevel="0" collapsed="false">
      <c r="A95" s="7" t="s">
        <v>292</v>
      </c>
      <c r="B95" s="43" t="n">
        <f aca="false">IF(B94="",B93+B92,B94)</f>
        <v>-54.3</v>
      </c>
      <c r="C95" s="38" t="s">
        <v>91</v>
      </c>
      <c r="D95" s="41"/>
    </row>
    <row r="96" customFormat="false" ht="15" hidden="false" customHeight="true" outlineLevel="0" collapsed="false">
      <c r="A96" s="7" t="s">
        <v>293</v>
      </c>
      <c r="B96" s="45" t="n">
        <f aca="false">B50*(1-0.0000225577*B89)^5.25588</f>
        <v>23842.2640241166</v>
      </c>
      <c r="C96" s="38" t="s">
        <v>217</v>
      </c>
      <c r="D96" s="41"/>
    </row>
    <row r="97" customFormat="false" ht="15" hidden="false" customHeight="true" outlineLevel="0" collapsed="false">
      <c r="A97" s="7" t="s">
        <v>89</v>
      </c>
      <c r="B97" s="45" t="n">
        <f aca="false">IF(B90=0,B96,IF(B90=1,B50,IF(B90=2,B91,B96+B52)))</f>
        <v>101325</v>
      </c>
      <c r="C97" s="38" t="s">
        <v>217</v>
      </c>
      <c r="D97" s="41"/>
    </row>
    <row r="98" customFormat="false" ht="16.5" hidden="false" customHeight="true" outlineLevel="0" collapsed="false">
      <c r="A98" s="7" t="s">
        <v>294</v>
      </c>
      <c r="B98" s="37" t="n">
        <v>0.5</v>
      </c>
      <c r="C98" s="38" t="s">
        <v>10</v>
      </c>
      <c r="D98" s="41"/>
    </row>
    <row r="99" customFormat="false" ht="16.5" hidden="false" customHeight="true" outlineLevel="0" collapsed="false">
      <c r="A99" s="7" t="s">
        <v>295</v>
      </c>
      <c r="B99" s="40" t="n">
        <f aca="false">B29*(B96/B50)^B98</f>
        <v>3.39557619518802</v>
      </c>
      <c r="C99" s="38" t="s">
        <v>95</v>
      </c>
      <c r="D99" s="41"/>
    </row>
    <row r="100" customFormat="false" ht="29.25" hidden="false" customHeight="true" outlineLevel="0" collapsed="false">
      <c r="A100" s="46" t="s">
        <v>296</v>
      </c>
      <c r="B100" s="46"/>
      <c r="C100" s="47" t="s">
        <v>91</v>
      </c>
      <c r="D100" s="46" t="s">
        <v>297</v>
      </c>
    </row>
    <row r="101" customFormat="false" ht="15" hidden="false" customHeight="true" outlineLevel="0" collapsed="false">
      <c r="A101" s="46" t="s">
        <v>298</v>
      </c>
      <c r="B101" s="47"/>
      <c r="C101" s="47"/>
      <c r="D101" s="48" t="s">
        <v>299</v>
      </c>
    </row>
    <row r="102" customFormat="false" ht="29.25" hidden="false" customHeight="true" outlineLevel="0" collapsed="false">
      <c r="A102" s="46" t="s">
        <v>300</v>
      </c>
      <c r="B102" s="47"/>
      <c r="C102" s="47"/>
      <c r="D102" s="46" t="s">
        <v>301</v>
      </c>
    </row>
    <row r="103" customFormat="false" ht="15" hidden="false" customHeight="true" outlineLevel="0" collapsed="false">
      <c r="A103" s="46" t="s">
        <v>302</v>
      </c>
      <c r="B103" s="47" t="n">
        <f aca="false">B96+B52</f>
        <v>23842.2640241166</v>
      </c>
      <c r="C103" s="47" t="s">
        <v>217</v>
      </c>
      <c r="D103" s="48" t="s">
        <v>303</v>
      </c>
    </row>
    <row r="104" customFormat="false" ht="29.25" hidden="false" customHeight="true" outlineLevel="0" collapsed="false">
      <c r="A104" s="47" t="s">
        <v>304</v>
      </c>
      <c r="B104" s="47"/>
      <c r="C104" s="47"/>
      <c r="D104" s="48" t="s">
        <v>305</v>
      </c>
    </row>
  </sheetData>
  <mergeCells count="2">
    <mergeCell ref="A1:D1"/>
    <mergeCell ref="A86:D8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14" min="4" style="1" width="14"/>
    <col collapsed="false" customWidth="true" hidden="false" outlineLevel="0" max="15" min="15" style="1" width="56"/>
  </cols>
  <sheetData>
    <row r="1" customFormat="false" ht="24" hidden="false" customHeight="true" outlineLevel="0" collapsed="false">
      <c r="A1" s="49" t="s">
        <v>306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customFormat="false" ht="45.75" hidden="false" customHeight="true" outlineLevel="0" collapsed="false">
      <c r="A2" s="5" t="s">
        <v>307</v>
      </c>
      <c r="B2" s="5" t="s">
        <v>308</v>
      </c>
      <c r="C2" s="5" t="s">
        <v>309</v>
      </c>
      <c r="D2" s="5" t="s">
        <v>310</v>
      </c>
      <c r="E2" s="5" t="s">
        <v>311</v>
      </c>
      <c r="F2" s="6" t="s">
        <v>312</v>
      </c>
      <c r="G2" s="5" t="s">
        <v>313</v>
      </c>
      <c r="H2" s="5" t="s">
        <v>314</v>
      </c>
      <c r="I2" s="5" t="s">
        <v>315</v>
      </c>
      <c r="J2" s="5" t="s">
        <v>316</v>
      </c>
      <c r="K2" s="6" t="s">
        <v>317</v>
      </c>
      <c r="L2" s="6" t="s">
        <v>318</v>
      </c>
      <c r="M2" s="5" t="s">
        <v>319</v>
      </c>
      <c r="N2" s="5" t="s">
        <v>320</v>
      </c>
      <c r="O2" s="5" t="s">
        <v>124</v>
      </c>
    </row>
    <row r="3" customFormat="false" ht="32.25" hidden="false" customHeight="true" outlineLevel="0" collapsed="false">
      <c r="A3" s="3" t="s">
        <v>321</v>
      </c>
      <c r="B3" s="50" t="n">
        <v>1</v>
      </c>
      <c r="C3" s="3" t="s">
        <v>322</v>
      </c>
      <c r="D3" s="8" t="n">
        <f aca="false">Inputs!B13</f>
        <v>0.1</v>
      </c>
      <c r="E3" s="8" t="n">
        <f aca="false">Inputs!B24</f>
        <v>0.118266961795332</v>
      </c>
      <c r="F3" s="22" t="n">
        <f aca="false">B3*D3*E3</f>
        <v>0.0118266961795332</v>
      </c>
      <c r="G3" s="22" t="n">
        <v>1</v>
      </c>
      <c r="H3" s="22" t="n">
        <f aca="false">Inputs!B35</f>
        <v>11.8735323814486</v>
      </c>
      <c r="I3" s="8" t="n">
        <f aca="false">Inputs!B28</f>
        <v>100</v>
      </c>
      <c r="J3" s="24" t="n">
        <f aca="false">IF(B3=1,1-10^(-F3/10),0)</f>
        <v>0.00271949289360185</v>
      </c>
      <c r="K3" s="24" t="n">
        <f aca="false">Inputs!B41*1000*Inputs!B40*J3</f>
        <v>1.19657687318481</v>
      </c>
      <c r="L3" s="24" t="n">
        <f aca="false">K3*H3</f>
        <v>14.2075942506524</v>
      </c>
      <c r="M3" s="24" t="n">
        <f aca="false">Inputs!B27+L3</f>
        <v>-40.0924057493476</v>
      </c>
      <c r="N3" s="24" t="n">
        <f aca="false">IF(OR(B3=0,J3=0,H3=0),1E+099,(I3-Inputs!B27)/Inputs!B48/(Inputs!B40*J3*H3)/1000)</f>
        <v>173.766223643854</v>
      </c>
      <c r="O3" s="7" t="s">
        <v>323</v>
      </c>
    </row>
    <row r="4" customFormat="false" ht="16.5" hidden="false" customHeight="true" outlineLevel="0" collapsed="false">
      <c r="A4" s="7" t="s">
        <v>324</v>
      </c>
      <c r="B4" s="50" t="n">
        <v>0</v>
      </c>
      <c r="C4" s="7" t="s">
        <v>325</v>
      </c>
      <c r="D4" s="8" t="n">
        <v>0</v>
      </c>
      <c r="E4" s="8" t="n">
        <v>0</v>
      </c>
      <c r="F4" s="22" t="n">
        <v>0.005</v>
      </c>
      <c r="G4" s="22" t="n">
        <v>1.1</v>
      </c>
      <c r="H4" s="22" t="n">
        <v>15</v>
      </c>
      <c r="I4" s="8" t="n">
        <f aca="false">Inputs!B28</f>
        <v>100</v>
      </c>
      <c r="J4" s="24" t="n">
        <f aca="false">IF(B4=1,1-10^(-F4/10),0)</f>
        <v>0</v>
      </c>
      <c r="K4" s="24" t="n">
        <f aca="false">Inputs!B41*1000*Inputs!B40*J4</f>
        <v>0</v>
      </c>
      <c r="L4" s="24" t="n">
        <f aca="false">K4*H4</f>
        <v>0</v>
      </c>
      <c r="M4" s="24" t="n">
        <f aca="false">Inputs!B27+L4</f>
        <v>-54.3</v>
      </c>
      <c r="N4" s="24" t="n">
        <f aca="false">IF(OR(B4=0,J4=0,H4=0),1E+099,(I4-Inputs!B27)/Inputs!B48/(Inputs!B40*J4*H4)/1000)</f>
        <v>1E+099</v>
      </c>
      <c r="O4" s="7" t="s">
        <v>326</v>
      </c>
    </row>
    <row r="5" customFormat="false" ht="16.5" hidden="false" customHeight="true" outlineLevel="0" collapsed="false">
      <c r="A5" s="3" t="s">
        <v>327</v>
      </c>
      <c r="B5" s="50" t="n">
        <v>0</v>
      </c>
      <c r="C5" s="7" t="s">
        <v>325</v>
      </c>
      <c r="D5" s="8" t="n">
        <v>0</v>
      </c>
      <c r="E5" s="8" t="n">
        <v>0</v>
      </c>
      <c r="F5" s="22" t="n">
        <v>0.02</v>
      </c>
      <c r="G5" s="22" t="n">
        <v>1.2</v>
      </c>
      <c r="H5" s="22" t="n">
        <v>10</v>
      </c>
      <c r="I5" s="8" t="n">
        <f aca="false">Inputs!B28</f>
        <v>100</v>
      </c>
      <c r="J5" s="24" t="n">
        <f aca="false">IF(B5=1,1-10^(-F5/10),0)</f>
        <v>0</v>
      </c>
      <c r="K5" s="24" t="n">
        <f aca="false">Inputs!B41*1000*Inputs!B40*J5</f>
        <v>0</v>
      </c>
      <c r="L5" s="24" t="n">
        <f aca="false">K5*H5</f>
        <v>0</v>
      </c>
      <c r="M5" s="24" t="n">
        <f aca="false">Inputs!B27+L5</f>
        <v>-54.3</v>
      </c>
      <c r="N5" s="24" t="n">
        <f aca="false">IF(OR(B5=0,J5=0,H5=0),1E+099,(I5-Inputs!B27)/Inputs!B48/(Inputs!B40*J5*H5)/1000)</f>
        <v>1E+099</v>
      </c>
      <c r="O5" s="7" t="s">
        <v>328</v>
      </c>
    </row>
    <row r="6" customFormat="false" ht="32.25" hidden="false" customHeight="true" outlineLevel="0" collapsed="false">
      <c r="A6" s="7" t="s">
        <v>329</v>
      </c>
      <c r="B6" s="50" t="n">
        <v>0</v>
      </c>
      <c r="C6" s="7" t="s">
        <v>325</v>
      </c>
      <c r="D6" s="8" t="n">
        <v>0</v>
      </c>
      <c r="E6" s="8" t="n">
        <v>0</v>
      </c>
      <c r="F6" s="22" t="n">
        <v>0.05</v>
      </c>
      <c r="G6" s="22" t="n">
        <v>1.5</v>
      </c>
      <c r="H6" s="22" t="n">
        <v>8</v>
      </c>
      <c r="I6" s="8" t="n">
        <f aca="false">Inputs!B28</f>
        <v>100</v>
      </c>
      <c r="J6" s="24" t="n">
        <f aca="false">IF(B6=1,1-10^(-F6/10),0)</f>
        <v>0</v>
      </c>
      <c r="K6" s="24" t="n">
        <f aca="false">Inputs!B41*1000*Inputs!B40*J6</f>
        <v>0</v>
      </c>
      <c r="L6" s="24" t="n">
        <f aca="false">K6*H6</f>
        <v>0</v>
      </c>
      <c r="M6" s="24" t="n">
        <f aca="false">Inputs!B27+L6</f>
        <v>-54.3</v>
      </c>
      <c r="N6" s="24" t="n">
        <f aca="false">IF(OR(B6=0,J6=0,H6=0),1E+099,(I6-Inputs!B27)/Inputs!B48/(Inputs!B40*J6*H6)/1000)</f>
        <v>1E+099</v>
      </c>
      <c r="O6" s="7" t="s">
        <v>330</v>
      </c>
    </row>
    <row r="7" customFormat="false" ht="16.5" hidden="false" customHeight="true" outlineLevel="0" collapsed="false">
      <c r="A7" s="7" t="s">
        <v>331</v>
      </c>
      <c r="B7" s="50" t="n">
        <v>0</v>
      </c>
      <c r="C7" s="7" t="s">
        <v>325</v>
      </c>
      <c r="D7" s="8" t="n">
        <v>0</v>
      </c>
      <c r="E7" s="8" t="n">
        <v>0</v>
      </c>
      <c r="F7" s="22" t="n">
        <v>0.1</v>
      </c>
      <c r="G7" s="22" t="n">
        <v>2</v>
      </c>
      <c r="H7" s="22" t="n">
        <v>5</v>
      </c>
      <c r="I7" s="8" t="n">
        <f aca="false">Inputs!B28</f>
        <v>100</v>
      </c>
      <c r="J7" s="24" t="n">
        <f aca="false">IF(B7=1,1-10^(-F7/10),0)</f>
        <v>0</v>
      </c>
      <c r="K7" s="24" t="n">
        <f aca="false">Inputs!B41*1000*Inputs!B40*J7</f>
        <v>0</v>
      </c>
      <c r="L7" s="24" t="n">
        <f aca="false">K7*H7</f>
        <v>0</v>
      </c>
      <c r="M7" s="24" t="n">
        <f aca="false">Inputs!B27+L7</f>
        <v>-54.3</v>
      </c>
      <c r="N7" s="24" t="n">
        <f aca="false">IF(OR(B7=0,J7=0,H7=0),1E+099,(I7-Inputs!B27)/Inputs!B48/(Inputs!B40*J7*H7)/1000)</f>
        <v>1E+099</v>
      </c>
      <c r="O7" s="7" t="s">
        <v>332</v>
      </c>
    </row>
    <row r="8" customFormat="false" ht="16.5" hidden="false" customHeight="true" outlineLevel="0" collapsed="false">
      <c r="A8" s="7" t="s">
        <v>333</v>
      </c>
      <c r="B8" s="50" t="n">
        <v>0</v>
      </c>
      <c r="C8" s="7" t="s">
        <v>325</v>
      </c>
      <c r="D8" s="8" t="n">
        <v>0</v>
      </c>
      <c r="E8" s="8" t="n">
        <v>0</v>
      </c>
      <c r="F8" s="22" t="n">
        <v>0.05</v>
      </c>
      <c r="G8" s="22" t="n">
        <v>2</v>
      </c>
      <c r="H8" s="22" t="n">
        <v>8</v>
      </c>
      <c r="I8" s="8" t="n">
        <f aca="false">Inputs!B28</f>
        <v>100</v>
      </c>
      <c r="J8" s="24" t="n">
        <f aca="false">IF(B8=1,1-10^(-F8/10),0)</f>
        <v>0</v>
      </c>
      <c r="K8" s="24" t="n">
        <f aca="false">Inputs!B41*1000*Inputs!B40*J8</f>
        <v>0</v>
      </c>
      <c r="L8" s="24" t="n">
        <f aca="false">K8*H8</f>
        <v>0</v>
      </c>
      <c r="M8" s="24" t="n">
        <f aca="false">Inputs!B27+L8</f>
        <v>-54.3</v>
      </c>
      <c r="N8" s="24" t="n">
        <f aca="false">IF(OR(B8=0,J8=0,H8=0),1E+099,(I8-Inputs!B27)/Inputs!B48/(Inputs!B40*J8*H8)/1000)</f>
        <v>1E+099</v>
      </c>
      <c r="O8" s="7" t="s">
        <v>334</v>
      </c>
    </row>
    <row r="9" customFormat="false" ht="15" hidden="false" customHeight="true" outlineLevel="0" collapsed="false">
      <c r="A9" s="3"/>
      <c r="B9" s="3"/>
      <c r="C9" s="3"/>
      <c r="D9" s="8"/>
      <c r="E9" s="8"/>
      <c r="F9" s="8"/>
      <c r="G9" s="8"/>
      <c r="H9" s="8"/>
      <c r="I9" s="8"/>
      <c r="J9" s="24"/>
      <c r="K9" s="24"/>
      <c r="L9" s="24"/>
      <c r="M9" s="24"/>
      <c r="N9" s="24"/>
      <c r="O9" s="3"/>
    </row>
    <row r="10" customFormat="false" ht="16.5" hidden="false" customHeight="true" outlineLevel="0" collapsed="false">
      <c r="A10" s="21" t="s">
        <v>335</v>
      </c>
      <c r="B10" s="21"/>
      <c r="C10" s="21"/>
      <c r="D10" s="51"/>
      <c r="E10" s="51"/>
      <c r="F10" s="51" t="n">
        <f aca="false">SUMPRODUCT(B3:B8,F3:F8)</f>
        <v>0.0118266961795332</v>
      </c>
      <c r="G10" s="51" t="n">
        <f aca="false">MAX(1,IF(B3=1,G3,0),IF(B4=1,G4,0),IF(B5=1,G5,0),IF(B6=1,G6,0),IF(B7=1,G7,0),IF(B8=1,G8,0))</f>
        <v>1</v>
      </c>
      <c r="H10" s="51"/>
      <c r="I10" s="51"/>
      <c r="J10" s="52" t="n">
        <f aca="false">1-10^(-F10/10)</f>
        <v>0.00271949289360185</v>
      </c>
      <c r="K10" s="52" t="n">
        <f aca="false">Inputs!B41*1000*Inputs!B40*J10</f>
        <v>1.19657687318481</v>
      </c>
      <c r="L10" s="52"/>
      <c r="M10" s="52" t="n">
        <f aca="false">MAX(M3:M8)</f>
        <v>-40.0924057493476</v>
      </c>
      <c r="N10" s="52" t="n">
        <f aca="false">MIN(N3:N8)</f>
        <v>173.766223643854</v>
      </c>
      <c r="O10" s="53" t="s">
        <v>336</v>
      </c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</sheetData>
  <mergeCells count="1">
    <mergeCell ref="A1:O1"/>
  </mergeCells>
  <dataValidations count="1">
    <dataValidation allowBlank="false" errorStyle="stop" operator="between" showDropDown="false" showErrorMessage="false" showInputMessage="false" sqref="B3:B8" type="list">
      <formula1>"0,1"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1" width="15"/>
  </cols>
  <sheetData>
    <row r="1" customFormat="false" ht="24" hidden="false" customHeight="true" outlineLevel="0" collapsed="false">
      <c r="A1" s="49" t="s">
        <v>337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45.75" hidden="false" customHeight="true" outlineLevel="0" collapsed="false">
      <c r="A3" s="5" t="s">
        <v>338</v>
      </c>
      <c r="B3" s="5" t="s">
        <v>339</v>
      </c>
      <c r="C3" s="5" t="s">
        <v>340</v>
      </c>
      <c r="D3" s="5" t="s">
        <v>341</v>
      </c>
      <c r="E3" s="5" t="s">
        <v>342</v>
      </c>
      <c r="F3" s="5" t="s">
        <v>343</v>
      </c>
      <c r="G3" s="5" t="s">
        <v>43</v>
      </c>
      <c r="H3" s="5" t="s">
        <v>344</v>
      </c>
      <c r="I3" s="5" t="s">
        <v>345</v>
      </c>
      <c r="J3" s="5" t="s">
        <v>346</v>
      </c>
      <c r="K3" s="5" t="s">
        <v>347</v>
      </c>
      <c r="L3" s="5" t="s">
        <v>348</v>
      </c>
      <c r="M3" s="5" t="s">
        <v>349</v>
      </c>
      <c r="N3" s="5" t="s">
        <v>350</v>
      </c>
      <c r="O3" s="3"/>
    </row>
    <row r="4" customFormat="false" ht="16.5" hidden="false" customHeight="true" outlineLevel="0" collapsed="false">
      <c r="A4" s="11" t="n">
        <v>1</v>
      </c>
      <c r="B4" s="11" t="n">
        <f aca="false">A4*Inputs!B44</f>
        <v>0.96</v>
      </c>
      <c r="C4" s="11" t="n">
        <f aca="false">SQRT(4*Inputs!B21*A4*1000/(Inputs!B10*Inputs!B11))/1000</f>
        <v>96.4499100135902</v>
      </c>
      <c r="D4" s="11" t="n">
        <f aca="false">C4*(1+Inputs!B43)</f>
        <v>115.739892016308</v>
      </c>
      <c r="E4" s="11" t="n">
        <f aca="false">D4*Components!G10</f>
        <v>115.739892016308</v>
      </c>
      <c r="F4" s="11" t="n">
        <f aca="false">Inputs!B63/1000</f>
        <v>1446.66209732694</v>
      </c>
      <c r="G4" s="54" t="n">
        <f aca="false">E4/F4</f>
        <v>0.0800047863493252</v>
      </c>
      <c r="H4" s="11" t="n">
        <f aca="false">A4*Inputs!B40</f>
        <v>0.0275</v>
      </c>
      <c r="I4" s="11" t="n">
        <f aca="false">H4*1000*Components!J10</f>
        <v>0.0747860545740509</v>
      </c>
      <c r="J4" s="11" t="n">
        <f aca="false">Components!N10</f>
        <v>173.766223643854</v>
      </c>
      <c r="K4" s="54" t="n">
        <f aca="false">A4/J4</f>
        <v>0.00575485833224741</v>
      </c>
      <c r="L4" s="55" t="str">
        <f aca="false">IF(G4&lt;1,"合格","NG")</f>
        <v>合格</v>
      </c>
      <c r="M4" s="55" t="str">
        <f aca="false">IF(K4&lt;1,"合格","NG")</f>
        <v>合格</v>
      </c>
      <c r="N4" s="55" t="str">
        <f aca="false">IF(AND(L4="合格",M4="合格"),"合格","NG")</f>
        <v>合格</v>
      </c>
      <c r="O4" s="3"/>
    </row>
    <row r="5" customFormat="false" ht="16.5" hidden="false" customHeight="true" outlineLevel="0" collapsed="false">
      <c r="A5" s="11" t="n">
        <v>2</v>
      </c>
      <c r="B5" s="11" t="n">
        <f aca="false">A5*Inputs!B44</f>
        <v>1.92</v>
      </c>
      <c r="C5" s="11" t="n">
        <f aca="false">SQRT(4*Inputs!B21*A5*1000/(Inputs!B10*Inputs!B11))/1000</f>
        <v>136.400770830884</v>
      </c>
      <c r="D5" s="11" t="n">
        <f aca="false">C5*(1+Inputs!B43)</f>
        <v>163.680924997061</v>
      </c>
      <c r="E5" s="11" t="n">
        <f aca="false">D5*Components!G10</f>
        <v>163.680924997061</v>
      </c>
      <c r="F5" s="11" t="n">
        <f aca="false">Inputs!B63/1000</f>
        <v>1446.66209732694</v>
      </c>
      <c r="G5" s="54" t="n">
        <f aca="false">E5/F5</f>
        <v>0.113143853909978</v>
      </c>
      <c r="H5" s="11" t="n">
        <f aca="false">A5*Inputs!B40</f>
        <v>0.055</v>
      </c>
      <c r="I5" s="11" t="n">
        <f aca="false">H5*1000*Components!J10</f>
        <v>0.149572109148102</v>
      </c>
      <c r="J5" s="11" t="n">
        <f aca="false">Components!N10</f>
        <v>173.766223643854</v>
      </c>
      <c r="K5" s="54" t="n">
        <f aca="false">A5/J5</f>
        <v>0.0115097166644948</v>
      </c>
      <c r="L5" s="55" t="str">
        <f aca="false">IF(G5&lt;1,"合格","NG")</f>
        <v>合格</v>
      </c>
      <c r="M5" s="55" t="str">
        <f aca="false">IF(K5&lt;1,"合格","NG")</f>
        <v>合格</v>
      </c>
      <c r="N5" s="55" t="str">
        <f aca="false">IF(AND(L5="合格",M5="合格"),"合格","NG")</f>
        <v>合格</v>
      </c>
      <c r="O5" s="3"/>
    </row>
    <row r="6" customFormat="false" ht="16.5" hidden="false" customHeight="true" outlineLevel="0" collapsed="false">
      <c r="A6" s="11" t="n">
        <v>3</v>
      </c>
      <c r="B6" s="11" t="n">
        <f aca="false">A6*Inputs!B44</f>
        <v>2.88</v>
      </c>
      <c r="C6" s="11" t="n">
        <f aca="false">SQRT(4*Inputs!B21*A6*1000/(Inputs!B10*Inputs!B11))/1000</f>
        <v>167.056144528984</v>
      </c>
      <c r="D6" s="11" t="n">
        <f aca="false">C6*(1+Inputs!B43)</f>
        <v>200.467373434781</v>
      </c>
      <c r="E6" s="11" t="n">
        <f aca="false">D6*Components!G10</f>
        <v>200.467373434781</v>
      </c>
      <c r="F6" s="11" t="n">
        <f aca="false">Inputs!B63/1000</f>
        <v>1446.66209732694</v>
      </c>
      <c r="G6" s="54" t="n">
        <f aca="false">E6/F6</f>
        <v>0.138572354805724</v>
      </c>
      <c r="H6" s="11" t="n">
        <f aca="false">A6*Inputs!B40</f>
        <v>0.0825</v>
      </c>
      <c r="I6" s="11" t="n">
        <f aca="false">H6*1000*Components!J10</f>
        <v>0.224358163722153</v>
      </c>
      <c r="J6" s="11" t="n">
        <f aca="false">Components!N10</f>
        <v>173.766223643854</v>
      </c>
      <c r="K6" s="54" t="n">
        <f aca="false">A6/J6</f>
        <v>0.0172645749967422</v>
      </c>
      <c r="L6" s="55" t="str">
        <f aca="false">IF(G6&lt;1,"合格","NG")</f>
        <v>合格</v>
      </c>
      <c r="M6" s="55" t="str">
        <f aca="false">IF(K6&lt;1,"合格","NG")</f>
        <v>合格</v>
      </c>
      <c r="N6" s="55" t="str">
        <f aca="false">IF(AND(L6="合格",M6="合格"),"合格","NG")</f>
        <v>合格</v>
      </c>
      <c r="O6" s="3"/>
    </row>
    <row r="7" customFormat="false" ht="16.5" hidden="false" customHeight="true" outlineLevel="0" collapsed="false">
      <c r="A7" s="11" t="n">
        <v>4</v>
      </c>
      <c r="B7" s="11" t="n">
        <f aca="false">A7*Inputs!B44</f>
        <v>3.84</v>
      </c>
      <c r="C7" s="11" t="n">
        <f aca="false">SQRT(4*Inputs!B21*A7*1000/(Inputs!B10*Inputs!B11))/1000</f>
        <v>192.89982002718</v>
      </c>
      <c r="D7" s="11" t="n">
        <f aca="false">C7*(1+Inputs!B43)</f>
        <v>231.479784032616</v>
      </c>
      <c r="E7" s="11" t="n">
        <f aca="false">D7*Components!G10</f>
        <v>231.479784032616</v>
      </c>
      <c r="F7" s="11" t="n">
        <f aca="false">Inputs!B63/1000</f>
        <v>1446.66209732694</v>
      </c>
      <c r="G7" s="54" t="n">
        <f aca="false">E7/F7</f>
        <v>0.16000957269865</v>
      </c>
      <c r="H7" s="11" t="n">
        <f aca="false">A7*Inputs!B40</f>
        <v>0.11</v>
      </c>
      <c r="I7" s="11" t="n">
        <f aca="false">H7*1000*Components!J10</f>
        <v>0.299144218296203</v>
      </c>
      <c r="J7" s="11" t="n">
        <f aca="false">Components!N10</f>
        <v>173.766223643854</v>
      </c>
      <c r="K7" s="54" t="n">
        <f aca="false">A7/J7</f>
        <v>0.0230194333289896</v>
      </c>
      <c r="L7" s="55" t="str">
        <f aca="false">IF(G7&lt;1,"合格","NG")</f>
        <v>合格</v>
      </c>
      <c r="M7" s="55" t="str">
        <f aca="false">IF(K7&lt;1,"合格","NG")</f>
        <v>合格</v>
      </c>
      <c r="N7" s="55" t="str">
        <f aca="false">IF(AND(L7="合格",M7="合格"),"合格","NG")</f>
        <v>合格</v>
      </c>
      <c r="O7" s="3"/>
    </row>
    <row r="8" customFormat="false" ht="16.5" hidden="false" customHeight="true" outlineLevel="0" collapsed="false">
      <c r="A8" s="11" t="n">
        <v>5</v>
      </c>
      <c r="B8" s="11" t="n">
        <f aca="false">A8*Inputs!B44</f>
        <v>4.8</v>
      </c>
      <c r="C8" s="11" t="n">
        <f aca="false">SQRT(4*Inputs!B21*A8*1000/(Inputs!B10*Inputs!B11))/1000</f>
        <v>215.668555214125</v>
      </c>
      <c r="D8" s="11" t="n">
        <f aca="false">C8*(1+Inputs!B43)</f>
        <v>258.80226625695</v>
      </c>
      <c r="E8" s="11" t="n">
        <f aca="false">D8*Components!G10</f>
        <v>258.80226625695</v>
      </c>
      <c r="F8" s="11" t="n">
        <f aca="false">Inputs!B63/1000</f>
        <v>1446.66209732694</v>
      </c>
      <c r="G8" s="54" t="n">
        <f aca="false">E8/F8</f>
        <v>0.178896140802438</v>
      </c>
      <c r="H8" s="11" t="n">
        <f aca="false">A8*Inputs!B40</f>
        <v>0.1375</v>
      </c>
      <c r="I8" s="11" t="n">
        <f aca="false">H8*1000*Components!J10</f>
        <v>0.373930272870254</v>
      </c>
      <c r="J8" s="11" t="n">
        <f aca="false">Components!N10</f>
        <v>173.766223643854</v>
      </c>
      <c r="K8" s="54" t="n">
        <f aca="false">A8/J8</f>
        <v>0.028774291661237</v>
      </c>
      <c r="L8" s="55" t="str">
        <f aca="false">IF(G8&lt;1,"合格","NG")</f>
        <v>合格</v>
      </c>
      <c r="M8" s="55" t="str">
        <f aca="false">IF(K8&lt;1,"合格","NG")</f>
        <v>合格</v>
      </c>
      <c r="N8" s="55" t="str">
        <f aca="false">IF(AND(L8="合格",M8="合格"),"合格","NG")</f>
        <v>合格</v>
      </c>
      <c r="O8" s="3"/>
    </row>
    <row r="9" customFormat="false" ht="16.5" hidden="false" customHeight="true" outlineLevel="0" collapsed="false">
      <c r="A9" s="11" t="n">
        <v>6</v>
      </c>
      <c r="B9" s="11" t="n">
        <f aca="false">A9*Inputs!B44</f>
        <v>5.76</v>
      </c>
      <c r="C9" s="11" t="n">
        <f aca="false">SQRT(4*Inputs!B21*A9*1000/(Inputs!B10*Inputs!B11))/1000</f>
        <v>236.25306527065</v>
      </c>
      <c r="D9" s="11" t="n">
        <f aca="false">C9*(1+Inputs!B43)</f>
        <v>283.50367832478</v>
      </c>
      <c r="E9" s="11" t="n">
        <f aca="false">D9*Components!G10</f>
        <v>283.50367832478</v>
      </c>
      <c r="F9" s="11" t="n">
        <f aca="false">Inputs!B63/1000</f>
        <v>1446.66209732694</v>
      </c>
      <c r="G9" s="54" t="n">
        <f aca="false">E9/F9</f>
        <v>0.195970903536232</v>
      </c>
      <c r="H9" s="11" t="n">
        <f aca="false">A9*Inputs!B40</f>
        <v>0.165</v>
      </c>
      <c r="I9" s="11" t="n">
        <f aca="false">H9*1000*Components!J10</f>
        <v>0.448716327444305</v>
      </c>
      <c r="J9" s="11" t="n">
        <f aca="false">Components!N10</f>
        <v>173.766223643854</v>
      </c>
      <c r="K9" s="54" t="n">
        <f aca="false">A9/J9</f>
        <v>0.0345291499934844</v>
      </c>
      <c r="L9" s="55" t="str">
        <f aca="false">IF(G9&lt;1,"合格","NG")</f>
        <v>合格</v>
      </c>
      <c r="M9" s="55" t="str">
        <f aca="false">IF(K9&lt;1,"合格","NG")</f>
        <v>合格</v>
      </c>
      <c r="N9" s="55" t="str">
        <f aca="false">IF(AND(L9="合格",M9="合格"),"合格","NG")</f>
        <v>合格</v>
      </c>
      <c r="O9" s="3"/>
    </row>
    <row r="10" customFormat="false" ht="16.5" hidden="false" customHeight="true" outlineLevel="0" collapsed="false">
      <c r="A10" s="11" t="n">
        <v>7</v>
      </c>
      <c r="B10" s="11" t="n">
        <f aca="false">A10*Inputs!B44</f>
        <v>6.72</v>
      </c>
      <c r="C10" s="11" t="n">
        <f aca="false">SQRT(4*Inputs!B21*A10*1000/(Inputs!B10*Inputs!B11))/1000</f>
        <v>255.182475870518</v>
      </c>
      <c r="D10" s="11" t="n">
        <f aca="false">C10*(1+Inputs!B43)</f>
        <v>306.218971044622</v>
      </c>
      <c r="E10" s="11" t="n">
        <f aca="false">D10*Components!G10</f>
        <v>306.218971044622</v>
      </c>
      <c r="F10" s="11" t="n">
        <f aca="false">Inputs!B63/1000</f>
        <v>1446.66209732694</v>
      </c>
      <c r="G10" s="54" t="n">
        <f aca="false">E10/F10</f>
        <v>0.21167276837517</v>
      </c>
      <c r="H10" s="11" t="n">
        <f aca="false">A10*Inputs!B40</f>
        <v>0.1925</v>
      </c>
      <c r="I10" s="11" t="n">
        <f aca="false">H10*1000*Components!J10</f>
        <v>0.523502382018356</v>
      </c>
      <c r="J10" s="11" t="n">
        <f aca="false">Components!N10</f>
        <v>173.766223643854</v>
      </c>
      <c r="K10" s="54" t="n">
        <f aca="false">A10/J10</f>
        <v>0.0402840083257319</v>
      </c>
      <c r="L10" s="55" t="str">
        <f aca="false">IF(G10&lt;1,"合格","NG")</f>
        <v>合格</v>
      </c>
      <c r="M10" s="55" t="str">
        <f aca="false">IF(K10&lt;1,"合格","NG")</f>
        <v>合格</v>
      </c>
      <c r="N10" s="55" t="str">
        <f aca="false">IF(AND(L10="合格",M10="合格"),"合格","NG")</f>
        <v>合格</v>
      </c>
      <c r="O10" s="3"/>
    </row>
    <row r="11" customFormat="false" ht="16.5" hidden="false" customHeight="true" outlineLevel="0" collapsed="false">
      <c r="A11" s="11" t="n">
        <v>8</v>
      </c>
      <c r="B11" s="11" t="n">
        <f aca="false">A11*Inputs!B44</f>
        <v>7.68</v>
      </c>
      <c r="C11" s="11" t="n">
        <f aca="false">SQRT(4*Inputs!B21*A11*1000/(Inputs!B10*Inputs!B11))/1000</f>
        <v>272.801541661768</v>
      </c>
      <c r="D11" s="11" t="n">
        <f aca="false">C11*(1+Inputs!B43)</f>
        <v>327.361849994121</v>
      </c>
      <c r="E11" s="11" t="n">
        <f aca="false">D11*Components!G10</f>
        <v>327.361849994121</v>
      </c>
      <c r="F11" s="11" t="n">
        <f aca="false">Inputs!B63/1000</f>
        <v>1446.66209732694</v>
      </c>
      <c r="G11" s="54" t="n">
        <f aca="false">E11/F11</f>
        <v>0.226287707819955</v>
      </c>
      <c r="H11" s="11" t="n">
        <f aca="false">A11*Inputs!B40</f>
        <v>0.22</v>
      </c>
      <c r="I11" s="11" t="n">
        <f aca="false">H11*1000*Components!J10</f>
        <v>0.598288436592407</v>
      </c>
      <c r="J11" s="11" t="n">
        <f aca="false">Components!N10</f>
        <v>173.766223643854</v>
      </c>
      <c r="K11" s="54" t="n">
        <f aca="false">A11/J11</f>
        <v>0.0460388666579793</v>
      </c>
      <c r="L11" s="55" t="str">
        <f aca="false">IF(G11&lt;1,"合格","NG")</f>
        <v>合格</v>
      </c>
      <c r="M11" s="55" t="str">
        <f aca="false">IF(K11&lt;1,"合格","NG")</f>
        <v>合格</v>
      </c>
      <c r="N11" s="55" t="str">
        <f aca="false">IF(AND(L11="合格",M11="合格"),"合格","NG")</f>
        <v>合格</v>
      </c>
      <c r="O11" s="3"/>
    </row>
    <row r="12" customFormat="false" ht="16.5" hidden="false" customHeight="true" outlineLevel="0" collapsed="false">
      <c r="A12" s="11" t="n">
        <v>9</v>
      </c>
      <c r="B12" s="11" t="n">
        <f aca="false">A12*Inputs!B44</f>
        <v>8.64</v>
      </c>
      <c r="C12" s="11" t="n">
        <f aca="false">SQRT(4*Inputs!B21*A12*1000/(Inputs!B10*Inputs!B11))/1000</f>
        <v>289.349730040771</v>
      </c>
      <c r="D12" s="11" t="n">
        <f aca="false">C12*(1+Inputs!B43)</f>
        <v>347.219676048925</v>
      </c>
      <c r="E12" s="11" t="n">
        <f aca="false">D12*Components!G10</f>
        <v>347.219676048925</v>
      </c>
      <c r="F12" s="11" t="n">
        <f aca="false">Inputs!B63/1000</f>
        <v>1446.66209732694</v>
      </c>
      <c r="G12" s="54" t="n">
        <f aca="false">E12/F12</f>
        <v>0.240014359047976</v>
      </c>
      <c r="H12" s="11" t="n">
        <f aca="false">A12*Inputs!B40</f>
        <v>0.2475</v>
      </c>
      <c r="I12" s="11" t="n">
        <f aca="false">H12*1000*Components!J10</f>
        <v>0.673074491166458</v>
      </c>
      <c r="J12" s="11" t="n">
        <f aca="false">Components!N10</f>
        <v>173.766223643854</v>
      </c>
      <c r="K12" s="54" t="n">
        <f aca="false">A12/J12</f>
        <v>0.0517937249902267</v>
      </c>
      <c r="L12" s="55" t="str">
        <f aca="false">IF(G12&lt;1,"合格","NG")</f>
        <v>合格</v>
      </c>
      <c r="M12" s="55" t="str">
        <f aca="false">IF(K12&lt;1,"合格","NG")</f>
        <v>合格</v>
      </c>
      <c r="N12" s="55" t="str">
        <f aca="false">IF(AND(L12="合格",M12="合格"),"合格","NG")</f>
        <v>合格</v>
      </c>
      <c r="O12" s="3"/>
    </row>
    <row r="13" customFormat="false" ht="16.5" hidden="false" customHeight="true" outlineLevel="0" collapsed="false">
      <c r="A13" s="11" t="n">
        <v>10</v>
      </c>
      <c r="B13" s="11" t="n">
        <f aca="false">A13*Inputs!B44</f>
        <v>9.6</v>
      </c>
      <c r="C13" s="11" t="n">
        <f aca="false">SQRT(4*Inputs!B21*A13*1000/(Inputs!B10*Inputs!B11))/1000</f>
        <v>305.001395761227</v>
      </c>
      <c r="D13" s="11" t="n">
        <f aca="false">C13*(1+Inputs!B43)</f>
        <v>366.001674913472</v>
      </c>
      <c r="E13" s="11" t="n">
        <f aca="false">D13*Components!G10</f>
        <v>366.001674913472</v>
      </c>
      <c r="F13" s="11" t="n">
        <f aca="false">Inputs!B63/1000</f>
        <v>1446.66209732694</v>
      </c>
      <c r="G13" s="54" t="n">
        <f aca="false">E13/F13</f>
        <v>0.252997348579015</v>
      </c>
      <c r="H13" s="11" t="n">
        <f aca="false">A13*Inputs!B40</f>
        <v>0.275</v>
      </c>
      <c r="I13" s="11" t="n">
        <f aca="false">H13*1000*Components!J10</f>
        <v>0.747860545740509</v>
      </c>
      <c r="J13" s="11" t="n">
        <f aca="false">Components!N10</f>
        <v>173.766223643854</v>
      </c>
      <c r="K13" s="54" t="n">
        <f aca="false">A13/J13</f>
        <v>0.0575485833224741</v>
      </c>
      <c r="L13" s="55" t="str">
        <f aca="false">IF(G13&lt;1,"合格","NG")</f>
        <v>合格</v>
      </c>
      <c r="M13" s="55" t="str">
        <f aca="false">IF(K13&lt;1,"合格","NG")</f>
        <v>合格</v>
      </c>
      <c r="N13" s="55" t="str">
        <f aca="false">IF(AND(L13="合格",M13="合格"),"合格","NG")</f>
        <v>合格</v>
      </c>
      <c r="O13" s="3"/>
    </row>
    <row r="14" customFormat="false" ht="16.5" hidden="false" customHeight="true" outlineLevel="0" collapsed="false">
      <c r="A14" s="11" t="n">
        <v>11</v>
      </c>
      <c r="B14" s="11" t="n">
        <f aca="false">A14*Inputs!B44</f>
        <v>10.56</v>
      </c>
      <c r="C14" s="11" t="n">
        <f aca="false">SQRT(4*Inputs!B21*A14*1000/(Inputs!B10*Inputs!B11))/1000</f>
        <v>319.888162578621</v>
      </c>
      <c r="D14" s="11" t="n">
        <f aca="false">C14*(1+Inputs!B43)</f>
        <v>383.865795094345</v>
      </c>
      <c r="E14" s="11" t="n">
        <f aca="false">D14*Components!G10</f>
        <v>383.865795094345</v>
      </c>
      <c r="F14" s="11" t="n">
        <f aca="false">Inputs!B63/1000</f>
        <v>1446.66209732694</v>
      </c>
      <c r="G14" s="54" t="n">
        <f aca="false">E14/F14</f>
        <v>0.265345857753259</v>
      </c>
      <c r="H14" s="11" t="n">
        <f aca="false">A14*Inputs!B40</f>
        <v>0.3025</v>
      </c>
      <c r="I14" s="11" t="n">
        <f aca="false">H14*1000*Components!J10</f>
        <v>0.822646600314559</v>
      </c>
      <c r="J14" s="11" t="n">
        <f aca="false">Components!N10</f>
        <v>173.766223643854</v>
      </c>
      <c r="K14" s="54" t="n">
        <f aca="false">A14/J14</f>
        <v>0.0633034416547215</v>
      </c>
      <c r="L14" s="55" t="str">
        <f aca="false">IF(G14&lt;1,"合格","NG")</f>
        <v>合格</v>
      </c>
      <c r="M14" s="55" t="str">
        <f aca="false">IF(K14&lt;1,"合格","NG")</f>
        <v>合格</v>
      </c>
      <c r="N14" s="55" t="str">
        <f aca="false">IF(AND(L14="合格",M14="合格"),"合格","NG")</f>
        <v>合格</v>
      </c>
      <c r="O14" s="3"/>
    </row>
    <row r="15" customFormat="false" ht="16.5" hidden="false" customHeight="true" outlineLevel="0" collapsed="false">
      <c r="A15" s="11" t="n">
        <v>12</v>
      </c>
      <c r="B15" s="11" t="n">
        <f aca="false">A15*Inputs!B44</f>
        <v>11.52</v>
      </c>
      <c r="C15" s="11" t="n">
        <f aca="false">SQRT(4*Inputs!B21*A15*1000/(Inputs!B10*Inputs!B11))/1000</f>
        <v>334.112289057969</v>
      </c>
      <c r="D15" s="11" t="n">
        <f aca="false">C15*(1+Inputs!B43)</f>
        <v>400.934746869563</v>
      </c>
      <c r="E15" s="11" t="n">
        <f aca="false">D15*Components!G10</f>
        <v>400.934746869563</v>
      </c>
      <c r="F15" s="11" t="n">
        <f aca="false">Inputs!B63/1000</f>
        <v>1446.66209732694</v>
      </c>
      <c r="G15" s="54" t="n">
        <f aca="false">E15/F15</f>
        <v>0.277144709611448</v>
      </c>
      <c r="H15" s="11" t="n">
        <f aca="false">A15*Inputs!B40</f>
        <v>0.33</v>
      </c>
      <c r="I15" s="11" t="n">
        <f aca="false">H15*1000*Components!J10</f>
        <v>0.89743265488861</v>
      </c>
      <c r="J15" s="11" t="n">
        <f aca="false">Components!N10</f>
        <v>173.766223643854</v>
      </c>
      <c r="K15" s="54" t="n">
        <f aca="false">A15/J15</f>
        <v>0.0690582999869689</v>
      </c>
      <c r="L15" s="55" t="str">
        <f aca="false">IF(G15&lt;1,"合格","NG")</f>
        <v>合格</v>
      </c>
      <c r="M15" s="55" t="str">
        <f aca="false">IF(K15&lt;1,"合格","NG")</f>
        <v>合格</v>
      </c>
      <c r="N15" s="55" t="str">
        <f aca="false">IF(AND(L15="合格",M15="合格"),"合格","NG")</f>
        <v>合格</v>
      </c>
      <c r="O15" s="3"/>
    </row>
    <row r="16" customFormat="false" ht="16.5" hidden="false" customHeight="true" outlineLevel="0" collapsed="false">
      <c r="A16" s="11" t="n">
        <v>13</v>
      </c>
      <c r="B16" s="11" t="n">
        <f aca="false">A16*Inputs!B44</f>
        <v>12.48</v>
      </c>
      <c r="C16" s="11" t="n">
        <f aca="false">SQRT(4*Inputs!B21*A16*1000/(Inputs!B10*Inputs!B11))/1000</f>
        <v>347.755096067887</v>
      </c>
      <c r="D16" s="11" t="n">
        <f aca="false">C16*(1+Inputs!B43)</f>
        <v>417.306115281464</v>
      </c>
      <c r="E16" s="11" t="n">
        <f aca="false">D16*Components!G10</f>
        <v>417.306115281464</v>
      </c>
      <c r="F16" s="11" t="n">
        <f aca="false">Inputs!B63/1000</f>
        <v>1446.66209732694</v>
      </c>
      <c r="G16" s="54" t="n">
        <f aca="false">E16/F16</f>
        <v>0.288461359465033</v>
      </c>
      <c r="H16" s="11" t="n">
        <f aca="false">A16*Inputs!B40</f>
        <v>0.3575</v>
      </c>
      <c r="I16" s="11" t="n">
        <f aca="false">H16*1000*Components!J10</f>
        <v>0.972218709462661</v>
      </c>
      <c r="J16" s="11" t="n">
        <f aca="false">Components!N10</f>
        <v>173.766223643854</v>
      </c>
      <c r="K16" s="54" t="n">
        <f aca="false">A16/J16</f>
        <v>0.0748131583192163</v>
      </c>
      <c r="L16" s="55" t="str">
        <f aca="false">IF(G16&lt;1,"合格","NG")</f>
        <v>合格</v>
      </c>
      <c r="M16" s="55" t="str">
        <f aca="false">IF(K16&lt;1,"合格","NG")</f>
        <v>合格</v>
      </c>
      <c r="N16" s="55" t="str">
        <f aca="false">IF(AND(L16="合格",M16="合格"),"合格","NG")</f>
        <v>合格</v>
      </c>
      <c r="O16" s="3"/>
    </row>
    <row r="17" customFormat="false" ht="16.5" hidden="false" customHeight="true" outlineLevel="0" collapsed="false">
      <c r="A17" s="11" t="n">
        <v>14</v>
      </c>
      <c r="B17" s="11" t="n">
        <f aca="false">A17*Inputs!B44</f>
        <v>13.44</v>
      </c>
      <c r="C17" s="11" t="n">
        <f aca="false">SQRT(4*Inputs!B21*A17*1000/(Inputs!B10*Inputs!B11))/1000</f>
        <v>360.882518256032</v>
      </c>
      <c r="D17" s="11" t="n">
        <f aca="false">C17*(1+Inputs!B43)</f>
        <v>433.059021907238</v>
      </c>
      <c r="E17" s="11" t="n">
        <f aca="false">D17*Components!G10</f>
        <v>433.059021907238</v>
      </c>
      <c r="F17" s="11" t="n">
        <f aca="false">Inputs!B63/1000</f>
        <v>1446.66209732694</v>
      </c>
      <c r="G17" s="54" t="n">
        <f aca="false">E17/F17</f>
        <v>0.299350499821224</v>
      </c>
      <c r="H17" s="11" t="n">
        <f aca="false">A17*Inputs!B40</f>
        <v>0.385</v>
      </c>
      <c r="I17" s="11" t="n">
        <f aca="false">H17*1000*Components!J10</f>
        <v>1.04700476403671</v>
      </c>
      <c r="J17" s="11" t="n">
        <f aca="false">Components!N10</f>
        <v>173.766223643854</v>
      </c>
      <c r="K17" s="54" t="n">
        <f aca="false">A17/J17</f>
        <v>0.0805680166514637</v>
      </c>
      <c r="L17" s="55" t="str">
        <f aca="false">IF(G17&lt;1,"合格","NG")</f>
        <v>合格</v>
      </c>
      <c r="M17" s="55" t="str">
        <f aca="false">IF(K17&lt;1,"合格","NG")</f>
        <v>合格</v>
      </c>
      <c r="N17" s="55" t="str">
        <f aca="false">IF(AND(L17="合格",M17="合格"),"合格","NG")</f>
        <v>合格</v>
      </c>
      <c r="O17" s="3"/>
    </row>
    <row r="18" customFormat="false" ht="16.5" hidden="false" customHeight="true" outlineLevel="0" collapsed="false">
      <c r="A18" s="11" t="n">
        <v>15</v>
      </c>
      <c r="B18" s="11" t="n">
        <f aca="false">A18*Inputs!B44</f>
        <v>14.4</v>
      </c>
      <c r="C18" s="11" t="n">
        <f aca="false">SQRT(4*Inputs!B21*A18*1000/(Inputs!B10*Inputs!B11))/1000</f>
        <v>373.548895225839</v>
      </c>
      <c r="D18" s="11" t="n">
        <f aca="false">C18*(1+Inputs!B43)</f>
        <v>448.258674271007</v>
      </c>
      <c r="E18" s="11" t="n">
        <f aca="false">D18*Components!G10</f>
        <v>448.258674271007</v>
      </c>
      <c r="F18" s="11" t="n">
        <f aca="false">Inputs!B63/1000</f>
        <v>1446.66209732694</v>
      </c>
      <c r="G18" s="54" t="n">
        <f aca="false">E18/F18</f>
        <v>0.309857205147819</v>
      </c>
      <c r="H18" s="11" t="n">
        <f aca="false">A18*Inputs!B40</f>
        <v>0.4125</v>
      </c>
      <c r="I18" s="11" t="n">
        <f aca="false">H18*1000*Components!J10</f>
        <v>1.12179081861076</v>
      </c>
      <c r="J18" s="11" t="n">
        <f aca="false">Components!N10</f>
        <v>173.766223643854</v>
      </c>
      <c r="K18" s="54" t="n">
        <f aca="false">A18/J18</f>
        <v>0.0863228749837111</v>
      </c>
      <c r="L18" s="55" t="str">
        <f aca="false">IF(G18&lt;1,"合格","NG")</f>
        <v>合格</v>
      </c>
      <c r="M18" s="55" t="str">
        <f aca="false">IF(K18&lt;1,"合格","NG")</f>
        <v>合格</v>
      </c>
      <c r="N18" s="55" t="str">
        <f aca="false">IF(AND(L18="合格",M18="合格"),"合格","NG")</f>
        <v>合格</v>
      </c>
      <c r="O18" s="3"/>
    </row>
    <row r="19" customFormat="false" ht="16.5" hidden="false" customHeight="true" outlineLevel="0" collapsed="false">
      <c r="A19" s="11" t="n">
        <v>16</v>
      </c>
      <c r="B19" s="11" t="n">
        <f aca="false">A19*Inputs!B44</f>
        <v>15.36</v>
      </c>
      <c r="C19" s="11" t="n">
        <f aca="false">SQRT(4*Inputs!B21*A19*1000/(Inputs!B10*Inputs!B11))/1000</f>
        <v>385.799640054361</v>
      </c>
      <c r="D19" s="11" t="n">
        <f aca="false">C19*(1+Inputs!B43)</f>
        <v>462.959568065233</v>
      </c>
      <c r="E19" s="11" t="n">
        <f aca="false">D19*Components!G10</f>
        <v>462.959568065233</v>
      </c>
      <c r="F19" s="11" t="n">
        <f aca="false">Inputs!B63/1000</f>
        <v>1446.66209732694</v>
      </c>
      <c r="G19" s="54" t="n">
        <f aca="false">E19/F19</f>
        <v>0.320019145397301</v>
      </c>
      <c r="H19" s="11" t="n">
        <f aca="false">A19*Inputs!B40</f>
        <v>0.44</v>
      </c>
      <c r="I19" s="11" t="n">
        <f aca="false">H19*1000*Components!J10</f>
        <v>1.19657687318481</v>
      </c>
      <c r="J19" s="11" t="n">
        <f aca="false">Components!N10</f>
        <v>173.766223643854</v>
      </c>
      <c r="K19" s="54" t="n">
        <f aca="false">A19/J19</f>
        <v>0.0920777333159585</v>
      </c>
      <c r="L19" s="55" t="str">
        <f aca="false">IF(G19&lt;1,"合格","NG")</f>
        <v>合格</v>
      </c>
      <c r="M19" s="55" t="str">
        <f aca="false">IF(K19&lt;1,"合格","NG")</f>
        <v>合格</v>
      </c>
      <c r="N19" s="55" t="str">
        <f aca="false">IF(AND(L19="合格",M19="合格"),"合格","NG")</f>
        <v>合格</v>
      </c>
      <c r="O19" s="3"/>
    </row>
    <row r="20" customFormat="false" ht="16.5" hidden="false" customHeight="true" outlineLevel="0" collapsed="false">
      <c r="A20" s="11" t="n">
        <v>17</v>
      </c>
      <c r="B20" s="11" t="n">
        <f aca="false">A20*Inputs!B44</f>
        <v>16.32</v>
      </c>
      <c r="C20" s="11" t="n">
        <f aca="false">SQRT(4*Inputs!B21*A20*1000/(Inputs!B10*Inputs!B11))/1000</f>
        <v>397.673166567351</v>
      </c>
      <c r="D20" s="11" t="n">
        <f aca="false">C20*(1+Inputs!B43)</f>
        <v>477.207799880821</v>
      </c>
      <c r="E20" s="11" t="n">
        <f aca="false">D20*Components!G10</f>
        <v>477.207799880821</v>
      </c>
      <c r="F20" s="11" t="n">
        <f aca="false">Inputs!B63/1000</f>
        <v>1446.66209732694</v>
      </c>
      <c r="G20" s="54" t="n">
        <f aca="false">E20/F20</f>
        <v>0.329868184673242</v>
      </c>
      <c r="H20" s="11" t="n">
        <f aca="false">A20*Inputs!B40</f>
        <v>0.4675</v>
      </c>
      <c r="I20" s="11" t="n">
        <f aca="false">H20*1000*Components!J10</f>
        <v>1.27136292775886</v>
      </c>
      <c r="J20" s="11" t="n">
        <f aca="false">Components!N10</f>
        <v>173.766223643854</v>
      </c>
      <c r="K20" s="54" t="n">
        <f aca="false">A20/J20</f>
        <v>0.0978325916482059</v>
      </c>
      <c r="L20" s="55" t="str">
        <f aca="false">IF(G20&lt;1,"合格","NG")</f>
        <v>合格</v>
      </c>
      <c r="M20" s="55" t="str">
        <f aca="false">IF(K20&lt;1,"合格","NG")</f>
        <v>合格</v>
      </c>
      <c r="N20" s="55" t="str">
        <f aca="false">IF(AND(L20="合格",M20="合格"),"合格","NG")</f>
        <v>合格</v>
      </c>
      <c r="O20" s="3"/>
    </row>
    <row r="21" customFormat="false" ht="16.5" hidden="false" customHeight="true" outlineLevel="0" collapsed="false">
      <c r="A21" s="11" t="n">
        <v>18</v>
      </c>
      <c r="B21" s="11" t="n">
        <f aca="false">A21*Inputs!B44</f>
        <v>17.28</v>
      </c>
      <c r="C21" s="11" t="n">
        <f aca="false">SQRT(4*Inputs!B21*A21*1000/(Inputs!B10*Inputs!B11))/1000</f>
        <v>409.202312492651</v>
      </c>
      <c r="D21" s="11" t="n">
        <f aca="false">C21*(1+Inputs!B43)</f>
        <v>491.042774991182</v>
      </c>
      <c r="E21" s="11" t="n">
        <f aca="false">D21*Components!G10</f>
        <v>491.042774991182</v>
      </c>
      <c r="F21" s="11" t="n">
        <f aca="false">Inputs!B63/1000</f>
        <v>1446.66209732694</v>
      </c>
      <c r="G21" s="54" t="n">
        <f aca="false">E21/F21</f>
        <v>0.339431561729933</v>
      </c>
      <c r="H21" s="11" t="n">
        <f aca="false">A21*Inputs!B40</f>
        <v>0.495</v>
      </c>
      <c r="I21" s="11" t="n">
        <f aca="false">H21*1000*Components!J10</f>
        <v>1.34614898233292</v>
      </c>
      <c r="J21" s="11" t="n">
        <f aca="false">Components!N10</f>
        <v>173.766223643854</v>
      </c>
      <c r="K21" s="54" t="n">
        <f aca="false">A21/J21</f>
        <v>0.103587449980453</v>
      </c>
      <c r="L21" s="55" t="str">
        <f aca="false">IF(G21&lt;1,"合格","NG")</f>
        <v>合格</v>
      </c>
      <c r="M21" s="55" t="str">
        <f aca="false">IF(K21&lt;1,"合格","NG")</f>
        <v>合格</v>
      </c>
      <c r="N21" s="55" t="str">
        <f aca="false">IF(AND(L21="合格",M21="合格"),"合格","NG")</f>
        <v>合格</v>
      </c>
      <c r="O21" s="3"/>
    </row>
    <row r="22" customFormat="false" ht="16.5" hidden="false" customHeight="true" outlineLevel="0" collapsed="false">
      <c r="A22" s="11" t="n">
        <v>19</v>
      </c>
      <c r="B22" s="11" t="n">
        <f aca="false">A22*Inputs!B44</f>
        <v>18.24</v>
      </c>
      <c r="C22" s="11" t="n">
        <f aca="false">SQRT(4*Inputs!B21*A22*1000/(Inputs!B10*Inputs!B11))/1000</f>
        <v>420.415410862831</v>
      </c>
      <c r="D22" s="11" t="n">
        <f aca="false">C22*(1+Inputs!B43)</f>
        <v>504.498493035397</v>
      </c>
      <c r="E22" s="11" t="n">
        <f aca="false">D22*Components!G10</f>
        <v>504.498493035397</v>
      </c>
      <c r="F22" s="11" t="n">
        <f aca="false">Inputs!B63/1000</f>
        <v>1446.66209732694</v>
      </c>
      <c r="G22" s="54" t="n">
        <f aca="false">E22/F22</f>
        <v>0.348732778696271</v>
      </c>
      <c r="H22" s="11" t="n">
        <f aca="false">A22*Inputs!B40</f>
        <v>0.5225</v>
      </c>
      <c r="I22" s="11" t="n">
        <f aca="false">H22*1000*Components!J10</f>
        <v>1.42093503690697</v>
      </c>
      <c r="J22" s="11" t="n">
        <f aca="false">Components!N10</f>
        <v>173.766223643854</v>
      </c>
      <c r="K22" s="54" t="n">
        <f aca="false">A22/J22</f>
        <v>0.109342308312701</v>
      </c>
      <c r="L22" s="55" t="str">
        <f aca="false">IF(G22&lt;1,"合格","NG")</f>
        <v>合格</v>
      </c>
      <c r="M22" s="55" t="str">
        <f aca="false">IF(K22&lt;1,"合格","NG")</f>
        <v>合格</v>
      </c>
      <c r="N22" s="55" t="str">
        <f aca="false">IF(AND(L22="合格",M22="合格"),"合格","NG")</f>
        <v>合格</v>
      </c>
      <c r="O22" s="3"/>
    </row>
    <row r="23" customFormat="false" ht="16.5" hidden="false" customHeight="true" outlineLevel="0" collapsed="false">
      <c r="A23" s="11" t="n">
        <v>20</v>
      </c>
      <c r="B23" s="11" t="n">
        <f aca="false">A23*Inputs!B44</f>
        <v>19.2</v>
      </c>
      <c r="C23" s="11" t="n">
        <f aca="false">SQRT(4*Inputs!B21*A23*1000/(Inputs!B10*Inputs!B11))/1000</f>
        <v>431.337110428251</v>
      </c>
      <c r="D23" s="11" t="n">
        <f aca="false">C23*(1+Inputs!B43)</f>
        <v>517.604532513901</v>
      </c>
      <c r="E23" s="11" t="n">
        <f aca="false">D23*Components!G10</f>
        <v>517.604532513901</v>
      </c>
      <c r="F23" s="11" t="n">
        <f aca="false">Inputs!B63/1000</f>
        <v>1446.66209732694</v>
      </c>
      <c r="G23" s="54" t="n">
        <f aca="false">E23/F23</f>
        <v>0.357792281604877</v>
      </c>
      <c r="H23" s="11" t="n">
        <f aca="false">A23*Inputs!B40</f>
        <v>0.55</v>
      </c>
      <c r="I23" s="11" t="n">
        <f aca="false">H23*1000*Components!J10</f>
        <v>1.49572109148102</v>
      </c>
      <c r="J23" s="11" t="n">
        <f aca="false">Components!N10</f>
        <v>173.766223643854</v>
      </c>
      <c r="K23" s="54" t="n">
        <f aca="false">A23/J23</f>
        <v>0.115097166644948</v>
      </c>
      <c r="L23" s="55" t="str">
        <f aca="false">IF(G23&lt;1,"合格","NG")</f>
        <v>合格</v>
      </c>
      <c r="M23" s="55" t="str">
        <f aca="false">IF(K23&lt;1,"合格","NG")</f>
        <v>合格</v>
      </c>
      <c r="N23" s="55" t="str">
        <f aca="false">IF(AND(L23="合格",M23="合格"),"合格","NG")</f>
        <v>合格</v>
      </c>
      <c r="O23" s="3"/>
    </row>
    <row r="24" customFormat="false" ht="16.5" hidden="false" customHeight="true" outlineLevel="0" collapsed="false">
      <c r="A24" s="11" t="n">
        <v>21</v>
      </c>
      <c r="B24" s="11" t="n">
        <f aca="false">A24*Inputs!B44</f>
        <v>20.16</v>
      </c>
      <c r="C24" s="11" t="n">
        <f aca="false">SQRT(4*Inputs!B21*A24*1000/(Inputs!B10*Inputs!B11))/1000</f>
        <v>441.989013408956</v>
      </c>
      <c r="D24" s="11" t="n">
        <f aca="false">C24*(1+Inputs!B43)</f>
        <v>530.386816090747</v>
      </c>
      <c r="E24" s="11" t="n">
        <f aca="false">D24*Components!G10</f>
        <v>530.386816090747</v>
      </c>
      <c r="F24" s="11" t="n">
        <f aca="false">Inputs!B63/1000</f>
        <v>1446.66209732694</v>
      </c>
      <c r="G24" s="54" t="n">
        <f aca="false">E24/F24</f>
        <v>0.366627989404552</v>
      </c>
      <c r="H24" s="11" t="n">
        <f aca="false">A24*Inputs!B40</f>
        <v>0.5775</v>
      </c>
      <c r="I24" s="11" t="n">
        <f aca="false">H24*1000*Components!J10</f>
        <v>1.57050714605507</v>
      </c>
      <c r="J24" s="11" t="n">
        <f aca="false">Components!N10</f>
        <v>173.766223643854</v>
      </c>
      <c r="K24" s="54" t="n">
        <f aca="false">A24/J24</f>
        <v>0.120852024977196</v>
      </c>
      <c r="L24" s="55" t="str">
        <f aca="false">IF(G24&lt;1,"合格","NG")</f>
        <v>合格</v>
      </c>
      <c r="M24" s="55" t="str">
        <f aca="false">IF(K24&lt;1,"合格","NG")</f>
        <v>合格</v>
      </c>
      <c r="N24" s="55" t="str">
        <f aca="false">IF(AND(L24="合格",M24="合格"),"合格","NG")</f>
        <v>合格</v>
      </c>
      <c r="O24" s="3"/>
    </row>
    <row r="25" customFormat="false" ht="16.5" hidden="false" customHeight="true" outlineLevel="0" collapsed="false">
      <c r="A25" s="11" t="n">
        <v>22</v>
      </c>
      <c r="B25" s="11" t="n">
        <f aca="false">A25*Inputs!B44</f>
        <v>21.12</v>
      </c>
      <c r="C25" s="11" t="n">
        <f aca="false">SQRT(4*Inputs!B21*A25*1000/(Inputs!B10*Inputs!B11))/1000</f>
        <v>452.390177961295</v>
      </c>
      <c r="D25" s="11" t="n">
        <f aca="false">C25*(1+Inputs!B43)</f>
        <v>542.868213553554</v>
      </c>
      <c r="E25" s="11" t="n">
        <f aca="false">D25*Components!G10</f>
        <v>542.868213553554</v>
      </c>
      <c r="F25" s="11" t="n">
        <f aca="false">Inputs!B63/1000</f>
        <v>1446.66209732694</v>
      </c>
      <c r="G25" s="54" t="n">
        <f aca="false">E25/F25</f>
        <v>0.375255710754181</v>
      </c>
      <c r="H25" s="11" t="n">
        <f aca="false">A25*Inputs!B40</f>
        <v>0.605</v>
      </c>
      <c r="I25" s="11" t="n">
        <f aca="false">H25*1000*Components!J10</f>
        <v>1.64529320062912</v>
      </c>
      <c r="J25" s="11" t="n">
        <f aca="false">Components!N10</f>
        <v>173.766223643854</v>
      </c>
      <c r="K25" s="54" t="n">
        <f aca="false">A25/J25</f>
        <v>0.126606883309443</v>
      </c>
      <c r="L25" s="55" t="str">
        <f aca="false">IF(G25&lt;1,"合格","NG")</f>
        <v>合格</v>
      </c>
      <c r="M25" s="55" t="str">
        <f aca="false">IF(K25&lt;1,"合格","NG")</f>
        <v>合格</v>
      </c>
      <c r="N25" s="55" t="str">
        <f aca="false">IF(AND(L25="合格",M25="合格"),"合格","NG")</f>
        <v>合格</v>
      </c>
      <c r="O25" s="3"/>
    </row>
    <row r="26" customFormat="false" ht="16.5" hidden="false" customHeight="true" outlineLevel="0" collapsed="false">
      <c r="A26" s="11" t="n">
        <v>23</v>
      </c>
      <c r="B26" s="11" t="n">
        <f aca="false">A26*Inputs!B44</f>
        <v>22.08</v>
      </c>
      <c r="C26" s="11" t="n">
        <f aca="false">SQRT(4*Inputs!B21*A26*1000/(Inputs!B10*Inputs!B11))/1000</f>
        <v>462.557518863851</v>
      </c>
      <c r="D26" s="11" t="n">
        <f aca="false">C26*(1+Inputs!B43)</f>
        <v>555.069022636621</v>
      </c>
      <c r="E26" s="11" t="n">
        <f aca="false">D26*Components!G10</f>
        <v>555.069022636621</v>
      </c>
      <c r="F26" s="11" t="n">
        <f aca="false">Inputs!B63/1000</f>
        <v>1446.66209732694</v>
      </c>
      <c r="G26" s="54" t="n">
        <f aca="false">E26/F26</f>
        <v>0.383689476389993</v>
      </c>
      <c r="H26" s="11" t="n">
        <f aca="false">A26*Inputs!B40</f>
        <v>0.6325</v>
      </c>
      <c r="I26" s="11" t="n">
        <f aca="false">H26*1000*Components!J10</f>
        <v>1.72007925520317</v>
      </c>
      <c r="J26" s="11" t="n">
        <f aca="false">Components!N10</f>
        <v>173.766223643854</v>
      </c>
      <c r="K26" s="54" t="n">
        <f aca="false">A26/J26</f>
        <v>0.13236174164169</v>
      </c>
      <c r="L26" s="55" t="str">
        <f aca="false">IF(G26&lt;1,"合格","NG")</f>
        <v>合格</v>
      </c>
      <c r="M26" s="55" t="str">
        <f aca="false">IF(K26&lt;1,"合格","NG")</f>
        <v>合格</v>
      </c>
      <c r="N26" s="55" t="str">
        <f aca="false">IF(AND(L26="合格",M26="合格"),"合格","NG")</f>
        <v>合格</v>
      </c>
      <c r="O26" s="3"/>
    </row>
    <row r="27" customFormat="false" ht="16.5" hidden="false" customHeight="true" outlineLevel="0" collapsed="false">
      <c r="A27" s="11" t="n">
        <v>24</v>
      </c>
      <c r="B27" s="11" t="n">
        <f aca="false">A27*Inputs!B44</f>
        <v>23.04</v>
      </c>
      <c r="C27" s="11" t="n">
        <f aca="false">SQRT(4*Inputs!B21*A27*1000/(Inputs!B10*Inputs!B11))/1000</f>
        <v>472.506130541299</v>
      </c>
      <c r="D27" s="11" t="n">
        <f aca="false">C27*(1+Inputs!B43)</f>
        <v>567.007356649559</v>
      </c>
      <c r="E27" s="11" t="n">
        <f aca="false">D27*Components!G10</f>
        <v>567.007356649559</v>
      </c>
      <c r="F27" s="11" t="n">
        <f aca="false">Inputs!B63/1000</f>
        <v>1446.66209732694</v>
      </c>
      <c r="G27" s="54" t="n">
        <f aca="false">E27/F27</f>
        <v>0.391941807072463</v>
      </c>
      <c r="H27" s="11" t="n">
        <f aca="false">A27*Inputs!B40</f>
        <v>0.66</v>
      </c>
      <c r="I27" s="11" t="n">
        <f aca="false">H27*1000*Components!J10</f>
        <v>1.79486530977722</v>
      </c>
      <c r="J27" s="11" t="n">
        <f aca="false">Components!N10</f>
        <v>173.766223643854</v>
      </c>
      <c r="K27" s="54" t="n">
        <f aca="false">A27/J27</f>
        <v>0.138116599973938</v>
      </c>
      <c r="L27" s="55" t="str">
        <f aca="false">IF(G27&lt;1,"合格","NG")</f>
        <v>合格</v>
      </c>
      <c r="M27" s="55" t="str">
        <f aca="false">IF(K27&lt;1,"合格","NG")</f>
        <v>合格</v>
      </c>
      <c r="N27" s="55" t="str">
        <f aca="false">IF(AND(L27="合格",M27="合格"),"合格","NG")</f>
        <v>合格</v>
      </c>
      <c r="O27" s="3"/>
    </row>
    <row r="28" customFormat="false" ht="16.5" hidden="false" customHeight="true" outlineLevel="0" collapsed="false">
      <c r="A28" s="11" t="n">
        <v>25</v>
      </c>
      <c r="B28" s="11" t="n">
        <f aca="false">A28*Inputs!B44</f>
        <v>24</v>
      </c>
      <c r="C28" s="11" t="n">
        <f aca="false">SQRT(4*Inputs!B21*A28*1000/(Inputs!B10*Inputs!B11))/1000</f>
        <v>482.249550067951</v>
      </c>
      <c r="D28" s="11" t="n">
        <f aca="false">C28*(1+Inputs!B43)</f>
        <v>578.699460081541</v>
      </c>
      <c r="E28" s="11" t="n">
        <f aca="false">D28*Components!G10</f>
        <v>578.699460081541</v>
      </c>
      <c r="F28" s="11" t="n">
        <f aca="false">Inputs!B63/1000</f>
        <v>1446.66209732694</v>
      </c>
      <c r="G28" s="54" t="n">
        <f aca="false">E28/F28</f>
        <v>0.400023931746626</v>
      </c>
      <c r="H28" s="11" t="n">
        <f aca="false">A28*Inputs!B40</f>
        <v>0.6875</v>
      </c>
      <c r="I28" s="11" t="n">
        <f aca="false">H28*1000*Components!J10</f>
        <v>1.86965136435127</v>
      </c>
      <c r="J28" s="11" t="n">
        <f aca="false">Components!N10</f>
        <v>173.766223643854</v>
      </c>
      <c r="K28" s="54" t="n">
        <f aca="false">A28/J28</f>
        <v>0.143871458306185</v>
      </c>
      <c r="L28" s="55" t="str">
        <f aca="false">IF(G28&lt;1,"合格","NG")</f>
        <v>合格</v>
      </c>
      <c r="M28" s="55" t="str">
        <f aca="false">IF(K28&lt;1,"合格","NG")</f>
        <v>合格</v>
      </c>
      <c r="N28" s="55" t="str">
        <f aca="false">IF(AND(L28="合格",M28="合格"),"合格","NG")</f>
        <v>合格</v>
      </c>
      <c r="O28" s="3"/>
    </row>
    <row r="29" customFormat="false" ht="16.5" hidden="false" customHeight="true" outlineLevel="0" collapsed="false">
      <c r="A29" s="11" t="n">
        <v>26</v>
      </c>
      <c r="B29" s="11" t="n">
        <f aca="false">A29*Inputs!B44</f>
        <v>24.96</v>
      </c>
      <c r="C29" s="11" t="n">
        <f aca="false">SQRT(4*Inputs!B21*A29*1000/(Inputs!B10*Inputs!B11))/1000</f>
        <v>491.799973243564</v>
      </c>
      <c r="D29" s="11" t="n">
        <f aca="false">C29*(1+Inputs!B43)</f>
        <v>590.159967892277</v>
      </c>
      <c r="E29" s="11" t="n">
        <f aca="false">D29*Components!G10</f>
        <v>590.159967892277</v>
      </c>
      <c r="F29" s="11" t="n">
        <f aca="false">Inputs!B63/1000</f>
        <v>1446.66209732694</v>
      </c>
      <c r="G29" s="54" t="n">
        <f aca="false">E29/F29</f>
        <v>0.407945966776031</v>
      </c>
      <c r="H29" s="11" t="n">
        <f aca="false">A29*Inputs!B40</f>
        <v>0.715</v>
      </c>
      <c r="I29" s="11" t="n">
        <f aca="false">H29*1000*Components!J10</f>
        <v>1.94443741892532</v>
      </c>
      <c r="J29" s="11" t="n">
        <f aca="false">Components!N10</f>
        <v>173.766223643854</v>
      </c>
      <c r="K29" s="54" t="n">
        <f aca="false">A29/J29</f>
        <v>0.149626316638433</v>
      </c>
      <c r="L29" s="55" t="str">
        <f aca="false">IF(G29&lt;1,"合格","NG")</f>
        <v>合格</v>
      </c>
      <c r="M29" s="55" t="str">
        <f aca="false">IF(K29&lt;1,"合格","NG")</f>
        <v>合格</v>
      </c>
      <c r="N29" s="55" t="str">
        <f aca="false">IF(AND(L29="合格",M29="合格"),"合格","NG")</f>
        <v>合格</v>
      </c>
      <c r="O29" s="3"/>
    </row>
    <row r="30" customFormat="false" ht="16.5" hidden="false" customHeight="true" outlineLevel="0" collapsed="false">
      <c r="A30" s="11" t="n">
        <v>27</v>
      </c>
      <c r="B30" s="11" t="n">
        <f aca="false">A30*Inputs!B44</f>
        <v>25.92</v>
      </c>
      <c r="C30" s="11" t="n">
        <f aca="false">SQRT(4*Inputs!B21*A30*1000/(Inputs!B10*Inputs!B11))/1000</f>
        <v>501.168433586953</v>
      </c>
      <c r="D30" s="11" t="n">
        <f aca="false">C30*(1+Inputs!B43)</f>
        <v>601.402120304344</v>
      </c>
      <c r="E30" s="11" t="n">
        <f aca="false">D30*Components!G10</f>
        <v>601.402120304344</v>
      </c>
      <c r="F30" s="11" t="n">
        <f aca="false">Inputs!B63/1000</f>
        <v>1446.66209732694</v>
      </c>
      <c r="G30" s="54" t="n">
        <f aca="false">E30/F30</f>
        <v>0.415717064417172</v>
      </c>
      <c r="H30" s="11" t="n">
        <f aca="false">A30*Inputs!B40</f>
        <v>0.7425</v>
      </c>
      <c r="I30" s="11" t="n">
        <f aca="false">H30*1000*Components!J10</f>
        <v>2.01922347349937</v>
      </c>
      <c r="J30" s="11" t="n">
        <f aca="false">Components!N10</f>
        <v>173.766223643854</v>
      </c>
      <c r="K30" s="54" t="n">
        <f aca="false">A30/J30</f>
        <v>0.15538117497068</v>
      </c>
      <c r="L30" s="55" t="str">
        <f aca="false">IF(G30&lt;1,"合格","NG")</f>
        <v>合格</v>
      </c>
      <c r="M30" s="55" t="str">
        <f aca="false">IF(K30&lt;1,"合格","NG")</f>
        <v>合格</v>
      </c>
      <c r="N30" s="55" t="str">
        <f aca="false">IF(AND(L30="合格",M30="合格"),"合格","NG")</f>
        <v>合格</v>
      </c>
      <c r="O30" s="3"/>
    </row>
    <row r="31" customFormat="false" ht="16.5" hidden="false" customHeight="true" outlineLevel="0" collapsed="false">
      <c r="A31" s="11" t="n">
        <v>28</v>
      </c>
      <c r="B31" s="11" t="n">
        <f aca="false">A31*Inputs!B44</f>
        <v>26.88</v>
      </c>
      <c r="C31" s="11" t="n">
        <f aca="false">SQRT(4*Inputs!B21*A31*1000/(Inputs!B10*Inputs!B11))/1000</f>
        <v>510.364951741036</v>
      </c>
      <c r="D31" s="11" t="n">
        <f aca="false">C31*(1+Inputs!B43)</f>
        <v>612.437942089243</v>
      </c>
      <c r="E31" s="11" t="n">
        <f aca="false">D31*Components!G10</f>
        <v>612.437942089243</v>
      </c>
      <c r="F31" s="11" t="n">
        <f aca="false">Inputs!B63/1000</f>
        <v>1446.66209732694</v>
      </c>
      <c r="G31" s="54" t="n">
        <f aca="false">E31/F31</f>
        <v>0.423345536750339</v>
      </c>
      <c r="H31" s="11" t="n">
        <f aca="false">A31*Inputs!B40</f>
        <v>0.77</v>
      </c>
      <c r="I31" s="11" t="n">
        <f aca="false">H31*1000*Components!J10</f>
        <v>2.09400952807342</v>
      </c>
      <c r="J31" s="11" t="n">
        <f aca="false">Components!N10</f>
        <v>173.766223643854</v>
      </c>
      <c r="K31" s="54" t="n">
        <f aca="false">A31/J31</f>
        <v>0.161136033302927</v>
      </c>
      <c r="L31" s="55" t="str">
        <f aca="false">IF(G31&lt;1,"合格","NG")</f>
        <v>合格</v>
      </c>
      <c r="M31" s="55" t="str">
        <f aca="false">IF(K31&lt;1,"合格","NG")</f>
        <v>合格</v>
      </c>
      <c r="N31" s="55" t="str">
        <f aca="false">IF(AND(L31="合格",M31="合格"),"合格","NG")</f>
        <v>合格</v>
      </c>
      <c r="O31" s="3"/>
    </row>
    <row r="32" customFormat="false" ht="16.5" hidden="false" customHeight="true" outlineLevel="0" collapsed="false">
      <c r="A32" s="11" t="n">
        <v>29</v>
      </c>
      <c r="B32" s="11" t="n">
        <f aca="false">A32*Inputs!B44</f>
        <v>27.84</v>
      </c>
      <c r="C32" s="11" t="n">
        <f aca="false">SQRT(4*Inputs!B21*A32*1000/(Inputs!B10*Inputs!B11))/1000</f>
        <v>519.398661056476</v>
      </c>
      <c r="D32" s="11" t="n">
        <f aca="false">C32*(1+Inputs!B43)</f>
        <v>623.278393267771</v>
      </c>
      <c r="E32" s="11" t="n">
        <f aca="false">D32*Components!G10</f>
        <v>623.278393267771</v>
      </c>
      <c r="F32" s="11" t="n">
        <f aca="false">Inputs!B63/1000</f>
        <v>1446.66209732694</v>
      </c>
      <c r="G32" s="54" t="n">
        <f aca="false">E32/F32</f>
        <v>0.430838959850701</v>
      </c>
      <c r="H32" s="11" t="n">
        <f aca="false">A32*Inputs!B40</f>
        <v>0.7975</v>
      </c>
      <c r="I32" s="11" t="n">
        <f aca="false">H32*1000*Components!J10</f>
        <v>2.16879558264747</v>
      </c>
      <c r="J32" s="11" t="n">
        <f aca="false">Components!N10</f>
        <v>173.766223643854</v>
      </c>
      <c r="K32" s="54" t="n">
        <f aca="false">A32/J32</f>
        <v>0.166890891635175</v>
      </c>
      <c r="L32" s="55" t="str">
        <f aca="false">IF(G32&lt;1,"合格","NG")</f>
        <v>合格</v>
      </c>
      <c r="M32" s="55" t="str">
        <f aca="false">IF(K32&lt;1,"合格","NG")</f>
        <v>合格</v>
      </c>
      <c r="N32" s="55" t="str">
        <f aca="false">IF(AND(L32="合格",M32="合格"),"合格","NG")</f>
        <v>合格</v>
      </c>
      <c r="O32" s="3"/>
    </row>
    <row r="33" customFormat="false" ht="16.5" hidden="false" customHeight="true" outlineLevel="0" collapsed="false">
      <c r="A33" s="11" t="n">
        <v>30</v>
      </c>
      <c r="B33" s="11" t="n">
        <f aca="false">A33*Inputs!B44</f>
        <v>28.8</v>
      </c>
      <c r="C33" s="11" t="n">
        <f aca="false">SQRT(4*Inputs!B21*A33*1000/(Inputs!B10*Inputs!B11))/1000</f>
        <v>528.277913837868</v>
      </c>
      <c r="D33" s="11" t="n">
        <f aca="false">C33*(1+Inputs!B43)</f>
        <v>633.933496605441</v>
      </c>
      <c r="E33" s="11" t="n">
        <f aca="false">D33*Components!G10</f>
        <v>633.933496605441</v>
      </c>
      <c r="F33" s="11" t="n">
        <f aca="false">Inputs!B63/1000</f>
        <v>1446.66209732694</v>
      </c>
      <c r="G33" s="54" t="n">
        <f aca="false">E33/F33</f>
        <v>0.438204261919068</v>
      </c>
      <c r="H33" s="11" t="n">
        <f aca="false">A33*Inputs!B40</f>
        <v>0.825</v>
      </c>
      <c r="I33" s="11" t="n">
        <f aca="false">H33*1000*Components!J10</f>
        <v>2.24358163722153</v>
      </c>
      <c r="J33" s="11" t="n">
        <f aca="false">Components!N10</f>
        <v>173.766223643854</v>
      </c>
      <c r="K33" s="54" t="n">
        <f aca="false">A33/J33</f>
        <v>0.172645749967422</v>
      </c>
      <c r="L33" s="55" t="str">
        <f aca="false">IF(G33&lt;1,"合格","NG")</f>
        <v>合格</v>
      </c>
      <c r="M33" s="55" t="str">
        <f aca="false">IF(K33&lt;1,"合格","NG")</f>
        <v>合格</v>
      </c>
      <c r="N33" s="55" t="str">
        <f aca="false">IF(AND(L33="合格",M33="合格"),"合格","NG")</f>
        <v>合格</v>
      </c>
      <c r="O33" s="3"/>
    </row>
    <row r="34" customFormat="false" ht="16.5" hidden="false" customHeight="true" outlineLevel="0" collapsed="false">
      <c r="A34" s="11" t="n">
        <v>31</v>
      </c>
      <c r="B34" s="11" t="n">
        <f aca="false">A34*Inputs!B44</f>
        <v>29.76</v>
      </c>
      <c r="C34" s="11" t="n">
        <f aca="false">SQRT(4*Inputs!B21*A34*1000/(Inputs!B10*Inputs!B11))/1000</f>
        <v>537.01037177183</v>
      </c>
      <c r="D34" s="11" t="n">
        <f aca="false">C34*(1+Inputs!B43)</f>
        <v>644.412446126196</v>
      </c>
      <c r="E34" s="11" t="n">
        <f aca="false">D34*Components!G10</f>
        <v>644.412446126196</v>
      </c>
      <c r="F34" s="11" t="n">
        <f aca="false">Inputs!B63/1000</f>
        <v>1446.66209732694</v>
      </c>
      <c r="G34" s="54" t="n">
        <f aca="false">E34/F34</f>
        <v>0.445447798291603</v>
      </c>
      <c r="H34" s="11" t="n">
        <f aca="false">A34*Inputs!B40</f>
        <v>0.8525</v>
      </c>
      <c r="I34" s="11" t="n">
        <f aca="false">H34*1000*Components!J10</f>
        <v>2.31836769179558</v>
      </c>
      <c r="J34" s="11" t="n">
        <f aca="false">Components!N10</f>
        <v>173.766223643854</v>
      </c>
      <c r="K34" s="54" t="n">
        <f aca="false">A34/J34</f>
        <v>0.17840060829967</v>
      </c>
      <c r="L34" s="55" t="str">
        <f aca="false">IF(G34&lt;1,"合格","NG")</f>
        <v>合格</v>
      </c>
      <c r="M34" s="55" t="str">
        <f aca="false">IF(K34&lt;1,"合格","NG")</f>
        <v>合格</v>
      </c>
      <c r="N34" s="55" t="str">
        <f aca="false">IF(AND(L34="合格",M34="合格"),"合格","NG")</f>
        <v>合格</v>
      </c>
      <c r="O34" s="3"/>
    </row>
    <row r="35" customFormat="false" ht="16.5" hidden="false" customHeight="true" outlineLevel="0" collapsed="false">
      <c r="A35" s="11" t="n">
        <v>32</v>
      </c>
      <c r="B35" s="11" t="n">
        <f aca="false">A35*Inputs!B44</f>
        <v>30.72</v>
      </c>
      <c r="C35" s="11" t="n">
        <f aca="false">SQRT(4*Inputs!B21*A35*1000/(Inputs!B10*Inputs!B11))/1000</f>
        <v>545.603083323535</v>
      </c>
      <c r="D35" s="11" t="n">
        <f aca="false">C35*(1+Inputs!B43)</f>
        <v>654.723699988242</v>
      </c>
      <c r="E35" s="11" t="n">
        <f aca="false">D35*Components!G10</f>
        <v>654.723699988242</v>
      </c>
      <c r="F35" s="11" t="n">
        <f aca="false">Inputs!B63/1000</f>
        <v>1446.66209732694</v>
      </c>
      <c r="G35" s="54" t="n">
        <f aca="false">E35/F35</f>
        <v>0.45257541563991</v>
      </c>
      <c r="H35" s="11" t="n">
        <f aca="false">A35*Inputs!B40</f>
        <v>0.88</v>
      </c>
      <c r="I35" s="11" t="n">
        <f aca="false">H35*1000*Components!J10</f>
        <v>2.39315374636963</v>
      </c>
      <c r="J35" s="11" t="n">
        <f aca="false">Components!N10</f>
        <v>173.766223643854</v>
      </c>
      <c r="K35" s="54" t="n">
        <f aca="false">A35/J35</f>
        <v>0.184155466631917</v>
      </c>
      <c r="L35" s="55" t="str">
        <f aca="false">IF(G35&lt;1,"合格","NG")</f>
        <v>合格</v>
      </c>
      <c r="M35" s="55" t="str">
        <f aca="false">IF(K35&lt;1,"合格","NG")</f>
        <v>合格</v>
      </c>
      <c r="N35" s="55" t="str">
        <f aca="false">IF(AND(L35="合格",M35="合格"),"合格","NG")</f>
        <v>合格</v>
      </c>
      <c r="O35" s="3"/>
    </row>
    <row r="36" customFormat="false" ht="16.5" hidden="false" customHeight="true" outlineLevel="0" collapsed="false">
      <c r="A36" s="11" t="n">
        <v>33</v>
      </c>
      <c r="B36" s="11" t="n">
        <f aca="false">A36*Inputs!B44</f>
        <v>31.68</v>
      </c>
      <c r="C36" s="11" t="n">
        <f aca="false">SQRT(4*Inputs!B21*A36*1000/(Inputs!B10*Inputs!B11))/1000</f>
        <v>554.062550326024</v>
      </c>
      <c r="D36" s="11" t="n">
        <f aca="false">C36*(1+Inputs!B43)</f>
        <v>664.875060391229</v>
      </c>
      <c r="E36" s="11" t="n">
        <f aca="false">D36*Components!G10</f>
        <v>664.875060391229</v>
      </c>
      <c r="F36" s="11" t="n">
        <f aca="false">Inputs!B63/1000</f>
        <v>1446.66209732694</v>
      </c>
      <c r="G36" s="54" t="n">
        <f aca="false">E36/F36</f>
        <v>0.459592507206589</v>
      </c>
      <c r="H36" s="11" t="n">
        <f aca="false">A36*Inputs!B40</f>
        <v>0.9075</v>
      </c>
      <c r="I36" s="11" t="n">
        <f aca="false">H36*1000*Components!J10</f>
        <v>2.46793980094368</v>
      </c>
      <c r="J36" s="11" t="n">
        <f aca="false">Components!N10</f>
        <v>173.766223643854</v>
      </c>
      <c r="K36" s="54" t="n">
        <f aca="false">A36/J36</f>
        <v>0.189910324964164</v>
      </c>
      <c r="L36" s="55" t="str">
        <f aca="false">IF(G36&lt;1,"合格","NG")</f>
        <v>合格</v>
      </c>
      <c r="M36" s="55" t="str">
        <f aca="false">IF(K36&lt;1,"合格","NG")</f>
        <v>合格</v>
      </c>
      <c r="N36" s="55" t="str">
        <f aca="false">IF(AND(L36="合格",M36="合格"),"合格","NG")</f>
        <v>合格</v>
      </c>
      <c r="O36" s="3"/>
    </row>
    <row r="37" customFormat="false" ht="16.5" hidden="false" customHeight="true" outlineLevel="0" collapsed="false">
      <c r="A37" s="11" t="n">
        <v>34</v>
      </c>
      <c r="B37" s="11" t="n">
        <f aca="false">A37*Inputs!B44</f>
        <v>32.64</v>
      </c>
      <c r="C37" s="11" t="n">
        <f aca="false">SQRT(4*Inputs!B21*A37*1000/(Inputs!B10*Inputs!B11))/1000</f>
        <v>562.394785551402</v>
      </c>
      <c r="D37" s="11" t="n">
        <f aca="false">C37*(1+Inputs!B43)</f>
        <v>674.873742661683</v>
      </c>
      <c r="E37" s="11" t="n">
        <f aca="false">D37*Components!G10</f>
        <v>674.873742661683</v>
      </c>
      <c r="F37" s="11" t="n">
        <f aca="false">Inputs!B63/1000</f>
        <v>1446.66209732694</v>
      </c>
      <c r="G37" s="54" t="n">
        <f aca="false">E37/F37</f>
        <v>0.466504060560291</v>
      </c>
      <c r="H37" s="11" t="n">
        <f aca="false">A37*Inputs!B40</f>
        <v>0.935</v>
      </c>
      <c r="I37" s="11" t="n">
        <f aca="false">H37*1000*Components!J10</f>
        <v>2.54272585551773</v>
      </c>
      <c r="J37" s="11" t="n">
        <f aca="false">Components!N10</f>
        <v>173.766223643854</v>
      </c>
      <c r="K37" s="54" t="n">
        <f aca="false">A37/J37</f>
        <v>0.195665183296412</v>
      </c>
      <c r="L37" s="55" t="str">
        <f aca="false">IF(G37&lt;1,"合格","NG")</f>
        <v>合格</v>
      </c>
      <c r="M37" s="55" t="str">
        <f aca="false">IF(K37&lt;1,"合格","NG")</f>
        <v>合格</v>
      </c>
      <c r="N37" s="55" t="str">
        <f aca="false">IF(AND(L37="合格",M37="合格"),"合格","NG")</f>
        <v>合格</v>
      </c>
      <c r="O37" s="3"/>
    </row>
    <row r="38" customFormat="false" ht="16.5" hidden="false" customHeight="true" outlineLevel="0" collapsed="false">
      <c r="A38" s="11" t="n">
        <v>35</v>
      </c>
      <c r="B38" s="11" t="n">
        <f aca="false">A38*Inputs!B44</f>
        <v>33.6</v>
      </c>
      <c r="C38" s="11" t="n">
        <f aca="false">SQRT(4*Inputs!B21*A38*1000/(Inputs!B10*Inputs!B11))/1000</f>
        <v>570.605362713178</v>
      </c>
      <c r="D38" s="11" t="n">
        <f aca="false">C38*(1+Inputs!B43)</f>
        <v>684.726435255814</v>
      </c>
      <c r="E38" s="11" t="n">
        <f aca="false">D38*Components!G10</f>
        <v>684.726435255814</v>
      </c>
      <c r="F38" s="11" t="n">
        <f aca="false">Inputs!B63/1000</f>
        <v>1446.66209732694</v>
      </c>
      <c r="G38" s="54" t="n">
        <f aca="false">E38/F38</f>
        <v>0.473314699072447</v>
      </c>
      <c r="H38" s="11" t="n">
        <f aca="false">A38*Inputs!B40</f>
        <v>0.9625</v>
      </c>
      <c r="I38" s="11" t="n">
        <f aca="false">H38*1000*Components!J10</f>
        <v>2.61751191009178</v>
      </c>
      <c r="J38" s="11" t="n">
        <f aca="false">Components!N10</f>
        <v>173.766223643854</v>
      </c>
      <c r="K38" s="54" t="n">
        <f aca="false">A38/J38</f>
        <v>0.201420041628659</v>
      </c>
      <c r="L38" s="55" t="str">
        <f aca="false">IF(G38&lt;1,"合格","NG")</f>
        <v>合格</v>
      </c>
      <c r="M38" s="55" t="str">
        <f aca="false">IF(K38&lt;1,"合格","NG")</f>
        <v>合格</v>
      </c>
      <c r="N38" s="55" t="str">
        <f aca="false">IF(AND(L38="合格",M38="合格"),"合格","NG")</f>
        <v>合格</v>
      </c>
      <c r="O38" s="3"/>
    </row>
    <row r="39" customFormat="false" ht="16.5" hidden="false" customHeight="true" outlineLevel="0" collapsed="false">
      <c r="A39" s="11" t="n">
        <v>36</v>
      </c>
      <c r="B39" s="11" t="n">
        <f aca="false">A39*Inputs!B44</f>
        <v>34.56</v>
      </c>
      <c r="C39" s="11" t="n">
        <f aca="false">SQRT(4*Inputs!B21*A39*1000/(Inputs!B10*Inputs!B11))/1000</f>
        <v>578.699460081541</v>
      </c>
      <c r="D39" s="11" t="n">
        <f aca="false">C39*(1+Inputs!B43)</f>
        <v>694.439352097849</v>
      </c>
      <c r="E39" s="11" t="n">
        <f aca="false">D39*Components!G10</f>
        <v>694.439352097849</v>
      </c>
      <c r="F39" s="11" t="n">
        <f aca="false">Inputs!B63/1000</f>
        <v>1446.66209732694</v>
      </c>
      <c r="G39" s="54" t="n">
        <f aca="false">E39/F39</f>
        <v>0.480028718095951</v>
      </c>
      <c r="H39" s="11" t="n">
        <f aca="false">A39*Inputs!B40</f>
        <v>0.99</v>
      </c>
      <c r="I39" s="11" t="n">
        <f aca="false">H39*1000*Components!J10</f>
        <v>2.69229796466583</v>
      </c>
      <c r="J39" s="11" t="n">
        <f aca="false">Components!N10</f>
        <v>173.766223643854</v>
      </c>
      <c r="K39" s="54" t="n">
        <f aca="false">A39/J39</f>
        <v>0.207174899960907</v>
      </c>
      <c r="L39" s="55" t="str">
        <f aca="false">IF(G39&lt;1,"合格","NG")</f>
        <v>合格</v>
      </c>
      <c r="M39" s="55" t="str">
        <f aca="false">IF(K39&lt;1,"合格","NG")</f>
        <v>合格</v>
      </c>
      <c r="N39" s="55" t="str">
        <f aca="false">IF(AND(L39="合格",M39="合格"),"合格","NG")</f>
        <v>合格</v>
      </c>
      <c r="O39" s="3"/>
    </row>
    <row r="40" customFormat="false" ht="16.5" hidden="false" customHeight="true" outlineLevel="0" collapsed="false">
      <c r="A40" s="11" t="n">
        <v>37</v>
      </c>
      <c r="B40" s="11" t="n">
        <f aca="false">A40*Inputs!B44</f>
        <v>35.52</v>
      </c>
      <c r="C40" s="11" t="n">
        <f aca="false">SQRT(4*Inputs!B21*A40*1000/(Inputs!B10*Inputs!B11))/1000</f>
        <v>586.681898681301</v>
      </c>
      <c r="D40" s="11" t="n">
        <f aca="false">C40*(1+Inputs!B43)</f>
        <v>704.018278417562</v>
      </c>
      <c r="E40" s="11" t="n">
        <f aca="false">D40*Components!G10</f>
        <v>704.018278417562</v>
      </c>
      <c r="F40" s="11" t="n">
        <f aca="false">Inputs!B63/1000</f>
        <v>1446.66209732694</v>
      </c>
      <c r="G40" s="54" t="n">
        <f aca="false">E40/F40</f>
        <v>0.48665011665019</v>
      </c>
      <c r="H40" s="11" t="n">
        <f aca="false">A40*Inputs!B40</f>
        <v>1.0175</v>
      </c>
      <c r="I40" s="11" t="n">
        <f aca="false">H40*1000*Components!J10</f>
        <v>2.76708401923988</v>
      </c>
      <c r="J40" s="11" t="n">
        <f aca="false">Components!N10</f>
        <v>173.766223643854</v>
      </c>
      <c r="K40" s="54" t="n">
        <f aca="false">A40/J40</f>
        <v>0.212929758293154</v>
      </c>
      <c r="L40" s="55" t="str">
        <f aca="false">IF(G40&lt;1,"合格","NG")</f>
        <v>合格</v>
      </c>
      <c r="M40" s="55" t="str">
        <f aca="false">IF(K40&lt;1,"合格","NG")</f>
        <v>合格</v>
      </c>
      <c r="N40" s="55" t="str">
        <f aca="false">IF(AND(L40="合格",M40="合格"),"合格","NG")</f>
        <v>合格</v>
      </c>
      <c r="O40" s="3"/>
    </row>
    <row r="41" customFormat="false" ht="16.5" hidden="false" customHeight="true" outlineLevel="0" collapsed="false">
      <c r="A41" s="11" t="n">
        <v>38</v>
      </c>
      <c r="B41" s="11" t="n">
        <f aca="false">A41*Inputs!B44</f>
        <v>36.48</v>
      </c>
      <c r="C41" s="11" t="n">
        <f aca="false">SQRT(4*Inputs!B21*A41*1000/(Inputs!B10*Inputs!B11))/1000</f>
        <v>594.557175872873</v>
      </c>
      <c r="D41" s="11" t="n">
        <f aca="false">C41*(1+Inputs!B43)</f>
        <v>713.468611047447</v>
      </c>
      <c r="E41" s="11" t="n">
        <f aca="false">D41*Components!G10</f>
        <v>713.468611047447</v>
      </c>
      <c r="F41" s="11" t="n">
        <f aca="false">Inputs!B63/1000</f>
        <v>1446.66209732694</v>
      </c>
      <c r="G41" s="54" t="n">
        <f aca="false">E41/F41</f>
        <v>0.493182625276321</v>
      </c>
      <c r="H41" s="11" t="n">
        <f aca="false">A41*Inputs!B40</f>
        <v>1.045</v>
      </c>
      <c r="I41" s="11" t="n">
        <f aca="false">H41*1000*Components!J10</f>
        <v>2.84187007381393</v>
      </c>
      <c r="J41" s="11" t="n">
        <f aca="false">Components!N10</f>
        <v>173.766223643854</v>
      </c>
      <c r="K41" s="54" t="n">
        <f aca="false">A41/J41</f>
        <v>0.218684616625401</v>
      </c>
      <c r="L41" s="55" t="str">
        <f aca="false">IF(G41&lt;1,"合格","NG")</f>
        <v>合格</v>
      </c>
      <c r="M41" s="55" t="str">
        <f aca="false">IF(K41&lt;1,"合格","NG")</f>
        <v>合格</v>
      </c>
      <c r="N41" s="55" t="str">
        <f aca="false">IF(AND(L41="合格",M41="合格"),"合格","NG")</f>
        <v>合格</v>
      </c>
      <c r="O41" s="3"/>
    </row>
    <row r="42" customFormat="false" ht="16.5" hidden="false" customHeight="true" outlineLevel="0" collapsed="false">
      <c r="A42" s="11" t="n">
        <v>39</v>
      </c>
      <c r="B42" s="11" t="n">
        <f aca="false">A42*Inputs!B44</f>
        <v>37.44</v>
      </c>
      <c r="C42" s="11" t="n">
        <f aca="false">SQRT(4*Inputs!B21*A42*1000/(Inputs!B10*Inputs!B11))/1000</f>
        <v>602.329494980576</v>
      </c>
      <c r="D42" s="11" t="n">
        <f aca="false">C42*(1+Inputs!B43)</f>
        <v>722.795393976692</v>
      </c>
      <c r="E42" s="11" t="n">
        <f aca="false">D42*Components!G10</f>
        <v>722.795393976692</v>
      </c>
      <c r="F42" s="11" t="n">
        <f aca="false">Inputs!B63/1000</f>
        <v>1446.66209732694</v>
      </c>
      <c r="G42" s="54" t="n">
        <f aca="false">E42/F42</f>
        <v>0.499629730613827</v>
      </c>
      <c r="H42" s="11" t="n">
        <f aca="false">A42*Inputs!B40</f>
        <v>1.0725</v>
      </c>
      <c r="I42" s="11" t="n">
        <f aca="false">H42*1000*Components!J10</f>
        <v>2.91665612838798</v>
      </c>
      <c r="J42" s="11" t="n">
        <f aca="false">Components!N10</f>
        <v>173.766223643854</v>
      </c>
      <c r="K42" s="54" t="n">
        <f aca="false">A42/J42</f>
        <v>0.224439474957649</v>
      </c>
      <c r="L42" s="55" t="str">
        <f aca="false">IF(G42&lt;1,"合格","NG")</f>
        <v>合格</v>
      </c>
      <c r="M42" s="55" t="str">
        <f aca="false">IF(K42&lt;1,"合格","NG")</f>
        <v>合格</v>
      </c>
      <c r="N42" s="55" t="str">
        <f aca="false">IF(AND(L42="合格",M42="合格"),"合格","NG")</f>
        <v>合格</v>
      </c>
      <c r="O42" s="3"/>
    </row>
    <row r="43" customFormat="false" ht="16.5" hidden="false" customHeight="true" outlineLevel="0" collapsed="false">
      <c r="A43" s="11" t="n">
        <v>40</v>
      </c>
      <c r="B43" s="11" t="n">
        <f aca="false">A43*Inputs!B44</f>
        <v>38.4</v>
      </c>
      <c r="C43" s="11" t="n">
        <f aca="false">SQRT(4*Inputs!B21*A43*1000/(Inputs!B10*Inputs!B11))/1000</f>
        <v>610.002791522453</v>
      </c>
      <c r="D43" s="11" t="n">
        <f aca="false">C43*(1+Inputs!B43)</f>
        <v>732.003349826944</v>
      </c>
      <c r="E43" s="11" t="n">
        <f aca="false">D43*Components!G10</f>
        <v>732.003349826944</v>
      </c>
      <c r="F43" s="11" t="n">
        <f aca="false">Inputs!B63/1000</f>
        <v>1446.66209732694</v>
      </c>
      <c r="G43" s="54" t="n">
        <f aca="false">E43/F43</f>
        <v>0.50599469715803</v>
      </c>
      <c r="H43" s="11" t="n">
        <f aca="false">A43*Inputs!B40</f>
        <v>1.1</v>
      </c>
      <c r="I43" s="11" t="n">
        <f aca="false">H43*1000*Components!J10</f>
        <v>2.99144218296203</v>
      </c>
      <c r="J43" s="11" t="n">
        <f aca="false">Components!N10</f>
        <v>173.766223643854</v>
      </c>
      <c r="K43" s="54" t="n">
        <f aca="false">A43/J43</f>
        <v>0.230194333289896</v>
      </c>
      <c r="L43" s="55" t="str">
        <f aca="false">IF(G43&lt;1,"合格","NG")</f>
        <v>合格</v>
      </c>
      <c r="M43" s="55" t="str">
        <f aca="false">IF(K43&lt;1,"合格","NG")</f>
        <v>合格</v>
      </c>
      <c r="N43" s="55" t="str">
        <f aca="false">IF(AND(L43="合格",M43="合格"),"合格","NG")</f>
        <v>合格</v>
      </c>
      <c r="O43" s="3"/>
    </row>
    <row r="44" customFormat="false" ht="16.5" hidden="false" customHeight="true" outlineLevel="0" collapsed="false">
      <c r="A44" s="11" t="n">
        <v>41</v>
      </c>
      <c r="B44" s="11" t="n">
        <f aca="false">A44*Inputs!B44</f>
        <v>39.36</v>
      </c>
      <c r="C44" s="11" t="n">
        <f aca="false">SQRT(4*Inputs!B21*A44*1000/(Inputs!B10*Inputs!B11))/1000</f>
        <v>617.580756506236</v>
      </c>
      <c r="D44" s="11" t="n">
        <f aca="false">C44*(1+Inputs!B43)</f>
        <v>741.096907807484</v>
      </c>
      <c r="E44" s="11" t="n">
        <f aca="false">D44*Components!G10</f>
        <v>741.096907807484</v>
      </c>
      <c r="F44" s="11" t="n">
        <f aca="false">Inputs!B63/1000</f>
        <v>1446.66209732694</v>
      </c>
      <c r="G44" s="54" t="n">
        <f aca="false">E44/F44</f>
        <v>0.512280586584001</v>
      </c>
      <c r="H44" s="11" t="n">
        <f aca="false">A44*Inputs!B40</f>
        <v>1.1275</v>
      </c>
      <c r="I44" s="11" t="n">
        <f aca="false">H44*1000*Components!J10</f>
        <v>3.06622823753608</v>
      </c>
      <c r="J44" s="11" t="n">
        <f aca="false">Components!N10</f>
        <v>173.766223643854</v>
      </c>
      <c r="K44" s="54" t="n">
        <f aca="false">A44/J44</f>
        <v>0.235949191622144</v>
      </c>
      <c r="L44" s="55" t="str">
        <f aca="false">IF(G44&lt;1,"合格","NG")</f>
        <v>合格</v>
      </c>
      <c r="M44" s="55" t="str">
        <f aca="false">IF(K44&lt;1,"合格","NG")</f>
        <v>合格</v>
      </c>
      <c r="N44" s="55" t="str">
        <f aca="false">IF(AND(L44="合格",M44="合格"),"合格","NG")</f>
        <v>合格</v>
      </c>
      <c r="O44" s="3"/>
    </row>
    <row r="45" customFormat="false" ht="16.5" hidden="false" customHeight="true" outlineLevel="0" collapsed="false">
      <c r="A45" s="11" t="n">
        <v>42</v>
      </c>
      <c r="B45" s="11" t="n">
        <f aca="false">A45*Inputs!B44</f>
        <v>40.32</v>
      </c>
      <c r="C45" s="11" t="n">
        <f aca="false">SQRT(4*Inputs!B21*A45*1000/(Inputs!B10*Inputs!B11))/1000</f>
        <v>625.06685718285</v>
      </c>
      <c r="D45" s="11" t="n">
        <f aca="false">C45*(1+Inputs!B43)</f>
        <v>750.08022861942</v>
      </c>
      <c r="E45" s="11" t="n">
        <f aca="false">D45*Components!G10</f>
        <v>750.08022861942</v>
      </c>
      <c r="F45" s="11" t="n">
        <f aca="false">Inputs!B63/1000</f>
        <v>1446.66209732694</v>
      </c>
      <c r="G45" s="54" t="n">
        <f aca="false">E45/F45</f>
        <v>0.518490274961497</v>
      </c>
      <c r="H45" s="11" t="n">
        <f aca="false">A45*Inputs!B40</f>
        <v>1.155</v>
      </c>
      <c r="I45" s="11" t="n">
        <f aca="false">H45*1000*Components!J10</f>
        <v>3.14101429211014</v>
      </c>
      <c r="J45" s="11" t="n">
        <f aca="false">Components!N10</f>
        <v>173.766223643854</v>
      </c>
      <c r="K45" s="54" t="n">
        <f aca="false">A45/J45</f>
        <v>0.241704049954391</v>
      </c>
      <c r="L45" s="55" t="str">
        <f aca="false">IF(G45&lt;1,"合格","NG")</f>
        <v>合格</v>
      </c>
      <c r="M45" s="55" t="str">
        <f aca="false">IF(K45&lt;1,"合格","NG")</f>
        <v>合格</v>
      </c>
      <c r="N45" s="55" t="str">
        <f aca="false">IF(AND(L45="合格",M45="合格"),"合格","NG")</f>
        <v>合格</v>
      </c>
      <c r="O45" s="3"/>
    </row>
    <row r="46" customFormat="false" ht="16.5" hidden="false" customHeight="true" outlineLevel="0" collapsed="false">
      <c r="A46" s="11" t="n">
        <v>43</v>
      </c>
      <c r="B46" s="11" t="n">
        <f aca="false">A46*Inputs!B44</f>
        <v>41.28</v>
      </c>
      <c r="C46" s="11" t="n">
        <f aca="false">SQRT(4*Inputs!B21*A46*1000/(Inputs!B10*Inputs!B11))/1000</f>
        <v>632.464355588577</v>
      </c>
      <c r="D46" s="11" t="n">
        <f aca="false">C46*(1+Inputs!B43)</f>
        <v>758.957226706293</v>
      </c>
      <c r="E46" s="11" t="n">
        <f aca="false">D46*Components!G10</f>
        <v>758.957226706293</v>
      </c>
      <c r="F46" s="11" t="n">
        <f aca="false">Inputs!B63/1000</f>
        <v>1446.66209732694</v>
      </c>
      <c r="G46" s="54" t="n">
        <f aca="false">E46/F46</f>
        <v>0.524626468135616</v>
      </c>
      <c r="H46" s="11" t="n">
        <f aca="false">A46*Inputs!B40</f>
        <v>1.1825</v>
      </c>
      <c r="I46" s="11" t="n">
        <f aca="false">H46*1000*Components!J10</f>
        <v>3.21580034668419</v>
      </c>
      <c r="J46" s="11" t="n">
        <f aca="false">Components!N10</f>
        <v>173.766223643854</v>
      </c>
      <c r="K46" s="54" t="n">
        <f aca="false">A46/J46</f>
        <v>0.247458908286638</v>
      </c>
      <c r="L46" s="55" t="str">
        <f aca="false">IF(G46&lt;1,"合格","NG")</f>
        <v>合格</v>
      </c>
      <c r="M46" s="55" t="str">
        <f aca="false">IF(K46&lt;1,"合格","NG")</f>
        <v>合格</v>
      </c>
      <c r="N46" s="55" t="str">
        <f aca="false">IF(AND(L46="合格",M46="合格"),"合格","NG")</f>
        <v>合格</v>
      </c>
      <c r="O46" s="3"/>
    </row>
    <row r="47" customFormat="false" ht="16.5" hidden="false" customHeight="true" outlineLevel="0" collapsed="false">
      <c r="A47" s="11" t="n">
        <v>44</v>
      </c>
      <c r="B47" s="11" t="n">
        <f aca="false">A47*Inputs!B44</f>
        <v>42.24</v>
      </c>
      <c r="C47" s="11" t="n">
        <f aca="false">SQRT(4*Inputs!B21*A47*1000/(Inputs!B10*Inputs!B11))/1000</f>
        <v>639.776325157241</v>
      </c>
      <c r="D47" s="11" t="n">
        <f aca="false">C47*(1+Inputs!B43)</f>
        <v>767.73159018869</v>
      </c>
      <c r="E47" s="11" t="n">
        <f aca="false">D47*Components!G10</f>
        <v>767.73159018869</v>
      </c>
      <c r="F47" s="11" t="n">
        <f aca="false">Inputs!B63/1000</f>
        <v>1446.66209732694</v>
      </c>
      <c r="G47" s="54" t="n">
        <f aca="false">E47/F47</f>
        <v>0.530691715506518</v>
      </c>
      <c r="H47" s="11" t="n">
        <f aca="false">A47*Inputs!B40</f>
        <v>1.21</v>
      </c>
      <c r="I47" s="11" t="n">
        <f aca="false">H47*1000*Components!J10</f>
        <v>3.29058640125824</v>
      </c>
      <c r="J47" s="11" t="n">
        <f aca="false">Components!N10</f>
        <v>173.766223643854</v>
      </c>
      <c r="K47" s="54" t="n">
        <f aca="false">A47/J47</f>
        <v>0.253213766618886</v>
      </c>
      <c r="L47" s="55" t="str">
        <f aca="false">IF(G47&lt;1,"合格","NG")</f>
        <v>合格</v>
      </c>
      <c r="M47" s="55" t="str">
        <f aca="false">IF(K47&lt;1,"合格","NG")</f>
        <v>合格</v>
      </c>
      <c r="N47" s="55" t="str">
        <f aca="false">IF(AND(L47="合格",M47="合格"),"合格","NG")</f>
        <v>合格</v>
      </c>
      <c r="O47" s="3"/>
    </row>
    <row r="48" customFormat="false" ht="16.5" hidden="false" customHeight="true" outlineLevel="0" collapsed="false">
      <c r="A48" s="11" t="n">
        <v>45</v>
      </c>
      <c r="B48" s="11" t="n">
        <f aca="false">A48*Inputs!B44</f>
        <v>43.2</v>
      </c>
      <c r="C48" s="11" t="n">
        <f aca="false">SQRT(4*Inputs!B21*A48*1000/(Inputs!B10*Inputs!B11))/1000</f>
        <v>647.005665642376</v>
      </c>
      <c r="D48" s="11" t="n">
        <f aca="false">C48*(1+Inputs!B43)</f>
        <v>776.406798770851</v>
      </c>
      <c r="E48" s="11" t="n">
        <f aca="false">D48*Components!G10</f>
        <v>776.406798770851</v>
      </c>
      <c r="F48" s="11" t="n">
        <f aca="false">Inputs!B63/1000</f>
        <v>1446.66209732694</v>
      </c>
      <c r="G48" s="54" t="n">
        <f aca="false">E48/F48</f>
        <v>0.536688422407315</v>
      </c>
      <c r="H48" s="11" t="n">
        <f aca="false">A48*Inputs!B40</f>
        <v>1.2375</v>
      </c>
      <c r="I48" s="11" t="n">
        <f aca="false">H48*1000*Components!J10</f>
        <v>3.36537245583229</v>
      </c>
      <c r="J48" s="11" t="n">
        <f aca="false">Components!N10</f>
        <v>173.766223643854</v>
      </c>
      <c r="K48" s="54" t="n">
        <f aca="false">A48/J48</f>
        <v>0.258968624951133</v>
      </c>
      <c r="L48" s="55" t="str">
        <f aca="false">IF(G48&lt;1,"合格","NG")</f>
        <v>合格</v>
      </c>
      <c r="M48" s="55" t="str">
        <f aca="false">IF(K48&lt;1,"合格","NG")</f>
        <v>合格</v>
      </c>
      <c r="N48" s="55" t="str">
        <f aca="false">IF(AND(L48="合格",M48="合格"),"合格","NG")</f>
        <v>合格</v>
      </c>
      <c r="O48" s="3"/>
    </row>
    <row r="49" customFormat="false" ht="16.5" hidden="false" customHeight="true" outlineLevel="0" collapsed="false">
      <c r="A49" s="11" t="n">
        <v>46</v>
      </c>
      <c r="B49" s="11" t="n">
        <f aca="false">A49*Inputs!B44</f>
        <v>44.16</v>
      </c>
      <c r="C49" s="11" t="n">
        <f aca="false">SQRT(4*Inputs!B21*A49*1000/(Inputs!B10*Inputs!B11))/1000</f>
        <v>654.155116554907</v>
      </c>
      <c r="D49" s="11" t="n">
        <f aca="false">C49*(1+Inputs!B43)</f>
        <v>784.986139865888</v>
      </c>
      <c r="E49" s="11" t="n">
        <f aca="false">D49*Components!G10</f>
        <v>784.986139865888</v>
      </c>
      <c r="F49" s="11" t="n">
        <f aca="false">Inputs!B63/1000</f>
        <v>1446.66209732694</v>
      </c>
      <c r="G49" s="54" t="n">
        <f aca="false">E49/F49</f>
        <v>0.542618861250559</v>
      </c>
      <c r="H49" s="11" t="n">
        <f aca="false">A49*Inputs!B40</f>
        <v>1.265</v>
      </c>
      <c r="I49" s="11" t="n">
        <f aca="false">H49*1000*Components!J10</f>
        <v>3.44015851040634</v>
      </c>
      <c r="J49" s="11" t="n">
        <f aca="false">Components!N10</f>
        <v>173.766223643854</v>
      </c>
      <c r="K49" s="54" t="n">
        <f aca="false">A49/J49</f>
        <v>0.264723483283381</v>
      </c>
      <c r="L49" s="55" t="str">
        <f aca="false">IF(G49&lt;1,"合格","NG")</f>
        <v>合格</v>
      </c>
      <c r="M49" s="55" t="str">
        <f aca="false">IF(K49&lt;1,"合格","NG")</f>
        <v>合格</v>
      </c>
      <c r="N49" s="55" t="str">
        <f aca="false">IF(AND(L49="合格",M49="合格"),"合格","NG")</f>
        <v>合格</v>
      </c>
      <c r="O49" s="3"/>
    </row>
    <row r="50" customFormat="false" ht="16.5" hidden="false" customHeight="true" outlineLevel="0" collapsed="false">
      <c r="A50" s="11" t="n">
        <v>47</v>
      </c>
      <c r="B50" s="11" t="n">
        <f aca="false">A50*Inputs!B44</f>
        <v>45.12</v>
      </c>
      <c r="C50" s="11" t="n">
        <f aca="false">SQRT(4*Inputs!B21*A50*1000/(Inputs!B10*Inputs!B11))/1000</f>
        <v>661.227269292936</v>
      </c>
      <c r="D50" s="11" t="n">
        <f aca="false">C50*(1+Inputs!B43)</f>
        <v>793.472723151523</v>
      </c>
      <c r="E50" s="11" t="n">
        <f aca="false">D50*Components!G10</f>
        <v>793.472723151523</v>
      </c>
      <c r="F50" s="11" t="n">
        <f aca="false">Inputs!B63/1000</f>
        <v>1446.66209732694</v>
      </c>
      <c r="G50" s="54" t="n">
        <f aca="false">E50/F50</f>
        <v>0.548485181589854</v>
      </c>
      <c r="H50" s="11" t="n">
        <f aca="false">A50*Inputs!B40</f>
        <v>1.2925</v>
      </c>
      <c r="I50" s="11" t="n">
        <f aca="false">H50*1000*Components!J10</f>
        <v>3.51494456498039</v>
      </c>
      <c r="J50" s="11" t="n">
        <f aca="false">Components!N10</f>
        <v>173.766223643854</v>
      </c>
      <c r="K50" s="54" t="n">
        <f aca="false">A50/J50</f>
        <v>0.270478341615628</v>
      </c>
      <c r="L50" s="55" t="str">
        <f aca="false">IF(G50&lt;1,"合格","NG")</f>
        <v>合格</v>
      </c>
      <c r="M50" s="55" t="str">
        <f aca="false">IF(K50&lt;1,"合格","NG")</f>
        <v>合格</v>
      </c>
      <c r="N50" s="55" t="str">
        <f aca="false">IF(AND(L50="合格",M50="合格"),"合格","NG")</f>
        <v>合格</v>
      </c>
      <c r="O50" s="3"/>
    </row>
    <row r="51" customFormat="false" ht="16.5" hidden="false" customHeight="true" outlineLevel="0" collapsed="false">
      <c r="A51" s="11" t="n">
        <v>48</v>
      </c>
      <c r="B51" s="11" t="n">
        <f aca="false">A51*Inputs!B44</f>
        <v>46.08</v>
      </c>
      <c r="C51" s="11" t="n">
        <f aca="false">SQRT(4*Inputs!B21*A51*1000/(Inputs!B10*Inputs!B11))/1000</f>
        <v>668.224578115938</v>
      </c>
      <c r="D51" s="11" t="n">
        <f aca="false">C51*(1+Inputs!B43)</f>
        <v>801.869493739125</v>
      </c>
      <c r="E51" s="11" t="n">
        <f aca="false">D51*Components!G10</f>
        <v>801.869493739125</v>
      </c>
      <c r="F51" s="11" t="n">
        <f aca="false">Inputs!B63/1000</f>
        <v>1446.66209732694</v>
      </c>
      <c r="G51" s="54" t="n">
        <f aca="false">E51/F51</f>
        <v>0.554289419222897</v>
      </c>
      <c r="H51" s="11" t="n">
        <f aca="false">A51*Inputs!B40</f>
        <v>1.32</v>
      </c>
      <c r="I51" s="11" t="n">
        <f aca="false">H51*1000*Components!J10</f>
        <v>3.58973061955444</v>
      </c>
      <c r="J51" s="11" t="n">
        <f aca="false">Components!N10</f>
        <v>173.766223643854</v>
      </c>
      <c r="K51" s="54" t="n">
        <f aca="false">A51/J51</f>
        <v>0.276233199947876</v>
      </c>
      <c r="L51" s="55" t="str">
        <f aca="false">IF(G51&lt;1,"合格","NG")</f>
        <v>合格</v>
      </c>
      <c r="M51" s="55" t="str">
        <f aca="false">IF(K51&lt;1,"合格","NG")</f>
        <v>合格</v>
      </c>
      <c r="N51" s="55" t="str">
        <f aca="false">IF(AND(L51="合格",M51="合格"),"合格","NG")</f>
        <v>合格</v>
      </c>
      <c r="O51" s="3"/>
    </row>
    <row r="52" customFormat="false" ht="16.5" hidden="false" customHeight="true" outlineLevel="0" collapsed="false">
      <c r="A52" s="11" t="n">
        <v>49</v>
      </c>
      <c r="B52" s="11" t="n">
        <f aca="false">A52*Inputs!B44</f>
        <v>47.04</v>
      </c>
      <c r="C52" s="11" t="n">
        <f aca="false">SQRT(4*Inputs!B21*A52*1000/(Inputs!B10*Inputs!B11))/1000</f>
        <v>675.149370095131</v>
      </c>
      <c r="D52" s="11" t="n">
        <f aca="false">C52*(1+Inputs!B43)</f>
        <v>810.179244114157</v>
      </c>
      <c r="E52" s="11" t="n">
        <f aca="false">D52*Components!G10</f>
        <v>810.179244114157</v>
      </c>
      <c r="F52" s="11" t="n">
        <f aca="false">Inputs!B63/1000</f>
        <v>1446.66209732694</v>
      </c>
      <c r="G52" s="54" t="n">
        <f aca="false">E52/F52</f>
        <v>0.560033504445276</v>
      </c>
      <c r="H52" s="11" t="n">
        <f aca="false">A52*Inputs!B40</f>
        <v>1.3475</v>
      </c>
      <c r="I52" s="11" t="n">
        <f aca="false">H52*1000*Components!J10</f>
        <v>3.66451667412849</v>
      </c>
      <c r="J52" s="11" t="n">
        <f aca="false">Components!N10</f>
        <v>173.766223643854</v>
      </c>
      <c r="K52" s="54" t="n">
        <f aca="false">A52/J52</f>
        <v>0.281988058280123</v>
      </c>
      <c r="L52" s="55" t="str">
        <f aca="false">IF(G52&lt;1,"合格","NG")</f>
        <v>合格</v>
      </c>
      <c r="M52" s="55" t="str">
        <f aca="false">IF(K52&lt;1,"合格","NG")</f>
        <v>合格</v>
      </c>
      <c r="N52" s="55" t="str">
        <f aca="false">IF(AND(L52="合格",M52="合格"),"合格","NG")</f>
        <v>合格</v>
      </c>
      <c r="O52" s="3"/>
    </row>
    <row r="53" customFormat="false" ht="16.5" hidden="false" customHeight="true" outlineLevel="0" collapsed="false">
      <c r="A53" s="11" t="n">
        <v>50</v>
      </c>
      <c r="B53" s="11" t="n">
        <f aca="false">A53*Inputs!B44</f>
        <v>48</v>
      </c>
      <c r="C53" s="11" t="n">
        <f aca="false">SQRT(4*Inputs!B21*A53*1000/(Inputs!B10*Inputs!B11))/1000</f>
        <v>682.003854154419</v>
      </c>
      <c r="D53" s="11" t="n">
        <f aca="false">C53*(1+Inputs!B43)</f>
        <v>818.404624985303</v>
      </c>
      <c r="E53" s="11" t="n">
        <f aca="false">D53*Components!G10</f>
        <v>818.404624985303</v>
      </c>
      <c r="F53" s="11" t="n">
        <f aca="false">Inputs!B63/1000</f>
        <v>1446.66209732694</v>
      </c>
      <c r="G53" s="54" t="n">
        <f aca="false">E53/F53</f>
        <v>0.565719269549888</v>
      </c>
      <c r="H53" s="11" t="n">
        <f aca="false">A53*Inputs!B40</f>
        <v>1.375</v>
      </c>
      <c r="I53" s="11" t="n">
        <f aca="false">H53*1000*Components!J10</f>
        <v>3.73930272870254</v>
      </c>
      <c r="J53" s="11" t="n">
        <f aca="false">Components!N10</f>
        <v>173.766223643854</v>
      </c>
      <c r="K53" s="54" t="n">
        <f aca="false">A53/J53</f>
        <v>0.28774291661237</v>
      </c>
      <c r="L53" s="55" t="str">
        <f aca="false">IF(G53&lt;1,"合格","NG")</f>
        <v>合格</v>
      </c>
      <c r="M53" s="55" t="str">
        <f aca="false">IF(K53&lt;1,"合格","NG")</f>
        <v>合格</v>
      </c>
      <c r="N53" s="55" t="str">
        <f aca="false">IF(AND(L53="合格",M53="合格"),"合格","NG")</f>
        <v>合格</v>
      </c>
      <c r="O53" s="3"/>
    </row>
    <row r="54" customFormat="false" ht="16.5" hidden="false" customHeight="true" outlineLevel="0" collapsed="false">
      <c r="A54" s="11" t="n">
        <v>51</v>
      </c>
      <c r="B54" s="11" t="n">
        <f aca="false">A54*Inputs!B44</f>
        <v>48.96</v>
      </c>
      <c r="C54" s="11" t="n">
        <f aca="false">SQRT(4*Inputs!B21*A54*1000/(Inputs!B10*Inputs!B11))/1000</f>
        <v>688.790129301453</v>
      </c>
      <c r="D54" s="11" t="n">
        <f aca="false">C54*(1+Inputs!B43)</f>
        <v>826.548155161743</v>
      </c>
      <c r="E54" s="11" t="n">
        <f aca="false">D54*Components!G10</f>
        <v>826.548155161743</v>
      </c>
      <c r="F54" s="11" t="n">
        <f aca="false">Inputs!B63/1000</f>
        <v>1446.66209732694</v>
      </c>
      <c r="G54" s="54" t="n">
        <f aca="false">E54/F54</f>
        <v>0.571348455654568</v>
      </c>
      <c r="H54" s="11" t="n">
        <f aca="false">A54*Inputs!B40</f>
        <v>1.4025</v>
      </c>
      <c r="I54" s="11" t="n">
        <f aca="false">H54*1000*Components!J10</f>
        <v>3.81408878327659</v>
      </c>
      <c r="J54" s="11" t="n">
        <f aca="false">Components!N10</f>
        <v>173.766223643854</v>
      </c>
      <c r="K54" s="54" t="n">
        <f aca="false">A54/J54</f>
        <v>0.293497774944618</v>
      </c>
      <c r="L54" s="55" t="str">
        <f aca="false">IF(G54&lt;1,"合格","NG")</f>
        <v>合格</v>
      </c>
      <c r="M54" s="55" t="str">
        <f aca="false">IF(K54&lt;1,"合格","NG")</f>
        <v>合格</v>
      </c>
      <c r="N54" s="55" t="str">
        <f aca="false">IF(AND(L54="合格",M54="合格"),"合格","NG")</f>
        <v>合格</v>
      </c>
      <c r="O54" s="3"/>
    </row>
    <row r="55" customFormat="false" ht="16.5" hidden="false" customHeight="true" outlineLevel="0" collapsed="false">
      <c r="A55" s="11" t="n">
        <v>52</v>
      </c>
      <c r="B55" s="11" t="n">
        <f aca="false">A55*Inputs!B44</f>
        <v>49.92</v>
      </c>
      <c r="C55" s="11" t="n">
        <f aca="false">SQRT(4*Inputs!B21*A55*1000/(Inputs!B10*Inputs!B11))/1000</f>
        <v>695.510192135774</v>
      </c>
      <c r="D55" s="11" t="n">
        <f aca="false">C55*(1+Inputs!B43)</f>
        <v>834.612230562929</v>
      </c>
      <c r="E55" s="11" t="n">
        <f aca="false">D55*Components!G10</f>
        <v>834.612230562929</v>
      </c>
      <c r="F55" s="11" t="n">
        <f aca="false">Inputs!B63/1000</f>
        <v>1446.66209732694</v>
      </c>
      <c r="G55" s="54" t="n">
        <f aca="false">E55/F55</f>
        <v>0.576922718930067</v>
      </c>
      <c r="H55" s="11" t="n">
        <f aca="false">A55*Inputs!B40</f>
        <v>1.43</v>
      </c>
      <c r="I55" s="11" t="n">
        <f aca="false">H55*1000*Components!J10</f>
        <v>3.88887483785064</v>
      </c>
      <c r="J55" s="11" t="n">
        <f aca="false">Components!N10</f>
        <v>173.766223643854</v>
      </c>
      <c r="K55" s="54" t="n">
        <f aca="false">A55/J55</f>
        <v>0.299252633276865</v>
      </c>
      <c r="L55" s="55" t="str">
        <f aca="false">IF(G55&lt;1,"合格","NG")</f>
        <v>合格</v>
      </c>
      <c r="M55" s="55" t="str">
        <f aca="false">IF(K55&lt;1,"合格","NG")</f>
        <v>合格</v>
      </c>
      <c r="N55" s="55" t="str">
        <f aca="false">IF(AND(L55="合格",M55="合格"),"合格","NG")</f>
        <v>合格</v>
      </c>
      <c r="O55" s="3"/>
    </row>
    <row r="56" customFormat="false" ht="16.5" hidden="false" customHeight="true" outlineLevel="0" collapsed="false">
      <c r="A56" s="11" t="n">
        <v>53</v>
      </c>
      <c r="B56" s="11" t="n">
        <f aca="false">A56*Inputs!B44</f>
        <v>50.88</v>
      </c>
      <c r="C56" s="11" t="n">
        <f aca="false">SQRT(4*Inputs!B21*A56*1000/(Inputs!B10*Inputs!B11))/1000</f>
        <v>702.165943710154</v>
      </c>
      <c r="D56" s="11" t="n">
        <f aca="false">C56*(1+Inputs!B43)</f>
        <v>842.599132452185</v>
      </c>
      <c r="E56" s="11" t="n">
        <f aca="false">D56*Components!G10</f>
        <v>842.599132452185</v>
      </c>
      <c r="F56" s="11" t="n">
        <f aca="false">Inputs!B63/1000</f>
        <v>1446.66209732694</v>
      </c>
      <c r="G56" s="54" t="n">
        <f aca="false">E56/F56</f>
        <v>0.582443636291497</v>
      </c>
      <c r="H56" s="11" t="n">
        <f aca="false">A56*Inputs!B40</f>
        <v>1.4575</v>
      </c>
      <c r="I56" s="11" t="n">
        <f aca="false">H56*1000*Components!J10</f>
        <v>3.9636608924247</v>
      </c>
      <c r="J56" s="11" t="n">
        <f aca="false">Components!N10</f>
        <v>173.766223643854</v>
      </c>
      <c r="K56" s="54" t="n">
        <f aca="false">A56/J56</f>
        <v>0.305007491609113</v>
      </c>
      <c r="L56" s="55" t="str">
        <f aca="false">IF(G56&lt;1,"合格","NG")</f>
        <v>合格</v>
      </c>
      <c r="M56" s="55" t="str">
        <f aca="false">IF(K56&lt;1,"合格","NG")</f>
        <v>合格</v>
      </c>
      <c r="N56" s="55" t="str">
        <f aca="false">IF(AND(L56="合格",M56="合格"),"合格","NG")</f>
        <v>合格</v>
      </c>
      <c r="O56" s="3"/>
    </row>
    <row r="57" customFormat="false" ht="16.5" hidden="false" customHeight="true" outlineLevel="0" collapsed="false">
      <c r="A57" s="11" t="n">
        <v>54</v>
      </c>
      <c r="B57" s="11" t="n">
        <f aca="false">A57*Inputs!B44</f>
        <v>51.84</v>
      </c>
      <c r="C57" s="11" t="n">
        <f aca="false">SQRT(4*Inputs!B21*A57*1000/(Inputs!B10*Inputs!B11))/1000</f>
        <v>708.759195811949</v>
      </c>
      <c r="D57" s="11" t="n">
        <f aca="false">C57*(1+Inputs!B43)</f>
        <v>850.511034974339</v>
      </c>
      <c r="E57" s="11" t="n">
        <f aca="false">D57*Components!G10</f>
        <v>850.511034974339</v>
      </c>
      <c r="F57" s="11" t="n">
        <f aca="false">Inputs!B63/1000</f>
        <v>1446.66209732694</v>
      </c>
      <c r="G57" s="54" t="n">
        <f aca="false">E57/F57</f>
        <v>0.587912710608695</v>
      </c>
      <c r="H57" s="11" t="n">
        <f aca="false">A57*Inputs!B40</f>
        <v>1.485</v>
      </c>
      <c r="I57" s="11" t="n">
        <f aca="false">H57*1000*Components!J10</f>
        <v>4.03844694699875</v>
      </c>
      <c r="J57" s="11" t="n">
        <f aca="false">Components!N10</f>
        <v>173.766223643854</v>
      </c>
      <c r="K57" s="54" t="n">
        <f aca="false">A57/J57</f>
        <v>0.31076234994136</v>
      </c>
      <c r="L57" s="55" t="str">
        <f aca="false">IF(G57&lt;1,"合格","NG")</f>
        <v>合格</v>
      </c>
      <c r="M57" s="55" t="str">
        <f aca="false">IF(K57&lt;1,"合格","NG")</f>
        <v>合格</v>
      </c>
      <c r="N57" s="55" t="str">
        <f aca="false">IF(AND(L57="合格",M57="合格"),"合格","NG")</f>
        <v>合格</v>
      </c>
      <c r="O57" s="3"/>
    </row>
    <row r="58" customFormat="false" ht="16.5" hidden="false" customHeight="true" outlineLevel="0" collapsed="false">
      <c r="A58" s="11" t="n">
        <v>55</v>
      </c>
      <c r="B58" s="11" t="n">
        <f aca="false">A58*Inputs!B44</f>
        <v>52.8</v>
      </c>
      <c r="C58" s="11" t="n">
        <f aca="false">SQRT(4*Inputs!B21*A58*1000/(Inputs!B10*Inputs!B11))/1000</f>
        <v>715.2916767233</v>
      </c>
      <c r="D58" s="11" t="n">
        <f aca="false">C58*(1+Inputs!B43)</f>
        <v>858.35001206796</v>
      </c>
      <c r="E58" s="11" t="n">
        <f aca="false">D58*Components!G10</f>
        <v>858.35001206796</v>
      </c>
      <c r="F58" s="11" t="n">
        <f aca="false">Inputs!B63/1000</f>
        <v>1446.66209732694</v>
      </c>
      <c r="G58" s="54" t="n">
        <f aca="false">E58/F58</f>
        <v>0.593331375484277</v>
      </c>
      <c r="H58" s="11" t="n">
        <f aca="false">A58*Inputs!B40</f>
        <v>1.5125</v>
      </c>
      <c r="I58" s="11" t="n">
        <f aca="false">H58*1000*Components!J10</f>
        <v>4.1132330015728</v>
      </c>
      <c r="J58" s="11" t="n">
        <f aca="false">Components!N10</f>
        <v>173.766223643854</v>
      </c>
      <c r="K58" s="54" t="n">
        <f aca="false">A58/J58</f>
        <v>0.316517208273607</v>
      </c>
      <c r="L58" s="55" t="str">
        <f aca="false">IF(G58&lt;1,"合格","NG")</f>
        <v>合格</v>
      </c>
      <c r="M58" s="55" t="str">
        <f aca="false">IF(K58&lt;1,"合格","NG")</f>
        <v>合格</v>
      </c>
      <c r="N58" s="55" t="str">
        <f aca="false">IF(AND(L58="合格",M58="合格"),"合格","NG")</f>
        <v>合格</v>
      </c>
      <c r="O58" s="3"/>
    </row>
    <row r="59" customFormat="false" ht="16.5" hidden="false" customHeight="true" outlineLevel="0" collapsed="false">
      <c r="A59" s="11" t="n">
        <v>56</v>
      </c>
      <c r="B59" s="11" t="n">
        <f aca="false">A59*Inputs!B44</f>
        <v>53.76</v>
      </c>
      <c r="C59" s="11" t="n">
        <f aca="false">SQRT(4*Inputs!B21*A59*1000/(Inputs!B10*Inputs!B11))/1000</f>
        <v>721.765036512063</v>
      </c>
      <c r="D59" s="11" t="n">
        <f aca="false">C59*(1+Inputs!B43)</f>
        <v>866.118043814476</v>
      </c>
      <c r="E59" s="11" t="n">
        <f aca="false">D59*Components!G10</f>
        <v>866.118043814476</v>
      </c>
      <c r="F59" s="11" t="n">
        <f aca="false">Inputs!B63/1000</f>
        <v>1446.66209732694</v>
      </c>
      <c r="G59" s="54" t="n">
        <f aca="false">E59/F59</f>
        <v>0.598700999642447</v>
      </c>
      <c r="H59" s="11" t="n">
        <f aca="false">A59*Inputs!B40</f>
        <v>1.54</v>
      </c>
      <c r="I59" s="11" t="n">
        <f aca="false">H59*1000*Components!J10</f>
        <v>4.18801905614685</v>
      </c>
      <c r="J59" s="11" t="n">
        <f aca="false">Components!N10</f>
        <v>173.766223643854</v>
      </c>
      <c r="K59" s="54" t="n">
        <f aca="false">A59/J59</f>
        <v>0.322272066605855</v>
      </c>
      <c r="L59" s="55" t="str">
        <f aca="false">IF(G59&lt;1,"合格","NG")</f>
        <v>合格</v>
      </c>
      <c r="M59" s="55" t="str">
        <f aca="false">IF(K59&lt;1,"合格","NG")</f>
        <v>合格</v>
      </c>
      <c r="N59" s="55" t="str">
        <f aca="false">IF(AND(L59="合格",M59="合格"),"合格","NG")</f>
        <v>合格</v>
      </c>
      <c r="O59" s="3"/>
    </row>
    <row r="60" customFormat="false" ht="16.5" hidden="false" customHeight="true" outlineLevel="0" collapsed="false">
      <c r="A60" s="11" t="n">
        <v>57</v>
      </c>
      <c r="B60" s="11" t="n">
        <f aca="false">A60*Inputs!B44</f>
        <v>54.72</v>
      </c>
      <c r="C60" s="11" t="n">
        <f aca="false">SQRT(4*Inputs!B21*A60*1000/(Inputs!B10*Inputs!B11))/1000</f>
        <v>728.180851899368</v>
      </c>
      <c r="D60" s="11" t="n">
        <f aca="false">C60*(1+Inputs!B43)</f>
        <v>873.817022279242</v>
      </c>
      <c r="E60" s="11" t="n">
        <f aca="false">D60*Components!G10</f>
        <v>873.817022279242</v>
      </c>
      <c r="F60" s="11" t="n">
        <f aca="false">Inputs!B63/1000</f>
        <v>1446.66209732694</v>
      </c>
      <c r="G60" s="54" t="n">
        <f aca="false">E60/F60</f>
        <v>0.604022890966615</v>
      </c>
      <c r="H60" s="11" t="n">
        <f aca="false">A60*Inputs!B40</f>
        <v>1.5675</v>
      </c>
      <c r="I60" s="11" t="n">
        <f aca="false">H60*1000*Components!J10</f>
        <v>4.2628051107209</v>
      </c>
      <c r="J60" s="11" t="n">
        <f aca="false">Components!N10</f>
        <v>173.766223643854</v>
      </c>
      <c r="K60" s="54" t="n">
        <f aca="false">A60/J60</f>
        <v>0.328026924938102</v>
      </c>
      <c r="L60" s="55" t="str">
        <f aca="false">IF(G60&lt;1,"合格","NG")</f>
        <v>合格</v>
      </c>
      <c r="M60" s="55" t="str">
        <f aca="false">IF(K60&lt;1,"合格","NG")</f>
        <v>合格</v>
      </c>
      <c r="N60" s="55" t="str">
        <f aca="false">IF(AND(L60="合格",M60="合格"),"合格","NG")</f>
        <v>合格</v>
      </c>
      <c r="O60" s="3"/>
    </row>
    <row r="61" customFormat="false" ht="16.5" hidden="false" customHeight="true" outlineLevel="0" collapsed="false">
      <c r="A61" s="11" t="n">
        <v>58</v>
      </c>
      <c r="B61" s="11" t="n">
        <f aca="false">A61*Inputs!B44</f>
        <v>55.68</v>
      </c>
      <c r="C61" s="11" t="n">
        <f aca="false">SQRT(4*Inputs!B21*A61*1000/(Inputs!B10*Inputs!B11))/1000</f>
        <v>734.540630744494</v>
      </c>
      <c r="D61" s="11" t="n">
        <f aca="false">C61*(1+Inputs!B43)</f>
        <v>881.448756893393</v>
      </c>
      <c r="E61" s="11" t="n">
        <f aca="false">D61*Components!G10</f>
        <v>881.448756893393</v>
      </c>
      <c r="F61" s="11" t="n">
        <f aca="false">Inputs!B63/1000</f>
        <v>1446.66209732694</v>
      </c>
      <c r="G61" s="54" t="n">
        <f aca="false">E61/F61</f>
        <v>0.609298300219579</v>
      </c>
      <c r="H61" s="11" t="n">
        <f aca="false">A61*Inputs!B40</f>
        <v>1.595</v>
      </c>
      <c r="I61" s="11" t="n">
        <f aca="false">H61*1000*Components!J10</f>
        <v>4.33759116529495</v>
      </c>
      <c r="J61" s="11" t="n">
        <f aca="false">Components!N10</f>
        <v>173.766223643854</v>
      </c>
      <c r="K61" s="54" t="n">
        <f aca="false">A61/J61</f>
        <v>0.33378178327035</v>
      </c>
      <c r="L61" s="55" t="str">
        <f aca="false">IF(G61&lt;1,"合格","NG")</f>
        <v>合格</v>
      </c>
      <c r="M61" s="55" t="str">
        <f aca="false">IF(K61&lt;1,"合格","NG")</f>
        <v>合格</v>
      </c>
      <c r="N61" s="55" t="str">
        <f aca="false">IF(AND(L61="合格",M61="合格"),"合格","NG")</f>
        <v>合格</v>
      </c>
      <c r="O61" s="3"/>
    </row>
    <row r="62" customFormat="false" ht="16.5" hidden="false" customHeight="true" outlineLevel="0" collapsed="false">
      <c r="A62" s="11" t="n">
        <v>59</v>
      </c>
      <c r="B62" s="11" t="n">
        <f aca="false">A62*Inputs!B44</f>
        <v>56.64</v>
      </c>
      <c r="C62" s="11" t="n">
        <f aca="false">SQRT(4*Inputs!B21*A62*1000/(Inputs!B10*Inputs!B11))/1000</f>
        <v>740.845816183198</v>
      </c>
      <c r="D62" s="11" t="n">
        <f aca="false">C62*(1+Inputs!B43)</f>
        <v>889.014979419838</v>
      </c>
      <c r="E62" s="11" t="n">
        <f aca="false">D62*Components!G10</f>
        <v>889.014979419838</v>
      </c>
      <c r="F62" s="11" t="n">
        <f aca="false">Inputs!B63/1000</f>
        <v>1446.66209732694</v>
      </c>
      <c r="G62" s="54" t="n">
        <f aca="false">E62/F62</f>
        <v>0.614528424476256</v>
      </c>
      <c r="H62" s="11" t="n">
        <f aca="false">A62*Inputs!B40</f>
        <v>1.6225</v>
      </c>
      <c r="I62" s="11" t="n">
        <f aca="false">H62*1000*Components!J10</f>
        <v>4.412377219869</v>
      </c>
      <c r="J62" s="11" t="n">
        <f aca="false">Components!N10</f>
        <v>173.766223643854</v>
      </c>
      <c r="K62" s="54" t="n">
        <f aca="false">A62/J62</f>
        <v>0.339536641602597</v>
      </c>
      <c r="L62" s="55" t="str">
        <f aca="false">IF(G62&lt;1,"合格","NG")</f>
        <v>合格</v>
      </c>
      <c r="M62" s="55" t="str">
        <f aca="false">IF(K62&lt;1,"合格","NG")</f>
        <v>合格</v>
      </c>
      <c r="N62" s="55" t="str">
        <f aca="false">IF(AND(L62="合格",M62="合格"),"合格","NG")</f>
        <v>合格</v>
      </c>
      <c r="O62" s="3"/>
    </row>
    <row r="63" customFormat="false" ht="16.5" hidden="false" customHeight="true" outlineLevel="0" collapsed="false">
      <c r="A63" s="11" t="n">
        <v>60</v>
      </c>
      <c r="B63" s="11" t="n">
        <f aca="false">A63*Inputs!B44</f>
        <v>57.6</v>
      </c>
      <c r="C63" s="11" t="n">
        <f aca="false">SQRT(4*Inputs!B21*A63*1000/(Inputs!B10*Inputs!B11))/1000</f>
        <v>747.097790451678</v>
      </c>
      <c r="D63" s="11" t="n">
        <f aca="false">C63*(1+Inputs!B43)</f>
        <v>896.517348542013</v>
      </c>
      <c r="E63" s="11" t="n">
        <f aca="false">D63*Components!G10</f>
        <v>896.517348542013</v>
      </c>
      <c r="F63" s="11" t="n">
        <f aca="false">Inputs!B63/1000</f>
        <v>1446.66209732694</v>
      </c>
      <c r="G63" s="54" t="n">
        <f aca="false">E63/F63</f>
        <v>0.619714410295638</v>
      </c>
      <c r="H63" s="11" t="n">
        <f aca="false">A63*Inputs!B40</f>
        <v>1.65</v>
      </c>
      <c r="I63" s="11" t="n">
        <f aca="false">H63*1000*Components!J10</f>
        <v>4.48716327444305</v>
      </c>
      <c r="J63" s="11" t="n">
        <f aca="false">Components!N10</f>
        <v>173.766223643854</v>
      </c>
      <c r="K63" s="54" t="n">
        <f aca="false">A63/J63</f>
        <v>0.345291499934844</v>
      </c>
      <c r="L63" s="55" t="str">
        <f aca="false">IF(G63&lt;1,"合格","NG")</f>
        <v>合格</v>
      </c>
      <c r="M63" s="55" t="str">
        <f aca="false">IF(K63&lt;1,"合格","NG")</f>
        <v>合格</v>
      </c>
      <c r="N63" s="55" t="str">
        <f aca="false">IF(AND(L63="合格",M63="合格"),"合格","NG")</f>
        <v>合格</v>
      </c>
      <c r="O63" s="3"/>
    </row>
    <row r="64" customFormat="false" ht="16.5" hidden="false" customHeight="true" outlineLevel="0" collapsed="false">
      <c r="A64" s="11" t="n">
        <v>61</v>
      </c>
      <c r="B64" s="11" t="n">
        <f aca="false">A64*Inputs!B44</f>
        <v>58.56</v>
      </c>
      <c r="C64" s="11" t="n">
        <f aca="false">SQRT(4*Inputs!B21*A64*1000/(Inputs!B10*Inputs!B11))/1000</f>
        <v>753.297878424869</v>
      </c>
      <c r="D64" s="11" t="n">
        <f aca="false">C64*(1+Inputs!B43)</f>
        <v>903.957454109842</v>
      </c>
      <c r="E64" s="11" t="n">
        <f aca="false">D64*Components!G10</f>
        <v>903.957454109842</v>
      </c>
      <c r="F64" s="11" t="n">
        <f aca="false">Inputs!B63/1000</f>
        <v>1446.66209732694</v>
      </c>
      <c r="G64" s="54" t="n">
        <f aca="false">E64/F64</f>
        <v>0.624857356655798</v>
      </c>
      <c r="H64" s="11" t="n">
        <f aca="false">A64*Inputs!B40</f>
        <v>1.6775</v>
      </c>
      <c r="I64" s="11" t="n">
        <f aca="false">H64*1000*Components!J10</f>
        <v>4.5619493290171</v>
      </c>
      <c r="J64" s="11" t="n">
        <f aca="false">Components!N10</f>
        <v>173.766223643854</v>
      </c>
      <c r="K64" s="54" t="n">
        <f aca="false">A64/J64</f>
        <v>0.351046358267092</v>
      </c>
      <c r="L64" s="55" t="str">
        <f aca="false">IF(G64&lt;1,"合格","NG")</f>
        <v>合格</v>
      </c>
      <c r="M64" s="55" t="str">
        <f aca="false">IF(K64&lt;1,"合格","NG")</f>
        <v>合格</v>
      </c>
      <c r="N64" s="55" t="str">
        <f aca="false">IF(AND(L64="合格",M64="合格"),"合格","NG")</f>
        <v>合格</v>
      </c>
      <c r="O64" s="3"/>
    </row>
    <row r="65" customFormat="false" ht="16.5" hidden="false" customHeight="true" outlineLevel="0" collapsed="false">
      <c r="A65" s="11" t="n">
        <v>62</v>
      </c>
      <c r="B65" s="11" t="n">
        <f aca="false">A65*Inputs!B44</f>
        <v>59.52</v>
      </c>
      <c r="C65" s="11" t="n">
        <f aca="false">SQRT(4*Inputs!B21*A65*1000/(Inputs!B10*Inputs!B11))/1000</f>
        <v>759.44735089474</v>
      </c>
      <c r="D65" s="11" t="n">
        <f aca="false">C65*(1+Inputs!B43)</f>
        <v>911.336821073688</v>
      </c>
      <c r="E65" s="11" t="n">
        <f aca="false">D65*Components!G10</f>
        <v>911.336821073688</v>
      </c>
      <c r="F65" s="11" t="n">
        <f aca="false">Inputs!B63/1000</f>
        <v>1446.66209732694</v>
      </c>
      <c r="G65" s="54" t="n">
        <f aca="false">E65/F65</f>
        <v>0.629958317673219</v>
      </c>
      <c r="H65" s="11" t="n">
        <f aca="false">A65*Inputs!B40</f>
        <v>1.705</v>
      </c>
      <c r="I65" s="11" t="n">
        <f aca="false">H65*1000*Components!J10</f>
        <v>4.63673538359115</v>
      </c>
      <c r="J65" s="11" t="n">
        <f aca="false">Components!N10</f>
        <v>173.766223643854</v>
      </c>
      <c r="K65" s="54" t="n">
        <f aca="false">A65/J65</f>
        <v>0.356801216599339</v>
      </c>
      <c r="L65" s="55" t="str">
        <f aca="false">IF(G65&lt;1,"合格","NG")</f>
        <v>合格</v>
      </c>
      <c r="M65" s="55" t="str">
        <f aca="false">IF(K65&lt;1,"合格","NG")</f>
        <v>合格</v>
      </c>
      <c r="N65" s="55" t="str">
        <f aca="false">IF(AND(L65="合格",M65="合格"),"合格","NG")</f>
        <v>合格</v>
      </c>
      <c r="O65" s="3"/>
    </row>
    <row r="66" customFormat="false" ht="16.5" hidden="false" customHeight="true" outlineLevel="0" collapsed="false">
      <c r="A66" s="11" t="n">
        <v>63</v>
      </c>
      <c r="B66" s="11" t="n">
        <f aca="false">A66*Inputs!B44</f>
        <v>60.48</v>
      </c>
      <c r="C66" s="11" t="n">
        <f aca="false">SQRT(4*Inputs!B21*A66*1000/(Inputs!B10*Inputs!B11))/1000</f>
        <v>765.547427611554</v>
      </c>
      <c r="D66" s="11" t="n">
        <f aca="false">C66*(1+Inputs!B43)</f>
        <v>918.656913133865</v>
      </c>
      <c r="E66" s="11" t="n">
        <f aca="false">D66*Components!G10</f>
        <v>918.656913133865</v>
      </c>
      <c r="F66" s="11" t="n">
        <f aca="false">Inputs!B63/1000</f>
        <v>1446.66209732694</v>
      </c>
      <c r="G66" s="54" t="n">
        <f aca="false">E66/F66</f>
        <v>0.635018305125509</v>
      </c>
      <c r="H66" s="11" t="n">
        <f aca="false">A66*Inputs!B40</f>
        <v>1.7325</v>
      </c>
      <c r="I66" s="11" t="n">
        <f aca="false">H66*1000*Components!J10</f>
        <v>4.7115214381652</v>
      </c>
      <c r="J66" s="11" t="n">
        <f aca="false">Components!N10</f>
        <v>173.766223643854</v>
      </c>
      <c r="K66" s="54" t="n">
        <f aca="false">A66/J66</f>
        <v>0.362556074931587</v>
      </c>
      <c r="L66" s="55" t="str">
        <f aca="false">IF(G66&lt;1,"合格","NG")</f>
        <v>合格</v>
      </c>
      <c r="M66" s="55" t="str">
        <f aca="false">IF(K66&lt;1,"合格","NG")</f>
        <v>合格</v>
      </c>
      <c r="N66" s="55" t="str">
        <f aca="false">IF(AND(L66="合格",M66="合格"),"合格","NG")</f>
        <v>合格</v>
      </c>
      <c r="O66" s="3"/>
    </row>
    <row r="67" customFormat="false" ht="16.5" hidden="false" customHeight="true" outlineLevel="0" collapsed="false">
      <c r="A67" s="11" t="n">
        <v>64</v>
      </c>
      <c r="B67" s="11" t="n">
        <f aca="false">A67*Inputs!B44</f>
        <v>61.44</v>
      </c>
      <c r="C67" s="11" t="n">
        <f aca="false">SQRT(4*Inputs!B21*A67*1000/(Inputs!B10*Inputs!B11))/1000</f>
        <v>771.599280108721</v>
      </c>
      <c r="D67" s="11" t="n">
        <f aca="false">C67*(1+Inputs!B43)</f>
        <v>925.919136130466</v>
      </c>
      <c r="E67" s="11" t="n">
        <f aca="false">D67*Components!G10</f>
        <v>925.919136130466</v>
      </c>
      <c r="F67" s="11" t="n">
        <f aca="false">Inputs!B63/1000</f>
        <v>1446.66209732694</v>
      </c>
      <c r="G67" s="54" t="n">
        <f aca="false">E67/F67</f>
        <v>0.640038290794602</v>
      </c>
      <c r="H67" s="11" t="n">
        <f aca="false">A67*Inputs!B40</f>
        <v>1.76</v>
      </c>
      <c r="I67" s="11" t="n">
        <f aca="false">H67*1000*Components!J10</f>
        <v>4.78630749273926</v>
      </c>
      <c r="J67" s="11" t="n">
        <f aca="false">Components!N10</f>
        <v>173.766223643854</v>
      </c>
      <c r="K67" s="54" t="n">
        <f aca="false">A67/J67</f>
        <v>0.368310933263834</v>
      </c>
      <c r="L67" s="55" t="str">
        <f aca="false">IF(G67&lt;1,"合格","NG")</f>
        <v>合格</v>
      </c>
      <c r="M67" s="55" t="str">
        <f aca="false">IF(K67&lt;1,"合格","NG")</f>
        <v>合格</v>
      </c>
      <c r="N67" s="55" t="str">
        <f aca="false">IF(AND(L67="合格",M67="合格"),"合格","NG")</f>
        <v>合格</v>
      </c>
      <c r="O67" s="3"/>
    </row>
    <row r="68" customFormat="false" ht="16.5" hidden="false" customHeight="true" outlineLevel="0" collapsed="false">
      <c r="A68" s="11" t="n">
        <v>65</v>
      </c>
      <c r="B68" s="11" t="n">
        <f aca="false">A68*Inputs!B44</f>
        <v>62.4</v>
      </c>
      <c r="C68" s="11" t="n">
        <f aca="false">SQRT(4*Inputs!B21*A68*1000/(Inputs!B10*Inputs!B11))/1000</f>
        <v>777.604034329765</v>
      </c>
      <c r="D68" s="11" t="n">
        <f aca="false">C68*(1+Inputs!B43)</f>
        <v>933.124841195718</v>
      </c>
      <c r="E68" s="11" t="n">
        <f aca="false">D68*Components!G10</f>
        <v>933.124841195718</v>
      </c>
      <c r="F68" s="11" t="n">
        <f aca="false">Inputs!B63/1000</f>
        <v>1446.66209732694</v>
      </c>
      <c r="G68" s="54" t="n">
        <f aca="false">E68/F68</f>
        <v>0.645019208645817</v>
      </c>
      <c r="H68" s="11" t="n">
        <f aca="false">A68*Inputs!B40</f>
        <v>1.7875</v>
      </c>
      <c r="I68" s="11" t="n">
        <f aca="false">H68*1000*Components!J10</f>
        <v>4.86109354731331</v>
      </c>
      <c r="J68" s="11" t="n">
        <f aca="false">Components!N10</f>
        <v>173.766223643854</v>
      </c>
      <c r="K68" s="54" t="n">
        <f aca="false">A68/J68</f>
        <v>0.374065791596081</v>
      </c>
      <c r="L68" s="55" t="str">
        <f aca="false">IF(G68&lt;1,"合格","NG")</f>
        <v>合格</v>
      </c>
      <c r="M68" s="55" t="str">
        <f aca="false">IF(K68&lt;1,"合格","NG")</f>
        <v>合格</v>
      </c>
      <c r="N68" s="55" t="str">
        <f aca="false">IF(AND(L68="合格",M68="合格"),"合格","NG")</f>
        <v>合格</v>
      </c>
      <c r="O68" s="3"/>
    </row>
    <row r="69" customFormat="false" ht="16.5" hidden="false" customHeight="true" outlineLevel="0" collapsed="false">
      <c r="A69" s="11" t="n">
        <v>66</v>
      </c>
      <c r="B69" s="11" t="n">
        <f aca="false">A69*Inputs!B44</f>
        <v>63.36</v>
      </c>
      <c r="C69" s="11" t="n">
        <f aca="false">SQRT(4*Inputs!B21*A69*1000/(Inputs!B10*Inputs!B11))/1000</f>
        <v>783.562773074089</v>
      </c>
      <c r="D69" s="11" t="n">
        <f aca="false">C69*(1+Inputs!B43)</f>
        <v>940.275327688907</v>
      </c>
      <c r="E69" s="11" t="n">
        <f aca="false">D69*Components!G10</f>
        <v>940.275327688907</v>
      </c>
      <c r="F69" s="11" t="n">
        <f aca="false">Inputs!B63/1000</f>
        <v>1446.66209732694</v>
      </c>
      <c r="G69" s="54" t="n">
        <f aca="false">E69/F69</f>
        <v>0.649961956856613</v>
      </c>
      <c r="H69" s="11" t="n">
        <f aca="false">A69*Inputs!B40</f>
        <v>1.815</v>
      </c>
      <c r="I69" s="11" t="n">
        <f aca="false">H69*1000*Components!J10</f>
        <v>4.93587960188736</v>
      </c>
      <c r="J69" s="11" t="n">
        <f aca="false">Components!N10</f>
        <v>173.766223643854</v>
      </c>
      <c r="K69" s="54" t="n">
        <f aca="false">A69/J69</f>
        <v>0.379820649928329</v>
      </c>
      <c r="L69" s="55" t="str">
        <f aca="false">IF(G69&lt;1,"合格","NG")</f>
        <v>合格</v>
      </c>
      <c r="M69" s="55" t="str">
        <f aca="false">IF(K69&lt;1,"合格","NG")</f>
        <v>合格</v>
      </c>
      <c r="N69" s="55" t="str">
        <f aca="false">IF(AND(L69="合格",M69="合格"),"合格","NG")</f>
        <v>合格</v>
      </c>
      <c r="O69" s="3"/>
    </row>
    <row r="70" customFormat="false" ht="16.5" hidden="false" customHeight="true" outlineLevel="0" collapsed="false">
      <c r="A70" s="11" t="n">
        <v>67</v>
      </c>
      <c r="B70" s="11" t="n">
        <f aca="false">A70*Inputs!B44</f>
        <v>64.32</v>
      </c>
      <c r="C70" s="11" t="n">
        <f aca="false">SQRT(4*Inputs!B21*A70*1000/(Inputs!B10*Inputs!B11))/1000</f>
        <v>789.476538276589</v>
      </c>
      <c r="D70" s="11" t="n">
        <f aca="false">C70*(1+Inputs!B43)</f>
        <v>947.371845931906</v>
      </c>
      <c r="E70" s="11" t="n">
        <f aca="false">D70*Components!G10</f>
        <v>947.371845931906</v>
      </c>
      <c r="F70" s="11" t="n">
        <f aca="false">Inputs!B63/1000</f>
        <v>1446.66209732694</v>
      </c>
      <c r="G70" s="54" t="n">
        <f aca="false">E70/F70</f>
        <v>0.654867399707512</v>
      </c>
      <c r="H70" s="11" t="n">
        <f aca="false">A70*Inputs!B40</f>
        <v>1.8425</v>
      </c>
      <c r="I70" s="11" t="n">
        <f aca="false">H70*1000*Components!J10</f>
        <v>5.01066565646141</v>
      </c>
      <c r="J70" s="11" t="n">
        <f aca="false">Components!N10</f>
        <v>173.766223643854</v>
      </c>
      <c r="K70" s="54" t="n">
        <f aca="false">A70/J70</f>
        <v>0.385575508260576</v>
      </c>
      <c r="L70" s="55" t="str">
        <f aca="false">IF(G70&lt;1,"合格","NG")</f>
        <v>合格</v>
      </c>
      <c r="M70" s="55" t="str">
        <f aca="false">IF(K70&lt;1,"合格","NG")</f>
        <v>合格</v>
      </c>
      <c r="N70" s="55" t="str">
        <f aca="false">IF(AND(L70="合格",M70="合格"),"合格","NG")</f>
        <v>合格</v>
      </c>
      <c r="O70" s="3"/>
    </row>
    <row r="71" customFormat="false" ht="16.5" hidden="false" customHeight="true" outlineLevel="0" collapsed="false">
      <c r="A71" s="11" t="n">
        <v>68</v>
      </c>
      <c r="B71" s="11" t="n">
        <f aca="false">A71*Inputs!B44</f>
        <v>65.28</v>
      </c>
      <c r="C71" s="11" t="n">
        <f aca="false">SQRT(4*Inputs!B21*A71*1000/(Inputs!B10*Inputs!B11))/1000</f>
        <v>795.346333134702</v>
      </c>
      <c r="D71" s="11" t="n">
        <f aca="false">C71*(1+Inputs!B43)</f>
        <v>954.415599761642</v>
      </c>
      <c r="E71" s="11" t="n">
        <f aca="false">D71*Components!G10</f>
        <v>954.415599761642</v>
      </c>
      <c r="F71" s="11" t="n">
        <f aca="false">Inputs!B63/1000</f>
        <v>1446.66209732694</v>
      </c>
      <c r="G71" s="54" t="n">
        <f aca="false">E71/F71</f>
        <v>0.659736369346483</v>
      </c>
      <c r="H71" s="11" t="n">
        <f aca="false">A71*Inputs!B40</f>
        <v>1.87</v>
      </c>
      <c r="I71" s="11" t="n">
        <f aca="false">H71*1000*Components!J10</f>
        <v>5.08545171103546</v>
      </c>
      <c r="J71" s="11" t="n">
        <f aca="false">Components!N10</f>
        <v>173.766223643854</v>
      </c>
      <c r="K71" s="54" t="n">
        <f aca="false">A71/J71</f>
        <v>0.391330366592824</v>
      </c>
      <c r="L71" s="55" t="str">
        <f aca="false">IF(G71&lt;1,"合格","NG")</f>
        <v>合格</v>
      </c>
      <c r="M71" s="55" t="str">
        <f aca="false">IF(K71&lt;1,"合格","NG")</f>
        <v>合格</v>
      </c>
      <c r="N71" s="55" t="str">
        <f aca="false">IF(AND(L71="合格",M71="合格"),"合格","NG")</f>
        <v>合格</v>
      </c>
      <c r="O71" s="3"/>
    </row>
    <row r="72" customFormat="false" ht="16.5" hidden="false" customHeight="true" outlineLevel="0" collapsed="false">
      <c r="A72" s="11" t="n">
        <v>69</v>
      </c>
      <c r="B72" s="11" t="n">
        <f aca="false">A72*Inputs!B44</f>
        <v>66.24</v>
      </c>
      <c r="C72" s="11" t="n">
        <f aca="false">SQRT(4*Inputs!B21*A72*1000/(Inputs!B10*Inputs!B11))/1000</f>
        <v>801.173124095189</v>
      </c>
      <c r="D72" s="11" t="n">
        <f aca="false">C72*(1+Inputs!B43)</f>
        <v>961.407748914227</v>
      </c>
      <c r="E72" s="11" t="n">
        <f aca="false">D72*Components!G10</f>
        <v>961.407748914227</v>
      </c>
      <c r="F72" s="11" t="n">
        <f aca="false">Inputs!B63/1000</f>
        <v>1446.66209732694</v>
      </c>
      <c r="G72" s="54" t="n">
        <f aca="false">E72/F72</f>
        <v>0.664569667436967</v>
      </c>
      <c r="H72" s="11" t="n">
        <f aca="false">A72*Inputs!B40</f>
        <v>1.8975</v>
      </c>
      <c r="I72" s="11" t="n">
        <f aca="false">H72*1000*Components!J10</f>
        <v>5.16023776560951</v>
      </c>
      <c r="J72" s="11" t="n">
        <f aca="false">Components!N10</f>
        <v>173.766223643854</v>
      </c>
      <c r="K72" s="54" t="n">
        <f aca="false">A72/J72</f>
        <v>0.397085224925071</v>
      </c>
      <c r="L72" s="55" t="str">
        <f aca="false">IF(G72&lt;1,"合格","NG")</f>
        <v>合格</v>
      </c>
      <c r="M72" s="55" t="str">
        <f aca="false">IF(K72&lt;1,"合格","NG")</f>
        <v>合格</v>
      </c>
      <c r="N72" s="55" t="str">
        <f aca="false">IF(AND(L72="合格",M72="合格"),"合格","NG")</f>
        <v>合格</v>
      </c>
      <c r="O72" s="3"/>
    </row>
    <row r="73" customFormat="false" ht="16.5" hidden="false" customHeight="true" outlineLevel="0" collapsed="false">
      <c r="A73" s="11" t="n">
        <v>70</v>
      </c>
      <c r="B73" s="11" t="n">
        <f aca="false">A73*Inputs!B44</f>
        <v>67.2</v>
      </c>
      <c r="C73" s="11" t="n">
        <f aca="false">SQRT(4*Inputs!B21*A73*1000/(Inputs!B10*Inputs!B11))/1000</f>
        <v>806.957842711796</v>
      </c>
      <c r="D73" s="11" t="n">
        <f aca="false">C73*(1+Inputs!B43)</f>
        <v>968.349411254155</v>
      </c>
      <c r="E73" s="11" t="n">
        <f aca="false">D73*Components!G10</f>
        <v>968.349411254155</v>
      </c>
      <c r="F73" s="11" t="n">
        <f aca="false">Inputs!B63/1000</f>
        <v>1446.66209732694</v>
      </c>
      <c r="G73" s="54" t="n">
        <f aca="false">E73/F73</f>
        <v>0.669368066698795</v>
      </c>
      <c r="H73" s="11" t="n">
        <f aca="false">A73*Inputs!B40</f>
        <v>1.925</v>
      </c>
      <c r="I73" s="11" t="n">
        <f aca="false">H73*1000*Components!J10</f>
        <v>5.23502382018356</v>
      </c>
      <c r="J73" s="11" t="n">
        <f aca="false">Components!N10</f>
        <v>173.766223643854</v>
      </c>
      <c r="K73" s="54" t="n">
        <f aca="false">A73/J73</f>
        <v>0.402840083257318</v>
      </c>
      <c r="L73" s="55" t="str">
        <f aca="false">IF(G73&lt;1,"合格","NG")</f>
        <v>合格</v>
      </c>
      <c r="M73" s="55" t="str">
        <f aca="false">IF(K73&lt;1,"合格","NG")</f>
        <v>合格</v>
      </c>
      <c r="N73" s="55" t="str">
        <f aca="false">IF(AND(L73="合格",M73="合格"),"合格","NG")</f>
        <v>合格</v>
      </c>
      <c r="O73" s="3"/>
    </row>
    <row r="74" customFormat="false" ht="16.5" hidden="false" customHeight="true" outlineLevel="0" collapsed="false">
      <c r="A74" s="11" t="n">
        <v>71</v>
      </c>
      <c r="B74" s="11" t="n">
        <f aca="false">A74*Inputs!B44</f>
        <v>68.16</v>
      </c>
      <c r="C74" s="11" t="n">
        <f aca="false">SQRT(4*Inputs!B21*A74*1000/(Inputs!B10*Inputs!B11))/1000</f>
        <v>812.701387383893</v>
      </c>
      <c r="D74" s="11" t="n">
        <f aca="false">C74*(1+Inputs!B43)</f>
        <v>975.241664860672</v>
      </c>
      <c r="E74" s="11" t="n">
        <f aca="false">D74*Components!G10</f>
        <v>975.241664860672</v>
      </c>
      <c r="F74" s="11" t="n">
        <f aca="false">Inputs!B63/1000</f>
        <v>1446.66209732694</v>
      </c>
      <c r="G74" s="54" t="n">
        <f aca="false">E74/F74</f>
        <v>0.674132312350389</v>
      </c>
      <c r="H74" s="11" t="n">
        <f aca="false">A74*Inputs!B40</f>
        <v>1.9525</v>
      </c>
      <c r="I74" s="11" t="n">
        <f aca="false">H74*1000*Components!J10</f>
        <v>5.30980987475761</v>
      </c>
      <c r="J74" s="11" t="n">
        <f aca="false">Components!N10</f>
        <v>173.766223643854</v>
      </c>
      <c r="K74" s="54" t="n">
        <f aca="false">A74/J74</f>
        <v>0.408594941589566</v>
      </c>
      <c r="L74" s="55" t="str">
        <f aca="false">IF(G74&lt;1,"合格","NG")</f>
        <v>合格</v>
      </c>
      <c r="M74" s="55" t="str">
        <f aca="false">IF(K74&lt;1,"合格","NG")</f>
        <v>合格</v>
      </c>
      <c r="N74" s="55" t="str">
        <f aca="false">IF(AND(L74="合格",M74="合格"),"合格","NG")</f>
        <v>合格</v>
      </c>
      <c r="O74" s="3"/>
    </row>
    <row r="75" customFormat="false" ht="16.5" hidden="false" customHeight="true" outlineLevel="0" collapsed="false">
      <c r="A75" s="11" t="n">
        <v>72</v>
      </c>
      <c r="B75" s="11" t="n">
        <f aca="false">A75*Inputs!B44</f>
        <v>69.12</v>
      </c>
      <c r="C75" s="11" t="n">
        <f aca="false">SQRT(4*Inputs!B21*A75*1000/(Inputs!B10*Inputs!B11))/1000</f>
        <v>818.404624985303</v>
      </c>
      <c r="D75" s="11" t="n">
        <f aca="false">C75*(1+Inputs!B43)</f>
        <v>982.085549982363</v>
      </c>
      <c r="E75" s="11" t="n">
        <f aca="false">D75*Components!G10</f>
        <v>982.085549982363</v>
      </c>
      <c r="F75" s="11" t="n">
        <f aca="false">Inputs!B63/1000</f>
        <v>1446.66209732694</v>
      </c>
      <c r="G75" s="54" t="n">
        <f aca="false">E75/F75</f>
        <v>0.678863123459865</v>
      </c>
      <c r="H75" s="11" t="n">
        <f aca="false">A75*Inputs!B40</f>
        <v>1.98</v>
      </c>
      <c r="I75" s="11" t="n">
        <f aca="false">H75*1000*Components!J10</f>
        <v>5.38459592933166</v>
      </c>
      <c r="J75" s="11" t="n">
        <f aca="false">Components!N10</f>
        <v>173.766223643854</v>
      </c>
      <c r="K75" s="54" t="n">
        <f aca="false">A75/J75</f>
        <v>0.414349799921813</v>
      </c>
      <c r="L75" s="55" t="str">
        <f aca="false">IF(G75&lt;1,"合格","NG")</f>
        <v>合格</v>
      </c>
      <c r="M75" s="55" t="str">
        <f aca="false">IF(K75&lt;1,"合格","NG")</f>
        <v>合格</v>
      </c>
      <c r="N75" s="55" t="str">
        <f aca="false">IF(AND(L75="合格",M75="合格"),"合格","NG")</f>
        <v>合格</v>
      </c>
      <c r="O75" s="3"/>
    </row>
    <row r="76" customFormat="false" ht="16.5" hidden="false" customHeight="true" outlineLevel="0" collapsed="false">
      <c r="A76" s="11" t="n">
        <v>73</v>
      </c>
      <c r="B76" s="11" t="n">
        <f aca="false">A76*Inputs!B44</f>
        <v>70.08</v>
      </c>
      <c r="C76" s="11" t="n">
        <f aca="false">SQRT(4*Inputs!B21*A76*1000/(Inputs!B10*Inputs!B11))/1000</f>
        <v>824.068392391653</v>
      </c>
      <c r="D76" s="11" t="n">
        <f aca="false">C76*(1+Inputs!B43)</f>
        <v>988.882070869984</v>
      </c>
      <c r="E76" s="11" t="n">
        <f aca="false">D76*Components!G10</f>
        <v>988.882070869984</v>
      </c>
      <c r="F76" s="11" t="n">
        <f aca="false">Inputs!B63/1000</f>
        <v>1446.66209732694</v>
      </c>
      <c r="G76" s="54" t="n">
        <f aca="false">E76/F76</f>
        <v>0.683561194211963</v>
      </c>
      <c r="H76" s="11" t="n">
        <f aca="false">A76*Inputs!B40</f>
        <v>2.0075</v>
      </c>
      <c r="I76" s="11" t="n">
        <f aca="false">H76*1000*Components!J10</f>
        <v>5.45938198390571</v>
      </c>
      <c r="J76" s="11" t="n">
        <f aca="false">Components!N10</f>
        <v>173.766223643854</v>
      </c>
      <c r="K76" s="54" t="n">
        <f aca="false">A76/J76</f>
        <v>0.420104658254061</v>
      </c>
      <c r="L76" s="55" t="str">
        <f aca="false">IF(G76&lt;1,"合格","NG")</f>
        <v>合格</v>
      </c>
      <c r="M76" s="55" t="str">
        <f aca="false">IF(K76&lt;1,"合格","NG")</f>
        <v>合格</v>
      </c>
      <c r="N76" s="55" t="str">
        <f aca="false">IF(AND(L76="合格",M76="合格"),"合格","NG")</f>
        <v>合格</v>
      </c>
      <c r="O76" s="3"/>
    </row>
    <row r="77" customFormat="false" ht="16.5" hidden="false" customHeight="true" outlineLevel="0" collapsed="false">
      <c r="A77" s="11" t="n">
        <v>74</v>
      </c>
      <c r="B77" s="11" t="n">
        <f aca="false">A77*Inputs!B44</f>
        <v>71.04</v>
      </c>
      <c r="C77" s="11" t="n">
        <f aca="false">SQRT(4*Inputs!B21*A77*1000/(Inputs!B10*Inputs!B11))/1000</f>
        <v>829.693497913894</v>
      </c>
      <c r="D77" s="11" t="n">
        <f aca="false">C77*(1+Inputs!B43)</f>
        <v>995.632197496673</v>
      </c>
      <c r="E77" s="11" t="n">
        <f aca="false">D77*Components!G10</f>
        <v>995.632197496673</v>
      </c>
      <c r="F77" s="11" t="n">
        <f aca="false">Inputs!B63/1000</f>
        <v>1446.66209732694</v>
      </c>
      <c r="G77" s="54" t="n">
        <f aca="false">E77/F77</f>
        <v>0.688227195097147</v>
      </c>
      <c r="H77" s="11" t="n">
        <f aca="false">A77*Inputs!B40</f>
        <v>2.035</v>
      </c>
      <c r="I77" s="11" t="n">
        <f aca="false">H77*1000*Components!J10</f>
        <v>5.53416803847976</v>
      </c>
      <c r="J77" s="11" t="n">
        <f aca="false">Components!N10</f>
        <v>173.766223643854</v>
      </c>
      <c r="K77" s="54" t="n">
        <f aca="false">A77/J77</f>
        <v>0.425859516586308</v>
      </c>
      <c r="L77" s="55" t="str">
        <f aca="false">IF(G77&lt;1,"合格","NG")</f>
        <v>合格</v>
      </c>
      <c r="M77" s="55" t="str">
        <f aca="false">IF(K77&lt;1,"合格","NG")</f>
        <v>合格</v>
      </c>
      <c r="N77" s="55" t="str">
        <f aca="false">IF(AND(L77="合格",M77="合格"),"合格","NG")</f>
        <v>合格</v>
      </c>
      <c r="O77" s="3"/>
    </row>
    <row r="78" customFormat="false" ht="15" hidden="false" customHeight="true" outlineLevel="0" collapsed="false">
      <c r="A78" s="11" t="n">
        <v>75</v>
      </c>
      <c r="B78" s="11" t="n">
        <f aca="false">A78*Inputs!B44</f>
        <v>72</v>
      </c>
      <c r="C78" s="11" t="n">
        <f aca="false">SQRT(4*Inputs!B21*A78*1000/(Inputs!B10*Inputs!B11))/1000</f>
        <v>835.280722644922</v>
      </c>
      <c r="D78" s="11" t="n">
        <f aca="false">C78*(1+Inputs!B43)</f>
        <v>1002.33686717391</v>
      </c>
      <c r="E78" s="11" t="n">
        <f aca="false">D78*Components!G10</f>
        <v>1002.33686717391</v>
      </c>
      <c r="F78" s="11" t="n">
        <f aca="false">Inputs!B63/1000</f>
        <v>1446.66209732694</v>
      </c>
      <c r="G78" s="54" t="n">
        <f aca="false">E78/F78</f>
        <v>0.692861774028621</v>
      </c>
      <c r="H78" s="11" t="n">
        <f aca="false">A78*Inputs!B40</f>
        <v>2.0625</v>
      </c>
      <c r="I78" s="11" t="n">
        <f aca="false">H78*1000*Components!J10</f>
        <v>5.60895409305381</v>
      </c>
      <c r="J78" s="11" t="n">
        <f aca="false">Components!N10</f>
        <v>173.766223643854</v>
      </c>
      <c r="K78" s="54" t="n">
        <f aca="false">A78/J78</f>
        <v>0.431614374918556</v>
      </c>
      <c r="L78" s="55" t="str">
        <f aca="false">IF(G78&lt;1,"合格","NG")</f>
        <v>合格</v>
      </c>
      <c r="M78" s="55" t="str">
        <f aca="false">IF(K78&lt;1,"合格","NG")</f>
        <v>合格</v>
      </c>
      <c r="N78" s="55" t="str">
        <f aca="false">IF(AND(L78="合格",M78="合格"),"合格","NG")</f>
        <v>合格</v>
      </c>
      <c r="O78" s="3"/>
    </row>
    <row r="79" customFormat="false" ht="15" hidden="false" customHeight="true" outlineLevel="0" collapsed="false">
      <c r="A79" s="11" t="n">
        <v>76</v>
      </c>
      <c r="B79" s="11" t="n">
        <f aca="false">A79*Inputs!B44</f>
        <v>72.96</v>
      </c>
      <c r="C79" s="11" t="n">
        <f aca="false">SQRT(4*Inputs!B21*A79*1000/(Inputs!B10*Inputs!B11))/1000</f>
        <v>840.830821725662</v>
      </c>
      <c r="D79" s="11" t="n">
        <f aca="false">C79*(1+Inputs!B43)</f>
        <v>1008.99698607079</v>
      </c>
      <c r="E79" s="11" t="n">
        <f aca="false">D79*Components!G10</f>
        <v>1008.99698607079</v>
      </c>
      <c r="F79" s="11" t="n">
        <f aca="false">Inputs!B63/1000</f>
        <v>1446.66209732694</v>
      </c>
      <c r="G79" s="54" t="n">
        <f aca="false">E79/F79</f>
        <v>0.697465557392542</v>
      </c>
      <c r="H79" s="11" t="n">
        <f aca="false">A79*Inputs!B40</f>
        <v>2.09</v>
      </c>
      <c r="I79" s="11" t="n">
        <f aca="false">H79*1000*Components!J10</f>
        <v>5.68374014762787</v>
      </c>
      <c r="J79" s="11" t="n">
        <f aca="false">Components!N10</f>
        <v>173.766223643854</v>
      </c>
      <c r="K79" s="54" t="n">
        <f aca="false">A79/J79</f>
        <v>0.437369233250803</v>
      </c>
      <c r="L79" s="55" t="str">
        <f aca="false">IF(G79&lt;1,"合格","NG")</f>
        <v>合格</v>
      </c>
      <c r="M79" s="55" t="str">
        <f aca="false">IF(K79&lt;1,"合格","NG")</f>
        <v>合格</v>
      </c>
      <c r="N79" s="55" t="str">
        <f aca="false">IF(AND(L79="合格",M79="合格"),"合格","NG")</f>
        <v>合格</v>
      </c>
      <c r="O79" s="3"/>
    </row>
    <row r="80" customFormat="false" ht="15" hidden="false" customHeight="true" outlineLevel="0" collapsed="false">
      <c r="A80" s="11" t="n">
        <v>77</v>
      </c>
      <c r="B80" s="11" t="n">
        <f aca="false">A80*Inputs!B44</f>
        <v>73.92</v>
      </c>
      <c r="C80" s="11" t="n">
        <f aca="false">SQRT(4*Inputs!B21*A80*1000/(Inputs!B10*Inputs!B11))/1000</f>
        <v>846.344525536429</v>
      </c>
      <c r="D80" s="11" t="n">
        <f aca="false">C80*(1+Inputs!B43)</f>
        <v>1015.61343064371</v>
      </c>
      <c r="E80" s="11" t="n">
        <f aca="false">D80*Components!G10</f>
        <v>1015.61343064371</v>
      </c>
      <c r="F80" s="11" t="n">
        <f aca="false">Inputs!B63/1000</f>
        <v>1446.66209732694</v>
      </c>
      <c r="G80" s="54" t="n">
        <f aca="false">E80/F80</f>
        <v>0.702039151036244</v>
      </c>
      <c r="H80" s="11" t="n">
        <f aca="false">A80*Inputs!B40</f>
        <v>2.1175</v>
      </c>
      <c r="I80" s="11" t="n">
        <f aca="false">H80*1000*Components!J10</f>
        <v>5.75852620220192</v>
      </c>
      <c r="J80" s="11" t="n">
        <f aca="false">Components!N10</f>
        <v>173.766223643854</v>
      </c>
      <c r="K80" s="54" t="n">
        <f aca="false">A80/J80</f>
        <v>0.44312409158305</v>
      </c>
      <c r="L80" s="55" t="str">
        <f aca="false">IF(G80&lt;1,"合格","NG")</f>
        <v>合格</v>
      </c>
      <c r="M80" s="55" t="str">
        <f aca="false">IF(K80&lt;1,"合格","NG")</f>
        <v>合格</v>
      </c>
      <c r="N80" s="55" t="str">
        <f aca="false">IF(AND(L80="合格",M80="合格"),"合格","NG")</f>
        <v>合格</v>
      </c>
      <c r="O80" s="3"/>
    </row>
    <row r="81" customFormat="false" ht="15" hidden="false" customHeight="true" outlineLevel="0" collapsed="false">
      <c r="A81" s="11" t="n">
        <v>78</v>
      </c>
      <c r="B81" s="11" t="n">
        <f aca="false">A81*Inputs!B44</f>
        <v>74.88</v>
      </c>
      <c r="C81" s="11" t="n">
        <f aca="false">SQRT(4*Inputs!B21*A81*1000/(Inputs!B10*Inputs!B11))/1000</f>
        <v>851.822540818868</v>
      </c>
      <c r="D81" s="11" t="n">
        <f aca="false">C81*(1+Inputs!B43)</f>
        <v>1022.18704898264</v>
      </c>
      <c r="E81" s="11" t="n">
        <f aca="false">D81*Components!G10</f>
        <v>1022.18704898264</v>
      </c>
      <c r="F81" s="11" t="n">
        <f aca="false">Inputs!B63/1000</f>
        <v>1446.66209732694</v>
      </c>
      <c r="G81" s="54" t="n">
        <f aca="false">E81/F81</f>
        <v>0.70658314119889</v>
      </c>
      <c r="H81" s="11" t="n">
        <f aca="false">A81*Inputs!B40</f>
        <v>2.145</v>
      </c>
      <c r="I81" s="11" t="n">
        <f aca="false">H81*1000*Components!J10</f>
        <v>5.83331225677597</v>
      </c>
      <c r="J81" s="11" t="n">
        <f aca="false">Components!N10</f>
        <v>173.766223643854</v>
      </c>
      <c r="K81" s="54" t="n">
        <f aca="false">A81/J81</f>
        <v>0.448878949915298</v>
      </c>
      <c r="L81" s="55" t="str">
        <f aca="false">IF(G81&lt;1,"合格","NG")</f>
        <v>合格</v>
      </c>
      <c r="M81" s="55" t="str">
        <f aca="false">IF(K81&lt;1,"合格","NG")</f>
        <v>合格</v>
      </c>
      <c r="N81" s="55" t="str">
        <f aca="false">IF(AND(L81="合格",M81="合格"),"合格","NG")</f>
        <v>合格</v>
      </c>
      <c r="O81" s="3"/>
    </row>
    <row r="82" customFormat="false" ht="15" hidden="false" customHeight="true" outlineLevel="0" collapsed="false">
      <c r="A82" s="11" t="n">
        <v>79</v>
      </c>
      <c r="B82" s="11" t="n">
        <f aca="false">A82*Inputs!B44</f>
        <v>75.84</v>
      </c>
      <c r="C82" s="11" t="n">
        <f aca="false">SQRT(4*Inputs!B21*A82*1000/(Inputs!B10*Inputs!B11))/1000</f>
        <v>857.265551733383</v>
      </c>
      <c r="D82" s="11" t="n">
        <f aca="false">C82*(1+Inputs!B43)</f>
        <v>1028.71866208006</v>
      </c>
      <c r="E82" s="11" t="n">
        <f aca="false">D82*Components!G10</f>
        <v>1028.71866208006</v>
      </c>
      <c r="F82" s="11" t="n">
        <f aca="false">Inputs!B63/1000</f>
        <v>1446.66209732694</v>
      </c>
      <c r="G82" s="54" t="n">
        <f aca="false">E82/F82</f>
        <v>0.711098095388598</v>
      </c>
      <c r="H82" s="11" t="n">
        <f aca="false">A82*Inputs!B40</f>
        <v>2.1725</v>
      </c>
      <c r="I82" s="11" t="n">
        <f aca="false">H82*1000*Components!J10</f>
        <v>5.90809831135002</v>
      </c>
      <c r="J82" s="11" t="n">
        <f aca="false">Components!N10</f>
        <v>173.766223643854</v>
      </c>
      <c r="K82" s="54" t="n">
        <f aca="false">A82/J82</f>
        <v>0.454633808247545</v>
      </c>
      <c r="L82" s="55" t="str">
        <f aca="false">IF(G82&lt;1,"合格","NG")</f>
        <v>合格</v>
      </c>
      <c r="M82" s="55" t="str">
        <f aca="false">IF(K82&lt;1,"合格","NG")</f>
        <v>合格</v>
      </c>
      <c r="N82" s="55" t="str">
        <f aca="false">IF(AND(L82="合格",M82="合格"),"合格","NG")</f>
        <v>合格</v>
      </c>
      <c r="O82" s="3"/>
    </row>
    <row r="83" customFormat="false" ht="15" hidden="false" customHeight="true" outlineLevel="0" collapsed="false">
      <c r="A83" s="11" t="n">
        <v>80</v>
      </c>
      <c r="B83" s="11" t="n">
        <f aca="false">A83*Inputs!B44</f>
        <v>76.8</v>
      </c>
      <c r="C83" s="11" t="n">
        <f aca="false">SQRT(4*Inputs!B21*A83*1000/(Inputs!B10*Inputs!B11))/1000</f>
        <v>862.674220856501</v>
      </c>
      <c r="D83" s="11" t="n">
        <f aca="false">C83*(1+Inputs!B43)</f>
        <v>1035.2090650278</v>
      </c>
      <c r="E83" s="11" t="n">
        <f aca="false">D83*Components!G10</f>
        <v>1035.2090650278</v>
      </c>
      <c r="F83" s="11" t="n">
        <f aca="false">Inputs!B63/1000</f>
        <v>1446.66209732694</v>
      </c>
      <c r="G83" s="54" t="n">
        <f aca="false">E83/F83</f>
        <v>0.715584563209753</v>
      </c>
      <c r="H83" s="11" t="n">
        <f aca="false">A83*Inputs!B40</f>
        <v>2.2</v>
      </c>
      <c r="I83" s="11" t="n">
        <f aca="false">H83*1000*Components!J10</f>
        <v>5.98288436592407</v>
      </c>
      <c r="J83" s="11" t="n">
        <f aca="false">Components!N10</f>
        <v>173.766223643854</v>
      </c>
      <c r="K83" s="54" t="n">
        <f aca="false">A83/J83</f>
        <v>0.460388666579793</v>
      </c>
      <c r="L83" s="55" t="str">
        <f aca="false">IF(G83&lt;1,"合格","NG")</f>
        <v>合格</v>
      </c>
      <c r="M83" s="55" t="str">
        <f aca="false">IF(K83&lt;1,"合格","NG")</f>
        <v>合格</v>
      </c>
      <c r="N83" s="55" t="str">
        <f aca="false">IF(AND(L83="合格",M83="合格"),"合格","NG")</f>
        <v>合格</v>
      </c>
      <c r="O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</sheetData>
  <mergeCells count="1">
    <mergeCell ref="A1:N1"/>
  </mergeCells>
  <conditionalFormatting sqref="G4:G83">
    <cfRule type="cellIs" priority="2" operator="greaterThan" aboveAverage="0" equalAverage="0" bottom="0" percent="0" rank="0" text="" dxfId="2">
      <formula>1</formula>
    </cfRule>
  </conditionalFormatting>
  <conditionalFormatting sqref="K4:K83">
    <cfRule type="cellIs" priority="3" operator="greaterThan" aboveAverage="0" equalAverage="0" bottom="0" percent="0" rank="0" text="" dxfId="2">
      <formula>1</formula>
    </cfRule>
  </conditionalFormatting>
  <conditionalFormatting sqref="L4:N83">
    <cfRule type="expression" priority="4" aboveAverage="0" equalAverage="0" bottom="0" percent="0" rank="0" text="" dxfId="3">
      <formula>L4="NG"</formula>
    </cfRule>
    <cfRule type="expression" priority="5" aboveAverage="0" equalAverage="0" bottom="0" percent="0" rank="0" text="" dxfId="4">
      <formula>L4="OK"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48"/>
  </cols>
  <sheetData>
    <row r="1" customFormat="false" ht="16.5" hidden="false" customHeight="true" outlineLevel="0" collapsed="false">
      <c r="A1" s="49" t="s">
        <v>351</v>
      </c>
      <c r="B1" s="49"/>
      <c r="C1" s="49"/>
      <c r="D1" s="49"/>
      <c r="E1" s="49"/>
      <c r="F1" s="49"/>
      <c r="G1" s="3"/>
      <c r="H1" s="3"/>
      <c r="I1" s="3"/>
      <c r="J1" s="3"/>
      <c r="K1" s="3"/>
      <c r="L1" s="3"/>
      <c r="M1" s="3"/>
      <c r="N1" s="3"/>
      <c r="O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true" outlineLevel="0" collapsed="false">
      <c r="A3" s="5" t="s">
        <v>352</v>
      </c>
      <c r="B3" s="5" t="s">
        <v>353</v>
      </c>
      <c r="C3" s="5" t="s">
        <v>124</v>
      </c>
      <c r="D3" s="5"/>
      <c r="E3" s="5"/>
      <c r="F3" s="5"/>
      <c r="G3" s="3"/>
      <c r="H3" s="3"/>
      <c r="I3" s="3"/>
      <c r="J3" s="3"/>
      <c r="K3" s="3"/>
      <c r="L3" s="3"/>
      <c r="M3" s="3"/>
      <c r="N3" s="3"/>
      <c r="O3" s="3"/>
    </row>
    <row r="4" customFormat="false" ht="15" hidden="false" customHeight="true" outlineLevel="0" collapsed="false">
      <c r="A4" s="3" t="s">
        <v>354</v>
      </c>
      <c r="B4" s="3" t="s">
        <v>355</v>
      </c>
      <c r="C4" s="3" t="s">
        <v>356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true" outlineLevel="0" collapsed="false">
      <c r="A5" s="3" t="s">
        <v>357</v>
      </c>
      <c r="B5" s="3" t="s">
        <v>358</v>
      </c>
      <c r="C5" s="3" t="s">
        <v>359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15" hidden="false" customHeight="true" outlineLevel="0" collapsed="false">
      <c r="A6" s="3" t="s">
        <v>360</v>
      </c>
      <c r="B6" s="3" t="s">
        <v>361</v>
      </c>
      <c r="C6" s="3" t="s">
        <v>362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customFormat="false" ht="15" hidden="false" customHeight="true" outlineLevel="0" collapsed="false">
      <c r="A7" s="3" t="s">
        <v>363</v>
      </c>
      <c r="B7" s="3" t="s">
        <v>364</v>
      </c>
      <c r="C7" s="7" t="s">
        <v>365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customFormat="false" ht="15" hidden="false" customHeight="true" outlineLevel="0" collapsed="false">
      <c r="A8" s="7" t="s">
        <v>366</v>
      </c>
      <c r="B8" s="3" t="s">
        <v>367</v>
      </c>
      <c r="C8" s="3" t="s">
        <v>368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customFormat="false" ht="15" hidden="false" customHeight="true" outlineLevel="0" collapsed="false">
      <c r="A9" s="7" t="s">
        <v>348</v>
      </c>
      <c r="B9" s="3" t="s">
        <v>369</v>
      </c>
      <c r="C9" s="7" t="s">
        <v>370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customFormat="false" ht="15" hidden="false" customHeight="true" outlineLevel="0" collapsed="false">
      <c r="A10" s="7" t="s">
        <v>9</v>
      </c>
      <c r="B10" s="3" t="s">
        <v>371</v>
      </c>
      <c r="C10" s="3" t="s">
        <v>372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customFormat="false" ht="15" hidden="false" customHeight="true" outlineLevel="0" collapsed="false">
      <c r="A11" s="7" t="s">
        <v>373</v>
      </c>
      <c r="B11" s="3" t="s">
        <v>374</v>
      </c>
      <c r="C11" s="3" t="s">
        <v>375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customFormat="false" ht="15" hidden="false" customHeight="true" outlineLevel="0" collapsed="false">
      <c r="A12" s="3" t="s">
        <v>376</v>
      </c>
      <c r="B12" s="3" t="s">
        <v>377</v>
      </c>
      <c r="C12" s="3" t="s">
        <v>378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Format="false" ht="15" hidden="false" customHeight="true" outlineLevel="0" collapsed="false">
      <c r="A13" s="7" t="s">
        <v>349</v>
      </c>
      <c r="B13" s="3" t="s">
        <v>379</v>
      </c>
      <c r="C13" s="7" t="s">
        <v>380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customFormat="false" ht="15" hidden="false" customHeight="true" outlineLevel="0" collapsed="false">
      <c r="A14" s="7" t="s">
        <v>381</v>
      </c>
      <c r="B14" s="3" t="s">
        <v>382</v>
      </c>
      <c r="C14" s="7" t="s">
        <v>383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customFormat="false" ht="15" hidden="false" customHeight="true" outlineLevel="0" collapsed="false">
      <c r="A15" s="7" t="s">
        <v>384</v>
      </c>
      <c r="B15" s="3" t="s">
        <v>385</v>
      </c>
      <c r="C15" s="7" t="s">
        <v>386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customFormat="false" ht="15" hidden="false" customHeight="true" outlineLevel="0" collapsed="false">
      <c r="A16" s="7" t="s">
        <v>387</v>
      </c>
      <c r="B16" s="7" t="s">
        <v>388</v>
      </c>
      <c r="C16" s="7" t="s">
        <v>389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Format="false" ht="15" hidden="false" customHeight="true" outlineLevel="0" collapsed="false">
      <c r="A17" s="7" t="s">
        <v>390</v>
      </c>
      <c r="B17" s="3" t="s">
        <v>391</v>
      </c>
      <c r="C17" s="7" t="s">
        <v>392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customFormat="false" ht="15" hidden="false" customHeight="true" outlineLevel="0" collapsed="false">
      <c r="A19" s="3" t="s">
        <v>393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customFormat="false" ht="15" hidden="false" customHeight="true" outlineLevel="0" collapsed="false">
      <c r="A20" s="7" t="s">
        <v>394</v>
      </c>
      <c r="B20" s="3" t="s">
        <v>395</v>
      </c>
      <c r="C20" s="3" t="s">
        <v>396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customFormat="false" ht="15" hidden="false" customHeight="true" outlineLevel="0" collapsed="false">
      <c r="A21" s="7" t="s">
        <v>397</v>
      </c>
      <c r="B21" s="3" t="s">
        <v>398</v>
      </c>
      <c r="C21" s="3" t="s">
        <v>399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customFormat="false" ht="15" hidden="false" customHeight="true" outlineLevel="0" collapsed="false">
      <c r="A22" s="7" t="s">
        <v>400</v>
      </c>
      <c r="B22" s="3" t="s">
        <v>401</v>
      </c>
      <c r="C22" s="7" t="s">
        <v>402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customFormat="false" ht="15" hidden="false" customHeight="true" outlineLevel="0" collapsed="false">
      <c r="A23" s="3" t="s">
        <v>198</v>
      </c>
      <c r="B23" s="3" t="s">
        <v>403</v>
      </c>
      <c r="C23" s="3" t="s">
        <v>404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customFormat="false" ht="15" hidden="false" customHeight="true" outlineLevel="0" collapsed="false">
      <c r="A24" s="7" t="s">
        <v>405</v>
      </c>
      <c r="B24" s="3" t="s">
        <v>406</v>
      </c>
      <c r="C24" s="3" t="s">
        <v>407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customFormat="false" ht="15" hidden="false" customHeight="true" outlineLevel="0" collapsed="false">
      <c r="A25" s="7" t="s">
        <v>408</v>
      </c>
      <c r="B25" s="3" t="s">
        <v>409</v>
      </c>
      <c r="C25" s="3" t="s">
        <v>410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customFormat="false" ht="15" hidden="false" customHeight="true" outlineLevel="0" collapsed="false">
      <c r="A27" s="7" t="s">
        <v>278</v>
      </c>
      <c r="B27" s="3" t="s">
        <v>411</v>
      </c>
      <c r="C27" s="7" t="s">
        <v>412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48"/>
    <col collapsed="false" customWidth="true" hidden="false" outlineLevel="0" max="5" min="5" style="1" width="58.82"/>
  </cols>
  <sheetData>
    <row r="1" customFormat="false" ht="16.5" hidden="false" customHeight="true" outlineLevel="0" collapsed="false">
      <c r="A1" s="49" t="s">
        <v>413</v>
      </c>
      <c r="B1" s="49"/>
      <c r="C1" s="49"/>
      <c r="D1" s="49"/>
      <c r="E1" s="49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true" outlineLevel="0" collapsed="false">
      <c r="A3" s="5" t="s">
        <v>414</v>
      </c>
      <c r="B3" s="5" t="s">
        <v>415</v>
      </c>
      <c r="C3" s="6" t="s">
        <v>416</v>
      </c>
      <c r="D3" s="5" t="s">
        <v>417</v>
      </c>
      <c r="E3" s="5" t="s">
        <v>278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5" hidden="false" customHeight="true" outlineLevel="0" collapsed="false">
      <c r="A4" s="7" t="s">
        <v>418</v>
      </c>
      <c r="B4" s="3" t="s">
        <v>419</v>
      </c>
      <c r="C4" s="3" t="s">
        <v>420</v>
      </c>
      <c r="D4" s="3" t="s">
        <v>421</v>
      </c>
      <c r="E4" s="7" t="s">
        <v>422</v>
      </c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true" outlineLevel="0" collapsed="false">
      <c r="A5" s="7" t="s">
        <v>423</v>
      </c>
      <c r="B5" s="7" t="s">
        <v>424</v>
      </c>
      <c r="C5" s="3" t="s">
        <v>425</v>
      </c>
      <c r="D5" s="7" t="s">
        <v>426</v>
      </c>
      <c r="E5" s="7" t="s">
        <v>427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15" hidden="false" customHeight="true" outlineLevel="0" collapsed="false">
      <c r="A6" s="7" t="s">
        <v>428</v>
      </c>
      <c r="B6" s="3" t="s">
        <v>429</v>
      </c>
      <c r="C6" s="3" t="s">
        <v>430</v>
      </c>
      <c r="D6" s="3" t="s">
        <v>431</v>
      </c>
      <c r="E6" s="7" t="s">
        <v>432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customFormat="false" ht="15" hidden="false" customHeight="true" outlineLevel="0" collapsed="false">
      <c r="A7" s="7" t="s">
        <v>433</v>
      </c>
      <c r="B7" s="3" t="s">
        <v>434</v>
      </c>
      <c r="C7" s="3" t="s">
        <v>435</v>
      </c>
      <c r="D7" s="3" t="s">
        <v>436</v>
      </c>
      <c r="E7" s="7" t="s">
        <v>437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customFormat="false" ht="15" hidden="false" customHeight="true" outlineLevel="0" collapsed="false">
      <c r="A8" s="3" t="s">
        <v>438</v>
      </c>
      <c r="B8" s="3" t="s">
        <v>439</v>
      </c>
      <c r="C8" s="3" t="s">
        <v>440</v>
      </c>
      <c r="D8" s="7" t="s">
        <v>441</v>
      </c>
      <c r="E8" s="7" t="s">
        <v>442</v>
      </c>
      <c r="F8" s="3"/>
      <c r="G8" s="3"/>
      <c r="H8" s="3"/>
      <c r="I8" s="3"/>
      <c r="J8" s="3"/>
      <c r="K8" s="3"/>
      <c r="L8" s="3"/>
      <c r="M8" s="3"/>
      <c r="N8" s="3"/>
      <c r="O8" s="3"/>
    </row>
    <row r="9" customFormat="false" ht="15" hidden="false" customHeight="true" outlineLevel="0" collapsed="false">
      <c r="A9" s="7" t="s">
        <v>394</v>
      </c>
      <c r="B9" s="3" t="s">
        <v>443</v>
      </c>
      <c r="C9" s="3" t="s">
        <v>444</v>
      </c>
      <c r="D9" s="3" t="s">
        <v>445</v>
      </c>
      <c r="E9" s="7" t="s">
        <v>446</v>
      </c>
      <c r="F9" s="3"/>
      <c r="G9" s="3"/>
      <c r="H9" s="3"/>
      <c r="I9" s="3"/>
      <c r="J9" s="3"/>
      <c r="K9" s="3"/>
      <c r="L9" s="3"/>
      <c r="M9" s="3"/>
      <c r="N9" s="3"/>
      <c r="O9" s="3"/>
    </row>
    <row r="10" customFormat="false" ht="15" hidden="false" customHeight="true" outlineLevel="0" collapsed="false">
      <c r="A10" s="7" t="s">
        <v>447</v>
      </c>
      <c r="B10" s="7" t="s">
        <v>448</v>
      </c>
      <c r="C10" s="3" t="s">
        <v>449</v>
      </c>
      <c r="D10" s="7" t="s">
        <v>450</v>
      </c>
      <c r="E10" s="7" t="s">
        <v>451</v>
      </c>
      <c r="F10" s="3"/>
      <c r="G10" s="3"/>
      <c r="H10" s="3"/>
      <c r="I10" s="3"/>
      <c r="J10" s="3"/>
      <c r="K10" s="3"/>
      <c r="L10" s="3"/>
      <c r="M10" s="3"/>
      <c r="N10" s="3"/>
      <c r="O10" s="3"/>
    </row>
    <row r="11" customFormat="false" ht="15" hidden="false" customHeight="true" outlineLevel="0" collapsed="false">
      <c r="A11" s="7" t="s">
        <v>452</v>
      </c>
      <c r="B11" s="7" t="s">
        <v>453</v>
      </c>
      <c r="C11" s="3" t="s">
        <v>454</v>
      </c>
      <c r="D11" s="3" t="s">
        <v>455</v>
      </c>
      <c r="E11" s="7" t="s">
        <v>456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customFormat="false" ht="15" hidden="false" customHeight="true" outlineLevel="0" collapsed="false">
      <c r="A12" s="7" t="s">
        <v>457</v>
      </c>
      <c r="B12" s="7" t="s">
        <v>458</v>
      </c>
      <c r="C12" s="3" t="s">
        <v>459</v>
      </c>
      <c r="D12" s="7" t="s">
        <v>460</v>
      </c>
      <c r="E12" s="7" t="s">
        <v>461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customFormat="false" ht="15" hidden="false" customHeight="true" outlineLevel="0" collapsed="false">
      <c r="A14" s="7" t="s">
        <v>462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customFormat="false" ht="15" hidden="false" customHeight="true" outlineLevel="0" collapsed="false">
      <c r="A15" s="3" t="s">
        <v>463</v>
      </c>
      <c r="B15" s="3" t="s">
        <v>444</v>
      </c>
      <c r="C15" s="3" t="s">
        <v>464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customFormat="false" ht="15" hidden="false" customHeight="true" outlineLevel="0" collapsed="false">
      <c r="A16" s="3" t="s">
        <v>465</v>
      </c>
      <c r="B16" s="3" t="s">
        <v>440</v>
      </c>
      <c r="C16" s="7" t="s">
        <v>466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Format="false" ht="15" hidden="false" customHeight="true" outlineLevel="0" collapsed="false">
      <c r="A17" s="3" t="s">
        <v>467</v>
      </c>
      <c r="B17" s="3" t="s">
        <v>425</v>
      </c>
      <c r="C17" s="7" t="s">
        <v>468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customFormat="false" ht="15" hidden="false" customHeight="true" outlineLevel="0" collapsed="false">
      <c r="A18" s="7" t="s">
        <v>278</v>
      </c>
      <c r="B18" s="3" t="s">
        <v>469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48"/>
  </cols>
  <sheetData>
    <row r="1" customFormat="false" ht="15" hidden="false" customHeight="true" outlineLevel="0" collapsed="false">
      <c r="A1" s="33" t="s">
        <v>470</v>
      </c>
      <c r="B1" s="33"/>
      <c r="C1" s="33"/>
      <c r="D1" s="33"/>
      <c r="E1" s="33"/>
      <c r="F1" s="33"/>
      <c r="G1" s="33"/>
      <c r="H1" s="3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34" t="s">
        <v>352</v>
      </c>
      <c r="B3" s="34" t="s">
        <v>471</v>
      </c>
      <c r="C3" s="34" t="s">
        <v>4</v>
      </c>
      <c r="D3" s="34" t="s">
        <v>472</v>
      </c>
      <c r="E3" s="3"/>
      <c r="F3" s="3"/>
      <c r="G3" s="3"/>
      <c r="H3" s="3"/>
    </row>
    <row r="4" customFormat="false" ht="15" hidden="false" customHeight="true" outlineLevel="0" collapsed="false">
      <c r="A4" s="7" t="s">
        <v>473</v>
      </c>
      <c r="B4" s="8" t="n">
        <f aca="false">Inputs!B38</f>
        <v>4.4E-005</v>
      </c>
      <c r="C4" s="3" t="s">
        <v>195</v>
      </c>
      <c r="D4" s="3" t="s">
        <v>474</v>
      </c>
      <c r="E4" s="3"/>
      <c r="F4" s="3"/>
      <c r="G4" s="3"/>
      <c r="H4" s="3"/>
    </row>
    <row r="5" customFormat="false" ht="15" hidden="false" customHeight="true" outlineLevel="0" collapsed="false">
      <c r="A5" s="3" t="s">
        <v>198</v>
      </c>
      <c r="B5" s="8" t="n">
        <f aca="false">Inputs!B39</f>
        <v>625</v>
      </c>
      <c r="C5" s="3" t="s">
        <v>148</v>
      </c>
      <c r="D5" s="3" t="s">
        <v>474</v>
      </c>
      <c r="E5" s="3"/>
      <c r="F5" s="3"/>
      <c r="G5" s="3"/>
      <c r="H5" s="3"/>
    </row>
    <row r="6" customFormat="false" ht="15" hidden="false" customHeight="true" outlineLevel="0" collapsed="false">
      <c r="A6" s="3" t="s">
        <v>475</v>
      </c>
      <c r="B6" s="8" t="n">
        <f aca="false">Inputs!B40</f>
        <v>0.0275</v>
      </c>
      <c r="C6" s="3" t="s">
        <v>10</v>
      </c>
      <c r="D6" s="3" t="s">
        <v>476</v>
      </c>
      <c r="E6" s="3"/>
      <c r="F6" s="3"/>
      <c r="G6" s="3"/>
      <c r="H6" s="3"/>
    </row>
    <row r="7" customFormat="false" ht="15" hidden="false" customHeight="true" outlineLevel="0" collapsed="false">
      <c r="A7" s="7" t="s">
        <v>477</v>
      </c>
      <c r="B7" s="8" t="n">
        <f aca="false">Inputs!B64</f>
        <v>760.002100178515</v>
      </c>
      <c r="C7" s="3" t="s">
        <v>243</v>
      </c>
      <c r="D7" s="3" t="s">
        <v>474</v>
      </c>
      <c r="E7" s="3"/>
      <c r="F7" s="3"/>
      <c r="G7" s="3"/>
      <c r="H7" s="3"/>
    </row>
    <row r="8" customFormat="false" ht="15" hidden="false" customHeight="true" outlineLevel="0" collapsed="false">
      <c r="A8" s="7" t="s">
        <v>271</v>
      </c>
      <c r="B8" s="8" t="n">
        <f aca="false">Inputs!B81</f>
        <v>948.699466615156</v>
      </c>
      <c r="C8" s="3" t="s">
        <v>243</v>
      </c>
      <c r="D8" s="3" t="s">
        <v>478</v>
      </c>
      <c r="E8" s="3"/>
      <c r="F8" s="3"/>
      <c r="G8" s="3"/>
      <c r="H8" s="3"/>
    </row>
    <row r="9" customFormat="false" ht="15" hidden="false" customHeight="true" outlineLevel="0" collapsed="false">
      <c r="A9" s="7" t="s">
        <v>245</v>
      </c>
      <c r="B9" s="8" t="n">
        <f aca="false">Inputs!B65</f>
        <v>1.31578583765112E-006</v>
      </c>
      <c r="C9" s="3" t="s">
        <v>195</v>
      </c>
      <c r="D9" s="3" t="s">
        <v>479</v>
      </c>
      <c r="E9" s="3"/>
      <c r="F9" s="3"/>
      <c r="G9" s="3"/>
      <c r="H9" s="3"/>
    </row>
    <row r="10" customFormat="false" ht="15" hidden="false" customHeight="true" outlineLevel="0" collapsed="false">
      <c r="A10" s="3" t="s">
        <v>480</v>
      </c>
      <c r="B10" s="8" t="n">
        <f aca="false">Inputs!B72</f>
        <v>22.3732718029193</v>
      </c>
      <c r="C10" s="3" t="s">
        <v>253</v>
      </c>
      <c r="D10" s="3" t="s">
        <v>481</v>
      </c>
      <c r="E10" s="3"/>
      <c r="F10" s="3"/>
      <c r="G10" s="3"/>
      <c r="H10" s="3"/>
    </row>
    <row r="11" customFormat="false" ht="15" hidden="false" customHeight="true" outlineLevel="0" collapsed="false">
      <c r="A11" s="3" t="s">
        <v>482</v>
      </c>
      <c r="B11" s="8" t="n">
        <f aca="false">Inputs!B73</f>
        <v>22.8</v>
      </c>
      <c r="C11" s="3" t="s">
        <v>253</v>
      </c>
      <c r="D11" s="7" t="s">
        <v>483</v>
      </c>
      <c r="E11" s="3"/>
      <c r="F11" s="3"/>
      <c r="G11" s="3"/>
      <c r="H11" s="3"/>
    </row>
    <row r="12" customFormat="false" ht="15" hidden="false" customHeight="true" outlineLevel="0" collapsed="false">
      <c r="A12" s="7" t="s">
        <v>484</v>
      </c>
      <c r="B12" s="8" t="n">
        <f aca="false">Inputs!B74</f>
        <v>1</v>
      </c>
      <c r="C12" s="3" t="s">
        <v>10</v>
      </c>
      <c r="D12" s="3" t="s">
        <v>485</v>
      </c>
      <c r="E12" s="3"/>
      <c r="F12" s="3"/>
      <c r="G12" s="3"/>
      <c r="H12" s="3"/>
    </row>
    <row r="13" customFormat="false" ht="15" hidden="false" customHeight="true" outlineLevel="0" collapsed="false">
      <c r="A13" s="7" t="s">
        <v>65</v>
      </c>
      <c r="B13" s="8" t="n">
        <f aca="false">Inputs!B60</f>
        <v>1</v>
      </c>
      <c r="C13" s="3" t="s">
        <v>10</v>
      </c>
      <c r="D13" s="3" t="s">
        <v>486</v>
      </c>
      <c r="E13" s="3"/>
      <c r="F13" s="3"/>
      <c r="G13" s="3"/>
      <c r="H13" s="3"/>
    </row>
    <row r="14" customFormat="false" ht="15" hidden="false" customHeight="true" outlineLevel="0" collapsed="false">
      <c r="A14" s="7" t="s">
        <v>487</v>
      </c>
      <c r="B14" s="8" t="n">
        <f aca="false">Inputs!B77</f>
        <v>0.0016</v>
      </c>
      <c r="C14" s="3" t="s">
        <v>195</v>
      </c>
      <c r="D14" s="3" t="s">
        <v>69</v>
      </c>
      <c r="E14" s="3"/>
      <c r="F14" s="3"/>
      <c r="G14" s="3"/>
      <c r="H14" s="3"/>
    </row>
    <row r="15" customFormat="false" ht="15" hidden="false" customHeight="true" outlineLevel="0" collapsed="false">
      <c r="A15" s="7" t="s">
        <v>70</v>
      </c>
      <c r="B15" s="8" t="n">
        <f aca="false">Inputs!B78</f>
        <v>1216.00336028562</v>
      </c>
      <c r="C15" s="3" t="s">
        <v>10</v>
      </c>
      <c r="D15" s="3" t="s">
        <v>488</v>
      </c>
      <c r="E15" s="3"/>
      <c r="F15" s="3"/>
      <c r="G15" s="3"/>
      <c r="H15" s="3"/>
    </row>
    <row r="16" customFormat="false" ht="15" hidden="false" customHeight="true" outlineLevel="0" collapsed="false">
      <c r="A16" s="3" t="s">
        <v>72</v>
      </c>
      <c r="B16" s="8" t="str">
        <f aca="false">Inputs!B79</f>
        <v>単発近似の余裕あり。ただし実機では残留電離を確認</v>
      </c>
      <c r="C16" s="3" t="s">
        <v>10</v>
      </c>
      <c r="D16" s="7" t="s">
        <v>489</v>
      </c>
      <c r="E16" s="3"/>
      <c r="F16" s="3"/>
      <c r="G16" s="3"/>
      <c r="H16" s="3"/>
    </row>
    <row r="17" customFormat="false" ht="15" hidden="false" customHeight="true" outlineLevel="0" collapsed="false">
      <c r="A17" s="7" t="s">
        <v>490</v>
      </c>
      <c r="B17" s="8" t="n">
        <f aca="false">Inputs!B83</f>
        <v>4013084.84783773</v>
      </c>
      <c r="C17" s="3" t="s">
        <v>214</v>
      </c>
      <c r="D17" s="3" t="s">
        <v>491</v>
      </c>
      <c r="E17" s="3"/>
      <c r="F17" s="3"/>
      <c r="G17" s="3"/>
      <c r="H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34" t="s">
        <v>492</v>
      </c>
      <c r="B19" s="34"/>
      <c r="C19" s="34"/>
      <c r="D19" s="34"/>
      <c r="E19" s="34"/>
      <c r="F19" s="34"/>
      <c r="G19" s="34"/>
      <c r="H19" s="34"/>
    </row>
    <row r="20" customFormat="false" ht="15" hidden="false" customHeight="true" outlineLevel="0" collapsed="false">
      <c r="A20" s="7" t="s">
        <v>394</v>
      </c>
      <c r="B20" s="3" t="s">
        <v>395</v>
      </c>
      <c r="C20" s="3"/>
      <c r="D20" s="7" t="s">
        <v>493</v>
      </c>
      <c r="E20" s="3"/>
      <c r="F20" s="3"/>
      <c r="G20" s="3"/>
      <c r="H20" s="3"/>
    </row>
    <row r="21" customFormat="false" ht="15" hidden="false" customHeight="true" outlineLevel="0" collapsed="false">
      <c r="A21" s="3" t="s">
        <v>494</v>
      </c>
      <c r="B21" s="3" t="s">
        <v>398</v>
      </c>
      <c r="C21" s="3"/>
      <c r="D21" s="7" t="s">
        <v>495</v>
      </c>
      <c r="E21" s="3"/>
      <c r="F21" s="3"/>
      <c r="G21" s="3"/>
      <c r="H21" s="3"/>
    </row>
    <row r="22" customFormat="false" ht="15" hidden="false" customHeight="true" outlineLevel="0" collapsed="false">
      <c r="A22" s="7" t="s">
        <v>496</v>
      </c>
      <c r="B22" s="3" t="s">
        <v>497</v>
      </c>
      <c r="C22" s="3"/>
      <c r="D22" s="7" t="s">
        <v>498</v>
      </c>
      <c r="E22" s="3"/>
      <c r="F22" s="3"/>
      <c r="G22" s="3"/>
      <c r="H22" s="3"/>
    </row>
    <row r="23" customFormat="false" ht="15" hidden="false" customHeight="true" outlineLevel="0" collapsed="false">
      <c r="A23" s="3" t="s">
        <v>499</v>
      </c>
      <c r="B23" s="3" t="s">
        <v>500</v>
      </c>
      <c r="C23" s="3"/>
      <c r="D23" s="3" t="s">
        <v>501</v>
      </c>
      <c r="E23" s="3"/>
      <c r="F23" s="3"/>
      <c r="G23" s="3"/>
      <c r="H23" s="3"/>
    </row>
    <row r="24" customFormat="false" ht="15" hidden="false" customHeight="true" outlineLevel="0" collapsed="false">
      <c r="A24" s="3" t="s">
        <v>198</v>
      </c>
      <c r="B24" s="3" t="s">
        <v>502</v>
      </c>
      <c r="C24" s="3"/>
      <c r="D24" s="7" t="s">
        <v>503</v>
      </c>
      <c r="E24" s="3"/>
      <c r="F24" s="3"/>
      <c r="G24" s="3"/>
      <c r="H24" s="3"/>
    </row>
    <row r="25" customFormat="false" ht="15" hidden="false" customHeight="true" outlineLevel="0" collapsed="false">
      <c r="A25" s="7" t="s">
        <v>504</v>
      </c>
      <c r="B25" s="3" t="s">
        <v>505</v>
      </c>
      <c r="C25" s="3"/>
      <c r="D25" s="7" t="s">
        <v>506</v>
      </c>
      <c r="E25" s="3"/>
      <c r="F25" s="3"/>
      <c r="G25" s="3"/>
      <c r="H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15" hidden="false" customHeight="true" outlineLevel="0" collapsed="false">
      <c r="A27" s="7" t="s">
        <v>507</v>
      </c>
      <c r="B27" s="3" t="s">
        <v>444</v>
      </c>
      <c r="C27" s="3"/>
      <c r="D27" s="3" t="s">
        <v>508</v>
      </c>
      <c r="E27" s="3"/>
      <c r="F27" s="3"/>
      <c r="G27" s="3"/>
      <c r="H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56" width="24"/>
    <col collapsed="false" customWidth="true" hidden="false" outlineLevel="0" max="4" min="3" style="56" width="18"/>
    <col collapsed="false" customWidth="true" hidden="false" outlineLevel="0" max="6" min="5" style="56" width="42"/>
  </cols>
  <sheetData>
    <row r="1" customFormat="false" ht="29.25" hidden="false" customHeight="true" outlineLevel="0" collapsed="false">
      <c r="A1" s="57" t="s">
        <v>509</v>
      </c>
      <c r="B1" s="57"/>
      <c r="C1" s="57"/>
      <c r="D1" s="57"/>
      <c r="E1" s="57"/>
      <c r="F1" s="57"/>
    </row>
    <row r="2" customFormat="false" ht="15" hidden="false" customHeight="true" outlineLevel="0" collapsed="false">
      <c r="A2" s="41"/>
      <c r="B2" s="41"/>
      <c r="C2" s="41"/>
      <c r="D2" s="41"/>
      <c r="E2" s="41"/>
      <c r="F2" s="41"/>
    </row>
    <row r="3" customFormat="false" ht="15" hidden="false" customHeight="true" outlineLevel="0" collapsed="false">
      <c r="A3" s="58" t="s">
        <v>352</v>
      </c>
      <c r="B3" s="58" t="s">
        <v>471</v>
      </c>
      <c r="C3" s="58" t="s">
        <v>4</v>
      </c>
      <c r="D3" s="58" t="s">
        <v>510</v>
      </c>
      <c r="E3" s="59" t="s">
        <v>511</v>
      </c>
      <c r="F3" s="58" t="s">
        <v>512</v>
      </c>
    </row>
    <row r="4" customFormat="false" ht="15" hidden="false" customHeight="true" outlineLevel="0" collapsed="false">
      <c r="A4" s="60" t="s">
        <v>85</v>
      </c>
      <c r="B4" s="61" t="n">
        <f aca="false">Inputs!B88</f>
        <v>35000</v>
      </c>
      <c r="C4" s="41" t="s">
        <v>86</v>
      </c>
      <c r="D4" s="41" t="s">
        <v>513</v>
      </c>
      <c r="E4" s="41" t="str">
        <f aca="false">IF(B5&lt;11000,"OK: 対流圏式の適用範囲内","注意: 11km超のため標準大気式を変更")</f>
        <v>OK: 対流圏式の適用範囲内</v>
      </c>
      <c r="F4" s="41" t="s">
        <v>514</v>
      </c>
    </row>
    <row r="5" customFormat="false" ht="15" hidden="false" customHeight="true" outlineLevel="0" collapsed="false">
      <c r="A5" s="60" t="s">
        <v>218</v>
      </c>
      <c r="B5" s="62" t="n">
        <f aca="false">Inputs!B89</f>
        <v>10668</v>
      </c>
      <c r="C5" s="41" t="s">
        <v>139</v>
      </c>
      <c r="D5" s="41" t="s">
        <v>515</v>
      </c>
      <c r="E5" s="41" t="str">
        <f aca="false">IF(B5&lt;11000,"対流圏近似OK","成層圏式に変更推奨")</f>
        <v>対流圏近似OK</v>
      </c>
      <c r="F5" s="41"/>
    </row>
    <row r="6" customFormat="false" ht="15" hidden="false" customHeight="true" outlineLevel="0" collapsed="false">
      <c r="A6" s="60" t="s">
        <v>516</v>
      </c>
      <c r="B6" s="63" t="n">
        <f aca="false">Inputs!B93</f>
        <v>-54.3</v>
      </c>
      <c r="C6" s="41" t="s">
        <v>91</v>
      </c>
      <c r="D6" s="41" t="s">
        <v>517</v>
      </c>
      <c r="E6" s="41" t="str">
        <f aca="false">"外気温度"</f>
        <v>外気温度</v>
      </c>
      <c r="F6" s="41" t="s">
        <v>518</v>
      </c>
    </row>
    <row r="7" customFormat="false" ht="15" hidden="false" customHeight="true" outlineLevel="0" collapsed="false">
      <c r="A7" s="60" t="s">
        <v>292</v>
      </c>
      <c r="B7" s="63" t="n">
        <f aca="false">Inputs!B95</f>
        <v>-54.3</v>
      </c>
      <c r="C7" s="41" t="s">
        <v>91</v>
      </c>
      <c r="D7" s="41" t="s">
        <v>519</v>
      </c>
      <c r="E7" s="41" t="str">
        <f aca="false">"内部ガス温度とは分けて考える"</f>
        <v>内部ガス温度とは分けて考える</v>
      </c>
      <c r="F7" s="60" t="s">
        <v>520</v>
      </c>
    </row>
    <row r="8" customFormat="false" ht="15" hidden="false" customHeight="true" outlineLevel="0" collapsed="false">
      <c r="A8" s="60" t="s">
        <v>87</v>
      </c>
      <c r="B8" s="61" t="n">
        <f aca="false">Inputs!B96</f>
        <v>23842.2640241166</v>
      </c>
      <c r="C8" s="41" t="s">
        <v>217</v>
      </c>
      <c r="D8" s="41" t="s">
        <v>521</v>
      </c>
      <c r="E8" s="41" t="str">
        <f aca="false">"高度で低下"</f>
        <v>高度で低下</v>
      </c>
      <c r="F8" s="41"/>
    </row>
    <row r="9" customFormat="false" ht="15" hidden="false" customHeight="true" outlineLevel="0" collapsed="false">
      <c r="A9" s="60" t="s">
        <v>522</v>
      </c>
      <c r="B9" s="64" t="n">
        <f aca="false">Inputs!B90</f>
        <v>2</v>
      </c>
      <c r="C9" s="41" t="s">
        <v>10</v>
      </c>
      <c r="D9" s="41" t="s">
        <v>523</v>
      </c>
      <c r="E9" s="41" t="str">
        <f aca="false">IF(B9=2,"指定絶対圧維持",IF(B9=3,"外気圧+ゲージ",IF(B9=1,"海面1atm固定","外気圧と同じ")))</f>
        <v>指定絶対圧維持</v>
      </c>
      <c r="F9" s="41" t="s">
        <v>524</v>
      </c>
    </row>
    <row r="10" customFormat="false" ht="15" hidden="false" customHeight="true" outlineLevel="0" collapsed="false">
      <c r="A10" s="60" t="s">
        <v>286</v>
      </c>
      <c r="B10" s="61" t="n">
        <f aca="false">Inputs!B91</f>
        <v>101325</v>
      </c>
      <c r="C10" s="41" t="s">
        <v>217</v>
      </c>
      <c r="D10" s="41" t="s">
        <v>525</v>
      </c>
      <c r="E10" s="41" t="str">
        <f aca="false">IF(B9=2,"使用中","参考")</f>
        <v>使用中</v>
      </c>
      <c r="F10" s="44" t="s">
        <v>526</v>
      </c>
    </row>
    <row r="11" customFormat="false" ht="15" hidden="false" customHeight="true" outlineLevel="0" collapsed="false">
      <c r="A11" s="60" t="s">
        <v>527</v>
      </c>
      <c r="B11" s="65" t="n">
        <f aca="false">Inputs!B52</f>
        <v>0</v>
      </c>
      <c r="C11" s="41" t="s">
        <v>217</v>
      </c>
      <c r="D11" s="41" t="s">
        <v>528</v>
      </c>
      <c r="E11" s="41" t="str">
        <f aca="false">IF(B9=3,"使用中","未使用")</f>
        <v>未使用</v>
      </c>
      <c r="F11" s="44" t="s">
        <v>529</v>
      </c>
    </row>
    <row r="12" customFormat="false" ht="15" hidden="false" customHeight="true" outlineLevel="0" collapsed="false">
      <c r="A12" s="60" t="s">
        <v>89</v>
      </c>
      <c r="B12" s="61" t="n">
        <f aca="false">Inputs!B97</f>
        <v>101325</v>
      </c>
      <c r="C12" s="41" t="s">
        <v>217</v>
      </c>
      <c r="D12" s="41" t="s">
        <v>530</v>
      </c>
      <c r="E12" s="41" t="str">
        <f aca="false">"絶縁破壊計算に使用"</f>
        <v>絶縁破壊計算に使用</v>
      </c>
      <c r="F12" s="41"/>
    </row>
    <row r="13" customFormat="false" ht="15" hidden="false" customHeight="true" outlineLevel="0" collapsed="false">
      <c r="A13" s="60" t="s">
        <v>90</v>
      </c>
      <c r="B13" s="63" t="n">
        <f aca="false">Inputs!B53</f>
        <v>-54.3</v>
      </c>
      <c r="C13" s="41" t="s">
        <v>91</v>
      </c>
      <c r="D13" s="41" t="s">
        <v>531</v>
      </c>
      <c r="E13" s="41" t="str">
        <f aca="false">IF(Inputs!B100="","外気温連動：内部が暖かい場合はB100入力推奨","内部温度オーバーライド中")</f>
        <v>外気温連動：内部が暖かい場合はB100入力推奨</v>
      </c>
      <c r="F13" s="41" t="s">
        <v>532</v>
      </c>
    </row>
    <row r="14" customFormat="false" ht="15" hidden="false" customHeight="true" outlineLevel="0" collapsed="false">
      <c r="A14" s="44" t="s">
        <v>92</v>
      </c>
      <c r="B14" s="65" t="n">
        <f aca="false">Inputs!B56</f>
        <v>1.33950194196939</v>
      </c>
      <c r="C14" s="41" t="s">
        <v>10</v>
      </c>
      <c r="D14" s="41" t="s">
        <v>533</v>
      </c>
      <c r="E14" s="41" t="str">
        <f aca="false">IF(B14&gt;1,"密度上昇によりEbd上昇側","密度低下によりEbd低下側")</f>
        <v>密度上昇によりEbd上昇側</v>
      </c>
      <c r="F14" s="60" t="s">
        <v>534</v>
      </c>
    </row>
    <row r="15" customFormat="false" ht="15" hidden="false" customHeight="true" outlineLevel="0" collapsed="false">
      <c r="A15" s="60" t="s">
        <v>41</v>
      </c>
      <c r="B15" s="65" t="n">
        <f aca="false">Inputs!B63</f>
        <v>1446662.09732694</v>
      </c>
      <c r="C15" s="41" t="s">
        <v>214</v>
      </c>
      <c r="D15" s="41" t="s">
        <v>535</v>
      </c>
      <c r="E15" s="41" t="str">
        <f aca="false">"Ebd補正/安全率込み"</f>
        <v>Ebd補正/安全率込み</v>
      </c>
      <c r="F15" s="60" t="s">
        <v>536</v>
      </c>
    </row>
    <row r="16" customFormat="false" ht="15" hidden="false" customHeight="true" outlineLevel="0" collapsed="false">
      <c r="A16" s="44" t="s">
        <v>94</v>
      </c>
      <c r="B16" s="62" t="n">
        <f aca="false">Inputs!B99</f>
        <v>3.39557619518802</v>
      </c>
      <c r="C16" s="41" t="s">
        <v>95</v>
      </c>
      <c r="D16" s="41" t="s">
        <v>537</v>
      </c>
      <c r="E16" s="41" t="str">
        <f aca="false">"低圧で対流低下"</f>
        <v>低圧で対流低下</v>
      </c>
      <c r="F16" s="60" t="s">
        <v>538</v>
      </c>
    </row>
    <row r="17" customFormat="false" ht="15" hidden="false" customHeight="true" outlineLevel="0" collapsed="false">
      <c r="A17" s="41" t="s">
        <v>539</v>
      </c>
      <c r="B17" s="62" t="n">
        <f aca="false">Inputs!B35</f>
        <v>11.8735323814486</v>
      </c>
      <c r="C17" s="41" t="s">
        <v>185</v>
      </c>
      <c r="D17" s="41" t="s">
        <v>540</v>
      </c>
      <c r="E17" s="41" t="str">
        <f aca="false">"直管10cmの概算"</f>
        <v>直管10cmの概算</v>
      </c>
      <c r="F17" s="44" t="s">
        <v>541</v>
      </c>
    </row>
    <row r="18" customFormat="false" ht="15" hidden="false" customHeight="true" outlineLevel="0" collapsed="false">
      <c r="A18" s="41"/>
      <c r="B18" s="41"/>
      <c r="C18" s="41"/>
      <c r="D18" s="41"/>
      <c r="E18" s="41"/>
      <c r="F18" s="41"/>
    </row>
    <row r="19" customFormat="false" ht="15" hidden="false" customHeight="true" outlineLevel="0" collapsed="false">
      <c r="A19" s="41"/>
      <c r="B19" s="41"/>
      <c r="C19" s="41"/>
      <c r="D19" s="41"/>
      <c r="E19" s="41"/>
      <c r="F19" s="41"/>
    </row>
    <row r="20" customFormat="false" ht="15" hidden="false" customHeight="true" outlineLevel="0" collapsed="false">
      <c r="A20" s="66" t="s">
        <v>542</v>
      </c>
      <c r="B20" s="66"/>
      <c r="C20" s="66"/>
      <c r="D20" s="66"/>
      <c r="E20" s="66"/>
      <c r="F20" s="66"/>
    </row>
    <row r="21" customFormat="false" ht="43.5" hidden="false" customHeight="true" outlineLevel="0" collapsed="false">
      <c r="A21" s="41" t="s">
        <v>543</v>
      </c>
      <c r="B21" s="41" t="s">
        <v>544</v>
      </c>
      <c r="C21" s="41"/>
      <c r="D21" s="41"/>
      <c r="E21" s="41"/>
      <c r="F21" s="41"/>
    </row>
    <row r="22" customFormat="false" ht="72" hidden="false" customHeight="true" outlineLevel="0" collapsed="false">
      <c r="A22" s="41" t="s">
        <v>545</v>
      </c>
      <c r="B22" s="44" t="s">
        <v>546</v>
      </c>
      <c r="C22" s="41"/>
      <c r="D22" s="41"/>
      <c r="E22" s="41"/>
      <c r="F22" s="41"/>
    </row>
    <row r="23" customFormat="false" ht="43.5" hidden="false" customHeight="true" outlineLevel="0" collapsed="false">
      <c r="A23" s="41" t="s">
        <v>547</v>
      </c>
      <c r="B23" s="44" t="s">
        <v>548</v>
      </c>
      <c r="C23" s="41"/>
      <c r="D23" s="41"/>
      <c r="E23" s="41"/>
      <c r="F23" s="41"/>
    </row>
    <row r="24" customFormat="false" ht="57.75" hidden="false" customHeight="true" outlineLevel="0" collapsed="false">
      <c r="A24" s="41" t="s">
        <v>549</v>
      </c>
      <c r="B24" s="44" t="s">
        <v>550</v>
      </c>
      <c r="C24" s="41"/>
      <c r="D24" s="41"/>
      <c r="E24" s="41"/>
      <c r="F24" s="41"/>
    </row>
    <row r="25" customFormat="false" ht="72" hidden="false" customHeight="true" outlineLevel="0" collapsed="false">
      <c r="A25" s="41" t="s">
        <v>551</v>
      </c>
      <c r="B25" s="41" t="s">
        <v>552</v>
      </c>
      <c r="C25" s="41"/>
      <c r="D25" s="41"/>
      <c r="E25" s="41"/>
      <c r="F25" s="41"/>
    </row>
    <row r="26" customFormat="false" ht="57.75" hidden="false" customHeight="true" outlineLevel="0" collapsed="false">
      <c r="A26" s="41" t="s">
        <v>553</v>
      </c>
      <c r="B26" s="60" t="s">
        <v>554</v>
      </c>
      <c r="C26" s="41"/>
      <c r="D26" s="41"/>
      <c r="E26" s="41"/>
      <c r="F26" s="41"/>
    </row>
    <row r="27" customFormat="false" ht="15" hidden="false" customHeight="true" outlineLevel="0" collapsed="false">
      <c r="A27" s="41"/>
      <c r="B27" s="41"/>
      <c r="C27" s="41"/>
      <c r="D27" s="41"/>
      <c r="E27" s="41"/>
      <c r="F27" s="41"/>
    </row>
    <row r="28" customFormat="false" ht="57.75" hidden="false" customHeight="true" outlineLevel="0" collapsed="false">
      <c r="A28" s="60" t="s">
        <v>555</v>
      </c>
      <c r="B28" s="44" t="s">
        <v>556</v>
      </c>
      <c r="C28" s="41"/>
      <c r="D28" s="41"/>
      <c r="E28" s="41"/>
      <c r="F28" s="41"/>
    </row>
    <row r="29" customFormat="false" ht="15" hidden="false" customHeight="true" outlineLevel="0" collapsed="false">
      <c r="A29" s="67" t="s">
        <v>557</v>
      </c>
      <c r="B29" s="67"/>
      <c r="C29" s="67"/>
      <c r="D29" s="67"/>
      <c r="E29" s="67"/>
      <c r="F29" s="67"/>
    </row>
    <row r="30" customFormat="false" ht="86.25" hidden="false" customHeight="true" outlineLevel="0" collapsed="false">
      <c r="A30" s="68" t="s">
        <v>558</v>
      </c>
      <c r="B30" s="68" t="s">
        <v>559</v>
      </c>
      <c r="C30" s="68"/>
      <c r="D30" s="68"/>
      <c r="E30" s="68"/>
      <c r="F30" s="68"/>
    </row>
    <row r="31" customFormat="false" ht="72" hidden="false" customHeight="true" outlineLevel="0" collapsed="false">
      <c r="A31" s="68" t="s">
        <v>560</v>
      </c>
      <c r="B31" s="68" t="s">
        <v>561</v>
      </c>
      <c r="C31" s="68"/>
      <c r="D31" s="68"/>
      <c r="E31" s="68"/>
      <c r="F31" s="68"/>
    </row>
    <row r="32" customFormat="false" ht="86.25" hidden="false" customHeight="true" outlineLevel="0" collapsed="false">
      <c r="A32" s="68" t="s">
        <v>562</v>
      </c>
      <c r="B32" s="68" t="s">
        <v>563</v>
      </c>
      <c r="C32" s="68"/>
      <c r="D32" s="68"/>
      <c r="E32" s="68"/>
      <c r="F32" s="68"/>
    </row>
    <row r="33" customFormat="false" ht="72" hidden="false" customHeight="true" outlineLevel="0" collapsed="false">
      <c r="A33" s="68" t="s">
        <v>564</v>
      </c>
      <c r="B33" s="69" t="s">
        <v>565</v>
      </c>
      <c r="C33" s="68"/>
      <c r="D33" s="68"/>
      <c r="E33" s="68"/>
      <c r="F33" s="68"/>
    </row>
    <row r="34" customFormat="false" ht="72" hidden="false" customHeight="true" outlineLevel="0" collapsed="false">
      <c r="A34" s="68" t="s">
        <v>566</v>
      </c>
      <c r="B34" s="69" t="s">
        <v>567</v>
      </c>
      <c r="C34" s="68"/>
      <c r="D34" s="68"/>
      <c r="E34" s="68"/>
      <c r="F34" s="68"/>
    </row>
  </sheetData>
  <mergeCells count="1">
    <mergeCell ref="A29:F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70" width="22"/>
    <col collapsed="false" customWidth="true" hidden="false" outlineLevel="0" max="2" min="2" style="70" width="30"/>
    <col collapsed="false" customWidth="true" hidden="false" outlineLevel="0" max="3" min="3" style="70" width="38"/>
    <col collapsed="false" customWidth="true" hidden="false" outlineLevel="0" max="4" min="4" style="70" width="22"/>
    <col collapsed="false" customWidth="true" hidden="false" outlineLevel="0" max="6" min="5" style="70" width="34"/>
  </cols>
  <sheetData>
    <row r="1" customFormat="false" ht="27.75" hidden="false" customHeight="true" outlineLevel="0" collapsed="false">
      <c r="A1" s="71" t="s">
        <v>568</v>
      </c>
      <c r="B1" s="71"/>
      <c r="C1" s="71"/>
      <c r="D1" s="71"/>
      <c r="E1" s="71"/>
      <c r="F1" s="71"/>
    </row>
    <row r="3" customFormat="false" ht="48" hidden="false" customHeight="true" outlineLevel="0" collapsed="false">
      <c r="A3" s="72" t="s">
        <v>569</v>
      </c>
      <c r="B3" s="72"/>
      <c r="C3" s="72"/>
      <c r="D3" s="72"/>
      <c r="E3" s="72"/>
      <c r="F3" s="72"/>
    </row>
    <row r="5" customFormat="false" ht="15" hidden="false" customHeight="true" outlineLevel="0" collapsed="false">
      <c r="A5" s="73" t="s">
        <v>352</v>
      </c>
      <c r="B5" s="73" t="s">
        <v>570</v>
      </c>
      <c r="C5" s="73" t="s">
        <v>571</v>
      </c>
      <c r="D5" s="73" t="s">
        <v>572</v>
      </c>
      <c r="E5" s="73" t="s">
        <v>573</v>
      </c>
      <c r="F5" s="73" t="s">
        <v>512</v>
      </c>
    </row>
    <row r="6" customFormat="false" ht="29.25" hidden="false" customHeight="true" outlineLevel="0" collapsed="false">
      <c r="A6" s="74" t="s">
        <v>390</v>
      </c>
      <c r="B6" s="74" t="s">
        <v>574</v>
      </c>
      <c r="C6" s="75" t="s">
        <v>575</v>
      </c>
      <c r="D6" s="75" t="s">
        <v>576</v>
      </c>
      <c r="E6" s="74" t="s">
        <v>577</v>
      </c>
      <c r="F6" s="74" t="s">
        <v>578</v>
      </c>
    </row>
    <row r="7" customFormat="false" ht="29.25" hidden="false" customHeight="true" outlineLevel="0" collapsed="false">
      <c r="A7" s="75" t="s">
        <v>579</v>
      </c>
      <c r="B7" s="74" t="s">
        <v>580</v>
      </c>
      <c r="C7" s="75" t="s">
        <v>581</v>
      </c>
      <c r="D7" s="75" t="s">
        <v>582</v>
      </c>
      <c r="E7" s="75" t="s">
        <v>583</v>
      </c>
      <c r="F7" s="74" t="s">
        <v>584</v>
      </c>
    </row>
    <row r="8" customFormat="false" ht="29.25" hidden="false" customHeight="true" outlineLevel="0" collapsed="false">
      <c r="A8" s="75" t="s">
        <v>585</v>
      </c>
      <c r="B8" s="75" t="s">
        <v>586</v>
      </c>
      <c r="C8" s="74" t="s">
        <v>587</v>
      </c>
      <c r="D8" s="75" t="s">
        <v>588</v>
      </c>
      <c r="E8" s="75" t="s">
        <v>589</v>
      </c>
      <c r="F8" s="74" t="s">
        <v>590</v>
      </c>
    </row>
    <row r="9" customFormat="false" ht="29.25" hidden="false" customHeight="true" outlineLevel="0" collapsed="false">
      <c r="A9" s="74" t="s">
        <v>591</v>
      </c>
      <c r="B9" s="74" t="s">
        <v>592</v>
      </c>
      <c r="C9" s="75" t="s">
        <v>593</v>
      </c>
      <c r="D9" s="75" t="s">
        <v>109</v>
      </c>
      <c r="E9" s="74" t="s">
        <v>594</v>
      </c>
      <c r="F9" s="74" t="s">
        <v>595</v>
      </c>
    </row>
    <row r="10" customFormat="false" ht="29.25" hidden="false" customHeight="true" outlineLevel="0" collapsed="false">
      <c r="A10" s="74" t="s">
        <v>596</v>
      </c>
      <c r="B10" s="75" t="s">
        <v>597</v>
      </c>
      <c r="C10" s="74" t="s">
        <v>598</v>
      </c>
      <c r="D10" s="75" t="s">
        <v>599</v>
      </c>
      <c r="E10" s="75" t="s">
        <v>600</v>
      </c>
      <c r="F10" s="74" t="s">
        <v>601</v>
      </c>
    </row>
    <row r="11" customFormat="false" ht="29.25" hidden="false" customHeight="true" outlineLevel="0" collapsed="false">
      <c r="A11" s="75" t="s">
        <v>602</v>
      </c>
      <c r="B11" s="74" t="s">
        <v>603</v>
      </c>
      <c r="C11" s="74" t="s">
        <v>604</v>
      </c>
      <c r="D11" s="75" t="s">
        <v>605</v>
      </c>
      <c r="E11" s="74" t="s">
        <v>606</v>
      </c>
      <c r="F11" s="74" t="s">
        <v>607</v>
      </c>
    </row>
    <row r="12" customFormat="false" ht="29.25" hidden="false" customHeight="true" outlineLevel="0" collapsed="false">
      <c r="A12" s="75" t="s">
        <v>608</v>
      </c>
      <c r="B12" s="74" t="s">
        <v>609</v>
      </c>
      <c r="C12" s="74" t="s">
        <v>610</v>
      </c>
      <c r="D12" s="75" t="s">
        <v>611</v>
      </c>
      <c r="E12" s="74" t="s">
        <v>612</v>
      </c>
      <c r="F12" s="74" t="s">
        <v>613</v>
      </c>
    </row>
    <row r="13" customFormat="false" ht="15" hidden="false" customHeight="true" outlineLevel="0" collapsed="false">
      <c r="A13" s="75"/>
      <c r="B13" s="75"/>
      <c r="C13" s="75"/>
      <c r="D13" s="75"/>
      <c r="E13" s="75"/>
      <c r="F13" s="75"/>
    </row>
    <row r="14" customFormat="false" ht="15" hidden="false" customHeight="true" outlineLevel="0" collapsed="false">
      <c r="A14" s="76" t="s">
        <v>614</v>
      </c>
      <c r="B14" s="76"/>
      <c r="C14" s="76"/>
      <c r="D14" s="76"/>
      <c r="E14" s="76"/>
      <c r="F14" s="76"/>
    </row>
    <row r="15" customFormat="false" ht="15" hidden="false" customHeight="true" outlineLevel="0" collapsed="false">
      <c r="A15" s="73" t="s">
        <v>615</v>
      </c>
      <c r="B15" s="73" t="s">
        <v>616</v>
      </c>
      <c r="C15" s="73" t="s">
        <v>617</v>
      </c>
      <c r="D15" s="73" t="s">
        <v>618</v>
      </c>
      <c r="E15" s="77" t="s">
        <v>619</v>
      </c>
      <c r="F15" s="73" t="s">
        <v>278</v>
      </c>
    </row>
    <row r="16" customFormat="false" ht="29.25" hidden="false" customHeight="true" outlineLevel="0" collapsed="false">
      <c r="A16" s="75" t="s">
        <v>620</v>
      </c>
      <c r="B16" s="74" t="s">
        <v>621</v>
      </c>
      <c r="C16" s="75" t="s">
        <v>622</v>
      </c>
      <c r="D16" s="75" t="s">
        <v>623</v>
      </c>
      <c r="E16" s="74" t="s">
        <v>624</v>
      </c>
      <c r="F16" s="74" t="s">
        <v>625</v>
      </c>
    </row>
    <row r="17" customFormat="false" ht="29.25" hidden="false" customHeight="true" outlineLevel="0" collapsed="false">
      <c r="A17" s="75" t="s">
        <v>626</v>
      </c>
      <c r="B17" s="74" t="s">
        <v>627</v>
      </c>
      <c r="C17" s="75" t="s">
        <v>628</v>
      </c>
      <c r="D17" s="75" t="s">
        <v>629</v>
      </c>
      <c r="E17" s="74" t="s">
        <v>630</v>
      </c>
      <c r="F17" s="74" t="s">
        <v>631</v>
      </c>
    </row>
    <row r="18" customFormat="false" ht="15" hidden="false" customHeight="true" outlineLevel="0" collapsed="false">
      <c r="A18" s="75" t="s">
        <v>632</v>
      </c>
      <c r="B18" s="74" t="s">
        <v>633</v>
      </c>
      <c r="C18" s="75" t="s">
        <v>634</v>
      </c>
      <c r="D18" s="75" t="s">
        <v>635</v>
      </c>
      <c r="E18" s="74" t="s">
        <v>636</v>
      </c>
      <c r="F18" s="74" t="s">
        <v>637</v>
      </c>
    </row>
    <row r="19" customFormat="false" ht="29.25" hidden="false" customHeight="true" outlineLevel="0" collapsed="false">
      <c r="A19" s="75" t="s">
        <v>638</v>
      </c>
      <c r="B19" s="74" t="s">
        <v>639</v>
      </c>
      <c r="C19" s="75" t="s">
        <v>640</v>
      </c>
      <c r="D19" s="75" t="s">
        <v>641</v>
      </c>
      <c r="E19" s="74" t="s">
        <v>642</v>
      </c>
      <c r="F19" s="74" t="s">
        <v>643</v>
      </c>
    </row>
    <row r="20" customFormat="false" ht="29.25" hidden="false" customHeight="true" outlineLevel="0" collapsed="false">
      <c r="A20" s="75" t="s">
        <v>644</v>
      </c>
      <c r="B20" s="74" t="s">
        <v>645</v>
      </c>
      <c r="C20" s="74" t="s">
        <v>646</v>
      </c>
      <c r="D20" s="75" t="s">
        <v>647</v>
      </c>
      <c r="E20" s="74" t="s">
        <v>648</v>
      </c>
      <c r="F20" s="75" t="s">
        <v>649</v>
      </c>
    </row>
    <row r="21" customFormat="false" ht="15" hidden="false" customHeight="true" outlineLevel="0" collapsed="false">
      <c r="A21" s="75"/>
      <c r="B21" s="75"/>
      <c r="C21" s="75"/>
      <c r="D21" s="75"/>
      <c r="E21" s="75"/>
      <c r="F21" s="75"/>
    </row>
    <row r="22" customFormat="false" ht="15" hidden="false" customHeight="true" outlineLevel="0" collapsed="false">
      <c r="A22" s="76" t="s">
        <v>650</v>
      </c>
      <c r="B22" s="76"/>
      <c r="C22" s="76"/>
      <c r="D22" s="76"/>
      <c r="E22" s="76"/>
      <c r="F22" s="76"/>
    </row>
    <row r="23" customFormat="false" ht="43.5" hidden="false" customHeight="true" outlineLevel="0" collapsed="false">
      <c r="A23" s="69" t="s">
        <v>651</v>
      </c>
      <c r="B23" s="68"/>
      <c r="C23" s="68"/>
      <c r="D23" s="68"/>
      <c r="E23" s="68"/>
      <c r="F23" s="68"/>
    </row>
    <row r="24" customFormat="false" ht="29.25" hidden="false" customHeight="true" outlineLevel="0" collapsed="false">
      <c r="A24" s="69" t="s">
        <v>652</v>
      </c>
      <c r="B24" s="68"/>
      <c r="C24" s="68"/>
      <c r="D24" s="68"/>
      <c r="E24" s="68"/>
      <c r="F24" s="68"/>
    </row>
    <row r="25" customFormat="false" ht="43.5" hidden="false" customHeight="true" outlineLevel="0" collapsed="false">
      <c r="A25" s="68" t="s">
        <v>653</v>
      </c>
      <c r="B25" s="68"/>
      <c r="C25" s="68"/>
      <c r="D25" s="68"/>
      <c r="E25" s="68"/>
      <c r="F25" s="68"/>
    </row>
    <row r="26" customFormat="false" ht="43.5" hidden="false" customHeight="true" outlineLevel="0" collapsed="false">
      <c r="A26" s="69" t="s">
        <v>654</v>
      </c>
      <c r="B26" s="68"/>
      <c r="C26" s="68"/>
      <c r="D26" s="68"/>
      <c r="E26" s="68"/>
      <c r="F26" s="68"/>
    </row>
    <row r="27" customFormat="false" ht="29.25" hidden="false" customHeight="true" outlineLevel="0" collapsed="false">
      <c r="A27" s="69" t="s">
        <v>655</v>
      </c>
      <c r="B27" s="68"/>
      <c r="C27" s="68"/>
      <c r="D27" s="68"/>
      <c r="E27" s="68"/>
      <c r="F27" s="68"/>
    </row>
    <row r="28" customFormat="false" ht="43.5" hidden="false" customHeight="true" outlineLevel="0" collapsed="false">
      <c r="A28" s="69" t="s">
        <v>656</v>
      </c>
      <c r="B28" s="68"/>
      <c r="C28" s="68"/>
      <c r="D28" s="68"/>
      <c r="E28" s="68"/>
      <c r="F28" s="68"/>
    </row>
    <row r="29" customFormat="false" ht="72" hidden="false" customHeight="true" outlineLevel="0" collapsed="false">
      <c r="A29" s="69" t="s">
        <v>657</v>
      </c>
      <c r="B29" s="68"/>
      <c r="C29" s="68"/>
      <c r="D29" s="68"/>
      <c r="E29" s="68"/>
      <c r="F29" s="68"/>
    </row>
    <row r="30" customFormat="false" ht="57.75" hidden="false" customHeight="true" outlineLevel="0" collapsed="false">
      <c r="A30" s="69" t="s">
        <v>658</v>
      </c>
      <c r="B30" s="68"/>
      <c r="C30" s="68"/>
      <c r="D30" s="68"/>
      <c r="E30" s="68"/>
      <c r="F30" s="68"/>
    </row>
  </sheetData>
  <mergeCells count="4">
    <mergeCell ref="A1:F1"/>
    <mergeCell ref="A3:F3"/>
    <mergeCell ref="A14:F14"/>
    <mergeCell ref="A22:F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2026-05-17T13:34:35Z</dcterms:created>
  <dc:creator/>
  <dc:description/>
  <dc:language>en-US</dc:language>
  <cp:lastModifiedBy/>
  <dcterms:modified xsi:type="dcterms:W3CDTF">2026-05-17T13:34:37Z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