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ukaikazuhiro/Downloads/"/>
    </mc:Choice>
  </mc:AlternateContent>
  <xr:revisionPtr revIDLastSave="0" documentId="13_ncr:1_{F83FDC35-B386-7D47-95AB-50169F45270B}" xr6:coauthVersionLast="47" xr6:coauthVersionMax="47" xr10:uidLastSave="{00000000-0000-0000-0000-000000000000}"/>
  <bookViews>
    <workbookView xWindow="0" yWindow="600" windowWidth="26080" windowHeight="14520" xr2:uid="{00000000-000D-0000-FFFF-FFFF00000000}"/>
  </bookViews>
  <sheets>
    <sheet name="概要" sheetId="1" r:id="rId1"/>
    <sheet name="参考文献リスト" sheetId="2" r:id="rId2"/>
    <sheet name="K_E推奨値" sheetId="3" r:id="rId3"/>
    <sheet name="十字形カップラ50dB" sheetId="4" r:id="rId4"/>
    <sheet name="Ragan_パル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10" i="4" s="1"/>
  <c r="B9" i="4"/>
  <c r="C7" i="4"/>
  <c r="C8" i="4" s="1"/>
  <c r="B7" i="4"/>
  <c r="B8" i="4" l="1"/>
  <c r="B10" i="4"/>
</calcChain>
</file>

<file path=xl/sharedStrings.xml><?xml version="1.0" encoding="utf-8"?>
<sst xmlns="http://schemas.openxmlformats.org/spreadsheetml/2006/main" count="232" uniqueCount="190">
  <si>
    <t>導波管許容電力検討：参考文献リストとK_E係数の扱い</t>
  </si>
  <si>
    <t>目的</t>
  </si>
  <si>
    <t>重要な注意1</t>
  </si>
  <si>
    <t>トップウォールカップラーや十字形カップラの K_E=1.5 は規格値ではありません。Eベンド等の公開シミュレーション値を流用した一次設計用の保守値として扱ってください。</t>
  </si>
  <si>
    <t>重要な注意2</t>
  </si>
  <si>
    <t>文献で比較的直接的に裏付けられるのは、直管=1、Eベンド≈1.5、ベローズ≈2 のような導波管部品の電界増強係数です。</t>
  </si>
  <si>
    <t>重要な注意3</t>
  </si>
  <si>
    <t>カップラーは孔径、孔形状、角R、壁厚、結合量、表面状態で局所電界が大きく変化するため、最終設計では3D電磁界解析またはメーカー高電力定格で置換することを推奨します。</t>
  </si>
  <si>
    <t>推奨運用</t>
  </si>
  <si>
    <t>Excel計算シートのK_E欄には、初期設計値と根拠メモを併記し、設計が進んだら実測値またはHFSS/CST/openEMS等で求めた Emax比に置き換えます。</t>
  </si>
  <si>
    <t>K_E の定義</t>
  </si>
  <si>
    <t>K_E = Emax_component / Emax_straight。同じ通過ピーク電力条件で、部品内最大電界と直管内最大電界の比として定義します。</t>
  </si>
  <si>
    <t>分類</t>
  </si>
  <si>
    <t>優先度</t>
  </si>
  <si>
    <t>文献・資料名</t>
  </si>
  <si>
    <t>著者/組織</t>
  </si>
  <si>
    <t>見るポイント</t>
  </si>
  <si>
    <t>URL</t>
  </si>
  <si>
    <t>Excelでの使い方</t>
  </si>
  <si>
    <t>局所電界係数 K_E</t>
  </si>
  <si>
    <t>高</t>
  </si>
  <si>
    <t>Investigation of high power limitation of waveguide elements at FLASH</t>
  </si>
  <si>
    <t>S. Göller / DESY</t>
  </si>
  <si>
    <t>直管、Eベンド、Hベンド、ベローズ等の最大電界比較。Eベンド≈1.5、ベローズ≈2の根拠に近い資料。</t>
  </si>
  <si>
    <t>https://bib-pubdb1.desy.de/record/85977/files/Investigation%20of%20high%20power%20limitation%20of%20waveguide%20elements%20at%20FLASH.pdf</t>
  </si>
  <si>
    <t>部品局所電界係数 K_E の初期値設定。直管、Eベンド、ベローズの根拠。</t>
  </si>
  <si>
    <t>Practical power capability of rectangular waveguides</t>
  </si>
  <si>
    <t>CERN/EuCARD系資料</t>
  </si>
  <si>
    <t>導波管の実用許容電力式。field enhancement fとして straight=1、E-bend=1.5、bellows=2 などの値を整理。</t>
  </si>
  <si>
    <t>https://indico.cern.ch/event/245685/contributions/1565266/attachments/421127/584776/waveguidelimits.pdf</t>
  </si>
  <si>
    <t>ExcelのK_E初期値、VSWR補正、安全率の説明補助。</t>
  </si>
  <si>
    <t>十字形カップラ</t>
  </si>
  <si>
    <t>Cross-Guide Coupler Modeling and Design</t>
  </si>
  <si>
    <t>J. Chen / JPL TDA Progress Report 42-95</t>
  </si>
  <si>
    <t>円形または十字形開口を持つ cross-guide coupler のモデル化。等価双極子、壁厚補正、実測比較。</t>
  </si>
  <si>
    <t>https://ipnpr.jpl.nasa.gov/progress_report/42-95/95H.PDF</t>
  </si>
  <si>
    <t>十字形カップラが形状依存の部品であることの根拠。</t>
  </si>
  <si>
    <t>中</t>
  </si>
  <si>
    <t>Waveguide Cross-Guide Directional Couplers</t>
  </si>
  <si>
    <t>W1GHZ</t>
  </si>
  <si>
    <t>cross-guide coupler の設計・実測・HFSS検討例。穴径、位置、壁厚、directivityの影響。</t>
  </si>
  <si>
    <t>https://www.w1ghz.org/waveguide/Waveguide_Cross-Guide_Directional_Couplers.pdf</t>
  </si>
  <si>
    <t>50 dBカップラの形状依存性、解析推奨の根拠。</t>
  </si>
  <si>
    <t>カップラ構造説明</t>
  </si>
  <si>
    <t>Equipment and Methods for Waveguide Power Measurement</t>
  </si>
  <si>
    <t>J. F. Gerling / Muegge</t>
  </si>
  <si>
    <t>broadwall coupler と cross-guide coupler の構造差。cross-guide couplerが単一開口で直交導波管に結合する説明。</t>
  </si>
  <si>
    <t>https://muegge-group.com/pdf/GAE-DataSheets/op_Equipment_Methods_for_Waveguide_Power_Measurement.pdf</t>
  </si>
  <si>
    <t>トップウォール/ブロードウォールカップラと十字形カップラの説明用。</t>
  </si>
  <si>
    <t>Waveguide Components and Configurations for Optimal Performance</t>
  </si>
  <si>
    <t>power coupler、loop coupler、broadwall coupler、directional coupler の用途・測定誤差など。</t>
  </si>
  <si>
    <t>https://muegge-group.com/pdf/GAE-DataSheets/op_Waveguide_Comp_and_Config_for_Opt_Perf.pdf</t>
  </si>
  <si>
    <t>カップラの種類・測定上の注意の説明用。</t>
  </si>
  <si>
    <t>市販品仕様</t>
  </si>
  <si>
    <t>PEWCT1079 WR-90 50 dB Crossguide Coupler datasheet</t>
  </si>
  <si>
    <t>Pasternack / Mouser</t>
  </si>
  <si>
    <t>WR90、8.2–12.4 GHz、50 dB、typical VSWR 1.05:1、insertion loss 0.1 dB 等。</t>
  </si>
  <si>
    <t>https://www.mouser.com/datasheet/2/1641/1/PEWCT1079-3674572.pdf</t>
  </si>
  <si>
    <t>50 dB cross-guide couplerのVSWR・IL参考値。熱計算にはメーカー仕様または実測値優先。</t>
  </si>
  <si>
    <t>低</t>
  </si>
  <si>
    <t>WR-90 Waveguide Crossguide Couplers</t>
  </si>
  <si>
    <t>Pasternack</t>
  </si>
  <si>
    <t>WR90の20～50 dB cross-guide coupler一覧。</t>
  </si>
  <si>
    <t>https://www.pasternack.com/pages/RF-Microwave-and-Millimeter-Wave-Products/wr-90-waveguide-crossguide-couplers.html</t>
  </si>
  <si>
    <t>候補部品の仕様確認用。</t>
  </si>
  <si>
    <t>Crossguide Couplers</t>
  </si>
  <si>
    <t>Advanced Microwave Components</t>
  </si>
  <si>
    <t>1.7～18 GHz、typical VSWR 1.15、20～50 dB coupling、directivity 10～20 dB typical。</t>
  </si>
  <si>
    <t>https://advancedmicrowave.com/standard-waveguide-components/crossguide-couplers/</t>
  </si>
  <si>
    <t>cross-guide coupler一般仕様の比較用。</t>
  </si>
  <si>
    <t>Cross-Guide Couplers</t>
  </si>
  <si>
    <t>Microwave Engineering Corporation</t>
  </si>
  <si>
    <t>coupling 20/30/40/50 dB、directivity、VSWRの代表値確認用。</t>
  </si>
  <si>
    <t>https://microwaveeng.com/product/cross-guide-couplers/</t>
  </si>
  <si>
    <t>市販品仕様の比較用。</t>
  </si>
  <si>
    <t>Ragan式・パルス</t>
  </si>
  <si>
    <t>Microwave Transmission Circuits, MIT Radiation Laboratory Series Vol. 9</t>
  </si>
  <si>
    <t>G. L. Ragan / McGraw-Hill, 1948</t>
  </si>
  <si>
    <t>導波管、VSWR、breakdown power、pressure、pulse power、rotary jointなどの古典的基礎資料。</t>
  </si>
  <si>
    <t>https://web.mit.edu/klund/www/books/radlab.html</t>
  </si>
  <si>
    <t>Ragan式、パルス幅、PRF、絶縁破壊式の出典確認。</t>
  </si>
  <si>
    <t>VOL. 9 Microwave Transmission Circuits PDF</t>
  </si>
  <si>
    <t>MIT Radiation Laboratory Series</t>
  </si>
  <si>
    <t>Ragan本のPDF。ページ番号や図表確認に便利。</t>
  </si>
  <si>
    <t>https://www.febo.com/pages/docs/RadLab/VOL_9_Microwave_Transmission_Circuits.pdf</t>
  </si>
  <si>
    <t>Ragan原典の本文確認。</t>
  </si>
  <si>
    <t>ATSC 3.0 Ready – Designing Antennas for Higher OFDM PAPR</t>
  </si>
  <si>
    <t>Schadler / Dielectric</t>
  </si>
  <si>
    <t>critical pulse length τc=10^-3/p、短パルス破壊電界式、VSWR補正の説明。</t>
  </si>
  <si>
    <t>https://www.dielectric.com/wp-content/uploads/2018/04/Schadler-ATSC-3-Voltage.pdf</t>
  </si>
  <si>
    <t>Excelに組み込んだRagan/Anderson系の式の確認用。</t>
  </si>
  <si>
    <t>部品</t>
  </si>
  <si>
    <t>Excel初期値 K_E</t>
  </si>
  <si>
    <t>推奨範囲</t>
  </si>
  <si>
    <t>根拠・扱い</t>
  </si>
  <si>
    <t>根拠分類</t>
  </si>
  <si>
    <t>備考</t>
  </si>
  <si>
    <t>直管</t>
  </si>
  <si>
    <t>1.00</t>
  </si>
  <si>
    <t>基準導波管。K_E = 1として定義。</t>
  </si>
  <si>
    <t>直接根拠</t>
  </si>
  <si>
    <t>同じWRサイズ・同じ通過ピーク電力で比較。</t>
  </si>
  <si>
    <t>H-plane bend、大きなR、滑らか</t>
  </si>
  <si>
    <t>1.00～1.10</t>
  </si>
  <si>
    <t>DESY資料でHベンドは直管に近い最大電界。</t>
  </si>
  <si>
    <t>文献から類推</t>
  </si>
  <si>
    <t>曲げ半径・加工で変化。</t>
  </si>
  <si>
    <t>E-plane bend</t>
  </si>
  <si>
    <t>1.40～1.60</t>
  </si>
  <si>
    <t>DESY/EuCARD資料の field enhancement f≈1.5。</t>
  </si>
  <si>
    <t>比較的直接</t>
  </si>
  <si>
    <t>Excelで1.5を置く根拠として使いやすい。</t>
  </si>
  <si>
    <t>ベローズ、コルゲート、凹凸部</t>
  </si>
  <si>
    <t>1.80～2.20</t>
  </si>
  <si>
    <t>DESY/EuCARD資料で field enhancement f≈2。</t>
  </si>
  <si>
    <t>実形状に依存。高電力では要注意。</t>
  </si>
  <si>
    <t>トップウォール / broadwall coupler</t>
  </si>
  <si>
    <t>1.30～1.50</t>
  </si>
  <si>
    <t>開口・角部を持つ部品の一次設計用係数。Eベンド値1.5を保守的に流用。</t>
  </si>
  <si>
    <t>類推値</t>
  </si>
  <si>
    <t>規格値ではない。最終値は3D解析またはメーカー定格で置換。</t>
  </si>
  <si>
    <t>十字形カップラ 50 dB、丸めあり、良好加工</t>
  </si>
  <si>
    <t>1.10～1.20</t>
  </si>
  <si>
    <t>疎結合・低VSWRのため主線路摂動は小さいが、開口エッジの局所電界を考慮。</t>
  </si>
  <si>
    <t>設計判断</t>
  </si>
  <si>
    <t>形状情報がある場合の一次設計値。</t>
  </si>
  <si>
    <t>十字形カップラ 50 dB、形状不明</t>
  </si>
  <si>
    <t>1.20～1.50</t>
  </si>
  <si>
    <t>50 dBで結合は弱いが、孔形状・壁厚・角Rが不明なため安全側。</t>
  </si>
  <si>
    <t>高電力実績不明なら1.5も検討。</t>
  </si>
  <si>
    <t>十字形カップラ 50 dB、角R不明・高電力未確認</t>
  </si>
  <si>
    <t>1.50以上</t>
  </si>
  <si>
    <t>Eベンド相当を流用した保守値。</t>
  </si>
  <si>
    <t>保守値</t>
  </si>
  <si>
    <t>文献標準値ではない。高電力試験/解析で置換。</t>
  </si>
  <si>
    <t>プローブ・ポスト・スタブが入る構造</t>
  </si>
  <si>
    <t>2.0以上</t>
  </si>
  <si>
    <t>侵入深さや先端形状で局所電界が大きく変化。</t>
  </si>
  <si>
    <t>単一係数で代表しにくい。3D解析推奨。</t>
  </si>
  <si>
    <t>ロータリージョイント</t>
  </si>
  <si>
    <t>1.5～2.5</t>
  </si>
  <si>
    <t>チョーク部、隙間、接触、窓材に依存。</t>
  </si>
  <si>
    <t>メーカー高電力定格優先。</t>
  </si>
  <si>
    <t>十字形カップラ（cross-guide coupler）50 dB の整理</t>
  </si>
  <si>
    <t>50 dB の意味</t>
  </si>
  <si>
    <t>P_coupled/P_main = 10^(-50/10) = 1.0E-5。電界または電圧比は sqrt(1.0E-5)=0.00316。主線路への摂動は小さいが、結合孔エッジの局所電界は別途考慮。</t>
  </si>
  <si>
    <t>項目</t>
  </si>
  <si>
    <t>式</t>
  </si>
  <si>
    <t>値</t>
  </si>
  <si>
    <t>単位</t>
  </si>
  <si>
    <t>結合度</t>
  </si>
  <si>
    <t>dB</t>
  </si>
  <si>
    <t>疎結合カップラの例</t>
  </si>
  <si>
    <t>電力比</t>
  </si>
  <si>
    <t>-</t>
  </si>
  <si>
    <t>50 dBなら1E-5</t>
  </si>
  <si>
    <t>電界比</t>
  </si>
  <si>
    <t>約0.00316</t>
  </si>
  <si>
    <t>VSWR=1.05の反射係数</t>
  </si>
  <si>
    <t>市販品例のtypical値から</t>
  </si>
  <si>
    <t>VSWR由来の電界増加</t>
  </si>
  <si>
    <t>倍</t>
  </si>
  <si>
    <t>局所電界係数K_Eとは別</t>
  </si>
  <si>
    <t>推奨K_E</t>
  </si>
  <si>
    <t>50 dB cross-guide coupler は、形状が良く高電力実績がある場合は K_E=1.1～1.2、形状不明なら K_E=1.3、保守的には K_E=1.5 を初期値とする。</t>
  </si>
  <si>
    <t>注意</t>
  </si>
  <si>
    <t>結合度50 dBは副導波管へ出る電力が小さいことを示すだけで、孔エッジの局所電界集中がゼロになることを保証しません。最終設計では Emax_component / Emax_straight を3D解析または実測で確認してください。</t>
  </si>
  <si>
    <t>Ragan式・パルス幅・PRF 関連資料</t>
  </si>
  <si>
    <t>Excelでの扱い</t>
  </si>
  <si>
    <t>critical pulse length τc、短パルス破壊電界、VSWR補正は Ragan原典および現代的引用資料で確認する。長パルス・multipulse条件では短パルスによる許容電界上昇を安易に見込まない。</t>
  </si>
  <si>
    <t>式/項目</t>
  </si>
  <si>
    <t>内容</t>
  </si>
  <si>
    <t>Excel実装上の注意</t>
  </si>
  <si>
    <t>主な参照先</t>
  </si>
  <si>
    <t>τc = 10^-3 / p</t>
  </si>
  <si>
    <t>critical pulse length。pはtorr。</t>
  </si>
  <si>
    <t>τp &gt;= τc の場合はCW/multipulse-likeとして Kτ=1 とする安全側運用。</t>
  </si>
  <si>
    <t>Ragan原典、Schadler資料</t>
  </si>
  <si>
    <t>短パルス破壊電界式</t>
  </si>
  <si>
    <t>パルス幅が非常に短い場合に破壊電界が上昇する効果。</t>
  </si>
  <si>
    <t>原典式・単位系・適用範囲を確認。Excelでは参考値と最終判定値を分ける。</t>
  </si>
  <si>
    <t>Schadler資料</t>
  </si>
  <si>
    <t>VSWR補正</t>
  </si>
  <si>
    <t>定在波腹で Emax = Eincident*(1+|Γ|)。</t>
  </si>
  <si>
    <t>局所電界係数 K_E とは別に掛ける。</t>
  </si>
  <si>
    <t>PRF/multipulse</t>
  </si>
  <si>
    <t>繰返しパルスでは残留電離・放電確率・熱が関係。</t>
  </si>
  <si>
    <t>Dutyは熱に使用。絶縁破壊側は安全側係数で扱う。</t>
  </si>
  <si>
    <t>Ragan原典、関連マイクロ波破壊文献</t>
  </si>
  <si>
    <t>このブックは、導波管部品の局所電界係数 K_E、十字形カップラ、Ragan式、関連市販品仕様について、文献リストをExcel化したものです。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</si>
</sst>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E+00"/>
  </numFmts>
  <fonts count="7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sz val="11"/>
      <color rgb="FF7F6000"/>
      <name val="Carlito"/>
    </font>
    <font>
      <b/>
      <sz val="11"/>
      <color rgb="FFFFFFFF"/>
      <name val="Carlito"/>
    </font>
    <font>
      <sz val="11"/>
      <name val="Carlito"/>
    </font>
    <font>
      <sz val="6"/>
      <name val="Tsukushi A Round Gothic Bold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3" borderId="0" xfId="1" applyFont="1" applyFill="1" applyAlignment="1">
      <alignment vertic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2" fontId="0" fillId="0" borderId="0" xfId="1" applyNumberFormat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ferencesTable" displayName="ReferencesTable" ref="A1:G14">
  <tableColumns count="7">
    <tableColumn id="1" xr3:uid="{00000000-0010-0000-0000-000001000000}" name="分類"/>
    <tableColumn id="2" xr3:uid="{00000000-0010-0000-0000-000002000000}" name="優先度"/>
    <tableColumn id="3" xr3:uid="{00000000-0010-0000-0000-000003000000}" name="文献・資料名"/>
    <tableColumn id="4" xr3:uid="{00000000-0010-0000-0000-000004000000}" name="著者/組織"/>
    <tableColumn id="5" xr3:uid="{00000000-0010-0000-0000-000005000000}" name="見るポイント"/>
    <tableColumn id="6" xr3:uid="{00000000-0010-0000-0000-000006000000}" name="URL"/>
    <tableColumn id="7" xr3:uid="{00000000-0010-0000-0000-000007000000}" name="Excelでの使い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RangeTable" displayName="KERangeTable" ref="A1:F11">
  <tableColumns count="6">
    <tableColumn id="1" xr3:uid="{00000000-0010-0000-0100-000001000000}" name="部品"/>
    <tableColumn id="2" xr3:uid="{00000000-0010-0000-0100-000002000000}" name="Excel初期値 K_E"/>
    <tableColumn id="3" xr3:uid="{00000000-0010-0000-0100-000003000000}" name="推奨範囲"/>
    <tableColumn id="4" xr3:uid="{00000000-0010-0000-0100-000004000000}" name="根拠・扱い"/>
    <tableColumn id="5" xr3:uid="{00000000-0010-0000-0100-000005000000}" name="根拠分類"/>
    <tableColumn id="6" xr3:uid="{00000000-0010-0000-0100-000006000000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ganPulseTable" displayName="RaganPulseTable" ref="A5:D9">
  <tableColumns count="4">
    <tableColumn id="1" xr3:uid="{00000000-0010-0000-0200-000001000000}" name="式/項目"/>
    <tableColumn id="2" xr3:uid="{00000000-0010-0000-0200-000002000000}" name="内容"/>
    <tableColumn id="3" xr3:uid="{00000000-0010-0000-0200-000003000000}" name="Excel実装上の注意"/>
    <tableColumn id="4" xr3:uid="{00000000-0010-0000-0200-000004000000}" name="主な参照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20" zoomScaleNormal="120" workbookViewId="0">
      <selection activeCell="B8" sqref="B8"/>
    </sheetView>
  </sheetViews>
  <sheetFormatPr baseColWidth="10" defaultColWidth="8.83203125" defaultRowHeight="14"/>
  <cols>
    <col min="1" max="1" width="18" customWidth="1"/>
    <col min="2" max="2" width="80" customWidth="1"/>
    <col min="3" max="6" width="18" customWidth="1"/>
  </cols>
  <sheetData>
    <row r="1" spans="1:26" ht="89.5" customHeight="1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52.75" customHeight="1">
      <c r="A3" s="1" t="s">
        <v>1</v>
      </c>
      <c r="B3" s="9" t="s">
        <v>189</v>
      </c>
      <c r="C3" s="9"/>
      <c r="D3" s="9"/>
      <c r="E3" s="9"/>
      <c r="F3" s="9"/>
    </row>
    <row r="5" spans="1:26" ht="52.75" customHeight="1">
      <c r="A5" s="1" t="s">
        <v>2</v>
      </c>
      <c r="B5" s="3" t="s">
        <v>3</v>
      </c>
    </row>
    <row r="6" spans="1:26" ht="35.25" customHeight="1">
      <c r="A6" s="1" t="s">
        <v>4</v>
      </c>
      <c r="B6" s="3" t="s">
        <v>5</v>
      </c>
    </row>
    <row r="7" spans="1:26" ht="35.25" customHeight="1">
      <c r="A7" s="1" t="s">
        <v>6</v>
      </c>
      <c r="B7" s="3" t="s">
        <v>7</v>
      </c>
    </row>
    <row r="8" spans="1:26" ht="35.25" customHeight="1">
      <c r="A8" s="1" t="s">
        <v>8</v>
      </c>
      <c r="B8" s="3" t="s">
        <v>9</v>
      </c>
    </row>
    <row r="10" spans="1:26" ht="52.75" customHeight="1">
      <c r="A10" s="1" t="s">
        <v>10</v>
      </c>
      <c r="B10" s="10" t="s">
        <v>11</v>
      </c>
      <c r="C10" s="10"/>
      <c r="D10" s="10"/>
      <c r="E10" s="10"/>
      <c r="F10" s="10"/>
    </row>
  </sheetData>
  <mergeCells count="3">
    <mergeCell ref="A1:F1"/>
    <mergeCell ref="B3:F3"/>
    <mergeCell ref="B10:F10"/>
  </mergeCells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"/>
  <sheetViews>
    <sheetView workbookViewId="0"/>
  </sheetViews>
  <sheetFormatPr baseColWidth="10" defaultColWidth="8.83203125" defaultRowHeight="14"/>
  <cols>
    <col min="1" max="1" width="18" customWidth="1"/>
    <col min="2" max="2" width="10" customWidth="1"/>
    <col min="3" max="3" width="42" customWidth="1"/>
    <col min="4" max="4" width="24" customWidth="1"/>
    <col min="5" max="5" width="52" customWidth="1"/>
    <col min="6" max="6" width="65" customWidth="1"/>
    <col min="7" max="7" width="48" customWidth="1"/>
  </cols>
  <sheetData>
    <row r="1" spans="1:26" ht="20" customHeight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25" customHeigh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</row>
    <row r="3" spans="1:26" ht="35.25" customHeight="1">
      <c r="A3" s="3" t="s">
        <v>19</v>
      </c>
      <c r="B3" s="3" t="s">
        <v>20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spans="1:26" ht="35.25" customHeight="1">
      <c r="A4" s="3" t="s">
        <v>31</v>
      </c>
      <c r="B4" s="3" t="s">
        <v>20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spans="1:26" ht="52.75" customHeight="1">
      <c r="A5" s="3" t="s">
        <v>31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</row>
    <row r="6" spans="1:26" ht="52.75" customHeight="1">
      <c r="A6" s="3" t="s">
        <v>43</v>
      </c>
      <c r="B6" s="3" t="s">
        <v>37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</row>
    <row r="7" spans="1:26" ht="35.25" customHeight="1">
      <c r="A7" s="3" t="s">
        <v>43</v>
      </c>
      <c r="B7" s="3" t="s">
        <v>37</v>
      </c>
      <c r="C7" s="3" t="s">
        <v>49</v>
      </c>
      <c r="D7" s="3" t="s">
        <v>45</v>
      </c>
      <c r="E7" s="3" t="s">
        <v>50</v>
      </c>
      <c r="F7" s="3" t="s">
        <v>51</v>
      </c>
      <c r="G7" s="3" t="s">
        <v>52</v>
      </c>
    </row>
    <row r="8" spans="1:26" ht="52.75" customHeight="1">
      <c r="A8" s="3" t="s">
        <v>53</v>
      </c>
      <c r="B8" s="3" t="s">
        <v>37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</row>
    <row r="9" spans="1:26" ht="35.25" customHeight="1">
      <c r="A9" s="3" t="s">
        <v>53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</row>
    <row r="10" spans="1:26" ht="35.25" customHeight="1">
      <c r="A10" s="3" t="s">
        <v>53</v>
      </c>
      <c r="B10" s="3" t="s">
        <v>59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</row>
    <row r="11" spans="1:26" ht="35.25" customHeight="1">
      <c r="A11" s="3" t="s">
        <v>53</v>
      </c>
      <c r="B11" s="3" t="s">
        <v>59</v>
      </c>
      <c r="C11" s="3" t="s">
        <v>70</v>
      </c>
      <c r="D11" s="3" t="s">
        <v>71</v>
      </c>
      <c r="E11" s="3" t="s">
        <v>72</v>
      </c>
      <c r="F11" s="3" t="s">
        <v>73</v>
      </c>
      <c r="G11" s="3" t="s">
        <v>74</v>
      </c>
    </row>
    <row r="12" spans="1:26" ht="35.25" customHeight="1">
      <c r="A12" s="3" t="s">
        <v>75</v>
      </c>
      <c r="B12" s="3" t="s">
        <v>20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80</v>
      </c>
    </row>
    <row r="13" spans="1:26" ht="35.25" customHeight="1">
      <c r="A13" s="3" t="s">
        <v>75</v>
      </c>
      <c r="B13" s="3" t="s">
        <v>20</v>
      </c>
      <c r="C13" s="3" t="s">
        <v>81</v>
      </c>
      <c r="D13" s="3" t="s">
        <v>82</v>
      </c>
      <c r="E13" s="3" t="s">
        <v>83</v>
      </c>
      <c r="F13" s="3" t="s">
        <v>84</v>
      </c>
      <c r="G13" s="3" t="s">
        <v>85</v>
      </c>
    </row>
    <row r="14" spans="1:26" ht="35.25" customHeight="1">
      <c r="A14" s="3" t="s">
        <v>75</v>
      </c>
      <c r="B14" s="3" t="s">
        <v>20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/>
  </sheetViews>
  <sheetFormatPr baseColWidth="10" defaultColWidth="8.83203125" defaultRowHeight="14"/>
  <cols>
    <col min="1" max="1" width="34" customWidth="1"/>
    <col min="2" max="3" width="16" customWidth="1"/>
    <col min="4" max="4" width="55" customWidth="1"/>
    <col min="5" max="5" width="16" customWidth="1"/>
    <col min="6" max="6" width="48" customWidth="1"/>
  </cols>
  <sheetData>
    <row r="1" spans="1:26" ht="20" customHeight="1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" customHeight="1">
      <c r="A2" s="3" t="s">
        <v>97</v>
      </c>
      <c r="B2" s="5">
        <v>1</v>
      </c>
      <c r="C2" s="3" t="s">
        <v>98</v>
      </c>
      <c r="D2" s="3" t="s">
        <v>99</v>
      </c>
      <c r="E2" s="3" t="s">
        <v>100</v>
      </c>
      <c r="F2" s="3" t="s">
        <v>101</v>
      </c>
    </row>
    <row r="3" spans="1:26" ht="20" customHeight="1">
      <c r="A3" s="3" t="s">
        <v>102</v>
      </c>
      <c r="B3" s="5">
        <v>1.05</v>
      </c>
      <c r="C3" s="3" t="s">
        <v>103</v>
      </c>
      <c r="D3" s="3" t="s">
        <v>104</v>
      </c>
      <c r="E3" s="3" t="s">
        <v>105</v>
      </c>
      <c r="F3" s="3" t="s">
        <v>106</v>
      </c>
    </row>
    <row r="4" spans="1:26" ht="20" customHeight="1">
      <c r="A4" s="3" t="s">
        <v>107</v>
      </c>
      <c r="B4" s="5">
        <v>1.5</v>
      </c>
      <c r="C4" s="3" t="s">
        <v>108</v>
      </c>
      <c r="D4" s="3" t="s">
        <v>109</v>
      </c>
      <c r="E4" s="3" t="s">
        <v>110</v>
      </c>
      <c r="F4" s="3" t="s">
        <v>111</v>
      </c>
    </row>
    <row r="5" spans="1:26" ht="20" customHeight="1">
      <c r="A5" s="3" t="s">
        <v>112</v>
      </c>
      <c r="B5" s="5">
        <v>2</v>
      </c>
      <c r="C5" s="3" t="s">
        <v>113</v>
      </c>
      <c r="D5" s="3" t="s">
        <v>114</v>
      </c>
      <c r="E5" s="3" t="s">
        <v>110</v>
      </c>
      <c r="F5" s="3" t="s">
        <v>115</v>
      </c>
    </row>
    <row r="6" spans="1:26" ht="35.25" customHeight="1">
      <c r="A6" s="3" t="s">
        <v>116</v>
      </c>
      <c r="B6" s="5">
        <v>1.5</v>
      </c>
      <c r="C6" s="3" t="s">
        <v>117</v>
      </c>
      <c r="D6" s="3" t="s">
        <v>118</v>
      </c>
      <c r="E6" s="3" t="s">
        <v>119</v>
      </c>
      <c r="F6" s="3" t="s">
        <v>120</v>
      </c>
    </row>
    <row r="7" spans="1:26" ht="35.25" customHeight="1">
      <c r="A7" s="3" t="s">
        <v>121</v>
      </c>
      <c r="B7" s="5">
        <v>1.2</v>
      </c>
      <c r="C7" s="3" t="s">
        <v>122</v>
      </c>
      <c r="D7" s="3" t="s">
        <v>123</v>
      </c>
      <c r="E7" s="3" t="s">
        <v>124</v>
      </c>
      <c r="F7" s="3" t="s">
        <v>125</v>
      </c>
    </row>
    <row r="8" spans="1:26" ht="35.25" customHeight="1">
      <c r="A8" s="3" t="s">
        <v>126</v>
      </c>
      <c r="B8" s="5">
        <v>1.3</v>
      </c>
      <c r="C8" s="3" t="s">
        <v>127</v>
      </c>
      <c r="D8" s="3" t="s">
        <v>128</v>
      </c>
      <c r="E8" s="3" t="s">
        <v>124</v>
      </c>
      <c r="F8" s="3" t="s">
        <v>129</v>
      </c>
    </row>
    <row r="9" spans="1:26" ht="35.25" customHeight="1">
      <c r="A9" s="3" t="s">
        <v>130</v>
      </c>
      <c r="B9" s="5">
        <v>1.5</v>
      </c>
      <c r="C9" s="3" t="s">
        <v>131</v>
      </c>
      <c r="D9" s="3" t="s">
        <v>132</v>
      </c>
      <c r="E9" s="3" t="s">
        <v>133</v>
      </c>
      <c r="F9" s="3" t="s">
        <v>134</v>
      </c>
    </row>
    <row r="10" spans="1:26" ht="20" customHeight="1">
      <c r="A10" s="3" t="s">
        <v>135</v>
      </c>
      <c r="B10" s="5">
        <v>2</v>
      </c>
      <c r="C10" s="3" t="s">
        <v>136</v>
      </c>
      <c r="D10" s="3" t="s">
        <v>137</v>
      </c>
      <c r="E10" s="3" t="s">
        <v>133</v>
      </c>
      <c r="F10" s="3" t="s">
        <v>138</v>
      </c>
    </row>
    <row r="11" spans="1:26" ht="20" customHeight="1">
      <c r="A11" s="3" t="s">
        <v>139</v>
      </c>
      <c r="B11" s="5">
        <v>2</v>
      </c>
      <c r="C11" s="3" t="s">
        <v>140</v>
      </c>
      <c r="D11" s="3" t="s">
        <v>141</v>
      </c>
      <c r="E11" s="3" t="s">
        <v>133</v>
      </c>
      <c r="F11" s="3" t="s">
        <v>142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topLeftCell="A3" workbookViewId="0">
      <selection sqref="A1:F1"/>
    </sheetView>
  </sheetViews>
  <sheetFormatPr baseColWidth="10" defaultColWidth="8.83203125" defaultRowHeight="14"/>
  <cols>
    <col min="1" max="1" width="22" customWidth="1"/>
    <col min="2" max="2" width="50" customWidth="1"/>
    <col min="3" max="3" width="16" customWidth="1"/>
    <col min="4" max="4" width="12" customWidth="1"/>
    <col min="5" max="5" width="48" customWidth="1"/>
    <col min="6" max="6" width="20" customWidth="1"/>
  </cols>
  <sheetData>
    <row r="1" spans="1:26" ht="89.5" customHeight="1">
      <c r="A1" s="7" t="s">
        <v>143</v>
      </c>
      <c r="B1" s="8" t="s">
        <v>143</v>
      </c>
      <c r="C1" s="8" t="s">
        <v>143</v>
      </c>
      <c r="D1" s="8" t="s">
        <v>143</v>
      </c>
      <c r="E1" s="8" t="s">
        <v>143</v>
      </c>
      <c r="F1" s="8" t="s">
        <v>143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0.25" customHeight="1">
      <c r="A3" s="1" t="s">
        <v>144</v>
      </c>
      <c r="B3" s="9" t="s">
        <v>145</v>
      </c>
      <c r="C3" s="9"/>
      <c r="D3" s="9"/>
      <c r="E3" s="9"/>
      <c r="F3" s="9"/>
    </row>
    <row r="5" spans="1:26" ht="20" customHeight="1">
      <c r="A5" s="4" t="s">
        <v>146</v>
      </c>
      <c r="B5" s="4" t="s">
        <v>147</v>
      </c>
      <c r="C5" s="4" t="s">
        <v>148</v>
      </c>
      <c r="D5" s="4" t="s">
        <v>149</v>
      </c>
      <c r="E5" s="4" t="s">
        <v>96</v>
      </c>
    </row>
    <row r="6" spans="1:26" ht="20" customHeight="1">
      <c r="A6" s="3" t="s">
        <v>150</v>
      </c>
      <c r="B6" s="3"/>
      <c r="C6" s="6">
        <v>-50</v>
      </c>
      <c r="D6" s="3" t="s">
        <v>151</v>
      </c>
      <c r="E6" s="3" t="s">
        <v>152</v>
      </c>
    </row>
    <row r="7" spans="1:26" ht="20" customHeight="1">
      <c r="A7" s="3" t="s">
        <v>153</v>
      </c>
      <c r="B7" s="3">
        <f>10^(C6/10)</f>
        <v>1.0000000000000001E-5</v>
      </c>
      <c r="C7" s="6">
        <f>10^(C6/10)</f>
        <v>1.0000000000000001E-5</v>
      </c>
      <c r="D7" s="3" t="s">
        <v>154</v>
      </c>
      <c r="E7" s="3" t="s">
        <v>155</v>
      </c>
    </row>
    <row r="8" spans="1:26" ht="20" customHeight="1">
      <c r="A8" s="3" t="s">
        <v>156</v>
      </c>
      <c r="B8" s="3">
        <f>SQRT(C7)</f>
        <v>3.1622776601683794E-3</v>
      </c>
      <c r="C8" s="6">
        <f>SQRT(C7)</f>
        <v>3.1622776601683794E-3</v>
      </c>
      <c r="D8" s="3" t="s">
        <v>154</v>
      </c>
      <c r="E8" s="3" t="s">
        <v>157</v>
      </c>
    </row>
    <row r="9" spans="1:26" ht="20" customHeight="1">
      <c r="A9" s="3" t="s">
        <v>158</v>
      </c>
      <c r="B9" s="3">
        <f>(1.05-1)/(1.05+1)</f>
        <v>2.439024390243905E-2</v>
      </c>
      <c r="C9" s="6">
        <f>(1.05-1)/(1.05+1)</f>
        <v>2.439024390243905E-2</v>
      </c>
      <c r="D9" s="3" t="s">
        <v>154</v>
      </c>
      <c r="E9" s="3" t="s">
        <v>159</v>
      </c>
    </row>
    <row r="10" spans="1:26" ht="20" customHeight="1">
      <c r="A10" s="3" t="s">
        <v>160</v>
      </c>
      <c r="B10" s="3">
        <f>1+C9</f>
        <v>1.024390243902439</v>
      </c>
      <c r="C10" s="6">
        <f>1+C9</f>
        <v>1.024390243902439</v>
      </c>
      <c r="D10" s="3" t="s">
        <v>161</v>
      </c>
      <c r="E10" s="3" t="s">
        <v>162</v>
      </c>
    </row>
    <row r="12" spans="1:26" ht="70.25" customHeight="1">
      <c r="A12" s="1" t="s">
        <v>163</v>
      </c>
      <c r="B12" s="10" t="s">
        <v>164</v>
      </c>
      <c r="C12" s="10"/>
      <c r="D12" s="10"/>
      <c r="E12" s="10"/>
      <c r="F12" s="10"/>
    </row>
    <row r="14" spans="1:26" ht="88" customHeight="1">
      <c r="A14" s="1" t="s">
        <v>165</v>
      </c>
      <c r="B14" s="9" t="s">
        <v>166</v>
      </c>
      <c r="C14" s="9"/>
      <c r="D14" s="9"/>
      <c r="E14" s="9"/>
      <c r="F14" s="9"/>
    </row>
  </sheetData>
  <mergeCells count="4">
    <mergeCell ref="A1:F1"/>
    <mergeCell ref="B3:F3"/>
    <mergeCell ref="B12:F12"/>
    <mergeCell ref="B14:F14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A3" sqref="A3"/>
    </sheetView>
  </sheetViews>
  <sheetFormatPr baseColWidth="10" defaultColWidth="8.83203125" defaultRowHeight="14"/>
  <cols>
    <col min="1" max="1" width="24" customWidth="1"/>
    <col min="2" max="2" width="50" customWidth="1"/>
    <col min="3" max="3" width="58" customWidth="1"/>
    <col min="4" max="4" width="34" customWidth="1"/>
    <col min="5" max="6" width="10" customWidth="1"/>
  </cols>
  <sheetData>
    <row r="1" spans="1:26" ht="70.25" customHeight="1">
      <c r="A1" s="7" t="s">
        <v>167</v>
      </c>
      <c r="B1" s="8" t="s">
        <v>167</v>
      </c>
      <c r="C1" s="8" t="s">
        <v>167</v>
      </c>
      <c r="D1" s="8" t="s">
        <v>167</v>
      </c>
      <c r="E1" s="8" t="s">
        <v>167</v>
      </c>
      <c r="F1" s="8" t="s">
        <v>167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0.25" customHeight="1">
      <c r="A3" s="1" t="s">
        <v>168</v>
      </c>
      <c r="B3" s="9" t="s">
        <v>169</v>
      </c>
      <c r="C3" s="9"/>
      <c r="D3" s="9"/>
      <c r="E3" s="9"/>
      <c r="F3" s="9"/>
    </row>
    <row r="5" spans="1:26" ht="20" customHeight="1">
      <c r="A5" s="4" t="s">
        <v>170</v>
      </c>
      <c r="B5" s="4" t="s">
        <v>171</v>
      </c>
      <c r="C5" s="4" t="s">
        <v>172</v>
      </c>
      <c r="D5" s="4" t="s">
        <v>173</v>
      </c>
    </row>
    <row r="6" spans="1:26" ht="35.25" customHeight="1">
      <c r="A6" s="3" t="s">
        <v>174</v>
      </c>
      <c r="B6" s="3" t="s">
        <v>175</v>
      </c>
      <c r="C6" s="3" t="s">
        <v>176</v>
      </c>
      <c r="D6" s="3" t="s">
        <v>177</v>
      </c>
    </row>
    <row r="7" spans="1:26" ht="35.25" customHeight="1">
      <c r="A7" s="3" t="s">
        <v>178</v>
      </c>
      <c r="B7" s="3" t="s">
        <v>179</v>
      </c>
      <c r="C7" s="3" t="s">
        <v>180</v>
      </c>
      <c r="D7" s="3" t="s">
        <v>181</v>
      </c>
    </row>
    <row r="8" spans="1:26" ht="20" customHeight="1">
      <c r="A8" s="3" t="s">
        <v>182</v>
      </c>
      <c r="B8" s="3" t="s">
        <v>183</v>
      </c>
      <c r="C8" s="3" t="s">
        <v>184</v>
      </c>
      <c r="D8" s="3" t="s">
        <v>177</v>
      </c>
    </row>
    <row r="9" spans="1:26" ht="20" customHeight="1">
      <c r="A9" s="3" t="s">
        <v>185</v>
      </c>
      <c r="B9" s="3" t="s">
        <v>186</v>
      </c>
      <c r="C9" s="3" t="s">
        <v>187</v>
      </c>
      <c r="D9" s="3" t="s">
        <v>188</v>
      </c>
    </row>
  </sheetData>
  <mergeCells count="2">
    <mergeCell ref="A1:F1"/>
    <mergeCell ref="B3:F3"/>
  </mergeCells>
  <phoneticPr fontId="6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参考文献リスト</vt:lpstr>
      <vt:lpstr>K_E推奨値</vt:lpstr>
      <vt:lpstr>十字形カップラ50dB</vt:lpstr>
      <vt:lpstr>Ragan_パルス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一裕 向井</cp:lastModifiedBy>
  <dcterms:modified xsi:type="dcterms:W3CDTF">2026-05-18T12:29:21Z</dcterms:modified>
</cp:coreProperties>
</file>