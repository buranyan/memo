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08h\Documents\LTspice\MIL-STD-461C_ASC\"/>
    </mc:Choice>
  </mc:AlternateContent>
  <xr:revisionPtr revIDLastSave="0" documentId="13_ncr:1_{94513725-D0DF-4CE7-BF99-9756C3865B00}" xr6:coauthVersionLast="47" xr6:coauthVersionMax="47" xr10:uidLastSave="{00000000-0000-0000-0000-000000000000}"/>
  <bookViews>
    <workbookView xWindow="810" yWindow="45" windowWidth="17820" windowHeight="15435" xr2:uid="{029121A5-F55C-487C-BA25-E2E030E49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G55" i="1"/>
  <c r="G30" i="1"/>
  <c r="G46" i="1"/>
  <c r="G47" i="1" s="1"/>
  <c r="G48" i="1" s="1"/>
  <c r="G54" i="1"/>
  <c r="G51" i="1"/>
  <c r="G49" i="1"/>
  <c r="G50" i="1"/>
  <c r="G20" i="1" l="1"/>
</calcChain>
</file>

<file path=xl/sharedStrings.xml><?xml version="1.0" encoding="utf-8"?>
<sst xmlns="http://schemas.openxmlformats.org/spreadsheetml/2006/main" count="230" uniqueCount="153">
  <si>
    <t>MIL-STD-461C対応LTSPICE諸元</t>
    <rPh sb="12" eb="14">
      <t>タイオウ</t>
    </rPh>
    <rPh sb="21" eb="23">
      <t>ショゲン</t>
    </rPh>
    <phoneticPr fontId="1"/>
  </si>
  <si>
    <t>No</t>
    <phoneticPr fontId="1"/>
  </si>
  <si>
    <t>区分</t>
    <rPh sb="0" eb="2">
      <t>クブン</t>
    </rPh>
    <phoneticPr fontId="1"/>
  </si>
  <si>
    <t>電源</t>
    <rPh sb="0" eb="2">
      <t>デンゲン</t>
    </rPh>
    <phoneticPr fontId="1"/>
  </si>
  <si>
    <t>PS1</t>
    <phoneticPr fontId="1"/>
  </si>
  <si>
    <t>諸元</t>
    <rPh sb="0" eb="2">
      <t>ショゲン</t>
    </rPh>
    <phoneticPr fontId="1"/>
  </si>
  <si>
    <t>AC115V,400Hz</t>
  </si>
  <si>
    <t>単位</t>
    <rPh sb="0" eb="2">
      <t>タンイ</t>
    </rPh>
    <phoneticPr fontId="1"/>
  </si>
  <si>
    <t>ー</t>
    <phoneticPr fontId="1"/>
  </si>
  <si>
    <t>記号</t>
    <rPh sb="0" eb="2">
      <t>キゴウ</t>
    </rPh>
    <phoneticPr fontId="1"/>
  </si>
  <si>
    <t>L_LINE_PS</t>
    <phoneticPr fontId="1"/>
  </si>
  <si>
    <t>R_LINE_PS</t>
    <phoneticPr fontId="1"/>
  </si>
  <si>
    <t>C_LINE_PS</t>
    <phoneticPr fontId="1"/>
  </si>
  <si>
    <t>貫通コンデンサ</t>
    <rPh sb="0" eb="2">
      <t>カンツウ</t>
    </rPh>
    <phoneticPr fontId="1"/>
  </si>
  <si>
    <t>C_THROUGH</t>
    <phoneticPr fontId="1"/>
  </si>
  <si>
    <t>L_THROUGH</t>
    <phoneticPr fontId="1"/>
  </si>
  <si>
    <t>R_THROUGH</t>
    <phoneticPr fontId="1"/>
  </si>
  <si>
    <t>L_LINE_INPUT</t>
    <phoneticPr fontId="1"/>
  </si>
  <si>
    <t>R_LINE_INPUT</t>
    <phoneticPr fontId="1"/>
  </si>
  <si>
    <t>C_LINE_INPUT</t>
    <phoneticPr fontId="1"/>
  </si>
  <si>
    <t>uH</t>
    <phoneticPr fontId="1"/>
  </si>
  <si>
    <t>Ω</t>
    <phoneticPr fontId="1"/>
  </si>
  <si>
    <t>mΩ</t>
  </si>
  <si>
    <t>mΩ</t>
    <phoneticPr fontId="1"/>
  </si>
  <si>
    <t>pF</t>
    <phoneticPr fontId="1"/>
  </si>
  <si>
    <t>uF</t>
    <phoneticPr fontId="1"/>
  </si>
  <si>
    <t>nH</t>
  </si>
  <si>
    <t>nH</t>
    <phoneticPr fontId="1"/>
  </si>
  <si>
    <t>EMPフィルタ</t>
    <phoneticPr fontId="1"/>
  </si>
  <si>
    <t>項目</t>
    <rPh sb="0" eb="2">
      <t>コウモク</t>
    </rPh>
    <phoneticPr fontId="1"/>
  </si>
  <si>
    <t>対地寄生容量</t>
    <rPh sb="0" eb="2">
      <t>タイチ</t>
    </rPh>
    <rPh sb="2" eb="4">
      <t>キセイ</t>
    </rPh>
    <rPh sb="4" eb="6">
      <t>ヨウリョウ</t>
    </rPh>
    <phoneticPr fontId="1"/>
  </si>
  <si>
    <t>容量</t>
    <rPh sb="0" eb="2">
      <t>ヨウリョウ</t>
    </rPh>
    <phoneticPr fontId="1"/>
  </si>
  <si>
    <t>インダクタンス</t>
    <phoneticPr fontId="1"/>
  </si>
  <si>
    <t>抵抗</t>
    <rPh sb="0" eb="2">
      <t>テイコウ</t>
    </rPh>
    <phoneticPr fontId="1"/>
  </si>
  <si>
    <t>対地インダクタンス</t>
    <rPh sb="0" eb="2">
      <t>タイチ</t>
    </rPh>
    <phoneticPr fontId="1"/>
  </si>
  <si>
    <t>対地抵抗</t>
    <rPh sb="0" eb="2">
      <t>タイチ</t>
    </rPh>
    <rPh sb="2" eb="4">
      <t>テイコウ</t>
    </rPh>
    <phoneticPr fontId="1"/>
  </si>
  <si>
    <t>C_CX1</t>
    <phoneticPr fontId="1"/>
  </si>
  <si>
    <t>L_CX1</t>
    <phoneticPr fontId="1"/>
  </si>
  <si>
    <t>R_CX1</t>
    <phoneticPr fontId="1"/>
  </si>
  <si>
    <t>DM1コイルインダクタンス</t>
    <phoneticPr fontId="1"/>
  </si>
  <si>
    <t>DM1コイル抵抗</t>
    <rPh sb="6" eb="8">
      <t>テイコウ</t>
    </rPh>
    <phoneticPr fontId="1"/>
  </si>
  <si>
    <t>DM1コイル巻線間容量</t>
    <rPh sb="6" eb="8">
      <t>マキセン</t>
    </rPh>
    <rPh sb="8" eb="9">
      <t>カン</t>
    </rPh>
    <rPh sb="9" eb="11">
      <t>ヨウリョウ</t>
    </rPh>
    <phoneticPr fontId="1"/>
  </si>
  <si>
    <t>L_DM1</t>
    <phoneticPr fontId="1"/>
  </si>
  <si>
    <t>R_DM2</t>
    <phoneticPr fontId="1"/>
  </si>
  <si>
    <t>C_DM1</t>
    <phoneticPr fontId="1"/>
  </si>
  <si>
    <t>R_DM1</t>
    <phoneticPr fontId="1"/>
  </si>
  <si>
    <t>CX1コンデンサ容量</t>
    <rPh sb="8" eb="10">
      <t>ヨウリョウ</t>
    </rPh>
    <phoneticPr fontId="1"/>
  </si>
  <si>
    <t>CX1リードインダクタンス</t>
    <phoneticPr fontId="1"/>
  </si>
  <si>
    <t>CX1等価抵抗(ESR)</t>
    <rPh sb="3" eb="5">
      <t>トウカ</t>
    </rPh>
    <rPh sb="5" eb="7">
      <t>テイコウ</t>
    </rPh>
    <phoneticPr fontId="1"/>
  </si>
  <si>
    <t>DM2コイルインダクタンス</t>
    <phoneticPr fontId="1"/>
  </si>
  <si>
    <t>DM2コイル抵抗</t>
    <rPh sb="6" eb="8">
      <t>テイコウ</t>
    </rPh>
    <phoneticPr fontId="1"/>
  </si>
  <si>
    <t>DM2コイル巻線間容量</t>
    <rPh sb="6" eb="8">
      <t>マキセン</t>
    </rPh>
    <rPh sb="8" eb="9">
      <t>カン</t>
    </rPh>
    <rPh sb="9" eb="11">
      <t>ヨウリョウ</t>
    </rPh>
    <phoneticPr fontId="1"/>
  </si>
  <si>
    <t>CX2コンデンサ容量</t>
    <rPh sb="8" eb="10">
      <t>ヨウリョウ</t>
    </rPh>
    <phoneticPr fontId="1"/>
  </si>
  <si>
    <t>CX2リードインダクタンス</t>
    <phoneticPr fontId="1"/>
  </si>
  <si>
    <t>CX2等価抵抗(ESR)</t>
    <rPh sb="3" eb="5">
      <t>トウカ</t>
    </rPh>
    <rPh sb="5" eb="7">
      <t>テイコウ</t>
    </rPh>
    <phoneticPr fontId="1"/>
  </si>
  <si>
    <t>L_DM2</t>
    <phoneticPr fontId="1"/>
  </si>
  <si>
    <t>C_DM2</t>
    <phoneticPr fontId="1"/>
  </si>
  <si>
    <t>C_CX2</t>
    <phoneticPr fontId="1"/>
  </si>
  <si>
    <t>L_CX2</t>
    <phoneticPr fontId="1"/>
  </si>
  <si>
    <t>R_CX2</t>
    <phoneticPr fontId="1"/>
  </si>
  <si>
    <t>RCダンパーCコンデンサ容量</t>
    <rPh sb="12" eb="14">
      <t>ヨウリョウ</t>
    </rPh>
    <phoneticPr fontId="1"/>
  </si>
  <si>
    <t>RCダンパーCリードインダクタンス</t>
    <phoneticPr fontId="1"/>
  </si>
  <si>
    <t>RCダンパーC等価抵抗(ESR)</t>
    <rPh sb="7" eb="9">
      <t>トウカ</t>
    </rPh>
    <rPh sb="9" eb="11">
      <t>テイコウ</t>
    </rPh>
    <phoneticPr fontId="1"/>
  </si>
  <si>
    <t>RCダンパーR抵抗</t>
    <rPh sb="7" eb="9">
      <t>テイコウ</t>
    </rPh>
    <phoneticPr fontId="1"/>
  </si>
  <si>
    <t>C_DUMP_C</t>
    <phoneticPr fontId="1"/>
  </si>
  <si>
    <t>R_DUMP_C</t>
    <phoneticPr fontId="1"/>
  </si>
  <si>
    <t>L_DUMP_C</t>
    <phoneticPr fontId="1"/>
  </si>
  <si>
    <t>R_DUMP_R</t>
    <phoneticPr fontId="1"/>
  </si>
  <si>
    <t>CMコイルインダクタンス</t>
    <phoneticPr fontId="1"/>
  </si>
  <si>
    <t>CMコイル抵抗</t>
    <rPh sb="5" eb="7">
      <t>テイコウ</t>
    </rPh>
    <phoneticPr fontId="1"/>
  </si>
  <si>
    <t>CMコイル巻線間容量</t>
    <rPh sb="5" eb="7">
      <t>マキセン</t>
    </rPh>
    <rPh sb="7" eb="8">
      <t>カン</t>
    </rPh>
    <rPh sb="8" eb="10">
      <t>ヨウリョウ</t>
    </rPh>
    <phoneticPr fontId="1"/>
  </si>
  <si>
    <t>CMコイル結合係数</t>
    <rPh sb="5" eb="9">
      <t>ケツゴウケイスウ</t>
    </rPh>
    <phoneticPr fontId="1"/>
  </si>
  <si>
    <t>L_CM</t>
    <phoneticPr fontId="1"/>
  </si>
  <si>
    <t>R_CM</t>
    <phoneticPr fontId="1"/>
  </si>
  <si>
    <t>C_CM</t>
    <phoneticPr fontId="1"/>
  </si>
  <si>
    <t>K1</t>
    <phoneticPr fontId="1"/>
  </si>
  <si>
    <t>ｍH</t>
    <phoneticPr fontId="1"/>
  </si>
  <si>
    <t>CYコンデンサ容量</t>
    <rPh sb="7" eb="9">
      <t>ヨウリョウ</t>
    </rPh>
    <phoneticPr fontId="1"/>
  </si>
  <si>
    <t>CYリードインダクタンス</t>
    <phoneticPr fontId="1"/>
  </si>
  <si>
    <t>CY等価抵抗(ESR)</t>
    <rPh sb="2" eb="4">
      <t>トウカ</t>
    </rPh>
    <rPh sb="4" eb="6">
      <t>テイコウ</t>
    </rPh>
    <phoneticPr fontId="1"/>
  </si>
  <si>
    <t>C_CY</t>
    <phoneticPr fontId="1"/>
  </si>
  <si>
    <t>L_CY</t>
    <phoneticPr fontId="1"/>
  </si>
  <si>
    <t>R_CY</t>
    <phoneticPr fontId="1"/>
  </si>
  <si>
    <t>R_LOAD</t>
    <phoneticPr fontId="1"/>
  </si>
  <si>
    <t>ACDC電源</t>
    <rPh sb="4" eb="6">
      <t>デンゲン</t>
    </rPh>
    <phoneticPr fontId="1"/>
  </si>
  <si>
    <t>擬似抵抗負荷</t>
    <rPh sb="0" eb="2">
      <t>ギジ</t>
    </rPh>
    <rPh sb="2" eb="4">
      <t>テイコウ</t>
    </rPh>
    <rPh sb="4" eb="6">
      <t>フカ</t>
    </rPh>
    <phoneticPr fontId="1"/>
  </si>
  <si>
    <t>一般的な値</t>
    <rPh sb="0" eb="3">
      <t>イッパンテキ</t>
    </rPh>
    <rPh sb="4" eb="5">
      <t>アタイ</t>
    </rPh>
    <phoneticPr fontId="1"/>
  </si>
  <si>
    <t>配線1m
(電源
～貫通コンデンサ)</t>
    <rPh sb="0" eb="2">
      <t>ハイセン</t>
    </rPh>
    <rPh sb="6" eb="8">
      <t>デンゲン</t>
    </rPh>
    <rPh sb="10" eb="12">
      <t>カンツウ</t>
    </rPh>
    <phoneticPr fontId="1"/>
  </si>
  <si>
    <t>配線1m
(貫通コンデンサ
～EMIフィルタ)</t>
    <rPh sb="0" eb="2">
      <t>ハイセン</t>
    </rPh>
    <rPh sb="6" eb="8">
      <t>カンツウ</t>
    </rPh>
    <phoneticPr fontId="1"/>
  </si>
  <si>
    <t>ボンディング</t>
    <phoneticPr fontId="1"/>
  </si>
  <si>
    <t>ボンディング抵抗</t>
    <rPh sb="6" eb="8">
      <t>テイコウ</t>
    </rPh>
    <phoneticPr fontId="1"/>
  </si>
  <si>
    <t>ボンディングインダクタンス</t>
    <phoneticPr fontId="1"/>
  </si>
  <si>
    <t>R_BOMD</t>
    <phoneticPr fontId="1"/>
  </si>
  <si>
    <t>L_BOND</t>
    <phoneticPr fontId="1"/>
  </si>
  <si>
    <t>L_DMとCXの決定</t>
    <rPh sb="8" eb="10">
      <t>ケッテイ</t>
    </rPh>
    <phoneticPr fontId="1"/>
  </si>
  <si>
    <t>125kHzで40dB必要</t>
    <rPh sb="11" eb="13">
      <t>ヒツヨウ</t>
    </rPh>
    <phoneticPr fontId="1"/>
  </si>
  <si>
    <t>kHz</t>
    <phoneticPr fontId="1"/>
  </si>
  <si>
    <t>dB</t>
    <phoneticPr fontId="1"/>
  </si>
  <si>
    <t>1段等価</t>
    <rPh sb="1" eb="2">
      <t>ダン</t>
    </rPh>
    <rPh sb="2" eb="4">
      <t>トウカ</t>
    </rPh>
    <phoneticPr fontId="1"/>
  </si>
  <si>
    <t>2段に分ける（減衰量を2倍にする）</t>
    <rPh sb="1" eb="2">
      <t>ダン</t>
    </rPh>
    <rPh sb="3" eb="4">
      <t>ワ</t>
    </rPh>
    <rPh sb="7" eb="9">
      <t>ゲンスイ</t>
    </rPh>
    <rPh sb="9" eb="10">
      <t>リョウ</t>
    </rPh>
    <rPh sb="12" eb="13">
      <t>バイ</t>
    </rPh>
    <phoneticPr fontId="1"/>
  </si>
  <si>
    <t>A</t>
    <phoneticPr fontId="1"/>
  </si>
  <si>
    <t>CXの無効電流</t>
    <rPh sb="3" eb="5">
      <t>ムコウ</t>
    </rPh>
    <rPh sb="5" eb="7">
      <t>デンリュウ</t>
    </rPh>
    <phoneticPr fontId="1"/>
  </si>
  <si>
    <t>fc_dm=1/(2π√(4 x L_DM x 2 x CX))</t>
    <phoneticPr fontId="1"/>
  </si>
  <si>
    <t>A(f)=40 x log10(f/fc) f=125kHz</t>
    <phoneticPr fontId="1"/>
  </si>
  <si>
    <t>I=2π x f  x Vin x CX(total) f=400Hz</t>
    <phoneticPr fontId="1"/>
  </si>
  <si>
    <t>DMのカットオフ</t>
    <phoneticPr fontId="1"/>
  </si>
  <si>
    <t>CMのカットオフ</t>
    <phoneticPr fontId="1"/>
  </si>
  <si>
    <t>fc_cm=1/(2π√(L_CM x 2 x CY))</t>
    <phoneticPr fontId="1"/>
  </si>
  <si>
    <t>nF</t>
    <phoneticPr fontId="1"/>
  </si>
  <si>
    <t>CYの無効電流</t>
    <rPh sb="3" eb="5">
      <t>ムコウ</t>
    </rPh>
    <rPh sb="5" eb="7">
      <t>デンリュウ</t>
    </rPh>
    <phoneticPr fontId="1"/>
  </si>
  <si>
    <t>I=2π x f  x Vin x CY(total) f=400Hz</t>
    <phoneticPr fontId="1"/>
  </si>
  <si>
    <t>mA</t>
    <phoneticPr fontId="1"/>
  </si>
  <si>
    <t>数mA以下</t>
    <rPh sb="0" eb="1">
      <t>スウ</t>
    </rPh>
    <rPh sb="3" eb="5">
      <t>イカ</t>
    </rPh>
    <phoneticPr fontId="1"/>
  </si>
  <si>
    <t>数 kHz ～ 20 kHz。</t>
    <phoneticPr fontId="1"/>
  </si>
  <si>
    <t>Cdamp を Cx の 5～10倍、
C_DUMP &gt; 5 x CX</t>
    <phoneticPr fontId="1"/>
  </si>
  <si>
    <t>Rdamp を特性インピーダンス相当
R_DUMP = √(L_DM(total)/CX)</t>
    <phoneticPr fontId="1"/>
  </si>
  <si>
    <t>大きい場合はCXと同等か2倍</t>
    <rPh sb="0" eb="1">
      <t>オオ</t>
    </rPh>
    <rPh sb="3" eb="5">
      <t>バアイ</t>
    </rPh>
    <rPh sb="9" eb="11">
      <t>ドウトウ</t>
    </rPh>
    <rPh sb="13" eb="14">
      <t>バイ</t>
    </rPh>
    <phoneticPr fontId="1"/>
  </si>
  <si>
    <t>5～100 µH</t>
    <phoneticPr fontId="1"/>
  </si>
  <si>
    <t>0.1～1 µF</t>
    <phoneticPr fontId="1"/>
  </si>
  <si>
    <t>1～30 mH</t>
    <phoneticPr fontId="1"/>
  </si>
  <si>
    <t>1 nF～数十 nF</t>
    <phoneticPr fontId="1"/>
  </si>
  <si>
    <t>5×Cx 程度</t>
    <phoneticPr fontId="1"/>
  </si>
  <si>
    <t>10～30 mΩ/m（AWG16～18）</t>
    <phoneticPr fontId="1"/>
  </si>
  <si>
    <t>0.5～1.5 µH/m</t>
    <phoneticPr fontId="1"/>
  </si>
  <si>
    <t>30～100 pF/m</t>
    <phoneticPr fontId="1"/>
  </si>
  <si>
    <t>5～20 nH</t>
    <phoneticPr fontId="1"/>
  </si>
  <si>
    <t>10～50 mΩ</t>
    <phoneticPr fontId="1"/>
  </si>
  <si>
    <t>5～30 mΩ</t>
    <phoneticPr fontId="1"/>
  </si>
  <si>
    <t>3～15 nH</t>
    <phoneticPr fontId="1"/>
  </si>
  <si>
    <t>3～10 nH</t>
    <phoneticPr fontId="1"/>
  </si>
  <si>
    <t>数 mΩ ～ 数十 mΩ</t>
    <phoneticPr fontId="1"/>
  </si>
  <si>
    <t>0.98～0.999</t>
    <phoneticPr fontId="1"/>
  </si>
  <si>
    <t>10～100 mΩ</t>
    <phoneticPr fontId="1"/>
  </si>
  <si>
    <t>5～30 pF, 小さくすること</t>
    <rPh sb="9" eb="10">
      <t>チイ</t>
    </rPh>
    <phoneticPr fontId="1"/>
  </si>
  <si>
    <t>10～50 pF,小さくすること</t>
    <rPh sb="9" eb="10">
      <t>チイ</t>
    </rPh>
    <phoneticPr fontId="1"/>
  </si>
  <si>
    <t>数 mΩ</t>
    <phoneticPr fontId="1"/>
  </si>
  <si>
    <t>10～50 nH</t>
    <phoneticPr fontId="1"/>
  </si>
  <si>
    <t>CXと同じにした</t>
    <rPh sb="3" eb="4">
      <t>オナ</t>
    </rPh>
    <phoneticPr fontId="1"/>
  </si>
  <si>
    <t>200W程度を想定。</t>
    <rPh sb="4" eb="6">
      <t>テイド</t>
    </rPh>
    <rPh sb="7" eb="9">
      <t>ソウテイ</t>
    </rPh>
    <phoneticPr fontId="1"/>
  </si>
  <si>
    <t>減衰量</t>
    <rPh sb="0" eb="3">
      <t>ゲンスイリョウ</t>
    </rPh>
    <phoneticPr fontId="1"/>
  </si>
  <si>
    <t>目標40dB</t>
    <rPh sb="0" eb="2">
      <t>モクヒョウ</t>
    </rPh>
    <phoneticPr fontId="1"/>
  </si>
  <si>
    <t>問題ないか確認必要</t>
    <rPh sb="0" eb="2">
      <t>モンダイ</t>
    </rPh>
    <rPh sb="5" eb="7">
      <t>カクニン</t>
    </rPh>
    <rPh sb="7" eb="9">
      <t>ヒツヨウ</t>
    </rPh>
    <phoneticPr fontId="1"/>
  </si>
  <si>
    <t>R_DUMP_Z0</t>
    <phoneticPr fontId="1"/>
  </si>
  <si>
    <t>R_DUMP_OPT</t>
    <phoneticPr fontId="1"/>
  </si>
  <si>
    <t>C_DUMP</t>
    <phoneticPr fontId="1"/>
  </si>
  <si>
    <t>CX x C_DUMP倍率</t>
    <rPh sb="11" eb="13">
      <t>バイリツ</t>
    </rPh>
    <phoneticPr fontId="1"/>
  </si>
  <si>
    <t>C_DUMP倍率(n)</t>
    <rPh sb="6" eb="8">
      <t>バイリツ</t>
    </rPh>
    <phoneticPr fontId="1"/>
  </si>
  <si>
    <t>C_DUMP=2.2uFのとき、
n=4.6809</t>
    <phoneticPr fontId="1"/>
  </si>
  <si>
    <t>実際にはOPTとZ0の間の6.8Ω</t>
    <rPh sb="0" eb="2">
      <t>ジッサイ</t>
    </rPh>
    <rPh sb="11" eb="12">
      <t>アイダ</t>
    </rPh>
    <phoneticPr fontId="1"/>
  </si>
  <si>
    <t>Z0 x √((2+n)x(4+3n)/(2xn^2x(4+n)))</t>
    <phoneticPr fontId="1"/>
  </si>
  <si>
    <t>Eeickseonの
最適ダンピング設計式</t>
    <phoneticPr fontId="1"/>
  </si>
  <si>
    <t>1段等価
実用域は fsw/10 ～ fsw/3
fsw=125kHzなので、12.5～41.7kHz</t>
    <rPh sb="1" eb="2">
      <t>ダン</t>
    </rPh>
    <rPh sb="2" eb="4">
      <t>トウカ</t>
    </rPh>
    <phoneticPr fontId="1"/>
  </si>
  <si>
    <t>5～20 Ω、ダンピング設計式に近い値</t>
    <rPh sb="12" eb="15">
      <t>セッケイシキ</t>
    </rPh>
    <rPh sb="16" eb="17">
      <t>チカ</t>
    </rPh>
    <rPh sb="18" eb="19">
      <t>アタイ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</si>
</sst>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5" xfId="0" applyBorder="1">
      <alignment vertical="center"/>
    </xf>
    <xf numFmtId="0" fontId="0" fillId="3" borderId="5" xfId="0" applyFill="1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3" borderId="9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3" fillId="0" borderId="1" xfId="0" applyFont="1" applyBorder="1">
      <alignment vertical="center"/>
    </xf>
    <xf numFmtId="0" fontId="0" fillId="4" borderId="14" xfId="0" applyFill="1" applyBorder="1">
      <alignment vertic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5" borderId="1" xfId="0" applyFill="1" applyBorder="1">
      <alignment vertical="center"/>
    </xf>
    <xf numFmtId="0" fontId="0" fillId="5" borderId="9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C9EA-6FDA-475E-BF6E-A504EA1E7E98}">
  <dimension ref="A1:H55"/>
  <sheetViews>
    <sheetView tabSelected="1" topLeftCell="B7" zoomScale="80" zoomScaleNormal="80" workbookViewId="0">
      <selection activeCell="H33" sqref="H33"/>
    </sheetView>
  </sheetViews>
  <sheetFormatPr defaultRowHeight="18.75" x14ac:dyDescent="0.4"/>
  <cols>
    <col min="1" max="1" width="3.625" customWidth="1"/>
    <col min="2" max="2" width="3.875" style="1" bestFit="1" customWidth="1"/>
    <col min="3" max="3" width="18" bestFit="1" customWidth="1"/>
    <col min="4" max="4" width="36.75" bestFit="1" customWidth="1"/>
    <col min="5" max="5" width="15.625" bestFit="1" customWidth="1"/>
    <col min="6" max="6" width="5.625" bestFit="1" customWidth="1"/>
    <col min="7" max="7" width="14.25" bestFit="1" customWidth="1"/>
    <col min="8" max="8" width="35.625" bestFit="1" customWidth="1"/>
  </cols>
  <sheetData>
    <row r="1" spans="1:8" x14ac:dyDescent="0.4">
      <c r="A1" t="s">
        <v>0</v>
      </c>
    </row>
    <row r="3" spans="1:8" x14ac:dyDescent="0.4">
      <c r="B3" s="5" t="s">
        <v>1</v>
      </c>
      <c r="C3" s="6" t="s">
        <v>2</v>
      </c>
      <c r="D3" s="6" t="s">
        <v>29</v>
      </c>
      <c r="E3" s="6" t="s">
        <v>9</v>
      </c>
      <c r="F3" s="6" t="s">
        <v>7</v>
      </c>
      <c r="G3" s="6" t="s">
        <v>5</v>
      </c>
      <c r="H3" s="7" t="s">
        <v>86</v>
      </c>
    </row>
    <row r="4" spans="1:8" x14ac:dyDescent="0.4">
      <c r="B4" s="2">
        <v>1</v>
      </c>
      <c r="C4" s="3" t="s">
        <v>3</v>
      </c>
      <c r="D4" s="3" t="s">
        <v>6</v>
      </c>
      <c r="E4" s="3" t="s">
        <v>4</v>
      </c>
      <c r="F4" s="3" t="s">
        <v>8</v>
      </c>
      <c r="G4" s="3" t="s">
        <v>8</v>
      </c>
      <c r="H4" s="3" t="s">
        <v>8</v>
      </c>
    </row>
    <row r="5" spans="1:8" x14ac:dyDescent="0.4">
      <c r="B5" s="2">
        <v>2</v>
      </c>
      <c r="C5" s="26" t="s">
        <v>87</v>
      </c>
      <c r="D5" s="3" t="s">
        <v>32</v>
      </c>
      <c r="E5" s="3" t="s">
        <v>10</v>
      </c>
      <c r="F5" s="3" t="s">
        <v>20</v>
      </c>
      <c r="G5" s="3">
        <v>1</v>
      </c>
      <c r="H5" s="3" t="s">
        <v>123</v>
      </c>
    </row>
    <row r="6" spans="1:8" x14ac:dyDescent="0.4">
      <c r="B6" s="2">
        <v>3</v>
      </c>
      <c r="C6" s="27"/>
      <c r="D6" s="3" t="s">
        <v>33</v>
      </c>
      <c r="E6" s="3" t="s">
        <v>11</v>
      </c>
      <c r="F6" s="3" t="s">
        <v>23</v>
      </c>
      <c r="G6" s="3">
        <v>20</v>
      </c>
      <c r="H6" s="3" t="s">
        <v>122</v>
      </c>
    </row>
    <row r="7" spans="1:8" x14ac:dyDescent="0.4">
      <c r="B7" s="2">
        <v>4</v>
      </c>
      <c r="C7" s="27"/>
      <c r="D7" s="3" t="s">
        <v>30</v>
      </c>
      <c r="E7" s="3" t="s">
        <v>12</v>
      </c>
      <c r="F7" s="3" t="s">
        <v>24</v>
      </c>
      <c r="G7" s="3">
        <v>50</v>
      </c>
      <c r="H7" s="3" t="s">
        <v>124</v>
      </c>
    </row>
    <row r="8" spans="1:8" x14ac:dyDescent="0.4">
      <c r="B8" s="2">
        <v>5</v>
      </c>
      <c r="C8" s="27" t="s">
        <v>13</v>
      </c>
      <c r="D8" s="3" t="s">
        <v>31</v>
      </c>
      <c r="E8" s="3" t="s">
        <v>14</v>
      </c>
      <c r="F8" s="3" t="s">
        <v>25</v>
      </c>
      <c r="G8" s="3">
        <v>10</v>
      </c>
      <c r="H8" s="3"/>
    </row>
    <row r="9" spans="1:8" x14ac:dyDescent="0.4">
      <c r="B9" s="2">
        <v>6</v>
      </c>
      <c r="C9" s="27"/>
      <c r="D9" s="3" t="s">
        <v>34</v>
      </c>
      <c r="E9" s="3" t="s">
        <v>15</v>
      </c>
      <c r="F9" s="3" t="s">
        <v>27</v>
      </c>
      <c r="G9" s="3">
        <v>10</v>
      </c>
      <c r="H9" s="3" t="s">
        <v>125</v>
      </c>
    </row>
    <row r="10" spans="1:8" x14ac:dyDescent="0.4">
      <c r="B10" s="2">
        <v>7</v>
      </c>
      <c r="C10" s="27"/>
      <c r="D10" s="3" t="s">
        <v>35</v>
      </c>
      <c r="E10" s="3" t="s">
        <v>16</v>
      </c>
      <c r="F10" s="3" t="s">
        <v>23</v>
      </c>
      <c r="G10" s="3">
        <v>20</v>
      </c>
      <c r="H10" s="3" t="s">
        <v>126</v>
      </c>
    </row>
    <row r="11" spans="1:8" x14ac:dyDescent="0.4">
      <c r="B11" s="2">
        <v>8</v>
      </c>
      <c r="C11" s="26" t="s">
        <v>88</v>
      </c>
      <c r="D11" s="3" t="s">
        <v>32</v>
      </c>
      <c r="E11" s="3" t="s">
        <v>17</v>
      </c>
      <c r="F11" s="3" t="s">
        <v>20</v>
      </c>
      <c r="G11" s="3">
        <v>1</v>
      </c>
      <c r="H11" s="3" t="s">
        <v>123</v>
      </c>
    </row>
    <row r="12" spans="1:8" x14ac:dyDescent="0.4">
      <c r="B12" s="2">
        <v>9</v>
      </c>
      <c r="C12" s="27"/>
      <c r="D12" s="3" t="s">
        <v>33</v>
      </c>
      <c r="E12" s="3" t="s">
        <v>18</v>
      </c>
      <c r="F12" s="3" t="s">
        <v>23</v>
      </c>
      <c r="G12" s="3">
        <v>20</v>
      </c>
      <c r="H12" s="3" t="s">
        <v>122</v>
      </c>
    </row>
    <row r="13" spans="1:8" ht="19.5" thickBot="1" x14ac:dyDescent="0.45">
      <c r="B13" s="2">
        <v>10</v>
      </c>
      <c r="C13" s="27"/>
      <c r="D13" s="10" t="s">
        <v>30</v>
      </c>
      <c r="E13" s="10" t="s">
        <v>19</v>
      </c>
      <c r="F13" s="10" t="s">
        <v>24</v>
      </c>
      <c r="G13" s="11">
        <v>50</v>
      </c>
      <c r="H13" s="10" t="s">
        <v>124</v>
      </c>
    </row>
    <row r="14" spans="1:8" x14ac:dyDescent="0.4">
      <c r="B14" s="2">
        <v>11</v>
      </c>
      <c r="C14" s="28" t="s">
        <v>28</v>
      </c>
      <c r="D14" s="13" t="s">
        <v>39</v>
      </c>
      <c r="E14" s="14" t="s">
        <v>42</v>
      </c>
      <c r="F14" s="14" t="s">
        <v>20</v>
      </c>
      <c r="G14" s="15">
        <v>47</v>
      </c>
      <c r="H14" s="16" t="s">
        <v>117</v>
      </c>
    </row>
    <row r="15" spans="1:8" x14ac:dyDescent="0.4">
      <c r="B15" s="2">
        <v>12</v>
      </c>
      <c r="C15" s="28"/>
      <c r="D15" s="17" t="s">
        <v>40</v>
      </c>
      <c r="E15" s="3" t="s">
        <v>45</v>
      </c>
      <c r="F15" s="3" t="s">
        <v>23</v>
      </c>
      <c r="G15" s="3">
        <v>20</v>
      </c>
      <c r="H15" s="18" t="s">
        <v>130</v>
      </c>
    </row>
    <row r="16" spans="1:8" ht="19.5" thickBot="1" x14ac:dyDescent="0.45">
      <c r="B16" s="2">
        <v>13</v>
      </c>
      <c r="C16" s="28"/>
      <c r="D16" s="19" t="s">
        <v>41</v>
      </c>
      <c r="E16" s="20" t="s">
        <v>44</v>
      </c>
      <c r="F16" s="20" t="s">
        <v>24</v>
      </c>
      <c r="G16" s="20">
        <v>5</v>
      </c>
      <c r="H16" s="21" t="s">
        <v>133</v>
      </c>
    </row>
    <row r="17" spans="2:8" x14ac:dyDescent="0.4">
      <c r="B17" s="2">
        <v>14</v>
      </c>
      <c r="C17" s="28"/>
      <c r="D17" s="13" t="s">
        <v>46</v>
      </c>
      <c r="E17" s="14" t="s">
        <v>36</v>
      </c>
      <c r="F17" s="14" t="s">
        <v>25</v>
      </c>
      <c r="G17" s="15">
        <v>0.47</v>
      </c>
      <c r="H17" s="16" t="s">
        <v>118</v>
      </c>
    </row>
    <row r="18" spans="2:8" x14ac:dyDescent="0.4">
      <c r="B18" s="2">
        <v>15</v>
      </c>
      <c r="C18" s="28"/>
      <c r="D18" s="17" t="s">
        <v>47</v>
      </c>
      <c r="E18" s="3" t="s">
        <v>37</v>
      </c>
      <c r="F18" s="3" t="s">
        <v>27</v>
      </c>
      <c r="G18" s="3">
        <v>10</v>
      </c>
      <c r="H18" s="18" t="s">
        <v>128</v>
      </c>
    </row>
    <row r="19" spans="2:8" ht="19.5" thickBot="1" x14ac:dyDescent="0.45">
      <c r="B19" s="2">
        <v>16</v>
      </c>
      <c r="C19" s="28"/>
      <c r="D19" s="19" t="s">
        <v>48</v>
      </c>
      <c r="E19" s="20" t="s">
        <v>38</v>
      </c>
      <c r="F19" s="20" t="s">
        <v>23</v>
      </c>
      <c r="G19" s="20">
        <v>20</v>
      </c>
      <c r="H19" s="21" t="s">
        <v>127</v>
      </c>
    </row>
    <row r="20" spans="2:8" x14ac:dyDescent="0.4">
      <c r="B20" s="2">
        <v>17</v>
      </c>
      <c r="C20" s="28"/>
      <c r="D20" s="13" t="s">
        <v>60</v>
      </c>
      <c r="E20" s="14" t="s">
        <v>64</v>
      </c>
      <c r="F20" s="14" t="s">
        <v>25</v>
      </c>
      <c r="G20" s="30">
        <f>G53</f>
        <v>2.2000000000000002</v>
      </c>
      <c r="H20" s="16" t="s">
        <v>121</v>
      </c>
    </row>
    <row r="21" spans="2:8" x14ac:dyDescent="0.4">
      <c r="B21" s="2">
        <v>18</v>
      </c>
      <c r="C21" s="28"/>
      <c r="D21" s="17" t="s">
        <v>61</v>
      </c>
      <c r="E21" s="3" t="s">
        <v>66</v>
      </c>
      <c r="F21" s="3" t="s">
        <v>27</v>
      </c>
      <c r="G21" s="3">
        <v>10</v>
      </c>
      <c r="H21" s="18" t="s">
        <v>137</v>
      </c>
    </row>
    <row r="22" spans="2:8" x14ac:dyDescent="0.4">
      <c r="B22" s="2">
        <v>19</v>
      </c>
      <c r="C22" s="28"/>
      <c r="D22" s="17" t="s">
        <v>62</v>
      </c>
      <c r="E22" s="3" t="s">
        <v>65</v>
      </c>
      <c r="F22" s="3" t="s">
        <v>23</v>
      </c>
      <c r="G22" s="3">
        <v>20</v>
      </c>
      <c r="H22" s="18" t="s">
        <v>137</v>
      </c>
    </row>
    <row r="23" spans="2:8" ht="19.5" thickBot="1" x14ac:dyDescent="0.45">
      <c r="B23" s="2">
        <v>20</v>
      </c>
      <c r="C23" s="28"/>
      <c r="D23" s="19" t="s">
        <v>63</v>
      </c>
      <c r="E23" s="20" t="s">
        <v>67</v>
      </c>
      <c r="F23" s="20" t="s">
        <v>21</v>
      </c>
      <c r="G23" s="23">
        <v>8.1999999999999993</v>
      </c>
      <c r="H23" s="21" t="s">
        <v>152</v>
      </c>
    </row>
    <row r="24" spans="2:8" x14ac:dyDescent="0.4">
      <c r="B24" s="2">
        <v>21</v>
      </c>
      <c r="C24" s="28"/>
      <c r="D24" s="13" t="s">
        <v>49</v>
      </c>
      <c r="E24" s="14" t="s">
        <v>55</v>
      </c>
      <c r="F24" s="14" t="s">
        <v>20</v>
      </c>
      <c r="G24" s="15">
        <v>47</v>
      </c>
      <c r="H24" s="16" t="s">
        <v>117</v>
      </c>
    </row>
    <row r="25" spans="2:8" x14ac:dyDescent="0.4">
      <c r="B25" s="2">
        <v>22</v>
      </c>
      <c r="C25" s="28"/>
      <c r="D25" s="17" t="s">
        <v>50</v>
      </c>
      <c r="E25" s="3" t="s">
        <v>43</v>
      </c>
      <c r="F25" s="3" t="s">
        <v>23</v>
      </c>
      <c r="G25" s="3">
        <v>20</v>
      </c>
      <c r="H25" s="18" t="s">
        <v>130</v>
      </c>
    </row>
    <row r="26" spans="2:8" ht="19.5" thickBot="1" x14ac:dyDescent="0.45">
      <c r="B26" s="2">
        <v>23</v>
      </c>
      <c r="C26" s="28"/>
      <c r="D26" s="19" t="s">
        <v>51</v>
      </c>
      <c r="E26" s="20" t="s">
        <v>56</v>
      </c>
      <c r="F26" s="20" t="s">
        <v>24</v>
      </c>
      <c r="G26" s="20">
        <v>5</v>
      </c>
      <c r="H26" s="21" t="s">
        <v>133</v>
      </c>
    </row>
    <row r="27" spans="2:8" x14ac:dyDescent="0.4">
      <c r="B27" s="2">
        <v>24</v>
      </c>
      <c r="C27" s="28"/>
      <c r="D27" s="13" t="s">
        <v>52</v>
      </c>
      <c r="E27" s="14" t="s">
        <v>57</v>
      </c>
      <c r="F27" s="14" t="s">
        <v>25</v>
      </c>
      <c r="G27" s="15">
        <v>0.47</v>
      </c>
      <c r="H27" s="16" t="s">
        <v>118</v>
      </c>
    </row>
    <row r="28" spans="2:8" x14ac:dyDescent="0.4">
      <c r="B28" s="2">
        <v>25</v>
      </c>
      <c r="C28" s="28"/>
      <c r="D28" s="17" t="s">
        <v>53</v>
      </c>
      <c r="E28" s="3" t="s">
        <v>58</v>
      </c>
      <c r="F28" s="3" t="s">
        <v>27</v>
      </c>
      <c r="G28" s="3">
        <v>10</v>
      </c>
      <c r="H28" s="18" t="s">
        <v>128</v>
      </c>
    </row>
    <row r="29" spans="2:8" ht="19.5" thickBot="1" x14ac:dyDescent="0.45">
      <c r="B29" s="2">
        <v>26</v>
      </c>
      <c r="C29" s="28"/>
      <c r="D29" s="19" t="s">
        <v>54</v>
      </c>
      <c r="E29" s="20" t="s">
        <v>59</v>
      </c>
      <c r="F29" s="20" t="s">
        <v>23</v>
      </c>
      <c r="G29" s="20">
        <v>20</v>
      </c>
      <c r="H29" s="21" t="s">
        <v>127</v>
      </c>
    </row>
    <row r="30" spans="2:8" x14ac:dyDescent="0.4">
      <c r="B30" s="2">
        <v>27</v>
      </c>
      <c r="C30" s="28"/>
      <c r="D30" s="13" t="s">
        <v>60</v>
      </c>
      <c r="E30" s="14" t="s">
        <v>64</v>
      </c>
      <c r="F30" s="14" t="s">
        <v>25</v>
      </c>
      <c r="G30" s="30">
        <f>G53</f>
        <v>2.2000000000000002</v>
      </c>
      <c r="H30" s="16" t="s">
        <v>121</v>
      </c>
    </row>
    <row r="31" spans="2:8" x14ac:dyDescent="0.4">
      <c r="B31" s="2">
        <v>28</v>
      </c>
      <c r="C31" s="28"/>
      <c r="D31" s="17" t="s">
        <v>61</v>
      </c>
      <c r="E31" s="3" t="s">
        <v>66</v>
      </c>
      <c r="F31" s="3" t="s">
        <v>27</v>
      </c>
      <c r="G31" s="3">
        <v>10</v>
      </c>
      <c r="H31" s="18" t="s">
        <v>137</v>
      </c>
    </row>
    <row r="32" spans="2:8" x14ac:dyDescent="0.4">
      <c r="B32" s="2">
        <v>29</v>
      </c>
      <c r="C32" s="28"/>
      <c r="D32" s="17" t="s">
        <v>62</v>
      </c>
      <c r="E32" s="3" t="s">
        <v>65</v>
      </c>
      <c r="F32" s="3" t="s">
        <v>23</v>
      </c>
      <c r="G32" s="3">
        <v>20</v>
      </c>
      <c r="H32" s="18" t="s">
        <v>137</v>
      </c>
    </row>
    <row r="33" spans="2:8" ht="19.5" thickBot="1" x14ac:dyDescent="0.45">
      <c r="B33" s="2">
        <v>30</v>
      </c>
      <c r="C33" s="28"/>
      <c r="D33" s="19" t="s">
        <v>63</v>
      </c>
      <c r="E33" s="20" t="s">
        <v>67</v>
      </c>
      <c r="F33" s="20" t="s">
        <v>21</v>
      </c>
      <c r="G33" s="23">
        <v>8.1999999999999993</v>
      </c>
      <c r="H33" s="21" t="s">
        <v>152</v>
      </c>
    </row>
    <row r="34" spans="2:8" x14ac:dyDescent="0.4">
      <c r="B34" s="2">
        <v>31</v>
      </c>
      <c r="C34" s="28"/>
      <c r="D34" s="13" t="s">
        <v>68</v>
      </c>
      <c r="E34" s="14" t="s">
        <v>72</v>
      </c>
      <c r="F34" s="14" t="s">
        <v>76</v>
      </c>
      <c r="G34" s="15">
        <v>3</v>
      </c>
      <c r="H34" s="16" t="s">
        <v>119</v>
      </c>
    </row>
    <row r="35" spans="2:8" x14ac:dyDescent="0.4">
      <c r="B35" s="2">
        <v>32</v>
      </c>
      <c r="C35" s="28"/>
      <c r="D35" s="17" t="s">
        <v>69</v>
      </c>
      <c r="E35" s="3" t="s">
        <v>73</v>
      </c>
      <c r="F35" s="3" t="s">
        <v>23</v>
      </c>
      <c r="G35" s="3">
        <v>50</v>
      </c>
      <c r="H35" s="18" t="s">
        <v>132</v>
      </c>
    </row>
    <row r="36" spans="2:8" x14ac:dyDescent="0.4">
      <c r="B36" s="2">
        <v>33</v>
      </c>
      <c r="C36" s="28"/>
      <c r="D36" s="17" t="s">
        <v>70</v>
      </c>
      <c r="E36" s="3" t="s">
        <v>74</v>
      </c>
      <c r="F36" s="3" t="s">
        <v>24</v>
      </c>
      <c r="G36" s="3">
        <v>10</v>
      </c>
      <c r="H36" s="18" t="s">
        <v>134</v>
      </c>
    </row>
    <row r="37" spans="2:8" ht="19.5" thickBot="1" x14ac:dyDescent="0.45">
      <c r="B37" s="2">
        <v>34</v>
      </c>
      <c r="C37" s="28"/>
      <c r="D37" s="19" t="s">
        <v>71</v>
      </c>
      <c r="E37" s="20" t="s">
        <v>75</v>
      </c>
      <c r="F37" s="20" t="s">
        <v>8</v>
      </c>
      <c r="G37" s="20">
        <v>0.999</v>
      </c>
      <c r="H37" s="21" t="s">
        <v>131</v>
      </c>
    </row>
    <row r="38" spans="2:8" x14ac:dyDescent="0.4">
      <c r="B38" s="2">
        <v>35</v>
      </c>
      <c r="C38" s="28"/>
      <c r="D38" s="13" t="s">
        <v>77</v>
      </c>
      <c r="E38" s="14" t="s">
        <v>80</v>
      </c>
      <c r="F38" s="14" t="s">
        <v>108</v>
      </c>
      <c r="G38" s="15">
        <v>2.2000000000000002</v>
      </c>
      <c r="H38" s="16" t="s">
        <v>120</v>
      </c>
    </row>
    <row r="39" spans="2:8" x14ac:dyDescent="0.4">
      <c r="B39" s="2">
        <v>36</v>
      </c>
      <c r="C39" s="28"/>
      <c r="D39" s="17" t="s">
        <v>78</v>
      </c>
      <c r="E39" s="3" t="s">
        <v>81</v>
      </c>
      <c r="F39" s="3" t="s">
        <v>26</v>
      </c>
      <c r="G39" s="3">
        <v>10</v>
      </c>
      <c r="H39" s="18" t="s">
        <v>129</v>
      </c>
    </row>
    <row r="40" spans="2:8" ht="19.5" thickBot="1" x14ac:dyDescent="0.45">
      <c r="B40" s="2">
        <v>37</v>
      </c>
      <c r="C40" s="28"/>
      <c r="D40" s="19" t="s">
        <v>79</v>
      </c>
      <c r="E40" s="20" t="s">
        <v>82</v>
      </c>
      <c r="F40" s="20" t="s">
        <v>22</v>
      </c>
      <c r="G40" s="20">
        <v>20</v>
      </c>
      <c r="H40" s="21" t="s">
        <v>126</v>
      </c>
    </row>
    <row r="41" spans="2:8" x14ac:dyDescent="0.4">
      <c r="B41" s="2">
        <v>38</v>
      </c>
      <c r="C41" s="24" t="s">
        <v>89</v>
      </c>
      <c r="D41" s="12" t="s">
        <v>90</v>
      </c>
      <c r="E41" s="12" t="s">
        <v>92</v>
      </c>
      <c r="F41" s="12" t="s">
        <v>23</v>
      </c>
      <c r="G41" s="12">
        <v>5</v>
      </c>
      <c r="H41" s="12" t="s">
        <v>135</v>
      </c>
    </row>
    <row r="42" spans="2:8" x14ac:dyDescent="0.4">
      <c r="B42" s="2">
        <v>39</v>
      </c>
      <c r="C42" s="25"/>
      <c r="D42" s="3" t="s">
        <v>91</v>
      </c>
      <c r="E42" s="3" t="s">
        <v>93</v>
      </c>
      <c r="F42" s="3" t="s">
        <v>27</v>
      </c>
      <c r="G42" s="3">
        <v>10</v>
      </c>
      <c r="H42" s="3" t="s">
        <v>136</v>
      </c>
    </row>
    <row r="43" spans="2:8" x14ac:dyDescent="0.4">
      <c r="B43" s="2">
        <v>40</v>
      </c>
      <c r="C43" s="3" t="s">
        <v>84</v>
      </c>
      <c r="D43" s="3" t="s">
        <v>85</v>
      </c>
      <c r="E43" s="3" t="s">
        <v>83</v>
      </c>
      <c r="F43" s="3" t="s">
        <v>21</v>
      </c>
      <c r="G43" s="3">
        <v>100</v>
      </c>
      <c r="H43" s="3" t="s">
        <v>138</v>
      </c>
    </row>
    <row r="45" spans="2:8" x14ac:dyDescent="0.4">
      <c r="B45" s="2">
        <v>1</v>
      </c>
      <c r="C45" s="3" t="s">
        <v>94</v>
      </c>
      <c r="D45" s="3" t="s">
        <v>95</v>
      </c>
      <c r="E45" s="3" t="s">
        <v>8</v>
      </c>
      <c r="F45" s="3" t="s">
        <v>8</v>
      </c>
      <c r="G45" s="3" t="s">
        <v>8</v>
      </c>
      <c r="H45" s="3" t="s">
        <v>8</v>
      </c>
    </row>
    <row r="46" spans="2:8" ht="56.25" x14ac:dyDescent="0.4">
      <c r="B46" s="2">
        <v>2</v>
      </c>
      <c r="C46" s="9" t="s">
        <v>105</v>
      </c>
      <c r="D46" s="9" t="s">
        <v>102</v>
      </c>
      <c r="E46" s="3" t="s">
        <v>8</v>
      </c>
      <c r="F46" s="3" t="s">
        <v>96</v>
      </c>
      <c r="G46" s="3">
        <f>1/(2*PI()*SQRT(4*G14*2*G17))*10^6*10^-3</f>
        <v>11.97229143825939</v>
      </c>
      <c r="H46" s="8" t="s">
        <v>151</v>
      </c>
    </row>
    <row r="47" spans="2:8" x14ac:dyDescent="0.4">
      <c r="B47" s="2">
        <v>3</v>
      </c>
      <c r="C47" s="24" t="s">
        <v>139</v>
      </c>
      <c r="D47" s="3" t="s">
        <v>103</v>
      </c>
      <c r="E47" s="3" t="s">
        <v>8</v>
      </c>
      <c r="F47" s="3" t="s">
        <v>97</v>
      </c>
      <c r="G47" s="3">
        <f>40*LOG10(125/G46)</f>
        <v>40.749309311914431</v>
      </c>
      <c r="H47" s="3" t="s">
        <v>98</v>
      </c>
    </row>
    <row r="48" spans="2:8" x14ac:dyDescent="0.4">
      <c r="B48" s="2">
        <v>4</v>
      </c>
      <c r="C48" s="25"/>
      <c r="D48" s="3" t="s">
        <v>99</v>
      </c>
      <c r="E48" s="3" t="s">
        <v>8</v>
      </c>
      <c r="F48" s="3" t="s">
        <v>97</v>
      </c>
      <c r="G48" s="3">
        <f>G47*2</f>
        <v>81.498618623828861</v>
      </c>
      <c r="H48" s="3" t="s">
        <v>140</v>
      </c>
    </row>
    <row r="49" spans="2:8" x14ac:dyDescent="0.4">
      <c r="B49" s="2">
        <v>5</v>
      </c>
      <c r="C49" s="3" t="s">
        <v>101</v>
      </c>
      <c r="D49" s="3" t="s">
        <v>104</v>
      </c>
      <c r="E49" s="3" t="s">
        <v>8</v>
      </c>
      <c r="F49" s="3" t="s">
        <v>100</v>
      </c>
      <c r="G49" s="3">
        <f>2*PI()*400*115*2*G17*10^-6</f>
        <v>0.27168493268244531</v>
      </c>
      <c r="H49" s="3" t="s">
        <v>141</v>
      </c>
    </row>
    <row r="50" spans="2:8" x14ac:dyDescent="0.4">
      <c r="B50" s="2">
        <v>6</v>
      </c>
      <c r="C50" s="3" t="s">
        <v>106</v>
      </c>
      <c r="D50" s="3" t="s">
        <v>107</v>
      </c>
      <c r="E50" s="3" t="s">
        <v>8</v>
      </c>
      <c r="F50" s="3" t="s">
        <v>96</v>
      </c>
      <c r="G50" s="3">
        <f>1/(2*PI()*SQRT(4*G34*2*G38))*10^6*10^-3</f>
        <v>21.902978173115592</v>
      </c>
      <c r="H50" s="3" t="s">
        <v>113</v>
      </c>
    </row>
    <row r="51" spans="2:8" x14ac:dyDescent="0.4">
      <c r="B51" s="2">
        <v>7</v>
      </c>
      <c r="C51" s="3" t="s">
        <v>109</v>
      </c>
      <c r="D51" s="3" t="s">
        <v>110</v>
      </c>
      <c r="E51" s="3" t="s">
        <v>8</v>
      </c>
      <c r="F51" s="3" t="s">
        <v>111</v>
      </c>
      <c r="G51" s="3">
        <f>2*PI()*400*115*2*G38*10^-9*10^3</f>
        <v>1.2717167061731487</v>
      </c>
      <c r="H51" s="3" t="s">
        <v>112</v>
      </c>
    </row>
    <row r="52" spans="2:8" ht="37.5" x14ac:dyDescent="0.4">
      <c r="B52" s="2">
        <v>8</v>
      </c>
      <c r="C52" s="8" t="s">
        <v>146</v>
      </c>
      <c r="D52" s="8" t="s">
        <v>114</v>
      </c>
      <c r="E52" s="3" t="s">
        <v>8</v>
      </c>
      <c r="F52" s="3" t="s">
        <v>8</v>
      </c>
      <c r="G52" s="3">
        <f>G53/G17</f>
        <v>4.6808510638297882</v>
      </c>
      <c r="H52" s="8" t="s">
        <v>147</v>
      </c>
    </row>
    <row r="53" spans="2:8" x14ac:dyDescent="0.4">
      <c r="B53" s="2">
        <v>9</v>
      </c>
      <c r="C53" s="8" t="s">
        <v>144</v>
      </c>
      <c r="D53" s="8" t="s">
        <v>145</v>
      </c>
      <c r="E53" s="3" t="s">
        <v>8</v>
      </c>
      <c r="F53" s="3" t="s">
        <v>25</v>
      </c>
      <c r="G53" s="29">
        <v>2.2000000000000002</v>
      </c>
      <c r="H53" s="3" t="s">
        <v>116</v>
      </c>
    </row>
    <row r="54" spans="2:8" ht="37.5" x14ac:dyDescent="0.4">
      <c r="B54" s="2">
        <v>10</v>
      </c>
      <c r="C54" s="4" t="s">
        <v>142</v>
      </c>
      <c r="D54" s="8" t="s">
        <v>115</v>
      </c>
      <c r="E54" s="3" t="s">
        <v>8</v>
      </c>
      <c r="F54" s="3" t="s">
        <v>21</v>
      </c>
      <c r="G54" s="3">
        <f>SQRT(2*G14/G17)</f>
        <v>14.142135623730951</v>
      </c>
      <c r="H54" s="22" t="s">
        <v>148</v>
      </c>
    </row>
    <row r="55" spans="2:8" ht="37.5" x14ac:dyDescent="0.4">
      <c r="B55" s="2">
        <v>11</v>
      </c>
      <c r="C55" s="3" t="s">
        <v>143</v>
      </c>
      <c r="D55" s="3" t="s">
        <v>149</v>
      </c>
      <c r="E55" s="3" t="s">
        <v>8</v>
      </c>
      <c r="F55" s="3" t="s">
        <v>21</v>
      </c>
      <c r="G55" s="3">
        <f>G54*SQRT((2+G52)*(4+3*G52)/(2*G52^2*(4+G52)))</f>
        <v>7.9608403918156574</v>
      </c>
      <c r="H55" s="8" t="s">
        <v>150</v>
      </c>
    </row>
  </sheetData>
  <mergeCells count="6">
    <mergeCell ref="C47:C48"/>
    <mergeCell ref="C5:C7"/>
    <mergeCell ref="C8:C10"/>
    <mergeCell ref="C11:C13"/>
    <mergeCell ref="C14:C40"/>
    <mergeCell ref="C41:C4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一裕 向井</dc:creator>
  <cp:lastModifiedBy>一裕 向井</cp:lastModifiedBy>
  <dcterms:created xsi:type="dcterms:W3CDTF">2026-04-29T07:02:07Z</dcterms:created>
  <dcterms:modified xsi:type="dcterms:W3CDTF">2026-04-30T14:50:33Z</dcterms:modified>
</cp:coreProperties>
</file>