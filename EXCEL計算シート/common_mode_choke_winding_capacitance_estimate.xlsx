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08h\Documents\"/>
    </mc:Choice>
  </mc:AlternateContent>
  <xr:revisionPtr revIDLastSave="0" documentId="13_ncr:1_{A88DA01E-56A8-41A6-B0BD-9BEA3B9E7040}" xr6:coauthVersionLast="47" xr6:coauthVersionMax="47" xr10:uidLastSave="{00000000-0000-0000-0000-000000000000}"/>
  <bookViews>
    <workbookView xWindow="1770" yWindow="375" windowWidth="27105" windowHeight="11250" xr2:uid="{00000000-000D-0000-FFFF-FFFF00000000}"/>
  </bookViews>
  <sheets>
    <sheet name="概要" sheetId="1" r:id="rId1"/>
    <sheet name="入力・計算" sheetId="2" r:id="rId2"/>
    <sheet name="ペア別容量" sheetId="3" r:id="rId3"/>
    <sheet name="SRF感度" sheetId="4" r:id="rId4"/>
    <sheet name="出典・メ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D10" i="4" s="1"/>
  <c r="B10" i="4"/>
  <c r="E10" i="4" s="1"/>
  <c r="E9" i="4"/>
  <c r="C9" i="4"/>
  <c r="D9" i="4" s="1"/>
  <c r="E8" i="4"/>
  <c r="C8" i="4"/>
  <c r="D8" i="4" s="1"/>
  <c r="E7" i="4"/>
  <c r="C7" i="4"/>
  <c r="D7" i="4" s="1"/>
  <c r="E6" i="4"/>
  <c r="C6" i="4"/>
  <c r="D6" i="4" s="1"/>
  <c r="C5" i="4"/>
  <c r="C4" i="4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F17" i="3"/>
  <c r="E17" i="3"/>
  <c r="C17" i="3"/>
  <c r="F16" i="3"/>
  <c r="E16" i="3"/>
  <c r="C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C9" i="3"/>
  <c r="F8" i="3"/>
  <c r="E8" i="3"/>
  <c r="C8" i="3"/>
  <c r="F7" i="3"/>
  <c r="E7" i="3"/>
  <c r="F6" i="3"/>
  <c r="E6" i="3"/>
  <c r="F5" i="3"/>
  <c r="E5" i="3"/>
  <c r="F4" i="3"/>
  <c r="E4" i="3"/>
  <c r="B32" i="2"/>
  <c r="B30" i="2"/>
  <c r="B26" i="2"/>
  <c r="B24" i="2"/>
  <c r="C10" i="3" s="1"/>
  <c r="B22" i="2"/>
  <c r="B23" i="2" s="1"/>
  <c r="B21" i="2"/>
  <c r="B6" i="1"/>
  <c r="B4" i="1"/>
  <c r="B13" i="3" l="1"/>
  <c r="B10" i="3"/>
  <c r="D10" i="3" s="1"/>
  <c r="G10" i="3" s="1"/>
  <c r="B8" i="1"/>
  <c r="B15" i="3"/>
  <c r="B7" i="3"/>
  <c r="B4" i="3"/>
  <c r="B12" i="3"/>
  <c r="D12" i="3" s="1"/>
  <c r="G12" i="3" s="1"/>
  <c r="B17" i="3"/>
  <c r="B9" i="3"/>
  <c r="D9" i="3" s="1"/>
  <c r="G9" i="3" s="1"/>
  <c r="B14" i="3"/>
  <c r="B6" i="3"/>
  <c r="B25" i="2"/>
  <c r="B11" i="3"/>
  <c r="D11" i="3" s="1"/>
  <c r="G11" i="3" s="1"/>
  <c r="B16" i="3"/>
  <c r="D16" i="3" s="1"/>
  <c r="G16" i="3" s="1"/>
  <c r="B8" i="3"/>
  <c r="D8" i="3" s="1"/>
  <c r="G8" i="3" s="1"/>
  <c r="B5" i="3"/>
  <c r="D5" i="3" s="1"/>
  <c r="G5" i="3" s="1"/>
  <c r="C5" i="3"/>
  <c r="C13" i="3"/>
  <c r="D13" i="3"/>
  <c r="G13" i="3" s="1"/>
  <c r="C11" i="3"/>
  <c r="C6" i="3"/>
  <c r="C14" i="3"/>
  <c r="D6" i="3"/>
  <c r="G6" i="3" s="1"/>
  <c r="D14" i="3"/>
  <c r="G14" i="3" s="1"/>
  <c r="D17" i="3"/>
  <c r="G17" i="3" s="1"/>
  <c r="B7" i="1"/>
  <c r="C4" i="3"/>
  <c r="C12" i="3"/>
  <c r="C7" i="3"/>
  <c r="C15" i="3"/>
  <c r="D15" i="3"/>
  <c r="G15" i="3" s="1"/>
  <c r="D7" i="3"/>
  <c r="G7" i="3" s="1"/>
  <c r="D4" i="3"/>
  <c r="G4" i="3" s="1"/>
  <c r="G34" i="3" l="1"/>
  <c r="B28" i="2"/>
  <c r="B9" i="1" l="1"/>
  <c r="B4" i="4"/>
  <c r="B29" i="2"/>
  <c r="B10" i="1" l="1"/>
  <c r="B5" i="4"/>
  <c r="B31" i="2"/>
  <c r="E4" i="4"/>
  <c r="D4" i="4"/>
  <c r="E5" i="4" l="1"/>
  <c r="D5" i="4"/>
</calcChain>
</file>

<file path=xl/sharedStrings.xml><?xml version="1.0" encoding="utf-8"?>
<sst xmlns="http://schemas.openxmlformats.org/spreadsheetml/2006/main" count="198" uniqueCount="157">
  <si>
    <t>コモンモードチョーク 巻線容量 見積もり計算</t>
  </si>
  <si>
    <t>項目</t>
  </si>
  <si>
    <t>値</t>
  </si>
  <si>
    <t>判定メモ</t>
  </si>
  <si>
    <t>コア型番</t>
  </si>
  <si>
    <t>HOT半周15ターン / RTN半周15ターン</t>
  </si>
  <si>
    <t>導体径</t>
  </si>
  <si>
    <t>線間容量9 pFは、HOT巻線とRTN巻線の端部・引き回し・測定治具を含む値としては妥当な範囲と見ています。</t>
  </si>
  <si>
    <t>エナメル込み外径</t>
  </si>
  <si>
    <t>隣接ターン中心ピッチ</t>
  </si>
  <si>
    <t>使い方</t>
  </si>
  <si>
    <t>巻線間のみの等価自己容量</t>
  </si>
  <si>
    <t>黄色セルを実機条件に合わせて変更してください。ペア別容量シートとSRF感度シートは自動更新されます。</t>
  </si>
  <si>
    <t>リード・端部込み推奨値</t>
  </si>
  <si>
    <t>推奨LTspice感度確認</t>
  </si>
  <si>
    <t>10 pF / 22 pF / 47 pF</t>
  </si>
  <si>
    <t>入力条件と見積もり計算</t>
  </si>
  <si>
    <t>入力項目</t>
  </si>
  <si>
    <t>単位</t>
  </si>
  <si>
    <t>説明</t>
  </si>
  <si>
    <t>編集</t>
  </si>
  <si>
    <t>E04RM251512</t>
  </si>
  <si>
    <t>-</t>
  </si>
  <si>
    <t>星和電機 RMタイプ。寸法は出典シート参照。</t>
  </si>
  <si>
    <t>固定/任意</t>
  </si>
  <si>
    <t>コア外径 A</t>
  </si>
  <si>
    <t>mm</t>
  </si>
  <si>
    <t>外径</t>
  </si>
  <si>
    <t>入力</t>
  </si>
  <si>
    <t>コア内径 B</t>
  </si>
  <si>
    <t>内径</t>
  </si>
  <si>
    <t>コア厚さ C</t>
  </si>
  <si>
    <t>高さ/厚さ</t>
  </si>
  <si>
    <t>片側巻数 N</t>
  </si>
  <si>
    <t>turn</t>
  </si>
  <si>
    <t>HOT側またはRTN側の巻数</t>
  </si>
  <si>
    <t>片側が占める周方向割合</t>
  </si>
  <si>
    <t>半周巻きなら0.5</t>
  </si>
  <si>
    <t>銅線の導体径</t>
  </si>
  <si>
    <t>エナメル片側厚さ</t>
  </si>
  <si>
    <t>不明時の初期値。外径=D+2t</t>
  </si>
  <si>
    <t>実効比誘電率 εr_eff</t>
  </si>
  <si>
    <t>空気主体なら1.2〜2.0程度を感度確認</t>
  </si>
  <si>
    <t>低周波測定インダクタンス</t>
  </si>
  <si>
    <t>mH</t>
  </si>
  <si>
    <t>HOT単独/RTN単独のL値</t>
  </si>
  <si>
    <t>測定周波数</t>
  </si>
  <si>
    <t>kHz</t>
  </si>
  <si>
    <t>DE-5000測定周波数</t>
  </si>
  <si>
    <t>HOT-RTN線間容量 実測</t>
  </si>
  <si>
    <t>pF</t>
  </si>
  <si>
    <t>巻線間または端子間の測定値</t>
  </si>
  <si>
    <t>巻線両端容量 表示値</t>
  </si>
  <si>
    <t>100 kHzでの見かけ容量。SRF近傍の可能性あり。</t>
  </si>
  <si>
    <t>リード・端部追加容量</t>
  </si>
  <si>
    <t>巻き始め/終わり、治具、端部近接の見込み</t>
  </si>
  <si>
    <t>LTspice推奨感度値</t>
  </si>
  <si>
    <t>10 / 22 / 47</t>
  </si>
  <si>
    <t>巻線両端に入れる容量の感度確認例</t>
  </si>
  <si>
    <t>参考</t>
  </si>
  <si>
    <t>計算項目</t>
  </si>
  <si>
    <t>式/説明</t>
  </si>
  <si>
    <t>平均半径 Rmean</t>
  </si>
  <si>
    <t>(外径+内径)/4</t>
  </si>
  <si>
    <t>片側巻線の周方向長さ</t>
  </si>
  <si>
    <t>2πRmean×半周割合</t>
  </si>
  <si>
    <t>ターン中心ピッチ</t>
  </si>
  <si>
    <t>15ターンなら隣接中心間は14区間</t>
  </si>
  <si>
    <t>エナメル込み線外径</t>
  </si>
  <si>
    <t>導体径+2×エナメル厚さ</t>
  </si>
  <si>
    <t>隣接ターン表面間隔</t>
  </si>
  <si>
    <t>中心ピッチ−線外径</t>
  </si>
  <si>
    <t>1ターンの並行近似長さ</t>
  </si>
  <si>
    <t>コア断面周りの近似長さ 2×(径方向厚み+コア厚さ)</t>
  </si>
  <si>
    <t>真空誘電率 ε0</t>
  </si>
  <si>
    <t>F/m</t>
  </si>
  <si>
    <t>定数</t>
  </si>
  <si>
    <t>全ターンペアのエネルギー和から端子間Ceq換算</t>
  </si>
  <si>
    <t>リード・端部込み自己容量</t>
  </si>
  <si>
    <t>LTspice初期値候補</t>
  </si>
  <si>
    <t>1775 pF表示値からのSRF</t>
  </si>
  <si>
    <t>L=1.47mH、C=1775pFの場合</t>
  </si>
  <si>
    <t>推奨値でのSRF</t>
  </si>
  <si>
    <t>リード込み自己容量でのSRF</t>
  </si>
  <si>
    <t>100 kHzでのXL</t>
  </si>
  <si>
    <t>Ω</t>
  </si>
  <si>
    <t>2πfL</t>
  </si>
  <si>
    <t>ターン間ペア別 容量見積もり</t>
  </si>
  <si>
    <t>離隔ターン数 m</t>
  </si>
  <si>
    <t>中心間距離 Dm</t>
  </si>
  <si>
    <t>線外径 d</t>
  </si>
  <si>
    <t>1ペア容量 Cm</t>
  </si>
  <si>
    <t>ペア数</t>
  </si>
  <si>
    <t>電圧比 m/(N-1)</t>
  </si>
  <si>
    <t>端子間寄与</t>
  </si>
  <si>
    <t>備考</t>
  </si>
  <si>
    <t>合計</t>
  </si>
  <si>
    <t>巻線間のみCeq</t>
  </si>
  <si>
    <t>注記</t>
  </si>
  <si>
    <t>電圧分布を線形と仮定し、各ターン間容量の蓄積エネルギーを端子間容量へ換算しています。</t>
  </si>
  <si>
    <t>式</t>
  </si>
  <si>
    <t>Ceq = Σ[(N-m) Cm {m/(N-1)}^2]</t>
  </si>
  <si>
    <t>注意</t>
  </si>
  <si>
    <t>コア・リード・端子台・測定治具による容量は、入力シートの追加容量で別途加算します。</t>
  </si>
  <si>
    <t>自己共振周波数・100 kHzリアクタンス感度</t>
  </si>
  <si>
    <t>ケース</t>
  </si>
  <si>
    <t>容量 C</t>
  </si>
  <si>
    <t>L</t>
  </si>
  <si>
    <t>SRF</t>
  </si>
  <si>
    <t>100 kHzでのXc</t>
  </si>
  <si>
    <t>判定</t>
  </si>
  <si>
    <t>巻線間のみ</t>
  </si>
  <si>
    <t>リード込み推奨値</t>
  </si>
  <si>
    <t>初期LTspice値</t>
  </si>
  <si>
    <t>10 pF</t>
  </si>
  <si>
    <t>感度確認</t>
  </si>
  <si>
    <t>22 pF</t>
  </si>
  <si>
    <t>47 pF</t>
  </si>
  <si>
    <t>大きめ確認</t>
  </si>
  <si>
    <t>100 pF</t>
  </si>
  <si>
    <t>かなり保守的</t>
  </si>
  <si>
    <t>1775 pF表示値</t>
  </si>
  <si>
    <t>100 kHz付近で見かけ値の可能性</t>
  </si>
  <si>
    <t>LTspice例</t>
  </si>
  <si>
    <t>通常のCMチョークモデル</t>
  </si>
  <si>
    <t>LHOT=1470uH, LRTN=1470uH, K=0.99726</t>
  </si>
  <si>
    <t>巻線両端容量 初期値</t>
  </si>
  <si>
    <t>C_HOT_SELF=22pF, C_RTN_SELF=22pF</t>
  </si>
  <si>
    <t>HOT-RTN線間容量</t>
  </si>
  <si>
    <t>実測9pFを入口/出口へ4.5pFずつ分割する案</t>
  </si>
  <si>
    <t>1775pFをそのまま巻線両端へ入れると、100kHz近傍に強い自己共振を作るため非推奨。</t>
  </si>
  <si>
    <t>出典・計算式メモ</t>
  </si>
  <si>
    <t>内容</t>
  </si>
  <si>
    <t>URL/式</t>
  </si>
  <si>
    <t>コア寸法</t>
  </si>
  <si>
    <t>E04RM251512: A=25.0 mm, B=15.0 mm, C=12.0 mm</t>
  </si>
  <si>
    <t>https://www.seiwa.co.jp/product/emc/e04ns.html</t>
  </si>
  <si>
    <t>星和電機 製品ページ。E04RMは絶縁性塗装あり。</t>
  </si>
  <si>
    <t>平行2線容量</t>
  </si>
  <si>
    <t>C per length = π ε0 εr / acosh(D/d)</t>
  </si>
  <si>
    <t>D: 中心間距離, d: 線外径</t>
  </si>
  <si>
    <t>同一径の平行円筒導体の近似式。周囲媒質は実効εrで近似。</t>
  </si>
  <si>
    <t>端子間等価容量</t>
  </si>
  <si>
    <t>線形電圧分布仮定</t>
  </si>
  <si>
    <t>ターン間容量のエネルギーを端子間容量へ換算。</t>
  </si>
  <si>
    <t>自己共振</t>
  </si>
  <si>
    <t>f_SRF = 1/(2π√(LC))</t>
  </si>
  <si>
    <t>L[H], C[F]</t>
  </si>
  <si>
    <t>SRFから見かけ容量/推定容量を比較。</t>
  </si>
  <si>
    <t>測定上の注意</t>
  </si>
  <si>
    <t>LCRメータのCp/Cs表示は、SRF近傍では真の寄生容量ではなく等価表示になりやすい。</t>
  </si>
  <si>
    <t>100 kHz測定で1775pFが出た場合、1.47mHとの組合せでSRF約98.5kHz。</t>
  </si>
  <si>
    <t>DE-5000で100 kHz時に表示された1775 pFは、1.47 mHと組み合わせるとSRF約98.5 kHzとなるため、
実寄生容量ではなく見かけ値の可能性が高いです。</t>
    <phoneticPr fontId="6"/>
  </si>
  <si>
    <t>本シートの概算では、単層・均等巻き・φ0.6エナメル線のHOT片側巻線自己容量は、巻線間のみで数pF〜十数pF、
リード/端部を含めて10〜30 pF程度を初期値にする前提です。</t>
    <phoneticPr fontId="6"/>
  </si>
  <si>
    <t xml:space="preserve">巻線配置
</t>
    <phoneticPr fontId="6"/>
  </si>
  <si>
    <t xml:space="preserve">コア型番
</t>
    <phoneticPr fontId="6"/>
  </si>
  <si>
    <t>導体径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</si>
</sst>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E+00"/>
  </numFmts>
  <fonts count="7">
    <font>
      <sz val="11"/>
      <name val="Carlito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b/>
      <sz val="10"/>
      <color rgb="FF1F4E78"/>
      <name val="Yu Gothic"/>
      <family val="3"/>
      <charset val="128"/>
    </font>
    <font>
      <b/>
      <sz val="10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0" borderId="0" xfId="1" applyFont="1"/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left"/>
    </xf>
    <xf numFmtId="0" fontId="4" fillId="3" borderId="0" xfId="1" applyFont="1" applyFill="1"/>
    <xf numFmtId="0" fontId="2" fillId="5" borderId="0" xfId="1" applyFont="1" applyFill="1"/>
    <xf numFmtId="0" fontId="2" fillId="0" borderId="0" xfId="1" applyFont="1" applyAlignment="1">
      <alignment wrapText="1"/>
    </xf>
    <xf numFmtId="176" fontId="2" fillId="5" borderId="0" xfId="1" applyNumberFormat="1" applyFont="1" applyFill="1"/>
    <xf numFmtId="1" fontId="2" fillId="5" borderId="0" xfId="1" applyNumberFormat="1" applyFont="1" applyFill="1"/>
    <xf numFmtId="177" fontId="2" fillId="5" borderId="0" xfId="1" applyNumberFormat="1" applyFont="1" applyFill="1"/>
    <xf numFmtId="0" fontId="1" fillId="2" borderId="0" xfId="1" applyFont="1" applyFill="1" applyAlignment="1">
      <alignment horizontal="center" vertical="center" wrapText="1"/>
    </xf>
    <xf numFmtId="177" fontId="2" fillId="6" borderId="0" xfId="1" applyNumberFormat="1" applyFont="1" applyFill="1"/>
    <xf numFmtId="1" fontId="2" fillId="0" borderId="0" xfId="1" applyNumberFormat="1" applyFont="1"/>
    <xf numFmtId="177" fontId="2" fillId="0" borderId="0" xfId="1" applyNumberFormat="1" applyFont="1"/>
    <xf numFmtId="177" fontId="3" fillId="4" borderId="0" xfId="1" applyNumberFormat="1" applyFont="1" applyFill="1" applyAlignment="1">
      <alignment horizontal="left"/>
    </xf>
    <xf numFmtId="176" fontId="2" fillId="0" borderId="0" xfId="1" applyNumberFormat="1" applyFont="1"/>
    <xf numFmtId="178" fontId="2" fillId="6" borderId="0" xfId="1" applyNumberFormat="1" applyFont="1" applyFill="1"/>
    <xf numFmtId="0" fontId="1" fillId="2" borderId="0" xfId="1" applyFont="1" applyFill="1" applyAlignment="1">
      <alignment horizontal="center"/>
    </xf>
    <xf numFmtId="0" fontId="2" fillId="0" borderId="0" xfId="1" applyFont="1"/>
    <xf numFmtId="0" fontId="3" fillId="4" borderId="0" xfId="1" applyFont="1" applyFill="1" applyAlignment="1">
      <alignment horizontal="left"/>
    </xf>
    <xf numFmtId="0" fontId="2" fillId="0" borderId="0" xfId="1" applyFont="1" applyAlignment="1">
      <alignment vertical="top" wrapText="1"/>
    </xf>
    <xf numFmtId="0" fontId="4" fillId="3" borderId="0" xfId="1" applyFont="1" applyFill="1" applyAlignment="1">
      <alignment wrapText="1"/>
    </xf>
    <xf numFmtId="0" fontId="4" fillId="3" borderId="0" xfId="1" applyFont="1" applyFill="1" applyAlignment="1">
      <alignment vertical="top" wrapText="1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0" fillId="0" borderId="0" xfId="0" applyAlignment="1">
      <alignment vertical="top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容量と自己共振周波数の関係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容量 C</c:v>
          </c:tx>
          <c:cat>
            <c:strRef>
              <c:f>SRF感度!$A$4:$A$10</c:f>
              <c:strCache>
                <c:ptCount val="7"/>
                <c:pt idx="0">
                  <c:v>巻線間のみCeq</c:v>
                </c:pt>
                <c:pt idx="1">
                  <c:v>リード込み推奨値</c:v>
                </c:pt>
                <c:pt idx="2">
                  <c:v>10 pF</c:v>
                </c:pt>
                <c:pt idx="3">
                  <c:v>22 pF</c:v>
                </c:pt>
                <c:pt idx="4">
                  <c:v>47 pF</c:v>
                </c:pt>
                <c:pt idx="5">
                  <c:v>100 pF</c:v>
                </c:pt>
                <c:pt idx="6">
                  <c:v>1775 pF表示値</c:v>
                </c:pt>
              </c:strCache>
            </c:strRef>
          </c:cat>
          <c:val>
            <c:numRef>
              <c:f>SRF感度!$B$4:$B$10</c:f>
              <c:numCache>
                <c:formatCode>0.000</c:formatCode>
                <c:ptCount val="7"/>
                <c:pt idx="0">
                  <c:v>7.5975810424952375</c:v>
                </c:pt>
                <c:pt idx="1">
                  <c:v>17.597581042495236</c:v>
                </c:pt>
                <c:pt idx="2">
                  <c:v>10</c:v>
                </c:pt>
                <c:pt idx="3">
                  <c:v>22</c:v>
                </c:pt>
                <c:pt idx="4">
                  <c:v>47</c:v>
                </c:pt>
                <c:pt idx="5">
                  <c:v>100</c:v>
                </c:pt>
                <c:pt idx="6">
                  <c:v>1775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2-4B0B-8B8E-12D7F66A0DF9}"/>
            </c:ext>
          </c:extLst>
        </c:ser>
        <c:ser>
          <c:idx val="1"/>
          <c:order val="1"/>
          <c:tx>
            <c:v>L</c:v>
          </c:tx>
          <c:cat>
            <c:strRef>
              <c:f>SRF感度!$A$4:$A$10</c:f>
              <c:strCache>
                <c:ptCount val="7"/>
                <c:pt idx="0">
                  <c:v>巻線間のみCeq</c:v>
                </c:pt>
                <c:pt idx="1">
                  <c:v>リード込み推奨値</c:v>
                </c:pt>
                <c:pt idx="2">
                  <c:v>10 pF</c:v>
                </c:pt>
                <c:pt idx="3">
                  <c:v>22 pF</c:v>
                </c:pt>
                <c:pt idx="4">
                  <c:v>47 pF</c:v>
                </c:pt>
                <c:pt idx="5">
                  <c:v>100 pF</c:v>
                </c:pt>
                <c:pt idx="6">
                  <c:v>1775 pF表示値</c:v>
                </c:pt>
              </c:strCache>
            </c:strRef>
          </c:cat>
          <c:val>
            <c:numRef>
              <c:f>SRF感度!$C$4:$C$10</c:f>
              <c:numCache>
                <c:formatCode>0.000</c:formatCode>
                <c:ptCount val="7"/>
                <c:pt idx="0">
                  <c:v>1.47</c:v>
                </c:pt>
                <c:pt idx="1">
                  <c:v>1.47</c:v>
                </c:pt>
                <c:pt idx="2">
                  <c:v>1.47</c:v>
                </c:pt>
                <c:pt idx="3">
                  <c:v>1.47</c:v>
                </c:pt>
                <c:pt idx="4">
                  <c:v>1.47</c:v>
                </c:pt>
                <c:pt idx="5">
                  <c:v>1.47</c:v>
                </c:pt>
                <c:pt idx="6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F2-4B0B-8B8E-12D7F66A0DF9}"/>
            </c:ext>
          </c:extLst>
        </c:ser>
        <c:ser>
          <c:idx val="2"/>
          <c:order val="2"/>
          <c:tx>
            <c:v>SRF</c:v>
          </c:tx>
          <c:cat>
            <c:strRef>
              <c:f>SRF感度!$A$4:$A$10</c:f>
              <c:strCache>
                <c:ptCount val="7"/>
                <c:pt idx="0">
                  <c:v>巻線間のみCeq</c:v>
                </c:pt>
                <c:pt idx="1">
                  <c:v>リード込み推奨値</c:v>
                </c:pt>
                <c:pt idx="2">
                  <c:v>10 pF</c:v>
                </c:pt>
                <c:pt idx="3">
                  <c:v>22 pF</c:v>
                </c:pt>
                <c:pt idx="4">
                  <c:v>47 pF</c:v>
                </c:pt>
                <c:pt idx="5">
                  <c:v>100 pF</c:v>
                </c:pt>
                <c:pt idx="6">
                  <c:v>1775 pF表示値</c:v>
                </c:pt>
              </c:strCache>
            </c:strRef>
          </c:cat>
          <c:val>
            <c:numRef>
              <c:f>SRF感度!$D$4:$D$10</c:f>
              <c:numCache>
                <c:formatCode>0.0</c:formatCode>
                <c:ptCount val="7"/>
                <c:pt idx="0">
                  <c:v>1505.995914129941</c:v>
                </c:pt>
                <c:pt idx="1">
                  <c:v>989.54369798784649</c:v>
                </c:pt>
                <c:pt idx="2">
                  <c:v>1312.6878462423622</c:v>
                </c:pt>
                <c:pt idx="3">
                  <c:v>885.01396539377004</c:v>
                </c:pt>
                <c:pt idx="4">
                  <c:v>605.49775227940086</c:v>
                </c:pt>
                <c:pt idx="5">
                  <c:v>415.10834509467662</c:v>
                </c:pt>
                <c:pt idx="6">
                  <c:v>98.528594024313307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F2-4B0B-8B8E-12D7F66A0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tabSelected="1" zoomScaleNormal="100" workbookViewId="0">
      <selection activeCell="B5" sqref="B5"/>
    </sheetView>
  </sheetViews>
  <sheetFormatPr defaultRowHeight="14.25"/>
  <cols>
    <col min="1" max="1" width="22.375" bestFit="1" customWidth="1"/>
    <col min="2" max="2" width="32.5" bestFit="1" customWidth="1"/>
    <col min="3" max="3" width="1.5" customWidth="1"/>
    <col min="4" max="7" width="18" customWidth="1"/>
    <col min="8" max="8" width="16" customWidth="1"/>
  </cols>
  <sheetData>
    <row r="1" spans="1:26" ht="16.5">
      <c r="A1" s="17" t="s">
        <v>0</v>
      </c>
      <c r="B1" s="18"/>
      <c r="C1" s="18"/>
      <c r="D1" s="18"/>
      <c r="E1" s="18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" t="s">
        <v>1</v>
      </c>
      <c r="B3" s="2" t="s">
        <v>2</v>
      </c>
      <c r="C3" s="1"/>
      <c r="D3" s="19" t="s">
        <v>3</v>
      </c>
      <c r="E3" s="18"/>
      <c r="F3" s="18"/>
      <c r="G3" s="18"/>
      <c r="H3" s="1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>
      <c r="A4" s="21" t="s">
        <v>155</v>
      </c>
      <c r="B4" s="1" t="str">
        <f>入力・計算!B4</f>
        <v>E04RM251512</v>
      </c>
      <c r="C4" s="1"/>
      <c r="D4" s="20" t="s">
        <v>152</v>
      </c>
      <c r="E4" s="18"/>
      <c r="F4" s="18"/>
      <c r="G4" s="18"/>
      <c r="H4" s="1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5" customFormat="1" ht="33">
      <c r="A5" s="22" t="s">
        <v>154</v>
      </c>
      <c r="B5" s="23" t="s">
        <v>5</v>
      </c>
      <c r="C5" s="23"/>
      <c r="D5" s="20" t="s">
        <v>153</v>
      </c>
      <c r="E5" s="24"/>
      <c r="F5" s="24"/>
      <c r="G5" s="24"/>
      <c r="H5" s="24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6.5">
      <c r="A6" s="21" t="s">
        <v>156</v>
      </c>
      <c r="B6" s="1" t="str">
        <f>入力・計算!B10&amp;" mm"</f>
        <v>0.6 mm</v>
      </c>
      <c r="C6" s="1"/>
      <c r="D6" s="20" t="s">
        <v>7</v>
      </c>
      <c r="E6" s="18"/>
      <c r="F6" s="18"/>
      <c r="G6" s="18"/>
      <c r="H6" s="1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4" t="s">
        <v>8</v>
      </c>
      <c r="B7" s="1" t="str">
        <f>TEXT(入力・計算!B24,"0.000")&amp;" mm"</f>
        <v>0.650 mm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4" t="s">
        <v>9</v>
      </c>
      <c r="B8" s="1" t="str">
        <f>TEXT(入力・計算!B23,"0.000")&amp;" mm"</f>
        <v>2.244 mm</v>
      </c>
      <c r="C8" s="1"/>
      <c r="D8" s="19" t="s">
        <v>10</v>
      </c>
      <c r="E8" s="18"/>
      <c r="F8" s="18"/>
      <c r="G8" s="18"/>
      <c r="H8" s="1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4" t="s">
        <v>11</v>
      </c>
      <c r="B9" s="1" t="str">
        <f>TEXT(入力・計算!B28,"0.00")&amp;" pF"</f>
        <v>7.60 pF</v>
      </c>
      <c r="C9" s="1"/>
      <c r="D9" s="20" t="s">
        <v>12</v>
      </c>
      <c r="E9" s="18"/>
      <c r="F9" s="18"/>
      <c r="G9" s="18"/>
      <c r="H9" s="1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4" t="s">
        <v>13</v>
      </c>
      <c r="B10" s="1" t="str">
        <f>TEXT(入力・計算!B29,"0.00")&amp;" pF"</f>
        <v>17.60 pF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4" t="s">
        <v>14</v>
      </c>
      <c r="B11" s="1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7">
    <mergeCell ref="D9:H9"/>
    <mergeCell ref="A1:H1"/>
    <mergeCell ref="D3:H3"/>
    <mergeCell ref="D8:H8"/>
    <mergeCell ref="D4:H4"/>
    <mergeCell ref="D5:H5"/>
    <mergeCell ref="D6:H6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workbookViewId="0">
      <selection activeCell="B18" sqref="B18"/>
    </sheetView>
  </sheetViews>
  <sheetFormatPr defaultRowHeight="14.25"/>
  <cols>
    <col min="1" max="1" width="28" customWidth="1"/>
    <col min="2" max="2" width="15" customWidth="1"/>
    <col min="3" max="3" width="10" customWidth="1"/>
    <col min="4" max="4" width="52" customWidth="1"/>
    <col min="5" max="5" width="12" customWidth="1"/>
  </cols>
  <sheetData>
    <row r="1" spans="1:26" ht="16.5">
      <c r="A1" s="17" t="s">
        <v>16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" t="s">
        <v>17</v>
      </c>
      <c r="B3" s="2" t="s">
        <v>2</v>
      </c>
      <c r="C3" s="2" t="s">
        <v>18</v>
      </c>
      <c r="D3" s="2" t="s">
        <v>19</v>
      </c>
      <c r="E3" s="2" t="s">
        <v>20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 t="s">
        <v>4</v>
      </c>
      <c r="B4" s="5" t="s">
        <v>21</v>
      </c>
      <c r="C4" s="1" t="s">
        <v>22</v>
      </c>
      <c r="D4" s="6" t="s">
        <v>23</v>
      </c>
      <c r="E4" s="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1" t="s">
        <v>25</v>
      </c>
      <c r="B5" s="7">
        <v>25</v>
      </c>
      <c r="C5" s="1" t="s">
        <v>26</v>
      </c>
      <c r="D5" s="6" t="s">
        <v>27</v>
      </c>
      <c r="E5" s="1" t="s">
        <v>28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1" t="s">
        <v>29</v>
      </c>
      <c r="B6" s="7">
        <v>15</v>
      </c>
      <c r="C6" s="1" t="s">
        <v>26</v>
      </c>
      <c r="D6" s="6" t="s">
        <v>30</v>
      </c>
      <c r="E6" s="1" t="s">
        <v>28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1" t="s">
        <v>31</v>
      </c>
      <c r="B7" s="8">
        <v>12</v>
      </c>
      <c r="C7" s="1" t="s">
        <v>26</v>
      </c>
      <c r="D7" s="6" t="s">
        <v>32</v>
      </c>
      <c r="E7" s="1" t="s">
        <v>28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1" t="s">
        <v>33</v>
      </c>
      <c r="B8" s="9">
        <v>15</v>
      </c>
      <c r="C8" s="1" t="s">
        <v>34</v>
      </c>
      <c r="D8" s="6" t="s">
        <v>35</v>
      </c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1" t="s">
        <v>36</v>
      </c>
      <c r="B9" s="9">
        <v>0.5</v>
      </c>
      <c r="C9" s="1" t="s">
        <v>22</v>
      </c>
      <c r="D9" s="6" t="s">
        <v>37</v>
      </c>
      <c r="E9" s="1" t="s">
        <v>28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1" t="s">
        <v>6</v>
      </c>
      <c r="B10" s="9">
        <v>0.6</v>
      </c>
      <c r="C10" s="1" t="s">
        <v>26</v>
      </c>
      <c r="D10" s="6" t="s">
        <v>38</v>
      </c>
      <c r="E10" s="1" t="s">
        <v>28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1" t="s">
        <v>39</v>
      </c>
      <c r="B11" s="9">
        <v>2.5000000000000001E-2</v>
      </c>
      <c r="C11" s="1" t="s">
        <v>26</v>
      </c>
      <c r="D11" s="6" t="s">
        <v>40</v>
      </c>
      <c r="E11" s="1" t="s">
        <v>28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" t="s">
        <v>41</v>
      </c>
      <c r="B12" s="9">
        <v>1.5</v>
      </c>
      <c r="C12" s="1" t="s">
        <v>22</v>
      </c>
      <c r="D12" s="6" t="s">
        <v>42</v>
      </c>
      <c r="E12" s="1" t="s">
        <v>28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" t="s">
        <v>43</v>
      </c>
      <c r="B13" s="9">
        <v>1.47</v>
      </c>
      <c r="C13" s="1" t="s">
        <v>44</v>
      </c>
      <c r="D13" s="6" t="s">
        <v>45</v>
      </c>
      <c r="E13" s="1" t="s">
        <v>28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" t="s">
        <v>46</v>
      </c>
      <c r="B14" s="9">
        <v>100</v>
      </c>
      <c r="C14" s="1" t="s">
        <v>47</v>
      </c>
      <c r="D14" s="6" t="s">
        <v>48</v>
      </c>
      <c r="E14" s="1" t="s">
        <v>28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" t="s">
        <v>49</v>
      </c>
      <c r="B15" s="9">
        <v>9</v>
      </c>
      <c r="C15" s="1" t="s">
        <v>50</v>
      </c>
      <c r="D15" s="6" t="s">
        <v>51</v>
      </c>
      <c r="E15" s="1" t="s">
        <v>28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" t="s">
        <v>52</v>
      </c>
      <c r="B16" s="9">
        <v>1775</v>
      </c>
      <c r="C16" s="1" t="s">
        <v>50</v>
      </c>
      <c r="D16" s="6" t="s">
        <v>53</v>
      </c>
      <c r="E16" s="1" t="s">
        <v>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" t="s">
        <v>54</v>
      </c>
      <c r="B17" s="9">
        <v>10</v>
      </c>
      <c r="C17" s="1" t="s">
        <v>50</v>
      </c>
      <c r="D17" s="6" t="s">
        <v>55</v>
      </c>
      <c r="E17" s="1" t="s">
        <v>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 t="s">
        <v>56</v>
      </c>
      <c r="B18" s="1" t="s">
        <v>57</v>
      </c>
      <c r="C18" s="1" t="s">
        <v>50</v>
      </c>
      <c r="D18" s="6" t="s">
        <v>58</v>
      </c>
      <c r="E18" s="1" t="s">
        <v>59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1"/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2" t="s">
        <v>60</v>
      </c>
      <c r="B20" s="2" t="s">
        <v>2</v>
      </c>
      <c r="C20" s="2" t="s">
        <v>18</v>
      </c>
      <c r="D20" s="10" t="s">
        <v>61</v>
      </c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1" t="s">
        <v>62</v>
      </c>
      <c r="B21" s="11">
        <f>($B$5+$B$6)/4</f>
        <v>10</v>
      </c>
      <c r="C21" s="1" t="s">
        <v>26</v>
      </c>
      <c r="D21" s="6" t="s">
        <v>63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1" t="s">
        <v>64</v>
      </c>
      <c r="B22" s="11">
        <f>2*PI()*B21*$B$9</f>
        <v>31.415926535897931</v>
      </c>
      <c r="C22" s="1" t="s">
        <v>26</v>
      </c>
      <c r="D22" s="6" t="s">
        <v>65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" t="s">
        <v>66</v>
      </c>
      <c r="B23" s="11">
        <f>B22/($B$8-1)</f>
        <v>2.2439947525641379</v>
      </c>
      <c r="C23" s="1" t="s">
        <v>26</v>
      </c>
      <c r="D23" s="6" t="s">
        <v>67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" t="s">
        <v>68</v>
      </c>
      <c r="B24" s="11">
        <f>$B$10+2*$B$11</f>
        <v>0.65</v>
      </c>
      <c r="C24" s="1" t="s">
        <v>26</v>
      </c>
      <c r="D24" s="6" t="s">
        <v>69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" t="s">
        <v>70</v>
      </c>
      <c r="B25" s="11">
        <f>B23-B24</f>
        <v>1.593994752564138</v>
      </c>
      <c r="C25" s="1" t="s">
        <v>26</v>
      </c>
      <c r="D25" s="6" t="s">
        <v>71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" t="s">
        <v>72</v>
      </c>
      <c r="B26" s="11">
        <f>2*(($B$5-$B$6)/2+$B$7)</f>
        <v>34</v>
      </c>
      <c r="C26" s="1" t="s">
        <v>26</v>
      </c>
      <c r="D26" s="6" t="s">
        <v>73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" t="s">
        <v>74</v>
      </c>
      <c r="B27" s="16">
        <v>8.8541878128000006E-12</v>
      </c>
      <c r="C27" s="1" t="s">
        <v>75</v>
      </c>
      <c r="D27" s="6" t="s">
        <v>76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" t="s">
        <v>11</v>
      </c>
      <c r="B28" s="11">
        <f>SUM(ペア別容量!G4:G32)</f>
        <v>7.5975810424952375</v>
      </c>
      <c r="C28" s="1" t="s">
        <v>50</v>
      </c>
      <c r="D28" s="6" t="s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 t="s">
        <v>78</v>
      </c>
      <c r="B29" s="11">
        <f>B28+$B$17</f>
        <v>17.597581042495236</v>
      </c>
      <c r="C29" s="1" t="s">
        <v>50</v>
      </c>
      <c r="D29" s="6" t="s">
        <v>79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" t="s">
        <v>80</v>
      </c>
      <c r="B30" s="11">
        <f>1/(2*PI()*SQRT(($B$13/1000)*($B$16*0.000000000001)))/1000</f>
        <v>98.528594024313307</v>
      </c>
      <c r="C30" s="1" t="s">
        <v>47</v>
      </c>
      <c r="D30" s="6" t="s">
        <v>81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" t="s">
        <v>82</v>
      </c>
      <c r="B31" s="11">
        <f>1/(2*PI()*SQRT(($B$13/1000)*(B29*0.000000000001)))/1000</f>
        <v>989.54369798784649</v>
      </c>
      <c r="C31" s="1" t="s">
        <v>47</v>
      </c>
      <c r="D31" s="6" t="s">
        <v>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 t="s">
        <v>84</v>
      </c>
      <c r="B32" s="11">
        <f>2*PI()*($B$14*1000)*($B$13/1000)</f>
        <v>923.62824015539911</v>
      </c>
      <c r="C32" s="1" t="s">
        <v>85</v>
      </c>
      <c r="D32" s="6" t="s">
        <v>86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F1"/>
  </mergeCells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"/>
  <sheetViews>
    <sheetView workbookViewId="0">
      <selection activeCell="D17" sqref="D17"/>
    </sheetView>
  </sheetViews>
  <sheetFormatPr defaultRowHeight="14.25"/>
  <cols>
    <col min="1" max="1" width="15" customWidth="1"/>
    <col min="2" max="7" width="16" customWidth="1"/>
    <col min="8" max="8" width="20" customWidth="1"/>
  </cols>
  <sheetData>
    <row r="1" spans="1:26" ht="16.5">
      <c r="A1" s="17" t="s">
        <v>87</v>
      </c>
      <c r="B1" s="18"/>
      <c r="C1" s="18"/>
      <c r="D1" s="18"/>
      <c r="E1" s="18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2">
        <v>1</v>
      </c>
      <c r="B4" s="13">
        <f>IF(A4&lt;入力・計算!$B$8,A4*入力・計算!$B$23,"")</f>
        <v>2.2439947525641379</v>
      </c>
      <c r="C4" s="13">
        <f>IF(A4&lt;入力・計算!$B$8,入力・計算!$B$24,"")</f>
        <v>0.65</v>
      </c>
      <c r="D4" s="13">
        <f>IF(A4&lt;入力・計算!$B$8,PI()*入力・計算!$B$27*入力・計算!$B$12*(入力・計算!$B$26/1000)/ACOSH(B4/C4)*1000000000000,"")</f>
        <v>0.74253576873167892</v>
      </c>
      <c r="E4" s="12">
        <f>IF(A4&lt;入力・計算!$B$8,入力・計算!$B$8-A4,"")</f>
        <v>14</v>
      </c>
      <c r="F4" s="13">
        <f>IF(A4&lt;入力・計算!$B$8,A4/(入力・計算!$B$8-1),"")</f>
        <v>7.1428571428571425E-2</v>
      </c>
      <c r="G4" s="13">
        <f>IF(A4&lt;入力・計算!$B$8,D4*E4*F4^2,"")</f>
        <v>5.3038269195119912E-2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12">
        <v>2</v>
      </c>
      <c r="B5" s="13">
        <f>IF(A5&lt;入力・計算!$B$8,A5*入力・計算!$B$23,"")</f>
        <v>4.4879895051282759</v>
      </c>
      <c r="C5" s="13">
        <f>IF(A5&lt;入力・計算!$B$8,入力・計算!$B$24,"")</f>
        <v>0.65</v>
      </c>
      <c r="D5" s="13">
        <f>IF(A5&lt;入力・計算!$B$8,PI()*入力・計算!$B$27*入力・計算!$B$12*(入力・計算!$B$26/1000)/ACOSH(B5/C5)*1000000000000,"")</f>
        <v>0.54145121730552881</v>
      </c>
      <c r="E5" s="12">
        <f>IF(A5&lt;入力・計算!$B$8,入力・計算!$B$8-A5,"")</f>
        <v>13</v>
      </c>
      <c r="F5" s="13">
        <f>IF(A5&lt;入力・計算!$B$8,A5/(入力・計算!$B$8-1),"")</f>
        <v>0.14285714285714285</v>
      </c>
      <c r="G5" s="13">
        <f>IF(A5&lt;入力・計算!$B$8,D5*E5*F5^2,"")</f>
        <v>0.14365032295860966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12">
        <v>3</v>
      </c>
      <c r="B6" s="13">
        <f>IF(A6&lt;入力・計算!$B$8,A6*入力・計算!$B$23,"")</f>
        <v>6.7319842576924138</v>
      </c>
      <c r="C6" s="13">
        <f>IF(A6&lt;入力・計算!$B$8,入力・計算!$B$24,"")</f>
        <v>0.65</v>
      </c>
      <c r="D6" s="13">
        <f>IF(A6&lt;入力・計算!$B$8,PI()*入力・計算!$B$27*入力・計算!$B$12*(入力・計算!$B$26/1000)/ACOSH(B6/C6)*1000000000000,"")</f>
        <v>0.46843222961658076</v>
      </c>
      <c r="E6" s="12">
        <f>IF(A6&lt;入力・計算!$B$8,入力・計算!$B$8-A6,"")</f>
        <v>12</v>
      </c>
      <c r="F6" s="13">
        <f>IF(A6&lt;入力・計算!$B$8,A6/(入力・計算!$B$8-1),"")</f>
        <v>0.21428571428571427</v>
      </c>
      <c r="G6" s="13">
        <f>IF(A6&lt;入力・計算!$B$8,D6*E6*F6^2,"")</f>
        <v>0.25811571836015673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12">
        <v>4</v>
      </c>
      <c r="B7" s="13">
        <f>IF(A7&lt;入力・計算!$B$8,A7*入力・計算!$B$23,"")</f>
        <v>8.9759790102565518</v>
      </c>
      <c r="C7" s="13">
        <f>IF(A7&lt;入力・計算!$B$8,入力・計算!$B$24,"")</f>
        <v>0.65</v>
      </c>
      <c r="D7" s="13">
        <f>IF(A7&lt;入力・計算!$B$8,PI()*入力・計算!$B$27*入力・計算!$B$12*(入力・計算!$B$26/1000)/ACOSH(B7/C7)*1000000000000,"")</f>
        <v>0.42766257186990925</v>
      </c>
      <c r="E7" s="12">
        <f>IF(A7&lt;入力・計算!$B$8,入力・計算!$B$8-A7,"")</f>
        <v>11</v>
      </c>
      <c r="F7" s="13">
        <f>IF(A7&lt;入力・計算!$B$8,A7/(入力・計算!$B$8-1),"")</f>
        <v>0.2857142857142857</v>
      </c>
      <c r="G7" s="13">
        <f>IF(A7&lt;入力・計算!$B$8,D7*E7*F7^2,"")</f>
        <v>0.38402353392400013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12">
        <v>5</v>
      </c>
      <c r="B8" s="13">
        <f>IF(A8&lt;入力・計算!$B$8,A8*入力・計算!$B$23,"")</f>
        <v>11.21997376282069</v>
      </c>
      <c r="C8" s="13">
        <f>IF(A8&lt;入力・計算!$B$8,入力・計算!$B$24,"")</f>
        <v>0.65</v>
      </c>
      <c r="D8" s="13">
        <f>IF(A8&lt;入力・計算!$B$8,PI()*入力・計算!$B$27*入力・計算!$B$12*(入力・計算!$B$26/1000)/ACOSH(B8/C8)*1000000000000,"")</f>
        <v>0.40065369585443106</v>
      </c>
      <c r="E8" s="12">
        <f>IF(A8&lt;入力・計算!$B$8,入力・計算!$B$8-A8,"")</f>
        <v>10</v>
      </c>
      <c r="F8" s="13">
        <f>IF(A8&lt;入力・計算!$B$8,A8/(入力・計算!$B$8-1),"")</f>
        <v>0.35714285714285715</v>
      </c>
      <c r="G8" s="13">
        <f>IF(A8&lt;入力・計算!$B$8,D8*E8*F8^2,"")</f>
        <v>0.51103787736534567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12">
        <v>6</v>
      </c>
      <c r="B9" s="13">
        <f>IF(A9&lt;入力・計算!$B$8,A9*入力・計算!$B$23,"")</f>
        <v>13.463968515384828</v>
      </c>
      <c r="C9" s="13">
        <f>IF(A9&lt;入力・計算!$B$8,入力・計算!$B$24,"")</f>
        <v>0.65</v>
      </c>
      <c r="D9" s="13">
        <f>IF(A9&lt;入力・計算!$B$8,PI()*入力・計算!$B$27*入力・計算!$B$12*(入力・計算!$B$26/1000)/ACOSH(B9/C9)*1000000000000,"")</f>
        <v>0.38100728432857373</v>
      </c>
      <c r="E9" s="12">
        <f>IF(A9&lt;入力・計算!$B$8,入力・計算!$B$8-A9,"")</f>
        <v>9</v>
      </c>
      <c r="F9" s="13">
        <f>IF(A9&lt;入力・計算!$B$8,A9/(入力・計算!$B$8-1),"")</f>
        <v>0.42857142857142855</v>
      </c>
      <c r="G9" s="13">
        <f>IF(A9&lt;入力・計算!$B$8,D9*E9*F9^2,"")</f>
        <v>0.62982836797172392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12">
        <v>7</v>
      </c>
      <c r="B10" s="13">
        <f>IF(A10&lt;入力・計算!$B$8,A10*入力・計算!$B$23,"")</f>
        <v>15.707963267948966</v>
      </c>
      <c r="C10" s="13">
        <f>IF(A10&lt;入力・計算!$B$8,入力・計算!$B$24,"")</f>
        <v>0.65</v>
      </c>
      <c r="D10" s="13">
        <f>IF(A10&lt;入力・計算!$B$8,PI()*入力・計算!$B$27*入力・計算!$B$12*(入力・計算!$B$26/1000)/ACOSH(B10/C10)*1000000000000,"")</f>
        <v>0.3658457243119923</v>
      </c>
      <c r="E10" s="12">
        <f>IF(A10&lt;入力・計算!$B$8,入力・計算!$B$8-A10,"")</f>
        <v>8</v>
      </c>
      <c r="F10" s="13">
        <f>IF(A10&lt;入力・計算!$B$8,A10/(入力・計算!$B$8-1),"")</f>
        <v>0.5</v>
      </c>
      <c r="G10" s="13">
        <f>IF(A10&lt;入力・計算!$B$8,D10*E10*F10^2,"")</f>
        <v>0.73169144862398461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12">
        <v>8</v>
      </c>
      <c r="B11" s="13">
        <f>IF(A11&lt;入力・計算!$B$8,A11*入力・計算!$B$23,"")</f>
        <v>17.951958020513104</v>
      </c>
      <c r="C11" s="13">
        <f>IF(A11&lt;入力・計算!$B$8,入力・計算!$B$24,"")</f>
        <v>0.65</v>
      </c>
      <c r="D11" s="13">
        <f>IF(A11&lt;入力・計算!$B$8,PI()*入力・計算!$B$27*入力・計算!$B$12*(入力・計算!$B$26/1000)/ACOSH(B11/C11)*1000000000000,"")</f>
        <v>0.35365799966389533</v>
      </c>
      <c r="E11" s="12">
        <f>IF(A11&lt;入力・計算!$B$8,入力・計算!$B$8-A11,"")</f>
        <v>7</v>
      </c>
      <c r="F11" s="13">
        <f>IF(A11&lt;入力・計算!$B$8,A11/(入力・計算!$B$8-1),"")</f>
        <v>0.5714285714285714</v>
      </c>
      <c r="G11" s="13">
        <f>IF(A11&lt;入力・計算!$B$8,D11*E11*F11^2,"")</f>
        <v>0.80836114208890353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2">
        <v>9</v>
      </c>
      <c r="B12" s="13">
        <f>IF(A12&lt;入力・計算!$B$8,A12*入力・計算!$B$23,"")</f>
        <v>20.195952773077241</v>
      </c>
      <c r="C12" s="13">
        <f>IF(A12&lt;入力・計算!$B$8,入力・計算!$B$24,"")</f>
        <v>0.65</v>
      </c>
      <c r="D12" s="13">
        <f>IF(A12&lt;入力・計算!$B$8,PI()*入力・計算!$B$27*入力・計算!$B$12*(入力・計算!$B$26/1000)/ACOSH(B12/C12)*1000000000000,"")</f>
        <v>0.34356409936427401</v>
      </c>
      <c r="E12" s="12">
        <f>IF(A12&lt;入力・計算!$B$8,入力・計算!$B$8-A12,"")</f>
        <v>6</v>
      </c>
      <c r="F12" s="13">
        <f>IF(A12&lt;入力・計算!$B$8,A12/(入力・計算!$B$8-1),"")</f>
        <v>0.6428571428571429</v>
      </c>
      <c r="G12" s="13">
        <f>IF(A12&lt;入力・計算!$B$8,D12*E12*F12^2,"")</f>
        <v>0.85189873617876133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2">
        <v>10</v>
      </c>
      <c r="B13" s="13">
        <f>IF(A13&lt;入力・計算!$B$8,A13*入力・計算!$B$23,"")</f>
        <v>22.439947525641379</v>
      </c>
      <c r="C13" s="13">
        <f>IF(A13&lt;入力・計算!$B$8,入力・計算!$B$24,"")</f>
        <v>0.65</v>
      </c>
      <c r="D13" s="13">
        <f>IF(A13&lt;入力・計算!$B$8,PI()*入力・計算!$B$27*入力・計算!$B$12*(入力・計算!$B$26/1000)/ACOSH(B13/C13)*1000000000000,"")</f>
        <v>0.33501185752893642</v>
      </c>
      <c r="E13" s="12">
        <f>IF(A13&lt;入力・計算!$B$8,入力・計算!$B$8-A13,"")</f>
        <v>5</v>
      </c>
      <c r="F13" s="13">
        <f>IF(A13&lt;入力・計算!$B$8,A13/(入力・計算!$B$8-1),"")</f>
        <v>0.7142857142857143</v>
      </c>
      <c r="G13" s="13">
        <f>IF(A13&lt;入力・計算!$B$8,D13*E13*F13^2,"")</f>
        <v>0.85462208553300112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2">
        <v>11</v>
      </c>
      <c r="B14" s="13">
        <f>IF(A14&lt;入力・計算!$B$8,A14*入力・計算!$B$23,"")</f>
        <v>24.683942278205517</v>
      </c>
      <c r="C14" s="13">
        <f>IF(A14&lt;入力・計算!$B$8,入力・計算!$B$24,"")</f>
        <v>0.65</v>
      </c>
      <c r="D14" s="13">
        <f>IF(A14&lt;入力・計算!$B$8,PI()*入力・計算!$B$27*入力・計算!$B$12*(入力・計算!$B$26/1000)/ACOSH(B14/C14)*1000000000000,"")</f>
        <v>0.32763474202283094</v>
      </c>
      <c r="E14" s="12">
        <f>IF(A14&lt;入力・計算!$B$8,入力・計算!$B$8-A14,"")</f>
        <v>4</v>
      </c>
      <c r="F14" s="13">
        <f>IF(A14&lt;入力・計算!$B$8,A14/(入力・計算!$B$8-1),"")</f>
        <v>0.7857142857142857</v>
      </c>
      <c r="G14" s="13">
        <f>IF(A14&lt;入力・計算!$B$8,D14*E14*F14^2,"")</f>
        <v>0.80905722009719472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2">
        <v>12</v>
      </c>
      <c r="B15" s="13">
        <f>IF(A15&lt;入力・計算!$B$8,A15*入力・計算!$B$23,"")</f>
        <v>26.927937030769655</v>
      </c>
      <c r="C15" s="13">
        <f>IF(A15&lt;入力・計算!$B$8,入力・計算!$B$24,"")</f>
        <v>0.65</v>
      </c>
      <c r="D15" s="13">
        <f>IF(A15&lt;入力・計算!$B$8,PI()*入力・計算!$B$27*入力・計算!$B$12*(入力・計算!$B$26/1000)/ACOSH(B15/C15)*1000000000000,"")</f>
        <v>0.32117846911994624</v>
      </c>
      <c r="E15" s="12">
        <f>IF(A15&lt;入力・計算!$B$8,入力・計算!$B$8-A15,"")</f>
        <v>3</v>
      </c>
      <c r="F15" s="13">
        <f>IF(A15&lt;入力・計算!$B$8,A15/(入力・計算!$B$8-1),"")</f>
        <v>0.8571428571428571</v>
      </c>
      <c r="G15" s="13">
        <f>IF(A15&lt;入力・計算!$B$8,D15*E15*F15^2,"")</f>
        <v>0.70790356459090187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2">
        <v>13</v>
      </c>
      <c r="B16" s="13">
        <f>IF(A16&lt;入力・計算!$B$8,A16*入力・計算!$B$23,"")</f>
        <v>29.171931783333793</v>
      </c>
      <c r="C16" s="13">
        <f>IF(A16&lt;入力・計算!$B$8,入力・計算!$B$24,"")</f>
        <v>0.65</v>
      </c>
      <c r="D16" s="13">
        <f>IF(A16&lt;入力・計算!$B$8,PI()*入力・計算!$B$27*入力・計算!$B$12*(入力・計算!$B$26/1000)/ACOSH(B16/C16)*1000000000000,"")</f>
        <v>0.31546024722491367</v>
      </c>
      <c r="E16" s="12">
        <f>IF(A16&lt;入力・計算!$B$8,入力・計算!$B$8-A16,"")</f>
        <v>2</v>
      </c>
      <c r="F16" s="13">
        <f>IF(A16&lt;入力・計算!$B$8,A16/(入力・計算!$B$8-1),"")</f>
        <v>0.9285714285714286</v>
      </c>
      <c r="G16" s="13">
        <f>IF(A16&lt;入力・計算!$B$8,D16*E16*F16^2,"")</f>
        <v>0.54400797735724904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2">
        <v>14</v>
      </c>
      <c r="B17" s="13">
        <f>IF(A17&lt;入力・計算!$B$8,A17*入力・計算!$B$23,"")</f>
        <v>31.415926535897931</v>
      </c>
      <c r="C17" s="13">
        <f>IF(A17&lt;入力・計算!$B$8,入力・計算!$B$24,"")</f>
        <v>0.65</v>
      </c>
      <c r="D17" s="13">
        <f>IF(A17&lt;入力・計算!$B$8,PI()*入力・計算!$B$27*入力・計算!$B$12*(入力・計算!$B$26/1000)/ACOSH(B17/C17)*1000000000000,"")</f>
        <v>0.31034477825028411</v>
      </c>
      <c r="E17" s="12">
        <f>IF(A17&lt;入力・計算!$B$8,入力・計算!$B$8-A17,"")</f>
        <v>1</v>
      </c>
      <c r="F17" s="13">
        <f>IF(A17&lt;入力・計算!$B$8,A17/(入力・計算!$B$8-1),"")</f>
        <v>1</v>
      </c>
      <c r="G17" s="13">
        <f>IF(A17&lt;入力・計算!$B$8,D17*E17*F17^2,"")</f>
        <v>0.31034477825028411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2">
        <v>15</v>
      </c>
      <c r="B18" s="13" t="str">
        <f>IF(A18&lt;入力・計算!$B$8,A18*入力・計算!$B$23,"")</f>
        <v/>
      </c>
      <c r="C18" s="13" t="str">
        <f>IF(A18&lt;入力・計算!$B$8,入力・計算!$B$24,"")</f>
        <v/>
      </c>
      <c r="D18" s="13" t="str">
        <f>IF(A18&lt;入力・計算!$B$8,PI()*入力・計算!$B$27*入力・計算!$B$12*(入力・計算!$B$26/1000)/ACOSH(B18/C18)*1000000000000,"")</f>
        <v/>
      </c>
      <c r="E18" s="12" t="str">
        <f>IF(A18&lt;入力・計算!$B$8,入力・計算!$B$8-A18,"")</f>
        <v/>
      </c>
      <c r="F18" s="13" t="str">
        <f>IF(A18&lt;入力・計算!$B$8,A18/(入力・計算!$B$8-1),"")</f>
        <v/>
      </c>
      <c r="G18" s="13" t="str">
        <f>IF(A18&lt;入力・計算!$B$8,D18*E18*F18^2,"")</f>
        <v/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2">
        <v>16</v>
      </c>
      <c r="B19" s="13" t="str">
        <f>IF(A19&lt;入力・計算!$B$8,A19*入力・計算!$B$23,"")</f>
        <v/>
      </c>
      <c r="C19" s="13" t="str">
        <f>IF(A19&lt;入力・計算!$B$8,入力・計算!$B$24,"")</f>
        <v/>
      </c>
      <c r="D19" s="13" t="str">
        <f>IF(A19&lt;入力・計算!$B$8,PI()*入力・計算!$B$27*入力・計算!$B$12*(入力・計算!$B$26/1000)/ACOSH(B19/C19)*1000000000000,"")</f>
        <v/>
      </c>
      <c r="E19" s="12" t="str">
        <f>IF(A19&lt;入力・計算!$B$8,入力・計算!$B$8-A19,"")</f>
        <v/>
      </c>
      <c r="F19" s="13" t="str">
        <f>IF(A19&lt;入力・計算!$B$8,A19/(入力・計算!$B$8-1),"")</f>
        <v/>
      </c>
      <c r="G19" s="13" t="str">
        <f>IF(A19&lt;入力・計算!$B$8,D19*E19*F19^2,"")</f>
        <v/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12">
        <v>17</v>
      </c>
      <c r="B20" s="13" t="str">
        <f>IF(A20&lt;入力・計算!$B$8,A20*入力・計算!$B$23,"")</f>
        <v/>
      </c>
      <c r="C20" s="13" t="str">
        <f>IF(A20&lt;入力・計算!$B$8,入力・計算!$B$24,"")</f>
        <v/>
      </c>
      <c r="D20" s="13" t="str">
        <f>IF(A20&lt;入力・計算!$B$8,PI()*入力・計算!$B$27*入力・計算!$B$12*(入力・計算!$B$26/1000)/ACOSH(B20/C20)*1000000000000,"")</f>
        <v/>
      </c>
      <c r="E20" s="12" t="str">
        <f>IF(A20&lt;入力・計算!$B$8,入力・計算!$B$8-A20,"")</f>
        <v/>
      </c>
      <c r="F20" s="13" t="str">
        <f>IF(A20&lt;入力・計算!$B$8,A20/(入力・計算!$B$8-1),"")</f>
        <v/>
      </c>
      <c r="G20" s="13" t="str">
        <f>IF(A20&lt;入力・計算!$B$8,D20*E20*F20^2,"")</f>
        <v/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12">
        <v>18</v>
      </c>
      <c r="B21" s="13" t="str">
        <f>IF(A21&lt;入力・計算!$B$8,A21*入力・計算!$B$23,"")</f>
        <v/>
      </c>
      <c r="C21" s="13" t="str">
        <f>IF(A21&lt;入力・計算!$B$8,入力・計算!$B$24,"")</f>
        <v/>
      </c>
      <c r="D21" s="13" t="str">
        <f>IF(A21&lt;入力・計算!$B$8,PI()*入力・計算!$B$27*入力・計算!$B$12*(入力・計算!$B$26/1000)/ACOSH(B21/C21)*1000000000000,"")</f>
        <v/>
      </c>
      <c r="E21" s="12" t="str">
        <f>IF(A21&lt;入力・計算!$B$8,入力・計算!$B$8-A21,"")</f>
        <v/>
      </c>
      <c r="F21" s="13" t="str">
        <f>IF(A21&lt;入力・計算!$B$8,A21/(入力・計算!$B$8-1),"")</f>
        <v/>
      </c>
      <c r="G21" s="13" t="str">
        <f>IF(A21&lt;入力・計算!$B$8,D21*E21*F21^2,"")</f>
        <v/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12">
        <v>19</v>
      </c>
      <c r="B22" s="13" t="str">
        <f>IF(A22&lt;入力・計算!$B$8,A22*入力・計算!$B$23,"")</f>
        <v/>
      </c>
      <c r="C22" s="13" t="str">
        <f>IF(A22&lt;入力・計算!$B$8,入力・計算!$B$24,"")</f>
        <v/>
      </c>
      <c r="D22" s="13" t="str">
        <f>IF(A22&lt;入力・計算!$B$8,PI()*入力・計算!$B$27*入力・計算!$B$12*(入力・計算!$B$26/1000)/ACOSH(B22/C22)*1000000000000,"")</f>
        <v/>
      </c>
      <c r="E22" s="12" t="str">
        <f>IF(A22&lt;入力・計算!$B$8,入力・計算!$B$8-A22,"")</f>
        <v/>
      </c>
      <c r="F22" s="13" t="str">
        <f>IF(A22&lt;入力・計算!$B$8,A22/(入力・計算!$B$8-1),"")</f>
        <v/>
      </c>
      <c r="G22" s="13" t="str">
        <f>IF(A22&lt;入力・計算!$B$8,D22*E22*F22^2,"")</f>
        <v/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2">
        <v>20</v>
      </c>
      <c r="B23" s="13" t="str">
        <f>IF(A23&lt;入力・計算!$B$8,A23*入力・計算!$B$23,"")</f>
        <v/>
      </c>
      <c r="C23" s="13" t="str">
        <f>IF(A23&lt;入力・計算!$B$8,入力・計算!$B$24,"")</f>
        <v/>
      </c>
      <c r="D23" s="13" t="str">
        <f>IF(A23&lt;入力・計算!$B$8,PI()*入力・計算!$B$27*入力・計算!$B$12*(入力・計算!$B$26/1000)/ACOSH(B23/C23)*1000000000000,"")</f>
        <v/>
      </c>
      <c r="E23" s="12" t="str">
        <f>IF(A23&lt;入力・計算!$B$8,入力・計算!$B$8-A23,"")</f>
        <v/>
      </c>
      <c r="F23" s="13" t="str">
        <f>IF(A23&lt;入力・計算!$B$8,A23/(入力・計算!$B$8-1),"")</f>
        <v/>
      </c>
      <c r="G23" s="13" t="str">
        <f>IF(A23&lt;入力・計算!$B$8,D23*E23*F23^2,"")</f>
        <v/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2">
        <v>21</v>
      </c>
      <c r="B24" s="13" t="str">
        <f>IF(A24&lt;入力・計算!$B$8,A24*入力・計算!$B$23,"")</f>
        <v/>
      </c>
      <c r="C24" s="13" t="str">
        <f>IF(A24&lt;入力・計算!$B$8,入力・計算!$B$24,"")</f>
        <v/>
      </c>
      <c r="D24" s="13" t="str">
        <f>IF(A24&lt;入力・計算!$B$8,PI()*入力・計算!$B$27*入力・計算!$B$12*(入力・計算!$B$26/1000)/ACOSH(B24/C24)*1000000000000,"")</f>
        <v/>
      </c>
      <c r="E24" s="12" t="str">
        <f>IF(A24&lt;入力・計算!$B$8,入力・計算!$B$8-A24,"")</f>
        <v/>
      </c>
      <c r="F24" s="13" t="str">
        <f>IF(A24&lt;入力・計算!$B$8,A24/(入力・計算!$B$8-1),"")</f>
        <v/>
      </c>
      <c r="G24" s="13" t="str">
        <f>IF(A24&lt;入力・計算!$B$8,D24*E24*F24^2,"")</f>
        <v/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2">
        <v>22</v>
      </c>
      <c r="B25" s="13" t="str">
        <f>IF(A25&lt;入力・計算!$B$8,A25*入力・計算!$B$23,"")</f>
        <v/>
      </c>
      <c r="C25" s="13" t="str">
        <f>IF(A25&lt;入力・計算!$B$8,入力・計算!$B$24,"")</f>
        <v/>
      </c>
      <c r="D25" s="13" t="str">
        <f>IF(A25&lt;入力・計算!$B$8,PI()*入力・計算!$B$27*入力・計算!$B$12*(入力・計算!$B$26/1000)/ACOSH(B25/C25)*1000000000000,"")</f>
        <v/>
      </c>
      <c r="E25" s="12" t="str">
        <f>IF(A25&lt;入力・計算!$B$8,入力・計算!$B$8-A25,"")</f>
        <v/>
      </c>
      <c r="F25" s="13" t="str">
        <f>IF(A25&lt;入力・計算!$B$8,A25/(入力・計算!$B$8-1),"")</f>
        <v/>
      </c>
      <c r="G25" s="13" t="str">
        <f>IF(A25&lt;入力・計算!$B$8,D25*E25*F25^2,"")</f>
        <v/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2">
        <v>23</v>
      </c>
      <c r="B26" s="13" t="str">
        <f>IF(A26&lt;入力・計算!$B$8,A26*入力・計算!$B$23,"")</f>
        <v/>
      </c>
      <c r="C26" s="13" t="str">
        <f>IF(A26&lt;入力・計算!$B$8,入力・計算!$B$24,"")</f>
        <v/>
      </c>
      <c r="D26" s="13" t="str">
        <f>IF(A26&lt;入力・計算!$B$8,PI()*入力・計算!$B$27*入力・計算!$B$12*(入力・計算!$B$26/1000)/ACOSH(B26/C26)*1000000000000,"")</f>
        <v/>
      </c>
      <c r="E26" s="12" t="str">
        <f>IF(A26&lt;入力・計算!$B$8,入力・計算!$B$8-A26,"")</f>
        <v/>
      </c>
      <c r="F26" s="13" t="str">
        <f>IF(A26&lt;入力・計算!$B$8,A26/(入力・計算!$B$8-1),"")</f>
        <v/>
      </c>
      <c r="G26" s="13" t="str">
        <f>IF(A26&lt;入力・計算!$B$8,D26*E26*F26^2,"")</f>
        <v/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2">
        <v>24</v>
      </c>
      <c r="B27" s="13" t="str">
        <f>IF(A27&lt;入力・計算!$B$8,A27*入力・計算!$B$23,"")</f>
        <v/>
      </c>
      <c r="C27" s="13" t="str">
        <f>IF(A27&lt;入力・計算!$B$8,入力・計算!$B$24,"")</f>
        <v/>
      </c>
      <c r="D27" s="13" t="str">
        <f>IF(A27&lt;入力・計算!$B$8,PI()*入力・計算!$B$27*入力・計算!$B$12*(入力・計算!$B$26/1000)/ACOSH(B27/C27)*1000000000000,"")</f>
        <v/>
      </c>
      <c r="E27" s="12" t="str">
        <f>IF(A27&lt;入力・計算!$B$8,入力・計算!$B$8-A27,"")</f>
        <v/>
      </c>
      <c r="F27" s="13" t="str">
        <f>IF(A27&lt;入力・計算!$B$8,A27/(入力・計算!$B$8-1),"")</f>
        <v/>
      </c>
      <c r="G27" s="13" t="str">
        <f>IF(A27&lt;入力・計算!$B$8,D27*E27*F27^2,"")</f>
        <v/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2">
        <v>25</v>
      </c>
      <c r="B28" s="13" t="str">
        <f>IF(A28&lt;入力・計算!$B$8,A28*入力・計算!$B$23,"")</f>
        <v/>
      </c>
      <c r="C28" s="13" t="str">
        <f>IF(A28&lt;入力・計算!$B$8,入力・計算!$B$24,"")</f>
        <v/>
      </c>
      <c r="D28" s="13" t="str">
        <f>IF(A28&lt;入力・計算!$B$8,PI()*入力・計算!$B$27*入力・計算!$B$12*(入力・計算!$B$26/1000)/ACOSH(B28/C28)*1000000000000,"")</f>
        <v/>
      </c>
      <c r="E28" s="12" t="str">
        <f>IF(A28&lt;入力・計算!$B$8,入力・計算!$B$8-A28,"")</f>
        <v/>
      </c>
      <c r="F28" s="13" t="str">
        <f>IF(A28&lt;入力・計算!$B$8,A28/(入力・計算!$B$8-1),"")</f>
        <v/>
      </c>
      <c r="G28" s="13" t="str">
        <f>IF(A28&lt;入力・計算!$B$8,D28*E28*F28^2,"")</f>
        <v/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2">
        <v>26</v>
      </c>
      <c r="B29" s="13" t="str">
        <f>IF(A29&lt;入力・計算!$B$8,A29*入力・計算!$B$23,"")</f>
        <v/>
      </c>
      <c r="C29" s="13" t="str">
        <f>IF(A29&lt;入力・計算!$B$8,入力・計算!$B$24,"")</f>
        <v/>
      </c>
      <c r="D29" s="13" t="str">
        <f>IF(A29&lt;入力・計算!$B$8,PI()*入力・計算!$B$27*入力・計算!$B$12*(入力・計算!$B$26/1000)/ACOSH(B29/C29)*1000000000000,"")</f>
        <v/>
      </c>
      <c r="E29" s="12" t="str">
        <f>IF(A29&lt;入力・計算!$B$8,入力・計算!$B$8-A29,"")</f>
        <v/>
      </c>
      <c r="F29" s="13" t="str">
        <f>IF(A29&lt;入力・計算!$B$8,A29/(入力・計算!$B$8-1),"")</f>
        <v/>
      </c>
      <c r="G29" s="13" t="str">
        <f>IF(A29&lt;入力・計算!$B$8,D29*E29*F29^2,"")</f>
        <v/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2">
        <v>27</v>
      </c>
      <c r="B30" s="13" t="str">
        <f>IF(A30&lt;入力・計算!$B$8,A30*入力・計算!$B$23,"")</f>
        <v/>
      </c>
      <c r="C30" s="13" t="str">
        <f>IF(A30&lt;入力・計算!$B$8,入力・計算!$B$24,"")</f>
        <v/>
      </c>
      <c r="D30" s="13" t="str">
        <f>IF(A30&lt;入力・計算!$B$8,PI()*入力・計算!$B$27*入力・計算!$B$12*(入力・計算!$B$26/1000)/ACOSH(B30/C30)*1000000000000,"")</f>
        <v/>
      </c>
      <c r="E30" s="12" t="str">
        <f>IF(A30&lt;入力・計算!$B$8,入力・計算!$B$8-A30,"")</f>
        <v/>
      </c>
      <c r="F30" s="13" t="str">
        <f>IF(A30&lt;入力・計算!$B$8,A30/(入力・計算!$B$8-1),"")</f>
        <v/>
      </c>
      <c r="G30" s="13" t="str">
        <f>IF(A30&lt;入力・計算!$B$8,D30*E30*F30^2,"")</f>
        <v/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2">
        <v>28</v>
      </c>
      <c r="B31" s="13" t="str">
        <f>IF(A31&lt;入力・計算!$B$8,A31*入力・計算!$B$23,"")</f>
        <v/>
      </c>
      <c r="C31" s="13" t="str">
        <f>IF(A31&lt;入力・計算!$B$8,入力・計算!$B$24,"")</f>
        <v/>
      </c>
      <c r="D31" s="13" t="str">
        <f>IF(A31&lt;入力・計算!$B$8,PI()*入力・計算!$B$27*入力・計算!$B$12*(入力・計算!$B$26/1000)/ACOSH(B31/C31)*1000000000000,"")</f>
        <v/>
      </c>
      <c r="E31" s="12" t="str">
        <f>IF(A31&lt;入力・計算!$B$8,入力・計算!$B$8-A31,"")</f>
        <v/>
      </c>
      <c r="F31" s="13" t="str">
        <f>IF(A31&lt;入力・計算!$B$8,A31/(入力・計算!$B$8-1),"")</f>
        <v/>
      </c>
      <c r="G31" s="13" t="str">
        <f>IF(A31&lt;入力・計算!$B$8,D31*E31*F31^2,"")</f>
        <v/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2">
        <v>29</v>
      </c>
      <c r="B32" s="13" t="str">
        <f>IF(A32&lt;入力・計算!$B$8,A32*入力・計算!$B$23,"")</f>
        <v/>
      </c>
      <c r="C32" s="13" t="str">
        <f>IF(A32&lt;入力・計算!$B$8,入力・計算!$B$24,"")</f>
        <v/>
      </c>
      <c r="D32" s="13" t="str">
        <f>IF(A32&lt;入力・計算!$B$8,PI()*入力・計算!$B$27*入力・計算!$B$12*(入力・計算!$B$26/1000)/ACOSH(B32/C32)*1000000000000,"")</f>
        <v/>
      </c>
      <c r="E32" s="12" t="str">
        <f>IF(A32&lt;入力・計算!$B$8,入力・計算!$B$8-A32,"")</f>
        <v/>
      </c>
      <c r="F32" s="13" t="str">
        <f>IF(A32&lt;入力・計算!$B$8,A32/(入力・計算!$B$8-1),"")</f>
        <v/>
      </c>
      <c r="G32" s="13" t="str">
        <f>IF(A32&lt;入力・計算!$B$8,D32*E32*F32^2,"")</f>
        <v/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3" t="s">
        <v>96</v>
      </c>
      <c r="B34" s="3"/>
      <c r="C34" s="3"/>
      <c r="D34" s="3"/>
      <c r="E34" s="3"/>
      <c r="F34" s="3" t="s">
        <v>97</v>
      </c>
      <c r="G34" s="14">
        <f>SUM(G4:G32)</f>
        <v>7.5975810424952375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82.5">
      <c r="A35" s="1" t="s">
        <v>98</v>
      </c>
      <c r="B35" s="1"/>
      <c r="C35" s="1"/>
      <c r="D35" s="1"/>
      <c r="E35" s="1"/>
      <c r="F35" s="1"/>
      <c r="G35" s="6" t="s">
        <v>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3">
      <c r="A36" s="1" t="s">
        <v>100</v>
      </c>
      <c r="B36" s="1"/>
      <c r="C36" s="1"/>
      <c r="D36" s="1"/>
      <c r="E36" s="1"/>
      <c r="F36" s="1"/>
      <c r="G36" s="6" t="s">
        <v>101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82.5">
      <c r="A37" s="1" t="s">
        <v>102</v>
      </c>
      <c r="B37" s="1"/>
      <c r="C37" s="1"/>
      <c r="D37" s="1"/>
      <c r="E37" s="1"/>
      <c r="F37" s="1"/>
      <c r="G37" s="6" t="s">
        <v>103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H1"/>
  </mergeCells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workbookViewId="0">
      <selection sqref="A1:H1"/>
    </sheetView>
  </sheetViews>
  <sheetFormatPr defaultRowHeight="14.25"/>
  <cols>
    <col min="1" max="1" width="22" customWidth="1"/>
    <col min="2" max="5" width="14" customWidth="1"/>
    <col min="6" max="6" width="28" customWidth="1"/>
  </cols>
  <sheetData>
    <row r="1" spans="1:26" ht="16.5">
      <c r="A1" s="17" t="s">
        <v>104</v>
      </c>
      <c r="B1" s="18"/>
      <c r="C1" s="18"/>
      <c r="D1" s="18"/>
      <c r="E1" s="18"/>
      <c r="F1" s="18"/>
      <c r="G1" s="18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 t="s">
        <v>97</v>
      </c>
      <c r="B4" s="13">
        <f>入力・計算!B28</f>
        <v>7.5975810424952375</v>
      </c>
      <c r="C4" s="13">
        <f>入力・計算!B13</f>
        <v>1.47</v>
      </c>
      <c r="D4" s="15">
        <f t="shared" ref="D4:D10" si="0">1/(2*PI()*SQRT((C4/1000)*(B4*0.000000000001)))/1000</f>
        <v>1505.995914129941</v>
      </c>
      <c r="E4" s="15">
        <f>1/(2*PI()*(入力・計算!$B$14*1000)*(B4*0.000000000001))</f>
        <v>209481.07325436949</v>
      </c>
      <c r="F4" s="1" t="s">
        <v>111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1" t="s">
        <v>112</v>
      </c>
      <c r="B5" s="13">
        <f>入力・計算!B29</f>
        <v>17.597581042495236</v>
      </c>
      <c r="C5" s="13">
        <f>入力・計算!B13</f>
        <v>1.47</v>
      </c>
      <c r="D5" s="15">
        <f t="shared" si="0"/>
        <v>989.54369798784649</v>
      </c>
      <c r="E5" s="15">
        <f>1/(2*PI()*(入力・計算!$B$14*1000)*(B5*0.000000000001))</f>
        <v>90441.375270591219</v>
      </c>
      <c r="F5" s="1" t="s">
        <v>113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1" t="s">
        <v>114</v>
      </c>
      <c r="B6" s="13">
        <v>10</v>
      </c>
      <c r="C6" s="13">
        <f>入力・計算!B13</f>
        <v>1.47</v>
      </c>
      <c r="D6" s="15">
        <f t="shared" si="0"/>
        <v>1312.6878462423622</v>
      </c>
      <c r="E6" s="15">
        <f>1/(2*PI()*(入力・計算!$B$14*1000)*(B6*0.000000000001))</f>
        <v>159154.94309189534</v>
      </c>
      <c r="F6" s="1" t="s">
        <v>115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1" t="s">
        <v>116</v>
      </c>
      <c r="B7" s="13">
        <v>22</v>
      </c>
      <c r="C7" s="13">
        <f>入力・計算!B13</f>
        <v>1.47</v>
      </c>
      <c r="D7" s="15">
        <f t="shared" si="0"/>
        <v>885.01396539377004</v>
      </c>
      <c r="E7" s="15">
        <f>1/(2*PI()*(入力・計算!$B$14*1000)*(B7*0.000000000001))</f>
        <v>72343.155950861532</v>
      </c>
      <c r="F7" s="1" t="s">
        <v>115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1" t="s">
        <v>117</v>
      </c>
      <c r="B8" s="13">
        <v>47</v>
      </c>
      <c r="C8" s="13">
        <f>入力・計算!B13</f>
        <v>1.47</v>
      </c>
      <c r="D8" s="15">
        <f t="shared" si="0"/>
        <v>605.49775227940086</v>
      </c>
      <c r="E8" s="15">
        <f>1/(2*PI()*(入力・計算!$B$14*1000)*(B8*0.000000000001))</f>
        <v>33862.753849339439</v>
      </c>
      <c r="F8" s="1" t="s">
        <v>118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1" t="s">
        <v>119</v>
      </c>
      <c r="B9" s="13">
        <v>100</v>
      </c>
      <c r="C9" s="13">
        <f>入力・計算!B13</f>
        <v>1.47</v>
      </c>
      <c r="D9" s="15">
        <f t="shared" si="0"/>
        <v>415.10834509467662</v>
      </c>
      <c r="E9" s="15">
        <f>1/(2*PI()*(入力・計算!$B$14*1000)*(B9*0.000000000001))</f>
        <v>15915.494309189537</v>
      </c>
      <c r="F9" s="1" t="s">
        <v>120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1" t="s">
        <v>121</v>
      </c>
      <c r="B10" s="13">
        <f>入力・計算!B16</f>
        <v>1775</v>
      </c>
      <c r="C10" s="13">
        <f>入力・計算!B13</f>
        <v>1.47</v>
      </c>
      <c r="D10" s="15">
        <f t="shared" si="0"/>
        <v>98.528594024313307</v>
      </c>
      <c r="E10" s="15">
        <f>1/(2*PI()*(入力・計算!$B$14*1000)*(B10*0.000000000001))</f>
        <v>896.64756671490329</v>
      </c>
      <c r="F10" s="1" t="s">
        <v>122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9" t="s">
        <v>123</v>
      </c>
      <c r="B13" s="18"/>
      <c r="C13" s="18"/>
      <c r="D13" s="18"/>
      <c r="E13" s="18"/>
      <c r="F13" s="18"/>
      <c r="G13" s="18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8" t="s">
        <v>124</v>
      </c>
      <c r="B14" s="18" t="s">
        <v>125</v>
      </c>
      <c r="C14" s="18"/>
      <c r="D14" s="18"/>
      <c r="E14" s="18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8" t="s">
        <v>126</v>
      </c>
      <c r="B15" s="18" t="s">
        <v>127</v>
      </c>
      <c r="C15" s="18"/>
      <c r="D15" s="18"/>
      <c r="E15" s="18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8" t="s">
        <v>128</v>
      </c>
      <c r="B16" s="18" t="s">
        <v>129</v>
      </c>
      <c r="C16" s="18"/>
      <c r="D16" s="18"/>
      <c r="E16" s="18"/>
      <c r="F16" s="18"/>
      <c r="G16" s="18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8" t="s">
        <v>102</v>
      </c>
      <c r="B17" s="18" t="s">
        <v>130</v>
      </c>
      <c r="C17" s="18"/>
      <c r="D17" s="18"/>
      <c r="E17" s="18"/>
      <c r="F17" s="18"/>
      <c r="G17" s="18"/>
      <c r="H17" s="1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6">
    <mergeCell ref="A17:H17"/>
    <mergeCell ref="A1:H1"/>
    <mergeCell ref="A13:H13"/>
    <mergeCell ref="A14:H14"/>
    <mergeCell ref="A15:H15"/>
    <mergeCell ref="A16:H16"/>
  </mergeCells>
  <phoneticPr fontId="6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"/>
  <sheetViews>
    <sheetView workbookViewId="0">
      <selection activeCell="B16" sqref="B16"/>
    </sheetView>
  </sheetViews>
  <sheetFormatPr defaultRowHeight="14.25"/>
  <cols>
    <col min="1" max="1" width="22" customWidth="1"/>
    <col min="2" max="2" width="42" customWidth="1"/>
    <col min="3" max="3" width="54" customWidth="1"/>
    <col min="4" max="4" width="48" customWidth="1"/>
  </cols>
  <sheetData>
    <row r="1" spans="1:26" ht="16.5">
      <c r="A1" s="17" t="s">
        <v>131</v>
      </c>
      <c r="B1" s="18"/>
      <c r="C1" s="18"/>
      <c r="D1" s="18"/>
      <c r="E1" s="1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" t="s">
        <v>1</v>
      </c>
      <c r="B3" s="2" t="s">
        <v>132</v>
      </c>
      <c r="C3" s="2" t="s">
        <v>133</v>
      </c>
      <c r="D3" s="2" t="s">
        <v>95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4" t="s">
        <v>134</v>
      </c>
      <c r="B4" s="6" t="s">
        <v>135</v>
      </c>
      <c r="C4" s="6" t="s">
        <v>136</v>
      </c>
      <c r="D4" s="6" t="s">
        <v>137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4" t="s">
        <v>138</v>
      </c>
      <c r="B5" s="6" t="s">
        <v>139</v>
      </c>
      <c r="C5" s="6" t="s">
        <v>140</v>
      </c>
      <c r="D5" s="6" t="s">
        <v>141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4" t="s">
        <v>142</v>
      </c>
      <c r="B6" s="6" t="s">
        <v>101</v>
      </c>
      <c r="C6" s="6" t="s">
        <v>143</v>
      </c>
      <c r="D6" s="6" t="s">
        <v>144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4" t="s">
        <v>145</v>
      </c>
      <c r="B7" s="6" t="s">
        <v>146</v>
      </c>
      <c r="C7" s="6" t="s">
        <v>147</v>
      </c>
      <c r="D7" s="6" t="s">
        <v>148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>
      <c r="A8" s="4" t="s">
        <v>149</v>
      </c>
      <c r="B8" s="6" t="s">
        <v>150</v>
      </c>
      <c r="C8" s="6"/>
      <c r="D8" s="6" t="s">
        <v>151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4"/>
      <c r="B9" s="6"/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4"/>
      <c r="B10" s="6"/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E1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入力・計算</vt:lpstr>
      <vt:lpstr>ペア別容量</vt:lpstr>
      <vt:lpstr>SRF感度</vt:lpstr>
      <vt:lpstr>出典・メモ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一裕 向井</cp:lastModifiedBy>
  <dcterms:modified xsi:type="dcterms:W3CDTF">2026-06-07T04:44:24Z</dcterms:modified>
</cp:coreProperties>
</file>