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9108h\Downloads\"/>
    </mc:Choice>
  </mc:AlternateContent>
  <xr:revisionPtr revIDLastSave="0" documentId="13_ncr:1_{D214A6B8-A7B0-49CE-A310-C08692591C3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X_Damper_Calc" sheetId="1" r:id="rId1"/>
    <sheet name="X_Cd_Cx_Sweep" sheetId="2" r:id="rId2"/>
    <sheet name="Y_Damper_Cal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3" l="1"/>
  <c r="C18" i="3"/>
  <c r="C22" i="1"/>
  <c r="C15" i="1"/>
  <c r="C33" i="3" l="1"/>
  <c r="C16" i="1"/>
  <c r="C21" i="3"/>
  <c r="C19" i="3"/>
  <c r="C17" i="1" l="1"/>
  <c r="C18" i="1"/>
  <c r="B7" i="2"/>
  <c r="B8" i="2"/>
  <c r="B9" i="2"/>
  <c r="B10" i="2"/>
  <c r="B6" i="2"/>
  <c r="B11" i="2"/>
  <c r="B12" i="2"/>
  <c r="B13" i="2"/>
  <c r="B14" i="2"/>
  <c r="C23" i="3"/>
  <c r="C25" i="3"/>
  <c r="C26" i="3" s="1"/>
  <c r="C27" i="3" s="1"/>
  <c r="C20" i="3"/>
  <c r="C22" i="3"/>
  <c r="C29" i="3"/>
  <c r="C20" i="1"/>
  <c r="C19" i="1" l="1"/>
  <c r="C23" i="1"/>
  <c r="C24" i="1" s="1"/>
  <c r="C35" i="3"/>
  <c r="C30" i="3"/>
  <c r="C14" i="2"/>
  <c r="D14" i="2" s="1"/>
  <c r="E14" i="2" s="1"/>
  <c r="F14" i="2" s="1"/>
  <c r="G14" i="2" s="1"/>
  <c r="C13" i="2"/>
  <c r="D13" i="2" s="1"/>
  <c r="E13" i="2" s="1"/>
  <c r="F13" i="2" s="1"/>
  <c r="G13" i="2" s="1"/>
  <c r="C12" i="2"/>
  <c r="D12" i="2" s="1"/>
  <c r="E12" i="2" s="1"/>
  <c r="F12" i="2" s="1"/>
  <c r="G12" i="2" s="1"/>
  <c r="C11" i="2"/>
  <c r="D11" i="2" s="1"/>
  <c r="E11" i="2" s="1"/>
  <c r="F11" i="2" s="1"/>
  <c r="G11" i="2" s="1"/>
  <c r="C10" i="2"/>
  <c r="D10" i="2" s="1"/>
  <c r="E10" i="2" s="1"/>
  <c r="F10" i="2" s="1"/>
  <c r="G10" i="2" s="1"/>
  <c r="C9" i="2"/>
  <c r="D9" i="2" s="1"/>
  <c r="E9" i="2" s="1"/>
  <c r="F9" i="2" s="1"/>
  <c r="G9" i="2" s="1"/>
  <c r="C8" i="2"/>
  <c r="D8" i="2" s="1"/>
  <c r="E8" i="2" s="1"/>
  <c r="F8" i="2" s="1"/>
  <c r="G8" i="2" s="1"/>
  <c r="C7" i="2"/>
  <c r="D7" i="2" s="1"/>
  <c r="E7" i="2" s="1"/>
  <c r="F7" i="2" s="1"/>
  <c r="G7" i="2" s="1"/>
  <c r="C6" i="2"/>
  <c r="D6" i="2" s="1"/>
  <c r="E6" i="2" s="1"/>
  <c r="F6" i="2" s="1"/>
  <c r="G6" i="2" s="1"/>
  <c r="C21" i="1"/>
  <c r="C24" i="3"/>
  <c r="C27" i="1" l="1"/>
  <c r="C25" i="1"/>
  <c r="C26" i="1" s="1"/>
  <c r="C34" i="3"/>
  <c r="C36" i="3" s="1"/>
  <c r="C31" i="3"/>
  <c r="C32" i="3" s="1"/>
</calcChain>
</file>

<file path=xl/sharedStrings.xml><?xml version="1.0" encoding="utf-8"?>
<sst xmlns="http://schemas.openxmlformats.org/spreadsheetml/2006/main" count="257" uniqueCount="179">
  <si>
    <t>Xコン用ダンパ設計計算シート</t>
  </si>
  <si>
    <t>入力条件</t>
  </si>
  <si>
    <t>項目</t>
  </si>
  <si>
    <t>記号</t>
  </si>
  <si>
    <t>入力値</t>
  </si>
  <si>
    <t>単位</t>
  </si>
  <si>
    <t>説明</t>
  </si>
  <si>
    <t>入力電圧（実効値）</t>
  </si>
  <si>
    <t>Vin</t>
  </si>
  <si>
    <t>V rms</t>
  </si>
  <si>
    <t>Xダンパ枝にかかる線間電圧として計算</t>
  </si>
  <si>
    <t>入力周波数</t>
  </si>
  <si>
    <t>fin</t>
  </si>
  <si>
    <t>Hz</t>
  </si>
  <si>
    <t>発熱・容量電流の計算周波数</t>
  </si>
  <si>
    <t>目標共振周波数</t>
  </si>
  <si>
    <t>f0</t>
  </si>
  <si>
    <t>差動等価LとCxの共振周波数</t>
  </si>
  <si>
    <t>LDM（1ラインあたり）</t>
  </si>
  <si>
    <t>LDM</t>
  </si>
  <si>
    <t>µH</t>
  </si>
  <si>
    <t>HOT側またはRTN側1本分</t>
  </si>
  <si>
    <t>Cd/Cx比</t>
  </si>
  <si>
    <t>n</t>
  </si>
  <si>
    <t>-</t>
  </si>
  <si>
    <t>Erickson式の n = Cd/Cx</t>
  </si>
  <si>
    <t>Rd指定値</t>
  </si>
  <si>
    <t>Rd_set</t>
  </si>
  <si>
    <t>Ω</t>
  </si>
  <si>
    <t>採用する実部品値。空欄なら最適値を使用</t>
  </si>
  <si>
    <t>ダンパ枝数</t>
  </si>
  <si>
    <t>Nbranch</t>
  </si>
  <si>
    <t>本</t>
  </si>
  <si>
    <t>現在はR18/R22など2本を想定</t>
  </si>
  <si>
    <t>計算結果</t>
  </si>
  <si>
    <t>計算式/値</t>
  </si>
  <si>
    <t>差動等価インダクタンス</t>
  </si>
  <si>
    <t>L_eq</t>
  </si>
  <si>
    <t>H</t>
  </si>
  <si>
    <t>HOT側+RTN側の合計</t>
  </si>
  <si>
    <t>Xコン容量</t>
  </si>
  <si>
    <t>Cx</t>
  </si>
  <si>
    <t>F</t>
  </si>
  <si>
    <t>f0とL_eqから逆算</t>
  </si>
  <si>
    <t>µF</t>
  </si>
  <si>
    <t>実装値の目安</t>
  </si>
  <si>
    <t>ダンパC</t>
  </si>
  <si>
    <t>Cd</t>
  </si>
  <si>
    <t>Cd=n×Cx</t>
  </si>
  <si>
    <t>特性インピーダンス</t>
  </si>
  <si>
    <t>R0</t>
  </si>
  <si>
    <t>sqrt(L_eq/Cx)</t>
  </si>
  <si>
    <t>Erickson最適Rd</t>
  </si>
  <si>
    <t>Rd_opt</t>
  </si>
  <si>
    <t>最適ピークインピーダンス条件</t>
  </si>
  <si>
    <t>採用Rd</t>
  </si>
  <si>
    <t>Rd</t>
  </si>
  <si>
    <t>Rd指定値があれば指定値を優先</t>
  </si>
  <si>
    <t>Cdリアクタンス</t>
  </si>
  <si>
    <t>Xcd_fin</t>
  </si>
  <si>
    <t>入力周波数でのCdリアクタンス</t>
  </si>
  <si>
    <t>ダンパ枝電流</t>
  </si>
  <si>
    <t>I_Rd</t>
  </si>
  <si>
    <t>A rms</t>
  </si>
  <si>
    <t>Vin / sqrt(Rd^2+Xcd^2)</t>
  </si>
  <si>
    <t>Rd発熱量（1本）</t>
  </si>
  <si>
    <t>P_Rd</t>
  </si>
  <si>
    <t>W</t>
  </si>
  <si>
    <t>I_Rd^2×Rd</t>
  </si>
  <si>
    <t>Rd発熱量（合計）</t>
  </si>
  <si>
    <t>P_total</t>
  </si>
  <si>
    <t>P_Rd×枝数</t>
  </si>
  <si>
    <t>Xダンパ無効電力目安（1本）</t>
  </si>
  <si>
    <t>Q_Cd</t>
  </si>
  <si>
    <t>var</t>
  </si>
  <si>
    <t>Vin×I_Rdの概算</t>
  </si>
  <si>
    <t>計算式メモ</t>
  </si>
  <si>
    <t>差動等価L</t>
  </si>
  <si>
    <t>L_eq = 2 × LDM_line</t>
  </si>
  <si>
    <t>Cx逆算</t>
  </si>
  <si>
    <t>Cx = 1 / ((2πf0)^2 × L_eq)</t>
  </si>
  <si>
    <t>Cd = n × Cx</t>
  </si>
  <si>
    <t>Erickson Rd</t>
  </si>
  <si>
    <t>Rd_opt = R0 × sqrt(((2+n)(4+3n))/(2n^2(4+n)))</t>
  </si>
  <si>
    <t>発熱</t>
  </si>
  <si>
    <t>P_Rd = I_Rd^2 × Rd,  I_Rd = Vin / sqrt(Rd^2 + Xcd^2)</t>
  </si>
  <si>
    <t>注意</t>
  </si>
  <si>
    <t>400 Hz基本波による抵抗発熱の概算です。実機では電圧上限、容量公差、周囲温度でディレーティングしてください。</t>
  </si>
  <si>
    <t>Xコン用 Cd/Cx比スイープ</t>
  </si>
  <si>
    <t>X_Damper_Calc の入力条件を参照して、Cd/Cx比だけを変化させた比較表</t>
  </si>
  <si>
    <t>Cd/Cx比 n</t>
  </si>
  <si>
    <t>Cd [µF]</t>
  </si>
  <si>
    <t>Rd_opt [Ω]</t>
  </si>
  <si>
    <t>採用Rd [Ω]</t>
  </si>
  <si>
    <t>I_Rd [mA]</t>
  </si>
  <si>
    <t>P_Rd/本 [W]</t>
  </si>
  <si>
    <t>P_Rd合計 [W]</t>
  </si>
  <si>
    <t>備考</t>
  </si>
  <si>
    <t>現状比</t>
  </si>
  <si>
    <t>Yコン用ダンパ設計計算シート</t>
  </si>
  <si>
    <t>各Y枝が見る電圧。安全側では線間電圧相当で評価</t>
  </si>
  <si>
    <t>漏れ電流・発熱計算の周波数</t>
  </si>
  <si>
    <t>CM共振確認周波数</t>
  </si>
  <si>
    <t>f0_CM</t>
  </si>
  <si>
    <t>参考：現在のピーク周波数など</t>
  </si>
  <si>
    <t>LCM</t>
  </si>
  <si>
    <t>mH</t>
  </si>
  <si>
    <t>CM等価インダクタンス</t>
  </si>
  <si>
    <t>基本Yコン（1ラインあたり）</t>
  </si>
  <si>
    <t>Cy</t>
  </si>
  <si>
    <t>nF</t>
  </si>
  <si>
    <t>HOT-シャーシ、RTN-シャーシ各1個</t>
  </si>
  <si>
    <t>Cdy/Cy比</t>
  </si>
  <si>
    <t>追加YダンパC / 基本Yコン</t>
  </si>
  <si>
    <t>Y枝数</t>
  </si>
  <si>
    <t>HOT側・RTN側の2本を想定</t>
  </si>
  <si>
    <t>容量公差上限</t>
  </si>
  <si>
    <t>C_tol</t>
  </si>
  <si>
    <t>%</t>
  </si>
  <si>
    <t>漏れ電流マージン計算用</t>
  </si>
  <si>
    <t>電圧上限マージン</t>
  </si>
  <si>
    <t>V_tol</t>
  </si>
  <si>
    <t>基本Yコン</t>
  </si>
  <si>
    <t>F/line</t>
  </si>
  <si>
    <t>入力値のSI換算</t>
  </si>
  <si>
    <t>追加YダンパC</t>
  </si>
  <si>
    <t>Cdy</t>
  </si>
  <si>
    <t>Cdy=n×Cy</t>
  </si>
  <si>
    <t>nF/line</t>
  </si>
  <si>
    <t>CM等価 基本Y容量</t>
  </si>
  <si>
    <t>Cy_CM</t>
  </si>
  <si>
    <t>2×Cy</t>
  </si>
  <si>
    <t>CM等価 追加C容量</t>
  </si>
  <si>
    <t>Cdy_CM</t>
  </si>
  <si>
    <t>2×Cdy</t>
  </si>
  <si>
    <t>基本YだけのCM共振</t>
  </si>
  <si>
    <t>f0_basic</t>
  </si>
  <si>
    <t>LCMと2×Cyから計算</t>
  </si>
  <si>
    <t>追加C込みの参考共振</t>
  </si>
  <si>
    <t>f0_total</t>
  </si>
  <si>
    <t>LCMと2×(Cy+Cdy)から計算</t>
  </si>
  <si>
    <t>CM特性インピーダンス</t>
  </si>
  <si>
    <t>R0_CM</t>
  </si>
  <si>
    <t>sqrt(LCM / Cy_CM)</t>
  </si>
  <si>
    <t>Erickson最適Rd（CM等価）</t>
  </si>
  <si>
    <t>Rd_CM_opt</t>
  </si>
  <si>
    <t>CM等価での直列R</t>
  </si>
  <si>
    <t>Erickson最適Rd（1ライン）</t>
  </si>
  <si>
    <t>Rd_line_opt</t>
  </si>
  <si>
    <t>対称2枝なのでRd_line=2×Rd_CM</t>
  </si>
  <si>
    <t>採用Rd（1ライン）</t>
  </si>
  <si>
    <t>Cdyリアクタンス</t>
  </si>
  <si>
    <t>Xcdy_fin</t>
  </si>
  <si>
    <t>入力周波数でのCdyリアクタンス</t>
  </si>
  <si>
    <t>Yダンパ枝電流</t>
  </si>
  <si>
    <t>I_damper</t>
  </si>
  <si>
    <t>A rms/line</t>
  </si>
  <si>
    <t>追加CR枝の電流</t>
  </si>
  <si>
    <t>I_damper^2×Rd</t>
  </si>
  <si>
    <t>基本Yコン電流</t>
  </si>
  <si>
    <t>I_Cy</t>
  </si>
  <si>
    <t>基本Yコン単独の容量電流</t>
  </si>
  <si>
    <t>漏れ電流（安全側合算）</t>
  </si>
  <si>
    <t>I_leak_safe</t>
  </si>
  <si>
    <t>枝数×(I_Cy+I_damper)</t>
  </si>
  <si>
    <t>漏れ電流（フェーザ合成）</t>
  </si>
  <si>
    <t>I_leak_phasor</t>
  </si>
  <si>
    <t>基本Yと追加CRをフェーザ合成</t>
  </si>
  <si>
    <t>公差込み漏れ電流目安</t>
  </si>
  <si>
    <t>I_leak_margin</t>
  </si>
  <si>
    <t>容量公差・電圧上限を反映</t>
  </si>
  <si>
    <t>CM等価容量</t>
  </si>
  <si>
    <t>Cy_CM = 2 × Cy,  Cdy_CM = 2 × Cdy</t>
  </si>
  <si>
    <t>CM等価で計算した Rd_CM を2倍して、1ラインあたりのRdに換算します。</t>
  </si>
  <si>
    <t>漏れ電流</t>
  </si>
  <si>
    <t>安全側合算は基本Y電流と追加ダンパ電流の絶対値を足し合わせます。</t>
  </si>
  <si>
    <t>フェーザ合成</t>
  </si>
  <si>
    <t>実際の位相を反映した目安です。抵抗成分が小さいため安全側合算とほぼ同じです。</t>
  </si>
  <si>
    <t>タッチカレント判定では製品分類、測定回路、単一故障条件、入力電圧上限を別途確認してください。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</si>
</sst>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0.###"/>
    <numFmt numFmtId="178" formatCode="0.000E+00"/>
    <numFmt numFmtId="179" formatCode="0.000"/>
    <numFmt numFmtId="180" formatCode="0.000000"/>
  </numFmts>
  <fonts count="8">
    <font>
      <sz val="11"/>
      <name val="Carlito"/>
    </font>
    <font>
      <b/>
      <sz val="14"/>
      <color rgb="FFFFFFFF"/>
      <name val="Carlito"/>
    </font>
    <font>
      <b/>
      <sz val="11"/>
      <color rgb="FF1F4E78"/>
      <name val="Carlito"/>
    </font>
    <font>
      <b/>
      <sz val="11"/>
      <color rgb="FFFFFFFF"/>
      <name val="Carlito"/>
    </font>
    <font>
      <sz val="11"/>
      <color rgb="FF000000"/>
      <name val="Carlito"/>
    </font>
    <font>
      <sz val="11"/>
      <color rgb="FF444444"/>
      <name val="Carlito"/>
    </font>
    <font>
      <sz val="11"/>
      <name val="Carlito"/>
    </font>
    <font>
      <sz val="6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left"/>
    </xf>
    <xf numFmtId="0" fontId="5" fillId="7" borderId="0" xfId="1" applyFont="1" applyFill="1" applyAlignment="1">
      <alignment wrapText="1"/>
    </xf>
    <xf numFmtId="0" fontId="3" fillId="4" borderId="1" xfId="1" applyFont="1" applyFill="1" applyBorder="1" applyAlignment="1">
      <alignment horizontal="center" vertical="center"/>
    </xf>
    <xf numFmtId="0" fontId="0" fillId="0" borderId="1" xfId="1" applyFont="1" applyBorder="1"/>
    <xf numFmtId="176" fontId="4" fillId="5" borderId="1" xfId="1" applyNumberFormat="1" applyFont="1" applyFill="1" applyBorder="1"/>
    <xf numFmtId="177" fontId="4" fillId="5" borderId="1" xfId="1" applyNumberFormat="1" applyFont="1" applyFill="1" applyBorder="1"/>
    <xf numFmtId="178" fontId="4" fillId="6" borderId="1" xfId="1" applyNumberFormat="1" applyFont="1" applyFill="1" applyBorder="1"/>
    <xf numFmtId="179" fontId="4" fillId="6" borderId="1" xfId="1" applyNumberFormat="1" applyFont="1" applyFill="1" applyBorder="1"/>
    <xf numFmtId="0" fontId="5" fillId="7" borderId="1" xfId="1" applyFont="1" applyFill="1" applyBorder="1" applyAlignment="1">
      <alignment wrapText="1"/>
    </xf>
    <xf numFmtId="176" fontId="0" fillId="0" borderId="1" xfId="1" applyNumberFormat="1" applyFont="1" applyBorder="1"/>
    <xf numFmtId="179" fontId="0" fillId="0" borderId="1" xfId="1" applyNumberFormat="1" applyFont="1" applyBorder="1"/>
    <xf numFmtId="1" fontId="4" fillId="6" borderId="1" xfId="1" applyNumberFormat="1" applyFont="1" applyFill="1" applyBorder="1"/>
    <xf numFmtId="176" fontId="4" fillId="6" borderId="1" xfId="1" applyNumberFormat="1" applyFont="1" applyFill="1" applyBorder="1"/>
    <xf numFmtId="180" fontId="4" fillId="6" borderId="1" xfId="1" applyNumberFormat="1" applyFont="1" applyFill="1" applyBorder="1"/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workbookViewId="0"/>
  </sheetViews>
  <sheetFormatPr defaultRowHeight="14.25"/>
  <cols>
    <col min="1" max="2" width="30" customWidth="1"/>
    <col min="3" max="3" width="18" customWidth="1"/>
    <col min="4" max="4" width="12" customWidth="1"/>
    <col min="5" max="5" width="54" customWidth="1"/>
  </cols>
  <sheetData>
    <row r="1" spans="1:8" ht="27.95" customHeight="1">
      <c r="A1" s="1" t="s">
        <v>0</v>
      </c>
      <c r="B1" s="1"/>
      <c r="C1" s="1"/>
      <c r="D1" s="1"/>
      <c r="E1" s="1"/>
      <c r="F1" s="1"/>
      <c r="G1" s="1"/>
      <c r="H1" s="1"/>
    </row>
    <row r="3" spans="1:8" ht="15">
      <c r="A3" s="2" t="s">
        <v>1</v>
      </c>
      <c r="B3" s="2"/>
      <c r="C3" s="2"/>
      <c r="D3" s="2"/>
      <c r="E3" s="2"/>
      <c r="F3" s="2"/>
      <c r="G3" s="2"/>
      <c r="H3" s="2"/>
    </row>
    <row r="4" spans="1:8" ht="1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spans="1:8">
      <c r="A5" s="5" t="s">
        <v>7</v>
      </c>
      <c r="B5" s="5" t="s">
        <v>8</v>
      </c>
      <c r="C5" s="6">
        <v>115</v>
      </c>
      <c r="D5" s="5" t="s">
        <v>9</v>
      </c>
      <c r="E5" s="5" t="s">
        <v>10</v>
      </c>
    </row>
    <row r="6" spans="1:8">
      <c r="A6" s="5" t="s">
        <v>11</v>
      </c>
      <c r="B6" s="5" t="s">
        <v>12</v>
      </c>
      <c r="C6" s="6">
        <v>400</v>
      </c>
      <c r="D6" s="5" t="s">
        <v>13</v>
      </c>
      <c r="E6" s="5" t="s">
        <v>14</v>
      </c>
    </row>
    <row r="7" spans="1:8">
      <c r="A7" s="5" t="s">
        <v>15</v>
      </c>
      <c r="B7" s="5" t="s">
        <v>16</v>
      </c>
      <c r="C7" s="6">
        <v>24000</v>
      </c>
      <c r="D7" s="5" t="s">
        <v>13</v>
      </c>
      <c r="E7" s="5" t="s">
        <v>17</v>
      </c>
    </row>
    <row r="8" spans="1:8">
      <c r="A8" s="5" t="s">
        <v>18</v>
      </c>
      <c r="B8" s="5" t="s">
        <v>19</v>
      </c>
      <c r="C8" s="7">
        <v>220</v>
      </c>
      <c r="D8" s="5" t="s">
        <v>20</v>
      </c>
      <c r="E8" s="5" t="s">
        <v>21</v>
      </c>
    </row>
    <row r="9" spans="1:8">
      <c r="A9" s="5" t="s">
        <v>22</v>
      </c>
      <c r="B9" s="5" t="s">
        <v>23</v>
      </c>
      <c r="C9" s="7">
        <v>2.2000000000000002</v>
      </c>
      <c r="D9" s="5" t="s">
        <v>24</v>
      </c>
      <c r="E9" s="5" t="s">
        <v>25</v>
      </c>
    </row>
    <row r="10" spans="1:8">
      <c r="A10" s="5" t="s">
        <v>26</v>
      </c>
      <c r="B10" s="5" t="s">
        <v>27</v>
      </c>
      <c r="C10" s="7">
        <v>62</v>
      </c>
      <c r="D10" s="5" t="s">
        <v>28</v>
      </c>
      <c r="E10" s="5" t="s">
        <v>29</v>
      </c>
    </row>
    <row r="11" spans="1:8">
      <c r="A11" s="5" t="s">
        <v>30</v>
      </c>
      <c r="B11" s="5" t="s">
        <v>31</v>
      </c>
      <c r="C11" s="7">
        <v>2</v>
      </c>
      <c r="D11" s="5" t="s">
        <v>32</v>
      </c>
      <c r="E11" s="5" t="s">
        <v>33</v>
      </c>
    </row>
    <row r="13" spans="1:8" ht="15">
      <c r="A13" s="2" t="s">
        <v>34</v>
      </c>
      <c r="B13" s="2"/>
      <c r="C13" s="2"/>
      <c r="D13" s="2"/>
      <c r="E13" s="2"/>
      <c r="F13" s="2"/>
      <c r="G13" s="2"/>
      <c r="H13" s="2"/>
    </row>
    <row r="14" spans="1:8" ht="15">
      <c r="A14" s="4" t="s">
        <v>2</v>
      </c>
      <c r="B14" s="4" t="s">
        <v>3</v>
      </c>
      <c r="C14" s="4" t="s">
        <v>35</v>
      </c>
      <c r="D14" s="4" t="s">
        <v>5</v>
      </c>
      <c r="E14" s="4" t="s">
        <v>6</v>
      </c>
    </row>
    <row r="15" spans="1:8">
      <c r="A15" s="5" t="s">
        <v>36</v>
      </c>
      <c r="B15" s="5" t="s">
        <v>37</v>
      </c>
      <c r="C15" s="8">
        <f>2*C8*0.000001</f>
        <v>4.3999999999999996E-4</v>
      </c>
      <c r="D15" s="5" t="s">
        <v>38</v>
      </c>
      <c r="E15" s="5" t="s">
        <v>39</v>
      </c>
    </row>
    <row r="16" spans="1:8">
      <c r="A16" s="5" t="s">
        <v>40</v>
      </c>
      <c r="B16" s="5" t="s">
        <v>41</v>
      </c>
      <c r="C16" s="8">
        <f>1/((2*PI()*C7)^2*C15)</f>
        <v>9.9945927677495465E-8</v>
      </c>
      <c r="D16" s="5" t="s">
        <v>42</v>
      </c>
      <c r="E16" s="5" t="s">
        <v>43</v>
      </c>
    </row>
    <row r="17" spans="1:8">
      <c r="A17" s="5" t="s">
        <v>40</v>
      </c>
      <c r="B17" s="5" t="s">
        <v>41</v>
      </c>
      <c r="C17" s="9">
        <f>C16*1000000</f>
        <v>9.9945927677495466E-2</v>
      </c>
      <c r="D17" s="5" t="s">
        <v>44</v>
      </c>
      <c r="E17" s="5" t="s">
        <v>45</v>
      </c>
    </row>
    <row r="18" spans="1:8">
      <c r="A18" s="5" t="s">
        <v>46</v>
      </c>
      <c r="B18" s="5" t="s">
        <v>47</v>
      </c>
      <c r="C18" s="9">
        <f>C9*C16</f>
        <v>2.1988104089049005E-7</v>
      </c>
      <c r="D18" s="5" t="s">
        <v>42</v>
      </c>
      <c r="E18" s="5" t="s">
        <v>48</v>
      </c>
    </row>
    <row r="19" spans="1:8">
      <c r="A19" s="5" t="s">
        <v>46</v>
      </c>
      <c r="B19" s="5" t="s">
        <v>47</v>
      </c>
      <c r="C19" s="9">
        <f>C18*1000000</f>
        <v>0.21988104089049004</v>
      </c>
      <c r="D19" s="5" t="s">
        <v>44</v>
      </c>
      <c r="E19" s="5" t="s">
        <v>45</v>
      </c>
    </row>
    <row r="20" spans="1:8">
      <c r="A20" s="5" t="s">
        <v>49</v>
      </c>
      <c r="B20" s="5" t="s">
        <v>50</v>
      </c>
      <c r="C20" s="9">
        <f>SQRT(C15/C16)</f>
        <v>66.350436843816425</v>
      </c>
      <c r="D20" s="5" t="s">
        <v>28</v>
      </c>
      <c r="E20" s="5" t="s">
        <v>51</v>
      </c>
    </row>
    <row r="21" spans="1:8">
      <c r="A21" s="5" t="s">
        <v>52</v>
      </c>
      <c r="B21" s="5" t="s">
        <v>53</v>
      </c>
      <c r="C21" s="9">
        <f>C20*SQRT(((2+C9)*(4+3*C9))/(2*C9^2*(4+C9)))</f>
        <v>57.14626371117707</v>
      </c>
      <c r="D21" s="5" t="s">
        <v>28</v>
      </c>
      <c r="E21" s="5" t="s">
        <v>54</v>
      </c>
    </row>
    <row r="22" spans="1:8">
      <c r="A22" s="5" t="s">
        <v>55</v>
      </c>
      <c r="B22" s="5" t="s">
        <v>56</v>
      </c>
      <c r="C22" s="9">
        <f>IF(ISBLANK(C10),C21,C10)</f>
        <v>62</v>
      </c>
      <c r="D22" s="5" t="s">
        <v>28</v>
      </c>
      <c r="E22" s="5" t="s">
        <v>57</v>
      </c>
    </row>
    <row r="23" spans="1:8">
      <c r="A23" s="5" t="s">
        <v>58</v>
      </c>
      <c r="B23" s="5" t="s">
        <v>59</v>
      </c>
      <c r="C23" s="9">
        <f>1/(2*PI()*C6*C18)</f>
        <v>1809.5573684677199</v>
      </c>
      <c r="D23" s="5" t="s">
        <v>28</v>
      </c>
      <c r="E23" s="5" t="s">
        <v>60</v>
      </c>
    </row>
    <row r="24" spans="1:8">
      <c r="A24" s="5" t="s">
        <v>61</v>
      </c>
      <c r="B24" s="5" t="s">
        <v>62</v>
      </c>
      <c r="C24" s="9">
        <f>C5/SQRT(C22^2+C23^2)</f>
        <v>6.351418360595551E-2</v>
      </c>
      <c r="D24" s="5" t="s">
        <v>63</v>
      </c>
      <c r="E24" s="5" t="s">
        <v>64</v>
      </c>
    </row>
    <row r="25" spans="1:8">
      <c r="A25" s="5" t="s">
        <v>65</v>
      </c>
      <c r="B25" s="5" t="s">
        <v>66</v>
      </c>
      <c r="C25" s="9">
        <f>C24^2*C22</f>
        <v>0.25011119418612371</v>
      </c>
      <c r="D25" s="5" t="s">
        <v>67</v>
      </c>
      <c r="E25" s="5" t="s">
        <v>68</v>
      </c>
    </row>
    <row r="26" spans="1:8">
      <c r="A26" s="5" t="s">
        <v>69</v>
      </c>
      <c r="B26" s="5" t="s">
        <v>70</v>
      </c>
      <c r="C26" s="9">
        <f>C25*C11</f>
        <v>0.50022238837224742</v>
      </c>
      <c r="D26" s="5" t="s">
        <v>67</v>
      </c>
      <c r="E26" s="5" t="s">
        <v>71</v>
      </c>
    </row>
    <row r="27" spans="1:8">
      <c r="A27" s="5" t="s">
        <v>72</v>
      </c>
      <c r="B27" s="5" t="s">
        <v>73</v>
      </c>
      <c r="C27" s="9">
        <f>C5*C24</f>
        <v>7.3041311146848837</v>
      </c>
      <c r="D27" s="5" t="s">
        <v>74</v>
      </c>
      <c r="E27" s="5" t="s">
        <v>75</v>
      </c>
    </row>
    <row r="29" spans="1:8" ht="15">
      <c r="A29" s="2" t="s">
        <v>76</v>
      </c>
      <c r="B29" s="2"/>
      <c r="C29" s="2"/>
      <c r="D29" s="2"/>
      <c r="E29" s="2"/>
      <c r="F29" s="2"/>
      <c r="G29" s="2"/>
      <c r="H29" s="2"/>
    </row>
    <row r="30" spans="1:8" ht="24" customHeight="1">
      <c r="A30" s="10" t="s">
        <v>77</v>
      </c>
      <c r="B30" s="10" t="s">
        <v>78</v>
      </c>
      <c r="C30" s="3"/>
      <c r="D30" s="3"/>
      <c r="E30" s="3"/>
    </row>
    <row r="31" spans="1:8" ht="24" customHeight="1">
      <c r="A31" s="10" t="s">
        <v>79</v>
      </c>
      <c r="B31" s="10" t="s">
        <v>80</v>
      </c>
      <c r="C31" s="3"/>
      <c r="D31" s="3"/>
      <c r="E31" s="3"/>
    </row>
    <row r="32" spans="1:8" ht="24" customHeight="1">
      <c r="A32" s="10" t="s">
        <v>47</v>
      </c>
      <c r="B32" s="10" t="s">
        <v>81</v>
      </c>
      <c r="C32" s="3"/>
      <c r="D32" s="3"/>
      <c r="E32" s="3"/>
    </row>
    <row r="33" spans="1:5" ht="24" customHeight="1">
      <c r="A33" s="10" t="s">
        <v>82</v>
      </c>
      <c r="B33" s="10" t="s">
        <v>83</v>
      </c>
      <c r="C33" s="3"/>
      <c r="D33" s="3"/>
      <c r="E33" s="3"/>
    </row>
    <row r="34" spans="1:5" ht="24" customHeight="1">
      <c r="A34" s="10" t="s">
        <v>84</v>
      </c>
      <c r="B34" s="10" t="s">
        <v>85</v>
      </c>
      <c r="C34" s="3"/>
      <c r="D34" s="3"/>
      <c r="E34" s="3"/>
    </row>
    <row r="35" spans="1:5" ht="42" customHeight="1">
      <c r="A35" s="10" t="s">
        <v>86</v>
      </c>
      <c r="B35" s="10" t="s">
        <v>87</v>
      </c>
      <c r="C35" s="3"/>
      <c r="D35" s="3"/>
      <c r="E35" s="3"/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/>
  </sheetViews>
  <sheetFormatPr defaultRowHeight="14.25"/>
  <cols>
    <col min="1" max="7" width="14" customWidth="1"/>
    <col min="8" max="8" width="16" customWidth="1"/>
  </cols>
  <sheetData>
    <row r="1" spans="1:8" ht="27.95" customHeight="1">
      <c r="A1" s="1" t="s">
        <v>88</v>
      </c>
      <c r="B1" s="1"/>
      <c r="C1" s="1"/>
      <c r="D1" s="1"/>
      <c r="E1" s="1"/>
      <c r="F1" s="1"/>
      <c r="G1" s="1"/>
      <c r="H1" s="1"/>
    </row>
    <row r="3" spans="1:8" ht="15">
      <c r="A3" s="2" t="s">
        <v>89</v>
      </c>
      <c r="B3" s="2"/>
      <c r="C3" s="2"/>
      <c r="D3" s="2"/>
      <c r="E3" s="2"/>
      <c r="F3" s="2"/>
      <c r="G3" s="2"/>
      <c r="H3" s="2"/>
    </row>
    <row r="5" spans="1:8" ht="15">
      <c r="A5" s="4" t="s">
        <v>90</v>
      </c>
      <c r="B5" s="4" t="s">
        <v>91</v>
      </c>
      <c r="C5" s="4" t="s">
        <v>92</v>
      </c>
      <c r="D5" s="4" t="s">
        <v>93</v>
      </c>
      <c r="E5" s="4" t="s">
        <v>94</v>
      </c>
      <c r="F5" s="4" t="s">
        <v>95</v>
      </c>
      <c r="G5" s="4" t="s">
        <v>96</v>
      </c>
      <c r="H5" s="4" t="s">
        <v>97</v>
      </c>
    </row>
    <row r="6" spans="1:8">
      <c r="A6" s="11">
        <v>1</v>
      </c>
      <c r="B6" s="12">
        <f>A6*X_Damper_Calc!$C$16*1000000</f>
        <v>9.9945927677495466E-2</v>
      </c>
      <c r="C6" s="11">
        <f>X_Damper_Calc!$C$20*SQRT(((2+A6)*(4+3*A6))/(2*A6^2*(4+A6)))</f>
        <v>96.150917757799235</v>
      </c>
      <c r="D6" s="11">
        <f t="shared" ref="D6:D14" si="0">C6</f>
        <v>96.150917757799235</v>
      </c>
      <c r="E6" s="11">
        <f>X_Damper_Calc!$C$5/SQRT(D6^2+(1/(2*PI()*X_Damper_Calc!$C$6*(B6*0.000001)))^2)*1000</f>
        <v>28.878602379892023</v>
      </c>
      <c r="F6" s="12">
        <f t="shared" ref="F6:F14" si="1">(E6/1000)^2*D6</f>
        <v>8.0187334277084257E-2</v>
      </c>
      <c r="G6" s="12">
        <f>F6*X_Damper_Calc!$C$11</f>
        <v>0.16037466855416851</v>
      </c>
      <c r="H6" s="5"/>
    </row>
    <row r="7" spans="1:8">
      <c r="A7" s="11">
        <v>1.5</v>
      </c>
      <c r="B7" s="12">
        <f>A7*X_Damper_Calc!$C$16*1000000</f>
        <v>0.14991889151624319</v>
      </c>
      <c r="C7" s="11">
        <f>X_Damper_Calc!$C$20*SQRT(((2+A7)*(4+3*A7))/(2*A7^2*(4+A7)))</f>
        <v>72.744417388252117</v>
      </c>
      <c r="D7" s="11">
        <f t="shared" si="0"/>
        <v>72.744417388252117</v>
      </c>
      <c r="E7" s="11">
        <f>X_Damper_Calc!$C$5/SQRT(D7^2+(1/(2*PI()*X_Damper_Calc!$C$6*(B7*0.000001)))^2)*1000</f>
        <v>43.314268975319102</v>
      </c>
      <c r="F7" s="12">
        <f t="shared" si="1"/>
        <v>0.13647768531455029</v>
      </c>
      <c r="G7" s="12">
        <f>F7*X_Damper_Calc!$C$11</f>
        <v>0.27295537062910058</v>
      </c>
      <c r="H7" s="5"/>
    </row>
    <row r="8" spans="1:8">
      <c r="A8" s="11">
        <v>2</v>
      </c>
      <c r="B8" s="12">
        <f>A8*X_Damper_Calc!$C$16*1000000</f>
        <v>0.19989185535499093</v>
      </c>
      <c r="C8" s="11">
        <f>X_Damper_Calc!$C$20*SQRT(((2+A8)*(4+3*A8))/(2*A8^2*(4+A8)))</f>
        <v>60.569384932800226</v>
      </c>
      <c r="D8" s="11">
        <f t="shared" si="0"/>
        <v>60.569384932800226</v>
      </c>
      <c r="E8" s="11">
        <f>X_Damper_Calc!$C$5/SQRT(D8^2+(1/(2*PI()*X_Damper_Calc!$C$6*(B8*0.000001)))^2)*1000</f>
        <v>57.747319470840438</v>
      </c>
      <c r="F8" s="12">
        <f t="shared" si="1"/>
        <v>0.20198393242336488</v>
      </c>
      <c r="G8" s="12">
        <f>F8*X_Damper_Calc!$C$11</f>
        <v>0.40396786484672975</v>
      </c>
      <c r="H8" s="5"/>
    </row>
    <row r="9" spans="1:8">
      <c r="A9" s="11">
        <v>2.2000000000000002</v>
      </c>
      <c r="B9" s="12">
        <f>A9*X_Damper_Calc!$C$16*1000000</f>
        <v>0.21988104089049004</v>
      </c>
      <c r="C9" s="11">
        <f>X_Damper_Calc!$C$20*SQRT(((2+A9)*(4+3*A9))/(2*A9^2*(4+A9)))</f>
        <v>57.14626371117707</v>
      </c>
      <c r="D9" s="11">
        <f t="shared" si="0"/>
        <v>57.14626371117707</v>
      </c>
      <c r="E9" s="11">
        <f>X_Damper_Calc!$C$5/SQRT(D9^2+(1/(2*PI()*X_Damper_Calc!$C$6*(B9*0.000001)))^2)*1000</f>
        <v>63.51978634701257</v>
      </c>
      <c r="F9" s="12">
        <f t="shared" si="1"/>
        <v>0.23057164512927017</v>
      </c>
      <c r="G9" s="12">
        <f>F9*X_Damper_Calc!$C$11</f>
        <v>0.46114329025854034</v>
      </c>
      <c r="H9" s="5" t="s">
        <v>98</v>
      </c>
    </row>
    <row r="10" spans="1:8">
      <c r="A10" s="11">
        <v>3</v>
      </c>
      <c r="B10" s="12">
        <f>A10*X_Damper_Calc!$C$16*1000000</f>
        <v>0.29983778303248637</v>
      </c>
      <c r="C10" s="11">
        <f>X_Damper_Calc!$C$20*SQRT(((2+A10)*(4+3*A10))/(2*A10^2*(4+A10)))</f>
        <v>47.655737217589305</v>
      </c>
      <c r="D10" s="11">
        <f t="shared" si="0"/>
        <v>47.655737217589305</v>
      </c>
      <c r="E10" s="11">
        <f>X_Damper_Calc!$C$5/SQRT(D10^2+(1/(2*PI()*X_Damper_Calc!$C$6*(B10*0.000001)))^2)*1000</f>
        <v>86.605243592055928</v>
      </c>
      <c r="F10" s="12">
        <f t="shared" si="1"/>
        <v>0.35744034238870104</v>
      </c>
      <c r="G10" s="12">
        <f>F10*X_Damper_Calc!$C$11</f>
        <v>0.71488068477740208</v>
      </c>
      <c r="H10" s="5"/>
    </row>
    <row r="11" spans="1:8">
      <c r="A11" s="11">
        <v>3.3</v>
      </c>
      <c r="B11" s="12">
        <f>A11*X_Damper_Calc!$C$16*1000000</f>
        <v>0.32982156133573504</v>
      </c>
      <c r="C11" s="11">
        <f>X_Damper_Calc!$C$20*SQRT(((2+A11)*(4+3*A11))/(2*A11^2*(4+A11)))</f>
        <v>45.164660884542258</v>
      </c>
      <c r="D11" s="11">
        <f t="shared" si="0"/>
        <v>45.164660884542258</v>
      </c>
      <c r="E11" s="11">
        <f>X_Damper_Calc!$C$5/SQRT(D11^2+(1/(2*PI()*X_Damper_Calc!$C$6*(B11*0.000001)))^2)*1000</f>
        <v>95.260442589512792</v>
      </c>
      <c r="F11" s="12">
        <f t="shared" si="1"/>
        <v>0.40984906025210255</v>
      </c>
      <c r="G11" s="12">
        <f>F11*X_Damper_Calc!$C$11</f>
        <v>0.8196981205042051</v>
      </c>
      <c r="H11" s="5"/>
    </row>
    <row r="12" spans="1:8">
      <c r="A12" s="11">
        <v>4</v>
      </c>
      <c r="B12" s="12">
        <f>A12*X_Damper_Calc!$C$16*1000000</f>
        <v>0.39978371070998187</v>
      </c>
      <c r="C12" s="11">
        <f>X_Damper_Calc!$C$20*SQRT(((2+A12)*(4+3*A12))/(2*A12^2*(4+A12)))</f>
        <v>40.631178619527844</v>
      </c>
      <c r="D12" s="11">
        <f t="shared" si="0"/>
        <v>40.631178619527844</v>
      </c>
      <c r="E12" s="11">
        <f>X_Damper_Calc!$C$5/SQRT(D12^2+(1/(2*PI()*X_Damper_Calc!$C$6*(B12*0.000001)))^2)*1000</f>
        <v>115.45192642581866</v>
      </c>
      <c r="F12" s="12">
        <f t="shared" si="1"/>
        <v>0.54157896541934381</v>
      </c>
      <c r="G12" s="12">
        <f>F12*X_Damper_Calc!$C$11</f>
        <v>1.0831579308386876</v>
      </c>
      <c r="H12" s="5"/>
    </row>
    <row r="13" spans="1:8">
      <c r="A13" s="11">
        <v>4.7</v>
      </c>
      <c r="B13" s="12">
        <f>A13*X_Damper_Calc!$C$16*1000000</f>
        <v>0.46974586008422869</v>
      </c>
      <c r="C13" s="11">
        <f>X_Damper_Calc!$C$20*SQRT(((2+A13)*(4+3*A13))/(2*A13^2*(4+A13)))</f>
        <v>37.269021738861497</v>
      </c>
      <c r="D13" s="11">
        <f t="shared" si="0"/>
        <v>37.269021738861497</v>
      </c>
      <c r="E13" s="11">
        <f>X_Damper_Calc!$C$5/SQRT(D13^2+(1/(2*PI()*X_Damper_Calc!$C$6*(B13*0.000001)))^2)*1000</f>
        <v>135.63778040467625</v>
      </c>
      <c r="F13" s="12">
        <f t="shared" si="1"/>
        <v>0.68566083285827217</v>
      </c>
      <c r="G13" s="12">
        <f>F13*X_Damper_Calc!$C$11</f>
        <v>1.3713216657165443</v>
      </c>
      <c r="H13" s="5"/>
    </row>
    <row r="14" spans="1:8">
      <c r="A14" s="11">
        <v>5</v>
      </c>
      <c r="B14" s="12">
        <f>A14*X_Damper_Calc!$C$16*1000000</f>
        <v>0.49972963838747736</v>
      </c>
      <c r="C14" s="11">
        <f>X_Damper_Calc!$C$20*SQRT(((2+A14)*(4+3*A14))/(2*A14^2*(4+A14)))</f>
        <v>36.071429211914804</v>
      </c>
      <c r="D14" s="11">
        <f t="shared" si="0"/>
        <v>36.071429211914804</v>
      </c>
      <c r="E14" s="11">
        <f>X_Damper_Calc!$C$5/SQRT(D14^2+(1/(2*PI()*X_Damper_Calc!$C$6*(B14*0.000001)))^2)*1000</f>
        <v>144.28712385445567</v>
      </c>
      <c r="F14" s="12">
        <f t="shared" si="1"/>
        <v>0.75096293659460034</v>
      </c>
      <c r="G14" s="12">
        <f>F14*X_Damper_Calc!$C$11</f>
        <v>1.5019258731892007</v>
      </c>
      <c r="H14" s="5"/>
    </row>
  </sheetData>
  <phoneticPr fontId="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3"/>
  <sheetViews>
    <sheetView tabSelected="1" workbookViewId="0">
      <selection activeCell="B43" sqref="B43"/>
    </sheetView>
  </sheetViews>
  <sheetFormatPr defaultRowHeight="14.25"/>
  <cols>
    <col min="1" max="2" width="30" customWidth="1"/>
    <col min="3" max="3" width="18" customWidth="1"/>
    <col min="4" max="4" width="12" customWidth="1"/>
    <col min="5" max="5" width="54" customWidth="1"/>
  </cols>
  <sheetData>
    <row r="1" spans="1:8" ht="27.95" customHeight="1">
      <c r="A1" s="1" t="s">
        <v>99</v>
      </c>
      <c r="B1" s="1"/>
      <c r="C1" s="1"/>
      <c r="D1" s="1"/>
      <c r="E1" s="1"/>
      <c r="F1" s="1"/>
      <c r="G1" s="1"/>
      <c r="H1" s="1"/>
    </row>
    <row r="3" spans="1:8" ht="15">
      <c r="A3" s="2" t="s">
        <v>1</v>
      </c>
      <c r="B3" s="2"/>
      <c r="C3" s="2"/>
      <c r="D3" s="2"/>
      <c r="E3" s="2"/>
      <c r="F3" s="2"/>
      <c r="G3" s="2"/>
      <c r="H3" s="2"/>
    </row>
    <row r="4" spans="1:8" ht="1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spans="1:8">
      <c r="A5" s="5" t="s">
        <v>7</v>
      </c>
      <c r="B5" s="5" t="s">
        <v>8</v>
      </c>
      <c r="C5" s="7">
        <v>115</v>
      </c>
      <c r="D5" s="5" t="s">
        <v>9</v>
      </c>
      <c r="E5" s="5" t="s">
        <v>100</v>
      </c>
    </row>
    <row r="6" spans="1:8">
      <c r="A6" s="5" t="s">
        <v>11</v>
      </c>
      <c r="B6" s="5" t="s">
        <v>12</v>
      </c>
      <c r="C6" s="7">
        <v>400</v>
      </c>
      <c r="D6" s="5" t="s">
        <v>13</v>
      </c>
      <c r="E6" s="5" t="s">
        <v>101</v>
      </c>
    </row>
    <row r="7" spans="1:8">
      <c r="A7" s="5" t="s">
        <v>102</v>
      </c>
      <c r="B7" s="5" t="s">
        <v>103</v>
      </c>
      <c r="C7" s="7">
        <v>31650</v>
      </c>
      <c r="D7" s="5" t="s">
        <v>13</v>
      </c>
      <c r="E7" s="5" t="s">
        <v>104</v>
      </c>
    </row>
    <row r="8" spans="1:8">
      <c r="A8" s="5" t="s">
        <v>105</v>
      </c>
      <c r="B8" s="5" t="s">
        <v>105</v>
      </c>
      <c r="C8" s="7">
        <v>3</v>
      </c>
      <c r="D8" s="5" t="s">
        <v>106</v>
      </c>
      <c r="E8" s="5" t="s">
        <v>107</v>
      </c>
    </row>
    <row r="9" spans="1:8">
      <c r="A9" s="5" t="s">
        <v>108</v>
      </c>
      <c r="B9" s="5" t="s">
        <v>109</v>
      </c>
      <c r="C9" s="7">
        <v>1.5</v>
      </c>
      <c r="D9" s="5" t="s">
        <v>110</v>
      </c>
      <c r="E9" s="5" t="s">
        <v>111</v>
      </c>
    </row>
    <row r="10" spans="1:8">
      <c r="A10" s="5" t="s">
        <v>112</v>
      </c>
      <c r="B10" s="5" t="s">
        <v>23</v>
      </c>
      <c r="C10" s="7">
        <v>2.2000000000000002</v>
      </c>
      <c r="D10" s="5" t="s">
        <v>24</v>
      </c>
      <c r="E10" s="5" t="s">
        <v>113</v>
      </c>
    </row>
    <row r="11" spans="1:8">
      <c r="A11" s="5" t="s">
        <v>26</v>
      </c>
      <c r="B11" s="5" t="s">
        <v>27</v>
      </c>
      <c r="C11" s="7">
        <v>1800</v>
      </c>
      <c r="D11" s="5" t="s">
        <v>28</v>
      </c>
      <c r="E11" s="5" t="s">
        <v>29</v>
      </c>
    </row>
    <row r="12" spans="1:8">
      <c r="A12" s="5" t="s">
        <v>114</v>
      </c>
      <c r="B12" s="5" t="s">
        <v>31</v>
      </c>
      <c r="C12" s="7">
        <v>2</v>
      </c>
      <c r="D12" s="5" t="s">
        <v>32</v>
      </c>
      <c r="E12" s="5" t="s">
        <v>115</v>
      </c>
    </row>
    <row r="13" spans="1:8">
      <c r="A13" s="5" t="s">
        <v>116</v>
      </c>
      <c r="B13" s="5" t="s">
        <v>117</v>
      </c>
      <c r="C13" s="7">
        <v>10</v>
      </c>
      <c r="D13" s="5" t="s">
        <v>118</v>
      </c>
      <c r="E13" s="5" t="s">
        <v>119</v>
      </c>
    </row>
    <row r="14" spans="1:8">
      <c r="A14" s="5" t="s">
        <v>120</v>
      </c>
      <c r="B14" s="5" t="s">
        <v>121</v>
      </c>
      <c r="C14" s="7">
        <v>10</v>
      </c>
      <c r="D14" s="5" t="s">
        <v>118</v>
      </c>
      <c r="E14" s="5" t="s">
        <v>119</v>
      </c>
    </row>
    <row r="16" spans="1:8" ht="15">
      <c r="A16" s="2" t="s">
        <v>34</v>
      </c>
      <c r="B16" s="2"/>
      <c r="C16" s="2"/>
      <c r="D16" s="2"/>
      <c r="E16" s="2"/>
      <c r="F16" s="2"/>
      <c r="G16" s="2"/>
      <c r="H16" s="2"/>
    </row>
    <row r="17" spans="1:5" ht="15">
      <c r="A17" s="4" t="s">
        <v>2</v>
      </c>
      <c r="B17" s="4" t="s">
        <v>3</v>
      </c>
      <c r="C17" s="4" t="s">
        <v>35</v>
      </c>
      <c r="D17" s="4" t="s">
        <v>5</v>
      </c>
      <c r="E17" s="4" t="s">
        <v>6</v>
      </c>
    </row>
    <row r="18" spans="1:5">
      <c r="A18" s="5" t="s">
        <v>122</v>
      </c>
      <c r="B18" s="5" t="s">
        <v>109</v>
      </c>
      <c r="C18" s="8">
        <f>C9*0.000000001</f>
        <v>1.5000000000000002E-9</v>
      </c>
      <c r="D18" s="5" t="s">
        <v>123</v>
      </c>
      <c r="E18" s="5" t="s">
        <v>124</v>
      </c>
    </row>
    <row r="19" spans="1:5">
      <c r="A19" s="5" t="s">
        <v>125</v>
      </c>
      <c r="B19" s="5" t="s">
        <v>126</v>
      </c>
      <c r="C19" s="8">
        <f>C10*C18</f>
        <v>3.3000000000000006E-9</v>
      </c>
      <c r="D19" s="5" t="s">
        <v>123</v>
      </c>
      <c r="E19" s="5" t="s">
        <v>127</v>
      </c>
    </row>
    <row r="20" spans="1:5">
      <c r="A20" s="5" t="s">
        <v>125</v>
      </c>
      <c r="B20" s="5" t="s">
        <v>126</v>
      </c>
      <c r="C20" s="9">
        <f>C19*1000000000</f>
        <v>3.3000000000000007</v>
      </c>
      <c r="D20" s="5" t="s">
        <v>128</v>
      </c>
      <c r="E20" s="5" t="s">
        <v>45</v>
      </c>
    </row>
    <row r="21" spans="1:5">
      <c r="A21" s="5" t="s">
        <v>129</v>
      </c>
      <c r="B21" s="5" t="s">
        <v>130</v>
      </c>
      <c r="C21" s="8">
        <f>2*C18</f>
        <v>3.0000000000000004E-9</v>
      </c>
      <c r="D21" s="5" t="s">
        <v>42</v>
      </c>
      <c r="E21" s="5" t="s">
        <v>131</v>
      </c>
    </row>
    <row r="22" spans="1:5">
      <c r="A22" s="5" t="s">
        <v>132</v>
      </c>
      <c r="B22" s="5" t="s">
        <v>133</v>
      </c>
      <c r="C22" s="8">
        <f>2*C19</f>
        <v>6.6000000000000012E-9</v>
      </c>
      <c r="D22" s="5" t="s">
        <v>42</v>
      </c>
      <c r="E22" s="5" t="s">
        <v>134</v>
      </c>
    </row>
    <row r="23" spans="1:5">
      <c r="A23" s="5" t="s">
        <v>135</v>
      </c>
      <c r="B23" s="5" t="s">
        <v>136</v>
      </c>
      <c r="C23" s="13">
        <f>1/(2*PI()*SQRT((C8*0.001)*C21))</f>
        <v>53051.647697298446</v>
      </c>
      <c r="D23" s="5" t="s">
        <v>13</v>
      </c>
      <c r="E23" s="5" t="s">
        <v>137</v>
      </c>
    </row>
    <row r="24" spans="1:5">
      <c r="A24" s="5" t="s">
        <v>138</v>
      </c>
      <c r="B24" s="5" t="s">
        <v>139</v>
      </c>
      <c r="C24" s="13">
        <f>1/(2*PI()*SQRT((C8*0.001)*(C21+C22)))</f>
        <v>29656.772642382377</v>
      </c>
      <c r="D24" s="5" t="s">
        <v>13</v>
      </c>
      <c r="E24" s="5" t="s">
        <v>140</v>
      </c>
    </row>
    <row r="25" spans="1:5">
      <c r="A25" s="5" t="s">
        <v>141</v>
      </c>
      <c r="B25" s="5" t="s">
        <v>142</v>
      </c>
      <c r="C25" s="14">
        <f>SQRT((C8*0.001)/C21)</f>
        <v>999.99999999999989</v>
      </c>
      <c r="D25" s="5" t="s">
        <v>28</v>
      </c>
      <c r="E25" s="5" t="s">
        <v>143</v>
      </c>
    </row>
    <row r="26" spans="1:5">
      <c r="A26" s="5" t="s">
        <v>144</v>
      </c>
      <c r="B26" s="5" t="s">
        <v>145</v>
      </c>
      <c r="C26" s="14">
        <f>C25*SQRT(((2+C10)*(4+3*C10))/(2*C10^2*(4+C10)))</f>
        <v>861.27938909723764</v>
      </c>
      <c r="D26" s="5" t="s">
        <v>28</v>
      </c>
      <c r="E26" s="5" t="s">
        <v>146</v>
      </c>
    </row>
    <row r="27" spans="1:5">
      <c r="A27" s="5" t="s">
        <v>147</v>
      </c>
      <c r="B27" s="5" t="s">
        <v>148</v>
      </c>
      <c r="C27" s="14">
        <f>2*C26</f>
        <v>1722.5587781944753</v>
      </c>
      <c r="D27" s="5" t="s">
        <v>28</v>
      </c>
      <c r="E27" s="5" t="s">
        <v>149</v>
      </c>
    </row>
    <row r="28" spans="1:5">
      <c r="A28" s="5" t="s">
        <v>150</v>
      </c>
      <c r="B28" s="5" t="s">
        <v>56</v>
      </c>
      <c r="C28" s="14">
        <f>IF(ISBLANK(C11),C27,C11)</f>
        <v>1800</v>
      </c>
      <c r="D28" s="5" t="s">
        <v>28</v>
      </c>
      <c r="E28" s="5" t="s">
        <v>57</v>
      </c>
    </row>
    <row r="29" spans="1:5">
      <c r="A29" s="5" t="s">
        <v>151</v>
      </c>
      <c r="B29" s="5" t="s">
        <v>152</v>
      </c>
      <c r="C29" s="14">
        <f>1/(2*PI()*C6*C19)</f>
        <v>120571.92658476916</v>
      </c>
      <c r="D29" s="5" t="s">
        <v>28</v>
      </c>
      <c r="E29" s="5" t="s">
        <v>153</v>
      </c>
    </row>
    <row r="30" spans="1:5">
      <c r="A30" s="5" t="s">
        <v>154</v>
      </c>
      <c r="B30" s="5" t="s">
        <v>155</v>
      </c>
      <c r="C30" s="15">
        <f>C5/SQRT(C28^2+C29^2)</f>
        <v>9.5368126183531814E-4</v>
      </c>
      <c r="D30" s="5" t="s">
        <v>156</v>
      </c>
      <c r="E30" s="5" t="s">
        <v>157</v>
      </c>
    </row>
    <row r="31" spans="1:5">
      <c r="A31" s="5" t="s">
        <v>65</v>
      </c>
      <c r="B31" s="5" t="s">
        <v>66</v>
      </c>
      <c r="C31" s="15">
        <f>C30^2*C28</f>
        <v>1.6371143085164483E-3</v>
      </c>
      <c r="D31" s="5" t="s">
        <v>67</v>
      </c>
      <c r="E31" s="5" t="s">
        <v>158</v>
      </c>
    </row>
    <row r="32" spans="1:5">
      <c r="A32" s="5" t="s">
        <v>69</v>
      </c>
      <c r="B32" s="5" t="s">
        <v>70</v>
      </c>
      <c r="C32" s="15">
        <f>C31*C12</f>
        <v>3.2742286170328967E-3</v>
      </c>
      <c r="D32" s="5" t="s">
        <v>67</v>
      </c>
      <c r="E32" s="5" t="s">
        <v>71</v>
      </c>
    </row>
    <row r="33" spans="1:8">
      <c r="A33" s="5" t="s">
        <v>159</v>
      </c>
      <c r="B33" s="5" t="s">
        <v>160</v>
      </c>
      <c r="C33" s="15">
        <f>2*PI()*C6*C18*C5</f>
        <v>4.3353978619539154E-4</v>
      </c>
      <c r="D33" s="5" t="s">
        <v>156</v>
      </c>
      <c r="E33" s="5" t="s">
        <v>161</v>
      </c>
    </row>
    <row r="34" spans="1:8">
      <c r="A34" s="5" t="s">
        <v>162</v>
      </c>
      <c r="B34" s="5" t="s">
        <v>163</v>
      </c>
      <c r="C34" s="15">
        <f>C12*(C33+C30)</f>
        <v>2.7744420960614195E-3</v>
      </c>
      <c r="D34" s="5" t="s">
        <v>63</v>
      </c>
      <c r="E34" s="5" t="s">
        <v>164</v>
      </c>
    </row>
    <row r="35" spans="1:8">
      <c r="A35" s="5" t="s">
        <v>165</v>
      </c>
      <c r="B35" s="5" t="s">
        <v>166</v>
      </c>
      <c r="C35" s="15">
        <f>C12*C5*SQRT((C28/(C28^2+C29^2))^2+(2*PI()*C6*C18+C29/(C28^2+C29^2))^2)</f>
        <v>2.7743756802075603E-3</v>
      </c>
      <c r="D35" s="5" t="s">
        <v>63</v>
      </c>
      <c r="E35" s="5" t="s">
        <v>167</v>
      </c>
    </row>
    <row r="36" spans="1:8">
      <c r="A36" s="5" t="s">
        <v>168</v>
      </c>
      <c r="B36" s="5" t="s">
        <v>169</v>
      </c>
      <c r="C36" s="15">
        <f>C34*(1+C13/100)*(1+C14/100)</f>
        <v>3.3570749362343182E-3</v>
      </c>
      <c r="D36" s="5" t="s">
        <v>63</v>
      </c>
      <c r="E36" s="5" t="s">
        <v>170</v>
      </c>
    </row>
    <row r="38" spans="1:8" ht="15">
      <c r="A38" s="2" t="s">
        <v>76</v>
      </c>
      <c r="B38" s="2"/>
      <c r="C38" s="2"/>
      <c r="D38" s="2"/>
      <c r="E38" s="2"/>
      <c r="F38" s="2"/>
      <c r="G38" s="2"/>
      <c r="H38" s="2"/>
    </row>
    <row r="39" spans="1:8" ht="28.5">
      <c r="A39" s="10" t="s">
        <v>171</v>
      </c>
      <c r="B39" s="10" t="s">
        <v>172</v>
      </c>
      <c r="C39" s="3"/>
      <c r="D39" s="3"/>
      <c r="E39" s="3"/>
    </row>
    <row r="40" spans="1:8" ht="42.75">
      <c r="A40" s="10" t="s">
        <v>82</v>
      </c>
      <c r="B40" s="10" t="s">
        <v>173</v>
      </c>
      <c r="C40" s="3"/>
      <c r="D40" s="3"/>
      <c r="E40" s="3"/>
    </row>
    <row r="41" spans="1:8" ht="42.75">
      <c r="A41" s="10" t="s">
        <v>174</v>
      </c>
      <c r="B41" s="10" t="s">
        <v>175</v>
      </c>
      <c r="C41" s="3"/>
      <c r="D41" s="3"/>
      <c r="E41" s="3"/>
    </row>
    <row r="42" spans="1:8" ht="42.75">
      <c r="A42" s="10" t="s">
        <v>176</v>
      </c>
      <c r="B42" s="10" t="s">
        <v>177</v>
      </c>
      <c r="C42" s="3"/>
      <c r="D42" s="3"/>
      <c r="E42" s="3"/>
    </row>
    <row r="43" spans="1:8" ht="57">
      <c r="A43" s="10" t="s">
        <v>86</v>
      </c>
      <c r="B43" s="10" t="s">
        <v>178</v>
      </c>
      <c r="C43" s="3"/>
      <c r="D43" s="3"/>
      <c r="E43" s="3"/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X_Damper_Calc</vt:lpstr>
      <vt:lpstr>X_Cd_Cx_Sweep</vt:lpstr>
      <vt:lpstr>Y_Damper_Calc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一裕 向井</cp:lastModifiedBy>
  <dcterms:modified xsi:type="dcterms:W3CDTF">2026-06-06T11:33:49Z</dcterms:modified>
</cp:coreProperties>
</file>